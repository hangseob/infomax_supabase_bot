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infomax_supabase_bot\infomax_functions_templetes\인포맥스함수_항섭\"/>
    </mc:Choice>
  </mc:AlternateContent>
  <xr:revisionPtr revIDLastSave="0" documentId="13_ncr:1_{43F61505-C629-4065-B2F3-50A4C5E146A9}" xr6:coauthVersionLast="36" xr6:coauthVersionMax="36" xr10:uidLastSave="{00000000-0000-0000-0000-000000000000}"/>
  <bookViews>
    <workbookView xWindow="0" yWindow="0" windowWidth="28800" windowHeight="14205" xr2:uid="{C916E7E1-563E-4FDE-ABBE-63DBEC78237A}"/>
  </bookViews>
  <sheets>
    <sheet name="넥스트레이드 실시간" sheetId="1" r:id="rId1"/>
    <sheet name="코스피200종목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9" i="1"/>
  <c r="G656" i="1"/>
  <c r="G209" i="1"/>
  <c r="G435" i="1"/>
  <c r="G336" i="1"/>
  <c r="G193" i="1"/>
  <c r="G577" i="1"/>
  <c r="G315" i="1"/>
  <c r="G129" i="1"/>
  <c r="G546" i="1"/>
  <c r="G221" i="1"/>
  <c r="G314" i="1"/>
  <c r="G697" i="1"/>
  <c r="G481" i="1"/>
  <c r="S221" i="1"/>
  <c r="G128" i="1"/>
  <c r="G467" i="1"/>
  <c r="G466" i="1"/>
  <c r="G690" i="1"/>
  <c r="G17" i="1"/>
  <c r="G268" i="1"/>
  <c r="G229" i="1"/>
  <c r="T268" i="1"/>
  <c r="G262" i="1"/>
  <c r="G589" i="1"/>
  <c r="G247" i="1"/>
  <c r="G298" i="1"/>
  <c r="G79" i="1"/>
  <c r="G405" i="1"/>
  <c r="G427" i="1"/>
  <c r="G687" i="1"/>
  <c r="G377" i="1"/>
  <c r="G657" i="1"/>
  <c r="G196" i="1"/>
  <c r="G516" i="1"/>
  <c r="G69" i="1"/>
  <c r="G37" i="1"/>
  <c r="G660" i="1"/>
  <c r="G245" i="1"/>
  <c r="G358" i="1"/>
  <c r="G572" i="1"/>
  <c r="T405" i="1"/>
  <c r="G281" i="1"/>
  <c r="G560" i="1"/>
  <c r="G393" i="1"/>
  <c r="S393" i="1" s="1"/>
  <c r="G667" i="1"/>
  <c r="S516" i="1"/>
  <c r="G351" i="1"/>
  <c r="G228" i="1"/>
  <c r="G678" i="1"/>
  <c r="G289" i="1"/>
  <c r="G665" i="1"/>
  <c r="G460" i="1"/>
  <c r="S435" i="1"/>
  <c r="G256" i="1"/>
  <c r="G608" i="1"/>
  <c r="G341" i="1"/>
  <c r="G485" i="1"/>
  <c r="G531" i="1"/>
  <c r="G487" i="1"/>
  <c r="G293" i="1"/>
  <c r="G365" i="1"/>
  <c r="G694" i="1"/>
  <c r="T694" i="1" s="1"/>
  <c r="G496" i="1"/>
  <c r="G519" i="1"/>
  <c r="G379" i="1"/>
  <c r="G264" i="1"/>
  <c r="G675" i="1"/>
  <c r="G246" i="1"/>
  <c r="G285" i="1"/>
  <c r="G676" i="1"/>
  <c r="G316" i="1"/>
  <c r="G597" i="1"/>
  <c r="G108" i="1"/>
  <c r="G178" i="1"/>
  <c r="T178" i="1" s="1"/>
  <c r="G480" i="1"/>
  <c r="S485" i="1"/>
  <c r="G556" i="1"/>
  <c r="G274" i="1"/>
  <c r="G520" i="1"/>
  <c r="S460" i="1"/>
  <c r="T274" i="1"/>
  <c r="T657" i="1"/>
  <c r="G122" i="1"/>
  <c r="G169" i="1"/>
  <c r="G146" i="1"/>
  <c r="G555" i="1"/>
  <c r="G679" i="1"/>
  <c r="G327" i="1"/>
  <c r="S327" i="1" s="1"/>
  <c r="G219" i="1"/>
  <c r="G127" i="1"/>
  <c r="G430" i="1"/>
  <c r="G250" i="1"/>
  <c r="G306" i="1"/>
  <c r="G119" i="1"/>
  <c r="G536" i="1"/>
  <c r="G668" i="1"/>
  <c r="G515" i="1"/>
  <c r="G147" i="1"/>
  <c r="G243" i="1"/>
  <c r="G411" i="1"/>
  <c r="G473" i="1"/>
  <c r="G682" i="1"/>
  <c r="G501" i="1"/>
  <c r="G143" i="1"/>
  <c r="G164" i="1"/>
  <c r="G538" i="1"/>
  <c r="S316" i="1"/>
  <c r="S274" i="1"/>
  <c r="S657" i="1"/>
  <c r="G319" i="1"/>
  <c r="G93" i="1"/>
  <c r="G647" i="1"/>
  <c r="G141" i="1"/>
  <c r="G643" i="1"/>
  <c r="S643" i="1" s="1"/>
  <c r="G220" i="1"/>
  <c r="G183" i="1"/>
  <c r="G187" i="1"/>
  <c r="G166" i="1"/>
  <c r="G464" i="1"/>
  <c r="G671" i="1"/>
  <c r="G357" i="1"/>
  <c r="S79" i="1"/>
  <c r="G55" i="1"/>
  <c r="T281" i="1"/>
  <c r="G522" i="1"/>
  <c r="G505" i="1"/>
  <c r="T656" i="1"/>
  <c r="G582" i="1"/>
  <c r="G240" i="1"/>
  <c r="G334" i="1"/>
  <c r="G530" i="1"/>
  <c r="G126" i="1"/>
  <c r="G188" i="1"/>
  <c r="S676" i="1"/>
  <c r="G552" i="1"/>
  <c r="G532" i="1"/>
  <c r="S108" i="1"/>
  <c r="S264" i="1"/>
  <c r="G398" i="1"/>
  <c r="G113" i="1"/>
  <c r="G638" i="1"/>
  <c r="S522" i="1"/>
  <c r="S647" i="1"/>
  <c r="T466" i="1"/>
  <c r="S113" i="1"/>
  <c r="G394" i="1"/>
  <c r="S394" i="1" s="1"/>
  <c r="T430" i="1"/>
  <c r="T169" i="1"/>
  <c r="G350" i="1"/>
  <c r="S350" i="1" s="1"/>
  <c r="G12" i="1"/>
  <c r="T12" i="1" s="1"/>
  <c r="G21" i="1"/>
  <c r="T293" i="1"/>
  <c r="G521" i="1"/>
  <c r="S281" i="1"/>
  <c r="G263" i="1"/>
  <c r="G148" i="1"/>
  <c r="G484" i="1"/>
  <c r="G24" i="1"/>
  <c r="G685" i="1"/>
  <c r="S685" i="1" s="1"/>
  <c r="G275" i="1"/>
  <c r="G75" i="1"/>
  <c r="T75" i="1" s="1"/>
  <c r="G644" i="1"/>
  <c r="T644" i="1" s="1"/>
  <c r="G103" i="1"/>
  <c r="G292" i="1"/>
  <c r="G461" i="1"/>
  <c r="G211" i="1"/>
  <c r="S211" i="1" s="1"/>
  <c r="S147" i="1"/>
  <c r="G32" i="1"/>
  <c r="T211" i="1"/>
  <c r="S285" i="1"/>
  <c r="G270" i="1"/>
  <c r="T103" i="1"/>
  <c r="G663" i="1"/>
  <c r="G634" i="1"/>
  <c r="S577" i="1"/>
  <c r="G96" i="1"/>
  <c r="T96" i="1" s="1"/>
  <c r="T166" i="1"/>
  <c r="G362" i="1"/>
  <c r="S466" i="1"/>
  <c r="T113" i="1"/>
  <c r="S96" i="1"/>
  <c r="G88" i="1"/>
  <c r="G159" i="1"/>
  <c r="S193" i="1"/>
  <c r="G587" i="1"/>
  <c r="G593" i="1"/>
  <c r="G662" i="1"/>
  <c r="G533" i="1"/>
  <c r="G494" i="1"/>
  <c r="G288" i="1"/>
  <c r="S665" i="1"/>
  <c r="G689" i="1"/>
  <c r="S689" i="1" s="1"/>
  <c r="G27" i="1"/>
  <c r="T27" i="1" s="1"/>
  <c r="G76" i="1"/>
  <c r="G535" i="1"/>
  <c r="S535" i="1" s="1"/>
  <c r="G655" i="1"/>
  <c r="G649" i="1"/>
  <c r="T516" i="1"/>
  <c r="G273" i="1"/>
  <c r="G586" i="1"/>
  <c r="G348" i="1"/>
  <c r="G384" i="1"/>
  <c r="G688" i="1"/>
  <c r="G513" i="1"/>
  <c r="T513" i="1" s="1"/>
  <c r="G347" i="1"/>
  <c r="T494" i="1"/>
  <c r="S379" i="1"/>
  <c r="G551" i="1"/>
  <c r="G86" i="1"/>
  <c r="G31" i="1"/>
  <c r="G612" i="1"/>
  <c r="S638" i="1"/>
  <c r="G504" i="1"/>
  <c r="G210" i="1"/>
  <c r="S667" i="1"/>
  <c r="T86" i="1"/>
  <c r="G117" i="1"/>
  <c r="G436" i="1"/>
  <c r="S196" i="1"/>
  <c r="G352" i="1"/>
  <c r="G68" i="1"/>
  <c r="G451" i="1"/>
  <c r="G25" i="1"/>
  <c r="G72" i="1"/>
  <c r="G203" i="1"/>
  <c r="G605" i="1"/>
  <c r="G646" i="1"/>
  <c r="G618" i="1"/>
  <c r="G672" i="1"/>
  <c r="G204" i="1"/>
  <c r="G652" i="1"/>
  <c r="G510" i="1"/>
  <c r="S510" i="1" s="1"/>
  <c r="G596" i="1"/>
  <c r="G144" i="1"/>
  <c r="G179" i="1"/>
  <c r="T179" i="1" s="1"/>
  <c r="G469" i="1"/>
  <c r="G500" i="1"/>
  <c r="T676" i="1"/>
  <c r="G137" i="1"/>
  <c r="G508" i="1"/>
  <c r="S427" i="1"/>
  <c r="G591" i="1"/>
  <c r="G378" i="1"/>
  <c r="G269" i="1"/>
  <c r="G227" i="1"/>
  <c r="G16" i="1"/>
  <c r="T411" i="1"/>
  <c r="T501" i="1"/>
  <c r="S494" i="1"/>
  <c r="S508" i="1"/>
  <c r="G359" i="1"/>
  <c r="T667" i="1"/>
  <c r="S86" i="1"/>
  <c r="G666" i="1"/>
  <c r="T666" i="1" s="1"/>
  <c r="G43" i="1"/>
  <c r="T306" i="1"/>
  <c r="G58" i="1"/>
  <c r="S473" i="1"/>
  <c r="G272" i="1"/>
  <c r="G524" i="1"/>
  <c r="G561" i="1"/>
  <c r="G615" i="1"/>
  <c r="G321" i="1"/>
  <c r="S321" i="1" s="1"/>
  <c r="G375" i="1"/>
  <c r="G630" i="1"/>
  <c r="G9" i="1"/>
  <c r="T9" i="1" s="1"/>
  <c r="G125" i="1"/>
  <c r="S125" i="1" s="1"/>
  <c r="G625" i="1"/>
  <c r="S625" i="1" s="1"/>
  <c r="G61" i="1"/>
  <c r="G155" i="1"/>
  <c r="G434" i="1"/>
  <c r="G329" i="1"/>
  <c r="G558" i="1"/>
  <c r="G414" i="1"/>
  <c r="S414" i="1" s="1"/>
  <c r="T510" i="1"/>
  <c r="G63" i="1"/>
  <c r="G537" i="1"/>
  <c r="T327" i="1"/>
  <c r="G506" i="1"/>
  <c r="G459" i="1"/>
  <c r="G307" i="1"/>
  <c r="G291" i="1"/>
  <c r="S292" i="1"/>
  <c r="G11" i="1"/>
  <c r="G233" i="1"/>
  <c r="G400" i="1"/>
  <c r="S329" i="1"/>
  <c r="G214" i="1"/>
  <c r="G518" i="1"/>
  <c r="G46" i="1"/>
  <c r="S690" i="1"/>
  <c r="T524" i="1"/>
  <c r="T358" i="1"/>
  <c r="T233" i="1"/>
  <c r="G85" i="1"/>
  <c r="T85" i="1" s="1"/>
  <c r="G136" i="1"/>
  <c r="S246" i="1"/>
  <c r="T481" i="1"/>
  <c r="T521" i="1"/>
  <c r="G403" i="1"/>
  <c r="T403" i="1" s="1"/>
  <c r="G592" i="1"/>
  <c r="G611" i="1"/>
  <c r="G691" i="1"/>
  <c r="G328" i="1"/>
  <c r="G343" i="1"/>
  <c r="G295" i="1"/>
  <c r="T365" i="1"/>
  <c r="G44" i="1"/>
  <c r="S524" i="1"/>
  <c r="G404" i="1"/>
  <c r="G271" i="1"/>
  <c r="S358" i="1"/>
  <c r="G338" i="1"/>
  <c r="G418" i="1"/>
  <c r="G585" i="1"/>
  <c r="T585" i="1" s="1"/>
  <c r="G554" i="1"/>
  <c r="G402" i="1"/>
  <c r="G681" i="1"/>
  <c r="T220" i="1"/>
  <c r="T685" i="1"/>
  <c r="T137" i="1"/>
  <c r="G301" i="1"/>
  <c r="G443" i="1"/>
  <c r="T443" i="1" s="1"/>
  <c r="S21" i="1"/>
  <c r="G447" i="1"/>
  <c r="S681" i="1"/>
  <c r="G157" i="1"/>
  <c r="G287" i="1"/>
  <c r="S287" i="1" s="1"/>
  <c r="T246" i="1"/>
  <c r="S481" i="1"/>
  <c r="T592" i="1"/>
  <c r="G201" i="1"/>
  <c r="G381" i="1"/>
  <c r="S381" i="1" s="1"/>
  <c r="S341" i="1"/>
  <c r="G575" i="1"/>
  <c r="G151" i="1"/>
  <c r="T151" i="1" s="1"/>
  <c r="G527" i="1"/>
  <c r="G13" i="1"/>
  <c r="G324" i="1"/>
  <c r="G310" i="1"/>
  <c r="S310" i="1" s="1"/>
  <c r="G493" i="1"/>
  <c r="G380" i="1"/>
  <c r="T380" i="1" s="1"/>
  <c r="S365" i="1"/>
  <c r="G574" i="1"/>
  <c r="G601" i="1"/>
  <c r="G278" i="1"/>
  <c r="G138" i="1"/>
  <c r="G454" i="1"/>
  <c r="T454" i="1" s="1"/>
  <c r="T127" i="1"/>
  <c r="G189" i="1"/>
  <c r="S189" i="1" s="1"/>
  <c r="T147" i="1"/>
  <c r="G345" i="1"/>
  <c r="G29" i="1"/>
  <c r="T29" i="1" s="1"/>
  <c r="G607" i="1"/>
  <c r="S72" i="1"/>
  <c r="S554" i="1"/>
  <c r="G356" i="1"/>
  <c r="S356" i="1" s="1"/>
  <c r="G277" i="1"/>
  <c r="T25" i="1"/>
  <c r="G444" i="1"/>
  <c r="G392" i="1"/>
  <c r="G284" i="1"/>
  <c r="S284" i="1" s="1"/>
  <c r="G677" i="1"/>
  <c r="G38" i="1"/>
  <c r="T155" i="1"/>
  <c r="T316" i="1"/>
  <c r="S587" i="1"/>
  <c r="T652" i="1"/>
  <c r="S575" i="1"/>
  <c r="T334" i="1"/>
  <c r="S436" i="1"/>
  <c r="S378" i="1"/>
  <c r="T157" i="1"/>
  <c r="T228" i="1"/>
  <c r="G133" i="1"/>
  <c r="G628" i="1"/>
  <c r="T628" i="1" s="1"/>
  <c r="G332" i="1"/>
  <c r="T332" i="1" s="1"/>
  <c r="G385" i="1"/>
  <c r="S385" i="1" s="1"/>
  <c r="G514" i="1"/>
  <c r="T514" i="1" s="1"/>
  <c r="G302" i="1"/>
  <c r="T302" i="1" s="1"/>
  <c r="T611" i="1"/>
  <c r="G390" i="1"/>
  <c r="G326" i="1"/>
  <c r="S326" i="1" s="1"/>
  <c r="G540" i="1"/>
  <c r="G539" i="1"/>
  <c r="S539" i="1" s="1"/>
  <c r="G158" i="1"/>
  <c r="T519" i="1"/>
  <c r="G89" i="1"/>
  <c r="T351" i="1"/>
  <c r="G132" i="1"/>
  <c r="G512" i="1"/>
  <c r="T512" i="1" s="1"/>
  <c r="T537" i="1"/>
  <c r="G564" i="1"/>
  <c r="G528" i="1"/>
  <c r="G73" i="1"/>
  <c r="G600" i="1"/>
  <c r="S203" i="1"/>
  <c r="T464" i="1"/>
  <c r="G118" i="1"/>
  <c r="G438" i="1"/>
  <c r="G571" i="1"/>
  <c r="T687" i="1"/>
  <c r="G174" i="1"/>
  <c r="G637" i="1"/>
  <c r="T434" i="1"/>
  <c r="G483" i="1"/>
  <c r="T552" i="1"/>
  <c r="T73" i="1"/>
  <c r="S652" i="1"/>
  <c r="T575" i="1"/>
  <c r="S334" i="1"/>
  <c r="T436" i="1"/>
  <c r="T378" i="1"/>
  <c r="S157" i="1"/>
  <c r="T343" i="1"/>
  <c r="G650" i="1"/>
  <c r="G236" i="1"/>
  <c r="T535" i="1"/>
  <c r="G613" i="1"/>
  <c r="S362" i="1"/>
  <c r="G82" i="1"/>
  <c r="T82" i="1" s="1"/>
  <c r="T46" i="1"/>
  <c r="G624" i="1"/>
  <c r="G698" i="1"/>
  <c r="S25" i="1"/>
  <c r="G349" i="1"/>
  <c r="S349" i="1" s="1"/>
  <c r="S332" i="1"/>
  <c r="S531" i="1"/>
  <c r="G110" i="1"/>
  <c r="G180" i="1"/>
  <c r="G340" i="1"/>
  <c r="S69" i="1"/>
  <c r="S263" i="1"/>
  <c r="G584" i="1"/>
  <c r="G335" i="1"/>
  <c r="T335" i="1" s="1"/>
  <c r="G472" i="1"/>
  <c r="T472" i="1" s="1"/>
  <c r="G550" i="1"/>
  <c r="G83" i="1"/>
  <c r="G399" i="1"/>
  <c r="G297" i="1"/>
  <c r="G165" i="1"/>
  <c r="T165" i="1" s="1"/>
  <c r="S666" i="1"/>
  <c r="S487" i="1"/>
  <c r="G333" i="1"/>
  <c r="S333" i="1" s="1"/>
  <c r="S418" i="1"/>
  <c r="G455" i="1"/>
  <c r="S118" i="1"/>
  <c r="T394" i="1"/>
  <c r="T250" i="1"/>
  <c r="G645" i="1"/>
  <c r="G609" i="1"/>
  <c r="G191" i="1"/>
  <c r="T574" i="1"/>
  <c r="T392" i="1"/>
  <c r="G33" i="1"/>
  <c r="T271" i="1"/>
  <c r="T688" i="1"/>
  <c r="S662" i="1"/>
  <c r="T377" i="1"/>
  <c r="T277" i="1"/>
  <c r="T93" i="1"/>
  <c r="T17" i="1"/>
  <c r="T561" i="1"/>
  <c r="G279" i="1"/>
  <c r="G595" i="1"/>
  <c r="G580" i="1"/>
  <c r="S13" i="1"/>
  <c r="S187" i="1"/>
  <c r="T209" i="1"/>
  <c r="T531" i="1"/>
  <c r="T555" i="1"/>
  <c r="G131" i="1"/>
  <c r="G495" i="1"/>
  <c r="G70" i="1"/>
  <c r="G14" i="1"/>
  <c r="G486" i="1"/>
  <c r="T256" i="1"/>
  <c r="T117" i="1"/>
  <c r="G215" i="1"/>
  <c r="S215" i="1" s="1"/>
  <c r="G376" i="1"/>
  <c r="S514" i="1"/>
  <c r="G664" i="1"/>
  <c r="G553" i="1"/>
  <c r="G100" i="1"/>
  <c r="G235" i="1"/>
  <c r="G437" i="1"/>
  <c r="G160" i="1"/>
  <c r="S148" i="1"/>
  <c r="G168" i="1"/>
  <c r="G529" i="1"/>
  <c r="T675" i="1"/>
  <c r="T678" i="1"/>
  <c r="G610" i="1"/>
  <c r="G62" i="1"/>
  <c r="S243" i="1"/>
  <c r="T79" i="1"/>
  <c r="T278" i="1"/>
  <c r="T646" i="1"/>
  <c r="G254" i="1"/>
  <c r="T13" i="1"/>
  <c r="S584" i="1"/>
  <c r="S574" i="1"/>
  <c r="S219" i="1"/>
  <c r="S646" i="1"/>
  <c r="S271" i="1"/>
  <c r="S688" i="1"/>
  <c r="T662" i="1"/>
  <c r="S377" i="1"/>
  <c r="S277" i="1"/>
  <c r="S93" i="1"/>
  <c r="S17" i="1"/>
  <c r="S209" i="1"/>
  <c r="T527" i="1"/>
  <c r="G680" i="1"/>
  <c r="G491" i="1"/>
  <c r="G407" i="1"/>
  <c r="G124" i="1"/>
  <c r="G120" i="1"/>
  <c r="T120" i="1" s="1"/>
  <c r="T72" i="1"/>
  <c r="S533" i="1"/>
  <c r="G355" i="1"/>
  <c r="S355" i="1" s="1"/>
  <c r="G511" i="1"/>
  <c r="T511" i="1" s="1"/>
  <c r="G696" i="1"/>
  <c r="G239" i="1"/>
  <c r="S340" i="1"/>
  <c r="G635" i="1"/>
  <c r="G134" i="1"/>
  <c r="S608" i="1"/>
  <c r="G42" i="1"/>
  <c r="G50" i="1"/>
  <c r="G424" i="1"/>
  <c r="G432" i="1"/>
  <c r="G231" i="1"/>
  <c r="G440" i="1"/>
  <c r="G576" i="1"/>
  <c r="S576" i="1" s="1"/>
  <c r="T125" i="1"/>
  <c r="T122" i="1"/>
  <c r="G181" i="1"/>
  <c r="G261" i="1"/>
  <c r="S351" i="1"/>
  <c r="T572" i="1"/>
  <c r="G448" i="1"/>
  <c r="S448" i="1" s="1"/>
  <c r="T118" i="1"/>
  <c r="G309" i="1"/>
  <c r="T689" i="1"/>
  <c r="T375" i="1"/>
  <c r="T593" i="1"/>
  <c r="S63" i="1"/>
  <c r="G77" i="1"/>
  <c r="S143" i="1"/>
  <c r="T486" i="1"/>
  <c r="T553" i="1"/>
  <c r="T291" i="1"/>
  <c r="S556" i="1"/>
  <c r="S254" i="1"/>
  <c r="T284" i="1"/>
  <c r="G78" i="1"/>
  <c r="T181" i="1"/>
  <c r="G206" i="1"/>
  <c r="G620" i="1"/>
  <c r="G130" i="1"/>
  <c r="T130" i="1" s="1"/>
  <c r="G22" i="1"/>
  <c r="T310" i="1"/>
  <c r="S44" i="1"/>
  <c r="G420" i="1"/>
  <c r="G642" i="1"/>
  <c r="G300" i="1"/>
  <c r="T289" i="1"/>
  <c r="G599" i="1"/>
  <c r="S124" i="1"/>
  <c r="G255" i="1"/>
  <c r="G573" i="1"/>
  <c r="T573" i="1" s="1"/>
  <c r="G684" i="1"/>
  <c r="G49" i="1"/>
  <c r="G94" i="1"/>
  <c r="G39" i="1"/>
  <c r="T39" i="1" s="1"/>
  <c r="S306" i="1"/>
  <c r="T292" i="1"/>
  <c r="G692" i="1"/>
  <c r="G10" i="1"/>
  <c r="T10" i="1" s="1"/>
  <c r="G569" i="1"/>
  <c r="G26" i="1"/>
  <c r="S405" i="1"/>
  <c r="T32" i="1"/>
  <c r="G492" i="1"/>
  <c r="G104" i="1"/>
  <c r="S527" i="1"/>
  <c r="G490" i="1"/>
  <c r="T645" i="1"/>
  <c r="S613" i="1"/>
  <c r="G23" i="1"/>
  <c r="T23" i="1" s="1"/>
  <c r="S250" i="1"/>
  <c r="G198" i="1"/>
  <c r="S486" i="1"/>
  <c r="S553" i="1"/>
  <c r="S291" i="1"/>
  <c r="T556" i="1"/>
  <c r="T254" i="1"/>
  <c r="G517" i="1"/>
  <c r="T517" i="1" s="1"/>
  <c r="G115" i="1"/>
  <c r="G252" i="1"/>
  <c r="T252" i="1" s="1"/>
  <c r="G276" i="1"/>
  <c r="G234" i="1"/>
  <c r="T234" i="1" s="1"/>
  <c r="S555" i="1"/>
  <c r="G123" i="1"/>
  <c r="T123" i="1" s="1"/>
  <c r="G48" i="1"/>
  <c r="S595" i="1"/>
  <c r="G502" i="1"/>
  <c r="T295" i="1"/>
  <c r="G20" i="1"/>
  <c r="G366" i="1"/>
  <c r="S380" i="1"/>
  <c r="S220" i="1"/>
  <c r="G386" i="1"/>
  <c r="G468" i="1"/>
  <c r="G320" i="1"/>
  <c r="G52" i="1"/>
  <c r="G116" i="1"/>
  <c r="T187" i="1"/>
  <c r="G299" i="1"/>
  <c r="G346" i="1"/>
  <c r="S137" i="1"/>
  <c r="G415" i="1"/>
  <c r="G388" i="1"/>
  <c r="S620" i="1"/>
  <c r="S515" i="1"/>
  <c r="S183" i="1"/>
  <c r="G105" i="1"/>
  <c r="G602" i="1"/>
  <c r="S597" i="1"/>
  <c r="S245" i="1"/>
  <c r="S607" i="1"/>
  <c r="S68" i="1"/>
  <c r="S31" i="1"/>
  <c r="S490" i="1"/>
  <c r="T388" i="1"/>
  <c r="G280" i="1"/>
  <c r="G683" i="1"/>
  <c r="T683" i="1" s="1"/>
  <c r="S611" i="1"/>
  <c r="G428" i="1"/>
  <c r="S428" i="1" s="1"/>
  <c r="G330" i="1"/>
  <c r="S9" i="1"/>
  <c r="T533" i="1"/>
  <c r="T618" i="1"/>
  <c r="G606" i="1"/>
  <c r="S589" i="1"/>
  <c r="G563" i="1"/>
  <c r="S679" i="1"/>
  <c r="G598" i="1"/>
  <c r="G523" i="1"/>
  <c r="G296" i="1"/>
  <c r="G15" i="1"/>
  <c r="T15" i="1" s="1"/>
  <c r="T239" i="1"/>
  <c r="G548" i="1"/>
  <c r="G463" i="1"/>
  <c r="S463" i="1" s="1"/>
  <c r="G81" i="1"/>
  <c r="S430" i="1"/>
  <c r="G636" i="1"/>
  <c r="G465" i="1"/>
  <c r="S656" i="1"/>
  <c r="S580" i="1"/>
  <c r="S270" i="1"/>
  <c r="G442" i="1"/>
  <c r="S138" i="1"/>
  <c r="G541" i="1"/>
  <c r="T473" i="1"/>
  <c r="T298" i="1"/>
  <c r="G241" i="1"/>
  <c r="S241" i="1" s="1"/>
  <c r="T690" i="1"/>
  <c r="G87" i="1"/>
  <c r="G570" i="1"/>
  <c r="S537" i="1"/>
  <c r="G542" i="1"/>
  <c r="G339" i="1"/>
  <c r="T245" i="1"/>
  <c r="S15" i="1"/>
  <c r="T607" i="1"/>
  <c r="T68" i="1"/>
  <c r="T31" i="1"/>
  <c r="T490" i="1"/>
  <c r="S178" i="1"/>
  <c r="G417" i="1"/>
  <c r="G199" i="1"/>
  <c r="S199" i="1" s="1"/>
  <c r="G71" i="1"/>
  <c r="G40" i="1"/>
  <c r="T40" i="1" s="1"/>
  <c r="G135" i="1"/>
  <c r="G474" i="1"/>
  <c r="S343" i="1"/>
  <c r="S130" i="1"/>
  <c r="G99" i="1"/>
  <c r="S99" i="1" s="1"/>
  <c r="G475" i="1"/>
  <c r="G112" i="1"/>
  <c r="G342" i="1"/>
  <c r="G283" i="1"/>
  <c r="G395" i="1"/>
  <c r="S348" i="1"/>
  <c r="G489" i="1"/>
  <c r="T424" i="1"/>
  <c r="G562" i="1"/>
  <c r="G286" i="1"/>
  <c r="G526" i="1"/>
  <c r="G360" i="1"/>
  <c r="T360" i="1" s="1"/>
  <c r="G477" i="1"/>
  <c r="G237" i="1"/>
  <c r="T393" i="1"/>
  <c r="T577" i="1"/>
  <c r="G693" i="1"/>
  <c r="T468" i="1"/>
  <c r="T467" i="1"/>
  <c r="S286" i="1"/>
  <c r="T608" i="1"/>
  <c r="S591" i="1"/>
  <c r="G431" i="1"/>
  <c r="G627" i="1"/>
  <c r="G121" i="1"/>
  <c r="S272" i="1"/>
  <c r="T319" i="1"/>
  <c r="T193" i="1"/>
  <c r="S561" i="1"/>
  <c r="T576" i="1"/>
  <c r="T448" i="1"/>
  <c r="S443" i="1"/>
  <c r="T241" i="1"/>
  <c r="T435" i="1"/>
  <c r="G265" i="1"/>
  <c r="S691" i="1"/>
  <c r="G509" i="1"/>
  <c r="S472" i="1"/>
  <c r="G18" i="1"/>
  <c r="T591" i="1"/>
  <c r="G354" i="1"/>
  <c r="S77" i="1"/>
  <c r="T333" i="1"/>
  <c r="S388" i="1"/>
  <c r="T362" i="1"/>
  <c r="G579" i="1"/>
  <c r="T579" i="1" s="1"/>
  <c r="G145" i="1"/>
  <c r="T145" i="1" s="1"/>
  <c r="G190" i="1"/>
  <c r="G413" i="1"/>
  <c r="S276" i="1"/>
  <c r="T379" i="1"/>
  <c r="S517" i="1"/>
  <c r="S39" i="1"/>
  <c r="T132" i="1"/>
  <c r="G192" i="1"/>
  <c r="S634" i="1"/>
  <c r="T428" i="1"/>
  <c r="S442" i="1"/>
  <c r="T287" i="1"/>
  <c r="G91" i="1"/>
  <c r="T91" i="1" s="1"/>
  <c r="G53" i="1"/>
  <c r="T53" i="1" s="1"/>
  <c r="S12" i="1"/>
  <c r="G364" i="1"/>
  <c r="G54" i="1"/>
  <c r="G167" i="1"/>
  <c r="S167" i="1" s="1"/>
  <c r="S618" i="1"/>
  <c r="G223" i="1"/>
  <c r="G98" i="1"/>
  <c r="G367" i="1"/>
  <c r="T273" i="1"/>
  <c r="S660" i="1"/>
  <c r="T505" i="1"/>
  <c r="G361" i="1"/>
  <c r="S560" i="1"/>
  <c r="G56" i="1"/>
  <c r="T442" i="1"/>
  <c r="S46" i="1"/>
  <c r="S23" i="1"/>
  <c r="G632" i="1"/>
  <c r="G177" i="1"/>
  <c r="T177" i="1" s="1"/>
  <c r="S319" i="1"/>
  <c r="T199" i="1"/>
  <c r="G488" i="1"/>
  <c r="G370" i="1"/>
  <c r="G97" i="1"/>
  <c r="G449" i="1"/>
  <c r="T449" i="1" s="1"/>
  <c r="S375" i="1"/>
  <c r="T385" i="1"/>
  <c r="G441" i="1"/>
  <c r="G543" i="1"/>
  <c r="G383" i="1"/>
  <c r="T196" i="1"/>
  <c r="S10" i="1"/>
  <c r="G95" i="1"/>
  <c r="G172" i="1"/>
  <c r="S172" i="1" s="1"/>
  <c r="G499" i="1"/>
  <c r="G566" i="1"/>
  <c r="S566" i="1" s="1"/>
  <c r="G651" i="1"/>
  <c r="G266" i="1"/>
  <c r="T276" i="1"/>
  <c r="G568" i="1"/>
  <c r="T568" i="1" s="1"/>
  <c r="G446" i="1"/>
  <c r="G423" i="1"/>
  <c r="G669" i="1"/>
  <c r="T669" i="1" s="1"/>
  <c r="T496" i="1"/>
  <c r="G19" i="1"/>
  <c r="G416" i="1"/>
  <c r="G173" i="1"/>
  <c r="G267" i="1"/>
  <c r="G604" i="1"/>
  <c r="G163" i="1"/>
  <c r="T163" i="1" s="1"/>
  <c r="S151" i="1"/>
  <c r="T172" i="1"/>
  <c r="T679" i="1"/>
  <c r="T189" i="1"/>
  <c r="G51" i="1"/>
  <c r="G312" i="1"/>
  <c r="G175" i="1"/>
  <c r="G639" i="1"/>
  <c r="G588" i="1"/>
  <c r="S692" i="1"/>
  <c r="S336" i="1"/>
  <c r="G222" i="1"/>
  <c r="G322" i="1"/>
  <c r="T322" i="1" s="1"/>
  <c r="T620" i="1"/>
  <c r="G658" i="1"/>
  <c r="G282" i="1"/>
  <c r="T684" i="1"/>
  <c r="T569" i="1"/>
  <c r="G641" i="1"/>
  <c r="T610" i="1"/>
  <c r="S302" i="1"/>
  <c r="S177" i="1"/>
  <c r="T341" i="1"/>
  <c r="S403" i="1"/>
  <c r="T77" i="1"/>
  <c r="G161" i="1"/>
  <c r="G253" i="1"/>
  <c r="G498" i="1"/>
  <c r="S127" i="1"/>
  <c r="T366" i="1"/>
  <c r="S579" i="1"/>
  <c r="G90" i="1"/>
  <c r="T692" i="1"/>
  <c r="G186" i="1"/>
  <c r="S492" i="1"/>
  <c r="S123" i="1"/>
  <c r="S360" i="1"/>
  <c r="T477" i="1"/>
  <c r="S268" i="1"/>
  <c r="G422" i="1"/>
  <c r="T422" i="1" s="1"/>
  <c r="T546" i="1"/>
  <c r="T655" i="1"/>
  <c r="S644" i="1"/>
  <c r="T543" i="1"/>
  <c r="T431" i="1"/>
  <c r="G567" i="1"/>
  <c r="S567" i="1" s="1"/>
  <c r="T355" i="1"/>
  <c r="S601" i="1"/>
  <c r="G581" i="1"/>
  <c r="T506" i="1"/>
  <c r="S431" i="1"/>
  <c r="G525" i="1"/>
  <c r="T636" i="1"/>
  <c r="S91" i="1"/>
  <c r="S299" i="1"/>
  <c r="G244" i="1"/>
  <c r="S300" i="1"/>
  <c r="G226" i="1"/>
  <c r="G479" i="1"/>
  <c r="S198" i="1"/>
  <c r="G200" i="1"/>
  <c r="G230" i="1"/>
  <c r="G661" i="1"/>
  <c r="S519" i="1"/>
  <c r="S546" i="1"/>
  <c r="S252" i="1"/>
  <c r="G216" i="1"/>
  <c r="T328" i="1"/>
  <c r="G156" i="1"/>
  <c r="S156" i="1" s="1"/>
  <c r="G323" i="1"/>
  <c r="S543" i="1"/>
  <c r="G478" i="1"/>
  <c r="G617" i="1"/>
  <c r="G391" i="1"/>
  <c r="G30" i="1"/>
  <c r="T566" i="1"/>
  <c r="S42" i="1"/>
  <c r="G67" i="1"/>
  <c r="T582" i="1"/>
  <c r="T264" i="1"/>
  <c r="G92" i="1"/>
  <c r="G626" i="1"/>
  <c r="T97" i="1"/>
  <c r="S352" i="1"/>
  <c r="S85" i="1"/>
  <c r="G547" i="1"/>
  <c r="G648" i="1"/>
  <c r="G84" i="1"/>
  <c r="G308" i="1"/>
  <c r="G213" i="1"/>
  <c r="G450" i="1"/>
  <c r="T70" i="1"/>
  <c r="T682" i="1"/>
  <c r="G462" i="1"/>
  <c r="T156" i="1"/>
  <c r="T398" i="1"/>
  <c r="S506" i="1"/>
  <c r="T615" i="1"/>
  <c r="S383" i="1"/>
  <c r="G471" i="1"/>
  <c r="T471" i="1" s="1"/>
  <c r="T240" i="1"/>
  <c r="T383" i="1"/>
  <c r="G470" i="1"/>
  <c r="T148" i="1"/>
  <c r="T601" i="1"/>
  <c r="G218" i="1"/>
  <c r="S440" i="1"/>
  <c r="S615" i="1"/>
  <c r="S131" i="1"/>
  <c r="G590" i="1"/>
  <c r="S82" i="1"/>
  <c r="T470" i="1"/>
  <c r="T297" i="1"/>
  <c r="G629" i="1"/>
  <c r="G372" i="1"/>
  <c r="S372" i="1" s="1"/>
  <c r="S95" i="1"/>
  <c r="T459" i="1"/>
  <c r="T135" i="1"/>
  <c r="T218" i="1"/>
  <c r="S682" i="1"/>
  <c r="G373" i="1"/>
  <c r="T131" i="1"/>
  <c r="G559" i="1"/>
  <c r="T42" i="1"/>
  <c r="T352" i="1"/>
  <c r="T321" i="1"/>
  <c r="G482" i="1"/>
  <c r="G290" i="1"/>
  <c r="G114" i="1"/>
  <c r="S572" i="1"/>
  <c r="S14" i="1"/>
  <c r="T356" i="1"/>
  <c r="T551" i="1"/>
  <c r="S655" i="1"/>
  <c r="G171" i="1"/>
  <c r="G439" i="1"/>
  <c r="G208" i="1"/>
  <c r="T208" i="1" s="1"/>
  <c r="G34" i="1"/>
  <c r="T650" i="1"/>
  <c r="S596" i="1"/>
  <c r="G670" i="1"/>
  <c r="T484" i="1"/>
  <c r="S206" i="1"/>
  <c r="G66" i="1"/>
  <c r="G207" i="1"/>
  <c r="G594" i="1"/>
  <c r="G369" i="1"/>
  <c r="G318" i="1"/>
  <c r="G107" i="1"/>
  <c r="T372" i="1"/>
  <c r="S128" i="1"/>
  <c r="G583" i="1"/>
  <c r="S495" i="1"/>
  <c r="S521" i="1"/>
  <c r="S650" i="1"/>
  <c r="S551" i="1"/>
  <c r="S141" i="1"/>
  <c r="T262" i="1"/>
  <c r="T598" i="1"/>
  <c r="T599" i="1"/>
  <c r="S469" i="1"/>
  <c r="S228" i="1"/>
  <c r="S312" i="1"/>
  <c r="T558" i="1"/>
  <c r="S636" i="1"/>
  <c r="G406" i="1"/>
  <c r="S406" i="1" s="1"/>
  <c r="G412" i="1"/>
  <c r="S412" i="1" s="1"/>
  <c r="G389" i="1"/>
  <c r="G621" i="1"/>
  <c r="G337" i="1"/>
  <c r="G616" i="1"/>
  <c r="G401" i="1"/>
  <c r="G258" i="1"/>
  <c r="T215" i="1"/>
  <c r="S266" i="1"/>
  <c r="T495" i="1"/>
  <c r="S166" i="1"/>
  <c r="S384" i="1"/>
  <c r="S438" i="1"/>
  <c r="T141" i="1"/>
  <c r="G623" i="1"/>
  <c r="T210" i="1"/>
  <c r="T438" i="1"/>
  <c r="G185" i="1"/>
  <c r="T185" i="1" s="1"/>
  <c r="S491" i="1"/>
  <c r="G162" i="1"/>
  <c r="S110" i="1"/>
  <c r="T406" i="1"/>
  <c r="S512" i="1"/>
  <c r="T520" i="1"/>
  <c r="S76" i="1"/>
  <c r="S180" i="1"/>
  <c r="T570" i="1"/>
  <c r="S328" i="1"/>
  <c r="S455" i="1"/>
  <c r="G476" i="1"/>
  <c r="S185" i="1"/>
  <c r="T124" i="1"/>
  <c r="S373" i="1"/>
  <c r="S158" i="1"/>
  <c r="G619" i="1"/>
  <c r="G184" i="1"/>
  <c r="G614" i="1"/>
  <c r="G251" i="1"/>
  <c r="G387" i="1"/>
  <c r="G232" i="1"/>
  <c r="G212" i="1"/>
  <c r="S280" i="1"/>
  <c r="G421" i="1"/>
  <c r="T440" i="1"/>
  <c r="T350" i="1"/>
  <c r="T595" i="1"/>
  <c r="T384" i="1"/>
  <c r="G331" i="1"/>
  <c r="S683" i="1"/>
  <c r="G419" i="1"/>
  <c r="G47" i="1"/>
  <c r="T206" i="1"/>
  <c r="T58" i="1"/>
  <c r="T381" i="1"/>
  <c r="G695" i="1"/>
  <c r="T301" i="1"/>
  <c r="T280" i="1"/>
  <c r="G142" i="1"/>
  <c r="T643" i="1"/>
  <c r="S449" i="1"/>
  <c r="G36" i="1"/>
  <c r="T312" i="1"/>
  <c r="S279" i="1"/>
  <c r="T487" i="1"/>
  <c r="S672" i="1"/>
  <c r="S462" i="1"/>
  <c r="S526" i="1"/>
  <c r="S678" i="1"/>
  <c r="T538" i="1"/>
  <c r="G149" i="1"/>
  <c r="G152" i="1"/>
  <c r="T589" i="1"/>
  <c r="G224" i="1"/>
  <c r="T224" i="1" s="1"/>
  <c r="S88" i="1"/>
  <c r="G64" i="1"/>
  <c r="T63" i="1"/>
  <c r="S511" i="1"/>
  <c r="G41" i="1"/>
  <c r="T41" i="1" s="1"/>
  <c r="S616" i="1"/>
  <c r="T439" i="1"/>
  <c r="G195" i="1"/>
  <c r="S133" i="1"/>
  <c r="G139" i="1"/>
  <c r="S320" i="1"/>
  <c r="S58" i="1"/>
  <c r="S520" i="1"/>
  <c r="T562" i="1"/>
  <c r="T164" i="1"/>
  <c r="G458" i="1"/>
  <c r="T515" i="1"/>
  <c r="S687" i="1"/>
  <c r="T222" i="1"/>
  <c r="S562" i="1"/>
  <c r="T691" i="1"/>
  <c r="S129" i="1"/>
  <c r="G565" i="1"/>
  <c r="G686" i="1"/>
  <c r="T158" i="1"/>
  <c r="G154" i="1"/>
  <c r="S289" i="1"/>
  <c r="S298" i="1"/>
  <c r="T696" i="1"/>
  <c r="T596" i="1"/>
  <c r="G109" i="1"/>
  <c r="T491" i="1"/>
  <c r="T463" i="1"/>
  <c r="G382" i="1"/>
  <c r="G202" i="1"/>
  <c r="G557" i="1"/>
  <c r="G313" i="1"/>
  <c r="G544" i="1"/>
  <c r="S290" i="1"/>
  <c r="S696" i="1"/>
  <c r="G409" i="1"/>
  <c r="G456" i="1"/>
  <c r="S664" i="1"/>
  <c r="G260" i="1"/>
  <c r="S454" i="1"/>
  <c r="S275" i="1"/>
  <c r="T320" i="1"/>
  <c r="T680" i="1"/>
  <c r="S164" i="1"/>
  <c r="S160" i="1"/>
  <c r="G534" i="1"/>
  <c r="G622" i="1"/>
  <c r="T133" i="1"/>
  <c r="S132" i="1"/>
  <c r="G673" i="1"/>
  <c r="G294" i="1"/>
  <c r="T37" i="1"/>
  <c r="G257" i="1"/>
  <c r="S301" i="1"/>
  <c r="T100" i="1"/>
  <c r="G153" i="1"/>
  <c r="G429" i="1"/>
  <c r="S459" i="1"/>
  <c r="S585" i="1"/>
  <c r="T373" i="1"/>
  <c r="G653" i="1"/>
  <c r="S470" i="1"/>
  <c r="T672" i="1"/>
  <c r="T299" i="1"/>
  <c r="G35" i="1"/>
  <c r="T35" i="1" s="1"/>
  <c r="G368" i="1"/>
  <c r="G150" i="1"/>
  <c r="S122" i="1"/>
  <c r="T324" i="1"/>
  <c r="T76" i="1"/>
  <c r="S100" i="1"/>
  <c r="S283" i="1"/>
  <c r="T128" i="1"/>
  <c r="G425" i="1"/>
  <c r="S313" i="1"/>
  <c r="S680" i="1"/>
  <c r="S35" i="1"/>
  <c r="T451" i="1"/>
  <c r="S663" i="1"/>
  <c r="S447" i="1"/>
  <c r="G304" i="1"/>
  <c r="T263" i="1"/>
  <c r="S262" i="1"/>
  <c r="T340" i="1"/>
  <c r="T92" i="1"/>
  <c r="S558" i="1"/>
  <c r="G545" i="1"/>
  <c r="G197" i="1"/>
  <c r="T33" i="1"/>
  <c r="T198" i="1"/>
  <c r="T526" i="1"/>
  <c r="S422" i="1"/>
  <c r="G633" i="1"/>
  <c r="G503" i="1"/>
  <c r="S471" i="1"/>
  <c r="G102" i="1"/>
  <c r="S477" i="1"/>
  <c r="G396" i="1"/>
  <c r="T396" i="1" s="1"/>
  <c r="G507" i="1"/>
  <c r="G603" i="1"/>
  <c r="G433" i="1"/>
  <c r="T625" i="1"/>
  <c r="S75" i="1"/>
  <c r="T508" i="1"/>
  <c r="T188" i="1"/>
  <c r="T61" i="1"/>
  <c r="S669" i="1"/>
  <c r="T414" i="1"/>
  <c r="S208" i="1"/>
  <c r="S318" i="1"/>
  <c r="T30" i="1"/>
  <c r="T447" i="1"/>
  <c r="G699" i="1"/>
  <c r="G106" i="1"/>
  <c r="T318" i="1"/>
  <c r="T609" i="1"/>
  <c r="T126" i="1"/>
  <c r="G631" i="1"/>
  <c r="S570" i="1"/>
  <c r="S573" i="1"/>
  <c r="G578" i="1"/>
  <c r="G305" i="1"/>
  <c r="S653" i="1"/>
  <c r="G111" i="1"/>
  <c r="T229" i="1"/>
  <c r="T539" i="1"/>
  <c r="T232" i="1"/>
  <c r="S232" i="1"/>
  <c r="T167" i="1"/>
  <c r="T348" i="1"/>
  <c r="G303" i="1"/>
  <c r="G57" i="1"/>
  <c r="S234" i="1"/>
  <c r="G259" i="1"/>
  <c r="T110" i="1"/>
  <c r="T99" i="1"/>
  <c r="G549" i="1"/>
  <c r="T653" i="1"/>
  <c r="G217" i="1"/>
  <c r="T152" i="1"/>
  <c r="S30" i="1"/>
  <c r="S278" i="1"/>
  <c r="T668" i="1"/>
  <c r="S29" i="1"/>
  <c r="S117" i="1"/>
  <c r="T180" i="1"/>
  <c r="G194" i="1"/>
  <c r="G80" i="1"/>
  <c r="T283" i="1"/>
  <c r="T462" i="1"/>
  <c r="S697" i="1"/>
  <c r="T544" i="1"/>
  <c r="S544" i="1"/>
  <c r="G170" i="1"/>
  <c r="G344" i="1"/>
  <c r="S40" i="1"/>
  <c r="G65" i="1"/>
  <c r="S145" i="1"/>
  <c r="T560" i="1"/>
  <c r="S224" i="1"/>
  <c r="G363" i="1"/>
  <c r="S439" i="1"/>
  <c r="S89" i="1"/>
  <c r="T26" i="1"/>
  <c r="S152" i="1"/>
  <c r="S314" i="1"/>
  <c r="S227" i="1"/>
  <c r="S609" i="1"/>
  <c r="G408" i="1"/>
  <c r="G453" i="1"/>
  <c r="G426" i="1"/>
  <c r="G59" i="1"/>
  <c r="T536" i="1"/>
  <c r="T412" i="1"/>
  <c r="T407" i="1"/>
  <c r="G182" i="1"/>
  <c r="S41" i="1"/>
  <c r="T129" i="1"/>
  <c r="T314" i="1"/>
  <c r="T227" i="1"/>
  <c r="G654" i="1"/>
  <c r="S420" i="1"/>
  <c r="G74" i="1"/>
  <c r="S513" i="1"/>
  <c r="G140" i="1"/>
  <c r="S496" i="1"/>
  <c r="S366" i="1"/>
  <c r="T43" i="1"/>
  <c r="T90" i="1"/>
  <c r="G410" i="1"/>
  <c r="G249" i="1"/>
  <c r="S165" i="1"/>
  <c r="S90" i="1"/>
  <c r="G317" i="1"/>
  <c r="G238" i="1"/>
  <c r="G397" i="1"/>
  <c r="G659" i="1"/>
  <c r="S92" i="1"/>
  <c r="G60" i="1"/>
  <c r="G452" i="1"/>
  <c r="T349" i="1"/>
  <c r="S464" i="1"/>
  <c r="G374" i="1"/>
  <c r="S322" i="1"/>
  <c r="G101" i="1"/>
  <c r="G311" i="1"/>
  <c r="T326" i="1"/>
  <c r="G445" i="1"/>
  <c r="S229" i="1"/>
  <c r="G176" i="1"/>
  <c r="G674" i="1"/>
  <c r="S120" i="1"/>
  <c r="G28" i="1"/>
  <c r="S538" i="1"/>
  <c r="G325" i="1"/>
  <c r="T325" i="1" s="1"/>
  <c r="S295" i="1"/>
  <c r="S628" i="1"/>
  <c r="G640" i="1"/>
  <c r="G45" i="1"/>
  <c r="S396" i="1"/>
  <c r="S218" i="1"/>
  <c r="S255" i="1"/>
  <c r="G248" i="1"/>
  <c r="S33" i="1"/>
  <c r="G353" i="1"/>
  <c r="T315" i="1"/>
  <c r="G497" i="1"/>
  <c r="S648" i="1"/>
  <c r="T634" i="1"/>
  <c r="G225" i="1"/>
  <c r="G371" i="1"/>
  <c r="G457" i="1"/>
  <c r="S457" i="1" s="1"/>
  <c r="T376" i="1"/>
  <c r="G205" i="1"/>
  <c r="G242" i="1"/>
  <c r="S694" i="1"/>
  <c r="S27" i="1"/>
  <c r="V679" i="1"/>
  <c r="V535" i="1"/>
  <c r="V225" i="1"/>
  <c r="V273" i="1"/>
  <c r="V544" i="1"/>
  <c r="V228" i="1"/>
  <c r="V511" i="1"/>
  <c r="U693" i="1"/>
  <c r="U570" i="1"/>
  <c r="V388" i="1"/>
  <c r="V41" i="1"/>
  <c r="V583" i="1"/>
  <c r="V263" i="1"/>
  <c r="U239" i="1"/>
  <c r="U35" i="1"/>
  <c r="V666" i="1"/>
  <c r="U624" i="1"/>
  <c r="V251" i="1"/>
  <c r="U443" i="1"/>
  <c r="U41" i="1"/>
  <c r="V315" i="1"/>
  <c r="V185" i="1"/>
  <c r="V629" i="1"/>
  <c r="V584" i="1"/>
  <c r="U263" i="1"/>
  <c r="V691" i="1"/>
  <c r="U667" i="1"/>
  <c r="V548" i="1"/>
  <c r="V491" i="1"/>
  <c r="V655" i="1"/>
  <c r="V325" i="1"/>
  <c r="U676" i="1"/>
  <c r="U188" i="1"/>
  <c r="U691" i="1"/>
  <c r="U352" i="1"/>
  <c r="U460" i="1"/>
  <c r="U251" i="1"/>
  <c r="U696" i="1"/>
  <c r="U548" i="1"/>
  <c r="V646" i="1"/>
  <c r="U325" i="1"/>
  <c r="U644" i="1"/>
  <c r="V239" i="1"/>
  <c r="V443" i="1"/>
  <c r="U491" i="1"/>
  <c r="U315" i="1"/>
  <c r="V194" i="1"/>
  <c r="U194" i="1"/>
  <c r="V382" i="1"/>
  <c r="V115" i="1"/>
  <c r="V17" i="1"/>
  <c r="V139" i="1"/>
  <c r="U185" i="1"/>
  <c r="V695" i="1"/>
  <c r="U47" i="1"/>
  <c r="U245" i="1"/>
  <c r="V693" i="1"/>
  <c r="V35" i="1"/>
  <c r="V196" i="1"/>
  <c r="V172" i="1"/>
  <c r="U497" i="1"/>
  <c r="V85" i="1"/>
  <c r="U666" i="1"/>
  <c r="V667" i="1"/>
  <c r="V195" i="1"/>
  <c r="V47" i="1"/>
  <c r="U195" i="1"/>
  <c r="U401" i="1"/>
  <c r="V352" i="1"/>
  <c r="U17" i="1"/>
  <c r="U695" i="1"/>
  <c r="V210" i="1"/>
  <c r="V570" i="1"/>
  <c r="U26" i="1"/>
  <c r="V611" i="1"/>
  <c r="U196" i="1"/>
  <c r="U85" i="1"/>
  <c r="V624" i="1"/>
  <c r="V497" i="1"/>
  <c r="U511" i="1"/>
  <c r="V676" i="1"/>
  <c r="U388" i="1"/>
  <c r="V102" i="1"/>
  <c r="V134" i="1"/>
  <c r="V245" i="1"/>
  <c r="U139" i="1"/>
  <c r="U611" i="1"/>
  <c r="U102" i="1"/>
  <c r="U115" i="1"/>
  <c r="U131" i="1"/>
  <c r="U646" i="1"/>
  <c r="U584" i="1"/>
  <c r="V696" i="1"/>
  <c r="U134" i="1"/>
  <c r="U629" i="1"/>
  <c r="U583" i="1"/>
  <c r="V644" i="1"/>
  <c r="V188" i="1"/>
  <c r="V131" i="1"/>
  <c r="U382" i="1"/>
  <c r="V401" i="1"/>
  <c r="U210" i="1"/>
  <c r="V26" i="1"/>
  <c r="U655" i="1"/>
  <c r="U172" i="1"/>
  <c r="V460" i="1"/>
  <c r="U433" i="1"/>
  <c r="U688" i="1"/>
  <c r="V620" i="1"/>
  <c r="V10" i="1"/>
  <c r="V49" i="1"/>
  <c r="U80" i="1"/>
  <c r="U237" i="1"/>
  <c r="V277" i="1"/>
  <c r="V510" i="1"/>
  <c r="V433" i="1"/>
  <c r="V282" i="1"/>
  <c r="V144" i="1"/>
  <c r="V445" i="1"/>
  <c r="U345" i="1"/>
  <c r="U395" i="1"/>
  <c r="U492" i="1"/>
  <c r="U160" i="1"/>
  <c r="U65" i="1"/>
  <c r="U494" i="1"/>
  <c r="V469" i="1"/>
  <c r="V82" i="1"/>
  <c r="V272" i="1"/>
  <c r="U369" i="1"/>
  <c r="V262" i="1"/>
  <c r="V324" i="1"/>
  <c r="U619" i="1"/>
  <c r="V621" i="1"/>
  <c r="U272" i="1"/>
  <c r="V395" i="1"/>
  <c r="V631" i="1"/>
  <c r="V87" i="1"/>
  <c r="U285" i="1"/>
  <c r="V65" i="1"/>
  <c r="V157" i="1"/>
  <c r="V505" i="1"/>
  <c r="V285" i="1"/>
  <c r="U279" i="1"/>
  <c r="V68" i="1"/>
  <c r="U144" i="1"/>
  <c r="U510" i="1"/>
  <c r="V670" i="1"/>
  <c r="V665" i="1"/>
  <c r="V688" i="1"/>
  <c r="V540" i="1"/>
  <c r="U620" i="1"/>
  <c r="V581" i="1"/>
  <c r="U670" i="1"/>
  <c r="U505" i="1"/>
  <c r="U665" i="1"/>
  <c r="V237" i="1"/>
  <c r="U252" i="1"/>
  <c r="U277" i="1"/>
  <c r="V344" i="1"/>
  <c r="U631" i="1"/>
  <c r="U282" i="1"/>
  <c r="U18" i="1"/>
  <c r="U130" i="1"/>
  <c r="U393" i="1"/>
  <c r="V397" i="1"/>
  <c r="V633" i="1"/>
  <c r="V279" i="1"/>
  <c r="U429" i="1"/>
  <c r="U469" i="1"/>
  <c r="U82" i="1"/>
  <c r="U87" i="1"/>
  <c r="U540" i="1"/>
  <c r="U622" i="1"/>
  <c r="U633" i="1"/>
  <c r="V369" i="1"/>
  <c r="V160" i="1"/>
  <c r="U581" i="1"/>
  <c r="U262" i="1"/>
  <c r="U10" i="1"/>
  <c r="V494" i="1"/>
  <c r="U601" i="1"/>
  <c r="U621" i="1"/>
  <c r="U49" i="1"/>
  <c r="V492" i="1"/>
  <c r="V619" i="1"/>
  <c r="V622" i="1"/>
  <c r="U427" i="1"/>
  <c r="U199" i="1"/>
  <c r="U324" i="1"/>
  <c r="V64" i="1"/>
  <c r="U397" i="1"/>
  <c r="U344" i="1"/>
  <c r="U64" i="1"/>
  <c r="V199" i="1"/>
  <c r="V429" i="1"/>
  <c r="V345" i="1"/>
  <c r="V80" i="1"/>
  <c r="V601" i="1"/>
  <c r="V130" i="1"/>
  <c r="V427" i="1"/>
  <c r="U68" i="1"/>
  <c r="V252" i="1"/>
  <c r="V393" i="1"/>
  <c r="U445" i="1"/>
  <c r="V18" i="1"/>
  <c r="U157" i="1"/>
  <c r="V326" i="1"/>
  <c r="V684" i="1"/>
  <c r="U128" i="1"/>
  <c r="U506" i="1"/>
  <c r="U79" i="1"/>
  <c r="V660" i="1"/>
  <c r="U374" i="1"/>
  <c r="U197" i="1"/>
  <c r="U350" i="1"/>
  <c r="U683" i="1"/>
  <c r="V350" i="1"/>
  <c r="V525" i="1"/>
  <c r="U462" i="1"/>
  <c r="V38" i="1"/>
  <c r="V243" i="1"/>
  <c r="V128" i="1"/>
  <c r="V110" i="1"/>
  <c r="U534" i="1"/>
  <c r="V105" i="1"/>
  <c r="U326" i="1"/>
  <c r="V683" i="1"/>
  <c r="V184" i="1"/>
  <c r="U632" i="1"/>
  <c r="U660" i="1"/>
  <c r="V657" i="1"/>
  <c r="U525" i="1"/>
  <c r="V592" i="1"/>
  <c r="U684" i="1"/>
  <c r="V506" i="1"/>
  <c r="U515" i="1"/>
  <c r="U368" i="1"/>
  <c r="U146" i="1"/>
  <c r="U270" i="1"/>
  <c r="U100" i="1"/>
  <c r="U166" i="1"/>
  <c r="V410" i="1"/>
  <c r="U475" i="1"/>
  <c r="V561" i="1"/>
  <c r="V146" i="1"/>
  <c r="U34" i="1"/>
  <c r="U415" i="1"/>
  <c r="U554" i="1"/>
  <c r="V174" i="1"/>
  <c r="V515" i="1"/>
  <c r="V309" i="1"/>
  <c r="U410" i="1"/>
  <c r="V14" i="1"/>
  <c r="V462" i="1"/>
  <c r="V183" i="1"/>
  <c r="U260" i="1"/>
  <c r="U309" i="1"/>
  <c r="U105" i="1"/>
  <c r="V415" i="1"/>
  <c r="V613" i="1"/>
  <c r="U174" i="1"/>
  <c r="V92" i="1"/>
  <c r="V232" i="1"/>
  <c r="V565" i="1"/>
  <c r="U592" i="1"/>
  <c r="U257" i="1"/>
  <c r="V79" i="1"/>
  <c r="U230" i="1"/>
  <c r="V600" i="1"/>
  <c r="V534" i="1"/>
  <c r="V374" i="1"/>
  <c r="U549" i="1"/>
  <c r="V166" i="1"/>
  <c r="U565" i="1"/>
  <c r="U38" i="1"/>
  <c r="U561" i="1"/>
  <c r="U598" i="1"/>
  <c r="V549" i="1"/>
  <c r="V270" i="1"/>
  <c r="U110" i="1"/>
  <c r="V34" i="1"/>
  <c r="U232" i="1"/>
  <c r="U685" i="1"/>
  <c r="U294" i="1"/>
  <c r="U183" i="1"/>
  <c r="U92" i="1"/>
  <c r="V554" i="1"/>
  <c r="V230" i="1"/>
  <c r="V100" i="1"/>
  <c r="U571" i="1"/>
  <c r="U184" i="1"/>
  <c r="V475" i="1"/>
  <c r="V197" i="1"/>
  <c r="U613" i="1"/>
  <c r="V257" i="1"/>
  <c r="V260" i="1"/>
  <c r="U14" i="1"/>
  <c r="U657" i="1"/>
  <c r="V598" i="1"/>
  <c r="U243" i="1"/>
  <c r="V685" i="1"/>
  <c r="V368" i="1"/>
  <c r="V632" i="1"/>
  <c r="V294" i="1"/>
  <c r="V571" i="1"/>
  <c r="U600" i="1"/>
  <c r="V89" i="1"/>
  <c r="V11" i="1"/>
  <c r="U449" i="1"/>
  <c r="V468" i="1"/>
  <c r="V247" i="1"/>
  <c r="V255" i="1"/>
  <c r="V153" i="1"/>
  <c r="U454" i="1"/>
  <c r="U594" i="1"/>
  <c r="V626" i="1"/>
  <c r="V659" i="1"/>
  <c r="U253" i="1"/>
  <c r="U284" i="1"/>
  <c r="U163" i="1"/>
  <c r="U142" i="1"/>
  <c r="V147" i="1"/>
  <c r="U255" i="1"/>
  <c r="V500" i="1"/>
  <c r="U560" i="1"/>
  <c r="U153" i="1"/>
  <c r="V142" i="1"/>
  <c r="V61" i="1"/>
  <c r="U268" i="1"/>
  <c r="V652" i="1"/>
  <c r="U182" i="1"/>
  <c r="V182" i="1"/>
  <c r="U669" i="1"/>
  <c r="V392" i="1"/>
  <c r="U527" i="1"/>
  <c r="U659" i="1"/>
  <c r="V365" i="1"/>
  <c r="U275" i="1"/>
  <c r="V381" i="1"/>
  <c r="V204" i="1"/>
  <c r="U365" i="1"/>
  <c r="V297" i="1"/>
  <c r="U11" i="1"/>
  <c r="U297" i="1"/>
  <c r="V275" i="1"/>
  <c r="V454" i="1"/>
  <c r="V253" i="1"/>
  <c r="V594" i="1"/>
  <c r="U177" i="1"/>
  <c r="V589" i="1"/>
  <c r="V361" i="1"/>
  <c r="V290" i="1"/>
  <c r="V235" i="1"/>
  <c r="V13" i="1"/>
  <c r="U147" i="1"/>
  <c r="U500" i="1"/>
  <c r="U89" i="1"/>
  <c r="V125" i="1"/>
  <c r="V446" i="1"/>
  <c r="V163" i="1"/>
  <c r="U61" i="1"/>
  <c r="U125" i="1"/>
  <c r="V449" i="1"/>
  <c r="V514" i="1"/>
  <c r="U333" i="1"/>
  <c r="U446" i="1"/>
  <c r="V51" i="1"/>
  <c r="U31" i="1"/>
  <c r="U468" i="1"/>
  <c r="V268" i="1"/>
  <c r="U626" i="1"/>
  <c r="U51" i="1"/>
  <c r="U392" i="1"/>
  <c r="V333" i="1"/>
  <c r="V669" i="1"/>
  <c r="V254" i="1"/>
  <c r="U254" i="1"/>
  <c r="U589" i="1"/>
  <c r="U290" i="1"/>
  <c r="U444" i="1"/>
  <c r="V662" i="1"/>
  <c r="V31" i="1"/>
  <c r="V284" i="1"/>
  <c r="U381" i="1"/>
  <c r="U247" i="1"/>
  <c r="U662" i="1"/>
  <c r="U652" i="1"/>
  <c r="U13" i="1"/>
  <c r="V444" i="1"/>
  <c r="U235" i="1"/>
  <c r="U514" i="1"/>
  <c r="V507" i="1"/>
  <c r="U568" i="1"/>
  <c r="V568" i="1"/>
  <c r="U507" i="1"/>
  <c r="V527" i="1"/>
  <c r="U204" i="1"/>
  <c r="U19" i="1"/>
  <c r="U361" i="1"/>
  <c r="V560" i="1"/>
  <c r="V177" i="1"/>
  <c r="U692" i="1"/>
  <c r="V19" i="1"/>
  <c r="V692" i="1"/>
  <c r="V78" i="1"/>
  <c r="U78" i="1"/>
  <c r="U656" i="1"/>
  <c r="U400" i="1"/>
  <c r="U135" i="1"/>
  <c r="V337" i="1"/>
  <c r="V58" i="1"/>
  <c r="V88" i="1"/>
  <c r="U30" i="1"/>
  <c r="V588" i="1"/>
  <c r="V168" i="1"/>
  <c r="V229" i="1"/>
  <c r="U672" i="1"/>
  <c r="U156" i="1"/>
  <c r="U563" i="1"/>
  <c r="V30" i="1"/>
  <c r="U366" i="1"/>
  <c r="U229" i="1"/>
  <c r="U116" i="1"/>
  <c r="U176" i="1"/>
  <c r="V672" i="1"/>
  <c r="V436" i="1"/>
  <c r="U22" i="1"/>
  <c r="U337" i="1"/>
  <c r="V635" i="1"/>
  <c r="V9" i="1"/>
  <c r="U60" i="1"/>
  <c r="U202" i="1"/>
  <c r="V116" i="1"/>
  <c r="V338" i="1"/>
  <c r="V304" i="1"/>
  <c r="U190" i="1"/>
  <c r="V15" i="1"/>
  <c r="U436" i="1"/>
  <c r="U304" i="1"/>
  <c r="V60" i="1"/>
  <c r="V668" i="1"/>
  <c r="U312" i="1"/>
  <c r="U689" i="1"/>
  <c r="V312" i="1"/>
  <c r="U158" i="1"/>
  <c r="U588" i="1"/>
  <c r="V190" i="1"/>
  <c r="V400" i="1"/>
  <c r="U668" i="1"/>
  <c r="U15" i="1"/>
  <c r="V348" i="1"/>
  <c r="U58" i="1"/>
  <c r="V33" i="1"/>
  <c r="V135" i="1"/>
  <c r="V563" i="1"/>
  <c r="V202" i="1"/>
  <c r="U517" i="1"/>
  <c r="V467" i="1"/>
  <c r="V398" i="1"/>
  <c r="V156" i="1"/>
  <c r="U240" i="1"/>
  <c r="V625" i="1"/>
  <c r="V176" i="1"/>
  <c r="U33" i="1"/>
  <c r="U168" i="1"/>
  <c r="V158" i="1"/>
  <c r="U635" i="1"/>
  <c r="V558" i="1"/>
  <c r="V517" i="1"/>
  <c r="V22" i="1"/>
  <c r="U625" i="1"/>
  <c r="U42" i="1"/>
  <c r="V689" i="1"/>
  <c r="U9" i="1"/>
  <c r="V366" i="1"/>
  <c r="U348" i="1"/>
  <c r="V603" i="1"/>
  <c r="V351" i="1"/>
  <c r="U338" i="1"/>
  <c r="U351" i="1"/>
  <c r="U603" i="1"/>
  <c r="V42" i="1"/>
  <c r="V240" i="1"/>
  <c r="U558" i="1"/>
  <c r="V656" i="1"/>
  <c r="U88" i="1"/>
  <c r="U398" i="1"/>
  <c r="U467" i="1"/>
  <c r="U28" i="1"/>
  <c r="V138" i="1"/>
  <c r="U136" i="1"/>
  <c r="U138" i="1"/>
  <c r="U586" i="1"/>
  <c r="U72" i="1"/>
  <c r="U148" i="1"/>
  <c r="V126" i="1"/>
  <c r="V586" i="1"/>
  <c r="V148" i="1"/>
  <c r="V639" i="1"/>
  <c r="V72" i="1"/>
  <c r="U126" i="1"/>
  <c r="U639" i="1"/>
  <c r="U634" i="1"/>
  <c r="V634" i="1"/>
  <c r="V28" i="1"/>
  <c r="V136" i="1"/>
  <c r="V364" i="1"/>
  <c r="U221" i="1"/>
  <c r="V221" i="1"/>
  <c r="V152" i="1"/>
  <c r="V407" i="1"/>
  <c r="U132" i="1"/>
  <c r="V120" i="1"/>
  <c r="V91" i="1"/>
  <c r="U97" i="1"/>
  <c r="V647" i="1"/>
  <c r="U24" i="1"/>
  <c r="U424" i="1"/>
  <c r="V545" i="1"/>
  <c r="V597" i="1"/>
  <c r="U327" i="1"/>
  <c r="V664" i="1"/>
  <c r="V336" i="1"/>
  <c r="V487" i="1"/>
  <c r="U545" i="1"/>
  <c r="U354" i="1"/>
  <c r="V604" i="1"/>
  <c r="V378" i="1"/>
  <c r="U145" i="1"/>
  <c r="U407" i="1"/>
  <c r="V46" i="1"/>
  <c r="U129" i="1"/>
  <c r="V417" i="1"/>
  <c r="V577" i="1"/>
  <c r="U167" i="1"/>
  <c r="V145" i="1"/>
  <c r="U364" i="1"/>
  <c r="V447" i="1"/>
  <c r="U577" i="1"/>
  <c r="U66" i="1"/>
  <c r="V552" i="1"/>
  <c r="U538" i="1"/>
  <c r="U552" i="1"/>
  <c r="U384" i="1"/>
  <c r="U664" i="1"/>
  <c r="V637" i="1"/>
  <c r="V486" i="1"/>
  <c r="V538" i="1"/>
  <c r="U576" i="1"/>
  <c r="U465" i="1"/>
  <c r="V354" i="1"/>
  <c r="U606" i="1"/>
  <c r="U597" i="1"/>
  <c r="U342" i="1"/>
  <c r="U417" i="1"/>
  <c r="V132" i="1"/>
  <c r="V129" i="1"/>
  <c r="V167" i="1"/>
  <c r="V482" i="1"/>
  <c r="V327" i="1"/>
  <c r="U378" i="1"/>
  <c r="V478" i="1"/>
  <c r="V465" i="1"/>
  <c r="V63" i="1"/>
  <c r="V342" i="1"/>
  <c r="U46" i="1"/>
  <c r="V24" i="1"/>
  <c r="U155" i="1"/>
  <c r="U442" i="1"/>
  <c r="U647" i="1"/>
  <c r="U140" i="1"/>
  <c r="U593" i="1"/>
  <c r="U91" i="1"/>
  <c r="V155" i="1"/>
  <c r="V593" i="1"/>
  <c r="U486" i="1"/>
  <c r="U63" i="1"/>
  <c r="U336" i="1"/>
  <c r="V384" i="1"/>
  <c r="V576" i="1"/>
  <c r="U447" i="1"/>
  <c r="U566" i="1"/>
  <c r="V442" i="1"/>
  <c r="U604" i="1"/>
  <c r="V43" i="1"/>
  <c r="U209" i="1"/>
  <c r="V97" i="1"/>
  <c r="V209" i="1"/>
  <c r="U487" i="1"/>
  <c r="V595" i="1"/>
  <c r="U595" i="1"/>
  <c r="V553" i="1"/>
  <c r="U478" i="1"/>
  <c r="U152" i="1"/>
  <c r="V140" i="1"/>
  <c r="U637" i="1"/>
  <c r="U43" i="1"/>
  <c r="U120" i="1"/>
  <c r="U482" i="1"/>
  <c r="V566" i="1"/>
  <c r="V414" i="1"/>
  <c r="V66" i="1"/>
  <c r="U553" i="1"/>
  <c r="U414" i="1"/>
  <c r="V424" i="1"/>
  <c r="V606" i="1"/>
  <c r="U165" i="1"/>
  <c r="U287" i="1"/>
  <c r="U411" i="1"/>
  <c r="V287" i="1"/>
  <c r="U217" i="1"/>
  <c r="U122" i="1"/>
  <c r="V122" i="1"/>
  <c r="V435" i="1"/>
  <c r="U435" i="1"/>
  <c r="V411" i="1"/>
  <c r="V580" i="1"/>
  <c r="V217" i="1"/>
  <c r="U580" i="1"/>
  <c r="U573" i="1"/>
  <c r="V94" i="1"/>
  <c r="U616" i="1"/>
  <c r="U29" i="1"/>
  <c r="V48" i="1"/>
  <c r="V214" i="1"/>
  <c r="V556" i="1"/>
  <c r="U94" i="1"/>
  <c r="V216" i="1"/>
  <c r="U699" i="1"/>
  <c r="U391" i="1"/>
  <c r="V638" i="1"/>
  <c r="V340" i="1"/>
  <c r="V84" i="1"/>
  <c r="U349" i="1"/>
  <c r="V585" i="1"/>
  <c r="U37" i="1"/>
  <c r="V118" i="1"/>
  <c r="V29" i="1"/>
  <c r="U422" i="1"/>
  <c r="U233" i="1"/>
  <c r="U214" i="1"/>
  <c r="V220" i="1"/>
  <c r="V44" i="1"/>
  <c r="V508" i="1"/>
  <c r="U218" i="1"/>
  <c r="U118" i="1"/>
  <c r="U585" i="1"/>
  <c r="U256" i="1"/>
  <c r="U219" i="1"/>
  <c r="U84" i="1"/>
  <c r="U216" i="1"/>
  <c r="V524" i="1"/>
  <c r="U642" i="1"/>
  <c r="V218" i="1"/>
  <c r="V658" i="1"/>
  <c r="V303" i="1"/>
  <c r="U682" i="1"/>
  <c r="V422" i="1"/>
  <c r="U508" i="1"/>
  <c r="V302" i="1"/>
  <c r="U302" i="1"/>
  <c r="U171" i="1"/>
  <c r="V440" i="1"/>
  <c r="V616" i="1"/>
  <c r="U314" i="1"/>
  <c r="V623" i="1"/>
  <c r="V248" i="1"/>
  <c r="U48" i="1"/>
  <c r="V699" i="1"/>
  <c r="U21" i="1"/>
  <c r="V193" i="1"/>
  <c r="U440" i="1"/>
  <c r="V233" i="1"/>
  <c r="V391" i="1"/>
  <c r="V536" i="1"/>
  <c r="V573" i="1"/>
  <c r="U638" i="1"/>
  <c r="U373" i="1"/>
  <c r="V219" i="1"/>
  <c r="V349" i="1"/>
  <c r="V373" i="1"/>
  <c r="U303" i="1"/>
  <c r="V242" i="1"/>
  <c r="V642" i="1"/>
  <c r="U658" i="1"/>
  <c r="U340" i="1"/>
  <c r="U193" i="1"/>
  <c r="V165" i="1"/>
  <c r="V551" i="1"/>
  <c r="U623" i="1"/>
  <c r="V314" i="1"/>
  <c r="U556" i="1"/>
  <c r="V399" i="1"/>
  <c r="U242" i="1"/>
  <c r="V171" i="1"/>
  <c r="V37" i="1"/>
  <c r="U551" i="1"/>
  <c r="V682" i="1"/>
  <c r="U44" i="1"/>
  <c r="V21" i="1"/>
  <c r="U536" i="1"/>
  <c r="U248" i="1"/>
  <c r="U524" i="1"/>
  <c r="V256" i="1"/>
  <c r="U399" i="1"/>
  <c r="U220" i="1"/>
  <c r="U200" i="1"/>
  <c r="V320" i="1"/>
  <c r="V673" i="1"/>
  <c r="V231" i="1"/>
  <c r="V121" i="1"/>
  <c r="V95" i="1"/>
  <c r="V212" i="1"/>
  <c r="U121" i="1"/>
  <c r="V249" i="1"/>
  <c r="V542" i="1"/>
  <c r="V649" i="1"/>
  <c r="U484" i="1"/>
  <c r="U640" i="1"/>
  <c r="V539" i="1"/>
  <c r="U343" i="1"/>
  <c r="V438" i="1"/>
  <c r="U472" i="1"/>
  <c r="U299" i="1"/>
  <c r="V12" i="1"/>
  <c r="V200" i="1"/>
  <c r="U651" i="1"/>
  <c r="U504" i="1"/>
  <c r="U569" i="1"/>
  <c r="V504" i="1"/>
  <c r="U678" i="1"/>
  <c r="U425" i="1"/>
  <c r="U673" i="1"/>
  <c r="V313" i="1"/>
  <c r="U372" i="1"/>
  <c r="U555" i="1"/>
  <c r="U231" i="1"/>
  <c r="V408" i="1"/>
  <c r="U367" i="1"/>
  <c r="V569" i="1"/>
  <c r="V53" i="1"/>
  <c r="V343" i="1"/>
  <c r="U403" i="1"/>
  <c r="V437" i="1"/>
  <c r="V403" i="1"/>
  <c r="V499" i="1"/>
  <c r="U151" i="1"/>
  <c r="U539" i="1"/>
  <c r="V680" i="1"/>
  <c r="V74" i="1"/>
  <c r="U117" i="1"/>
  <c r="V543" i="1"/>
  <c r="U543" i="1"/>
  <c r="U95" i="1"/>
  <c r="V238" i="1"/>
  <c r="U402" i="1"/>
  <c r="V299" i="1"/>
  <c r="V117" i="1"/>
  <c r="V372" i="1"/>
  <c r="U463" i="1"/>
  <c r="U499" i="1"/>
  <c r="V425" i="1"/>
  <c r="U206" i="1"/>
  <c r="U104" i="1"/>
  <c r="U574" i="1"/>
  <c r="V484" i="1"/>
  <c r="U649" i="1"/>
  <c r="V678" i="1"/>
  <c r="U408" i="1"/>
  <c r="U313" i="1"/>
  <c r="U212" i="1"/>
  <c r="U53" i="1"/>
  <c r="V77" i="1"/>
  <c r="U542" i="1"/>
  <c r="V431" i="1"/>
  <c r="U437" i="1"/>
  <c r="V574" i="1"/>
  <c r="U526" i="1"/>
  <c r="U12" i="1"/>
  <c r="V526" i="1"/>
  <c r="U238" i="1"/>
  <c r="V651" i="1"/>
  <c r="U73" i="1"/>
  <c r="V206" i="1"/>
  <c r="U680" i="1"/>
  <c r="V73" i="1"/>
  <c r="U274" i="1"/>
  <c r="V640" i="1"/>
  <c r="V472" i="1"/>
  <c r="U459" i="1"/>
  <c r="V555" i="1"/>
  <c r="U438" i="1"/>
  <c r="U320" i="1"/>
  <c r="U227" i="1"/>
  <c r="V104" i="1"/>
  <c r="V151" i="1"/>
  <c r="V274" i="1"/>
  <c r="V367" i="1"/>
  <c r="U77" i="1"/>
  <c r="U249" i="1"/>
  <c r="V463" i="1"/>
  <c r="U431" i="1"/>
  <c r="V402" i="1"/>
  <c r="V459" i="1"/>
  <c r="U74" i="1"/>
  <c r="V227" i="1"/>
  <c r="V521" i="1"/>
  <c r="V328" i="1"/>
  <c r="U522" i="1"/>
  <c r="V108" i="1"/>
  <c r="V143" i="1"/>
  <c r="U52" i="1"/>
  <c r="U356" i="1"/>
  <c r="U186" i="1"/>
  <c r="U109" i="1"/>
  <c r="U489" i="1"/>
  <c r="V503" i="1"/>
  <c r="V522" i="1"/>
  <c r="U27" i="1"/>
  <c r="V387" i="1"/>
  <c r="U502" i="1"/>
  <c r="U228" i="1"/>
  <c r="U346" i="1"/>
  <c r="V266" i="1"/>
  <c r="V246" i="1"/>
  <c r="V578" i="1"/>
  <c r="V380" i="1"/>
  <c r="V57" i="1"/>
  <c r="V154" i="1"/>
  <c r="U108" i="1"/>
  <c r="V347" i="1"/>
  <c r="U389" i="1"/>
  <c r="V607" i="1"/>
  <c r="V52" i="1"/>
  <c r="U81" i="1"/>
  <c r="U575" i="1"/>
  <c r="V547" i="1"/>
  <c r="V502" i="1"/>
  <c r="V464" i="1"/>
  <c r="V530" i="1"/>
  <c r="V470" i="1"/>
  <c r="V207" i="1"/>
  <c r="V423" i="1"/>
  <c r="U423" i="1"/>
  <c r="U241" i="1"/>
  <c r="U547" i="1"/>
  <c r="V406" i="1"/>
  <c r="U476" i="1"/>
  <c r="U191" i="1"/>
  <c r="V546" i="1"/>
  <c r="U481" i="1"/>
  <c r="V27" i="1"/>
  <c r="U457" i="1"/>
  <c r="U71" i="1"/>
  <c r="V564" i="1"/>
  <c r="V489" i="1"/>
  <c r="U69" i="1"/>
  <c r="V457" i="1"/>
  <c r="V20" i="1"/>
  <c r="U283" i="1"/>
  <c r="U106" i="1"/>
  <c r="U441" i="1"/>
  <c r="U360" i="1"/>
  <c r="V686" i="1"/>
  <c r="V175" i="1"/>
  <c r="U187" i="1"/>
  <c r="V317" i="1"/>
  <c r="V550" i="1"/>
  <c r="V661" i="1"/>
  <c r="V575" i="1"/>
  <c r="V241" i="1"/>
  <c r="U394" i="1"/>
  <c r="U370" i="1"/>
  <c r="V187" i="1"/>
  <c r="U328" i="1"/>
  <c r="U464" i="1"/>
  <c r="U175" i="1"/>
  <c r="V609" i="1"/>
  <c r="U519" i="1"/>
  <c r="U288" i="1"/>
  <c r="U546" i="1"/>
  <c r="U347" i="1"/>
  <c r="U572" i="1"/>
  <c r="V653" i="1"/>
  <c r="U292" i="1"/>
  <c r="V292" i="1"/>
  <c r="U557" i="1"/>
  <c r="U317" i="1"/>
  <c r="V334" i="1"/>
  <c r="U62" i="1"/>
  <c r="U579" i="1"/>
  <c r="U133" i="1"/>
  <c r="U419" i="1"/>
  <c r="V62" i="1"/>
  <c r="U375" i="1"/>
  <c r="U99" i="1"/>
  <c r="V55" i="1"/>
  <c r="U225" i="1"/>
  <c r="U503" i="1"/>
  <c r="V54" i="1"/>
  <c r="U211" i="1"/>
  <c r="U495" i="1"/>
  <c r="V376" i="1"/>
  <c r="U298" i="1"/>
  <c r="U101" i="1"/>
  <c r="U605" i="1"/>
  <c r="V419" i="1"/>
  <c r="V452" i="1"/>
  <c r="U207" i="1"/>
  <c r="V103" i="1"/>
  <c r="V557" i="1"/>
  <c r="U451" i="1"/>
  <c r="V71" i="1"/>
  <c r="U261" i="1"/>
  <c r="V377" i="1"/>
  <c r="V441" i="1"/>
  <c r="V98" i="1"/>
  <c r="V355" i="1"/>
  <c r="V203" i="1"/>
  <c r="V357" i="1"/>
  <c r="V389" i="1"/>
  <c r="V490" i="1"/>
  <c r="V261" i="1"/>
  <c r="V101" i="1"/>
  <c r="V636" i="1"/>
  <c r="U406" i="1"/>
  <c r="U143" i="1"/>
  <c r="V114" i="1"/>
  <c r="U355" i="1"/>
  <c r="U23" i="1"/>
  <c r="U455" i="1"/>
  <c r="U528" i="1"/>
  <c r="U86" i="1"/>
  <c r="U266" i="1"/>
  <c r="V451" i="1"/>
  <c r="V481" i="1"/>
  <c r="U461" i="1"/>
  <c r="U55" i="1"/>
  <c r="U607" i="1"/>
  <c r="U520" i="1"/>
  <c r="U377" i="1"/>
  <c r="V81" i="1"/>
  <c r="U334" i="1"/>
  <c r="U203" i="1"/>
  <c r="U416" i="1"/>
  <c r="U533" i="1"/>
  <c r="U390" i="1"/>
  <c r="V16" i="1"/>
  <c r="V390" i="1"/>
  <c r="V360" i="1"/>
  <c r="V520" i="1"/>
  <c r="V370" i="1"/>
  <c r="V99" i="1"/>
  <c r="V416" i="1"/>
  <c r="V96" i="1"/>
  <c r="V137" i="1"/>
  <c r="U189" i="1"/>
  <c r="U645" i="1"/>
  <c r="U470" i="1"/>
  <c r="U434" i="1"/>
  <c r="U357" i="1"/>
  <c r="U96" i="1"/>
  <c r="V288" i="1"/>
  <c r="V133" i="1"/>
  <c r="U56" i="1"/>
  <c r="U485" i="1"/>
  <c r="V56" i="1"/>
  <c r="V394" i="1"/>
  <c r="U405" i="1"/>
  <c r="V280" i="1"/>
  <c r="V298" i="1"/>
  <c r="U311" i="1"/>
  <c r="V69" i="1"/>
  <c r="V23" i="1"/>
  <c r="U161" i="1"/>
  <c r="V375" i="1"/>
  <c r="U535" i="1"/>
  <c r="U289" i="1"/>
  <c r="U246" i="1"/>
  <c r="U280" i="1"/>
  <c r="V485" i="1"/>
  <c r="U20" i="1"/>
  <c r="U521" i="1"/>
  <c r="U98" i="1"/>
  <c r="U653" i="1"/>
  <c r="V161" i="1"/>
  <c r="U223" i="1"/>
  <c r="U530" i="1"/>
  <c r="U273" i="1"/>
  <c r="V579" i="1"/>
  <c r="U686" i="1"/>
  <c r="U137" i="1"/>
  <c r="U550" i="1"/>
  <c r="U452" i="1"/>
  <c r="V113" i="1"/>
  <c r="U75" i="1"/>
  <c r="V461" i="1"/>
  <c r="V180" i="1"/>
  <c r="V385" i="1"/>
  <c r="V428" i="1"/>
  <c r="U16" i="1"/>
  <c r="V572" i="1"/>
  <c r="V189" i="1"/>
  <c r="U564" i="1"/>
  <c r="V283" i="1"/>
  <c r="V149" i="1"/>
  <c r="V628" i="1"/>
  <c r="U141" i="1"/>
  <c r="U641" i="1"/>
  <c r="U180" i="1"/>
  <c r="V356" i="1"/>
  <c r="U587" i="1"/>
  <c r="U679" i="1"/>
  <c r="V226" i="1"/>
  <c r="V186" i="1"/>
  <c r="U226" i="1"/>
  <c r="U114" i="1"/>
  <c r="V476" i="1"/>
  <c r="U258" i="1"/>
  <c r="V528" i="1"/>
  <c r="V641" i="1"/>
  <c r="V141" i="1"/>
  <c r="U149" i="1"/>
  <c r="V533" i="1"/>
  <c r="V191" i="1"/>
  <c r="V346" i="1"/>
  <c r="V211" i="1"/>
  <c r="U154" i="1"/>
  <c r="V455" i="1"/>
  <c r="V258" i="1"/>
  <c r="U490" i="1"/>
  <c r="U609" i="1"/>
  <c r="U363" i="1"/>
  <c r="U628" i="1"/>
  <c r="U387" i="1"/>
  <c r="V289" i="1"/>
  <c r="U614" i="1"/>
  <c r="U578" i="1"/>
  <c r="U57" i="1"/>
  <c r="U661" i="1"/>
  <c r="U54" i="1"/>
  <c r="V519" i="1"/>
  <c r="U376" i="1"/>
  <c r="V223" i="1"/>
  <c r="V109" i="1"/>
  <c r="V311" i="1"/>
  <c r="V75" i="1"/>
  <c r="U428" i="1"/>
  <c r="U544" i="1"/>
  <c r="V405" i="1"/>
  <c r="U385" i="1"/>
  <c r="V495" i="1"/>
  <c r="U636" i="1"/>
  <c r="U380" i="1"/>
  <c r="V614" i="1"/>
  <c r="V587" i="1"/>
  <c r="V363" i="1"/>
  <c r="V106" i="1"/>
  <c r="U113" i="1"/>
  <c r="V645" i="1"/>
  <c r="V86" i="1"/>
  <c r="V605" i="1"/>
  <c r="V434" i="1"/>
  <c r="U103" i="1"/>
  <c r="V213" i="1"/>
  <c r="V501" i="1"/>
  <c r="V413" i="1"/>
  <c r="V541" i="1"/>
  <c r="U179" i="1"/>
  <c r="V316" i="1"/>
  <c r="V531" i="1"/>
  <c r="U224" i="1"/>
  <c r="U316" i="1"/>
  <c r="V654" i="1"/>
  <c r="U119" i="1"/>
  <c r="U501" i="1"/>
  <c r="U421" i="1"/>
  <c r="U181" i="1"/>
  <c r="V697" i="1"/>
  <c r="U493" i="1"/>
  <c r="U339" i="1"/>
  <c r="V330" i="1"/>
  <c r="V112" i="1"/>
  <c r="U331" i="1"/>
  <c r="U70" i="1"/>
  <c r="U169" i="1"/>
  <c r="V162" i="1"/>
  <c r="V224" i="1"/>
  <c r="U480" i="1"/>
  <c r="U281" i="1"/>
  <c r="V123" i="1"/>
  <c r="U127" i="1"/>
  <c r="U608" i="1"/>
  <c r="U518" i="1"/>
  <c r="U477" i="1"/>
  <c r="V169" i="1"/>
  <c r="U112" i="1"/>
  <c r="V107" i="1"/>
  <c r="U512" i="1"/>
  <c r="V404" i="1"/>
  <c r="U412" i="1"/>
  <c r="V331" i="1"/>
  <c r="V264" i="1"/>
  <c r="V170" i="1"/>
  <c r="U25" i="1"/>
  <c r="U264" i="1"/>
  <c r="U59" i="1"/>
  <c r="V608" i="1"/>
  <c r="V483" i="1"/>
  <c r="U170" i="1"/>
  <c r="U697" i="1"/>
  <c r="V396" i="1"/>
  <c r="U496" i="1"/>
  <c r="U418" i="1"/>
  <c r="V480" i="1"/>
  <c r="V281" i="1"/>
  <c r="U675" i="1"/>
  <c r="V493" i="1"/>
  <c r="U330" i="1"/>
  <c r="U123" i="1"/>
  <c r="U404" i="1"/>
  <c r="V512" i="1"/>
  <c r="V496" i="1"/>
  <c r="V339" i="1"/>
  <c r="V127" i="1"/>
  <c r="V509" i="1"/>
  <c r="U617" i="1"/>
  <c r="U213" i="1"/>
  <c r="U541" i="1"/>
  <c r="V518" i="1"/>
  <c r="V70" i="1"/>
  <c r="V477" i="1"/>
  <c r="V119" i="1"/>
  <c r="V25" i="1"/>
  <c r="U90" i="1"/>
  <c r="V412" i="1"/>
  <c r="U413" i="1"/>
  <c r="V617" i="1"/>
  <c r="U396" i="1"/>
  <c r="V179" i="1"/>
  <c r="V124" i="1"/>
  <c r="U483" i="1"/>
  <c r="V418" i="1"/>
  <c r="U36" i="1"/>
  <c r="V675" i="1"/>
  <c r="U509" i="1"/>
  <c r="V181" i="1"/>
  <c r="V421" i="1"/>
  <c r="U107" i="1"/>
  <c r="V59" i="1"/>
  <c r="U456" i="1"/>
  <c r="V90" i="1"/>
  <c r="U162" i="1"/>
  <c r="V36" i="1"/>
  <c r="U612" i="1"/>
  <c r="U531" i="1"/>
  <c r="U124" i="1"/>
  <c r="V456" i="1"/>
  <c r="U654" i="1"/>
  <c r="V612" i="1"/>
  <c r="U159" i="1"/>
  <c r="V159" i="1"/>
  <c r="U215" i="1"/>
  <c r="V516" i="1"/>
  <c r="V318" i="1"/>
  <c r="U479" i="1"/>
  <c r="V286" i="1"/>
  <c r="U286" i="1"/>
  <c r="U341" i="1"/>
  <c r="U293" i="1"/>
  <c r="U67" i="1"/>
  <c r="V259" i="1"/>
  <c r="V291" i="1"/>
  <c r="U271" i="1"/>
  <c r="V306" i="1"/>
  <c r="U430" i="1"/>
  <c r="U674" i="1"/>
  <c r="V67" i="1"/>
  <c r="V690" i="1"/>
  <c r="V83" i="1"/>
  <c r="U420" i="1"/>
  <c r="U453" i="1"/>
  <c r="V250" i="1"/>
  <c r="V293" i="1"/>
  <c r="V329" i="1"/>
  <c r="V39" i="1"/>
  <c r="V663" i="1"/>
  <c r="U305" i="1"/>
  <c r="V32" i="1"/>
  <c r="U596" i="1"/>
  <c r="V319" i="1"/>
  <c r="V562" i="1"/>
  <c r="U690" i="1"/>
  <c r="U329" i="1"/>
  <c r="U250" i="1"/>
  <c r="V236" i="1"/>
  <c r="U371" i="1"/>
  <c r="U516" i="1"/>
  <c r="U291" i="1"/>
  <c r="V178" i="1"/>
  <c r="V383" i="1"/>
  <c r="U32" i="1"/>
  <c r="U111" i="1"/>
  <c r="V192" i="1"/>
  <c r="V466" i="1"/>
  <c r="V430" i="1"/>
  <c r="U426" i="1"/>
  <c r="U663" i="1"/>
  <c r="V426" i="1"/>
  <c r="U259" i="1"/>
  <c r="V479" i="1"/>
  <c r="U310" i="1"/>
  <c r="U83" i="1"/>
  <c r="U244" i="1"/>
  <c r="U192" i="1"/>
  <c r="V164" i="1"/>
  <c r="V677" i="1"/>
  <c r="U562" i="1"/>
  <c r="V698" i="1"/>
  <c r="V379" i="1"/>
  <c r="U473" i="1"/>
  <c r="V453" i="1"/>
  <c r="V111" i="1"/>
  <c r="V371" i="1"/>
  <c r="U306" i="1"/>
  <c r="U591" i="1"/>
  <c r="V173" i="1"/>
  <c r="V307" i="1"/>
  <c r="V674" i="1"/>
  <c r="V271" i="1"/>
  <c r="V215" i="1"/>
  <c r="U318" i="1"/>
  <c r="U236" i="1"/>
  <c r="V590" i="1"/>
  <c r="U295" i="1"/>
  <c r="U353" i="1"/>
  <c r="V596" i="1"/>
  <c r="U307" i="1"/>
  <c r="U379" i="1"/>
  <c r="U687" i="1"/>
  <c r="U677" i="1"/>
  <c r="V341" i="1"/>
  <c r="V687" i="1"/>
  <c r="U173" i="1"/>
  <c r="U698" i="1"/>
  <c r="V353" i="1"/>
  <c r="V420" i="1"/>
  <c r="V222" i="1"/>
  <c r="V591" i="1"/>
  <c r="V473" i="1"/>
  <c r="V244" i="1"/>
  <c r="U164" i="1"/>
  <c r="U466" i="1"/>
  <c r="V305" i="1"/>
  <c r="U383" i="1"/>
  <c r="U319" i="1"/>
  <c r="U615" i="1"/>
  <c r="V615" i="1"/>
  <c r="U590" i="1"/>
  <c r="U178" i="1"/>
  <c r="U39" i="1"/>
  <c r="V295" i="1"/>
  <c r="U222" i="1"/>
  <c r="V310" i="1"/>
  <c r="R256" i="1"/>
  <c r="Q248" i="1"/>
  <c r="L573" i="1"/>
  <c r="N574" i="1"/>
  <c r="I313" i="1"/>
  <c r="N165" i="1"/>
  <c r="N219" i="1"/>
  <c r="U643" i="1"/>
  <c r="N616" i="1"/>
  <c r="M673" i="1"/>
  <c r="N472" i="1"/>
  <c r="L69" i="1"/>
  <c r="I431" i="1"/>
  <c r="K217" i="1"/>
  <c r="L556" i="1"/>
  <c r="L431" i="1"/>
  <c r="N504" i="1"/>
  <c r="O302" i="1"/>
  <c r="R122" i="1"/>
  <c r="P53" i="1"/>
  <c r="U198" i="1"/>
  <c r="Q616" i="1"/>
  <c r="M69" i="1"/>
  <c r="O504" i="1"/>
  <c r="N623" i="1"/>
  <c r="H200" i="1"/>
  <c r="I121" i="1"/>
  <c r="M658" i="1"/>
  <c r="L678" i="1"/>
  <c r="M274" i="1"/>
  <c r="R274" i="1"/>
  <c r="M408" i="1"/>
  <c r="K37" i="1"/>
  <c r="H438" i="1"/>
  <c r="R508" i="1"/>
  <c r="K219" i="1"/>
  <c r="H542" i="1"/>
  <c r="L623" i="1"/>
  <c r="K651" i="1"/>
  <c r="Q490" i="1"/>
  <c r="H555" i="1"/>
  <c r="L77" i="1"/>
  <c r="V234" i="1"/>
  <c r="H231" i="1"/>
  <c r="P214" i="1"/>
  <c r="M373" i="1"/>
  <c r="O343" i="1"/>
  <c r="Q231" i="1"/>
  <c r="Q242" i="1"/>
  <c r="K573" i="1"/>
  <c r="K551" i="1"/>
  <c r="V630" i="1"/>
  <c r="K403" i="1"/>
  <c r="U50" i="1"/>
  <c r="V694" i="1"/>
  <c r="M508" i="1"/>
  <c r="H682" i="1"/>
  <c r="R623" i="1"/>
  <c r="V513" i="1"/>
  <c r="V439" i="1"/>
  <c r="U450" i="1"/>
  <c r="Q74" i="1"/>
  <c r="N678" i="1"/>
  <c r="N551" i="1"/>
  <c r="M524" i="1"/>
  <c r="Q623" i="1"/>
  <c r="L673" i="1"/>
  <c r="R658" i="1"/>
  <c r="P74" i="1"/>
  <c r="I117" i="1"/>
  <c r="K422" i="1"/>
  <c r="L302" i="1"/>
  <c r="M73" i="1"/>
  <c r="I536" i="1"/>
  <c r="K524" i="1"/>
  <c r="N122" i="1"/>
  <c r="K680" i="1"/>
  <c r="I217" i="1"/>
  <c r="R248" i="1"/>
  <c r="V643" i="1"/>
  <c r="O638" i="1"/>
  <c r="Q484" i="1"/>
  <c r="I472" i="1"/>
  <c r="O651" i="1"/>
  <c r="V567" i="1"/>
  <c r="Q403" i="1"/>
  <c r="N214" i="1"/>
  <c r="K48" i="1"/>
  <c r="P242" i="1"/>
  <c r="P642" i="1"/>
  <c r="Q117" i="1"/>
  <c r="K249" i="1"/>
  <c r="O121" i="1"/>
  <c r="O673" i="1"/>
  <c r="P542" i="1"/>
  <c r="R616" i="1"/>
  <c r="M402" i="1"/>
  <c r="O438" i="1"/>
  <c r="L249" i="1"/>
  <c r="R94" i="1"/>
  <c r="L385" i="1"/>
  <c r="I673" i="1"/>
  <c r="L528" i="1"/>
  <c r="R399" i="1"/>
  <c r="O658" i="1"/>
  <c r="M193" i="1"/>
  <c r="M649" i="1"/>
  <c r="I104" i="1"/>
  <c r="Q555" i="1"/>
  <c r="L422" i="1"/>
  <c r="H385" i="1"/>
  <c r="Q682" i="1"/>
  <c r="L314" i="1"/>
  <c r="I233" i="1"/>
  <c r="R217" i="1"/>
  <c r="R227" i="1"/>
  <c r="M682" i="1"/>
  <c r="N212" i="1"/>
  <c r="I200" i="1"/>
  <c r="L399" i="1"/>
  <c r="O218" i="1"/>
  <c r="K118" i="1"/>
  <c r="O248" i="1"/>
  <c r="O440" i="1"/>
  <c r="P165" i="1"/>
  <c r="U648" i="1"/>
  <c r="M573" i="1"/>
  <c r="V523" i="1"/>
  <c r="V432" i="1"/>
  <c r="N373" i="1"/>
  <c r="O212" i="1"/>
  <c r="V648" i="1"/>
  <c r="P556" i="1"/>
  <c r="M248" i="1"/>
  <c r="Q216" i="1"/>
  <c r="O12" i="1"/>
  <c r="H218" i="1"/>
  <c r="O216" i="1"/>
  <c r="H431" i="1"/>
  <c r="H193" i="1"/>
  <c r="M438" i="1"/>
  <c r="P574" i="1"/>
  <c r="H425" i="1"/>
  <c r="Q165" i="1"/>
  <c r="Q638" i="1"/>
  <c r="O117" i="1"/>
  <c r="R574" i="1"/>
  <c r="R437" i="1"/>
  <c r="N536" i="1"/>
  <c r="N299" i="1"/>
  <c r="I314" i="1"/>
  <c r="R314" i="1"/>
  <c r="U362" i="1"/>
  <c r="O437" i="1"/>
  <c r="M200" i="1"/>
  <c r="I122" i="1"/>
  <c r="N74" i="1"/>
  <c r="N658" i="1"/>
  <c r="V529" i="1"/>
  <c r="I569" i="1"/>
  <c r="K242" i="1"/>
  <c r="L373" i="1"/>
  <c r="R536" i="1"/>
  <c r="H569" i="1"/>
  <c r="H217" i="1"/>
  <c r="K438" i="1"/>
  <c r="R73" i="1"/>
  <c r="M463" i="1"/>
  <c r="L680" i="1"/>
  <c r="Q543" i="1"/>
  <c r="P303" i="1"/>
  <c r="P543" i="1"/>
  <c r="R682" i="1"/>
  <c r="R77" i="1"/>
  <c r="M574" i="1"/>
  <c r="U323" i="1"/>
  <c r="Q569" i="1"/>
  <c r="M216" i="1"/>
  <c r="O151" i="1"/>
  <c r="H373" i="1"/>
  <c r="P640" i="1"/>
  <c r="O256" i="1"/>
  <c r="V618" i="1"/>
  <c r="P472" i="1"/>
  <c r="K504" i="1"/>
  <c r="Q673" i="1"/>
  <c r="L484" i="1"/>
  <c r="H84" i="1"/>
  <c r="L536" i="1"/>
  <c r="K484" i="1"/>
  <c r="P37" i="1"/>
  <c r="P121" i="1"/>
  <c r="H216" i="1"/>
  <c r="L349" i="1"/>
  <c r="K437" i="1"/>
  <c r="U529" i="1"/>
  <c r="H313" i="1"/>
  <c r="R524" i="1"/>
  <c r="O573" i="1"/>
  <c r="M349" i="1"/>
  <c r="I649" i="1"/>
  <c r="I303" i="1"/>
  <c r="P658" i="1"/>
  <c r="U627" i="1"/>
  <c r="I623" i="1"/>
  <c r="Q556" i="1"/>
  <c r="V362" i="1"/>
  <c r="I551" i="1"/>
  <c r="K216" i="1"/>
  <c r="L543" i="1"/>
  <c r="P233" i="1"/>
  <c r="L118" i="1"/>
  <c r="K682" i="1"/>
  <c r="P431" i="1"/>
  <c r="N53" i="1"/>
  <c r="R438" i="1"/>
  <c r="Q524" i="1"/>
  <c r="L212" i="1"/>
  <c r="H649" i="1"/>
  <c r="L104" i="1"/>
  <c r="R431" i="1"/>
  <c r="P117" i="1"/>
  <c r="O520" i="1"/>
  <c r="Q425" i="1"/>
  <c r="M212" i="1"/>
  <c r="H343" i="1"/>
  <c r="O219" i="1"/>
  <c r="M678" i="1"/>
  <c r="P437" i="1"/>
  <c r="M490" i="1"/>
  <c r="V582" i="1"/>
  <c r="K623" i="1"/>
  <c r="H440" i="1"/>
  <c r="K399" i="1"/>
  <c r="O84" i="1"/>
  <c r="K303" i="1"/>
  <c r="L649" i="1"/>
  <c r="M569" i="1"/>
  <c r="H238" i="1"/>
  <c r="H528" i="1"/>
  <c r="H623" i="1"/>
  <c r="P649" i="1"/>
  <c r="H673" i="1"/>
  <c r="O303" i="1"/>
  <c r="H77" i="1"/>
  <c r="K214" i="1"/>
  <c r="R193" i="1"/>
  <c r="I302" i="1"/>
  <c r="M249" i="1"/>
  <c r="Q508" i="1"/>
  <c r="Q233" i="1"/>
  <c r="L508" i="1"/>
  <c r="K84" i="1"/>
  <c r="L238" i="1"/>
  <c r="R408" i="1"/>
  <c r="R48" i="1"/>
  <c r="N642" i="1"/>
  <c r="Q499" i="1"/>
  <c r="U409" i="1"/>
  <c r="M543" i="1"/>
  <c r="O193" i="1"/>
  <c r="N151" i="1"/>
  <c r="M520" i="1"/>
  <c r="M556" i="1"/>
  <c r="O616" i="1"/>
  <c r="U359" i="1"/>
  <c r="N249" i="1"/>
  <c r="N217" i="1"/>
  <c r="V321" i="1"/>
  <c r="H642" i="1"/>
  <c r="N569" i="1"/>
  <c r="M94" i="1"/>
  <c r="O399" i="1"/>
  <c r="V269" i="1"/>
  <c r="P680" i="1"/>
  <c r="N218" i="1"/>
  <c r="I12" i="1"/>
  <c r="Q520" i="1"/>
  <c r="I490" i="1"/>
  <c r="Q104" i="1"/>
  <c r="K431" i="1"/>
  <c r="P373" i="1"/>
  <c r="N200" i="1"/>
  <c r="L551" i="1"/>
  <c r="K373" i="1"/>
  <c r="H539" i="1"/>
  <c r="K121" i="1"/>
  <c r="N29" i="1"/>
  <c r="K314" i="1"/>
  <c r="U432" i="1"/>
  <c r="R249" i="1"/>
  <c r="K569" i="1"/>
  <c r="M623" i="1"/>
  <c r="K574" i="1"/>
  <c r="V93" i="1"/>
  <c r="H520" i="1"/>
  <c r="L217" i="1"/>
  <c r="V201" i="1"/>
  <c r="L313" i="1"/>
  <c r="P44" i="1"/>
  <c r="L539" i="1"/>
  <c r="R573" i="1"/>
  <c r="M299" i="1"/>
  <c r="Q73" i="1"/>
  <c r="Q29" i="1"/>
  <c r="P682" i="1"/>
  <c r="I77" i="1"/>
  <c r="M302" i="1"/>
  <c r="L616" i="1"/>
  <c r="P77" i="1"/>
  <c r="N233" i="1"/>
  <c r="R463" i="1"/>
  <c r="M217" i="1"/>
  <c r="K539" i="1"/>
  <c r="M640" i="1"/>
  <c r="P94" i="1"/>
  <c r="N543" i="1"/>
  <c r="M484" i="1"/>
  <c r="I385" i="1"/>
  <c r="Q218" i="1"/>
  <c r="V650" i="1"/>
  <c r="I555" i="1"/>
  <c r="N673" i="1"/>
  <c r="M542" i="1"/>
  <c r="Q121" i="1"/>
  <c r="H299" i="1"/>
  <c r="Q658" i="1"/>
  <c r="L200" i="1"/>
  <c r="O104" i="1"/>
  <c r="L53" i="1"/>
  <c r="N69" i="1"/>
  <c r="I680" i="1"/>
  <c r="H638" i="1"/>
  <c r="N508" i="1"/>
  <c r="O680" i="1"/>
  <c r="P484" i="1"/>
  <c r="V301" i="1"/>
  <c r="O37" i="1"/>
  <c r="R638" i="1"/>
  <c r="H508" i="1"/>
  <c r="L233" i="1"/>
  <c r="L216" i="1"/>
  <c r="K200" i="1"/>
  <c r="U610" i="1"/>
  <c r="R651" i="1"/>
  <c r="R539" i="1"/>
  <c r="N649" i="1"/>
  <c r="P248" i="1"/>
  <c r="P216" i="1"/>
  <c r="L520" i="1"/>
  <c r="R53" i="1"/>
  <c r="I256" i="1"/>
  <c r="M314" i="1"/>
  <c r="M680" i="1"/>
  <c r="K408" i="1"/>
  <c r="I218" i="1"/>
  <c r="Q94" i="1"/>
  <c r="H242" i="1"/>
  <c r="I403" i="1"/>
  <c r="P231" i="1"/>
  <c r="N231" i="1"/>
  <c r="O200" i="1"/>
  <c r="O431" i="1"/>
  <c r="M440" i="1"/>
  <c r="N313" i="1"/>
  <c r="N274" i="1"/>
  <c r="N314" i="1"/>
  <c r="N459" i="1"/>
  <c r="V45" i="1"/>
  <c r="M303" i="1"/>
  <c r="I48" i="1"/>
  <c r="O556" i="1"/>
  <c r="U537" i="1"/>
  <c r="Q219" i="1"/>
  <c r="H399" i="1"/>
  <c r="P425" i="1"/>
  <c r="M77" i="1"/>
  <c r="O499" i="1"/>
  <c r="V276" i="1"/>
  <c r="L303" i="1"/>
  <c r="P573" i="1"/>
  <c r="Q640" i="1"/>
  <c r="H651" i="1"/>
  <c r="P219" i="1"/>
  <c r="P499" i="1"/>
  <c r="P490" i="1"/>
  <c r="K218" i="1"/>
  <c r="I543" i="1"/>
  <c r="R214" i="1"/>
  <c r="M403" i="1"/>
  <c r="P504" i="1"/>
  <c r="H403" i="1"/>
  <c r="I212" i="1"/>
  <c r="M313" i="1"/>
  <c r="N555" i="1"/>
  <c r="H551" i="1"/>
  <c r="R118" i="1"/>
  <c r="Q320" i="1"/>
  <c r="U599" i="1"/>
  <c r="O367" i="1"/>
  <c r="U321" i="1"/>
  <c r="K95" i="1"/>
  <c r="K343" i="1"/>
  <c r="H536" i="1"/>
  <c r="P343" i="1"/>
  <c r="O539" i="1"/>
  <c r="I84" i="1"/>
  <c r="O69" i="1"/>
  <c r="Q431" i="1"/>
  <c r="Q408" i="1"/>
  <c r="M121" i="1"/>
  <c r="O320" i="1"/>
  <c r="H616" i="1"/>
  <c r="O77" i="1"/>
  <c r="P314" i="1"/>
  <c r="Q212" i="1"/>
  <c r="I299" i="1"/>
  <c r="P438" i="1"/>
  <c r="P29" i="1"/>
  <c r="I231" i="1"/>
  <c r="L440" i="1"/>
  <c r="M651" i="1"/>
  <c r="M95" i="1"/>
  <c r="I74" i="1"/>
  <c r="M37" i="1"/>
  <c r="M642" i="1"/>
  <c r="L402" i="1"/>
  <c r="H12" i="1"/>
  <c r="P539" i="1"/>
  <c r="I616" i="1"/>
  <c r="H249" i="1"/>
  <c r="K658" i="1"/>
  <c r="K678" i="1"/>
  <c r="R231" i="1"/>
  <c r="K508" i="1"/>
  <c r="P402" i="1"/>
  <c r="U694" i="1"/>
  <c r="O569" i="1"/>
  <c r="P520" i="1"/>
  <c r="Q122" i="1"/>
  <c r="K231" i="1"/>
  <c r="U498" i="1"/>
  <c r="N367" i="1"/>
  <c r="I151" i="1"/>
  <c r="O649" i="1"/>
  <c r="U488" i="1"/>
  <c r="H367" i="1"/>
  <c r="O214" i="1"/>
  <c r="N256" i="1"/>
  <c r="O249" i="1"/>
  <c r="I437" i="1"/>
  <c r="N425" i="1"/>
  <c r="N84" i="1"/>
  <c r="R121" i="1"/>
  <c r="H524" i="1"/>
  <c r="U513" i="1"/>
  <c r="P651" i="1"/>
  <c r="K472" i="1"/>
  <c r="O373" i="1"/>
  <c r="I440" i="1"/>
  <c r="Q37" i="1"/>
  <c r="O551" i="1"/>
  <c r="P555" i="1"/>
  <c r="H122" i="1"/>
  <c r="N542" i="1"/>
  <c r="V76" i="1"/>
  <c r="M528" i="1"/>
  <c r="H422" i="1"/>
  <c r="H320" i="1"/>
  <c r="N303" i="1"/>
  <c r="U559" i="1"/>
  <c r="P524" i="1"/>
  <c r="O53" i="1"/>
  <c r="Q402" i="1"/>
  <c r="R551" i="1"/>
  <c r="P193" i="1"/>
  <c r="H680" i="1"/>
  <c r="O349" i="1"/>
  <c r="N438" i="1"/>
  <c r="M12" i="1"/>
  <c r="L524" i="1"/>
  <c r="I349" i="1"/>
  <c r="P200" i="1"/>
  <c r="H117" i="1"/>
  <c r="U208" i="1"/>
  <c r="K320" i="1"/>
  <c r="L299" i="1"/>
  <c r="I73" i="1"/>
  <c r="K12" i="1"/>
  <c r="M536" i="1"/>
  <c r="H151" i="1"/>
  <c r="K649" i="1"/>
  <c r="N524" i="1"/>
  <c r="V198" i="1"/>
  <c r="H472" i="1"/>
  <c r="H29" i="1"/>
  <c r="I556" i="1"/>
  <c r="M118" i="1"/>
  <c r="U267" i="1"/>
  <c r="N651" i="1"/>
  <c r="O623" i="1"/>
  <c r="R151" i="1"/>
  <c r="I69" i="1"/>
  <c r="I425" i="1"/>
  <c r="I238" i="1"/>
  <c r="M320" i="1"/>
  <c r="K425" i="1"/>
  <c r="I638" i="1"/>
  <c r="N216" i="1"/>
  <c r="Q48" i="1"/>
  <c r="O122" i="1"/>
  <c r="H556" i="1"/>
  <c r="R242" i="1"/>
  <c r="H274" i="1"/>
  <c r="P122" i="1"/>
  <c r="O274" i="1"/>
  <c r="O484" i="1"/>
  <c r="H459" i="1"/>
  <c r="I44" i="1"/>
  <c r="L95" i="1"/>
  <c r="P678" i="1"/>
  <c r="L242" i="1"/>
  <c r="R520" i="1"/>
  <c r="I214" i="1"/>
  <c r="N431" i="1"/>
  <c r="P218" i="1"/>
  <c r="R484" i="1"/>
  <c r="R367" i="1"/>
  <c r="L425" i="1"/>
  <c r="L231" i="1"/>
  <c r="U439" i="1"/>
  <c r="H233" i="1"/>
  <c r="V409" i="1"/>
  <c r="U205" i="1"/>
  <c r="M218" i="1"/>
  <c r="O555" i="1"/>
  <c r="Q367" i="1"/>
  <c r="M504" i="1"/>
  <c r="L165" i="1"/>
  <c r="V610" i="1"/>
  <c r="K274" i="1"/>
  <c r="I484" i="1"/>
  <c r="I95" i="1"/>
  <c r="O165" i="1"/>
  <c r="O574" i="1"/>
  <c r="L463" i="1"/>
  <c r="Q302" i="1"/>
  <c r="N104" i="1"/>
  <c r="K227" i="1"/>
  <c r="V40" i="1"/>
  <c r="H408" i="1"/>
  <c r="P385" i="1"/>
  <c r="R320" i="1"/>
  <c r="L569" i="1"/>
  <c r="Q459" i="1"/>
  <c r="P12" i="1"/>
  <c r="K256" i="1"/>
  <c r="V358" i="1"/>
  <c r="L218" i="1"/>
  <c r="N437" i="1"/>
  <c r="N680" i="1"/>
  <c r="L504" i="1"/>
  <c r="I642" i="1"/>
  <c r="P551" i="1"/>
  <c r="M499" i="1"/>
  <c r="I94" i="1"/>
  <c r="K104" i="1"/>
  <c r="O299" i="1"/>
  <c r="R95" i="1"/>
  <c r="Q217" i="1"/>
  <c r="O231" i="1"/>
  <c r="V359" i="1"/>
  <c r="M227" i="1"/>
  <c r="V458" i="1"/>
  <c r="I248" i="1"/>
  <c r="L44" i="1"/>
  <c r="P616" i="1"/>
  <c r="V267" i="1"/>
  <c r="V300" i="1"/>
  <c r="K642" i="1"/>
  <c r="H212" i="1"/>
  <c r="N528" i="1"/>
  <c r="I499" i="1"/>
  <c r="Q642" i="1"/>
  <c r="M219" i="1"/>
  <c r="L542" i="1"/>
  <c r="O94" i="1"/>
  <c r="L651" i="1"/>
  <c r="P227" i="1"/>
  <c r="Q472" i="1"/>
  <c r="I249" i="1"/>
  <c r="O543" i="1"/>
  <c r="U458" i="1"/>
  <c r="P528" i="1"/>
  <c r="M117" i="1"/>
  <c r="P217" i="1"/>
  <c r="L459" i="1"/>
  <c r="H303" i="1"/>
  <c r="R504" i="1"/>
  <c r="H504" i="1"/>
  <c r="N440" i="1"/>
  <c r="Q539" i="1"/>
  <c r="O463" i="1"/>
  <c r="Q399" i="1"/>
  <c r="K212" i="1"/>
  <c r="K385" i="1"/>
  <c r="H69" i="1"/>
  <c r="Q256" i="1"/>
  <c r="N573" i="1"/>
  <c r="V265" i="1"/>
  <c r="I678" i="1"/>
  <c r="O524" i="1"/>
  <c r="I373" i="1"/>
  <c r="K73" i="1"/>
  <c r="U386" i="1"/>
  <c r="H678" i="1"/>
  <c r="R233" i="1"/>
  <c r="R238" i="1"/>
  <c r="P463" i="1"/>
  <c r="P623" i="1"/>
  <c r="R402" i="1"/>
  <c r="V599" i="1"/>
  <c r="H214" i="1"/>
  <c r="Q438" i="1"/>
  <c r="V322" i="1"/>
  <c r="I640" i="1"/>
  <c r="M437" i="1"/>
  <c r="O238" i="1"/>
  <c r="H44" i="1"/>
  <c r="V627" i="1"/>
  <c r="H165" i="1"/>
  <c r="P638" i="1"/>
  <c r="O44" i="1"/>
  <c r="N682" i="1"/>
  <c r="O408" i="1"/>
  <c r="K528" i="1"/>
  <c r="Q385" i="1"/>
  <c r="M385" i="1"/>
  <c r="I29" i="1"/>
  <c r="N73" i="1"/>
  <c r="P440" i="1"/>
  <c r="H574" i="1"/>
  <c r="L193" i="1"/>
  <c r="Q463" i="1"/>
  <c r="M151" i="1"/>
  <c r="V208" i="1"/>
  <c r="M459" i="1"/>
  <c r="I459" i="1"/>
  <c r="K193" i="1"/>
  <c r="L256" i="1"/>
  <c r="H73" i="1"/>
  <c r="O425" i="1"/>
  <c r="P256" i="1"/>
  <c r="Q249" i="1"/>
  <c r="H499" i="1"/>
  <c r="Q440" i="1"/>
  <c r="U671" i="1"/>
  <c r="H37" i="1"/>
  <c r="N77" i="1"/>
  <c r="R569" i="1"/>
  <c r="R212" i="1"/>
  <c r="I242" i="1"/>
  <c r="O508" i="1"/>
  <c r="N403" i="1"/>
  <c r="O95" i="1"/>
  <c r="U335" i="1"/>
  <c r="M122" i="1"/>
  <c r="Q53" i="1"/>
  <c r="R37" i="1"/>
  <c r="I651" i="1"/>
  <c r="P367" i="1"/>
  <c r="K543" i="1"/>
  <c r="P313" i="1"/>
  <c r="L214" i="1"/>
  <c r="K74" i="1"/>
  <c r="N12" i="1"/>
  <c r="I438" i="1"/>
  <c r="P302" i="1"/>
  <c r="N349" i="1"/>
  <c r="Q574" i="1"/>
  <c r="H95" i="1"/>
  <c r="Q84" i="1"/>
  <c r="K248" i="1"/>
  <c r="L117" i="1"/>
  <c r="H640" i="1"/>
  <c r="M165" i="1"/>
  <c r="R680" i="1"/>
  <c r="U76" i="1"/>
  <c r="K367" i="1"/>
  <c r="H349" i="1"/>
  <c r="K165" i="1"/>
  <c r="P104" i="1"/>
  <c r="U45" i="1"/>
  <c r="H104" i="1"/>
  <c r="Q349" i="1"/>
  <c r="P274" i="1"/>
  <c r="V448" i="1"/>
  <c r="M367" i="1"/>
  <c r="H219" i="1"/>
  <c r="U301" i="1"/>
  <c r="R422" i="1"/>
  <c r="I343" i="1"/>
  <c r="R649" i="1"/>
  <c r="P249" i="1"/>
  <c r="O682" i="1"/>
  <c r="N242" i="1"/>
  <c r="Q680" i="1"/>
  <c r="N484" i="1"/>
  <c r="K673" i="1"/>
  <c r="I53" i="1"/>
  <c r="P151" i="1"/>
  <c r="L227" i="1"/>
  <c r="O678" i="1"/>
  <c r="Q343" i="1"/>
  <c r="I463" i="1"/>
  <c r="R385" i="1"/>
  <c r="N422" i="1"/>
  <c r="V386" i="1"/>
  <c r="Q227" i="1"/>
  <c r="R29" i="1"/>
  <c r="K29" i="1"/>
  <c r="K640" i="1"/>
  <c r="H314" i="1"/>
  <c r="O642" i="1"/>
  <c r="O490" i="1"/>
  <c r="Q12" i="1"/>
  <c r="N238" i="1"/>
  <c r="K299" i="1"/>
  <c r="L499" i="1"/>
  <c r="Q77" i="1"/>
  <c r="N539" i="1"/>
  <c r="N638" i="1"/>
  <c r="P399" i="1"/>
  <c r="K499" i="1"/>
  <c r="L642" i="1"/>
  <c r="N408" i="1"/>
  <c r="N556" i="1"/>
  <c r="K556" i="1"/>
  <c r="R313" i="1"/>
  <c r="I542" i="1"/>
  <c r="H118" i="1"/>
  <c r="U40" i="1"/>
  <c r="U93" i="1"/>
  <c r="V296" i="1"/>
  <c r="K402" i="1"/>
  <c r="P73" i="1"/>
  <c r="R555" i="1"/>
  <c r="I508" i="1"/>
  <c r="N385" i="1"/>
  <c r="H402" i="1"/>
  <c r="I118" i="1"/>
  <c r="O536" i="1"/>
  <c r="L12" i="1"/>
  <c r="K302" i="1"/>
  <c r="U265" i="1"/>
  <c r="I658" i="1"/>
  <c r="H463" i="1"/>
  <c r="L403" i="1"/>
  <c r="V335" i="1"/>
  <c r="R216" i="1"/>
  <c r="I37" i="1"/>
  <c r="R218" i="1"/>
  <c r="L408" i="1"/>
  <c r="U201" i="1"/>
  <c r="R343" i="1"/>
  <c r="N320" i="1"/>
  <c r="U300" i="1"/>
  <c r="U630" i="1"/>
  <c r="K616" i="1"/>
  <c r="Q299" i="1"/>
  <c r="I408" i="1"/>
  <c r="N95" i="1"/>
  <c r="R117" i="1"/>
  <c r="Q193" i="1"/>
  <c r="K463" i="1"/>
  <c r="V471" i="1"/>
  <c r="K459" i="1"/>
  <c r="L438" i="1"/>
  <c r="U681" i="1"/>
  <c r="M104" i="1"/>
  <c r="P299" i="1"/>
  <c r="H227" i="1"/>
  <c r="M74" i="1"/>
  <c r="R303" i="1"/>
  <c r="U234" i="1"/>
  <c r="V150" i="1"/>
  <c r="V532" i="1"/>
  <c r="U567" i="1"/>
  <c r="R200" i="1"/>
  <c r="I528" i="1"/>
  <c r="H121" i="1"/>
  <c r="P84" i="1"/>
  <c r="L37" i="1"/>
  <c r="P320" i="1"/>
  <c r="H94" i="1"/>
  <c r="L151" i="1"/>
  <c r="K233" i="1"/>
  <c r="R472" i="1"/>
  <c r="Q238" i="1"/>
  <c r="R640" i="1"/>
  <c r="H74" i="1"/>
  <c r="M84" i="1"/>
  <c r="M539" i="1"/>
  <c r="P238" i="1"/>
  <c r="I227" i="1"/>
  <c r="N94" i="1"/>
  <c r="M231" i="1"/>
  <c r="I367" i="1"/>
  <c r="R459" i="1"/>
  <c r="M53" i="1"/>
  <c r="H53" i="1"/>
  <c r="V671" i="1"/>
  <c r="U358" i="1"/>
  <c r="U308" i="1"/>
  <c r="O242" i="1"/>
  <c r="Q504" i="1"/>
  <c r="V332" i="1"/>
  <c r="R425" i="1"/>
  <c r="M399" i="1"/>
  <c r="R673" i="1"/>
  <c r="L73" i="1"/>
  <c r="R104" i="1"/>
  <c r="L555" i="1"/>
  <c r="Q542" i="1"/>
  <c r="P422" i="1"/>
  <c r="N302" i="1"/>
  <c r="U618" i="1"/>
  <c r="Q651" i="1"/>
  <c r="K53" i="1"/>
  <c r="O542" i="1"/>
  <c r="O74" i="1"/>
  <c r="O422" i="1"/>
  <c r="Q551" i="1"/>
  <c r="M44" i="1"/>
  <c r="L248" i="1"/>
  <c r="L367" i="1"/>
  <c r="R490" i="1"/>
  <c r="P349" i="1"/>
  <c r="L219" i="1"/>
  <c r="N399" i="1"/>
  <c r="Q373" i="1"/>
  <c r="U602" i="1"/>
  <c r="P569" i="1"/>
  <c r="N193" i="1"/>
  <c r="U582" i="1"/>
  <c r="P508" i="1"/>
  <c r="L122" i="1"/>
  <c r="R642" i="1"/>
  <c r="M214" i="1"/>
  <c r="K44" i="1"/>
  <c r="V323" i="1"/>
  <c r="R440" i="1"/>
  <c r="I402" i="1"/>
  <c r="M555" i="1"/>
  <c r="I574" i="1"/>
  <c r="N121" i="1"/>
  <c r="L640" i="1"/>
  <c r="H573" i="1"/>
  <c r="O313" i="1"/>
  <c r="P69" i="1"/>
  <c r="O217" i="1"/>
  <c r="R556" i="1"/>
  <c r="Q573" i="1"/>
  <c r="R302" i="1"/>
  <c r="N248" i="1"/>
  <c r="V278" i="1"/>
  <c r="Q649" i="1"/>
  <c r="P408" i="1"/>
  <c r="R165" i="1"/>
  <c r="Q536" i="1"/>
  <c r="N118" i="1"/>
  <c r="L48" i="1"/>
  <c r="N117" i="1"/>
  <c r="M422" i="1"/>
  <c r="Q44" i="1"/>
  <c r="I539" i="1"/>
  <c r="Q422" i="1"/>
  <c r="I274" i="1"/>
  <c r="R543" i="1"/>
  <c r="L437" i="1"/>
  <c r="V559" i="1"/>
  <c r="V537" i="1"/>
  <c r="U471" i="1"/>
  <c r="L74" i="1"/>
  <c r="H490" i="1"/>
  <c r="K638" i="1"/>
  <c r="R349" i="1"/>
  <c r="L274" i="1"/>
  <c r="I682" i="1"/>
  <c r="V474" i="1"/>
  <c r="R299" i="1"/>
  <c r="R373" i="1"/>
  <c r="I524" i="1"/>
  <c r="K520" i="1"/>
  <c r="M48" i="1"/>
  <c r="N490" i="1"/>
  <c r="M343" i="1"/>
  <c r="O29" i="1"/>
  <c r="H658" i="1"/>
  <c r="M242" i="1"/>
  <c r="I422" i="1"/>
  <c r="U532" i="1"/>
  <c r="N463" i="1"/>
  <c r="H302" i="1"/>
  <c r="U650" i="1"/>
  <c r="U448" i="1"/>
  <c r="L658" i="1"/>
  <c r="H543" i="1"/>
  <c r="K69" i="1"/>
  <c r="O385" i="1"/>
  <c r="R84" i="1"/>
  <c r="Q95" i="1"/>
  <c r="U278" i="1"/>
  <c r="H256" i="1"/>
  <c r="L472" i="1"/>
  <c r="V681" i="1"/>
  <c r="U276" i="1"/>
  <c r="R678" i="1"/>
  <c r="P212" i="1"/>
  <c r="V308" i="1"/>
  <c r="L29" i="1"/>
  <c r="L94" i="1"/>
  <c r="K122" i="1"/>
  <c r="U269" i="1"/>
  <c r="K542" i="1"/>
  <c r="L682" i="1"/>
  <c r="P95" i="1"/>
  <c r="K313" i="1"/>
  <c r="V488" i="1"/>
  <c r="Q314" i="1"/>
  <c r="I219" i="1"/>
  <c r="H437" i="1"/>
  <c r="K490" i="1"/>
  <c r="V50" i="1"/>
  <c r="N37" i="1"/>
  <c r="N520" i="1"/>
  <c r="P48" i="1"/>
  <c r="L84" i="1"/>
  <c r="K117" i="1"/>
  <c r="M472" i="1"/>
  <c r="U296" i="1"/>
  <c r="O472" i="1"/>
  <c r="M238" i="1"/>
  <c r="I193" i="1"/>
  <c r="Q200" i="1"/>
  <c r="Q528" i="1"/>
  <c r="L121" i="1"/>
  <c r="Q678" i="1"/>
  <c r="K151" i="1"/>
  <c r="O402" i="1"/>
  <c r="M638" i="1"/>
  <c r="I399" i="1"/>
  <c r="V450" i="1"/>
  <c r="U150" i="1"/>
  <c r="R44" i="1"/>
  <c r="O118" i="1"/>
  <c r="N44" i="1"/>
  <c r="P118" i="1"/>
  <c r="N402" i="1"/>
  <c r="P459" i="1"/>
  <c r="K77" i="1"/>
  <c r="K349" i="1"/>
  <c r="O233" i="1"/>
  <c r="M233" i="1"/>
  <c r="I216" i="1"/>
  <c r="K555" i="1"/>
  <c r="H248" i="1"/>
  <c r="V498" i="1"/>
  <c r="O48" i="1"/>
  <c r="Q274" i="1"/>
  <c r="P673" i="1"/>
  <c r="L320" i="1"/>
  <c r="R12" i="1"/>
  <c r="N227" i="1"/>
  <c r="O73" i="1"/>
  <c r="O403" i="1"/>
  <c r="L343" i="1"/>
  <c r="N499" i="1"/>
  <c r="R219" i="1"/>
  <c r="M256" i="1"/>
  <c r="O459" i="1"/>
  <c r="M616" i="1"/>
  <c r="P536" i="1"/>
  <c r="N343" i="1"/>
  <c r="U474" i="1"/>
  <c r="O640" i="1"/>
  <c r="R74" i="1"/>
  <c r="U332" i="1"/>
  <c r="Q214" i="1"/>
  <c r="L490" i="1"/>
  <c r="N640" i="1"/>
  <c r="R499" i="1"/>
  <c r="R69" i="1"/>
  <c r="R403" i="1"/>
  <c r="Q151" i="1"/>
  <c r="Q69" i="1"/>
  <c r="U523" i="1"/>
  <c r="O314" i="1"/>
  <c r="Q437" i="1"/>
  <c r="P403" i="1"/>
  <c r="K536" i="1"/>
  <c r="Q303" i="1"/>
  <c r="M29" i="1"/>
  <c r="V205" i="1"/>
  <c r="R528" i="1"/>
  <c r="I520" i="1"/>
  <c r="R542" i="1"/>
  <c r="N48" i="1"/>
  <c r="M551" i="1"/>
  <c r="K94" i="1"/>
  <c r="O227" i="1"/>
  <c r="L574" i="1"/>
  <c r="I165" i="1"/>
  <c r="H48" i="1"/>
  <c r="M431" i="1"/>
  <c r="I504" i="1"/>
  <c r="Q313" i="1"/>
  <c r="U322" i="1"/>
  <c r="Q118" i="1"/>
  <c r="K440" i="1"/>
  <c r="O528" i="1"/>
  <c r="L638" i="1"/>
  <c r="I573" i="1"/>
  <c r="M425" i="1"/>
  <c r="K238" i="1"/>
  <c r="I320" i="1"/>
  <c r="V602" i="1"/>
  <c r="H484" i="1"/>
  <c r="P526" i="1"/>
  <c r="K206" i="1"/>
  <c r="O455" i="1"/>
  <c r="M390" i="1"/>
  <c r="O62" i="1"/>
  <c r="N103" i="1"/>
  <c r="Q107" i="1"/>
  <c r="L695" i="1"/>
  <c r="P370" i="1"/>
  <c r="N81" i="1"/>
  <c r="Q180" i="1"/>
  <c r="Q587" i="1"/>
  <c r="M90" i="1"/>
  <c r="L194" i="1"/>
  <c r="N70" i="1"/>
  <c r="N387" i="1"/>
  <c r="P281" i="1"/>
  <c r="P460" i="1"/>
  <c r="R220" i="1"/>
  <c r="N90" i="1"/>
  <c r="H141" i="1"/>
  <c r="L207" i="1"/>
  <c r="H99" i="1"/>
  <c r="N645" i="1"/>
  <c r="I481" i="1"/>
  <c r="P641" i="1"/>
  <c r="R382" i="1"/>
  <c r="N141" i="1"/>
  <c r="P614" i="1"/>
  <c r="K531" i="1"/>
  <c r="P57" i="1"/>
  <c r="O225" i="1"/>
  <c r="K161" i="1"/>
  <c r="Q646" i="1"/>
  <c r="M617" i="1"/>
  <c r="O388" i="1"/>
  <c r="K608" i="1"/>
  <c r="H245" i="1"/>
  <c r="O387" i="1"/>
  <c r="N609" i="1"/>
  <c r="H541" i="1"/>
  <c r="L693" i="1"/>
  <c r="I207" i="1"/>
  <c r="H404" i="1"/>
  <c r="R550" i="1"/>
  <c r="H103" i="1"/>
  <c r="Q413" i="1"/>
  <c r="N225" i="1"/>
  <c r="K207" i="1"/>
  <c r="N509" i="1"/>
  <c r="H281" i="1"/>
  <c r="P98" i="1"/>
  <c r="P695" i="1"/>
  <c r="N501" i="1"/>
  <c r="Q220" i="1"/>
  <c r="K646" i="1"/>
  <c r="N224" i="1"/>
  <c r="I617" i="1"/>
  <c r="I54" i="1"/>
  <c r="I531" i="1"/>
  <c r="I185" i="1"/>
  <c r="H501" i="1"/>
  <c r="H258" i="1"/>
  <c r="H206" i="1"/>
  <c r="I206" i="1"/>
  <c r="L697" i="1"/>
  <c r="L655" i="1"/>
  <c r="R325" i="1"/>
  <c r="Q346" i="1"/>
  <c r="R564" i="1"/>
  <c r="I646" i="1"/>
  <c r="K154" i="1"/>
  <c r="M196" i="1"/>
  <c r="L339" i="1"/>
  <c r="L223" i="1"/>
  <c r="P667" i="1"/>
  <c r="L419" i="1"/>
  <c r="P390" i="1"/>
  <c r="Q239" i="1"/>
  <c r="R162" i="1"/>
  <c r="Q686" i="1"/>
  <c r="M645" i="1"/>
  <c r="M317" i="1"/>
  <c r="H340" i="1"/>
  <c r="N693" i="1"/>
  <c r="L363" i="1"/>
  <c r="M283" i="1"/>
  <c r="L330" i="1"/>
  <c r="Q451" i="1"/>
  <c r="Q412" i="1"/>
  <c r="Q251" i="1"/>
  <c r="L522" i="1"/>
  <c r="R85" i="1"/>
  <c r="M154" i="1"/>
  <c r="N75" i="1"/>
  <c r="N495" i="1"/>
  <c r="P461" i="1"/>
  <c r="O412" i="1"/>
  <c r="P646" i="1"/>
  <c r="O460" i="1"/>
  <c r="K186" i="1"/>
  <c r="H162" i="1"/>
  <c r="R195" i="1"/>
  <c r="H211" i="1"/>
  <c r="I686" i="1"/>
  <c r="H161" i="1"/>
  <c r="H511" i="1"/>
  <c r="Q59" i="1"/>
  <c r="H629" i="1"/>
  <c r="P194" i="1"/>
  <c r="I347" i="1"/>
  <c r="P428" i="1"/>
  <c r="Q512" i="1"/>
  <c r="H27" i="1"/>
  <c r="H464" i="1"/>
  <c r="Q245" i="1"/>
  <c r="O226" i="1"/>
  <c r="Q181" i="1"/>
  <c r="H246" i="1"/>
  <c r="Q608" i="1"/>
  <c r="I546" i="1"/>
  <c r="H23" i="1"/>
  <c r="H317" i="1"/>
  <c r="I195" i="1"/>
  <c r="Q628" i="1"/>
  <c r="Q71" i="1"/>
  <c r="K169" i="1"/>
  <c r="I107" i="1"/>
  <c r="P99" i="1"/>
  <c r="Q225" i="1"/>
  <c r="P62" i="1"/>
  <c r="M460" i="1"/>
  <c r="L382" i="1"/>
  <c r="L387" i="1"/>
  <c r="L187" i="1"/>
  <c r="N583" i="1"/>
  <c r="O512" i="1"/>
  <c r="K47" i="1"/>
  <c r="O123" i="1"/>
  <c r="O679" i="1"/>
  <c r="Q281" i="1"/>
  <c r="R518" i="1"/>
  <c r="P181" i="1"/>
  <c r="P418" i="1"/>
  <c r="N531" i="1"/>
  <c r="M416" i="1"/>
  <c r="P477" i="1"/>
  <c r="O347" i="1"/>
  <c r="L108" i="1"/>
  <c r="M52" i="1"/>
  <c r="Q455" i="1"/>
  <c r="K575" i="1"/>
  <c r="M404" i="1"/>
  <c r="L258" i="1"/>
  <c r="M412" i="1"/>
  <c r="O544" i="1"/>
  <c r="R90" i="1"/>
  <c r="L225" i="1"/>
  <c r="Q36" i="1"/>
  <c r="O389" i="1"/>
  <c r="K585" i="1"/>
  <c r="L224" i="1"/>
  <c r="K159" i="1"/>
  <c r="M495" i="1"/>
  <c r="I71" i="1"/>
  <c r="H451" i="1"/>
  <c r="R149" i="1"/>
  <c r="K196" i="1"/>
  <c r="P325" i="1"/>
  <c r="N220" i="1"/>
  <c r="H624" i="1"/>
  <c r="N416" i="1"/>
  <c r="Q380" i="1"/>
  <c r="O124" i="1"/>
  <c r="H679" i="1"/>
  <c r="Q207" i="1"/>
  <c r="Q196" i="1"/>
  <c r="N161" i="1"/>
  <c r="O428" i="1"/>
  <c r="H149" i="1"/>
  <c r="K495" i="1"/>
  <c r="H180" i="1"/>
  <c r="I339" i="1"/>
  <c r="H280" i="1"/>
  <c r="R455" i="1"/>
  <c r="O141" i="1"/>
  <c r="P629" i="1"/>
  <c r="I526" i="1"/>
  <c r="H185" i="1"/>
  <c r="O281" i="1"/>
  <c r="H124" i="1"/>
  <c r="L171" i="1"/>
  <c r="H57" i="1"/>
  <c r="K667" i="1"/>
  <c r="Q518" i="1"/>
  <c r="Q428" i="1"/>
  <c r="R655" i="1"/>
  <c r="L220" i="1"/>
  <c r="N17" i="1"/>
  <c r="K171" i="1"/>
  <c r="I86" i="1"/>
  <c r="M195" i="1"/>
  <c r="L245" i="1"/>
  <c r="N330" i="1"/>
  <c r="L169" i="1"/>
  <c r="N370" i="1"/>
  <c r="O171" i="1"/>
  <c r="O352" i="1"/>
  <c r="K360" i="1"/>
  <c r="P575" i="1"/>
  <c r="R54" i="1"/>
  <c r="P579" i="1"/>
  <c r="K404" i="1"/>
  <c r="O137" i="1"/>
  <c r="O207" i="1"/>
  <c r="N457" i="1"/>
  <c r="P434" i="1"/>
  <c r="K188" i="1"/>
  <c r="R695" i="1"/>
  <c r="P54" i="1"/>
  <c r="O228" i="1"/>
  <c r="O266" i="1"/>
  <c r="M583" i="1"/>
  <c r="R412" i="1"/>
  <c r="O263" i="1"/>
  <c r="I653" i="1"/>
  <c r="P481" i="1"/>
  <c r="N317" i="1"/>
  <c r="N283" i="1"/>
  <c r="L36" i="1"/>
  <c r="I172" i="1"/>
  <c r="P491" i="1"/>
  <c r="L585" i="1"/>
  <c r="M131" i="1"/>
  <c r="R548" i="1"/>
  <c r="O546" i="1"/>
  <c r="P35" i="1"/>
  <c r="I211" i="1"/>
  <c r="I220" i="1"/>
  <c r="M228" i="1"/>
  <c r="K123" i="1"/>
  <c r="K481" i="1"/>
  <c r="H646" i="1"/>
  <c r="M186" i="1"/>
  <c r="H653" i="1"/>
  <c r="I612" i="1"/>
  <c r="H203" i="1"/>
  <c r="R495" i="1"/>
  <c r="O103" i="1"/>
  <c r="Q617" i="1"/>
  <c r="N206" i="1"/>
  <c r="I115" i="1"/>
  <c r="O71" i="1"/>
  <c r="I521" i="1"/>
  <c r="L143" i="1"/>
  <c r="H86" i="1"/>
  <c r="K317" i="1"/>
  <c r="L54" i="1"/>
  <c r="P36" i="1"/>
  <c r="O75" i="1"/>
  <c r="P339" i="1"/>
  <c r="O196" i="1"/>
  <c r="K99" i="1"/>
  <c r="Q141" i="1"/>
  <c r="L52" i="1"/>
  <c r="O441" i="1"/>
  <c r="R59" i="1"/>
  <c r="N115" i="1"/>
  <c r="O382" i="1"/>
  <c r="Q489" i="1"/>
  <c r="P52" i="1"/>
  <c r="P372" i="1"/>
  <c r="P483" i="1"/>
  <c r="N533" i="1"/>
  <c r="R185" i="1"/>
  <c r="K390" i="1"/>
  <c r="L170" i="1"/>
  <c r="O697" i="1"/>
  <c r="L493" i="1"/>
  <c r="Q273" i="1"/>
  <c r="Q114" i="1"/>
  <c r="P47" i="1"/>
  <c r="P572" i="1"/>
  <c r="Q423" i="1"/>
  <c r="M699" i="1"/>
  <c r="K189" i="1"/>
  <c r="Q195" i="1"/>
  <c r="O489" i="1"/>
  <c r="M325" i="1"/>
  <c r="R531" i="1"/>
  <c r="R421" i="1"/>
  <c r="N406" i="1"/>
  <c r="I363" i="1"/>
  <c r="O106" i="1"/>
  <c r="L434" i="1"/>
  <c r="O451" i="1"/>
  <c r="K375" i="1"/>
  <c r="I428" i="1"/>
  <c r="R583" i="1"/>
  <c r="R617" i="1"/>
  <c r="H519" i="1"/>
  <c r="N646" i="1"/>
  <c r="P583" i="1"/>
  <c r="R75" i="1"/>
  <c r="Q503" i="1"/>
  <c r="H123" i="1"/>
  <c r="R370" i="1"/>
  <c r="H388" i="1"/>
  <c r="Q149" i="1"/>
  <c r="M159" i="1"/>
  <c r="R607" i="1"/>
  <c r="K137" i="1"/>
  <c r="P617" i="1"/>
  <c r="M206" i="1"/>
  <c r="I169" i="1"/>
  <c r="K546" i="1"/>
  <c r="I26" i="1"/>
  <c r="M503" i="1"/>
  <c r="I81" i="1"/>
  <c r="O457" i="1"/>
  <c r="M544" i="1"/>
  <c r="R579" i="1"/>
  <c r="H496" i="1"/>
  <c r="K339" i="1"/>
  <c r="Q228" i="1"/>
  <c r="K162" i="1"/>
  <c r="N187" i="1"/>
  <c r="K281" i="1"/>
  <c r="M405" i="1"/>
  <c r="R224" i="1"/>
  <c r="R194" i="1"/>
  <c r="K699" i="1"/>
  <c r="N661" i="1"/>
  <c r="M161" i="1"/>
  <c r="N497" i="1"/>
  <c r="K107" i="1"/>
  <c r="Q389" i="1"/>
  <c r="M483" i="1"/>
  <c r="M189" i="1"/>
  <c r="N281" i="1"/>
  <c r="L115" i="1"/>
  <c r="P141" i="1"/>
  <c r="R196" i="1"/>
  <c r="L460" i="1"/>
  <c r="R175" i="1"/>
  <c r="P693" i="1"/>
  <c r="L696" i="1"/>
  <c r="Q352" i="1"/>
  <c r="Q511" i="1"/>
  <c r="L172" i="1"/>
  <c r="K457" i="1"/>
  <c r="P419" i="1"/>
  <c r="Q315" i="1"/>
  <c r="N170" i="1"/>
  <c r="R686" i="1"/>
  <c r="K187" i="1"/>
  <c r="I697" i="1"/>
  <c r="K139" i="1"/>
  <c r="R123" i="1"/>
  <c r="P162" i="1"/>
  <c r="P23" i="1"/>
  <c r="Q81" i="1"/>
  <c r="Q675" i="1"/>
  <c r="H584" i="1"/>
  <c r="R264" i="1"/>
  <c r="Q224" i="1"/>
  <c r="P405" i="1"/>
  <c r="P226" i="1"/>
  <c r="I131" i="1"/>
  <c r="R62" i="1"/>
  <c r="H416" i="1"/>
  <c r="M531" i="1"/>
  <c r="R464" i="1"/>
  <c r="M391" i="1"/>
  <c r="Q546" i="1"/>
  <c r="L334" i="1"/>
  <c r="I550" i="1"/>
  <c r="M464" i="1"/>
  <c r="H699" i="1"/>
  <c r="K691" i="1"/>
  <c r="H90" i="1"/>
  <c r="Q697" i="1"/>
  <c r="H25" i="1"/>
  <c r="O667" i="1"/>
  <c r="R57" i="1"/>
  <c r="P187" i="1"/>
  <c r="I189" i="1"/>
  <c r="Q289" i="1"/>
  <c r="Q347" i="1"/>
  <c r="N572" i="1"/>
  <c r="K75" i="1"/>
  <c r="P170" i="1"/>
  <c r="O533" i="1"/>
  <c r="P503" i="1"/>
  <c r="N172" i="1"/>
  <c r="M428" i="1"/>
  <c r="L81" i="1"/>
  <c r="K483" i="1"/>
  <c r="O172" i="1"/>
  <c r="K380" i="1"/>
  <c r="M175" i="1"/>
  <c r="R143" i="1"/>
  <c r="L280" i="1"/>
  <c r="P211" i="1"/>
  <c r="N239" i="1"/>
  <c r="M457" i="1"/>
  <c r="R239" i="1"/>
  <c r="K114" i="1"/>
  <c r="N280" i="1"/>
  <c r="L676" i="1"/>
  <c r="N273" i="1"/>
  <c r="L533" i="1"/>
  <c r="Q161" i="1"/>
  <c r="K328" i="1"/>
  <c r="Q175" i="1"/>
  <c r="N413" i="1"/>
  <c r="N667" i="1"/>
  <c r="M693" i="1"/>
  <c r="M141" i="1"/>
  <c r="Q388" i="1"/>
  <c r="N428" i="1"/>
  <c r="N389" i="1"/>
  <c r="N71" i="1"/>
  <c r="O461" i="1"/>
  <c r="P413" i="1"/>
  <c r="I124" i="1"/>
  <c r="Q460" i="1"/>
  <c r="M339" i="1"/>
  <c r="R611" i="1"/>
  <c r="M188" i="1"/>
  <c r="Q699" i="1"/>
  <c r="Q572" i="1"/>
  <c r="I99" i="1"/>
  <c r="M289" i="1"/>
  <c r="M133" i="1"/>
  <c r="Q311" i="1"/>
  <c r="M70" i="1"/>
  <c r="K289" i="1"/>
  <c r="R206" i="1"/>
  <c r="Q526" i="1"/>
  <c r="H405" i="1"/>
  <c r="N641" i="1"/>
  <c r="H585" i="1"/>
  <c r="M519" i="1"/>
  <c r="H676" i="1"/>
  <c r="M676" i="1"/>
  <c r="I75" i="1"/>
  <c r="L495" i="1"/>
  <c r="M81" i="1"/>
  <c r="M372" i="1"/>
  <c r="O418" i="1"/>
  <c r="N617" i="1"/>
  <c r="M288" i="1"/>
  <c r="R391" i="1"/>
  <c r="N695" i="1"/>
  <c r="N123" i="1"/>
  <c r="N655" i="1"/>
  <c r="N496" i="1"/>
  <c r="K203" i="1"/>
  <c r="N59" i="1"/>
  <c r="L548" i="1"/>
  <c r="O686" i="1"/>
  <c r="L491" i="1"/>
  <c r="M185" i="1"/>
  <c r="Q387" i="1"/>
  <c r="O521" i="1"/>
  <c r="Q441" i="1"/>
  <c r="O579" i="1"/>
  <c r="P441" i="1"/>
  <c r="K521" i="1"/>
  <c r="Q533" i="1"/>
  <c r="K311" i="1"/>
  <c r="L41" i="1"/>
  <c r="P521" i="1"/>
  <c r="M696" i="1"/>
  <c r="R696" i="1"/>
  <c r="K628" i="1"/>
  <c r="L667" i="1"/>
  <c r="P387" i="1"/>
  <c r="N149" i="1"/>
  <c r="P416" i="1"/>
  <c r="M281" i="1"/>
  <c r="M575" i="1"/>
  <c r="K434" i="1"/>
  <c r="K579" i="1"/>
  <c r="I334" i="1"/>
  <c r="H481" i="1"/>
  <c r="N511" i="1"/>
  <c r="P455" i="1"/>
  <c r="N396" i="1"/>
  <c r="I696" i="1"/>
  <c r="P25" i="1"/>
  <c r="Q189" i="1"/>
  <c r="M102" i="1"/>
  <c r="O390" i="1"/>
  <c r="M340" i="1"/>
  <c r="P71" i="1"/>
  <c r="Q86" i="1"/>
  <c r="L372" i="1"/>
  <c r="K211" i="1"/>
  <c r="Q241" i="1"/>
  <c r="L608" i="1"/>
  <c r="I624" i="1"/>
  <c r="L628" i="1"/>
  <c r="I59" i="1"/>
  <c r="M162" i="1"/>
  <c r="I614" i="1"/>
  <c r="M224" i="1"/>
  <c r="H70" i="1"/>
  <c r="R261" i="1"/>
  <c r="H686" i="1"/>
  <c r="Q382" i="1"/>
  <c r="P608" i="1"/>
  <c r="P360" i="1"/>
  <c r="M246" i="1"/>
  <c r="R170" i="1"/>
  <c r="Q491" i="1"/>
  <c r="R404" i="1"/>
  <c r="R115" i="1"/>
  <c r="R396" i="1"/>
  <c r="M387" i="1"/>
  <c r="K36" i="1"/>
  <c r="P246" i="1"/>
  <c r="K489" i="1"/>
  <c r="M194" i="1"/>
  <c r="L686" i="1"/>
  <c r="K85" i="1"/>
  <c r="Q575" i="1"/>
  <c r="R81" i="1"/>
  <c r="K370" i="1"/>
  <c r="O583" i="1"/>
  <c r="O241" i="1"/>
  <c r="H695" i="1"/>
  <c r="K614" i="1"/>
  <c r="O587" i="1"/>
  <c r="P180" i="1"/>
  <c r="R419" i="1"/>
  <c r="O497" i="1"/>
  <c r="R133" i="1"/>
  <c r="H181" i="1"/>
  <c r="R441" i="1"/>
  <c r="L699" i="1"/>
  <c r="N180" i="1"/>
  <c r="I391" i="1"/>
  <c r="R628" i="1"/>
  <c r="I666" i="1"/>
  <c r="K59" i="1"/>
  <c r="H614" i="1"/>
  <c r="M36" i="1"/>
  <c r="H389" i="1"/>
  <c r="R691" i="1"/>
  <c r="N27" i="1"/>
  <c r="O575" i="1"/>
  <c r="K461" i="1"/>
  <c r="Q17" i="1"/>
  <c r="O434" i="1"/>
  <c r="M522" i="1"/>
  <c r="L346" i="1"/>
  <c r="Q169" i="1"/>
  <c r="M62" i="1"/>
  <c r="L154" i="1"/>
  <c r="M35" i="1"/>
  <c r="R363" i="1"/>
  <c r="M330" i="1"/>
  <c r="I102" i="1"/>
  <c r="Q550" i="1"/>
  <c r="H493" i="1"/>
  <c r="R697" i="1"/>
  <c r="I495" i="1"/>
  <c r="Q521" i="1"/>
  <c r="I496" i="1"/>
  <c r="M661" i="1"/>
  <c r="H54" i="1"/>
  <c r="O624" i="1"/>
  <c r="R273" i="1"/>
  <c r="P661" i="1"/>
  <c r="I611" i="1"/>
  <c r="L311" i="1"/>
  <c r="H159" i="1"/>
  <c r="R667" i="1"/>
  <c r="P81" i="1"/>
  <c r="K180" i="1"/>
  <c r="P611" i="1"/>
  <c r="Q531" i="1"/>
  <c r="M388" i="1"/>
  <c r="N380" i="1"/>
  <c r="R225" i="1"/>
  <c r="Q421" i="1"/>
  <c r="K419" i="1"/>
  <c r="Q99" i="1"/>
  <c r="M17" i="1"/>
  <c r="K263" i="1"/>
  <c r="O273" i="1"/>
  <c r="M103" i="1"/>
  <c r="K372" i="1"/>
  <c r="M181" i="1"/>
  <c r="M258" i="1"/>
  <c r="L137" i="1"/>
  <c r="K423" i="1"/>
  <c r="K17" i="1"/>
  <c r="M347" i="1"/>
  <c r="O661" i="1"/>
  <c r="P655" i="1"/>
  <c r="O315" i="1"/>
  <c r="P697" i="1"/>
  <c r="I114" i="1"/>
  <c r="K583" i="1"/>
  <c r="K127" i="1"/>
  <c r="N550" i="1"/>
  <c r="I226" i="1"/>
  <c r="L497" i="1"/>
  <c r="P172" i="1"/>
  <c r="P541" i="1"/>
  <c r="K451" i="1"/>
  <c r="P489" i="1"/>
  <c r="K149" i="1"/>
  <c r="H372" i="1"/>
  <c r="O98" i="1"/>
  <c r="K428" i="1"/>
  <c r="L645" i="1"/>
  <c r="P186" i="1"/>
  <c r="R288" i="1"/>
  <c r="P86" i="1"/>
  <c r="L107" i="1"/>
  <c r="L412" i="1"/>
  <c r="O503" i="1"/>
  <c r="L206" i="1"/>
  <c r="H691" i="1"/>
  <c r="N421" i="1"/>
  <c r="H413" i="1"/>
  <c r="L546" i="1"/>
  <c r="I388" i="1"/>
  <c r="M123" i="1"/>
  <c r="H380" i="1"/>
  <c r="K418" i="1"/>
  <c r="I47" i="1"/>
  <c r="N483" i="1"/>
  <c r="I675" i="1"/>
  <c r="N181" i="1"/>
  <c r="I699" i="1"/>
  <c r="N686" i="1"/>
  <c r="P624" i="1"/>
  <c r="P103" i="1"/>
  <c r="L106" i="1"/>
  <c r="Q691" i="1"/>
  <c r="N434" i="1"/>
  <c r="M470" i="1"/>
  <c r="O646" i="1"/>
  <c r="Q171" i="1"/>
  <c r="O17" i="1"/>
  <c r="M363" i="1"/>
  <c r="Q584" i="1"/>
  <c r="R457" i="1"/>
  <c r="L102" i="1"/>
  <c r="L519" i="1"/>
  <c r="O584" i="1"/>
  <c r="M564" i="1"/>
  <c r="R114" i="1"/>
  <c r="O149" i="1"/>
  <c r="R587" i="1"/>
  <c r="P261" i="1"/>
  <c r="M587" i="1"/>
  <c r="K228" i="1"/>
  <c r="R161" i="1"/>
  <c r="Q461" i="1"/>
  <c r="L405" i="1"/>
  <c r="O127" i="1"/>
  <c r="L421" i="1"/>
  <c r="I35" i="1"/>
  <c r="R347" i="1"/>
  <c r="R141" i="1"/>
  <c r="P412" i="1"/>
  <c r="H179" i="1"/>
  <c r="R328" i="1"/>
  <c r="I413" i="1"/>
  <c r="Q137" i="1"/>
  <c r="O133" i="1"/>
  <c r="P175" i="1"/>
  <c r="R641" i="1"/>
  <c r="K550" i="1"/>
  <c r="R584" i="1"/>
  <c r="N404" i="1"/>
  <c r="K340" i="1"/>
  <c r="M578" i="1"/>
  <c r="P26" i="1"/>
  <c r="R489" i="1"/>
  <c r="Q131" i="1"/>
  <c r="N251" i="1"/>
  <c r="Q578" i="1"/>
  <c r="H226" i="1"/>
  <c r="N159" i="1"/>
  <c r="I511" i="1"/>
  <c r="M54" i="1"/>
  <c r="I464" i="1"/>
  <c r="O481" i="1"/>
  <c r="I179" i="1"/>
  <c r="R169" i="1"/>
  <c r="I21" i="1"/>
  <c r="M456" i="1"/>
  <c r="H36" i="1"/>
  <c r="M451" i="1"/>
  <c r="I607" i="1"/>
  <c r="M496" i="1"/>
  <c r="M169" i="1"/>
  <c r="K334" i="1"/>
  <c r="L441" i="1"/>
  <c r="N99" i="1"/>
  <c r="M239" i="1"/>
  <c r="N263" i="1"/>
  <c r="K544" i="1"/>
  <c r="L114" i="1"/>
  <c r="R106" i="1"/>
  <c r="L375" i="1"/>
  <c r="Q583" i="1"/>
  <c r="P495" i="1"/>
  <c r="P587" i="1"/>
  <c r="L496" i="1"/>
  <c r="Q611" i="1"/>
  <c r="P266" i="1"/>
  <c r="O115" i="1"/>
  <c r="L578" i="1"/>
  <c r="I370" i="1"/>
  <c r="L416" i="1"/>
  <c r="I171" i="1"/>
  <c r="H456" i="1"/>
  <c r="Q641" i="1"/>
  <c r="Q339" i="1"/>
  <c r="L360" i="1"/>
  <c r="O195" i="1"/>
  <c r="N464" i="1"/>
  <c r="I404" i="1"/>
  <c r="N133" i="1"/>
  <c r="M280" i="1"/>
  <c r="O220" i="1"/>
  <c r="H143" i="1"/>
  <c r="P220" i="1"/>
  <c r="K441" i="1"/>
  <c r="Q47" i="1"/>
  <c r="N211" i="1"/>
  <c r="N57" i="1"/>
  <c r="P315" i="1"/>
  <c r="I289" i="1"/>
  <c r="N258" i="1"/>
  <c r="O370" i="1"/>
  <c r="L396" i="1"/>
  <c r="P609" i="1"/>
  <c r="Q179" i="1"/>
  <c r="Q585" i="1"/>
  <c r="P512" i="1"/>
  <c r="L390" i="1"/>
  <c r="L406" i="1"/>
  <c r="I485" i="1"/>
  <c r="M608" i="1"/>
  <c r="H224" i="1"/>
  <c r="P241" i="1"/>
  <c r="I70" i="1"/>
  <c r="K170" i="1"/>
  <c r="H423" i="1"/>
  <c r="P123" i="1"/>
  <c r="I328" i="1"/>
  <c r="P699" i="1"/>
  <c r="I315" i="1"/>
  <c r="O288" i="1"/>
  <c r="I288" i="1"/>
  <c r="N143" i="1"/>
  <c r="L47" i="1"/>
  <c r="M614" i="1"/>
  <c r="Q419" i="1"/>
  <c r="K56" i="1"/>
  <c r="R280" i="1"/>
  <c r="K23" i="1"/>
  <c r="M115" i="1"/>
  <c r="Q330" i="1"/>
  <c r="P239" i="1"/>
  <c r="M541" i="1"/>
  <c r="L583" i="1"/>
  <c r="Q481" i="1"/>
  <c r="O491" i="1"/>
  <c r="P666" i="1"/>
  <c r="N388" i="1"/>
  <c r="O52" i="1"/>
  <c r="H470" i="1"/>
  <c r="R159" i="1"/>
  <c r="H495" i="1"/>
  <c r="K283" i="1"/>
  <c r="I382" i="1"/>
  <c r="L646" i="1"/>
  <c r="L25" i="1"/>
  <c r="P154" i="1"/>
  <c r="L98" i="1"/>
  <c r="N346" i="1"/>
  <c r="O108" i="1"/>
  <c r="N614" i="1"/>
  <c r="I421" i="1"/>
  <c r="L56" i="1"/>
  <c r="M137" i="1"/>
  <c r="H330" i="1"/>
  <c r="H363" i="1"/>
  <c r="H360" i="1"/>
  <c r="P189" i="1"/>
  <c r="N575" i="1"/>
  <c r="H394" i="1"/>
  <c r="K696" i="1"/>
  <c r="K224" i="1"/>
  <c r="P389" i="1"/>
  <c r="O261" i="1"/>
  <c r="M85" i="1"/>
  <c r="O675" i="1"/>
  <c r="L127" i="1"/>
  <c r="L464" i="1"/>
  <c r="R546" i="1"/>
  <c r="K382" i="1"/>
  <c r="K315" i="1"/>
  <c r="I181" i="1"/>
  <c r="O406" i="1"/>
  <c r="I162" i="1"/>
  <c r="Q159" i="1"/>
  <c r="I85" i="1"/>
  <c r="N456" i="1"/>
  <c r="H375" i="1"/>
  <c r="K133" i="1"/>
  <c r="H693" i="1"/>
  <c r="Q661" i="1"/>
  <c r="H544" i="1"/>
  <c r="L370" i="1"/>
  <c r="H661" i="1"/>
  <c r="R572" i="1"/>
  <c r="I579" i="1"/>
  <c r="N485" i="1"/>
  <c r="M679" i="1"/>
  <c r="R171" i="1"/>
  <c r="P258" i="1"/>
  <c r="P496" i="1"/>
  <c r="L389" i="1"/>
  <c r="P509" i="1"/>
  <c r="N548" i="1"/>
  <c r="Q340" i="1"/>
  <c r="N461" i="1"/>
  <c r="K131" i="1"/>
  <c r="K106" i="1"/>
  <c r="O86" i="1"/>
  <c r="R575" i="1"/>
  <c r="N188" i="1"/>
  <c r="H382" i="1"/>
  <c r="K266" i="1"/>
  <c r="H434" i="1"/>
  <c r="P518" i="1"/>
  <c r="H503" i="1"/>
  <c r="L609" i="1"/>
  <c r="R330" i="1"/>
  <c r="H575" i="1"/>
  <c r="I264" i="1"/>
  <c r="R127" i="1"/>
  <c r="L149" i="1"/>
  <c r="K509" i="1"/>
  <c r="I380" i="1"/>
  <c r="M47" i="1"/>
  <c r="R339" i="1"/>
  <c r="H667" i="1"/>
  <c r="P137" i="1"/>
  <c r="K25" i="1"/>
  <c r="P139" i="1"/>
  <c r="Q612" i="1"/>
  <c r="I423" i="1"/>
  <c r="P317" i="1"/>
  <c r="R477" i="1"/>
  <c r="O311" i="1"/>
  <c r="L325" i="1"/>
  <c r="Q115" i="1"/>
  <c r="M57" i="1"/>
  <c r="L481" i="1"/>
  <c r="N470" i="1"/>
  <c r="Q185" i="1"/>
  <c r="K124" i="1"/>
  <c r="Q541" i="1"/>
  <c r="I645" i="1"/>
  <c r="K564" i="1"/>
  <c r="I27" i="1"/>
  <c r="N391" i="1"/>
  <c r="O550" i="1"/>
  <c r="Q27" i="1"/>
  <c r="I457" i="1"/>
  <c r="R26" i="1"/>
  <c r="H346" i="1"/>
  <c r="P185" i="1"/>
  <c r="I263" i="1"/>
  <c r="P159" i="1"/>
  <c r="H497" i="1"/>
  <c r="Q70" i="1"/>
  <c r="I608" i="1"/>
  <c r="L162" i="1"/>
  <c r="Q405" i="1"/>
  <c r="K686" i="1"/>
  <c r="P223" i="1"/>
  <c r="Q457" i="1"/>
  <c r="N491" i="1"/>
  <c r="L572" i="1"/>
  <c r="R246" i="1"/>
  <c r="P375" i="1"/>
  <c r="M655" i="1"/>
  <c r="R27" i="1"/>
  <c r="L75" i="1"/>
  <c r="P114" i="1"/>
  <c r="M611" i="1"/>
  <c r="M264" i="1"/>
  <c r="H696" i="1"/>
  <c r="R612" i="1"/>
  <c r="I175" i="1"/>
  <c r="M59" i="1"/>
  <c r="H315" i="1"/>
  <c r="Q102" i="1"/>
  <c r="N169" i="1"/>
  <c r="H461" i="1"/>
  <c r="M112" i="1"/>
  <c r="M328" i="1"/>
  <c r="K693" i="1"/>
  <c r="M666" i="1"/>
  <c r="H390" i="1"/>
  <c r="H239" i="1"/>
  <c r="L103" i="1"/>
  <c r="I161" i="1"/>
  <c r="K496" i="1"/>
  <c r="P263" i="1"/>
  <c r="M419" i="1"/>
  <c r="Q416" i="1"/>
  <c r="H56" i="1"/>
  <c r="Q41" i="1"/>
  <c r="O699" i="1"/>
  <c r="I460" i="1"/>
  <c r="Q470" i="1"/>
  <c r="M75" i="1"/>
  <c r="Q645" i="1"/>
  <c r="L211" i="1"/>
  <c r="L391" i="1"/>
  <c r="R154" i="1"/>
  <c r="R519" i="1"/>
  <c r="P564" i="1"/>
  <c r="M127" i="1"/>
  <c r="L90" i="1"/>
  <c r="O143" i="1"/>
  <c r="L340" i="1"/>
  <c r="P676" i="1"/>
  <c r="R416" i="1"/>
  <c r="I441" i="1"/>
  <c r="L21" i="1"/>
  <c r="I241" i="1"/>
  <c r="O372" i="1"/>
  <c r="I36" i="1"/>
  <c r="R52" i="1"/>
  <c r="I246" i="1"/>
  <c r="N607" i="1"/>
  <c r="I564" i="1"/>
  <c r="O289" i="1"/>
  <c r="M106" i="1"/>
  <c r="M493" i="1"/>
  <c r="O511" i="1"/>
  <c r="M187" i="1"/>
  <c r="R47" i="1"/>
  <c r="N112" i="1"/>
  <c r="L239" i="1"/>
  <c r="N608" i="1"/>
  <c r="N47" i="1"/>
  <c r="R470" i="1"/>
  <c r="M548" i="1"/>
  <c r="P607" i="1"/>
  <c r="H334" i="1"/>
  <c r="Q501" i="1"/>
  <c r="I489" i="1"/>
  <c r="M521" i="1"/>
  <c r="H133" i="1"/>
  <c r="N699" i="1"/>
  <c r="H266" i="1"/>
  <c r="P522" i="1"/>
  <c r="Q360" i="1"/>
  <c r="H578" i="1"/>
  <c r="L587" i="1"/>
  <c r="R266" i="1"/>
  <c r="P90" i="1"/>
  <c r="N315" i="1"/>
  <c r="I655" i="1"/>
  <c r="M179" i="1"/>
  <c r="K653" i="1"/>
  <c r="K21" i="1"/>
  <c r="P59" i="1"/>
  <c r="K697" i="1"/>
  <c r="N196" i="1"/>
  <c r="R124" i="1"/>
  <c r="H106" i="1"/>
  <c r="L428" i="1"/>
  <c r="L477" i="1"/>
  <c r="O27" i="1"/>
  <c r="K26" i="1"/>
  <c r="N41" i="1"/>
  <c r="K86" i="1"/>
  <c r="R251" i="1"/>
  <c r="M211" i="1"/>
  <c r="R493" i="1"/>
  <c r="O531" i="1"/>
  <c r="Q624" i="1"/>
  <c r="L526" i="1"/>
  <c r="Q206" i="1"/>
  <c r="K108" i="1"/>
  <c r="K389" i="1"/>
  <c r="P288" i="1"/>
  <c r="K609" i="1"/>
  <c r="O522" i="1"/>
  <c r="L641" i="1"/>
  <c r="N25" i="1"/>
  <c r="M352" i="1"/>
  <c r="I394" i="1"/>
  <c r="K629" i="1"/>
  <c r="H512" i="1"/>
  <c r="N363" i="1"/>
  <c r="H189" i="1"/>
  <c r="O404" i="1"/>
  <c r="I261" i="1"/>
  <c r="P451" i="1"/>
  <c r="Q693" i="1"/>
  <c r="N114" i="1"/>
  <c r="R646" i="1"/>
  <c r="L550" i="1"/>
  <c r="H188" i="1"/>
  <c r="O224" i="1"/>
  <c r="H548" i="1"/>
  <c r="K617" i="1"/>
  <c r="R461" i="1"/>
  <c r="L315" i="1"/>
  <c r="O194" i="1"/>
  <c r="R360" i="1"/>
  <c r="H311" i="1"/>
  <c r="L501" i="1"/>
  <c r="I194" i="1"/>
  <c r="N56" i="1"/>
  <c r="I578" i="1"/>
  <c r="P406" i="1"/>
  <c r="Q404" i="1"/>
  <c r="N518" i="1"/>
  <c r="M641" i="1"/>
  <c r="I225" i="1"/>
  <c r="N522" i="1"/>
  <c r="L607" i="1"/>
  <c r="L661" i="1"/>
  <c r="K522" i="1"/>
  <c r="N185" i="1"/>
  <c r="R226" i="1"/>
  <c r="P27" i="1"/>
  <c r="M609" i="1"/>
  <c r="I52" i="1"/>
  <c r="Q186" i="1"/>
  <c r="P391" i="1"/>
  <c r="O501" i="1"/>
  <c r="N21" i="1"/>
  <c r="O70" i="1"/>
  <c r="H52" i="1"/>
  <c r="Q154" i="1"/>
  <c r="L679" i="1"/>
  <c r="L17" i="1"/>
  <c r="R315" i="1"/>
  <c r="M108" i="1"/>
  <c r="R241" i="1"/>
  <c r="P311" i="1"/>
  <c r="O90" i="1"/>
  <c r="O541" i="1"/>
  <c r="N526" i="1"/>
  <c r="Q25" i="1"/>
  <c r="R228" i="1"/>
  <c r="M628" i="1"/>
  <c r="R394" i="1"/>
  <c r="K485" i="1"/>
  <c r="Q375" i="1"/>
  <c r="Q283" i="1"/>
  <c r="N137" i="1"/>
  <c r="I629" i="1"/>
  <c r="P283" i="1"/>
  <c r="H608" i="1"/>
  <c r="Q485" i="1"/>
  <c r="I188" i="1"/>
  <c r="Q127" i="1"/>
  <c r="I518" i="1"/>
  <c r="P396" i="1"/>
  <c r="M245" i="1"/>
  <c r="Q609" i="1"/>
  <c r="I584" i="1"/>
  <c r="M86" i="1"/>
  <c r="N328" i="1"/>
  <c r="P493" i="1"/>
  <c r="M346" i="1"/>
  <c r="L614" i="1"/>
  <c r="I360" i="1"/>
  <c r="L485" i="1"/>
  <c r="K179" i="1"/>
  <c r="N154" i="1"/>
  <c r="H521" i="1"/>
  <c r="R653" i="1"/>
  <c r="I541" i="1"/>
  <c r="M501" i="1"/>
  <c r="I90" i="1"/>
  <c r="N628" i="1"/>
  <c r="O251" i="1"/>
  <c r="L59" i="1"/>
  <c r="O325" i="1"/>
  <c r="H102" i="1"/>
  <c r="K695" i="1"/>
  <c r="Q363" i="1"/>
  <c r="O328" i="1"/>
  <c r="N418" i="1"/>
  <c r="R334" i="1"/>
  <c r="K421" i="1"/>
  <c r="P585" i="1"/>
  <c r="R456" i="1"/>
  <c r="H641" i="1"/>
  <c r="N419" i="1"/>
  <c r="Q434" i="1"/>
  <c r="R25" i="1"/>
  <c r="N493" i="1"/>
  <c r="K103" i="1"/>
  <c r="K533" i="1"/>
  <c r="O180" i="1"/>
  <c r="N102" i="1"/>
  <c r="I203" i="1"/>
  <c r="R181" i="1"/>
  <c r="P519" i="1"/>
  <c r="N503" i="1"/>
  <c r="O211" i="1"/>
  <c r="K172" i="1"/>
  <c r="O413" i="1"/>
  <c r="M653" i="1"/>
  <c r="N521" i="1"/>
  <c r="L181" i="1"/>
  <c r="R483" i="1"/>
  <c r="O391" i="1"/>
  <c r="L35" i="1"/>
  <c r="N352" i="1"/>
  <c r="M99" i="1"/>
  <c r="L483" i="1"/>
  <c r="I317" i="1"/>
  <c r="I186" i="1"/>
  <c r="O161" i="1"/>
  <c r="M149" i="1"/>
  <c r="M220" i="1"/>
  <c r="K245" i="1"/>
  <c r="M686" i="1"/>
  <c r="K413" i="1"/>
  <c r="M226" i="1"/>
  <c r="M691" i="1"/>
  <c r="L241" i="1"/>
  <c r="K460" i="1"/>
  <c r="P421" i="1"/>
  <c r="K406" i="1"/>
  <c r="H609" i="1"/>
  <c r="Q258" i="1"/>
  <c r="Q328" i="1"/>
  <c r="L228" i="1"/>
  <c r="L531" i="1"/>
  <c r="N52" i="1"/>
  <c r="O21" i="1"/>
  <c r="M624" i="1"/>
  <c r="R522" i="1"/>
  <c r="I483" i="1"/>
  <c r="H339" i="1"/>
  <c r="H412" i="1"/>
  <c r="Q170" i="1"/>
  <c r="O495" i="1"/>
  <c r="Q579" i="1"/>
  <c r="O189" i="1"/>
  <c r="O154" i="1"/>
  <c r="R423" i="1"/>
  <c r="O187" i="1"/>
  <c r="K645" i="1"/>
  <c r="O188" i="1"/>
  <c r="O330" i="1"/>
  <c r="L70" i="1"/>
  <c r="O283" i="1"/>
  <c r="N139" i="1"/>
  <c r="K226" i="1"/>
  <c r="K611" i="1"/>
  <c r="P328" i="1"/>
  <c r="I544" i="1"/>
  <c r="L57" i="1"/>
  <c r="M27" i="1"/>
  <c r="Q548" i="1"/>
  <c r="R533" i="1"/>
  <c r="M180" i="1"/>
  <c r="L159" i="1"/>
  <c r="N460" i="1"/>
  <c r="P225" i="1"/>
  <c r="N360" i="1"/>
  <c r="O85" i="1"/>
  <c r="K587" i="1"/>
  <c r="R207" i="1"/>
  <c r="M263" i="1"/>
  <c r="P207" i="1"/>
  <c r="R496" i="1"/>
  <c r="L584" i="1"/>
  <c r="M612" i="1"/>
  <c r="H455" i="1"/>
  <c r="I372" i="1"/>
  <c r="K607" i="1"/>
  <c r="N455" i="1"/>
  <c r="O611" i="1"/>
  <c r="L347" i="1"/>
  <c r="O81" i="1"/>
  <c r="H428" i="1"/>
  <c r="K251" i="1"/>
  <c r="L273" i="1"/>
  <c r="O99" i="1"/>
  <c r="R108" i="1"/>
  <c r="N175" i="1"/>
  <c r="N382" i="1"/>
  <c r="Q391" i="1"/>
  <c r="K464" i="1"/>
  <c r="P171" i="1"/>
  <c r="R99" i="1"/>
  <c r="P423" i="1"/>
  <c r="H579" i="1"/>
  <c r="M71" i="1"/>
  <c r="L579" i="1"/>
  <c r="M124" i="1"/>
  <c r="Q325" i="1"/>
  <c r="N35" i="1"/>
  <c r="R340" i="1"/>
  <c r="Q56" i="1"/>
  <c r="Q139" i="1"/>
  <c r="N223" i="1"/>
  <c r="I180" i="1"/>
  <c r="H131" i="1"/>
  <c r="H71" i="1"/>
  <c r="N578" i="1"/>
  <c r="M56" i="1"/>
  <c r="H175" i="1"/>
  <c r="R23" i="1"/>
  <c r="L317" i="1"/>
  <c r="K90" i="1"/>
  <c r="H41" i="1"/>
  <c r="R413" i="1"/>
  <c r="K572" i="1"/>
  <c r="O280" i="1"/>
  <c r="O346" i="1"/>
  <c r="M139" i="1"/>
  <c r="K655" i="1"/>
  <c r="M273" i="1"/>
  <c r="Q194" i="1"/>
  <c r="L289" i="1"/>
  <c r="H352" i="1"/>
  <c r="I509" i="1"/>
  <c r="N179" i="1"/>
  <c r="M143" i="1"/>
  <c r="O485" i="1"/>
  <c r="O36" i="1"/>
  <c r="I41" i="1"/>
  <c r="Q112" i="1"/>
  <c r="O464" i="1"/>
  <c r="O239" i="1"/>
  <c r="O206" i="1"/>
  <c r="L124" i="1"/>
  <c r="K27" i="1"/>
  <c r="P131" i="1"/>
  <c r="K405" i="1"/>
  <c r="Q123" i="1"/>
  <c r="P21" i="1"/>
  <c r="H325" i="1"/>
  <c r="O340" i="1"/>
  <c r="R675" i="1"/>
  <c r="M172" i="1"/>
  <c r="O23" i="1"/>
  <c r="Q418" i="1"/>
  <c r="H526" i="1"/>
  <c r="R375" i="1"/>
  <c r="P352" i="1"/>
  <c r="R71" i="1"/>
  <c r="O375" i="1"/>
  <c r="R406" i="1"/>
  <c r="Q696" i="1"/>
  <c r="I456" i="1"/>
  <c r="H391" i="1"/>
  <c r="L288" i="1"/>
  <c r="I572" i="1"/>
  <c r="I609" i="1"/>
  <c r="H477" i="1"/>
  <c r="M423" i="1"/>
  <c r="I17" i="1"/>
  <c r="H485" i="1"/>
  <c r="N266" i="1"/>
  <c r="M546" i="1"/>
  <c r="M396" i="1"/>
  <c r="L503" i="1"/>
  <c r="M607" i="1"/>
  <c r="M380" i="1"/>
  <c r="O617" i="1"/>
  <c r="M382" i="1"/>
  <c r="O470" i="1"/>
  <c r="L131" i="1"/>
  <c r="I352" i="1"/>
  <c r="I641" i="1"/>
  <c r="I137" i="1"/>
  <c r="L624" i="1"/>
  <c r="N36" i="1"/>
  <c r="N207" i="1"/>
  <c r="R460" i="1"/>
  <c r="L544" i="1"/>
  <c r="P124" i="1"/>
  <c r="L509" i="1"/>
  <c r="M98" i="1"/>
  <c r="K195" i="1"/>
  <c r="O666" i="1"/>
  <c r="M518" i="1"/>
  <c r="R346" i="1"/>
  <c r="L86" i="1"/>
  <c r="P106" i="1"/>
  <c r="O203" i="1"/>
  <c r="O394" i="1"/>
  <c r="Q261" i="1"/>
  <c r="O614" i="1"/>
  <c r="L261" i="1"/>
  <c r="M251" i="1"/>
  <c r="M389" i="1"/>
  <c r="L179" i="1"/>
  <c r="I311" i="1"/>
  <c r="N339" i="1"/>
  <c r="K511" i="1"/>
  <c r="Q264" i="1"/>
  <c r="M584" i="1"/>
  <c r="O696" i="1"/>
  <c r="R503" i="1"/>
  <c r="O493" i="1"/>
  <c r="O169" i="1"/>
  <c r="R311" i="1"/>
  <c r="K52" i="1"/>
  <c r="O181" i="1"/>
  <c r="M241" i="1"/>
  <c r="L99" i="1"/>
  <c r="I143" i="1"/>
  <c r="I57" i="1"/>
  <c r="N653" i="1"/>
  <c r="R352" i="1"/>
  <c r="K477" i="1"/>
  <c r="R139" i="1"/>
  <c r="L352" i="1"/>
  <c r="M434" i="1"/>
  <c r="L418" i="1"/>
  <c r="L263" i="1"/>
  <c r="I25" i="1"/>
  <c r="M311" i="1"/>
  <c r="P289" i="1"/>
  <c r="O223" i="1"/>
  <c r="H328" i="1"/>
  <c r="M512" i="1"/>
  <c r="R526" i="1"/>
  <c r="K526" i="1"/>
  <c r="N127" i="1"/>
  <c r="K661" i="1"/>
  <c r="M375" i="1"/>
  <c r="L123" i="1"/>
  <c r="R405" i="1"/>
  <c r="O693" i="1"/>
  <c r="P107" i="1"/>
  <c r="P382" i="1"/>
  <c r="I325" i="1"/>
  <c r="H207" i="1"/>
  <c r="Q477" i="1"/>
  <c r="P188" i="1"/>
  <c r="L675" i="1"/>
  <c r="K225" i="1"/>
  <c r="Q667" i="1"/>
  <c r="M695" i="1"/>
  <c r="H697" i="1"/>
  <c r="R380" i="1"/>
  <c r="H170" i="1"/>
  <c r="O179" i="1"/>
  <c r="N334" i="1"/>
  <c r="R578" i="1"/>
  <c r="L380" i="1"/>
  <c r="M511" i="1"/>
  <c r="K541" i="1"/>
  <c r="I390" i="1"/>
  <c r="O641" i="1"/>
  <c r="H628" i="1"/>
  <c r="I493" i="1"/>
  <c r="O456" i="1"/>
  <c r="P347" i="1"/>
  <c r="H655" i="1"/>
  <c r="O360" i="1"/>
  <c r="N203" i="1"/>
  <c r="I170" i="1"/>
  <c r="O170" i="1"/>
  <c r="R103" i="1"/>
  <c r="M223" i="1"/>
  <c r="N85" i="1"/>
  <c r="L404" i="1"/>
  <c r="Q52" i="1"/>
  <c r="Q211" i="1"/>
  <c r="R56" i="1"/>
  <c r="N186" i="1"/>
  <c r="P584" i="1"/>
  <c r="N611" i="1"/>
  <c r="H587" i="1"/>
  <c r="I461" i="1"/>
  <c r="I108" i="1"/>
  <c r="H675" i="1"/>
  <c r="N375" i="1"/>
  <c r="Q653" i="1"/>
  <c r="K41" i="1"/>
  <c r="I224" i="1"/>
  <c r="L489" i="1"/>
  <c r="P143" i="1"/>
  <c r="H546" i="1"/>
  <c r="Q162" i="1"/>
  <c r="K280" i="1"/>
  <c r="Q655" i="1"/>
  <c r="K394" i="1"/>
  <c r="O416" i="1"/>
  <c r="I187" i="1"/>
  <c r="K241" i="1"/>
  <c r="R289" i="1"/>
  <c r="P388" i="1"/>
  <c r="L264" i="1"/>
  <c r="M266" i="1"/>
  <c r="K501" i="1"/>
  <c r="M261" i="1"/>
  <c r="M526" i="1"/>
  <c r="Q26" i="1"/>
  <c r="K363" i="1"/>
  <c r="L455" i="1"/>
  <c r="O609" i="1"/>
  <c r="N226" i="1"/>
  <c r="L611" i="1"/>
  <c r="R544" i="1"/>
  <c r="H522" i="1"/>
  <c r="H169" i="1"/>
  <c r="I522" i="1"/>
  <c r="Q263" i="1"/>
  <c r="L653" i="1"/>
  <c r="H283" i="1"/>
  <c r="K175" i="1"/>
  <c r="P75" i="1"/>
  <c r="P511" i="1"/>
  <c r="P56" i="1"/>
  <c r="L564" i="1"/>
  <c r="P203" i="1"/>
  <c r="I62" i="1"/>
  <c r="M455" i="1"/>
  <c r="N131" i="1"/>
  <c r="K493" i="1"/>
  <c r="P457" i="1"/>
  <c r="P691" i="1"/>
  <c r="O695" i="1"/>
  <c r="K388" i="1"/>
  <c r="H196" i="1"/>
  <c r="H421" i="1"/>
  <c r="I667" i="1"/>
  <c r="K71" i="1"/>
  <c r="L691" i="1"/>
  <c r="O612" i="1"/>
  <c r="M491" i="1"/>
  <c r="H47" i="1"/>
  <c r="N481" i="1"/>
  <c r="M406" i="1"/>
  <c r="P196" i="1"/>
  <c r="N564" i="1"/>
  <c r="O339" i="1"/>
  <c r="K273" i="1"/>
  <c r="Q75" i="1"/>
  <c r="M25" i="1"/>
  <c r="N691" i="1"/>
  <c r="I396" i="1"/>
  <c r="K352" i="1"/>
  <c r="I503" i="1"/>
  <c r="H387" i="1"/>
  <c r="K676" i="1"/>
  <c r="K194" i="1"/>
  <c r="I330" i="1"/>
  <c r="H107" i="1"/>
  <c r="K98" i="1"/>
  <c r="P112" i="1"/>
  <c r="L413" i="1"/>
  <c r="O334" i="1"/>
  <c r="K346" i="1"/>
  <c r="L186" i="1"/>
  <c r="O102" i="1"/>
  <c r="I583" i="1"/>
  <c r="I434" i="1"/>
  <c r="I389" i="1"/>
  <c r="I245" i="1"/>
  <c r="P612" i="1"/>
  <c r="Q564" i="1"/>
  <c r="L457" i="1"/>
  <c r="I585" i="1"/>
  <c r="I340" i="1"/>
  <c r="O131" i="1"/>
  <c r="H85" i="1"/>
  <c r="N423" i="1"/>
  <c r="R131" i="1"/>
  <c r="H441" i="1"/>
  <c r="I127" i="1"/>
  <c r="H289" i="1"/>
  <c r="N372" i="1"/>
  <c r="R676" i="1"/>
  <c r="H531" i="1"/>
  <c r="K258" i="1"/>
  <c r="H194" i="1"/>
  <c r="I273" i="1"/>
  <c r="H62" i="1"/>
  <c r="I470" i="1"/>
  <c r="H418" i="1"/>
  <c r="H583" i="1"/>
  <c r="K141" i="1"/>
  <c r="O246" i="1"/>
  <c r="M579" i="1"/>
  <c r="P531" i="1"/>
  <c r="O114" i="1"/>
  <c r="M21" i="1"/>
  <c r="P394" i="1"/>
  <c r="P544" i="1"/>
  <c r="H460" i="1"/>
  <c r="H171" i="1"/>
  <c r="I123" i="1"/>
  <c r="H35" i="1"/>
  <c r="P330" i="1"/>
  <c r="Q509" i="1"/>
  <c r="P550" i="1"/>
  <c r="H186" i="1"/>
  <c r="Q390" i="1"/>
  <c r="R390" i="1"/>
  <c r="K416" i="1"/>
  <c r="R491" i="1"/>
  <c r="P195" i="1"/>
  <c r="H26" i="1"/>
  <c r="O628" i="1"/>
  <c r="K246" i="1"/>
  <c r="K220" i="1"/>
  <c r="N390" i="1"/>
  <c r="K503" i="1"/>
  <c r="R645" i="1"/>
  <c r="O509" i="1"/>
  <c r="Q544" i="1"/>
  <c r="Q280" i="1"/>
  <c r="H187" i="1"/>
  <c r="H457" i="1"/>
  <c r="H59" i="1"/>
  <c r="P578" i="1"/>
  <c r="N108" i="1"/>
  <c r="P404" i="1"/>
  <c r="N612" i="1"/>
  <c r="H509" i="1"/>
  <c r="P464" i="1"/>
  <c r="L575" i="1"/>
  <c r="H251" i="1"/>
  <c r="R501" i="1"/>
  <c r="L388" i="1"/>
  <c r="I346" i="1"/>
  <c r="H533" i="1"/>
  <c r="N194" i="1"/>
  <c r="L141" i="1"/>
  <c r="H261" i="1"/>
  <c r="R172" i="1"/>
  <c r="M203" i="1"/>
  <c r="H75" i="1"/>
  <c r="L283" i="1"/>
  <c r="P169" i="1"/>
  <c r="O519" i="1"/>
  <c r="K347" i="1"/>
  <c r="K81" i="1"/>
  <c r="R258" i="1"/>
  <c r="I103" i="1"/>
  <c r="I112" i="1"/>
  <c r="I280" i="1"/>
  <c r="L266" i="1"/>
  <c r="O25" i="1"/>
  <c r="L23" i="1"/>
  <c r="Q35" i="1"/>
  <c r="I575" i="1"/>
  <c r="P224" i="1"/>
  <c r="Q317" i="1"/>
  <c r="N264" i="1"/>
  <c r="O380" i="1"/>
  <c r="O419" i="1"/>
  <c r="I691" i="1"/>
  <c r="R35" i="1"/>
  <c r="N546" i="1"/>
  <c r="M421" i="1"/>
  <c r="H572" i="1"/>
  <c r="Q172" i="1"/>
  <c r="M533" i="1"/>
  <c r="R693" i="1"/>
  <c r="I491" i="1"/>
  <c r="L617" i="1"/>
  <c r="H154" i="1"/>
  <c r="I695" i="1"/>
  <c r="I56" i="1"/>
  <c r="I266" i="1"/>
  <c r="L281" i="1"/>
  <c r="K666" i="1"/>
  <c r="O653" i="1"/>
  <c r="I416" i="1"/>
  <c r="Q288" i="1"/>
  <c r="R70" i="1"/>
  <c r="N541" i="1"/>
  <c r="L470" i="1"/>
  <c r="N124" i="1"/>
  <c r="N584" i="1"/>
  <c r="O112" i="1"/>
  <c r="O421" i="1"/>
  <c r="R481" i="1"/>
  <c r="Q98" i="1"/>
  <c r="M489" i="1"/>
  <c r="H288" i="1"/>
  <c r="M225" i="1"/>
  <c r="I281" i="1"/>
  <c r="Q614" i="1"/>
  <c r="R497" i="1"/>
  <c r="R41" i="1"/>
  <c r="R389" i="1"/>
  <c r="H611" i="1"/>
  <c r="Q522" i="1"/>
  <c r="L226" i="1"/>
  <c r="P161" i="1"/>
  <c r="N261" i="1"/>
  <c r="R666" i="1"/>
  <c r="R661" i="1"/>
  <c r="L85" i="1"/>
  <c r="I223" i="1"/>
  <c r="K455" i="1"/>
  <c r="K143" i="1"/>
  <c r="Q629" i="1"/>
  <c r="K491" i="1"/>
  <c r="P127" i="1"/>
  <c r="O264" i="1"/>
  <c r="N519" i="1"/>
  <c r="H241" i="1"/>
  <c r="K624" i="1"/>
  <c r="L71" i="1"/>
  <c r="N288" i="1"/>
  <c r="N477" i="1"/>
  <c r="K62" i="1"/>
  <c r="P228" i="1"/>
  <c r="H564" i="1"/>
  <c r="N246" i="1"/>
  <c r="P102" i="1"/>
  <c r="Q85" i="1"/>
  <c r="H483" i="1"/>
  <c r="P675" i="1"/>
  <c r="R521" i="1"/>
  <c r="N412" i="1"/>
  <c r="Q519" i="1"/>
  <c r="L26" i="1"/>
  <c r="K470" i="1"/>
  <c r="Q187" i="1"/>
  <c r="I679" i="1"/>
  <c r="O483" i="1"/>
  <c r="R418" i="1"/>
  <c r="Q143" i="1"/>
  <c r="P696" i="1"/>
  <c r="O645" i="1"/>
  <c r="P470" i="1"/>
  <c r="R283" i="1"/>
  <c r="M171" i="1"/>
  <c r="O564" i="1"/>
  <c r="N54" i="1"/>
  <c r="K261" i="1"/>
  <c r="M441" i="1"/>
  <c r="L451" i="1"/>
  <c r="P497" i="1"/>
  <c r="I405" i="1"/>
  <c r="N98" i="1"/>
  <c r="P679" i="1"/>
  <c r="K584" i="1"/>
  <c r="L188" i="1"/>
  <c r="Q666" i="1"/>
  <c r="O35" i="1"/>
  <c r="O363" i="1"/>
  <c r="P485" i="1"/>
  <c r="M675" i="1"/>
  <c r="L175" i="1"/>
  <c r="H127" i="1"/>
  <c r="O162" i="1"/>
  <c r="O608" i="1"/>
  <c r="R179" i="1"/>
  <c r="I139" i="1"/>
  <c r="L612" i="1"/>
  <c r="Q406" i="1"/>
  <c r="R112" i="1"/>
  <c r="N26" i="1"/>
  <c r="R428" i="1"/>
  <c r="P533" i="1"/>
  <c r="K325" i="1"/>
  <c r="K54" i="1"/>
  <c r="K456" i="1"/>
  <c r="P115" i="1"/>
  <c r="I154" i="1"/>
  <c r="I501" i="1"/>
  <c r="O175" i="1"/>
  <c r="Q370" i="1"/>
  <c r="Q676" i="1"/>
  <c r="M315" i="1"/>
  <c r="R317" i="1"/>
  <c r="R585" i="1"/>
  <c r="K675" i="1"/>
  <c r="P85" i="1"/>
  <c r="K102" i="1"/>
  <c r="R98" i="1"/>
  <c r="R609" i="1"/>
  <c r="R245" i="1"/>
  <c r="I661" i="1"/>
  <c r="R180" i="1"/>
  <c r="I283" i="1"/>
  <c r="M667" i="1"/>
  <c r="N624" i="1"/>
  <c r="I419" i="1"/>
  <c r="R451" i="1"/>
  <c r="N394" i="1"/>
  <c r="P108" i="1"/>
  <c r="Q679" i="1"/>
  <c r="I587" i="1"/>
  <c r="R223" i="1"/>
  <c r="R107" i="1"/>
  <c r="M360" i="1"/>
  <c r="P206" i="1"/>
  <c r="O526" i="1"/>
  <c r="Q226" i="1"/>
  <c r="O59" i="1"/>
  <c r="Q103" i="1"/>
  <c r="H491" i="1"/>
  <c r="Q21" i="1"/>
  <c r="M26" i="1"/>
  <c r="P363" i="1"/>
  <c r="L246" i="1"/>
  <c r="I149" i="1"/>
  <c r="K223" i="1"/>
  <c r="Q695" i="1"/>
  <c r="R509" i="1"/>
  <c r="P273" i="1"/>
  <c r="I497" i="1"/>
  <c r="N629" i="1"/>
  <c r="R372" i="1"/>
  <c r="M697" i="1"/>
  <c r="Q495" i="1"/>
  <c r="I406" i="1"/>
  <c r="N86" i="1"/>
  <c r="L180" i="1"/>
  <c r="R189" i="1"/>
  <c r="O258" i="1"/>
  <c r="I196" i="1"/>
  <c r="M646" i="1"/>
  <c r="Q483" i="1"/>
  <c r="O629" i="1"/>
  <c r="K181" i="1"/>
  <c r="Q334" i="1"/>
  <c r="M413" i="1"/>
  <c r="N340" i="1"/>
  <c r="O57" i="1"/>
  <c r="I258" i="1"/>
  <c r="N311" i="1"/>
  <c r="L394" i="1"/>
  <c r="R388" i="1"/>
  <c r="N162" i="1"/>
  <c r="N107" i="1"/>
  <c r="P501" i="1"/>
  <c r="K239" i="1"/>
  <c r="R387" i="1"/>
  <c r="L423" i="1"/>
  <c r="H396" i="1"/>
  <c r="O396" i="1"/>
  <c r="N405" i="1"/>
  <c r="O477" i="1"/>
  <c r="M23" i="1"/>
  <c r="I693" i="1"/>
  <c r="P149" i="1"/>
  <c r="K396" i="1"/>
  <c r="P41" i="1"/>
  <c r="O186" i="1"/>
  <c r="K288" i="1"/>
  <c r="M481" i="1"/>
  <c r="I548" i="1"/>
  <c r="I23" i="1"/>
  <c r="M585" i="1"/>
  <c r="K519" i="1"/>
  <c r="N189" i="1"/>
  <c r="R614" i="1"/>
  <c r="Q496" i="1"/>
  <c r="I239" i="1"/>
  <c r="R186" i="1"/>
  <c r="H195" i="1"/>
  <c r="N679" i="1"/>
  <c r="N228" i="1"/>
  <c r="P70" i="1"/>
  <c r="N23" i="1"/>
  <c r="N245" i="1"/>
  <c r="I451" i="1"/>
  <c r="L196" i="1"/>
  <c r="P334" i="1"/>
  <c r="M550" i="1"/>
  <c r="H263" i="1"/>
  <c r="Q266" i="1"/>
  <c r="Q372" i="1"/>
  <c r="N195" i="1"/>
  <c r="H347" i="1"/>
  <c r="L195" i="1"/>
  <c r="I98" i="1"/>
  <c r="I519" i="1"/>
  <c r="M629" i="1"/>
  <c r="R512" i="1"/>
  <c r="P645" i="1"/>
  <c r="P280" i="1"/>
  <c r="H81" i="1"/>
  <c r="K612" i="1"/>
  <c r="H617" i="1"/>
  <c r="R679" i="1"/>
  <c r="N587" i="1"/>
  <c r="M485" i="1"/>
  <c r="O578" i="1"/>
  <c r="K679" i="1"/>
  <c r="Q90" i="1"/>
  <c r="P17" i="1"/>
  <c r="L203" i="1"/>
  <c r="I676" i="1"/>
  <c r="N62" i="1"/>
  <c r="N675" i="1"/>
  <c r="I455" i="1"/>
  <c r="N489" i="1"/>
  <c r="K330" i="1"/>
  <c r="R541" i="1"/>
  <c r="N241" i="1"/>
  <c r="I387" i="1"/>
  <c r="O159" i="1"/>
  <c r="O26" i="1"/>
  <c r="O317" i="1"/>
  <c r="I133" i="1"/>
  <c r="K115" i="1"/>
  <c r="P628" i="1"/>
  <c r="R511" i="1"/>
  <c r="R281" i="1"/>
  <c r="H17" i="1"/>
  <c r="P251" i="1"/>
  <c r="M170" i="1"/>
  <c r="O518" i="1"/>
  <c r="H370" i="1"/>
  <c r="K641" i="1"/>
  <c r="M41" i="1"/>
  <c r="M370" i="1"/>
  <c r="H419" i="1"/>
  <c r="H666" i="1"/>
  <c r="R137" i="1"/>
  <c r="R608" i="1"/>
  <c r="M509" i="1"/>
  <c r="M572" i="1"/>
  <c r="H223" i="1"/>
  <c r="P686" i="1"/>
  <c r="Q464" i="1"/>
  <c r="P456" i="1"/>
  <c r="O572" i="1"/>
  <c r="L27" i="1"/>
  <c r="Q607" i="1"/>
  <c r="L666" i="1"/>
  <c r="O548" i="1"/>
  <c r="M207" i="1"/>
  <c r="R629" i="1"/>
  <c r="P133" i="1"/>
  <c r="H645" i="1"/>
  <c r="N585" i="1"/>
  <c r="K70" i="1"/>
  <c r="O585" i="1"/>
  <c r="N171" i="1"/>
  <c r="Q188" i="1"/>
  <c r="K518" i="1"/>
  <c r="H518" i="1"/>
  <c r="L511" i="1"/>
  <c r="P380" i="1"/>
  <c r="L112" i="1"/>
  <c r="P546" i="1"/>
  <c r="I412" i="1"/>
  <c r="Q108" i="1"/>
  <c r="H172" i="1"/>
  <c r="O107" i="1"/>
  <c r="R211" i="1"/>
  <c r="Q493" i="1"/>
  <c r="O41" i="1"/>
  <c r="R21" i="1"/>
  <c r="P346" i="1"/>
  <c r="N579" i="1"/>
  <c r="R188" i="1"/>
  <c r="M334" i="1"/>
  <c r="K512" i="1"/>
  <c r="L62" i="1"/>
  <c r="I141" i="1"/>
  <c r="O676" i="1"/>
  <c r="Q394" i="1"/>
  <c r="L629" i="1"/>
  <c r="L251" i="1"/>
  <c r="L189" i="1"/>
  <c r="N451" i="1"/>
  <c r="O423" i="1"/>
  <c r="R36" i="1"/>
  <c r="M461" i="1"/>
  <c r="H225" i="1"/>
  <c r="N347" i="1"/>
  <c r="H137" i="1"/>
  <c r="L518" i="1"/>
  <c r="O245" i="1"/>
  <c r="N676" i="1"/>
  <c r="L461" i="1"/>
  <c r="R434" i="1"/>
  <c r="K548" i="1"/>
  <c r="P245" i="1"/>
  <c r="I533" i="1"/>
  <c r="N697" i="1"/>
  <c r="Q456" i="1"/>
  <c r="K391" i="1"/>
  <c r="O139" i="1"/>
  <c r="N666" i="1"/>
  <c r="I251" i="1"/>
  <c r="H607" i="1"/>
  <c r="Q246" i="1"/>
  <c r="Q223" i="1"/>
  <c r="M107" i="1"/>
  <c r="K264" i="1"/>
  <c r="O655" i="1"/>
  <c r="Q54" i="1"/>
  <c r="O691" i="1"/>
  <c r="K35" i="1"/>
  <c r="I106" i="1"/>
  <c r="O56" i="1"/>
  <c r="Q396" i="1"/>
  <c r="Q23" i="1"/>
  <c r="H228" i="1"/>
  <c r="H220" i="1"/>
  <c r="Q203" i="1"/>
  <c r="N289" i="1"/>
  <c r="P653" i="1"/>
  <c r="K185" i="1"/>
  <c r="H98" i="1"/>
  <c r="O607" i="1"/>
  <c r="M497" i="1"/>
  <c r="M394" i="1"/>
  <c r="K412" i="1"/>
  <c r="I628" i="1"/>
  <c r="L139" i="1"/>
  <c r="L185" i="1"/>
  <c r="M477" i="1"/>
  <c r="K57" i="1"/>
  <c r="I477" i="1"/>
  <c r="R102" i="1"/>
  <c r="Q497" i="1"/>
  <c r="O405" i="1"/>
  <c r="N106" i="1"/>
  <c r="H612" i="1"/>
  <c r="R203" i="1"/>
  <c r="R699" i="1"/>
  <c r="Q106" i="1"/>
  <c r="M114" i="1"/>
  <c r="N441" i="1"/>
  <c r="O185" i="1"/>
  <c r="K387" i="1"/>
  <c r="O54" i="1"/>
  <c r="M418" i="1"/>
  <c r="R485" i="1"/>
  <c r="N325" i="1"/>
  <c r="H550" i="1"/>
  <c r="H114" i="1"/>
  <c r="L456" i="1"/>
  <c r="Q62" i="1"/>
  <c r="L133" i="1"/>
  <c r="O47" i="1"/>
  <c r="Q57" i="1"/>
  <c r="H489" i="1"/>
  <c r="H406" i="1"/>
  <c r="I228" i="1"/>
  <c r="I512" i="1"/>
  <c r="H273" i="1"/>
  <c r="H115" i="1"/>
  <c r="H264" i="1"/>
  <c r="I159" i="1"/>
  <c r="H139" i="1"/>
  <c r="L512" i="1"/>
  <c r="H21" i="1"/>
  <c r="K578" i="1"/>
  <c r="I375" i="1"/>
  <c r="L161" i="1"/>
  <c r="R624" i="1"/>
  <c r="L521" i="1"/>
  <c r="O496" i="1"/>
  <c r="H112" i="1"/>
  <c r="R17" i="1"/>
  <c r="Q124" i="1"/>
  <c r="L328" i="1"/>
  <c r="R263" i="1"/>
  <c r="P340" i="1"/>
  <c r="P264" i="1"/>
  <c r="P548" i="1"/>
  <c r="R187" i="1"/>
  <c r="N696" i="1"/>
  <c r="I418" i="1"/>
  <c r="N512" i="1"/>
  <c r="N544" i="1"/>
  <c r="L541" i="1"/>
  <c r="H108" i="1"/>
  <c r="K497" i="1"/>
  <c r="P179" i="1"/>
  <c r="Q133" i="1"/>
  <c r="R86" i="1"/>
  <c r="K112" i="1"/>
  <c r="P505" i="1"/>
  <c r="N374" i="1"/>
  <c r="Q411" i="1"/>
  <c r="M482" i="1"/>
  <c r="M14" i="1"/>
  <c r="M657" i="1"/>
  <c r="O285" i="1"/>
  <c r="L338" i="1"/>
  <c r="M279" i="1"/>
  <c r="L80" i="1"/>
  <c r="L525" i="1"/>
  <c r="L411" i="1"/>
  <c r="K631" i="1"/>
  <c r="O46" i="1"/>
  <c r="I433" i="1"/>
  <c r="Q369" i="1"/>
  <c r="H355" i="1"/>
  <c r="L202" i="1"/>
  <c r="H22" i="1"/>
  <c r="O634" i="1"/>
  <c r="R68" i="1"/>
  <c r="O160" i="1"/>
  <c r="L160" i="1"/>
  <c r="O337" i="1"/>
  <c r="M252" i="1"/>
  <c r="N148" i="1"/>
  <c r="Q157" i="1"/>
  <c r="R109" i="1"/>
  <c r="L445" i="1"/>
  <c r="N407" i="1"/>
  <c r="N72" i="1"/>
  <c r="I210" i="1"/>
  <c r="N604" i="1"/>
  <c r="H407" i="1"/>
  <c r="O565" i="1"/>
  <c r="I688" i="1"/>
  <c r="O605" i="1"/>
  <c r="H237" i="1"/>
  <c r="Q606" i="1"/>
  <c r="L429" i="1"/>
  <c r="M327" i="1"/>
  <c r="R279" i="1"/>
  <c r="N613" i="1"/>
  <c r="P613" i="1"/>
  <c r="M563" i="1"/>
  <c r="N292" i="1"/>
  <c r="K476" i="1"/>
  <c r="L109" i="1"/>
  <c r="Q55" i="1"/>
  <c r="R561" i="1"/>
  <c r="P132" i="1"/>
  <c r="K665" i="1"/>
  <c r="H492" i="1"/>
  <c r="L502" i="1"/>
  <c r="I469" i="1"/>
  <c r="I465" i="1"/>
  <c r="R184" i="1"/>
  <c r="H401" i="1"/>
  <c r="N336" i="1"/>
  <c r="N447" i="1"/>
  <c r="P445" i="1"/>
  <c r="P563" i="1"/>
  <c r="R415" i="1"/>
  <c r="R140" i="1"/>
  <c r="R576" i="1"/>
  <c r="P64" i="1"/>
  <c r="O109" i="1"/>
  <c r="H558" i="1"/>
  <c r="O22" i="1"/>
  <c r="K105" i="1"/>
  <c r="M417" i="1"/>
  <c r="N166" i="1"/>
  <c r="Q639" i="1"/>
  <c r="P140" i="1"/>
  <c r="R105" i="1"/>
  <c r="Q633" i="1"/>
  <c r="R38" i="1"/>
  <c r="N262" i="1"/>
  <c r="P364" i="1"/>
  <c r="M126" i="1"/>
  <c r="R566" i="1"/>
  <c r="R621" i="1"/>
  <c r="P570" i="1"/>
  <c r="P277" i="1"/>
  <c r="Q129" i="1"/>
  <c r="L257" i="1"/>
  <c r="Q417" i="1"/>
  <c r="M22" i="1"/>
  <c r="P462" i="1"/>
  <c r="R487" i="1"/>
  <c r="H277" i="1"/>
  <c r="R492" i="1"/>
  <c r="I505" i="1"/>
  <c r="N64" i="1"/>
  <c r="I183" i="1"/>
  <c r="P657" i="1"/>
  <c r="K636" i="1"/>
  <c r="L22" i="1"/>
  <c r="L492" i="1"/>
  <c r="N621" i="1"/>
  <c r="M525" i="1"/>
  <c r="O633" i="1"/>
  <c r="O130" i="1"/>
  <c r="M621" i="1"/>
  <c r="M644" i="1"/>
  <c r="M487" i="1"/>
  <c r="L327" i="1"/>
  <c r="I312" i="1"/>
  <c r="Q126" i="1"/>
  <c r="I565" i="1"/>
  <c r="P374" i="1"/>
  <c r="I166" i="1"/>
  <c r="L174" i="1"/>
  <c r="O619" i="1"/>
  <c r="Q427" i="1"/>
  <c r="L96" i="1"/>
  <c r="Q561" i="1"/>
  <c r="L374" i="1"/>
  <c r="K443" i="1"/>
  <c r="H452" i="1"/>
  <c r="I24" i="1"/>
  <c r="R605" i="1"/>
  <c r="N354" i="1"/>
  <c r="N435" i="1"/>
  <c r="O407" i="1"/>
  <c r="O338" i="1"/>
  <c r="Q374" i="1"/>
  <c r="Q545" i="1"/>
  <c r="I257" i="1"/>
  <c r="O336" i="1"/>
  <c r="H55" i="1"/>
  <c r="K61" i="1"/>
  <c r="H46" i="1"/>
  <c r="Q424" i="1"/>
  <c r="L167" i="1"/>
  <c r="O66" i="1"/>
  <c r="K563" i="1"/>
  <c r="N619" i="1"/>
  <c r="M191" i="1"/>
  <c r="Q429" i="1"/>
  <c r="P80" i="1"/>
  <c r="L148" i="1"/>
  <c r="K252" i="1"/>
  <c r="O64" i="1"/>
  <c r="O631" i="1"/>
  <c r="O24" i="1"/>
  <c r="O253" i="1"/>
  <c r="O435" i="1"/>
  <c r="N100" i="1"/>
  <c r="M91" i="1"/>
  <c r="R20" i="1"/>
  <c r="R433" i="1"/>
  <c r="M376" i="1"/>
  <c r="M257" i="1"/>
  <c r="O166" i="1"/>
  <c r="H191" i="1"/>
  <c r="R442" i="1"/>
  <c r="H565" i="1"/>
  <c r="O545" i="1"/>
  <c r="I683" i="1"/>
  <c r="Q660" i="1"/>
  <c r="O593" i="1"/>
  <c r="O401" i="1"/>
  <c r="N337" i="1"/>
  <c r="P469" i="1"/>
  <c r="L553" i="1"/>
  <c r="P401" i="1"/>
  <c r="N684" i="1"/>
  <c r="P209" i="1"/>
  <c r="M552" i="1"/>
  <c r="H530" i="1"/>
  <c r="O298" i="1"/>
  <c r="I620" i="1"/>
  <c r="P253" i="1"/>
  <c r="H199" i="1"/>
  <c r="O553" i="1"/>
  <c r="M43" i="1"/>
  <c r="K22" i="1"/>
  <c r="L43" i="1"/>
  <c r="P384" i="1"/>
  <c r="N597" i="1"/>
  <c r="P113" i="1"/>
  <c r="Q475" i="1"/>
  <c r="I152" i="1"/>
  <c r="N282" i="1"/>
  <c r="R345" i="1"/>
  <c r="N368" i="1"/>
  <c r="K327" i="1"/>
  <c r="R688" i="1"/>
  <c r="H576" i="1"/>
  <c r="M138" i="1"/>
  <c r="I65" i="1"/>
  <c r="O478" i="1"/>
  <c r="H148" i="1"/>
  <c r="N202" i="1"/>
  <c r="I364" i="1"/>
  <c r="P576" i="1"/>
  <c r="K183" i="1"/>
  <c r="H202" i="1"/>
  <c r="K401" i="1"/>
  <c r="I478" i="1"/>
  <c r="R410" i="1"/>
  <c r="M355" i="1"/>
  <c r="O442" i="1"/>
  <c r="N547" i="1"/>
  <c r="O510" i="1"/>
  <c r="Q552" i="1"/>
  <c r="K595" i="1"/>
  <c r="O148" i="1"/>
  <c r="K128" i="1"/>
  <c r="O577" i="1"/>
  <c r="O369" i="1"/>
  <c r="L262" i="1"/>
  <c r="R424" i="1"/>
  <c r="N576" i="1"/>
  <c r="Q342" i="1"/>
  <c r="P285" i="1"/>
  <c r="Q324" i="1"/>
  <c r="P101" i="1"/>
  <c r="L364" i="1"/>
  <c r="K502" i="1"/>
  <c r="H240" i="1"/>
  <c r="M561" i="1"/>
  <c r="H549" i="1"/>
  <c r="K634" i="1"/>
  <c r="H683" i="1"/>
  <c r="N561" i="1"/>
  <c r="M427" i="1"/>
  <c r="N644" i="1"/>
  <c r="Q557" i="1"/>
  <c r="M60" i="1"/>
  <c r="O49" i="1"/>
  <c r="R593" i="1"/>
  <c r="M619" i="1"/>
  <c r="L665" i="1"/>
  <c r="M540" i="1"/>
  <c r="I87" i="1"/>
  <c r="L570" i="1"/>
  <c r="I209" i="1"/>
  <c r="N465" i="1"/>
  <c r="H132" i="1"/>
  <c r="Q49" i="1"/>
  <c r="M152" i="1"/>
  <c r="Q10" i="1"/>
  <c r="O462" i="1"/>
  <c r="M183" i="1"/>
  <c r="Q282" i="1"/>
  <c r="K344" i="1"/>
  <c r="K554" i="1"/>
  <c r="I134" i="1"/>
  <c r="N65" i="1"/>
  <c r="P561" i="1"/>
  <c r="Q376" i="1"/>
  <c r="N152" i="1"/>
  <c r="I384" i="1"/>
  <c r="H91" i="1"/>
  <c r="Q647" i="1"/>
  <c r="I606" i="1"/>
  <c r="Q670" i="1"/>
  <c r="I561" i="1"/>
  <c r="L292" i="1"/>
  <c r="I510" i="1"/>
  <c r="N252" i="1"/>
  <c r="M202" i="1"/>
  <c r="N101" i="1"/>
  <c r="K277" i="1"/>
  <c r="O620" i="1"/>
  <c r="Q570" i="1"/>
  <c r="I144" i="1"/>
  <c r="P96" i="1"/>
  <c r="O167" i="1"/>
  <c r="M58" i="1"/>
  <c r="M155" i="1"/>
  <c r="K619" i="1"/>
  <c r="Q158" i="1"/>
  <c r="M395" i="1"/>
  <c r="M476" i="1"/>
  <c r="Q65" i="1"/>
  <c r="P16" i="1"/>
  <c r="M393" i="1"/>
  <c r="L631" i="1"/>
  <c r="M324" i="1"/>
  <c r="N49" i="1"/>
  <c r="M158" i="1"/>
  <c r="M465" i="1"/>
  <c r="K475" i="1"/>
  <c r="O202" i="1"/>
  <c r="I502" i="1"/>
  <c r="O586" i="1"/>
  <c r="I557" i="1"/>
  <c r="N563" i="1"/>
  <c r="H647" i="1"/>
  <c r="Q105" i="1"/>
  <c r="N656" i="1"/>
  <c r="K576" i="1"/>
  <c r="I619" i="1"/>
  <c r="M140" i="1"/>
  <c r="L656" i="1"/>
  <c r="K368" i="1"/>
  <c r="P622" i="1"/>
  <c r="Q613" i="1"/>
  <c r="K397" i="1"/>
  <c r="H156" i="1"/>
  <c r="K65" i="1"/>
  <c r="H561" i="1"/>
  <c r="M506" i="1"/>
  <c r="H210" i="1"/>
  <c r="N411" i="1"/>
  <c r="K664" i="1"/>
  <c r="M285" i="1"/>
  <c r="R91" i="1"/>
  <c r="Q24" i="1"/>
  <c r="P554" i="1"/>
  <c r="M486" i="1"/>
  <c r="I558" i="1"/>
  <c r="I97" i="1"/>
  <c r="P684" i="1"/>
  <c r="Q91" i="1"/>
  <c r="Q364" i="1"/>
  <c r="R22" i="1"/>
  <c r="I540" i="1"/>
  <c r="R604" i="1"/>
  <c r="R478" i="1"/>
  <c r="K452" i="1"/>
  <c r="N24" i="1"/>
  <c r="H486" i="1"/>
  <c r="Q433" i="1"/>
  <c r="I336" i="1"/>
  <c r="N324" i="1"/>
  <c r="M606" i="1"/>
  <c r="M586" i="1"/>
  <c r="R581" i="1"/>
  <c r="O155" i="1"/>
  <c r="I633" i="1"/>
  <c r="P398" i="1"/>
  <c r="K424" i="1"/>
  <c r="Q260" i="1"/>
  <c r="M494" i="1"/>
  <c r="O637" i="1"/>
  <c r="R631" i="1"/>
  <c r="K593" i="1"/>
  <c r="K606" i="1"/>
  <c r="L282" i="1"/>
  <c r="K613" i="1"/>
  <c r="R620" i="1"/>
  <c r="L64" i="1"/>
  <c r="R637" i="1"/>
  <c r="R664" i="1"/>
  <c r="N639" i="1"/>
  <c r="K545" i="1"/>
  <c r="M670" i="1"/>
  <c r="L197" i="1"/>
  <c r="P174" i="1"/>
  <c r="H435" i="1"/>
  <c r="R202" i="1"/>
  <c r="H134" i="1"/>
  <c r="L237" i="1"/>
  <c r="I476" i="1"/>
  <c r="N505" i="1"/>
  <c r="I160" i="1"/>
  <c r="N586" i="1"/>
  <c r="I598" i="1"/>
  <c r="M10" i="1"/>
  <c r="R155" i="1"/>
  <c r="Q492" i="1"/>
  <c r="N10" i="1"/>
  <c r="K160" i="1"/>
  <c r="O312" i="1"/>
  <c r="I429" i="1"/>
  <c r="P24" i="1"/>
  <c r="H282" i="1"/>
  <c r="K13" i="1"/>
  <c r="I538" i="1"/>
  <c r="N134" i="1"/>
  <c r="P79" i="1"/>
  <c r="P20" i="1"/>
  <c r="L494" i="1"/>
  <c r="K257" i="1"/>
  <c r="O15" i="1"/>
  <c r="O110" i="1"/>
  <c r="I66" i="1"/>
  <c r="I506" i="1"/>
  <c r="K557" i="1"/>
  <c r="M262" i="1"/>
  <c r="M97" i="1"/>
  <c r="H395" i="1"/>
  <c r="H262" i="1"/>
  <c r="O101" i="1"/>
  <c r="N155" i="1"/>
  <c r="Q130" i="1"/>
  <c r="L252" i="1"/>
  <c r="I593" i="1"/>
  <c r="P279" i="1"/>
  <c r="I20" i="1"/>
  <c r="N79" i="1"/>
  <c r="Q510" i="1"/>
  <c r="N580" i="1"/>
  <c r="K16" i="1"/>
  <c r="K433" i="1"/>
  <c r="P633" i="1"/>
  <c r="Q595" i="1"/>
  <c r="L157" i="1"/>
  <c r="M338" i="1"/>
  <c r="P202" i="1"/>
  <c r="K82" i="1"/>
  <c r="K345" i="1"/>
  <c r="R597" i="1"/>
  <c r="H684" i="1"/>
  <c r="O13" i="1"/>
  <c r="N558" i="1"/>
  <c r="P91" i="1"/>
  <c r="K565" i="1"/>
  <c r="M80" i="1"/>
  <c r="R657" i="1"/>
  <c r="M167" i="1"/>
  <c r="Q581" i="1"/>
  <c r="Q128" i="1"/>
  <c r="Q378" i="1"/>
  <c r="I167" i="1"/>
  <c r="Q644" i="1"/>
  <c r="I665" i="1"/>
  <c r="P545" i="1"/>
  <c r="H152" i="1"/>
  <c r="L129" i="1"/>
  <c r="I486" i="1"/>
  <c r="P63" i="1"/>
  <c r="H604" i="1"/>
  <c r="Q148" i="1"/>
  <c r="K482" i="1"/>
  <c r="K355" i="1"/>
  <c r="L657" i="1"/>
  <c r="K221" i="1"/>
  <c r="N15" i="1"/>
  <c r="M270" i="1"/>
  <c r="N38" i="1"/>
  <c r="I33" i="1"/>
  <c r="N595" i="1"/>
  <c r="H465" i="1"/>
  <c r="N60" i="1"/>
  <c r="M510" i="1"/>
  <c r="M128" i="1"/>
  <c r="M110" i="1"/>
  <c r="O415" i="1"/>
  <c r="R285" i="1"/>
  <c r="O61" i="1"/>
  <c r="H478" i="1"/>
  <c r="Q398" i="1"/>
  <c r="N355" i="1"/>
  <c r="K270" i="1"/>
  <c r="L633" i="1"/>
  <c r="I552" i="1"/>
  <c r="I535" i="1"/>
  <c r="Q486" i="1"/>
  <c r="P257" i="1"/>
  <c r="O364" i="1"/>
  <c r="O252" i="1"/>
  <c r="H140" i="1"/>
  <c r="M160" i="1"/>
  <c r="H184" i="1"/>
  <c r="O540" i="1"/>
  <c r="L209" i="1"/>
  <c r="I545" i="1"/>
  <c r="M357" i="1"/>
  <c r="L13" i="1"/>
  <c r="K260" i="1"/>
  <c r="N670" i="1"/>
  <c r="P433" i="1"/>
  <c r="L345" i="1"/>
  <c r="L598" i="1"/>
  <c r="K462" i="1"/>
  <c r="I156" i="1"/>
  <c r="M292" i="1"/>
  <c r="I240" i="1"/>
  <c r="P600" i="1"/>
  <c r="M253" i="1"/>
  <c r="Q634" i="1"/>
  <c r="O639" i="1"/>
  <c r="L55" i="1"/>
  <c r="O240" i="1"/>
  <c r="O566" i="1"/>
  <c r="R685" i="1"/>
  <c r="L355" i="1"/>
  <c r="P110" i="1"/>
  <c r="H414" i="1"/>
  <c r="M415" i="1"/>
  <c r="H664" i="1"/>
  <c r="Q262" i="1"/>
  <c r="I113" i="1"/>
  <c r="L552" i="1"/>
  <c r="H79" i="1"/>
  <c r="O270" i="1"/>
  <c r="I38" i="1"/>
  <c r="M613" i="1"/>
  <c r="Q113" i="1"/>
  <c r="R191" i="1"/>
  <c r="K414" i="1"/>
  <c r="K58" i="1"/>
  <c r="K285" i="1"/>
  <c r="P298" i="1"/>
  <c r="K633" i="1"/>
  <c r="M505" i="1"/>
  <c r="P397" i="1"/>
  <c r="M558" i="1"/>
  <c r="L210" i="1"/>
  <c r="R260" i="1"/>
  <c r="L113" i="1"/>
  <c r="K486" i="1"/>
  <c r="O525" i="1"/>
  <c r="L443" i="1"/>
  <c r="N636" i="1"/>
  <c r="H445" i="1"/>
  <c r="Q22" i="1"/>
  <c r="P337" i="1"/>
  <c r="O476" i="1"/>
  <c r="I342" i="1"/>
  <c r="I549" i="1"/>
  <c r="I272" i="1"/>
  <c r="O368" i="1"/>
  <c r="Q120" i="1"/>
  <c r="R355" i="1"/>
  <c r="R13" i="1"/>
  <c r="H130" i="1"/>
  <c r="M407" i="1"/>
  <c r="L156" i="1"/>
  <c r="M79" i="1"/>
  <c r="P492" i="1"/>
  <c r="Q87" i="1"/>
  <c r="K312" i="1"/>
  <c r="H183" i="1"/>
  <c r="M660" i="1"/>
  <c r="R639" i="1"/>
  <c r="O411" i="1"/>
  <c r="P183" i="1"/>
  <c r="Q530" i="1"/>
  <c r="R545" i="1"/>
  <c r="N240" i="1"/>
  <c r="R128" i="1"/>
  <c r="I398" i="1"/>
  <c r="M581" i="1"/>
  <c r="H377" i="1"/>
  <c r="L120" i="1"/>
  <c r="P148" i="1"/>
  <c r="Q566" i="1"/>
  <c r="K487" i="1"/>
  <c r="L240" i="1"/>
  <c r="N637" i="1"/>
  <c r="O58" i="1"/>
  <c r="R411" i="1"/>
  <c r="Q68" i="1"/>
  <c r="Q327" i="1"/>
  <c r="I157" i="1"/>
  <c r="O376" i="1"/>
  <c r="H129" i="1"/>
  <c r="Q14" i="1"/>
  <c r="H540" i="1"/>
  <c r="R10" i="1"/>
  <c r="H357" i="1"/>
  <c r="K685" i="1"/>
  <c r="H128" i="1"/>
  <c r="N63" i="1"/>
  <c r="Q535" i="1"/>
  <c r="L126" i="1"/>
  <c r="L465" i="1"/>
  <c r="O598" i="1"/>
  <c r="O262" i="1"/>
  <c r="M570" i="1"/>
  <c r="M72" i="1"/>
  <c r="Q465" i="1"/>
  <c r="M28" i="1"/>
  <c r="M597" i="1"/>
  <c r="O657" i="1"/>
  <c r="P601" i="1"/>
  <c r="O272" i="1"/>
  <c r="P621" i="1"/>
  <c r="N68" i="1"/>
  <c r="M120" i="1"/>
  <c r="I415" i="1"/>
  <c r="H287" i="1"/>
  <c r="P82" i="1"/>
  <c r="L436" i="1"/>
  <c r="M184" i="1"/>
  <c r="H593" i="1"/>
  <c r="H378" i="1"/>
  <c r="H595" i="1"/>
  <c r="M492" i="1"/>
  <c r="M478" i="1"/>
  <c r="O257" i="1"/>
  <c r="R97" i="1"/>
  <c r="I436" i="1"/>
  <c r="O604" i="1"/>
  <c r="P167" i="1"/>
  <c r="Q337" i="1"/>
  <c r="L670" i="1"/>
  <c r="H586" i="1"/>
  <c r="P557" i="1"/>
  <c r="O357" i="1"/>
  <c r="M445" i="1"/>
  <c r="P395" i="1"/>
  <c r="I354" i="1"/>
  <c r="R357" i="1"/>
  <c r="K670" i="1"/>
  <c r="Q240" i="1"/>
  <c r="O377" i="1"/>
  <c r="H87" i="1"/>
  <c r="Q174" i="1"/>
  <c r="H398" i="1"/>
  <c r="P538" i="1"/>
  <c r="P435" i="1"/>
  <c r="R656" i="1"/>
  <c r="R336" i="1"/>
  <c r="P486" i="1"/>
  <c r="O561" i="1"/>
  <c r="R398" i="1"/>
  <c r="N146" i="1"/>
  <c r="R462" i="1"/>
  <c r="R262" i="1"/>
  <c r="I28" i="1"/>
  <c r="P549" i="1"/>
  <c r="I634" i="1"/>
  <c r="L637" i="1"/>
  <c r="H97" i="1"/>
  <c r="M356" i="1"/>
  <c r="H563" i="1"/>
  <c r="M46" i="1"/>
  <c r="I442" i="1"/>
  <c r="K364" i="1"/>
  <c r="N287" i="1"/>
  <c r="L462" i="1"/>
  <c r="R183" i="1"/>
  <c r="O398" i="1"/>
  <c r="P13" i="1"/>
  <c r="N620" i="1"/>
  <c r="N557" i="1"/>
  <c r="P184" i="1"/>
  <c r="M354" i="1"/>
  <c r="K97" i="1"/>
  <c r="K601" i="1"/>
  <c r="L72" i="1"/>
  <c r="N545" i="1"/>
  <c r="N270" i="1"/>
  <c r="N345" i="1"/>
  <c r="K657" i="1"/>
  <c r="I79" i="1"/>
  <c r="H552" i="1"/>
  <c r="L563" i="1"/>
  <c r="H557" i="1"/>
  <c r="Q96" i="1"/>
  <c r="I337" i="1"/>
  <c r="I613" i="1"/>
  <c r="I570" i="1"/>
  <c r="P637" i="1"/>
  <c r="K91" i="1"/>
  <c r="P237" i="1"/>
  <c r="N633" i="1"/>
  <c r="K660" i="1"/>
  <c r="L427" i="1"/>
  <c r="N130" i="1"/>
  <c r="Q156" i="1"/>
  <c r="Q344" i="1"/>
  <c r="H24" i="1"/>
  <c r="L46" i="1"/>
  <c r="I221" i="1"/>
  <c r="O221" i="1"/>
  <c r="K109" i="1"/>
  <c r="R199" i="1"/>
  <c r="O576" i="1"/>
  <c r="H82" i="1"/>
  <c r="L395" i="1"/>
  <c r="H158" i="1"/>
  <c r="O452" i="1"/>
  <c r="Q152" i="1"/>
  <c r="Q604" i="1"/>
  <c r="L184" i="1"/>
  <c r="M557" i="1"/>
  <c r="K279" i="1"/>
  <c r="K530" i="1"/>
  <c r="M593" i="1"/>
  <c r="K156" i="1"/>
  <c r="M136" i="1"/>
  <c r="L298" i="1"/>
  <c r="Q435" i="1"/>
  <c r="I393" i="1"/>
  <c r="L565" i="1"/>
  <c r="H482" i="1"/>
  <c r="Q505" i="1"/>
  <c r="H157" i="1"/>
  <c r="Q601" i="1"/>
  <c r="I138" i="1"/>
  <c r="N144" i="1"/>
  <c r="Q138" i="1"/>
  <c r="N110" i="1"/>
  <c r="P436" i="1"/>
  <c r="N344" i="1"/>
  <c r="N565" i="1"/>
  <c r="O613" i="1"/>
  <c r="O210" i="1"/>
  <c r="N683" i="1"/>
  <c r="R101" i="1"/>
  <c r="N199" i="1"/>
  <c r="N28" i="1"/>
  <c r="R16" i="1"/>
  <c r="K209" i="1"/>
  <c r="R80" i="1"/>
  <c r="Q393" i="1"/>
  <c r="M598" i="1"/>
  <c r="H257" i="1"/>
  <c r="H136" i="1"/>
  <c r="Q80" i="1"/>
  <c r="K549" i="1"/>
  <c r="L130" i="1"/>
  <c r="H16" i="1"/>
  <c r="H644" i="1"/>
  <c r="I553" i="1"/>
  <c r="O113" i="1"/>
  <c r="P378" i="1"/>
  <c r="R82" i="1"/>
  <c r="R683" i="1"/>
  <c r="P72" i="1"/>
  <c r="M33" i="1"/>
  <c r="L593" i="1"/>
  <c r="L191" i="1"/>
  <c r="K600" i="1"/>
  <c r="N91" i="1"/>
  <c r="Q16" i="1"/>
  <c r="I368" i="1"/>
  <c r="O685" i="1"/>
  <c r="K46" i="1"/>
  <c r="I530" i="1"/>
  <c r="O547" i="1"/>
  <c r="Q576" i="1"/>
  <c r="O600" i="1"/>
  <c r="R148" i="1"/>
  <c r="I563" i="1"/>
  <c r="N87" i="1"/>
  <c r="H64" i="1"/>
  <c r="K64" i="1"/>
  <c r="I576" i="1"/>
  <c r="P510" i="1"/>
  <c r="R160" i="1"/>
  <c r="O530" i="1"/>
  <c r="R129" i="1"/>
  <c r="K240" i="1"/>
  <c r="Q355" i="1"/>
  <c r="L684" i="1"/>
  <c r="N97" i="1"/>
  <c r="M410" i="1"/>
  <c r="L397" i="1"/>
  <c r="I262" i="1"/>
  <c r="R312" i="1"/>
  <c r="H109" i="1"/>
  <c r="O665" i="1"/>
  <c r="P368" i="1"/>
  <c r="O621" i="1"/>
  <c r="H469" i="1"/>
  <c r="L636" i="1"/>
  <c r="H621" i="1"/>
  <c r="Q586" i="1"/>
  <c r="M368" i="1"/>
  <c r="O105" i="1"/>
  <c r="Q72" i="1"/>
  <c r="K20" i="1"/>
  <c r="Q292" i="1"/>
  <c r="Q683" i="1"/>
  <c r="N109" i="1"/>
  <c r="P475" i="1"/>
  <c r="O128" i="1"/>
  <c r="L452" i="1"/>
  <c r="R292" i="1"/>
  <c r="Q597" i="1"/>
  <c r="K33" i="1"/>
  <c r="N272" i="1"/>
  <c r="H20" i="1"/>
  <c r="R549" i="1"/>
  <c r="N136" i="1"/>
  <c r="I494" i="1"/>
  <c r="P55" i="1"/>
  <c r="I146" i="1"/>
  <c r="H160" i="1"/>
  <c r="I199" i="1"/>
  <c r="R570" i="1"/>
  <c r="I395" i="1"/>
  <c r="L469" i="1"/>
  <c r="L144" i="1"/>
  <c r="K68" i="1"/>
  <c r="K110" i="1"/>
  <c r="L87" i="1"/>
  <c r="R465" i="1"/>
  <c r="N277" i="1"/>
  <c r="R660" i="1"/>
  <c r="M554" i="1"/>
  <c r="K510" i="1"/>
  <c r="L350" i="1"/>
  <c r="L414" i="1"/>
  <c r="Q253" i="1"/>
  <c r="M146" i="1"/>
  <c r="R136" i="1"/>
  <c r="H272" i="1"/>
  <c r="O63" i="1"/>
  <c r="I447" i="1"/>
  <c r="P393" i="1"/>
  <c r="I631" i="1"/>
  <c r="Q478" i="1"/>
  <c r="P312" i="1"/>
  <c r="K374" i="1"/>
  <c r="L644" i="1"/>
  <c r="R126" i="1"/>
  <c r="N16" i="1"/>
  <c r="O16" i="1"/>
  <c r="M549" i="1"/>
  <c r="M100" i="1"/>
  <c r="K272" i="1"/>
  <c r="I61" i="1"/>
  <c r="R167" i="1"/>
  <c r="H327" i="1"/>
  <c r="O552" i="1"/>
  <c r="O20" i="1"/>
  <c r="O129" i="1"/>
  <c r="I80" i="1"/>
  <c r="M601" i="1"/>
  <c r="H598" i="1"/>
  <c r="L600" i="1"/>
  <c r="L393" i="1"/>
  <c r="R337" i="1"/>
  <c r="L368" i="1"/>
  <c r="M145" i="1"/>
  <c r="P152" i="1"/>
  <c r="N327" i="1"/>
  <c r="L356" i="1"/>
  <c r="N183" i="1"/>
  <c r="R553" i="1"/>
  <c r="P136" i="1"/>
  <c r="O91" i="1"/>
  <c r="P240" i="1"/>
  <c r="Q410" i="1"/>
  <c r="M398" i="1"/>
  <c r="H174" i="1"/>
  <c r="K155" i="1"/>
  <c r="N257" i="1"/>
  <c r="I636" i="1"/>
  <c r="H427" i="1"/>
  <c r="I260" i="1"/>
  <c r="I128" i="1"/>
  <c r="H384" i="1"/>
  <c r="N43" i="1"/>
  <c r="H105" i="1"/>
  <c r="P49" i="1"/>
  <c r="H342" i="1"/>
  <c r="P525" i="1"/>
  <c r="M272" i="1"/>
  <c r="K684" i="1"/>
  <c r="Q237" i="1"/>
  <c r="L476" i="1"/>
  <c r="M16" i="1"/>
  <c r="Q43" i="1"/>
  <c r="N660" i="1"/>
  <c r="O487" i="1"/>
  <c r="L577" i="1"/>
  <c r="R684" i="1"/>
  <c r="Q445" i="1"/>
  <c r="M87" i="1"/>
  <c r="H354" i="1"/>
  <c r="M576" i="1"/>
  <c r="I492" i="1"/>
  <c r="Q64" i="1"/>
  <c r="H292" i="1"/>
  <c r="L110" i="1"/>
  <c r="K492" i="1"/>
  <c r="M433" i="1"/>
  <c r="N622" i="1"/>
  <c r="R282" i="1"/>
  <c r="Q553" i="1"/>
  <c r="L49" i="1"/>
  <c r="L260" i="1"/>
  <c r="R397" i="1"/>
  <c r="O410" i="1"/>
  <c r="I64" i="1"/>
  <c r="Q221" i="1"/>
  <c r="K338" i="1"/>
  <c r="M282" i="1"/>
  <c r="N487" i="1"/>
  <c r="O581" i="1"/>
  <c r="H60" i="1"/>
  <c r="P260" i="1"/>
  <c r="H619" i="1"/>
  <c r="R174" i="1"/>
  <c r="O100" i="1"/>
  <c r="O393" i="1"/>
  <c r="K445" i="1"/>
  <c r="O429" i="1"/>
  <c r="R46" i="1"/>
  <c r="R96" i="1"/>
  <c r="L415" i="1"/>
  <c r="R552" i="1"/>
  <c r="P210" i="1"/>
  <c r="P126" i="1"/>
  <c r="L613" i="1"/>
  <c r="Q665" i="1"/>
  <c r="K24" i="1"/>
  <c r="H601" i="1"/>
  <c r="H100" i="1"/>
  <c r="R619" i="1"/>
  <c r="M636" i="1"/>
  <c r="I60" i="1"/>
  <c r="H577" i="1"/>
  <c r="R130" i="1"/>
  <c r="M436" i="1"/>
  <c r="Q436" i="1"/>
  <c r="M197" i="1"/>
  <c r="I586" i="1"/>
  <c r="Q28" i="1"/>
  <c r="H506" i="1"/>
  <c r="O38" i="1"/>
  <c r="M665" i="1"/>
  <c r="R324" i="1"/>
  <c r="M685" i="1"/>
  <c r="O417" i="1"/>
  <c r="N525" i="1"/>
  <c r="R502" i="1"/>
  <c r="K140" i="1"/>
  <c r="I120" i="1"/>
  <c r="M684" i="1"/>
  <c r="R535" i="1"/>
  <c r="H525" i="1"/>
  <c r="L566" i="1"/>
  <c r="M547" i="1"/>
  <c r="I462" i="1"/>
  <c r="L253" i="1"/>
  <c r="I644" i="1"/>
  <c r="N378" i="1"/>
  <c r="I18" i="1"/>
  <c r="L384" i="1"/>
  <c r="I129" i="1"/>
  <c r="N126" i="1"/>
  <c r="H345" i="1"/>
  <c r="O384" i="1"/>
  <c r="R374" i="1"/>
  <c r="O601" i="1"/>
  <c r="K598" i="1"/>
  <c r="Q277" i="1"/>
  <c r="R558" i="1"/>
  <c r="M545" i="1"/>
  <c r="N191" i="1"/>
  <c r="Q336" i="1"/>
  <c r="L549" i="1"/>
  <c r="R577" i="1"/>
  <c r="M595" i="1"/>
  <c r="M634" i="1"/>
  <c r="L580" i="1"/>
  <c r="R298" i="1"/>
  <c r="O14" i="1"/>
  <c r="I482" i="1"/>
  <c r="Q279" i="1"/>
  <c r="I126" i="1"/>
  <c r="K166" i="1"/>
  <c r="M18" i="1"/>
  <c r="P465" i="1"/>
  <c r="M452" i="1"/>
  <c r="R120" i="1"/>
  <c r="K134" i="1"/>
  <c r="Q688" i="1"/>
  <c r="P605" i="1"/>
  <c r="P87" i="1"/>
  <c r="Q538" i="1"/>
  <c r="K407" i="1"/>
  <c r="O184" i="1"/>
  <c r="I427" i="1"/>
  <c r="N535" i="1"/>
  <c r="I63" i="1"/>
  <c r="H475" i="1"/>
  <c r="R66" i="1"/>
  <c r="N209" i="1"/>
  <c r="I91" i="1"/>
  <c r="H285" i="1"/>
  <c r="O87" i="1"/>
  <c r="Q619" i="1"/>
  <c r="R132" i="1"/>
  <c r="P619" i="1"/>
  <c r="I414" i="1"/>
  <c r="Q397" i="1"/>
  <c r="K96" i="1"/>
  <c r="P664" i="1"/>
  <c r="N664" i="1"/>
  <c r="R525" i="1"/>
  <c r="M639" i="1"/>
  <c r="R595" i="1"/>
  <c r="N22" i="1"/>
  <c r="K146" i="1"/>
  <c r="N605" i="1"/>
  <c r="P134" i="1"/>
  <c r="K287" i="1"/>
  <c r="R342" i="1"/>
  <c r="N156" i="1"/>
  <c r="O443" i="1"/>
  <c r="H462" i="1"/>
  <c r="R113" i="1"/>
  <c r="I100" i="1"/>
  <c r="K237" i="1"/>
  <c r="H606" i="1"/>
  <c r="K167" i="1"/>
  <c r="I397" i="1"/>
  <c r="L63" i="1"/>
  <c r="I452" i="1"/>
  <c r="L433" i="1"/>
  <c r="Q145" i="1"/>
  <c r="O414" i="1"/>
  <c r="M442" i="1"/>
  <c r="P634" i="1"/>
  <c r="K637" i="1"/>
  <c r="L128" i="1"/>
  <c r="Q558" i="1"/>
  <c r="M369" i="1"/>
  <c r="P593" i="1"/>
  <c r="L622" i="1"/>
  <c r="P120" i="1"/>
  <c r="K197" i="1"/>
  <c r="R395" i="1"/>
  <c r="L324" i="1"/>
  <c r="P252" i="1"/>
  <c r="I202" i="1"/>
  <c r="O469" i="1"/>
  <c r="H620" i="1"/>
  <c r="Q494" i="1"/>
  <c r="P38" i="1"/>
  <c r="R58" i="1"/>
  <c r="O287" i="1"/>
  <c r="M378" i="1"/>
  <c r="O132" i="1"/>
  <c r="M66" i="1"/>
  <c r="N174" i="1"/>
  <c r="P10" i="1"/>
  <c r="K377" i="1"/>
  <c r="N631" i="1"/>
  <c r="P60" i="1"/>
  <c r="H660" i="1"/>
  <c r="R443" i="1"/>
  <c r="I350" i="1"/>
  <c r="Q685" i="1"/>
  <c r="N685" i="1"/>
  <c r="P644" i="1"/>
  <c r="I68" i="1"/>
  <c r="I621" i="1"/>
  <c r="M374" i="1"/>
  <c r="L401" i="1"/>
  <c r="Q20" i="1"/>
  <c r="P270" i="1"/>
  <c r="Q15" i="1"/>
  <c r="O65" i="1"/>
  <c r="M414" i="1"/>
  <c r="M344" i="1"/>
  <c r="N502" i="1"/>
  <c r="Q354" i="1"/>
  <c r="R393" i="1"/>
  <c r="L378" i="1"/>
  <c r="R601" i="1"/>
  <c r="K202" i="1"/>
  <c r="P530" i="1"/>
  <c r="I443" i="1"/>
  <c r="K581" i="1"/>
  <c r="K129" i="1"/>
  <c r="I13" i="1"/>
  <c r="O433" i="1"/>
  <c r="I410" i="1"/>
  <c r="K442" i="1"/>
  <c r="H96" i="1"/>
  <c r="Q442" i="1"/>
  <c r="L581" i="1"/>
  <c r="O282" i="1"/>
  <c r="H535" i="1"/>
  <c r="R338" i="1"/>
  <c r="I16" i="1"/>
  <c r="P443" i="1"/>
  <c r="I355" i="1"/>
  <c r="L344" i="1"/>
  <c r="M397" i="1"/>
  <c r="O395" i="1"/>
  <c r="O656" i="1"/>
  <c r="Q384" i="1"/>
  <c r="L342" i="1"/>
  <c r="K350" i="1"/>
  <c r="M277" i="1"/>
  <c r="Q605" i="1"/>
  <c r="K369" i="1"/>
  <c r="O10" i="1"/>
  <c r="L604" i="1"/>
  <c r="M101" i="1"/>
  <c r="L33" i="1"/>
  <c r="H61" i="1"/>
  <c r="Q631" i="1"/>
  <c r="I407" i="1"/>
  <c r="R447" i="1"/>
  <c r="H138" i="1"/>
  <c r="K417" i="1"/>
  <c r="Q183" i="1"/>
  <c r="O558" i="1"/>
  <c r="P407" i="1"/>
  <c r="O570" i="1"/>
  <c r="M63" i="1"/>
  <c r="R494" i="1"/>
  <c r="R401" i="1"/>
  <c r="L132" i="1"/>
  <c r="R43" i="1"/>
  <c r="L601" i="1"/>
  <c r="I622" i="1"/>
  <c r="H553" i="1"/>
  <c r="Q350" i="1"/>
  <c r="K357" i="1"/>
  <c r="R209" i="1"/>
  <c r="M475" i="1"/>
  <c r="P494" i="1"/>
  <c r="O427" i="1"/>
  <c r="K342" i="1"/>
  <c r="Q598" i="1"/>
  <c r="L68" i="1"/>
  <c r="P586" i="1"/>
  <c r="R510" i="1"/>
  <c r="M55" i="1"/>
  <c r="R87" i="1"/>
  <c r="P338" i="1"/>
  <c r="K63" i="1"/>
  <c r="N401" i="1"/>
  <c r="N298" i="1"/>
  <c r="Q620" i="1"/>
  <c r="M298" i="1"/>
  <c r="H126" i="1"/>
  <c r="R72" i="1"/>
  <c r="H600" i="1"/>
  <c r="P447" i="1"/>
  <c r="Q210" i="1"/>
  <c r="R636" i="1"/>
  <c r="I581" i="1"/>
  <c r="L634" i="1"/>
  <c r="H337" i="1"/>
  <c r="O554" i="1"/>
  <c r="I287" i="1"/>
  <c r="P22" i="1"/>
  <c r="R210" i="1"/>
  <c r="P18" i="1"/>
  <c r="P46" i="1"/>
  <c r="N167" i="1"/>
  <c r="P636" i="1"/>
  <c r="K144" i="1"/>
  <c r="R506" i="1"/>
  <c r="L134" i="1"/>
  <c r="Q209" i="1"/>
  <c r="P292" i="1"/>
  <c r="O580" i="1"/>
  <c r="K120" i="1"/>
  <c r="M221" i="1"/>
  <c r="M600" i="1"/>
  <c r="P565" i="1"/>
  <c r="H14" i="1"/>
  <c r="R622" i="1"/>
  <c r="I424" i="1"/>
  <c r="N138" i="1"/>
  <c r="Q257" i="1"/>
  <c r="K126" i="1"/>
  <c r="Q312" i="1"/>
  <c r="R145" i="1"/>
  <c r="K158" i="1"/>
  <c r="N66" i="1"/>
  <c r="Q600" i="1"/>
  <c r="Q407" i="1"/>
  <c r="N443" i="1"/>
  <c r="K384" i="1"/>
  <c r="I605" i="1"/>
  <c r="I597" i="1"/>
  <c r="P660" i="1"/>
  <c r="R476" i="1"/>
  <c r="R197" i="1"/>
  <c r="O199" i="1"/>
  <c r="P685" i="1"/>
  <c r="K447" i="1"/>
  <c r="Q272" i="1"/>
  <c r="R475" i="1"/>
  <c r="L597" i="1"/>
  <c r="Q664" i="1"/>
  <c r="L664" i="1"/>
  <c r="K262" i="1"/>
  <c r="L647" i="1"/>
  <c r="O397" i="1"/>
  <c r="K393" i="1"/>
  <c r="N82" i="1"/>
  <c r="R417" i="1"/>
  <c r="P130" i="1"/>
  <c r="H350" i="1"/>
  <c r="I15" i="1"/>
  <c r="P355" i="1"/>
  <c r="P272" i="1"/>
  <c r="M260" i="1"/>
  <c r="L510" i="1"/>
  <c r="R144" i="1"/>
  <c r="M535" i="1"/>
  <c r="K210" i="1"/>
  <c r="H120" i="1"/>
  <c r="O374" i="1"/>
  <c r="H113" i="1"/>
  <c r="L277" i="1"/>
  <c r="I253" i="1"/>
  <c r="K535" i="1"/>
  <c r="I252" i="1"/>
  <c r="N414" i="1"/>
  <c r="L136" i="1"/>
  <c r="O144" i="1"/>
  <c r="R344" i="1"/>
  <c r="O465" i="1"/>
  <c r="N128" i="1"/>
  <c r="O494" i="1"/>
  <c r="Q202" i="1"/>
  <c r="N357" i="1"/>
  <c r="M209" i="1"/>
  <c r="K580" i="1"/>
  <c r="N424" i="1"/>
  <c r="I374" i="1"/>
  <c r="P377" i="1"/>
  <c r="I377" i="1"/>
  <c r="R152" i="1"/>
  <c r="H411" i="1"/>
  <c r="Q191" i="1"/>
  <c r="Q132" i="1"/>
  <c r="N606" i="1"/>
  <c r="R100" i="1"/>
  <c r="N475" i="1"/>
  <c r="H10" i="1"/>
  <c r="H494" i="1"/>
  <c r="H324" i="1"/>
  <c r="H657" i="1"/>
  <c r="Q415" i="1"/>
  <c r="P144" i="1"/>
  <c r="N184" i="1"/>
  <c r="P105" i="1"/>
  <c r="H356" i="1"/>
  <c r="N384" i="1"/>
  <c r="N415" i="1"/>
  <c r="Q166" i="1"/>
  <c r="M105" i="1"/>
  <c r="P43" i="1"/>
  <c r="R64" i="1"/>
  <c r="L540" i="1"/>
  <c r="H197" i="1"/>
  <c r="N160" i="1"/>
  <c r="L410" i="1"/>
  <c r="R377" i="1"/>
  <c r="O136" i="1"/>
  <c r="Q482" i="1"/>
  <c r="I580" i="1"/>
  <c r="L561" i="1"/>
  <c r="I282" i="1"/>
  <c r="N530" i="1"/>
  <c r="H410" i="1"/>
  <c r="R14" i="1"/>
  <c r="K174" i="1"/>
  <c r="N80" i="1"/>
  <c r="L18" i="1"/>
  <c r="N552" i="1"/>
  <c r="Q144" i="1"/>
  <c r="R445" i="1"/>
  <c r="O174" i="1"/>
  <c r="K622" i="1"/>
  <c r="H344" i="1"/>
  <c r="R277" i="1"/>
  <c r="H49" i="1"/>
  <c r="Q540" i="1"/>
  <c r="H637" i="1"/>
  <c r="Q155" i="1"/>
  <c r="H397" i="1"/>
  <c r="R565" i="1"/>
  <c r="P342" i="1"/>
  <c r="Q13" i="1"/>
  <c r="L60" i="1"/>
  <c r="M429" i="1"/>
  <c r="M622" i="1"/>
  <c r="R79" i="1"/>
  <c r="L101" i="1"/>
  <c r="L58" i="1"/>
  <c r="R28" i="1"/>
  <c r="I411" i="1"/>
  <c r="K506" i="1"/>
  <c r="I72" i="1"/>
  <c r="L138" i="1"/>
  <c r="H298" i="1"/>
  <c r="L20" i="1"/>
  <c r="O82" i="1"/>
  <c r="Q109" i="1"/>
  <c r="H510" i="1"/>
  <c r="K566" i="1"/>
  <c r="I46" i="1"/>
  <c r="I435" i="1"/>
  <c r="N417" i="1"/>
  <c r="I136" i="1"/>
  <c r="Q63" i="1"/>
  <c r="L97" i="1"/>
  <c r="N581" i="1"/>
  <c r="N436" i="1"/>
  <c r="H80" i="1"/>
  <c r="N410" i="1"/>
  <c r="N469" i="1"/>
  <c r="N157" i="1"/>
  <c r="P191" i="1"/>
  <c r="O324" i="1"/>
  <c r="I577" i="1"/>
  <c r="R429" i="1"/>
  <c r="R557" i="1"/>
  <c r="Q622" i="1"/>
  <c r="Q60" i="1"/>
  <c r="N13" i="1"/>
  <c r="O158" i="1"/>
  <c r="I140" i="1"/>
  <c r="R634" i="1"/>
  <c r="N145" i="1"/>
  <c r="H393" i="1"/>
  <c r="H28" i="1"/>
  <c r="M577" i="1"/>
  <c r="R530" i="1"/>
  <c r="N427" i="1"/>
  <c r="K253" i="1"/>
  <c r="L417" i="1"/>
  <c r="I604" i="1"/>
  <c r="O424" i="1"/>
  <c r="O486" i="1"/>
  <c r="P138" i="1"/>
  <c r="P14" i="1"/>
  <c r="P502" i="1"/>
  <c r="I487" i="1"/>
  <c r="Q549" i="1"/>
  <c r="P109" i="1"/>
  <c r="P665" i="1"/>
  <c r="I155" i="1"/>
  <c r="P344" i="1"/>
  <c r="O644" i="1"/>
  <c r="N634" i="1"/>
  <c r="R221" i="1"/>
  <c r="L688" i="1"/>
  <c r="M65" i="1"/>
  <c r="K605" i="1"/>
  <c r="L183" i="1"/>
  <c r="I475" i="1"/>
  <c r="K298" i="1"/>
  <c r="N253" i="1"/>
  <c r="M350" i="1"/>
  <c r="P28" i="1"/>
  <c r="I184" i="1"/>
  <c r="L66" i="1"/>
  <c r="O60" i="1"/>
  <c r="H15" i="1"/>
  <c r="R665" i="1"/>
  <c r="P442" i="1"/>
  <c r="P327" i="1"/>
  <c r="P597" i="1"/>
  <c r="P566" i="1"/>
  <c r="P33" i="1"/>
  <c r="I10" i="1"/>
  <c r="O502" i="1"/>
  <c r="O237" i="1"/>
  <c r="H688" i="1"/>
  <c r="K427" i="1"/>
  <c r="L685" i="1"/>
  <c r="P414" i="1"/>
  <c r="R110" i="1"/>
  <c r="N647" i="1"/>
  <c r="H155" i="1"/>
  <c r="L199" i="1"/>
  <c r="N285" i="1"/>
  <c r="L506" i="1"/>
  <c r="O563" i="1"/>
  <c r="H270" i="1"/>
  <c r="K494" i="1"/>
  <c r="K184" i="1"/>
  <c r="M620" i="1"/>
  <c r="M384" i="1"/>
  <c r="L475" i="1"/>
  <c r="H443" i="1"/>
  <c r="O152" i="1"/>
  <c r="O436" i="1"/>
  <c r="R600" i="1"/>
  <c r="H633" i="1"/>
  <c r="O549" i="1"/>
  <c r="Q368" i="1"/>
  <c r="M631" i="1"/>
  <c r="P580" i="1"/>
  <c r="N566" i="1"/>
  <c r="N665" i="1"/>
  <c r="L424" i="1"/>
  <c r="K138" i="1"/>
  <c r="L82" i="1"/>
  <c r="L357" i="1"/>
  <c r="I285" i="1"/>
  <c r="M82" i="1"/>
  <c r="H338" i="1"/>
  <c r="O277" i="1"/>
  <c r="M157" i="1"/>
  <c r="L10" i="1"/>
  <c r="Q97" i="1"/>
  <c r="R257" i="1"/>
  <c r="R354" i="1"/>
  <c r="M401" i="1"/>
  <c r="M237" i="1"/>
  <c r="M144" i="1"/>
  <c r="H605" i="1"/>
  <c r="K435" i="1"/>
  <c r="O597" i="1"/>
  <c r="I656" i="1"/>
  <c r="R384" i="1"/>
  <c r="I566" i="1"/>
  <c r="K647" i="1"/>
  <c r="H66" i="1"/>
  <c r="K60" i="1"/>
  <c r="Q101" i="1"/>
  <c r="Q684" i="1"/>
  <c r="R486" i="1"/>
  <c r="P128" i="1"/>
  <c r="H209" i="1"/>
  <c r="N58" i="1"/>
  <c r="L79" i="1"/>
  <c r="O120" i="1"/>
  <c r="H368" i="1"/>
  <c r="I376" i="1"/>
  <c r="M435" i="1"/>
  <c r="H417" i="1"/>
  <c r="O683" i="1"/>
  <c r="N398" i="1"/>
  <c r="H685" i="1"/>
  <c r="Q61" i="1"/>
  <c r="K38" i="1"/>
  <c r="I14" i="1"/>
  <c r="H442" i="1"/>
  <c r="R376" i="1"/>
  <c r="K43" i="1"/>
  <c r="K14" i="1"/>
  <c r="M96" i="1"/>
  <c r="P160" i="1"/>
  <c r="O72" i="1"/>
  <c r="O354" i="1"/>
  <c r="H433" i="1"/>
  <c r="P282" i="1"/>
  <c r="M49" i="1"/>
  <c r="M156" i="1"/>
  <c r="P61" i="1"/>
  <c r="O209" i="1"/>
  <c r="K469" i="1"/>
  <c r="I547" i="1"/>
  <c r="R547" i="1"/>
  <c r="K547" i="1"/>
  <c r="L145" i="1"/>
  <c r="K100" i="1"/>
  <c r="I270" i="1"/>
  <c r="P540" i="1"/>
  <c r="O622" i="1"/>
  <c r="O55" i="1"/>
  <c r="K525" i="1"/>
  <c r="M538" i="1"/>
  <c r="O344" i="1"/>
  <c r="O279" i="1"/>
  <c r="K136" i="1"/>
  <c r="P606" i="1"/>
  <c r="Q565" i="1"/>
  <c r="O482" i="1"/>
  <c r="R540" i="1"/>
  <c r="P287" i="1"/>
  <c r="M240" i="1"/>
  <c r="R435" i="1"/>
  <c r="K199" i="1"/>
  <c r="L285" i="1"/>
  <c r="L620" i="1"/>
  <c r="O688" i="1"/>
  <c r="I49" i="1"/>
  <c r="O445" i="1"/>
  <c r="K354" i="1"/>
  <c r="K604" i="1"/>
  <c r="L407" i="1"/>
  <c r="O342" i="1"/>
  <c r="P100" i="1"/>
  <c r="P336" i="1"/>
  <c r="I110" i="1"/>
  <c r="Q443" i="1"/>
  <c r="I639" i="1"/>
  <c r="P476" i="1"/>
  <c r="P221" i="1"/>
  <c r="N549" i="1"/>
  <c r="K28" i="1"/>
  <c r="L166" i="1"/>
  <c r="L478" i="1"/>
  <c r="M411" i="1"/>
  <c r="H13" i="1"/>
  <c r="H429" i="1"/>
  <c r="L576" i="1"/>
  <c r="R49" i="1"/>
  <c r="N260" i="1"/>
  <c r="L152" i="1"/>
  <c r="Q197" i="1"/>
  <c r="K15" i="1"/>
  <c r="L61" i="1"/>
  <c r="Q199" i="1"/>
  <c r="N14" i="1"/>
  <c r="I601" i="1"/>
  <c r="N510" i="1"/>
  <c r="P487" i="1"/>
  <c r="L621" i="1"/>
  <c r="K292" i="1"/>
  <c r="P598" i="1"/>
  <c r="L354" i="1"/>
  <c r="P429" i="1"/>
  <c r="H502" i="1"/>
  <c r="K337" i="1"/>
  <c r="P357" i="1"/>
  <c r="R414" i="1"/>
  <c r="H505" i="1"/>
  <c r="N397" i="1"/>
  <c r="R63" i="1"/>
  <c r="N61" i="1"/>
  <c r="Q298" i="1"/>
  <c r="Q656" i="1"/>
  <c r="R427" i="1"/>
  <c r="N342" i="1"/>
  <c r="Q580" i="1"/>
  <c r="P156" i="1"/>
  <c r="N395" i="1"/>
  <c r="R157" i="1"/>
  <c r="N442" i="1"/>
  <c r="H570" i="1"/>
  <c r="P145" i="1"/>
  <c r="M109" i="1"/>
  <c r="N429" i="1"/>
  <c r="H487" i="1"/>
  <c r="Q160" i="1"/>
  <c r="M647" i="1"/>
  <c r="M424" i="1"/>
  <c r="R158" i="1"/>
  <c r="N494" i="1"/>
  <c r="N338" i="1"/>
  <c r="L287" i="1"/>
  <c r="I647" i="1"/>
  <c r="L482" i="1"/>
  <c r="O191" i="1"/>
  <c r="Q525" i="1"/>
  <c r="K570" i="1"/>
  <c r="Q452" i="1"/>
  <c r="M174" i="1"/>
  <c r="K688" i="1"/>
  <c r="H547" i="1"/>
  <c r="P553" i="1"/>
  <c r="L14" i="1"/>
  <c r="N197" i="1"/>
  <c r="H65" i="1"/>
  <c r="M502" i="1"/>
  <c r="K10" i="1"/>
  <c r="L558" i="1"/>
  <c r="N688" i="1"/>
  <c r="M336" i="1"/>
  <c r="K683" i="1"/>
  <c r="M443" i="1"/>
  <c r="I369" i="1"/>
  <c r="O43" i="1"/>
  <c r="O18" i="1"/>
  <c r="K148" i="1"/>
  <c r="I637" i="1"/>
  <c r="N486" i="1"/>
  <c r="M20" i="1"/>
  <c r="L538" i="1"/>
  <c r="K656" i="1"/>
  <c r="K553" i="1"/>
  <c r="I684" i="1"/>
  <c r="I670" i="1"/>
  <c r="Q100" i="1"/>
  <c r="O140" i="1"/>
  <c r="L91" i="1"/>
  <c r="R538" i="1"/>
  <c r="H636" i="1"/>
  <c r="R644" i="1"/>
  <c r="N46" i="1"/>
  <c r="Q621" i="1"/>
  <c r="O260" i="1"/>
  <c r="O197" i="1"/>
  <c r="R253" i="1"/>
  <c r="R469" i="1"/>
  <c r="O647" i="1"/>
  <c r="M683" i="1"/>
  <c r="M199" i="1"/>
  <c r="Q18" i="1"/>
  <c r="R356" i="1"/>
  <c r="L442" i="1"/>
  <c r="M15" i="1"/>
  <c r="Q593" i="1"/>
  <c r="I58" i="1"/>
  <c r="M38" i="1"/>
  <c r="O327" i="1"/>
  <c r="P157" i="1"/>
  <c r="Q563" i="1"/>
  <c r="O156" i="1"/>
  <c r="I197" i="1"/>
  <c r="N540" i="1"/>
  <c r="K538" i="1"/>
  <c r="K597" i="1"/>
  <c r="P506" i="1"/>
  <c r="N96" i="1"/>
  <c r="L547" i="1"/>
  <c r="I357" i="1"/>
  <c r="K552" i="1"/>
  <c r="I132" i="1"/>
  <c r="R606" i="1"/>
  <c r="M469" i="1"/>
  <c r="I43" i="1"/>
  <c r="N140" i="1"/>
  <c r="O97" i="1"/>
  <c r="O126" i="1"/>
  <c r="I174" i="1"/>
  <c r="L660" i="1"/>
  <c r="N129" i="1"/>
  <c r="L221" i="1"/>
  <c r="N657" i="1"/>
  <c r="H634" i="1"/>
  <c r="O664" i="1"/>
  <c r="H72" i="1"/>
  <c r="R287" i="1"/>
  <c r="K644" i="1"/>
  <c r="H33" i="1"/>
  <c r="Q447" i="1"/>
  <c r="P15" i="1"/>
  <c r="L272" i="1"/>
  <c r="P155" i="1"/>
  <c r="H566" i="1"/>
  <c r="L336" i="1"/>
  <c r="P58" i="1"/>
  <c r="I525" i="1"/>
  <c r="M604" i="1"/>
  <c r="P424" i="1"/>
  <c r="L105" i="1"/>
  <c r="P535" i="1"/>
  <c r="O79" i="1"/>
  <c r="N476" i="1"/>
  <c r="H374" i="1"/>
  <c r="K540" i="1"/>
  <c r="N210" i="1"/>
  <c r="H554" i="1"/>
  <c r="M377" i="1"/>
  <c r="K101" i="1"/>
  <c r="H580" i="1"/>
  <c r="Q110" i="1"/>
  <c r="P639" i="1"/>
  <c r="O378" i="1"/>
  <c r="L554" i="1"/>
  <c r="I595" i="1"/>
  <c r="P656" i="1"/>
  <c r="O355" i="1"/>
  <c r="H144" i="1"/>
  <c r="L15" i="1"/>
  <c r="O356" i="1"/>
  <c r="P552" i="1"/>
  <c r="Q356" i="1"/>
  <c r="Q252" i="1"/>
  <c r="L279" i="1"/>
  <c r="R24" i="1"/>
  <c r="I55" i="1"/>
  <c r="L100" i="1"/>
  <c r="P68" i="1"/>
  <c r="I82" i="1"/>
  <c r="R65" i="1"/>
  <c r="K376" i="1"/>
  <c r="H581" i="1"/>
  <c r="M633" i="1"/>
  <c r="N312" i="1"/>
  <c r="I554" i="1"/>
  <c r="R138" i="1"/>
  <c r="M447" i="1"/>
  <c r="M656" i="1"/>
  <c r="L683" i="1"/>
  <c r="M113" i="1"/>
  <c r="R598" i="1"/>
  <c r="N478" i="1"/>
  <c r="H68" i="1"/>
  <c r="O345" i="1"/>
  <c r="P631" i="1"/>
  <c r="H252" i="1"/>
  <c r="L376" i="1"/>
  <c r="M337" i="1"/>
  <c r="K191" i="1"/>
  <c r="P604" i="1"/>
  <c r="R156" i="1"/>
  <c r="P415" i="1"/>
  <c r="O145" i="1"/>
  <c r="H622" i="1"/>
  <c r="H101" i="1"/>
  <c r="N33" i="1"/>
  <c r="O492" i="1"/>
  <c r="R272" i="1"/>
  <c r="L155" i="1"/>
  <c r="Q134" i="1"/>
  <c r="R61" i="1"/>
  <c r="I298" i="1"/>
  <c r="O606" i="1"/>
  <c r="P411" i="1"/>
  <c r="Q506" i="1"/>
  <c r="Q146" i="1"/>
  <c r="O138" i="1"/>
  <c r="K478" i="1"/>
  <c r="R505" i="1"/>
  <c r="H639" i="1"/>
  <c r="L435" i="1"/>
  <c r="K55" i="1"/>
  <c r="H613" i="1"/>
  <c r="Q637" i="1"/>
  <c r="K577" i="1"/>
  <c r="N55" i="1"/>
  <c r="L530" i="1"/>
  <c r="I191" i="1"/>
  <c r="O557" i="1"/>
  <c r="H656" i="1"/>
  <c r="N158" i="1"/>
  <c r="Q46" i="1"/>
  <c r="O183" i="1"/>
  <c r="I277" i="1"/>
  <c r="N593" i="1"/>
  <c r="K72" i="1"/>
  <c r="P581" i="1"/>
  <c r="P354" i="1"/>
  <c r="L312" i="1"/>
  <c r="L377" i="1"/>
  <c r="M134" i="1"/>
  <c r="I279" i="1"/>
  <c r="Q184" i="1"/>
  <c r="H63" i="1"/>
  <c r="I417" i="1"/>
  <c r="R554" i="1"/>
  <c r="N393" i="1"/>
  <c r="N506" i="1"/>
  <c r="O28" i="1"/>
  <c r="Q476" i="1"/>
  <c r="H253" i="1"/>
  <c r="K18" i="1"/>
  <c r="K620" i="1"/>
  <c r="L337" i="1"/>
  <c r="P97" i="1"/>
  <c r="M24" i="1"/>
  <c r="R580" i="1"/>
  <c r="K410" i="1"/>
  <c r="K356" i="1"/>
  <c r="P146" i="1"/>
  <c r="Q270" i="1"/>
  <c r="R364" i="1"/>
  <c r="M210" i="1"/>
  <c r="K49" i="1"/>
  <c r="R237" i="1"/>
  <c r="H670" i="1"/>
  <c r="K465" i="1"/>
  <c r="I109" i="1"/>
  <c r="Q554" i="1"/>
  <c r="Q79" i="1"/>
  <c r="N369" i="1"/>
  <c r="N279" i="1"/>
  <c r="K157" i="1"/>
  <c r="R270" i="1"/>
  <c r="L639" i="1"/>
  <c r="P324" i="1"/>
  <c r="M61" i="1"/>
  <c r="H145" i="1"/>
  <c r="M565" i="1"/>
  <c r="L447" i="1"/>
  <c r="Q487" i="1"/>
  <c r="Q401" i="1"/>
  <c r="H312" i="1"/>
  <c r="H336" i="1"/>
  <c r="R452" i="1"/>
  <c r="H221" i="1"/>
  <c r="Q577" i="1"/>
  <c r="O506" i="1"/>
  <c r="N377" i="1"/>
  <c r="N433" i="1"/>
  <c r="K79" i="1"/>
  <c r="R563" i="1"/>
  <c r="R368" i="1"/>
  <c r="P410" i="1"/>
  <c r="O96" i="1"/>
  <c r="O535" i="1"/>
  <c r="O684" i="1"/>
  <c r="Q414" i="1"/>
  <c r="M664" i="1"/>
  <c r="K415" i="1"/>
  <c r="H369" i="1"/>
  <c r="P345" i="1"/>
  <c r="L65" i="1"/>
  <c r="P558" i="1"/>
  <c r="Q377" i="1"/>
  <c r="H476" i="1"/>
  <c r="N577" i="1"/>
  <c r="R613" i="1"/>
  <c r="H146" i="1"/>
  <c r="R240" i="1"/>
  <c r="P158" i="1"/>
  <c r="N18" i="1"/>
  <c r="N237" i="1"/>
  <c r="L486" i="1"/>
  <c r="P262" i="1"/>
  <c r="Q469" i="1"/>
  <c r="M566" i="1"/>
  <c r="K324" i="1"/>
  <c r="O68" i="1"/>
  <c r="R350" i="1"/>
  <c r="O157" i="1"/>
  <c r="H364" i="1"/>
  <c r="K398" i="1"/>
  <c r="P478" i="1"/>
  <c r="M580" i="1"/>
  <c r="M688" i="1"/>
  <c r="I660" i="1"/>
  <c r="I145" i="1"/>
  <c r="N113" i="1"/>
  <c r="O33" i="1"/>
  <c r="M68" i="1"/>
  <c r="O134" i="1"/>
  <c r="P577" i="1"/>
  <c r="O636" i="1"/>
  <c r="Q33" i="1"/>
  <c r="H167" i="1"/>
  <c r="R436" i="1"/>
  <c r="O292" i="1"/>
  <c r="L545" i="1"/>
  <c r="L557" i="1"/>
  <c r="Q66" i="1"/>
  <c r="R670" i="1"/>
  <c r="L16" i="1"/>
  <c r="P66" i="1"/>
  <c r="L398" i="1"/>
  <c r="H631" i="1"/>
  <c r="M64" i="1"/>
  <c r="Q462" i="1"/>
  <c r="L595" i="1"/>
  <c r="L487" i="1"/>
  <c r="P369" i="1"/>
  <c r="N538" i="1"/>
  <c r="P197" i="1"/>
  <c r="K336" i="1"/>
  <c r="K130" i="1"/>
  <c r="Q167" i="1"/>
  <c r="M312" i="1"/>
  <c r="Q357" i="1"/>
  <c r="H110" i="1"/>
  <c r="K411" i="1"/>
  <c r="H424" i="1"/>
  <c r="P166" i="1"/>
  <c r="P647" i="1"/>
  <c r="L28" i="1"/>
  <c r="P427" i="1"/>
  <c r="P129" i="1"/>
  <c r="L38" i="1"/>
  <c r="I105" i="1"/>
  <c r="P595" i="1"/>
  <c r="K639" i="1"/>
  <c r="N376" i="1"/>
  <c r="L146" i="1"/>
  <c r="R252" i="1"/>
  <c r="H376" i="1"/>
  <c r="H38" i="1"/>
  <c r="Q58" i="1"/>
  <c r="P547" i="1"/>
  <c r="P356" i="1"/>
  <c r="O350" i="1"/>
  <c r="Q82" i="1"/>
  <c r="P688" i="1"/>
  <c r="P670" i="1"/>
  <c r="O447" i="1"/>
  <c r="K586" i="1"/>
  <c r="R407" i="1"/>
  <c r="K558" i="1"/>
  <c r="I237" i="1"/>
  <c r="O146" i="1"/>
  <c r="M132" i="1"/>
  <c r="I356" i="1"/>
  <c r="Q136" i="1"/>
  <c r="N120" i="1"/>
  <c r="N452" i="1"/>
  <c r="N482" i="1"/>
  <c r="P482" i="1"/>
  <c r="P350" i="1"/>
  <c r="R378" i="1"/>
  <c r="P620" i="1"/>
  <c r="H447" i="1"/>
  <c r="R586" i="1"/>
  <c r="Q140" i="1"/>
  <c r="Q636" i="1"/>
  <c r="I327" i="1"/>
  <c r="M342" i="1"/>
  <c r="Q345" i="1"/>
  <c r="N598" i="1"/>
  <c r="N601" i="1"/>
  <c r="H415" i="1"/>
  <c r="L606" i="1"/>
  <c r="K436" i="1"/>
  <c r="H538" i="1"/>
  <c r="P65" i="1"/>
  <c r="I600" i="1"/>
  <c r="M364" i="1"/>
  <c r="P683" i="1"/>
  <c r="I344" i="1"/>
  <c r="K378" i="1"/>
  <c r="M345" i="1"/>
  <c r="R482" i="1"/>
  <c r="R647" i="1"/>
  <c r="R166" i="1"/>
  <c r="Q338" i="1"/>
  <c r="I657" i="1"/>
  <c r="M148" i="1"/>
  <c r="Q287" i="1"/>
  <c r="Q502" i="1"/>
  <c r="I401" i="1"/>
  <c r="I130" i="1"/>
  <c r="O595" i="1"/>
  <c r="M637" i="1"/>
  <c r="R327" i="1"/>
  <c r="O505" i="1"/>
  <c r="H166" i="1"/>
  <c r="N221" i="1"/>
  <c r="I345" i="1"/>
  <c r="N570" i="1"/>
  <c r="R134" i="1"/>
  <c r="Q285" i="1"/>
  <c r="I338" i="1"/>
  <c r="N364" i="1"/>
  <c r="R55" i="1"/>
  <c r="L535" i="1"/>
  <c r="K395" i="1"/>
  <c r="M605" i="1"/>
  <c r="H545" i="1"/>
  <c r="N492" i="1"/>
  <c r="O538" i="1"/>
  <c r="N553" i="1"/>
  <c r="L619" i="1"/>
  <c r="P452" i="1"/>
  <c r="I101" i="1"/>
  <c r="I378" i="1"/>
  <c r="M130" i="1"/>
  <c r="O80" i="1"/>
  <c r="N132" i="1"/>
  <c r="M129" i="1"/>
  <c r="I22" i="1"/>
  <c r="N105" i="1"/>
  <c r="I664" i="1"/>
  <c r="N445" i="1"/>
  <c r="Q395" i="1"/>
  <c r="I324" i="1"/>
  <c r="K132" i="1"/>
  <c r="N350" i="1"/>
  <c r="N462" i="1"/>
  <c r="H597" i="1"/>
  <c r="I148" i="1"/>
  <c r="M13" i="1"/>
  <c r="L369" i="1"/>
  <c r="L586" i="1"/>
  <c r="O475" i="1"/>
  <c r="H436" i="1"/>
  <c r="I96" i="1"/>
  <c r="M166" i="1"/>
  <c r="L24" i="1"/>
  <c r="L140" i="1"/>
  <c r="I158" i="1"/>
  <c r="H43" i="1"/>
  <c r="M530" i="1"/>
  <c r="L505" i="1"/>
  <c r="P417" i="1"/>
  <c r="K505" i="1"/>
  <c r="H260" i="1"/>
  <c r="H665" i="1"/>
  <c r="N600" i="1"/>
  <c r="K621" i="1"/>
  <c r="N554" i="1"/>
  <c r="R60" i="1"/>
  <c r="I292" i="1"/>
  <c r="L158" i="1"/>
  <c r="K87" i="1"/>
  <c r="K80" i="1"/>
  <c r="K145" i="1"/>
  <c r="I445" i="1"/>
  <c r="M462" i="1"/>
  <c r="H18" i="1"/>
  <c r="L605" i="1"/>
  <c r="R369" i="1"/>
  <c r="O670" i="1"/>
  <c r="P199" i="1"/>
  <c r="H279" i="1"/>
  <c r="Q547" i="1"/>
  <c r="P376" i="1"/>
  <c r="R33" i="1"/>
  <c r="K66" i="1"/>
  <c r="M287" i="1"/>
  <c r="H58" i="1"/>
  <c r="K282" i="1"/>
  <c r="K113" i="1"/>
  <c r="K561" i="1"/>
  <c r="N356" i="1"/>
  <c r="I685" i="1"/>
  <c r="R633" i="1"/>
  <c r="R15" i="1"/>
  <c r="K152" i="1"/>
  <c r="M553" i="1"/>
  <c r="Q38" i="1"/>
  <c r="K429" i="1"/>
  <c r="L270" i="1"/>
  <c r="N20" i="1"/>
  <c r="Q657" i="1"/>
  <c r="R146" i="1"/>
  <c r="O660" i="1"/>
  <c r="R18" i="1"/>
  <c r="P235" i="1"/>
  <c r="N500" i="1"/>
  <c r="Q450" i="1"/>
  <c r="M361" i="1"/>
  <c r="H694" i="1"/>
  <c r="Q596" i="1"/>
  <c r="L500" i="1"/>
  <c r="K650" i="1"/>
  <c r="I534" i="1"/>
  <c r="P304" i="1"/>
  <c r="H204" i="1"/>
  <c r="P488" i="1"/>
  <c r="H474" i="1"/>
  <c r="M632" i="1"/>
  <c r="H473" i="1"/>
  <c r="M690" i="1"/>
  <c r="P527" i="1"/>
  <c r="R517" i="1"/>
  <c r="L365" i="1"/>
  <c r="M532" i="1"/>
  <c r="R582" i="1"/>
  <c r="M305" i="1"/>
  <c r="L335" i="1"/>
  <c r="Q323" i="1"/>
  <c r="L244" i="1"/>
  <c r="H527" i="1"/>
  <c r="M474" i="1"/>
  <c r="L173" i="1"/>
  <c r="L177" i="1"/>
  <c r="I254" i="1"/>
  <c r="Q473" i="1"/>
  <c r="I307" i="1"/>
  <c r="P523" i="1"/>
  <c r="P293" i="1"/>
  <c r="K322" i="1"/>
  <c r="N663" i="1"/>
  <c r="Q291" i="1"/>
  <c r="L294" i="1"/>
  <c r="I208" i="1"/>
  <c r="H291" i="1"/>
  <c r="K319" i="1"/>
  <c r="R308" i="1"/>
  <c r="L178" i="1"/>
  <c r="O147" i="1"/>
  <c r="P268" i="1"/>
  <c r="I351" i="1"/>
  <c r="P269" i="1"/>
  <c r="P362" i="1"/>
  <c r="O310" i="1"/>
  <c r="H467" i="1"/>
  <c r="O309" i="1"/>
  <c r="I432" i="1"/>
  <c r="H205" i="1"/>
  <c r="P42" i="1"/>
  <c r="M627" i="1"/>
  <c r="Q247" i="1"/>
  <c r="I329" i="1"/>
  <c r="L271" i="1"/>
  <c r="O201" i="1"/>
  <c r="Q669" i="1"/>
  <c r="K192" i="1"/>
  <c r="L215" i="1"/>
  <c r="P652" i="1"/>
  <c r="O198" i="1"/>
  <c r="K213" i="1"/>
  <c r="R229" i="1"/>
  <c r="H164" i="1"/>
  <c r="L652" i="1"/>
  <c r="P291" i="1"/>
  <c r="L319" i="1"/>
  <c r="Q615" i="1"/>
  <c r="H182" i="1"/>
  <c r="M34" i="1"/>
  <c r="N247" i="1"/>
  <c r="L453" i="1"/>
  <c r="N589" i="1"/>
  <c r="P305" i="1"/>
  <c r="H560" i="1"/>
  <c r="L93" i="1"/>
  <c r="H453" i="1"/>
  <c r="N307" i="1"/>
  <c r="H654" i="1"/>
  <c r="K135" i="1"/>
  <c r="I643" i="1"/>
  <c r="Q176" i="1"/>
  <c r="H307" i="1"/>
  <c r="O602" i="1"/>
  <c r="R471" i="1"/>
  <c r="N420" i="1"/>
  <c r="Q589" i="1"/>
  <c r="Q467" i="1"/>
  <c r="L247" i="1"/>
  <c r="H177" i="1"/>
  <c r="O466" i="1"/>
  <c r="K444" i="1"/>
  <c r="R67" i="1"/>
  <c r="I454" i="1"/>
  <c r="P250" i="1"/>
  <c r="H306" i="1"/>
  <c r="O479" i="1"/>
  <c r="M453" i="1"/>
  <c r="R244" i="1"/>
  <c r="P259" i="1"/>
  <c r="Q322" i="1"/>
  <c r="O359" i="1"/>
  <c r="I648" i="1"/>
  <c r="O236" i="1"/>
  <c r="K371" i="1"/>
  <c r="K630" i="1"/>
  <c r="N529" i="1"/>
  <c r="P93" i="1"/>
  <c r="O308" i="1"/>
  <c r="K362" i="1"/>
  <c r="M692" i="1"/>
  <c r="R168" i="1"/>
  <c r="K603" i="1"/>
  <c r="I513" i="1"/>
  <c r="K602" i="1"/>
  <c r="I190" i="1"/>
  <c r="O329" i="1"/>
  <c r="L381" i="1"/>
  <c r="K488" i="1"/>
  <c r="Q271" i="1"/>
  <c r="I426" i="1"/>
  <c r="I111" i="1"/>
  <c r="M76" i="1"/>
  <c r="H335" i="1"/>
  <c r="N627" i="1"/>
  <c r="O689" i="1"/>
  <c r="M329" i="1"/>
  <c r="O76" i="1"/>
  <c r="R559" i="1"/>
  <c r="M300" i="1"/>
  <c r="K293" i="1"/>
  <c r="K446" i="1"/>
  <c r="H332" i="1"/>
  <c r="R386" i="1"/>
  <c r="I687" i="1"/>
  <c r="O672" i="1"/>
  <c r="R305" i="1"/>
  <c r="P333" i="1"/>
  <c r="K610" i="1"/>
  <c r="L323" i="1"/>
  <c r="I243" i="1"/>
  <c r="M32" i="1"/>
  <c r="H513" i="1"/>
  <c r="R236" i="1"/>
  <c r="H602" i="1"/>
  <c r="K626" i="1"/>
  <c r="I589" i="1"/>
  <c r="Q603" i="1"/>
  <c r="Q177" i="1"/>
  <c r="M308" i="1"/>
  <c r="Q668" i="1"/>
  <c r="N449" i="1"/>
  <c r="M309" i="1"/>
  <c r="N514" i="1"/>
  <c r="P361" i="1"/>
  <c r="I319" i="1"/>
  <c r="Q11" i="1"/>
  <c r="N674" i="1"/>
  <c r="K694" i="1"/>
  <c r="K361" i="1"/>
  <c r="O351" i="1"/>
  <c r="K173" i="1"/>
  <c r="P568" i="1"/>
  <c r="L89" i="1"/>
  <c r="Q630" i="1"/>
  <c r="K351" i="1"/>
  <c r="I271" i="1"/>
  <c r="H276" i="1"/>
  <c r="O371" i="1"/>
  <c r="K176" i="1"/>
  <c r="N182" i="1"/>
  <c r="L353" i="1"/>
  <c r="R116" i="1"/>
  <c r="I45" i="1"/>
  <c r="L164" i="1"/>
  <c r="Q147" i="1"/>
  <c r="K111" i="1"/>
  <c r="M92" i="1"/>
  <c r="R458" i="1"/>
  <c r="H267" i="1"/>
  <c r="R255" i="1"/>
  <c r="L400" i="1"/>
  <c r="Q268" i="1"/>
  <c r="O449" i="1"/>
  <c r="O116" i="1"/>
  <c r="M78" i="1"/>
  <c r="I322" i="1"/>
  <c r="M222" i="1"/>
  <c r="R654" i="1"/>
  <c r="I420" i="1"/>
  <c r="K204" i="1"/>
  <c r="M379" i="1"/>
  <c r="R50" i="1"/>
  <c r="P177" i="1"/>
  <c r="L625" i="1"/>
  <c r="N215" i="1"/>
  <c r="R173" i="1"/>
  <c r="I590" i="1"/>
  <c r="M663" i="1"/>
  <c r="I559" i="1"/>
  <c r="N562" i="1"/>
  <c r="H297" i="1"/>
  <c r="R351" i="1"/>
  <c r="R648" i="1"/>
  <c r="K295" i="1"/>
  <c r="M449" i="1"/>
  <c r="R32" i="1"/>
  <c r="I582" i="1"/>
  <c r="P596" i="1"/>
  <c r="H571" i="1"/>
  <c r="N681" i="1"/>
  <c r="H677" i="1"/>
  <c r="N39" i="1"/>
  <c r="H215" i="1"/>
  <c r="O560" i="1"/>
  <c r="Q309" i="1"/>
  <c r="K515" i="1"/>
  <c r="P341" i="1"/>
  <c r="R268" i="1"/>
  <c r="P650" i="1"/>
  <c r="K323" i="1"/>
  <c r="P178" i="1"/>
  <c r="K588" i="1"/>
  <c r="O276" i="1"/>
  <c r="Q332" i="1"/>
  <c r="Q51" i="1"/>
  <c r="P230" i="1"/>
  <c r="P51" i="1"/>
  <c r="L9" i="1"/>
  <c r="L681" i="1"/>
  <c r="P78" i="1"/>
  <c r="M446" i="1"/>
  <c r="P306" i="1"/>
  <c r="H669" i="1"/>
  <c r="K147" i="1"/>
  <c r="R76" i="1"/>
  <c r="K627" i="1"/>
  <c r="L599" i="1"/>
  <c r="O458" i="1"/>
  <c r="N532" i="1"/>
  <c r="K582" i="1"/>
  <c r="P371" i="1"/>
  <c r="I9" i="1"/>
  <c r="R630" i="1"/>
  <c r="H479" i="1"/>
  <c r="O498" i="1"/>
  <c r="I89" i="1"/>
  <c r="K669" i="1"/>
  <c r="K659" i="1"/>
  <c r="H371" i="1"/>
  <c r="L67" i="1"/>
  <c r="I294" i="1"/>
  <c r="M432" i="1"/>
  <c r="I222" i="1"/>
  <c r="M669" i="1"/>
  <c r="R426" i="1"/>
  <c r="H259" i="1"/>
  <c r="L596" i="1"/>
  <c r="K681" i="1"/>
  <c r="P603" i="1"/>
  <c r="K178" i="1"/>
  <c r="Q111" i="1"/>
  <c r="M173" i="1"/>
  <c r="K235" i="1"/>
  <c r="I78" i="1"/>
  <c r="Q306" i="1"/>
  <c r="I310" i="1"/>
  <c r="R650" i="1"/>
  <c r="I692" i="1"/>
  <c r="O335" i="1"/>
  <c r="N498" i="1"/>
  <c r="M515" i="1"/>
  <c r="N230" i="1"/>
  <c r="O297" i="1"/>
  <c r="I295" i="1"/>
  <c r="L366" i="1"/>
  <c r="I42" i="1"/>
  <c r="K687" i="1"/>
  <c r="H51" i="1"/>
  <c r="P89" i="1"/>
  <c r="I449" i="1"/>
  <c r="O307" i="1"/>
  <c r="R430" i="1"/>
  <c r="Q444" i="1"/>
  <c r="Q278" i="1"/>
  <c r="N588" i="1"/>
  <c r="M454" i="1"/>
  <c r="Q659" i="1"/>
  <c r="L648" i="1"/>
  <c r="R322" i="1"/>
  <c r="K366" i="1"/>
  <c r="N19" i="1"/>
  <c r="R450" i="1"/>
  <c r="P592" i="1"/>
  <c r="Q294" i="1"/>
  <c r="R205" i="1"/>
  <c r="M335" i="1"/>
  <c r="P409" i="1"/>
  <c r="Q34" i="1"/>
  <c r="O366" i="1"/>
  <c r="H268" i="1"/>
  <c r="H119" i="1"/>
  <c r="L592" i="1"/>
  <c r="N602" i="1"/>
  <c r="N432" i="1"/>
  <c r="L602" i="1"/>
  <c r="M513" i="1"/>
  <c r="P39" i="1"/>
  <c r="M471" i="1"/>
  <c r="I142" i="1"/>
  <c r="Q466" i="1"/>
  <c r="H309" i="1"/>
  <c r="K76" i="1"/>
  <c r="I450" i="1"/>
  <c r="N592" i="1"/>
  <c r="L668" i="1"/>
  <c r="L358" i="1"/>
  <c r="K19" i="1"/>
  <c r="N305" i="1"/>
  <c r="K589" i="1"/>
  <c r="Q635" i="1"/>
  <c r="H278" i="1"/>
  <c r="H379" i="1"/>
  <c r="H168" i="1"/>
  <c r="P88" i="1"/>
  <c r="M635" i="1"/>
  <c r="N662" i="1"/>
  <c r="R671" i="1"/>
  <c r="M681" i="1"/>
  <c r="I50" i="1"/>
  <c r="O652" i="1"/>
  <c r="I259" i="1"/>
  <c r="R316" i="1"/>
  <c r="H690" i="1"/>
  <c r="R383" i="1"/>
  <c r="H116" i="1"/>
  <c r="M677" i="1"/>
  <c r="N250" i="1"/>
  <c r="K690" i="1"/>
  <c r="N76" i="1"/>
  <c r="M500" i="1"/>
  <c r="I596" i="1"/>
  <c r="O674" i="1"/>
  <c r="H567" i="1"/>
  <c r="N467" i="1"/>
  <c r="I527" i="1"/>
  <c r="N116" i="1"/>
  <c r="H39" i="1"/>
  <c r="O562" i="1"/>
  <c r="M568" i="1"/>
  <c r="R290" i="1"/>
  <c r="Q316" i="1"/>
  <c r="R42" i="1"/>
  <c r="M458" i="1"/>
  <c r="R473" i="1"/>
  <c r="M243" i="1"/>
  <c r="P236" i="1"/>
  <c r="K615" i="1"/>
  <c r="N290" i="1"/>
  <c r="M304" i="1"/>
  <c r="N672" i="1"/>
  <c r="O259" i="1"/>
  <c r="N331" i="1"/>
  <c r="M284" i="1"/>
  <c r="Q446" i="1"/>
  <c r="Q474" i="1"/>
  <c r="N560" i="1"/>
  <c r="H31" i="1"/>
  <c r="O453" i="1"/>
  <c r="O630" i="1"/>
  <c r="R562" i="1"/>
  <c r="M275" i="1"/>
  <c r="P135" i="1"/>
  <c r="R488" i="1"/>
  <c r="H9" i="1"/>
  <c r="P366" i="1"/>
  <c r="I516" i="1"/>
  <c r="R259" i="1"/>
  <c r="K358" i="1"/>
  <c r="K341" i="1"/>
  <c r="I247" i="1"/>
  <c r="I290" i="1"/>
  <c r="N255" i="1"/>
  <c r="L514" i="1"/>
  <c r="P466" i="1"/>
  <c r="H83" i="1"/>
  <c r="H275" i="1"/>
  <c r="K381" i="1"/>
  <c r="I267" i="1"/>
  <c r="L306" i="1"/>
  <c r="I562" i="1"/>
  <c r="R310" i="1"/>
  <c r="H305" i="1"/>
  <c r="Q295" i="1"/>
  <c r="H201" i="1"/>
  <c r="L409" i="1"/>
  <c r="Q562" i="1"/>
  <c r="K163" i="1"/>
  <c r="I571" i="1"/>
  <c r="O11" i="1"/>
  <c r="H596" i="1"/>
  <c r="O318" i="1"/>
  <c r="H444" i="1"/>
  <c r="O50" i="1"/>
  <c r="Q643" i="1"/>
  <c r="R571" i="1"/>
  <c r="L458" i="1"/>
  <c r="O250" i="1"/>
  <c r="I615" i="1"/>
  <c r="M341" i="1"/>
  <c r="H515" i="1"/>
  <c r="L300" i="1"/>
  <c r="I517" i="1"/>
  <c r="L466" i="1"/>
  <c r="I690" i="1"/>
  <c r="N286" i="1"/>
  <c r="H192" i="1"/>
  <c r="N479" i="1"/>
  <c r="K205" i="1"/>
  <c r="R626" i="1"/>
  <c r="Q599" i="1"/>
  <c r="N591" i="1"/>
  <c r="K310" i="1"/>
  <c r="L582" i="1"/>
  <c r="M178" i="1"/>
  <c r="P348" i="1"/>
  <c r="M562" i="1"/>
  <c r="O392" i="1"/>
  <c r="P400" i="1"/>
  <c r="P308" i="1"/>
  <c r="P626" i="1"/>
  <c r="O515" i="1"/>
  <c r="M466" i="1"/>
  <c r="N694" i="1"/>
  <c r="I626" i="1"/>
  <c r="M93" i="1"/>
  <c r="K51" i="1"/>
  <c r="P234" i="1"/>
  <c r="O229" i="1"/>
  <c r="P365" i="1"/>
  <c r="K201" i="1"/>
  <c r="H153" i="1"/>
  <c r="L176" i="1"/>
  <c r="I178" i="1"/>
  <c r="O358" i="1"/>
  <c r="L351" i="1"/>
  <c r="Q93" i="1"/>
  <c r="K479" i="1"/>
  <c r="N294" i="1"/>
  <c r="M467" i="1"/>
  <c r="O659" i="1"/>
  <c r="N523" i="1"/>
  <c r="M89" i="1"/>
  <c r="M498" i="1"/>
  <c r="R247" i="1"/>
  <c r="R294" i="1"/>
  <c r="Q88" i="1"/>
  <c r="I677" i="1"/>
  <c r="M205" i="1"/>
  <c r="O42" i="1"/>
  <c r="L386" i="1"/>
  <c r="O92" i="1"/>
  <c r="O284" i="1"/>
  <c r="H582" i="1"/>
  <c r="I34" i="1"/>
  <c r="O268" i="1"/>
  <c r="H232" i="1"/>
  <c r="K591" i="1"/>
  <c r="I236" i="1"/>
  <c r="M592" i="1"/>
  <c r="N205" i="1"/>
  <c r="Q663" i="1"/>
  <c r="N150" i="1"/>
  <c r="K594" i="1"/>
  <c r="I304" i="1"/>
  <c r="Q83" i="1"/>
  <c r="H331" i="1"/>
  <c r="M45" i="1"/>
  <c r="H468" i="1"/>
  <c r="L45" i="1"/>
  <c r="H135" i="1"/>
  <c r="L297" i="1"/>
  <c r="I473" i="1"/>
  <c r="P244" i="1"/>
  <c r="Q672" i="1"/>
  <c r="L663" i="1"/>
  <c r="P473" i="1"/>
  <c r="O332" i="1"/>
  <c r="M689" i="1"/>
  <c r="Q213" i="1"/>
  <c r="P471" i="1"/>
  <c r="P692" i="1"/>
  <c r="L694" i="1"/>
  <c r="N439" i="1"/>
  <c r="Q45" i="1"/>
  <c r="K559" i="1"/>
  <c r="R192" i="1"/>
  <c r="Q42" i="1"/>
  <c r="R318" i="1"/>
  <c r="P562" i="1"/>
  <c r="P444" i="1"/>
  <c r="N310" i="1"/>
  <c r="L448" i="1"/>
  <c r="M588" i="1"/>
  <c r="K654" i="1"/>
  <c r="L594" i="1"/>
  <c r="O173" i="1"/>
  <c r="I204" i="1"/>
  <c r="P50" i="1"/>
  <c r="I333" i="1"/>
  <c r="P446" i="1"/>
  <c r="L654" i="1"/>
  <c r="Q326" i="1"/>
  <c r="R119" i="1"/>
  <c r="R348" i="1"/>
  <c r="O448" i="1"/>
  <c r="P480" i="1"/>
  <c r="K562" i="1"/>
  <c r="I335" i="1"/>
  <c r="Q532" i="1"/>
  <c r="M268" i="1"/>
  <c r="R30" i="1"/>
  <c r="M668" i="1"/>
  <c r="O430" i="1"/>
  <c r="K448" i="1"/>
  <c r="H523" i="1"/>
  <c r="K662" i="1"/>
  <c r="P694" i="1"/>
  <c r="O527" i="1"/>
  <c r="M267" i="1"/>
  <c r="H295" i="1"/>
  <c r="R234" i="1"/>
  <c r="I40" i="1"/>
  <c r="O467" i="1"/>
  <c r="P297" i="1"/>
  <c r="P208" i="1"/>
  <c r="K331" i="1"/>
  <c r="L626" i="1"/>
  <c r="N692" i="1"/>
  <c r="P153" i="1"/>
  <c r="H353" i="1"/>
  <c r="Q454" i="1"/>
  <c r="I326" i="1"/>
  <c r="R359" i="1"/>
  <c r="H304" i="1"/>
  <c r="K672" i="1"/>
  <c r="H668" i="1"/>
  <c r="Q386" i="1"/>
  <c r="I213" i="1"/>
  <c r="R307" i="1"/>
  <c r="M265" i="1"/>
  <c r="N268" i="1"/>
  <c r="L450" i="1"/>
  <c r="L430" i="1"/>
  <c r="L125" i="1"/>
  <c r="N341" i="1"/>
  <c r="R88" i="1"/>
  <c r="K353" i="1"/>
  <c r="O361" i="1"/>
  <c r="N515" i="1"/>
  <c r="Q215" i="1"/>
  <c r="Q296" i="1"/>
  <c r="Q383" i="1"/>
  <c r="O694" i="1"/>
  <c r="N458" i="1"/>
  <c r="M450" i="1"/>
  <c r="N232" i="1"/>
  <c r="Q173" i="1"/>
  <c r="R208" i="1"/>
  <c r="K599" i="1"/>
  <c r="K332" i="1"/>
  <c r="R592" i="1"/>
  <c r="Q681" i="1"/>
  <c r="I474" i="1"/>
  <c r="O379" i="1"/>
  <c r="I150" i="1"/>
  <c r="I93" i="1"/>
  <c r="N635" i="1"/>
  <c r="O192" i="1"/>
  <c r="P296" i="1"/>
  <c r="L307" i="1"/>
  <c r="Q488" i="1"/>
  <c r="M400" i="1"/>
  <c r="M318" i="1"/>
  <c r="H234" i="1"/>
  <c r="R692" i="1"/>
  <c r="O265" i="1"/>
  <c r="I663" i="1"/>
  <c r="N308" i="1"/>
  <c r="P243" i="1"/>
  <c r="Q471" i="1"/>
  <c r="L76" i="1"/>
  <c r="K50" i="1"/>
  <c r="R532" i="1"/>
  <c r="Q534" i="1"/>
  <c r="L480" i="1"/>
  <c r="I381" i="1"/>
  <c r="K30" i="1"/>
  <c r="I529" i="1"/>
  <c r="P247" i="1"/>
  <c r="R275" i="1"/>
  <c r="O591" i="1"/>
  <c r="O534" i="1"/>
  <c r="R448" i="1"/>
  <c r="L568" i="1"/>
  <c r="M177" i="1"/>
  <c r="P67" i="1"/>
  <c r="L615" i="1"/>
  <c r="H300" i="1"/>
  <c r="R276" i="1"/>
  <c r="H290" i="1"/>
  <c r="M254" i="1"/>
  <c r="I192" i="1"/>
  <c r="P381" i="1"/>
  <c r="I116" i="1"/>
  <c r="N168" i="1"/>
  <c r="I269" i="1"/>
  <c r="P514" i="1"/>
  <c r="K400" i="1"/>
  <c r="N473" i="1"/>
  <c r="M602" i="1"/>
  <c r="Q381" i="1"/>
  <c r="L230" i="1"/>
  <c r="K290" i="1"/>
  <c r="L236" i="1"/>
  <c r="N488" i="1"/>
  <c r="M321" i="1"/>
  <c r="O692" i="1"/>
  <c r="L432" i="1"/>
  <c r="R341" i="1"/>
  <c r="P255" i="1"/>
  <c r="L517" i="1"/>
  <c r="N164" i="1"/>
  <c r="O168" i="1"/>
  <c r="R381" i="1"/>
  <c r="L513" i="1"/>
  <c r="M444" i="1"/>
  <c r="I448" i="1"/>
  <c r="R662" i="1"/>
  <c r="H208" i="1"/>
  <c r="O304" i="1"/>
  <c r="H450" i="1"/>
  <c r="L361" i="1"/>
  <c r="N444" i="1"/>
  <c r="K517" i="1"/>
  <c r="N537" i="1"/>
  <c r="N201" i="1"/>
  <c r="N571" i="1"/>
  <c r="H400" i="1"/>
  <c r="Q674" i="1"/>
  <c r="H448" i="1"/>
  <c r="K309" i="1"/>
  <c r="K318" i="1"/>
  <c r="I201" i="1"/>
  <c r="P163" i="1"/>
  <c r="L39" i="1"/>
  <c r="K93" i="1"/>
  <c r="L630" i="1"/>
  <c r="M235" i="1"/>
  <c r="H326" i="1"/>
  <c r="O635" i="1"/>
  <c r="H603" i="1"/>
  <c r="M255" i="1"/>
  <c r="Q448" i="1"/>
  <c r="M208" i="1"/>
  <c r="O690" i="1"/>
  <c r="O182" i="1"/>
  <c r="Q192" i="1"/>
  <c r="M625" i="1"/>
  <c r="Q648" i="1"/>
  <c r="P468" i="1"/>
  <c r="I500" i="1"/>
  <c r="Q359" i="1"/>
  <c r="I371" i="1"/>
  <c r="Q560" i="1"/>
  <c r="H559" i="1"/>
  <c r="L267" i="1"/>
  <c r="H643" i="1"/>
  <c r="K321" i="1"/>
  <c r="K454" i="1"/>
  <c r="Q232" i="1"/>
  <c r="R321" i="1"/>
  <c r="R690" i="1"/>
  <c r="Q591" i="1"/>
  <c r="M297" i="1"/>
  <c r="O341" i="1"/>
  <c r="O386" i="1"/>
  <c r="L326" i="1"/>
  <c r="Q164" i="1"/>
  <c r="K125" i="1"/>
  <c r="P32" i="1"/>
  <c r="R516" i="1"/>
  <c r="R198" i="1"/>
  <c r="Q236" i="1"/>
  <c r="P31" i="1"/>
  <c r="O420" i="1"/>
  <c r="I205" i="1"/>
  <c r="K568" i="1"/>
  <c r="I359" i="1"/>
  <c r="Q335" i="1"/>
  <c r="L698" i="1"/>
  <c r="L42" i="1"/>
  <c r="H142" i="1"/>
  <c r="O610" i="1"/>
  <c r="I386" i="1"/>
  <c r="Q230" i="1"/>
  <c r="M111" i="1"/>
  <c r="I250" i="1"/>
  <c r="N236" i="1"/>
  <c r="Q698" i="1"/>
  <c r="P92" i="1"/>
  <c r="P276" i="1"/>
  <c r="M366" i="1"/>
  <c r="H45" i="1"/>
  <c r="P116" i="1"/>
  <c r="Q198" i="1"/>
  <c r="I627" i="1"/>
  <c r="I293" i="1"/>
  <c r="N208" i="1"/>
  <c r="R603" i="1"/>
  <c r="H178" i="1"/>
  <c r="P668" i="1"/>
  <c r="M671" i="1"/>
  <c r="O473" i="1"/>
  <c r="L671" i="1"/>
  <c r="L116" i="1"/>
  <c r="L235" i="1"/>
  <c r="I76" i="1"/>
  <c r="P643" i="1"/>
  <c r="I488" i="1"/>
  <c r="O176" i="1"/>
  <c r="R474" i="1"/>
  <c r="P674" i="1"/>
  <c r="Q500" i="1"/>
  <c r="R527" i="1"/>
  <c r="Q150" i="1"/>
  <c r="Q135" i="1"/>
  <c r="N534" i="1"/>
  <c r="N244" i="1"/>
  <c r="I341" i="1"/>
  <c r="O383" i="1"/>
  <c r="I51" i="1"/>
  <c r="L446" i="1"/>
  <c r="H222" i="1"/>
  <c r="O426" i="1"/>
  <c r="H689" i="1"/>
  <c r="N448" i="1"/>
  <c r="O290" i="1"/>
  <c r="P271" i="1"/>
  <c r="Q409" i="1"/>
  <c r="N50" i="1"/>
  <c r="L51" i="1"/>
  <c r="M244" i="1"/>
  <c r="O582" i="1"/>
  <c r="R286" i="1"/>
  <c r="L290" i="1"/>
  <c r="O432" i="1"/>
  <c r="Q690" i="1"/>
  <c r="N177" i="1"/>
  <c r="R331" i="1"/>
  <c r="R618" i="1"/>
  <c r="H365" i="1"/>
  <c r="I669" i="1"/>
  <c r="R602" i="1"/>
  <c r="L379" i="1"/>
  <c r="Q297" i="1"/>
  <c r="K449" i="1"/>
  <c r="K265" i="1"/>
  <c r="Q307" i="1"/>
  <c r="Q632" i="1"/>
  <c r="I625" i="1"/>
  <c r="R34" i="1"/>
  <c r="P331" i="1"/>
  <c r="O353" i="1"/>
  <c r="O271" i="1"/>
  <c r="M319" i="1"/>
  <c r="N42" i="1"/>
  <c r="K150" i="1"/>
  <c r="R284" i="1"/>
  <c r="K329" i="1"/>
  <c r="M698" i="1"/>
  <c r="I361" i="1"/>
  <c r="L479" i="1"/>
  <c r="M295" i="1"/>
  <c r="I255" i="1"/>
  <c r="P83" i="1"/>
  <c r="O267" i="1"/>
  <c r="M135" i="1"/>
  <c r="R479" i="1"/>
  <c r="N332" i="1"/>
  <c r="M83" i="1"/>
  <c r="M559" i="1"/>
  <c r="M582" i="1"/>
  <c r="R335" i="1"/>
  <c r="H235" i="1"/>
  <c r="R652" i="1"/>
  <c r="H269" i="1"/>
  <c r="R507" i="1"/>
  <c r="H147" i="1"/>
  <c r="P198" i="1"/>
  <c r="N351" i="1"/>
  <c r="L333" i="1"/>
  <c r="R271" i="1"/>
  <c r="L591" i="1"/>
  <c r="N178" i="1"/>
  <c r="L537" i="1"/>
  <c r="N618" i="1"/>
  <c r="K507" i="1"/>
  <c r="K326" i="1"/>
  <c r="O205" i="1"/>
  <c r="H319" i="1"/>
  <c r="O244" i="1"/>
  <c r="H672" i="1"/>
  <c r="M630" i="1"/>
  <c r="I147" i="1"/>
  <c r="P19" i="1"/>
  <c r="M507" i="1"/>
  <c r="O177" i="1"/>
  <c r="Q625" i="1"/>
  <c r="O51" i="1"/>
  <c r="K247" i="1"/>
  <c r="N362" i="1"/>
  <c r="O40" i="1"/>
  <c r="K45" i="1"/>
  <c r="P34" i="1"/>
  <c r="O450" i="1"/>
  <c r="M603" i="1"/>
  <c r="N229" i="1"/>
  <c r="Q458" i="1"/>
  <c r="M359" i="1"/>
  <c r="H93" i="1"/>
  <c r="O454" i="1"/>
  <c r="R243" i="1"/>
  <c r="O222" i="1"/>
  <c r="P76" i="1"/>
  <c r="Q269" i="1"/>
  <c r="L692" i="1"/>
  <c r="N326" i="1"/>
  <c r="R232" i="1"/>
  <c r="O323" i="1"/>
  <c r="Q498" i="1"/>
  <c r="L308" i="1"/>
  <c r="N450" i="1"/>
  <c r="P591" i="1"/>
  <c r="P190" i="1"/>
  <c r="K467" i="1"/>
  <c r="H198" i="1"/>
  <c r="O213" i="1"/>
  <c r="H488" i="1"/>
  <c r="L383" i="1"/>
  <c r="H449" i="1"/>
  <c r="Q67" i="1"/>
  <c r="K297" i="1"/>
  <c r="L83" i="1"/>
  <c r="K306" i="1"/>
  <c r="L627" i="1"/>
  <c r="Q255" i="1"/>
  <c r="I125" i="1"/>
  <c r="O326" i="1"/>
  <c r="K474" i="1"/>
  <c r="H67" i="1"/>
  <c r="Q432" i="1"/>
  <c r="N235" i="1"/>
  <c r="M652" i="1"/>
  <c r="I39" i="1"/>
  <c r="R45" i="1"/>
  <c r="I630" i="1"/>
  <c r="O316" i="1"/>
  <c r="M236" i="1"/>
  <c r="R366" i="1"/>
  <c r="R39" i="1"/>
  <c r="R689" i="1"/>
  <c r="L30" i="1"/>
  <c r="R615" i="1"/>
  <c r="Q365" i="1"/>
  <c r="O300" i="1"/>
  <c r="P9" i="1"/>
  <c r="M192" i="1"/>
  <c r="H500" i="1"/>
  <c r="P479" i="1"/>
  <c r="Q602" i="1"/>
  <c r="O663" i="1"/>
  <c r="H610" i="1"/>
  <c r="M296" i="1"/>
  <c r="L168" i="1"/>
  <c r="M331" i="1"/>
  <c r="K466" i="1"/>
  <c r="M306" i="1"/>
  <c r="Q222" i="1"/>
  <c r="P201" i="1"/>
  <c r="M125" i="1"/>
  <c r="K305" i="1"/>
  <c r="L589" i="1"/>
  <c r="P294" i="1"/>
  <c r="M31" i="1"/>
  <c r="O517" i="1"/>
  <c r="M618" i="1"/>
  <c r="M599" i="1"/>
  <c r="R687" i="1"/>
  <c r="O31" i="1"/>
  <c r="O439" i="1"/>
  <c r="I164" i="1"/>
  <c r="R625" i="1"/>
  <c r="Q517" i="1"/>
  <c r="P147" i="1"/>
  <c r="K229" i="1"/>
  <c r="M234" i="1"/>
  <c r="O322" i="1"/>
  <c r="K333" i="1"/>
  <c r="N365" i="1"/>
  <c r="K31" i="1"/>
  <c r="L213" i="1"/>
  <c r="O319" i="1"/>
  <c r="M215" i="1"/>
  <c r="K39" i="1"/>
  <c r="K83" i="1"/>
  <c r="N163" i="1"/>
  <c r="K67" i="1"/>
  <c r="L515" i="1"/>
  <c r="L632" i="1"/>
  <c r="Q142" i="1"/>
  <c r="L362" i="1"/>
  <c r="M291" i="1"/>
  <c r="Q276" i="1"/>
  <c r="R125" i="1"/>
  <c r="Q201" i="1"/>
  <c r="Q652" i="1"/>
  <c r="H454" i="1"/>
  <c r="K198" i="1"/>
  <c r="P119" i="1"/>
  <c r="H361" i="1"/>
  <c r="P467" i="1"/>
  <c r="I235" i="1"/>
  <c r="I514" i="1"/>
  <c r="M276" i="1"/>
  <c r="I300" i="1"/>
  <c r="P142" i="1"/>
  <c r="N254" i="1"/>
  <c r="N348" i="1"/>
  <c r="M348" i="1"/>
  <c r="H532" i="1"/>
  <c r="N379" i="1"/>
  <c r="M626" i="1"/>
  <c r="N603" i="1"/>
  <c r="O468" i="1"/>
  <c r="N293" i="1"/>
  <c r="L119" i="1"/>
  <c r="H236" i="1"/>
  <c r="P498" i="1"/>
  <c r="O321" i="1"/>
  <c r="L674" i="1"/>
  <c r="H265" i="1"/>
  <c r="M358" i="1"/>
  <c r="I430" i="1"/>
  <c r="Q308" i="1"/>
  <c r="R213" i="1"/>
  <c r="L562" i="1"/>
  <c r="K529" i="1"/>
  <c r="Q507" i="1"/>
  <c r="P590" i="1"/>
  <c r="K471" i="1"/>
  <c r="Q234" i="1"/>
  <c r="N297" i="1"/>
  <c r="R135" i="1"/>
  <c r="K523" i="1"/>
  <c r="L304" i="1"/>
  <c r="K698" i="1"/>
  <c r="H635" i="1"/>
  <c r="N295" i="1"/>
  <c r="N690" i="1"/>
  <c r="R444" i="1"/>
  <c r="K40" i="1"/>
  <c r="O348" i="1"/>
  <c r="O163" i="1"/>
  <c r="P300" i="1"/>
  <c r="P278" i="1"/>
  <c r="N654" i="1"/>
  <c r="K153" i="1"/>
  <c r="O243" i="1"/>
  <c r="P663" i="1"/>
  <c r="R453" i="1"/>
  <c r="I498" i="1"/>
  <c r="L265" i="1"/>
  <c r="Q310" i="1"/>
  <c r="L92" i="1"/>
  <c r="M150" i="1"/>
  <c r="Q610" i="1"/>
  <c r="K663" i="1"/>
  <c r="L11" i="1"/>
  <c r="K244" i="1"/>
  <c r="N599" i="1"/>
  <c r="H615" i="1"/>
  <c r="Q244" i="1"/>
  <c r="Q182" i="1"/>
  <c r="I348" i="1"/>
  <c r="R663" i="1"/>
  <c r="H383" i="1"/>
  <c r="I284" i="1"/>
  <c r="N135" i="1"/>
  <c r="O594" i="1"/>
  <c r="R326" i="1"/>
  <c r="N517" i="1"/>
  <c r="O208" i="1"/>
  <c r="Q689" i="1"/>
  <c r="H589" i="1"/>
  <c r="Q371" i="1"/>
  <c r="K92" i="1"/>
  <c r="O523" i="1"/>
  <c r="K291" i="1"/>
  <c r="L88" i="1"/>
  <c r="P662" i="1"/>
  <c r="N669" i="1"/>
  <c r="M672" i="1"/>
  <c r="N689" i="1"/>
  <c r="L532" i="1"/>
  <c r="N329" i="1"/>
  <c r="L204" i="1"/>
  <c r="O32" i="1"/>
  <c r="L567" i="1"/>
  <c r="I632" i="1"/>
  <c r="P439" i="1"/>
  <c r="O294" i="1"/>
  <c r="L31" i="1"/>
  <c r="L291" i="1"/>
  <c r="K430" i="1"/>
  <c r="Q19" i="1"/>
  <c r="R588" i="1"/>
  <c r="I635" i="1"/>
  <c r="P515" i="1"/>
  <c r="L32" i="1"/>
  <c r="P358" i="1"/>
  <c r="I659" i="1"/>
  <c r="L635" i="1"/>
  <c r="H507" i="1"/>
  <c r="O45" i="1"/>
  <c r="Q119" i="1"/>
  <c r="R296" i="1"/>
  <c r="O632" i="1"/>
  <c r="H244" i="1"/>
  <c r="Q243" i="1"/>
  <c r="P192" i="1"/>
  <c r="O331" i="1"/>
  <c r="L201" i="1"/>
  <c r="I515" i="1"/>
  <c r="Q318" i="1"/>
  <c r="Q559" i="1"/>
  <c r="M259" i="1"/>
  <c r="K468" i="1"/>
  <c r="P301" i="1"/>
  <c r="P448" i="1"/>
  <c r="Q594" i="1"/>
  <c r="I92" i="1"/>
  <c r="I358" i="1"/>
  <c r="M596" i="1"/>
  <c r="H30" i="1"/>
  <c r="M176" i="1"/>
  <c r="N192" i="1"/>
  <c r="I153" i="1"/>
  <c r="K278" i="1"/>
  <c r="R250" i="1"/>
  <c r="K618" i="1"/>
  <c r="N45" i="1"/>
  <c r="R534" i="1"/>
  <c r="R568" i="1"/>
  <c r="N176" i="1"/>
  <c r="L111" i="1"/>
  <c r="H432" i="1"/>
  <c r="L142" i="1"/>
  <c r="R222" i="1"/>
  <c r="Q319" i="1"/>
  <c r="O698" i="1"/>
  <c r="L150" i="1"/>
  <c r="K222" i="1"/>
  <c r="N426" i="1"/>
  <c r="K78" i="1"/>
  <c r="R83" i="1"/>
  <c r="N430" i="1"/>
  <c r="N668" i="1"/>
  <c r="M290" i="1"/>
  <c r="K379" i="1"/>
  <c r="P689" i="1"/>
  <c r="H625" i="1"/>
  <c r="Q420" i="1"/>
  <c r="K668" i="1"/>
  <c r="K560" i="1"/>
  <c r="O650" i="1"/>
  <c r="P571" i="1"/>
  <c r="Q582" i="1"/>
  <c r="K177" i="1"/>
  <c r="H271" i="1"/>
  <c r="R514" i="1"/>
  <c r="L588" i="1"/>
  <c r="M293" i="1"/>
  <c r="H190" i="1"/>
  <c r="R589" i="1"/>
  <c r="H322" i="1"/>
  <c r="R93" i="1"/>
  <c r="N83" i="1"/>
  <c r="N567" i="1"/>
  <c r="N626" i="1"/>
  <c r="I588" i="1"/>
  <c r="O135" i="1"/>
  <c r="I291" i="1"/>
  <c r="I365" i="1"/>
  <c r="R529" i="1"/>
  <c r="N234" i="1"/>
  <c r="M488" i="1"/>
  <c r="O400" i="1"/>
  <c r="P40" i="1"/>
  <c r="N466" i="1"/>
  <c r="N333" i="1"/>
  <c r="L371" i="1"/>
  <c r="P329" i="1"/>
  <c r="I19" i="1"/>
  <c r="K514" i="1"/>
  <c r="R635" i="1"/>
  <c r="M534" i="1"/>
  <c r="L295" i="1"/>
  <c r="R78" i="1"/>
  <c r="P687" i="1"/>
  <c r="O596" i="1"/>
  <c r="I244" i="1"/>
  <c r="I305" i="1"/>
  <c r="K652" i="1"/>
  <c r="P599" i="1"/>
  <c r="O500" i="1"/>
  <c r="N652" i="1"/>
  <c r="N304" i="1"/>
  <c r="O529" i="1"/>
  <c r="Q30" i="1"/>
  <c r="O278" i="1"/>
  <c r="O648" i="1"/>
  <c r="L687" i="1"/>
  <c r="M591" i="1"/>
  <c r="K625" i="1"/>
  <c r="N468" i="1"/>
  <c r="N119" i="1"/>
  <c r="Q178" i="1"/>
  <c r="O589" i="1"/>
  <c r="P507" i="1"/>
  <c r="L341" i="1"/>
  <c r="P386" i="1"/>
  <c r="P322" i="1"/>
  <c r="O444" i="1"/>
  <c r="P332" i="1"/>
  <c r="O480" i="1"/>
  <c r="P164" i="1"/>
  <c r="I198" i="1"/>
  <c r="N34" i="1"/>
  <c r="H409" i="1"/>
  <c r="M383" i="1"/>
  <c r="L243" i="1"/>
  <c r="L650" i="1"/>
  <c r="I467" i="1"/>
  <c r="L571" i="1"/>
  <c r="H301" i="1"/>
  <c r="M51" i="1"/>
  <c r="I234" i="1"/>
  <c r="O687" i="1"/>
  <c r="I602" i="1"/>
  <c r="R594" i="1"/>
  <c r="N610" i="1"/>
  <c r="M190" i="1"/>
  <c r="L135" i="1"/>
  <c r="M527" i="1"/>
  <c r="N9" i="1"/>
  <c r="H308" i="1"/>
  <c r="R446" i="1"/>
  <c r="I681" i="1"/>
  <c r="N323" i="1"/>
  <c r="R147" i="1"/>
  <c r="L259" i="1"/>
  <c r="N284" i="1"/>
  <c r="Q92" i="1"/>
  <c r="M67" i="1"/>
  <c r="H381" i="1"/>
  <c r="P351" i="1"/>
  <c r="O615" i="1"/>
  <c r="M333" i="1"/>
  <c r="R291" i="1"/>
  <c r="R323" i="1"/>
  <c r="P430" i="1"/>
  <c r="K480" i="1"/>
  <c r="O643" i="1"/>
  <c r="M529" i="1"/>
  <c r="P176" i="1"/>
  <c r="Q358" i="1"/>
  <c r="H34" i="1"/>
  <c r="Q662" i="1"/>
  <c r="P310" i="1"/>
  <c r="L523" i="1"/>
  <c r="P318" i="1"/>
  <c r="R163" i="1"/>
  <c r="L163" i="1"/>
  <c r="Q400" i="1"/>
  <c r="K11" i="1"/>
  <c r="H662" i="1"/>
  <c r="Q379" i="1"/>
  <c r="H294" i="1"/>
  <c r="M468" i="1"/>
  <c r="M473" i="1"/>
  <c r="R694" i="1"/>
  <c r="O269" i="1"/>
  <c r="K308" i="1"/>
  <c r="L610" i="1"/>
  <c r="N480" i="1"/>
  <c r="P432" i="1"/>
  <c r="N265" i="1"/>
  <c r="Q626" i="1"/>
  <c r="I453" i="1"/>
  <c r="K168" i="1"/>
  <c r="H590" i="1"/>
  <c r="L205" i="1"/>
  <c r="H534" i="1"/>
  <c r="Q618" i="1"/>
  <c r="I662" i="1"/>
  <c r="M247" i="1"/>
  <c r="I30" i="1"/>
  <c r="Q31" i="1"/>
  <c r="I182" i="1"/>
  <c r="L527" i="1"/>
  <c r="H599" i="1"/>
  <c r="M147" i="1"/>
  <c r="N471" i="1"/>
  <c r="P458" i="1"/>
  <c r="R204" i="1"/>
  <c r="K532" i="1"/>
  <c r="P284" i="1"/>
  <c r="H32" i="1"/>
  <c r="K164" i="1"/>
  <c r="H648" i="1"/>
  <c r="R365" i="1"/>
  <c r="Q527" i="1"/>
  <c r="I480" i="1"/>
  <c r="Q275" i="1"/>
  <c r="I599" i="1"/>
  <c r="L669" i="1"/>
  <c r="I278" i="1"/>
  <c r="R468" i="1"/>
  <c r="O362" i="1"/>
  <c r="Q116" i="1"/>
  <c r="H293" i="1"/>
  <c r="M392" i="1"/>
  <c r="M323" i="1"/>
  <c r="N276" i="1"/>
  <c r="N659" i="1"/>
  <c r="L603" i="1"/>
  <c r="O19" i="1"/>
  <c r="H591" i="1"/>
  <c r="K335" i="1"/>
  <c r="Q523" i="1"/>
  <c r="Q329" i="1"/>
  <c r="N590" i="1"/>
  <c r="O671" i="1"/>
  <c r="N319" i="1"/>
  <c r="K304" i="1"/>
  <c r="L507" i="1"/>
  <c r="O626" i="1"/>
  <c r="R567" i="1"/>
  <c r="O627" i="1"/>
  <c r="R164" i="1"/>
  <c r="I265" i="1"/>
  <c r="N32" i="1"/>
  <c r="I444" i="1"/>
  <c r="K301" i="1"/>
  <c r="K116" i="1"/>
  <c r="N409" i="1"/>
  <c r="P295" i="1"/>
  <c r="O625" i="1"/>
  <c r="P453" i="1"/>
  <c r="L278" i="1"/>
  <c r="M589" i="1"/>
  <c r="P532" i="1"/>
  <c r="H255" i="1"/>
  <c r="Q267" i="1"/>
  <c r="P383" i="1"/>
  <c r="P232" i="1"/>
  <c r="K34" i="1"/>
  <c r="R677" i="1"/>
  <c r="N40" i="1"/>
  <c r="O296" i="1"/>
  <c r="O234" i="1"/>
  <c r="H50" i="1"/>
  <c r="H125" i="1"/>
  <c r="H366" i="1"/>
  <c r="K426" i="1"/>
  <c r="Q677" i="1"/>
  <c r="O532" i="1"/>
  <c r="N67" i="1"/>
  <c r="H659" i="1"/>
  <c r="N371" i="1"/>
  <c r="L468" i="1"/>
  <c r="I215" i="1"/>
  <c r="M116" i="1"/>
  <c r="I362" i="1"/>
  <c r="M294" i="1"/>
  <c r="P632" i="1"/>
  <c r="N527" i="1"/>
  <c r="H333" i="1"/>
  <c r="P602" i="1"/>
  <c r="L690" i="1"/>
  <c r="P319" i="1"/>
  <c r="I318" i="1"/>
  <c r="L392" i="1"/>
  <c r="O293" i="1"/>
  <c r="I654" i="1"/>
  <c r="R358" i="1"/>
  <c r="I591" i="1"/>
  <c r="P698" i="1"/>
  <c r="O571" i="1"/>
  <c r="L439" i="1"/>
  <c r="L284" i="1"/>
  <c r="O514" i="1"/>
  <c r="K142" i="1"/>
  <c r="P392" i="1"/>
  <c r="P500" i="1"/>
  <c r="O78" i="1"/>
  <c r="L293" i="1"/>
  <c r="K271" i="1"/>
  <c r="O204" i="1"/>
  <c r="R361" i="1"/>
  <c r="K32" i="1"/>
  <c r="M168" i="1"/>
  <c r="P681" i="1"/>
  <c r="L192" i="1"/>
  <c r="K596" i="1"/>
  <c r="N513" i="1"/>
  <c r="K674" i="1"/>
  <c r="H627" i="1"/>
  <c r="O232" i="1"/>
  <c r="O513" i="1"/>
  <c r="I594" i="1"/>
  <c r="H692" i="1"/>
  <c r="N190" i="1"/>
  <c r="K300" i="1"/>
  <c r="R400" i="1"/>
  <c r="Q286" i="1"/>
  <c r="R51" i="1"/>
  <c r="P359" i="1"/>
  <c r="Q341" i="1"/>
  <c r="N306" i="1"/>
  <c r="H250" i="1"/>
  <c r="R309" i="1"/>
  <c r="O599" i="1"/>
  <c r="Q353" i="1"/>
  <c r="I309" i="1"/>
  <c r="P229" i="1"/>
  <c r="M269" i="1"/>
  <c r="I316" i="1"/>
  <c r="I446" i="1"/>
  <c r="R698" i="1"/>
  <c r="R329" i="1"/>
  <c r="R513" i="1"/>
  <c r="K592" i="1"/>
  <c r="P173" i="1"/>
  <c r="Q514" i="1"/>
  <c r="I301" i="1"/>
  <c r="L348" i="1"/>
  <c r="R466" i="1"/>
  <c r="R627" i="1"/>
  <c r="Q125" i="1"/>
  <c r="Q468" i="1"/>
  <c r="N173" i="1"/>
  <c r="O142" i="1"/>
  <c r="M326" i="1"/>
  <c r="N296" i="1"/>
  <c r="H537" i="1"/>
  <c r="H458" i="1"/>
  <c r="H310" i="1"/>
  <c r="H351" i="1"/>
  <c r="N204" i="1"/>
  <c r="K383" i="1"/>
  <c r="H517" i="1"/>
  <c r="K534" i="1"/>
  <c r="M316" i="1"/>
  <c r="N507" i="1"/>
  <c r="I560" i="1"/>
  <c r="K632" i="1"/>
  <c r="Q204" i="1"/>
  <c r="H650" i="1"/>
  <c r="L677" i="1"/>
  <c r="O215" i="1"/>
  <c r="M537" i="1"/>
  <c r="N474" i="1"/>
  <c r="N142" i="1"/>
  <c r="M153" i="1"/>
  <c r="Q426" i="1"/>
  <c r="Q430" i="1"/>
  <c r="Q515" i="1"/>
  <c r="N568" i="1"/>
  <c r="R295" i="1"/>
  <c r="O537" i="1"/>
  <c r="N625" i="1"/>
  <c r="N153" i="1"/>
  <c r="P582" i="1"/>
  <c r="H323" i="1"/>
  <c r="M420" i="1"/>
  <c r="R420" i="1"/>
  <c r="O150" i="1"/>
  <c r="P265" i="1"/>
  <c r="L232" i="1"/>
  <c r="I308" i="1"/>
  <c r="R439" i="1"/>
  <c r="M654" i="1"/>
  <c r="Q627" i="1"/>
  <c r="N300" i="1"/>
  <c r="R632" i="1"/>
  <c r="R409" i="1"/>
  <c r="N594" i="1"/>
  <c r="I409" i="1"/>
  <c r="M232" i="1"/>
  <c r="H40" i="1"/>
  <c r="R300" i="1"/>
  <c r="I323" i="1"/>
  <c r="M674" i="1"/>
  <c r="P516" i="1"/>
  <c r="P560" i="1"/>
  <c r="P45" i="1"/>
  <c r="I610" i="1"/>
  <c r="Q392" i="1"/>
  <c r="R379" i="1"/>
  <c r="I672" i="1"/>
  <c r="L560" i="1"/>
  <c r="O333" i="1"/>
  <c r="P610" i="1"/>
  <c r="P588" i="1"/>
  <c r="I379" i="1"/>
  <c r="R392" i="1"/>
  <c r="R201" i="1"/>
  <c r="H568" i="1"/>
  <c r="O305" i="1"/>
  <c r="P659" i="1"/>
  <c r="K671" i="1"/>
  <c r="N559" i="1"/>
  <c r="P125" i="1"/>
  <c r="Q265" i="1"/>
  <c r="N31" i="1"/>
  <c r="M409" i="1"/>
  <c r="N322" i="1"/>
  <c r="R449" i="1"/>
  <c r="N309" i="1"/>
  <c r="O255" i="1"/>
  <c r="R599" i="1"/>
  <c r="K450" i="1"/>
  <c r="K590" i="1"/>
  <c r="N366" i="1"/>
  <c r="O89" i="1"/>
  <c r="I275" i="1"/>
  <c r="N316" i="1"/>
  <c r="M430" i="1"/>
  <c r="R301" i="1"/>
  <c r="Q76" i="1"/>
  <c r="Q331" i="1"/>
  <c r="R297" i="1"/>
  <c r="I479" i="1"/>
  <c r="P449" i="1"/>
  <c r="M517" i="1"/>
  <c r="O83" i="1"/>
  <c r="P267" i="1"/>
  <c r="I297" i="1"/>
  <c r="O516" i="1"/>
  <c r="P254" i="1"/>
  <c r="K643" i="1"/>
  <c r="K365" i="1"/>
  <c r="L331" i="1"/>
  <c r="L234" i="1"/>
  <c r="I31" i="1"/>
  <c r="L147" i="1"/>
  <c r="K513" i="1"/>
  <c r="L254" i="1"/>
  <c r="N386" i="1"/>
  <c r="M365" i="1"/>
  <c r="L19" i="1"/>
  <c r="I674" i="1"/>
  <c r="O681" i="1"/>
  <c r="R11" i="1"/>
  <c r="R19" i="1"/>
  <c r="P215" i="1"/>
  <c r="I603" i="1"/>
  <c r="R668" i="1"/>
  <c r="N582" i="1"/>
  <c r="H89" i="1"/>
  <c r="H671" i="1"/>
  <c r="P627" i="1"/>
  <c r="P529" i="1"/>
  <c r="O235" i="1"/>
  <c r="Q89" i="1"/>
  <c r="M40" i="1"/>
  <c r="H588" i="1"/>
  <c r="M643" i="1"/>
  <c r="Q229" i="1"/>
  <c r="M201" i="1"/>
  <c r="L659" i="1"/>
  <c r="O603" i="1"/>
  <c r="K567" i="1"/>
  <c r="I135" i="1"/>
  <c r="L34" i="1"/>
  <c r="N51" i="1"/>
  <c r="N213" i="1"/>
  <c r="R153" i="1"/>
  <c r="H247" i="1"/>
  <c r="M353" i="1"/>
  <c r="K473" i="1"/>
  <c r="N698" i="1"/>
  <c r="Q480" i="1"/>
  <c r="P654" i="1"/>
  <c r="K215" i="1"/>
  <c r="Q671" i="1"/>
  <c r="H652" i="1"/>
  <c r="R235" i="1"/>
  <c r="N147" i="1"/>
  <c r="P204" i="1"/>
  <c r="H529" i="1"/>
  <c r="K208" i="1"/>
  <c r="K409" i="1"/>
  <c r="M371" i="1"/>
  <c r="R265" i="1"/>
  <c r="O254" i="1"/>
  <c r="R362" i="1"/>
  <c r="H329" i="1"/>
  <c r="N361" i="1"/>
  <c r="M687" i="1"/>
  <c r="P275" i="1"/>
  <c r="K571" i="1"/>
  <c r="I650" i="1"/>
  <c r="H516" i="1"/>
  <c r="P316" i="1"/>
  <c r="O178" i="1"/>
  <c r="I694" i="1"/>
  <c r="R304" i="1"/>
  <c r="H632" i="1"/>
  <c r="O286" i="1"/>
  <c r="P213" i="1"/>
  <c r="K386" i="1"/>
  <c r="H163" i="1"/>
  <c r="R560" i="1"/>
  <c r="M426" i="1"/>
  <c r="Q293" i="1"/>
  <c r="P677" i="1"/>
  <c r="O275" i="1"/>
  <c r="R190" i="1"/>
  <c r="H88" i="1"/>
  <c r="N291" i="1"/>
  <c r="O9" i="1"/>
  <c r="K420" i="1"/>
  <c r="P671" i="1"/>
  <c r="H471" i="1"/>
  <c r="R454" i="1"/>
  <c r="N632" i="1"/>
  <c r="K182" i="1"/>
  <c r="H630" i="1"/>
  <c r="Q571" i="1"/>
  <c r="P379" i="1"/>
  <c r="R177" i="1"/>
  <c r="M310" i="1"/>
  <c r="O446" i="1"/>
  <c r="Q567" i="1"/>
  <c r="Q205" i="1"/>
  <c r="P690" i="1"/>
  <c r="O662" i="1"/>
  <c r="M659" i="1"/>
  <c r="M39" i="1"/>
  <c r="K119" i="1"/>
  <c r="R515" i="1"/>
  <c r="K259" i="1"/>
  <c r="R269" i="1"/>
  <c r="H420" i="1"/>
  <c r="P111" i="1"/>
  <c r="O39" i="1"/>
  <c r="M480" i="1"/>
  <c r="K267" i="1"/>
  <c r="M307" i="1"/>
  <c r="I32" i="1"/>
  <c r="R293" i="1"/>
  <c r="N677" i="1"/>
  <c r="M590" i="1"/>
  <c r="K692" i="1"/>
  <c r="K269" i="1"/>
  <c r="R89" i="1"/>
  <c r="R669" i="1"/>
  <c r="M229" i="1"/>
  <c r="R306" i="1"/>
  <c r="L618" i="1"/>
  <c r="K230" i="1"/>
  <c r="K284" i="1"/>
  <c r="M694" i="1"/>
  <c r="I471" i="1"/>
  <c r="O111" i="1"/>
  <c r="L310" i="1"/>
  <c r="I458" i="1"/>
  <c r="N358" i="1"/>
  <c r="N671" i="1"/>
  <c r="I652" i="1"/>
  <c r="K537" i="1"/>
  <c r="R523" i="1"/>
  <c r="R681" i="1"/>
  <c r="P150" i="1"/>
  <c r="I366" i="1"/>
  <c r="O230" i="1"/>
  <c r="L198" i="1"/>
  <c r="L529" i="1"/>
  <c r="Q348" i="1"/>
  <c r="I268" i="1"/>
  <c r="Q537" i="1"/>
  <c r="P648" i="1"/>
  <c r="R150" i="1"/>
  <c r="M301" i="1"/>
  <c r="Q305" i="1"/>
  <c r="Q439" i="1"/>
  <c r="R596" i="1"/>
  <c r="Q235" i="1"/>
  <c r="L471" i="1"/>
  <c r="L516" i="1"/>
  <c r="P222" i="1"/>
  <c r="Q694" i="1"/>
  <c r="P323" i="1"/>
  <c r="R176" i="1"/>
  <c r="Q361" i="1"/>
  <c r="Q516" i="1"/>
  <c r="H687" i="1"/>
  <c r="I537" i="1"/>
  <c r="O365" i="1"/>
  <c r="I392" i="1"/>
  <c r="Q592" i="1"/>
  <c r="H213" i="1"/>
  <c r="P168" i="1"/>
  <c r="Q163" i="1"/>
  <c r="P635" i="1"/>
  <c r="L498" i="1"/>
  <c r="H698" i="1"/>
  <c r="P625" i="1"/>
  <c r="N321" i="1"/>
  <c r="M204" i="1"/>
  <c r="H392" i="1"/>
  <c r="P669" i="1"/>
  <c r="R591" i="1"/>
  <c r="M571" i="1"/>
  <c r="N392" i="1"/>
  <c r="P615" i="1"/>
  <c r="K42" i="1"/>
  <c r="H439" i="1"/>
  <c r="M119" i="1"/>
  <c r="L316" i="1"/>
  <c r="H321" i="1"/>
  <c r="K316" i="1"/>
  <c r="O301" i="1"/>
  <c r="K453" i="1"/>
  <c r="P182" i="1"/>
  <c r="R31" i="1"/>
  <c r="O67" i="1"/>
  <c r="M9" i="1"/>
  <c r="Q453" i="1"/>
  <c r="N335" i="1"/>
  <c r="O381" i="1"/>
  <c r="M250" i="1"/>
  <c r="P672" i="1"/>
  <c r="M648" i="1"/>
  <c r="M198" i="1"/>
  <c r="P537" i="1"/>
  <c r="R480" i="1"/>
  <c r="R672" i="1"/>
  <c r="R498" i="1"/>
  <c r="R537" i="1"/>
  <c r="H362" i="1"/>
  <c r="O654" i="1"/>
  <c r="P307" i="1"/>
  <c r="H254" i="1"/>
  <c r="R590" i="1"/>
  <c r="O668" i="1"/>
  <c r="L222" i="1"/>
  <c r="H562" i="1"/>
  <c r="Q50" i="1"/>
  <c r="H78" i="1"/>
  <c r="M88" i="1"/>
  <c r="M381" i="1"/>
  <c r="N30" i="1"/>
  <c r="I232" i="1"/>
  <c r="O677" i="1"/>
  <c r="L286" i="1"/>
  <c r="H681" i="1"/>
  <c r="O153" i="1"/>
  <c r="M230" i="1"/>
  <c r="M439" i="1"/>
  <c r="N687" i="1"/>
  <c r="O588" i="1"/>
  <c r="M560" i="1"/>
  <c r="H594" i="1"/>
  <c r="I296" i="1"/>
  <c r="N381" i="1"/>
  <c r="I276" i="1"/>
  <c r="I468" i="1"/>
  <c r="L449" i="1"/>
  <c r="L309" i="1"/>
  <c r="O567" i="1"/>
  <c r="N243" i="1"/>
  <c r="Q254" i="1"/>
  <c r="I177" i="1"/>
  <c r="R674" i="1"/>
  <c r="M448" i="1"/>
  <c r="Q479" i="1"/>
  <c r="K276" i="1"/>
  <c r="M523" i="1"/>
  <c r="L359" i="1"/>
  <c r="L488" i="1"/>
  <c r="Q449" i="1"/>
  <c r="H626" i="1"/>
  <c r="R278" i="1"/>
  <c r="R178" i="1"/>
  <c r="Q321" i="1"/>
  <c r="H19" i="1"/>
  <c r="K689" i="1"/>
  <c r="L534" i="1"/>
  <c r="I618" i="1"/>
  <c r="P286" i="1"/>
  <c r="Q39" i="1"/>
  <c r="R610" i="1"/>
  <c r="H11" i="1"/>
  <c r="Q366" i="1"/>
  <c r="I331" i="1"/>
  <c r="N269" i="1"/>
  <c r="P205" i="1"/>
  <c r="P353" i="1"/>
  <c r="Q78" i="1"/>
  <c r="O88" i="1"/>
  <c r="I229" i="1"/>
  <c r="O488" i="1"/>
  <c r="R9" i="1"/>
  <c r="L229" i="1"/>
  <c r="H359" i="1"/>
  <c r="P30" i="1"/>
  <c r="P513" i="1"/>
  <c r="P450" i="1"/>
  <c r="L454" i="1"/>
  <c r="O474" i="1"/>
  <c r="M362" i="1"/>
  <c r="H592" i="1"/>
  <c r="N383" i="1"/>
  <c r="P559" i="1"/>
  <c r="M662" i="1"/>
  <c r="K232" i="1"/>
  <c r="M50" i="1"/>
  <c r="N446" i="1"/>
  <c r="I168" i="1"/>
  <c r="K254" i="1"/>
  <c r="H42" i="1"/>
  <c r="L269" i="1"/>
  <c r="P589" i="1"/>
  <c r="K294" i="1"/>
  <c r="L473" i="1"/>
  <c r="N318" i="1"/>
  <c r="R111" i="1"/>
  <c r="K88" i="1"/>
  <c r="H358" i="1"/>
  <c r="I353" i="1"/>
  <c r="P454" i="1"/>
  <c r="Q301" i="1"/>
  <c r="P426" i="1"/>
  <c r="I83" i="1"/>
  <c r="M11" i="1"/>
  <c r="K243" i="1"/>
  <c r="K439" i="1"/>
  <c r="R332" i="1"/>
  <c r="O471" i="1"/>
  <c r="H466" i="1"/>
  <c r="K432" i="1"/>
  <c r="M30" i="1"/>
  <c r="L420" i="1"/>
  <c r="H230" i="1"/>
  <c r="L426" i="1"/>
  <c r="P11" i="1"/>
  <c r="I173" i="1"/>
  <c r="H386" i="1"/>
  <c r="H76" i="1"/>
  <c r="M182" i="1"/>
  <c r="N222" i="1"/>
  <c r="N359" i="1"/>
  <c r="H446" i="1"/>
  <c r="Q351" i="1"/>
  <c r="R432" i="1"/>
  <c r="I286" i="1"/>
  <c r="K275" i="1"/>
  <c r="K236" i="1"/>
  <c r="O409" i="1"/>
  <c r="O119" i="1"/>
  <c r="R333" i="1"/>
  <c r="H176" i="1"/>
  <c r="R142" i="1"/>
  <c r="L689" i="1"/>
  <c r="Q9" i="1"/>
  <c r="N453" i="1"/>
  <c r="L276" i="1"/>
  <c r="Q304" i="1"/>
  <c r="O291" i="1"/>
  <c r="K250" i="1"/>
  <c r="N93" i="1"/>
  <c r="R659" i="1"/>
  <c r="N630" i="1"/>
  <c r="R267" i="1"/>
  <c r="K234" i="1"/>
  <c r="L444" i="1"/>
  <c r="O590" i="1"/>
  <c r="P321" i="1"/>
  <c r="K255" i="1"/>
  <c r="Q284" i="1"/>
  <c r="N454" i="1"/>
  <c r="L268" i="1"/>
  <c r="H92" i="1"/>
  <c r="Q300" i="1"/>
  <c r="O34" i="1"/>
  <c r="P474" i="1"/>
  <c r="I668" i="1"/>
  <c r="L190" i="1"/>
  <c r="O30" i="1"/>
  <c r="H618" i="1"/>
  <c r="L250" i="1"/>
  <c r="H286" i="1"/>
  <c r="K500" i="1"/>
  <c r="N271" i="1"/>
  <c r="I568" i="1"/>
  <c r="I119" i="1"/>
  <c r="M142" i="1"/>
  <c r="N516" i="1"/>
  <c r="P567" i="1"/>
  <c r="Q529" i="1"/>
  <c r="L40" i="1"/>
  <c r="M278" i="1"/>
  <c r="H674" i="1"/>
  <c r="I383" i="1"/>
  <c r="I698" i="1"/>
  <c r="M594" i="1"/>
  <c r="O306" i="1"/>
  <c r="N259" i="1"/>
  <c r="P618" i="1"/>
  <c r="K677" i="1"/>
  <c r="I400" i="1"/>
  <c r="O592" i="1"/>
  <c r="L301" i="1"/>
  <c r="L296" i="1"/>
  <c r="Q40" i="1"/>
  <c r="I332" i="1"/>
  <c r="R500" i="1"/>
  <c r="R92" i="1"/>
  <c r="K458" i="1"/>
  <c r="M271" i="1"/>
  <c r="K498" i="1"/>
  <c r="P534" i="1"/>
  <c r="Q513" i="1"/>
  <c r="H341" i="1"/>
  <c r="H284" i="1"/>
  <c r="Q588" i="1"/>
  <c r="L662" i="1"/>
  <c r="M514" i="1"/>
  <c r="H296" i="1"/>
  <c r="M567" i="1"/>
  <c r="I439" i="1"/>
  <c r="H111" i="1"/>
  <c r="N88" i="1"/>
  <c r="H243" i="1"/>
  <c r="H348" i="1"/>
  <c r="I321" i="1"/>
  <c r="K268" i="1"/>
  <c r="H316" i="1"/>
  <c r="K190" i="1"/>
  <c r="M19" i="1"/>
  <c r="N78" i="1"/>
  <c r="P420" i="1"/>
  <c r="I163" i="1"/>
  <c r="R643" i="1"/>
  <c r="Q362" i="1"/>
  <c r="K516" i="1"/>
  <c r="L318" i="1"/>
  <c r="O295" i="1"/>
  <c r="O618" i="1"/>
  <c r="H663" i="1"/>
  <c r="M516" i="1"/>
  <c r="K9" i="1"/>
  <c r="Q250" i="1"/>
  <c r="L275" i="1"/>
  <c r="I176" i="1"/>
  <c r="L474" i="1"/>
  <c r="P290" i="1"/>
  <c r="R40" i="1"/>
  <c r="I306" i="1"/>
  <c r="P594" i="1"/>
  <c r="L467" i="1"/>
  <c r="O568" i="1"/>
  <c r="M42" i="1"/>
  <c r="O93" i="1"/>
  <c r="M164" i="1"/>
  <c r="Q290" i="1"/>
  <c r="M615" i="1"/>
  <c r="R467" i="1"/>
  <c r="N400" i="1"/>
  <c r="H150" i="1"/>
  <c r="M650" i="1"/>
  <c r="Q654" i="1"/>
  <c r="R254" i="1"/>
  <c r="H426" i="1"/>
  <c r="L208" i="1"/>
  <c r="H229" i="1"/>
  <c r="L590" i="1"/>
  <c r="P326" i="1"/>
  <c r="O190" i="1"/>
  <c r="I567" i="1"/>
  <c r="Q168" i="1"/>
  <c r="H498" i="1"/>
  <c r="P335" i="1"/>
  <c r="L255" i="1"/>
  <c r="Q692" i="1"/>
  <c r="R182" i="1"/>
  <c r="H480" i="1"/>
  <c r="I88" i="1"/>
  <c r="I230" i="1"/>
  <c r="O164" i="1"/>
  <c r="N198" i="1"/>
  <c r="I689" i="1"/>
  <c r="N353" i="1"/>
  <c r="Q568" i="1"/>
  <c r="I592" i="1"/>
  <c r="N648" i="1"/>
  <c r="Q590" i="1"/>
  <c r="H430" i="1"/>
  <c r="R319" i="1"/>
  <c r="N89" i="1"/>
  <c r="O559" i="1"/>
  <c r="L153" i="1"/>
  <c r="L78" i="1"/>
  <c r="M213" i="1"/>
  <c r="H173" i="1"/>
  <c r="M386" i="1"/>
  <c r="L672" i="1"/>
  <c r="L305" i="1"/>
  <c r="N267" i="1"/>
  <c r="R230" i="1"/>
  <c r="M332" i="1"/>
  <c r="K348" i="1"/>
  <c r="O125" i="1"/>
  <c r="I532" i="1"/>
  <c r="L332" i="1"/>
  <c r="I671" i="1"/>
  <c r="Q687" i="1"/>
  <c r="K648" i="1"/>
  <c r="O507" i="1"/>
  <c r="I67" i="1"/>
  <c r="L321" i="1"/>
  <c r="R353" i="1"/>
  <c r="N11" i="1"/>
  <c r="N301" i="1"/>
  <c r="I507" i="1"/>
  <c r="K307" i="1"/>
  <c r="O669" i="1"/>
  <c r="K89" i="1"/>
  <c r="Q259" i="1"/>
  <c r="Q32" i="1"/>
  <c r="L50" i="1"/>
  <c r="N650" i="1"/>
  <c r="N643" i="1"/>
  <c r="K359" i="1"/>
  <c r="K296" i="1"/>
  <c r="I466" i="1"/>
  <c r="M351" i="1"/>
  <c r="N92" i="1"/>
  <c r="M610" i="1"/>
  <c r="L329" i="1"/>
  <c r="O247" i="1"/>
  <c r="I11" i="1"/>
  <c r="Q650" i="1"/>
  <c r="L643" i="1"/>
  <c r="P517" i="1"/>
  <c r="N125" i="1"/>
  <c r="P630" i="1"/>
  <c r="K527" i="1"/>
  <c r="Q333" i="1"/>
  <c r="L182" i="1"/>
  <c r="R371" i="1"/>
  <c r="L559" i="1"/>
  <c r="Q153" i="1"/>
  <c r="L322" i="1"/>
  <c r="N278" i="1"/>
  <c r="K392" i="1"/>
  <c r="K635" i="1"/>
  <c r="N596" i="1"/>
  <c r="M479" i="1"/>
  <c r="P309" i="1"/>
  <c r="H514" i="1"/>
  <c r="N615" i="1"/>
  <c r="Q190" i="1"/>
  <c r="N275" i="1"/>
  <c r="R215" i="1"/>
  <c r="Q208" i="1"/>
  <c r="M163" i="1"/>
  <c r="M322" i="1"/>
  <c r="N111" i="1"/>
  <c r="H318" i="1"/>
  <c r="I523" i="1"/>
  <c r="K286" i="1"/>
  <c r="M286" i="1"/>
  <c r="T119" i="1"/>
  <c r="S671" i="1"/>
  <c r="T357" i="1"/>
  <c r="T55" i="1"/>
  <c r="T530" i="1"/>
  <c r="T532" i="1"/>
  <c r="S532" i="1"/>
  <c r="S24" i="1"/>
  <c r="T24" i="1"/>
  <c r="S288" i="1"/>
  <c r="S649" i="1"/>
  <c r="T586" i="1"/>
  <c r="S586" i="1"/>
  <c r="T347" i="1"/>
  <c r="T605" i="1"/>
  <c r="S605" i="1"/>
  <c r="T204" i="1"/>
  <c r="S144" i="1"/>
  <c r="T144" i="1"/>
  <c r="S16" i="1"/>
  <c r="T16" i="1"/>
  <c r="T630" i="1"/>
  <c r="S307" i="1"/>
  <c r="T307" i="1"/>
  <c r="S11" i="1"/>
  <c r="T11" i="1"/>
  <c r="T400" i="1"/>
  <c r="S518" i="1"/>
  <c r="T518" i="1"/>
  <c r="T404" i="1"/>
  <c r="S404" i="1"/>
  <c r="T338" i="1"/>
  <c r="T201" i="1"/>
  <c r="T345" i="1"/>
  <c r="T677" i="1"/>
  <c r="S677" i="1"/>
  <c r="S390" i="1"/>
  <c r="T390" i="1"/>
  <c r="T540" i="1"/>
  <c r="S540" i="1"/>
  <c r="S564" i="1"/>
  <c r="S528" i="1"/>
  <c r="S600" i="1"/>
  <c r="T637" i="1"/>
  <c r="T483" i="1"/>
  <c r="S483" i="1"/>
  <c r="T236" i="1"/>
  <c r="S236" i="1"/>
  <c r="S624" i="1"/>
  <c r="S698" i="1"/>
  <c r="T698" i="1"/>
  <c r="T399" i="1"/>
  <c r="S399" i="1"/>
  <c r="T191" i="1"/>
  <c r="S191" i="1"/>
  <c r="T235" i="1"/>
  <c r="S437" i="1"/>
  <c r="T437" i="1"/>
  <c r="S168" i="1"/>
  <c r="T168" i="1"/>
  <c r="S529" i="1"/>
  <c r="T529" i="1"/>
  <c r="T134" i="1"/>
  <c r="T50" i="1"/>
  <c r="S50" i="1"/>
  <c r="T432" i="1"/>
  <c r="S231" i="1"/>
  <c r="S261" i="1"/>
  <c r="T261" i="1"/>
  <c r="S78" i="1"/>
  <c r="T78" i="1"/>
  <c r="T642" i="1"/>
  <c r="T49" i="1"/>
  <c r="S94" i="1"/>
  <c r="T94" i="1"/>
  <c r="T104" i="1"/>
  <c r="S104" i="1"/>
  <c r="T48" i="1"/>
  <c r="S48" i="1"/>
  <c r="S502" i="1"/>
  <c r="T502" i="1"/>
  <c r="S20" i="1"/>
  <c r="T20" i="1"/>
  <c r="S386" i="1"/>
  <c r="T386" i="1"/>
  <c r="S52" i="1"/>
  <c r="S116" i="1"/>
  <c r="T116" i="1"/>
  <c r="T346" i="1"/>
  <c r="S346" i="1"/>
  <c r="S415" i="1"/>
  <c r="T415" i="1"/>
  <c r="S105" i="1"/>
  <c r="T105" i="1"/>
  <c r="T602" i="1"/>
  <c r="S602" i="1"/>
  <c r="T606" i="1"/>
  <c r="S606" i="1"/>
  <c r="T563" i="1"/>
  <c r="S563" i="1"/>
  <c r="S523" i="1"/>
  <c r="T296" i="1"/>
  <c r="S81" i="1"/>
  <c r="T541" i="1"/>
  <c r="S541" i="1"/>
  <c r="T87" i="1"/>
  <c r="S87" i="1"/>
  <c r="T542" i="1"/>
  <c r="S542" i="1"/>
  <c r="S417" i="1"/>
  <c r="T417" i="1"/>
  <c r="T71" i="1"/>
  <c r="S71" i="1"/>
  <c r="S474" i="1"/>
  <c r="T474" i="1"/>
  <c r="T475" i="1"/>
  <c r="S475" i="1"/>
  <c r="T112" i="1"/>
  <c r="S112" i="1"/>
  <c r="T342" i="1"/>
  <c r="S395" i="1"/>
  <c r="T395" i="1"/>
  <c r="S489" i="1"/>
  <c r="T489" i="1"/>
  <c r="T693" i="1"/>
  <c r="S693" i="1"/>
  <c r="T627" i="1"/>
  <c r="S627" i="1"/>
  <c r="T121" i="1"/>
  <c r="S121" i="1"/>
  <c r="T265" i="1"/>
  <c r="T509" i="1"/>
  <c r="S509" i="1"/>
  <c r="T18" i="1"/>
  <c r="T354" i="1"/>
  <c r="T190" i="1"/>
  <c r="T413" i="1"/>
  <c r="S192" i="1"/>
  <c r="T192" i="1"/>
  <c r="S364" i="1"/>
  <c r="T364" i="1"/>
  <c r="S54" i="1"/>
  <c r="T54" i="1"/>
  <c r="S223" i="1"/>
  <c r="S98" i="1"/>
  <c r="T367" i="1"/>
  <c r="S361" i="1"/>
  <c r="T361" i="1"/>
  <c r="S56" i="1"/>
  <c r="T56" i="1"/>
  <c r="S632" i="1"/>
  <c r="T632" i="1"/>
  <c r="T488" i="1"/>
  <c r="S370" i="1"/>
  <c r="T370" i="1"/>
  <c r="T441" i="1"/>
  <c r="S441" i="1"/>
  <c r="T499" i="1"/>
  <c r="S499" i="1"/>
  <c r="T651" i="1"/>
  <c r="S651" i="1"/>
  <c r="S423" i="1"/>
  <c r="S19" i="1"/>
  <c r="T19" i="1"/>
  <c r="S416" i="1"/>
  <c r="T173" i="1"/>
  <c r="S267" i="1"/>
  <c r="T267" i="1"/>
  <c r="T604" i="1"/>
  <c r="S604" i="1"/>
  <c r="S51" i="1"/>
  <c r="T51" i="1"/>
  <c r="T175" i="1"/>
  <c r="S175" i="1"/>
  <c r="T639" i="1"/>
  <c r="T588" i="1"/>
  <c r="S588" i="1"/>
  <c r="S641" i="1"/>
  <c r="T641" i="1"/>
  <c r="T161" i="1"/>
  <c r="T253" i="1"/>
  <c r="S253" i="1"/>
  <c r="S498" i="1"/>
  <c r="T498" i="1"/>
  <c r="S186" i="1"/>
  <c r="T186" i="1"/>
  <c r="S525" i="1"/>
  <c r="T525" i="1"/>
  <c r="T244" i="1"/>
  <c r="S226" i="1"/>
  <c r="T226" i="1"/>
  <c r="T479" i="1"/>
  <c r="S479" i="1"/>
  <c r="T200" i="1"/>
  <c r="S200" i="1"/>
  <c r="S230" i="1"/>
  <c r="T230" i="1"/>
  <c r="T661" i="1"/>
  <c r="S216" i="1"/>
  <c r="T216" i="1"/>
  <c r="T323" i="1"/>
  <c r="T478" i="1"/>
  <c r="S478" i="1"/>
  <c r="T617" i="1"/>
  <c r="S391" i="1"/>
  <c r="T67" i="1"/>
  <c r="S67" i="1"/>
  <c r="S626" i="1"/>
  <c r="T626" i="1"/>
  <c r="S547" i="1"/>
  <c r="T84" i="1"/>
  <c r="S84" i="1"/>
  <c r="T308" i="1"/>
  <c r="S213" i="1"/>
  <c r="T213" i="1"/>
  <c r="T450" i="1"/>
  <c r="T590" i="1"/>
  <c r="S590" i="1"/>
  <c r="T629" i="1"/>
  <c r="S629" i="1"/>
  <c r="T559" i="1"/>
  <c r="S559" i="1"/>
  <c r="T482" i="1"/>
  <c r="S482" i="1"/>
  <c r="S114" i="1"/>
  <c r="T114" i="1"/>
  <c r="S171" i="1"/>
  <c r="S34" i="1"/>
  <c r="S670" i="1"/>
  <c r="T670" i="1"/>
  <c r="T66" i="1"/>
  <c r="S66" i="1"/>
  <c r="T207" i="1"/>
  <c r="T594" i="1"/>
  <c r="S594" i="1"/>
  <c r="T369" i="1"/>
  <c r="S369" i="1"/>
  <c r="S107" i="1"/>
  <c r="T583" i="1"/>
  <c r="S583" i="1"/>
  <c r="T389" i="1"/>
  <c r="S389" i="1"/>
  <c r="T621" i="1"/>
  <c r="S621" i="1"/>
  <c r="T337" i="1"/>
  <c r="S337" i="1"/>
  <c r="T401" i="1"/>
  <c r="S401" i="1"/>
  <c r="T258" i="1"/>
  <c r="S258" i="1"/>
  <c r="S623" i="1"/>
  <c r="S476" i="1"/>
  <c r="T476" i="1"/>
  <c r="S619" i="1"/>
  <c r="S184" i="1"/>
  <c r="T184" i="1"/>
  <c r="S614" i="1"/>
  <c r="T614" i="1"/>
  <c r="T251" i="1"/>
  <c r="S251" i="1"/>
  <c r="S387" i="1"/>
  <c r="S212" i="1"/>
  <c r="T212" i="1"/>
  <c r="S421" i="1"/>
  <c r="T421" i="1"/>
  <c r="S331" i="1"/>
  <c r="T331" i="1"/>
  <c r="T419" i="1"/>
  <c r="S47" i="1"/>
  <c r="T47" i="1"/>
  <c r="S695" i="1"/>
  <c r="T695" i="1"/>
  <c r="T142" i="1"/>
  <c r="T36" i="1"/>
  <c r="S36" i="1"/>
  <c r="S149" i="1"/>
  <c r="T149" i="1"/>
  <c r="T64" i="1"/>
  <c r="S64" i="1"/>
  <c r="S195" i="1"/>
  <c r="T195" i="1"/>
  <c r="S139" i="1"/>
  <c r="T139" i="1"/>
  <c r="S458" i="1"/>
  <c r="T458" i="1"/>
  <c r="T565" i="1"/>
  <c r="S565" i="1"/>
  <c r="S154" i="1"/>
  <c r="T154" i="1"/>
  <c r="S109" i="1"/>
  <c r="T109" i="1"/>
  <c r="T382" i="1"/>
  <c r="T202" i="1"/>
  <c r="S202" i="1"/>
  <c r="S557" i="1"/>
  <c r="T409" i="1"/>
  <c r="S409" i="1"/>
  <c r="T260" i="1"/>
  <c r="S260" i="1"/>
  <c r="T534" i="1"/>
  <c r="S534" i="1"/>
  <c r="T622" i="1"/>
  <c r="S673" i="1"/>
  <c r="T673" i="1"/>
  <c r="S294" i="1"/>
  <c r="T294" i="1"/>
  <c r="S257" i="1"/>
  <c r="T257" i="1"/>
  <c r="T153" i="1"/>
  <c r="T368" i="1"/>
  <c r="S150" i="1"/>
  <c r="T425" i="1"/>
  <c r="S425" i="1"/>
  <c r="S304" i="1"/>
  <c r="S545" i="1"/>
  <c r="T545" i="1"/>
  <c r="T197" i="1"/>
  <c r="S197" i="1"/>
  <c r="T633" i="1"/>
  <c r="S633" i="1"/>
  <c r="T102" i="1"/>
  <c r="S102" i="1"/>
  <c r="S507" i="1"/>
  <c r="T507" i="1"/>
  <c r="T603" i="1"/>
  <c r="T433" i="1"/>
  <c r="S699" i="1"/>
  <c r="T699" i="1"/>
  <c r="S106" i="1"/>
  <c r="T106" i="1"/>
  <c r="S631" i="1"/>
  <c r="T631" i="1"/>
  <c r="T578" i="1"/>
  <c r="S578" i="1"/>
  <c r="S305" i="1"/>
  <c r="T305" i="1"/>
  <c r="T111" i="1"/>
  <c r="S111" i="1"/>
  <c r="T303" i="1"/>
  <c r="S303" i="1"/>
  <c r="S57" i="1"/>
  <c r="T57" i="1"/>
  <c r="S259" i="1"/>
  <c r="T549" i="1"/>
  <c r="S549" i="1"/>
  <c r="S217" i="1"/>
  <c r="T217" i="1"/>
  <c r="S194" i="1"/>
  <c r="T80" i="1"/>
  <c r="S80" i="1"/>
  <c r="T170" i="1"/>
  <c r="S170" i="1"/>
  <c r="S65" i="1"/>
  <c r="T363" i="1"/>
  <c r="S363" i="1"/>
  <c r="T408" i="1"/>
  <c r="S408" i="1"/>
  <c r="S453" i="1"/>
  <c r="T453" i="1"/>
  <c r="T426" i="1"/>
  <c r="S426" i="1"/>
  <c r="S59" i="1"/>
  <c r="T59" i="1"/>
  <c r="T182" i="1"/>
  <c r="S182" i="1"/>
  <c r="T654" i="1"/>
  <c r="S654" i="1"/>
  <c r="S74" i="1"/>
  <c r="T74" i="1"/>
  <c r="T140" i="1"/>
  <c r="T410" i="1"/>
  <c r="S410" i="1"/>
  <c r="T249" i="1"/>
  <c r="T317" i="1"/>
  <c r="S317" i="1"/>
  <c r="S238" i="1"/>
  <c r="T238" i="1"/>
  <c r="T397" i="1"/>
  <c r="S659" i="1"/>
  <c r="T659" i="1"/>
  <c r="T60" i="1"/>
  <c r="S60" i="1"/>
  <c r="S452" i="1"/>
  <c r="T452" i="1"/>
  <c r="T374" i="1"/>
  <c r="S374" i="1"/>
  <c r="S101" i="1"/>
  <c r="T101" i="1"/>
  <c r="S311" i="1"/>
  <c r="T311" i="1"/>
  <c r="S445" i="1"/>
  <c r="T445" i="1"/>
  <c r="S176" i="1"/>
  <c r="T176" i="1"/>
  <c r="T674" i="1"/>
  <c r="T28" i="1"/>
  <c r="S640" i="1"/>
  <c r="T640" i="1"/>
  <c r="S45" i="1"/>
  <c r="T45" i="1"/>
  <c r="S248" i="1"/>
  <c r="T248" i="1"/>
  <c r="S353" i="1"/>
  <c r="S497" i="1"/>
  <c r="T497" i="1"/>
  <c r="T225" i="1"/>
  <c r="S225" i="1"/>
  <c r="T371" i="1"/>
  <c r="S371" i="1"/>
  <c r="T205" i="1"/>
  <c r="S205" i="1"/>
  <c r="T242" i="1"/>
  <c r="S242" i="1"/>
  <c r="J9" i="1" l="1"/>
  <c r="J99" i="1"/>
  <c r="J215" i="1"/>
  <c r="J454" i="1"/>
  <c r="J28" i="1"/>
  <c r="J216" i="1"/>
  <c r="J340" i="1"/>
  <c r="J575" i="1"/>
  <c r="J120" i="1"/>
  <c r="J341" i="1"/>
  <c r="J236" i="1"/>
  <c r="J597" i="1"/>
  <c r="J136" i="1"/>
  <c r="J45" i="1"/>
  <c r="J360" i="1"/>
  <c r="J477" i="1"/>
  <c r="J599" i="1"/>
  <c r="J237" i="1"/>
  <c r="J137" i="1"/>
  <c r="J254" i="1"/>
  <c r="J481" i="1"/>
  <c r="J429" i="1"/>
  <c r="J319" i="1"/>
  <c r="J320" i="1"/>
  <c r="J500" i="1"/>
  <c r="J64" i="1"/>
  <c r="J159" i="1"/>
  <c r="J501" i="1"/>
  <c r="J277" i="1"/>
  <c r="J386" i="1"/>
  <c r="J524" i="1"/>
  <c r="J648" i="1"/>
  <c r="J214" i="1"/>
  <c r="J27" i="1"/>
  <c r="J362" i="1"/>
  <c r="J645" i="1"/>
  <c r="J176" i="1"/>
  <c r="J278" i="1"/>
  <c r="J404" i="1"/>
  <c r="J296" i="1"/>
  <c r="J408" i="1"/>
  <c r="J572" i="1"/>
  <c r="J118" i="1"/>
  <c r="J255" i="1"/>
  <c r="J499" i="1"/>
  <c r="J625" i="1"/>
  <c r="J61" i="1"/>
  <c r="J157" i="1"/>
  <c r="J626" i="1"/>
  <c r="J158" i="1"/>
  <c r="J177" i="1"/>
  <c r="J298" i="1"/>
  <c r="J409" i="1"/>
  <c r="J83" i="1"/>
  <c r="J195" i="1"/>
  <c r="J548" i="1"/>
  <c r="J300" i="1"/>
  <c r="J10" i="1"/>
  <c r="J197" i="1"/>
  <c r="J677" i="1"/>
  <c r="J199" i="1"/>
  <c r="J627" i="1"/>
  <c r="J260" i="1"/>
  <c r="J678" i="1"/>
  <c r="J68" i="1"/>
  <c r="J180" i="1"/>
  <c r="J240" i="1"/>
  <c r="J681" i="1"/>
  <c r="J85" i="1"/>
  <c r="J144" i="1"/>
  <c r="J162" i="1"/>
  <c r="J181" i="1"/>
  <c r="J262" i="1"/>
  <c r="J326" i="1"/>
  <c r="J390" i="1"/>
  <c r="J413" i="1"/>
  <c r="J460" i="1"/>
  <c r="J484" i="1"/>
  <c r="J581" i="1"/>
  <c r="J15" i="1"/>
  <c r="J32" i="1"/>
  <c r="J69" i="1"/>
  <c r="J124" i="1"/>
  <c r="J201" i="1"/>
  <c r="J222" i="1"/>
  <c r="J436" i="1"/>
  <c r="J606" i="1"/>
  <c r="J655" i="1"/>
  <c r="J33" i="1"/>
  <c r="J51" i="1"/>
  <c r="J86" i="1"/>
  <c r="J106" i="1"/>
  <c r="J184" i="1"/>
  <c r="J202" i="1"/>
  <c r="J242" i="1"/>
  <c r="J306" i="1"/>
  <c r="J348" i="1"/>
  <c r="J463" i="1"/>
  <c r="J509" i="1"/>
  <c r="J533" i="1"/>
  <c r="J556" i="1"/>
  <c r="J629" i="1"/>
  <c r="J682" i="1"/>
  <c r="J70" i="1"/>
  <c r="J145" i="1"/>
  <c r="J163" i="1"/>
  <c r="J327" i="1"/>
  <c r="J371" i="1"/>
  <c r="J485" i="1"/>
  <c r="J534" i="1"/>
  <c r="J630" i="1"/>
  <c r="J657" i="1"/>
  <c r="J602" i="1"/>
  <c r="J122" i="1"/>
  <c r="J87" i="1"/>
  <c r="J125" i="1"/>
  <c r="J185" i="1"/>
  <c r="J224" i="1"/>
  <c r="J265" i="1"/>
  <c r="J286" i="1"/>
  <c r="J393" i="1"/>
  <c r="J440" i="1"/>
  <c r="J609" i="1"/>
  <c r="J684" i="1"/>
  <c r="J506" i="1"/>
  <c r="J141" i="1"/>
  <c r="J13" i="1"/>
  <c r="J458" i="1"/>
  <c r="J17" i="1"/>
  <c r="J164" i="1"/>
  <c r="J205" i="1"/>
  <c r="J307" i="1"/>
  <c r="J349" i="1"/>
  <c r="J394" i="1"/>
  <c r="J441" i="1"/>
  <c r="J464" i="1"/>
  <c r="J487" i="1"/>
  <c r="J511" i="1"/>
  <c r="J536" i="1"/>
  <c r="J634" i="1"/>
  <c r="J161" i="1"/>
  <c r="J554" i="1"/>
  <c r="J18" i="1"/>
  <c r="J35" i="1"/>
  <c r="J53" i="1"/>
  <c r="J71" i="1"/>
  <c r="J90" i="1"/>
  <c r="J128" i="1"/>
  <c r="J146" i="1"/>
  <c r="J225" i="1"/>
  <c r="J330" i="1"/>
  <c r="J350" i="1"/>
  <c r="J417" i="1"/>
  <c r="J537" i="1"/>
  <c r="J584" i="1"/>
  <c r="J658" i="1"/>
  <c r="J411" i="1"/>
  <c r="J482" i="1"/>
  <c r="J167" i="1"/>
  <c r="J186" i="1"/>
  <c r="J245" i="1"/>
  <c r="J266" i="1"/>
  <c r="J373" i="1"/>
  <c r="J465" i="1"/>
  <c r="J561" i="1"/>
  <c r="J685" i="1"/>
  <c r="J65" i="1"/>
  <c r="J457" i="1"/>
  <c r="J388" i="1"/>
  <c r="J147" i="1"/>
  <c r="J488" i="1"/>
  <c r="J514" i="1"/>
  <c r="J538" i="1"/>
  <c r="J562" i="1"/>
  <c r="J663" i="1"/>
  <c r="J322" i="1"/>
  <c r="J19" i="1"/>
  <c r="J72" i="1"/>
  <c r="J247" i="1"/>
  <c r="J374" i="1"/>
  <c r="J490" i="1"/>
  <c r="J612" i="1"/>
  <c r="J353" i="1"/>
  <c r="J368" i="1"/>
  <c r="J343" i="1"/>
  <c r="J578" i="1"/>
  <c r="J12" i="1"/>
  <c r="J347" i="1"/>
  <c r="J187" i="1"/>
  <c r="J55" i="1"/>
  <c r="J290" i="1"/>
  <c r="J20" i="1"/>
  <c r="J92" i="1"/>
  <c r="J168" i="1"/>
  <c r="J209" i="1"/>
  <c r="J248" i="1"/>
  <c r="J268" i="1"/>
  <c r="J309" i="1"/>
  <c r="J332" i="1"/>
  <c r="J399" i="1"/>
  <c r="J638" i="1"/>
  <c r="J39" i="1"/>
  <c r="J56" i="1"/>
  <c r="J148" i="1"/>
  <c r="J188" i="1"/>
  <c r="J227" i="1"/>
  <c r="J249" i="1"/>
  <c r="J422" i="1"/>
  <c r="J468" i="1"/>
  <c r="J539" i="1"/>
  <c r="J566" i="1"/>
  <c r="J639" i="1"/>
  <c r="J664" i="1"/>
  <c r="J131" i="1"/>
  <c r="J312" i="1"/>
  <c r="J375" i="1"/>
  <c r="J445" i="1"/>
  <c r="J470" i="1"/>
  <c r="J493" i="1"/>
  <c r="J541" i="1"/>
  <c r="J591" i="1"/>
  <c r="J665" i="1"/>
  <c r="J689" i="1"/>
  <c r="J502" i="1"/>
  <c r="J433" i="1"/>
  <c r="J324" i="1"/>
  <c r="J628" i="1"/>
  <c r="J397" i="1"/>
  <c r="J281" i="1"/>
  <c r="J200" i="1"/>
  <c r="J304" i="1"/>
  <c r="J444" i="1"/>
  <c r="J553" i="1"/>
  <c r="J529" i="1"/>
  <c r="J412" i="1"/>
  <c r="J91" i="1"/>
  <c r="J208" i="1"/>
  <c r="J637" i="1"/>
  <c r="J57" i="1"/>
  <c r="J74" i="1"/>
  <c r="J94" i="1"/>
  <c r="J112" i="1"/>
  <c r="J170" i="1"/>
  <c r="J210" i="1"/>
  <c r="J228" i="1"/>
  <c r="J250" i="1"/>
  <c r="J269" i="1"/>
  <c r="J292" i="1"/>
  <c r="J314" i="1"/>
  <c r="J400" i="1"/>
  <c r="J495" i="1"/>
  <c r="J517" i="1"/>
  <c r="J615" i="1"/>
  <c r="J22" i="1"/>
  <c r="J40" i="1"/>
  <c r="J76" i="1"/>
  <c r="J132" i="1"/>
  <c r="J190" i="1"/>
  <c r="J357" i="1"/>
  <c r="J376" i="1"/>
  <c r="J423" i="1"/>
  <c r="J567" i="1"/>
  <c r="J691" i="1"/>
  <c r="J114" i="1"/>
  <c r="J151" i="1"/>
  <c r="J192" i="1"/>
  <c r="J377" i="1"/>
  <c r="J401" i="1"/>
  <c r="J446" i="1"/>
  <c r="J471" i="1"/>
  <c r="J519" i="1"/>
  <c r="J542" i="1"/>
  <c r="J592" i="1"/>
  <c r="J641" i="1"/>
  <c r="J667" i="1"/>
  <c r="J601" i="1"/>
  <c r="J280" i="1"/>
  <c r="J129" i="1"/>
  <c r="J29" i="1"/>
  <c r="J435" i="1"/>
  <c r="J507" i="1"/>
  <c r="J109" i="1"/>
  <c r="J303" i="1"/>
  <c r="J580" i="1"/>
  <c r="J345" i="1"/>
  <c r="J36" i="1"/>
  <c r="J336" i="1"/>
  <c r="J344" i="1"/>
  <c r="J31" i="1"/>
  <c r="J105" i="1"/>
  <c r="J241" i="1"/>
  <c r="J293" i="1"/>
  <c r="J179" i="1"/>
  <c r="J649" i="1"/>
  <c r="J102" i="1"/>
  <c r="J84" i="1"/>
  <c r="J220" i="1"/>
  <c r="J653" i="1"/>
  <c r="J49" i="1"/>
  <c r="J58" i="1"/>
  <c r="J95" i="1"/>
  <c r="J133" i="1"/>
  <c r="J211" i="1"/>
  <c r="J497" i="1"/>
  <c r="J616" i="1"/>
  <c r="J41" i="1"/>
  <c r="J77" i="1"/>
  <c r="J173" i="1"/>
  <c r="J193" i="1"/>
  <c r="J232" i="1"/>
  <c r="J316" i="1"/>
  <c r="J426" i="1"/>
  <c r="J695" i="1"/>
  <c r="J42" i="1"/>
  <c r="J212" i="1"/>
  <c r="J253" i="1"/>
  <c r="J274" i="1"/>
  <c r="J294" i="1"/>
  <c r="J359" i="1"/>
  <c r="J472" i="1"/>
  <c r="J498" i="1"/>
  <c r="J520" i="1"/>
  <c r="J543" i="1"/>
  <c r="J570" i="1"/>
  <c r="J594" i="1"/>
  <c r="J618" i="1"/>
  <c r="J668" i="1"/>
  <c r="J696" i="1"/>
  <c r="J25" i="1"/>
  <c r="J60" i="1"/>
  <c r="J97" i="1"/>
  <c r="J116" i="1"/>
  <c r="J154" i="1"/>
  <c r="J275" i="1"/>
  <c r="J339" i="1"/>
  <c r="J381" i="1"/>
  <c r="J474" i="1"/>
  <c r="J546" i="1"/>
  <c r="J620" i="1"/>
  <c r="J644" i="1"/>
  <c r="J697" i="1"/>
  <c r="J80" i="1"/>
  <c r="J175" i="1"/>
  <c r="J194" i="1"/>
  <c r="J233" i="1"/>
  <c r="J276" i="1"/>
  <c r="J318" i="1"/>
  <c r="J383" i="1"/>
  <c r="J428" i="1"/>
  <c r="J453" i="1"/>
  <c r="J596" i="1"/>
  <c r="J670" i="1"/>
  <c r="J313" i="1"/>
  <c r="J329" i="1"/>
  <c r="J361" i="1"/>
  <c r="J414" i="1"/>
  <c r="J432" i="1"/>
  <c r="J450" i="1"/>
  <c r="J522" i="1"/>
  <c r="J613" i="1"/>
  <c r="J650" i="1"/>
  <c r="J30" i="1"/>
  <c r="J103" i="1"/>
  <c r="J119" i="1"/>
  <c r="J134" i="1"/>
  <c r="J166" i="1"/>
  <c r="J198" i="1"/>
  <c r="J213" i="1"/>
  <c r="J246" i="1"/>
  <c r="J263" i="1"/>
  <c r="J279" i="1"/>
  <c r="J295" i="1"/>
  <c r="J486" i="1"/>
  <c r="J557" i="1"/>
  <c r="J614" i="1"/>
  <c r="J652" i="1"/>
  <c r="J669" i="1"/>
  <c r="J16" i="1"/>
  <c r="J59" i="1"/>
  <c r="J73" i="1"/>
  <c r="J89" i="1"/>
  <c r="J104" i="1"/>
  <c r="J150" i="1"/>
  <c r="J346" i="1"/>
  <c r="J380" i="1"/>
  <c r="J469" i="1"/>
  <c r="J688" i="1"/>
  <c r="J673" i="1"/>
  <c r="J48" i="1"/>
  <c r="J93" i="1"/>
  <c r="J138" i="1"/>
  <c r="J219" i="1"/>
  <c r="J251" i="1"/>
  <c r="J283" i="1"/>
  <c r="J333" i="1"/>
  <c r="J367" i="1"/>
  <c r="J385" i="1"/>
  <c r="J456" i="1"/>
  <c r="J473" i="1"/>
  <c r="J492" i="1"/>
  <c r="J527" i="1"/>
  <c r="J563" i="1"/>
  <c r="J582" i="1"/>
  <c r="J692" i="1"/>
  <c r="J34" i="1"/>
  <c r="J63" i="1"/>
  <c r="J108" i="1"/>
  <c r="J123" i="1"/>
  <c r="J285" i="1"/>
  <c r="J301" i="1"/>
  <c r="J402" i="1"/>
  <c r="J439" i="1"/>
  <c r="J510" i="1"/>
  <c r="J565" i="1"/>
  <c r="J600" i="1"/>
  <c r="J656" i="1"/>
  <c r="J442" i="1"/>
  <c r="J496" i="1"/>
  <c r="J530" i="1"/>
  <c r="J624" i="1"/>
  <c r="J698" i="1"/>
  <c r="J37" i="1"/>
  <c r="J67" i="1"/>
  <c r="J111" i="1"/>
  <c r="J207" i="1"/>
  <c r="J272" i="1"/>
  <c r="J289" i="1"/>
  <c r="J337" i="1"/>
  <c r="J354" i="1"/>
  <c r="J425" i="1"/>
  <c r="J568" i="1"/>
  <c r="J585" i="1"/>
  <c r="J605" i="1"/>
  <c r="J23" i="1"/>
  <c r="J52" i="1"/>
  <c r="J82" i="1"/>
  <c r="J96" i="1"/>
  <c r="J239" i="1"/>
  <c r="J305" i="1"/>
  <c r="J321" i="1"/>
  <c r="J372" i="1"/>
  <c r="J389" i="1"/>
  <c r="J478" i="1"/>
  <c r="J532" i="1"/>
  <c r="J551" i="1"/>
  <c r="J569" i="1"/>
  <c r="J586" i="1"/>
  <c r="J642" i="1"/>
  <c r="J680" i="1"/>
  <c r="J243" i="1"/>
  <c r="J588" i="1"/>
  <c r="J603" i="1"/>
  <c r="J631" i="1"/>
  <c r="J660" i="1"/>
  <c r="J38" i="1"/>
  <c r="J62" i="1"/>
  <c r="J113" i="1"/>
  <c r="J165" i="1"/>
  <c r="J378" i="1"/>
  <c r="J405" i="1"/>
  <c r="J447" i="1"/>
  <c r="J489" i="1"/>
  <c r="J503" i="1"/>
  <c r="J531" i="1"/>
  <c r="J545" i="1"/>
  <c r="J574" i="1"/>
  <c r="J617" i="1"/>
  <c r="J646" i="1"/>
  <c r="J191" i="1"/>
  <c r="J218" i="1"/>
  <c r="J257" i="1"/>
  <c r="J271" i="1"/>
  <c r="J284" i="1"/>
  <c r="J325" i="1"/>
  <c r="J338" i="1"/>
  <c r="J351" i="1"/>
  <c r="J392" i="1"/>
  <c r="J434" i="1"/>
  <c r="J518" i="1"/>
  <c r="J560" i="1"/>
  <c r="J632" i="1"/>
  <c r="J690" i="1"/>
  <c r="J230" i="1"/>
  <c r="J256" i="1"/>
  <c r="J310" i="1"/>
  <c r="J420" i="1"/>
  <c r="J475" i="1"/>
  <c r="J573" i="1"/>
  <c r="J26" i="1"/>
  <c r="J50" i="1"/>
  <c r="J100" i="1"/>
  <c r="J152" i="1"/>
  <c r="J178" i="1"/>
  <c r="J204" i="1"/>
  <c r="J217" i="1"/>
  <c r="J297" i="1"/>
  <c r="J676" i="1"/>
  <c r="J504" i="1"/>
  <c r="J88" i="1"/>
  <c r="J127" i="1"/>
  <c r="J140" i="1"/>
  <c r="J153" i="1"/>
  <c r="J231" i="1"/>
  <c r="J244" i="1"/>
  <c r="J365" i="1"/>
  <c r="J407" i="1"/>
  <c r="J421" i="1"/>
  <c r="J476" i="1"/>
  <c r="J505" i="1"/>
  <c r="J604" i="1"/>
  <c r="J633" i="1"/>
  <c r="J661" i="1"/>
  <c r="J382" i="1"/>
  <c r="J396" i="1"/>
  <c r="J410" i="1"/>
  <c r="J437" i="1"/>
  <c r="J535" i="1"/>
  <c r="J549" i="1"/>
  <c r="J621" i="1"/>
  <c r="J636" i="1"/>
  <c r="J679" i="1"/>
  <c r="J693" i="1"/>
  <c r="J66" i="1"/>
  <c r="J79" i="1"/>
  <c r="J117" i="1"/>
  <c r="J130" i="1"/>
  <c r="J143" i="1"/>
  <c r="J156" i="1"/>
  <c r="J182" i="1"/>
  <c r="J221" i="1"/>
  <c r="J261" i="1"/>
  <c r="J288" i="1"/>
  <c r="J315" i="1"/>
  <c r="J328" i="1"/>
  <c r="J438" i="1"/>
  <c r="J452" i="1"/>
  <c r="J521" i="1"/>
  <c r="J550" i="1"/>
  <c r="J593" i="1"/>
  <c r="J694" i="1"/>
  <c r="J54" i="1"/>
  <c r="J196" i="1"/>
  <c r="J234" i="1"/>
  <c r="J342" i="1"/>
  <c r="J356" i="1"/>
  <c r="J369" i="1"/>
  <c r="J424" i="1"/>
  <c r="J466" i="1"/>
  <c r="J508" i="1"/>
  <c r="J666" i="1"/>
  <c r="J98" i="1"/>
  <c r="J121" i="1"/>
  <c r="J155" i="1"/>
  <c r="J189" i="1"/>
  <c r="J223" i="1"/>
  <c r="J258" i="1"/>
  <c r="J282" i="1"/>
  <c r="J317" i="1"/>
  <c r="J352" i="1"/>
  <c r="J364" i="1"/>
  <c r="J449" i="1"/>
  <c r="J461" i="1"/>
  <c r="J559" i="1"/>
  <c r="J571" i="1"/>
  <c r="J583" i="1"/>
  <c r="J595" i="1"/>
  <c r="J607" i="1"/>
  <c r="J598" i="1"/>
  <c r="J610" i="1"/>
  <c r="J21" i="1"/>
  <c r="J44" i="1"/>
  <c r="J101" i="1"/>
  <c r="J135" i="1"/>
  <c r="J169" i="1"/>
  <c r="J226" i="1"/>
  <c r="J273" i="1"/>
  <c r="J308" i="1"/>
  <c r="J379" i="1"/>
  <c r="J391" i="1"/>
  <c r="J403" i="1"/>
  <c r="J415" i="1"/>
  <c r="J513" i="1"/>
  <c r="J525" i="1"/>
  <c r="J623" i="1"/>
  <c r="J635" i="1"/>
  <c r="J647" i="1"/>
  <c r="J659" i="1"/>
  <c r="J671" i="1"/>
  <c r="J126" i="1"/>
  <c r="J160" i="1"/>
  <c r="J183" i="1"/>
  <c r="J252" i="1"/>
  <c r="J287" i="1"/>
  <c r="J358" i="1"/>
  <c r="J406" i="1"/>
  <c r="J418" i="1"/>
  <c r="J516" i="1"/>
  <c r="J528" i="1"/>
  <c r="J540" i="1"/>
  <c r="J552" i="1"/>
  <c r="J564" i="1"/>
  <c r="J662" i="1"/>
  <c r="J674" i="1"/>
  <c r="J699" i="1"/>
  <c r="J24" i="1"/>
  <c r="J47" i="1"/>
  <c r="J81" i="1"/>
  <c r="J115" i="1"/>
  <c r="J149" i="1"/>
  <c r="J172" i="1"/>
  <c r="J229" i="1"/>
  <c r="J264" i="1"/>
  <c r="J311" i="1"/>
  <c r="J335" i="1"/>
  <c r="J370" i="1"/>
  <c r="J431" i="1"/>
  <c r="J443" i="1"/>
  <c r="J455" i="1"/>
  <c r="J467" i="1"/>
  <c r="J479" i="1"/>
  <c r="J577" i="1"/>
  <c r="J589" i="1"/>
  <c r="J687" i="1"/>
  <c r="J384" i="1"/>
  <c r="J416" i="1"/>
  <c r="J448" i="1"/>
  <c r="J480" i="1"/>
  <c r="J512" i="1"/>
  <c r="J544" i="1"/>
  <c r="J576" i="1"/>
  <c r="J608" i="1"/>
  <c r="J640" i="1"/>
  <c r="J672" i="1"/>
  <c r="J11" i="1"/>
  <c r="J43" i="1"/>
  <c r="J75" i="1"/>
  <c r="J107" i="1"/>
  <c r="J139" i="1"/>
  <c r="J171" i="1"/>
  <c r="J203" i="1"/>
  <c r="J235" i="1"/>
  <c r="J267" i="1"/>
  <c r="J299" i="1"/>
  <c r="J331" i="1"/>
  <c r="J363" i="1"/>
  <c r="J395" i="1"/>
  <c r="J427" i="1"/>
  <c r="J459" i="1"/>
  <c r="J491" i="1"/>
  <c r="J523" i="1"/>
  <c r="J555" i="1"/>
  <c r="J587" i="1"/>
  <c r="J619" i="1"/>
  <c r="J651" i="1"/>
  <c r="J683" i="1"/>
  <c r="J259" i="1"/>
  <c r="J291" i="1"/>
  <c r="J323" i="1"/>
  <c r="J355" i="1"/>
  <c r="J387" i="1"/>
  <c r="J419" i="1"/>
  <c r="J451" i="1"/>
  <c r="J483" i="1"/>
  <c r="J515" i="1"/>
  <c r="J547" i="1"/>
  <c r="J579" i="1"/>
  <c r="J611" i="1"/>
  <c r="J643" i="1"/>
  <c r="J675" i="1"/>
  <c r="J14" i="1"/>
  <c r="J46" i="1"/>
  <c r="J78" i="1"/>
  <c r="J110" i="1"/>
  <c r="J142" i="1"/>
  <c r="J174" i="1"/>
  <c r="J206" i="1"/>
  <c r="J238" i="1"/>
  <c r="J270" i="1"/>
  <c r="J302" i="1"/>
  <c r="J334" i="1"/>
  <c r="J366" i="1"/>
  <c r="J398" i="1"/>
  <c r="J430" i="1"/>
  <c r="J462" i="1"/>
  <c r="J494" i="1"/>
  <c r="J526" i="1"/>
  <c r="J558" i="1"/>
  <c r="J590" i="1"/>
  <c r="J622" i="1"/>
  <c r="J654" i="1"/>
  <c r="J686" i="1"/>
  <c r="I4" i="1"/>
  <c r="I5" i="1"/>
  <c r="I3" i="1"/>
  <c r="T353" i="1"/>
  <c r="S207" i="1"/>
  <c r="S18" i="1"/>
  <c r="T62" i="1"/>
  <c r="T44" i="1"/>
  <c r="T21" i="1"/>
  <c r="S37" i="1"/>
  <c r="S434" i="1"/>
  <c r="T420" i="1"/>
  <c r="T461" i="1"/>
  <c r="T14" i="1"/>
  <c r="T336" i="1"/>
  <c r="S247" i="1"/>
  <c r="T548" i="1"/>
  <c r="T444" i="1"/>
  <c r="S432" i="1"/>
  <c r="S675" i="1"/>
  <c r="S32" i="1"/>
  <c r="S635" i="1"/>
  <c r="T665" i="1"/>
  <c r="S484" i="1"/>
  <c r="S28" i="1"/>
  <c r="T34" i="1"/>
  <c r="S265" i="1"/>
  <c r="T160" i="1"/>
  <c r="S592" i="1"/>
  <c r="T638" i="1"/>
  <c r="T69" i="1"/>
  <c r="S53" i="1"/>
  <c r="T309" i="1"/>
  <c r="S330" i="1"/>
  <c r="S26" i="1"/>
  <c r="T469" i="1"/>
  <c r="T648" i="1"/>
  <c r="S582" i="1"/>
  <c r="T221" i="1"/>
  <c r="S674" i="1"/>
  <c r="T171" i="1"/>
  <c r="S237" i="1"/>
  <c r="S235" i="1"/>
  <c r="T136" i="1"/>
  <c r="S398" i="1"/>
  <c r="T247" i="1"/>
  <c r="S325" i="1"/>
  <c r="S315" i="1"/>
  <c r="S686" i="1"/>
  <c r="T339" i="1"/>
  <c r="T344" i="1"/>
  <c r="S645" i="1"/>
  <c r="T402" i="1"/>
  <c r="T359" i="1"/>
  <c r="S397" i="1"/>
  <c r="S450" i="1"/>
  <c r="T286" i="1"/>
  <c r="T664" i="1"/>
  <c r="T214" i="1"/>
  <c r="S552" i="1"/>
  <c r="S467" i="1"/>
  <c r="T663" i="1"/>
  <c r="S70" i="1"/>
  <c r="S135" i="1"/>
  <c r="S249" i="1"/>
  <c r="S308" i="1"/>
  <c r="S342" i="1"/>
  <c r="S376" i="1"/>
  <c r="S400" i="1"/>
  <c r="S188" i="1"/>
  <c r="T697" i="1"/>
  <c r="T255" i="1"/>
  <c r="S140" i="1"/>
  <c r="S233" i="1"/>
  <c r="S126" i="1"/>
  <c r="T183" i="1"/>
  <c r="T285" i="1"/>
  <c r="S630" i="1"/>
  <c r="S103" i="1"/>
  <c r="S367" i="1"/>
  <c r="S134" i="1"/>
  <c r="T485" i="1"/>
  <c r="S190" i="1"/>
  <c r="S61" i="1"/>
  <c r="S179" i="1"/>
  <c r="S162" i="1"/>
  <c r="T616" i="1"/>
  <c r="S83" i="1"/>
  <c r="T65" i="1"/>
  <c r="T547" i="1"/>
  <c r="S465" i="1"/>
  <c r="T580" i="1"/>
  <c r="T329" i="1"/>
  <c r="S530" i="1"/>
  <c r="S282" i="1"/>
  <c r="S456" i="1"/>
  <c r="S214" i="1"/>
  <c r="S344" i="1"/>
  <c r="T391" i="1"/>
  <c r="T81" i="1"/>
  <c r="T279" i="1"/>
  <c r="S155" i="1"/>
  <c r="S240" i="1"/>
  <c r="S159" i="1"/>
  <c r="T457" i="1"/>
  <c r="T493" i="1"/>
  <c r="S548" i="1"/>
  <c r="S568" i="1"/>
  <c r="T658" i="1"/>
  <c r="T194" i="1"/>
  <c r="S617" i="1"/>
  <c r="S503" i="1"/>
  <c r="T259" i="1"/>
  <c r="S323" i="1"/>
  <c r="S296" i="1"/>
  <c r="T455" i="1"/>
  <c r="T272" i="1"/>
  <c r="T522" i="1"/>
  <c r="T681" i="1"/>
  <c r="S339" i="1"/>
  <c r="S433" i="1"/>
  <c r="S661" i="1"/>
  <c r="T523" i="1"/>
  <c r="T83" i="1"/>
  <c r="S43" i="1"/>
  <c r="S55" i="1"/>
  <c r="S500" i="1"/>
  <c r="T269" i="1"/>
  <c r="T597" i="1"/>
  <c r="S201" i="1"/>
  <c r="T567" i="1"/>
  <c r="T275" i="1"/>
  <c r="S256" i="1"/>
  <c r="T107" i="1"/>
  <c r="S603" i="1"/>
  <c r="S244" i="1"/>
  <c r="S598" i="1"/>
  <c r="T550" i="1"/>
  <c r="S359" i="1"/>
  <c r="S357" i="1"/>
  <c r="T159" i="1"/>
  <c r="S293" i="1"/>
  <c r="T554" i="1"/>
  <c r="T503" i="1"/>
  <c r="T581" i="1"/>
  <c r="T330" i="1"/>
  <c r="T584" i="1"/>
  <c r="S269" i="1"/>
  <c r="T671" i="1"/>
  <c r="T88" i="1"/>
  <c r="S62" i="1"/>
  <c r="T612" i="1"/>
  <c r="S581" i="1"/>
  <c r="S324" i="1"/>
  <c r="S368" i="1"/>
  <c r="S637" i="1"/>
  <c r="T203" i="1"/>
  <c r="S501" i="1"/>
  <c r="T460" i="1"/>
  <c r="S612" i="1"/>
  <c r="S115" i="1"/>
  <c r="S419" i="1"/>
  <c r="S424" i="1"/>
  <c r="S402" i="1"/>
  <c r="S354" i="1"/>
  <c r="T304" i="1"/>
  <c r="S161" i="1"/>
  <c r="T52" i="1"/>
  <c r="T624" i="1"/>
  <c r="T500" i="1"/>
  <c r="T647" i="1"/>
  <c r="S658" i="1"/>
  <c r="S297" i="1"/>
  <c r="T528" i="1"/>
  <c r="S488" i="1"/>
  <c r="T619" i="1"/>
  <c r="T150" i="1"/>
  <c r="T282" i="1"/>
  <c r="S468" i="1"/>
  <c r="T613" i="1"/>
  <c r="S204" i="1"/>
  <c r="T143" i="1"/>
  <c r="T237" i="1"/>
  <c r="T115" i="1"/>
  <c r="S599" i="1"/>
  <c r="S345" i="1"/>
  <c r="T270" i="1"/>
  <c r="S505" i="1"/>
  <c r="S136" i="1"/>
  <c r="T587" i="1"/>
  <c r="T429" i="1"/>
  <c r="S222" i="1"/>
  <c r="T492" i="1"/>
  <c r="S174" i="1"/>
  <c r="S451" i="1"/>
  <c r="S411" i="1"/>
  <c r="T427" i="1"/>
  <c r="S480" i="1"/>
  <c r="T162" i="1"/>
  <c r="S622" i="1"/>
  <c r="T600" i="1"/>
  <c r="S668" i="1"/>
  <c r="T290" i="1"/>
  <c r="T416" i="1"/>
  <c r="S536" i="1"/>
  <c r="T108" i="1"/>
  <c r="S153" i="1"/>
  <c r="S639" i="1"/>
  <c r="S49" i="1"/>
  <c r="S571" i="1"/>
  <c r="S210" i="1"/>
  <c r="T243" i="1"/>
  <c r="S429" i="1"/>
  <c r="S173" i="1"/>
  <c r="S684" i="1"/>
  <c r="T504" i="1"/>
  <c r="T174" i="1"/>
  <c r="T456" i="1"/>
  <c r="S163" i="1"/>
  <c r="T231" i="1"/>
  <c r="S569" i="1"/>
  <c r="T98" i="1"/>
  <c r="S413" i="1"/>
  <c r="S550" i="1"/>
  <c r="S407" i="1"/>
  <c r="S493" i="1"/>
  <c r="T38" i="1"/>
  <c r="T623" i="1"/>
  <c r="S146" i="1"/>
  <c r="S338" i="1"/>
  <c r="T313" i="1"/>
  <c r="T423" i="1"/>
  <c r="T300" i="1"/>
  <c r="T564" i="1"/>
  <c r="S347" i="1"/>
  <c r="S119" i="1"/>
  <c r="T571" i="1"/>
  <c r="T465" i="1"/>
  <c r="S504" i="1"/>
  <c r="T686" i="1"/>
  <c r="S392" i="1"/>
  <c r="S169" i="1"/>
  <c r="T387" i="1"/>
  <c r="T557" i="1"/>
  <c r="S446" i="1"/>
  <c r="S642" i="1"/>
  <c r="T89" i="1"/>
  <c r="S273" i="1"/>
  <c r="T219" i="1"/>
  <c r="T418" i="1"/>
  <c r="S73" i="1"/>
  <c r="S382" i="1"/>
  <c r="T266" i="1"/>
  <c r="S22" i="1"/>
  <c r="S38" i="1"/>
  <c r="T649" i="1"/>
  <c r="T146" i="1"/>
  <c r="S610" i="1"/>
  <c r="T95" i="1"/>
  <c r="S309" i="1"/>
  <c r="T288" i="1"/>
  <c r="S335" i="1"/>
  <c r="T22" i="1"/>
  <c r="S142" i="1"/>
  <c r="S97" i="1"/>
  <c r="S181" i="1"/>
  <c r="S444" i="1"/>
  <c r="S593" i="1"/>
  <c r="T480" i="1"/>
  <c r="T635" i="1"/>
  <c r="T446" i="1"/>
  <c r="T138" i="1"/>
  <c r="T223" i="1"/>
  <c r="S461" i="1"/>
  <c r="S239" i="1"/>
  <c r="T660" i="1"/>
  <c r="J4" i="1" l="1"/>
  <c r="K4" i="1" s="1"/>
  <c r="J5" i="1"/>
  <c r="K5" i="1" s="1"/>
  <c r="J3" i="1"/>
  <c r="K3" i="1" s="1"/>
</calcChain>
</file>

<file path=xl/sharedStrings.xml><?xml version="1.0" encoding="utf-8"?>
<sst xmlns="http://schemas.openxmlformats.org/spreadsheetml/2006/main" count="930" uniqueCount="728">
  <si>
    <t>연번</t>
  </si>
  <si>
    <t>코드</t>
  </si>
  <si>
    <t>종목명</t>
  </si>
  <si>
    <t>대비</t>
  </si>
  <si>
    <t>%</t>
  </si>
  <si>
    <t>거래량</t>
  </si>
  <si>
    <t>가중평균가</t>
  </si>
  <si>
    <t>시가</t>
  </si>
  <si>
    <t>고가</t>
  </si>
  <si>
    <t>저가</t>
  </si>
  <si>
    <t>마켓세션</t>
  </si>
  <si>
    <t>KRX현재가</t>
  </si>
  <si>
    <t>KRX거래량</t>
  </si>
  <si>
    <t>KRX거래량%</t>
  </si>
  <si>
    <t>삼성전자</t>
  </si>
  <si>
    <t>SK하이닉스</t>
  </si>
  <si>
    <t>현대차</t>
  </si>
  <si>
    <t>LG에너지솔루션</t>
  </si>
  <si>
    <t>삼성바이오로직스</t>
  </si>
  <si>
    <t>기아</t>
  </si>
  <si>
    <t>한화에어로스페이스</t>
  </si>
  <si>
    <t>HD현대중공업</t>
  </si>
  <si>
    <t>두산에너빌리티</t>
  </si>
  <si>
    <t>SK스퀘어</t>
  </si>
  <si>
    <t>KB금융</t>
  </si>
  <si>
    <t>삼성물산</t>
  </si>
  <si>
    <t>셀트리온</t>
  </si>
  <si>
    <t>현대모비스</t>
  </si>
  <si>
    <t>한화오션</t>
  </si>
  <si>
    <t>한국전력</t>
  </si>
  <si>
    <t>신한지주</t>
  </si>
  <si>
    <t>NAVER</t>
  </si>
  <si>
    <t>삼성생명</t>
  </si>
  <si>
    <t>고려아연</t>
  </si>
  <si>
    <t>HD현대일렉트릭</t>
  </si>
  <si>
    <t>HD한국조선해양</t>
  </si>
  <si>
    <t>POSCO홀딩스</t>
  </si>
  <si>
    <t>하나금융지주</t>
  </si>
  <si>
    <t>삼성중공업</t>
  </si>
  <si>
    <t>삼성SDI</t>
  </si>
  <si>
    <t>카카오</t>
  </si>
  <si>
    <t>LG화학</t>
  </si>
  <si>
    <t>현대로템</t>
  </si>
  <si>
    <t>삼성화재</t>
  </si>
  <si>
    <t>현대글로비스</t>
  </si>
  <si>
    <t>효성중공업</t>
  </si>
  <si>
    <t>SK</t>
  </si>
  <si>
    <t>삼성전기</t>
  </si>
  <si>
    <t>우리금융지주</t>
  </si>
  <si>
    <t>HD현대</t>
  </si>
  <si>
    <t>알테오젠</t>
  </si>
  <si>
    <t>HMM</t>
  </si>
  <si>
    <t>메리츠금융지주</t>
  </si>
  <si>
    <t>LG전자</t>
  </si>
  <si>
    <t>포스코퓨처엠</t>
  </si>
  <si>
    <t>SK이노베이션</t>
  </si>
  <si>
    <t>미래에셋증권</t>
  </si>
  <si>
    <t>KT&amp;G</t>
  </si>
  <si>
    <t>한화시스템</t>
  </si>
  <si>
    <t>한미반도체</t>
  </si>
  <si>
    <t>기업은행</t>
  </si>
  <si>
    <t>한국항공우주</t>
  </si>
  <si>
    <t>에코프로비엠</t>
  </si>
  <si>
    <t>LS ELECTRIC</t>
  </si>
  <si>
    <t>하이브</t>
  </si>
  <si>
    <t>삼성에피스홀딩스</t>
  </si>
  <si>
    <t>현대오토에버</t>
  </si>
  <si>
    <t>KT</t>
  </si>
  <si>
    <t>삼성에스디에스</t>
  </si>
  <si>
    <t>두산</t>
  </si>
  <si>
    <t>LG</t>
  </si>
  <si>
    <t>SK텔레콤</t>
  </si>
  <si>
    <t>에코프로</t>
  </si>
  <si>
    <t>현대건설</t>
  </si>
  <si>
    <t>LIG넥스원</t>
  </si>
  <si>
    <t>크래프톤</t>
  </si>
  <si>
    <t>포스코인터내셔널</t>
  </si>
  <si>
    <t>S-Oil</t>
  </si>
  <si>
    <t>한국금융지주</t>
  </si>
  <si>
    <t>레인보우로보틱스</t>
  </si>
  <si>
    <t>카카오뱅크</t>
  </si>
  <si>
    <t>에이비엘바이오</t>
  </si>
  <si>
    <t>에이피알</t>
  </si>
  <si>
    <t>DB손해보험</t>
  </si>
  <si>
    <t>한화</t>
  </si>
  <si>
    <t>삼양식품</t>
  </si>
  <si>
    <t>SK바이오팜</t>
  </si>
  <si>
    <t>대한항공</t>
  </si>
  <si>
    <t>한진칼</t>
  </si>
  <si>
    <t>한국타이어앤테크놀로지</t>
  </si>
  <si>
    <t>키움증권</t>
  </si>
  <si>
    <t>HD현대마린솔루션</t>
  </si>
  <si>
    <t>유한양행</t>
  </si>
  <si>
    <t>NH투자증권</t>
  </si>
  <si>
    <t>이수페타시스</t>
  </si>
  <si>
    <t>두산로보틱스</t>
  </si>
  <si>
    <t>삼성증권</t>
  </si>
  <si>
    <t>LS</t>
  </si>
  <si>
    <t>아모레퍼시픽</t>
  </si>
  <si>
    <t>LG씨엔에스</t>
  </si>
  <si>
    <t>카카오페이</t>
  </si>
  <si>
    <t>HLB</t>
  </si>
  <si>
    <t>LG이노텍</t>
  </si>
  <si>
    <t>포스코DX</t>
  </si>
  <si>
    <t>LG유플러스</t>
  </si>
  <si>
    <t>삼천당제약</t>
  </si>
  <si>
    <t>삼성카드</t>
  </si>
  <si>
    <t>LG디스플레이</t>
  </si>
  <si>
    <t>두산밥캣</t>
  </si>
  <si>
    <t>GS</t>
  </si>
  <si>
    <t>CJ</t>
  </si>
  <si>
    <t>코웨이</t>
  </si>
  <si>
    <t>한전기술</t>
  </si>
  <si>
    <t>리가켐바이오</t>
  </si>
  <si>
    <t>한미약품</t>
  </si>
  <si>
    <t>대한전선</t>
  </si>
  <si>
    <t>펩트론</t>
  </si>
  <si>
    <t>리노공업</t>
  </si>
  <si>
    <t>삼성E&amp;A</t>
  </si>
  <si>
    <t>엔씨소프트</t>
  </si>
  <si>
    <t>BNK금융지주</t>
  </si>
  <si>
    <t>한화솔루션</t>
  </si>
  <si>
    <t>오리온</t>
  </si>
  <si>
    <t>엘앤에프</t>
  </si>
  <si>
    <t>한화엔진</t>
  </si>
  <si>
    <t>파마리서치</t>
  </si>
  <si>
    <t>JB금융지주</t>
  </si>
  <si>
    <t>산일전기</t>
  </si>
  <si>
    <t>넷마블</t>
  </si>
  <si>
    <t>에코프로머티</t>
  </si>
  <si>
    <t>현대제철</t>
  </si>
  <si>
    <t>SKC</t>
  </si>
  <si>
    <t>LG생활건강</t>
  </si>
  <si>
    <t>DB하이텍</t>
  </si>
  <si>
    <t>케어젠</t>
  </si>
  <si>
    <t>KCC</t>
  </si>
  <si>
    <t>강원랜드</t>
  </si>
  <si>
    <t>클래시스</t>
  </si>
  <si>
    <t>원익IPS</t>
  </si>
  <si>
    <t>SK바이오사이언스</t>
  </si>
  <si>
    <t>로보티즈</t>
  </si>
  <si>
    <t>금호석유화학</t>
  </si>
  <si>
    <t>한국가스공사</t>
  </si>
  <si>
    <t>영원무역</t>
  </si>
  <si>
    <t>이오테크닉스</t>
  </si>
  <si>
    <t>현대엘리베이터</t>
  </si>
  <si>
    <t>디앤디파마텍</t>
  </si>
  <si>
    <t>HL만도</t>
  </si>
  <si>
    <t>서울보증보험</t>
  </si>
  <si>
    <t>풍산</t>
  </si>
  <si>
    <t>한온시스템</t>
  </si>
  <si>
    <t>에임드바이오</t>
  </si>
  <si>
    <t>에스엘</t>
  </si>
  <si>
    <t>보로노이</t>
  </si>
  <si>
    <t>원익홀딩스</t>
  </si>
  <si>
    <t>CJ제일제당</t>
  </si>
  <si>
    <t>HD현대마린엔진</t>
  </si>
  <si>
    <t>롯데케미칼</t>
  </si>
  <si>
    <t>롯데지주</t>
  </si>
  <si>
    <t>메지온</t>
  </si>
  <si>
    <t>한솔케미칼</t>
  </si>
  <si>
    <t>에스원</t>
  </si>
  <si>
    <t>일진전기</t>
  </si>
  <si>
    <t>더존비즈온</t>
  </si>
  <si>
    <t>실리콘투</t>
  </si>
  <si>
    <t>HPSP</t>
  </si>
  <si>
    <t>휴젤</t>
  </si>
  <si>
    <t>이수스페셜티케미컬</t>
  </si>
  <si>
    <t>신세계</t>
  </si>
  <si>
    <t>한화생명</t>
  </si>
  <si>
    <t>펄어비스</t>
  </si>
  <si>
    <t>세아베스틸지주</t>
  </si>
  <si>
    <t>현대위아</t>
  </si>
  <si>
    <t>한미사이언스</t>
  </si>
  <si>
    <t>한전KPS</t>
  </si>
  <si>
    <t>솔브레인</t>
  </si>
  <si>
    <t>셀트리온제약</t>
  </si>
  <si>
    <t>대한조선</t>
  </si>
  <si>
    <t>한화비전</t>
  </si>
  <si>
    <t>한국앤컴퍼니</t>
  </si>
  <si>
    <t>동서</t>
  </si>
  <si>
    <t>영원무역홀딩스</t>
  </si>
  <si>
    <t>효성</t>
  </si>
  <si>
    <t>F&amp;F</t>
  </si>
  <si>
    <t>대덕전자</t>
  </si>
  <si>
    <t>에스엠</t>
  </si>
  <si>
    <t>에스피지</t>
  </si>
  <si>
    <t>농심</t>
  </si>
  <si>
    <t>현대해상</t>
  </si>
  <si>
    <t>신영증권</t>
  </si>
  <si>
    <t>에스티팜</t>
  </si>
  <si>
    <t>두산퓨얼셀</t>
  </si>
  <si>
    <t>제일기획</t>
  </si>
  <si>
    <t>JYP Ent.</t>
  </si>
  <si>
    <t>올릭스</t>
  </si>
  <si>
    <t>한올바이오파마</t>
  </si>
  <si>
    <t>팬오션</t>
  </si>
  <si>
    <t>미스토홀딩스</t>
  </si>
  <si>
    <t>하이젠알앤엠</t>
  </si>
  <si>
    <t>이마트</t>
  </si>
  <si>
    <t>삼현</t>
  </si>
  <si>
    <t>iM금융지주</t>
  </si>
  <si>
    <t>CJ대한통운</t>
  </si>
  <si>
    <t>HJ중공업</t>
  </si>
  <si>
    <t>코리안리</t>
  </si>
  <si>
    <t>오름테라퓨틱</t>
  </si>
  <si>
    <t>ISC</t>
  </si>
  <si>
    <t>OCI홀딩스</t>
  </si>
  <si>
    <t>롯데쇼핑</t>
  </si>
  <si>
    <t>동진쎄미켐</t>
  </si>
  <si>
    <t>고영</t>
  </si>
  <si>
    <t>현대백화점</t>
  </si>
  <si>
    <t>큐리옥스바이오시스템즈</t>
  </si>
  <si>
    <t>코스맥스</t>
  </si>
  <si>
    <t>SK가스</t>
  </si>
  <si>
    <t>아모레퍼시픽홀딩스</t>
  </si>
  <si>
    <t>대우건설</t>
  </si>
  <si>
    <t>알지노믹스</t>
  </si>
  <si>
    <t>BGF리테일</t>
  </si>
  <si>
    <t>SK아이이테크놀로지</t>
  </si>
  <si>
    <t>비에이치아이</t>
  </si>
  <si>
    <t>HD현대건설기계</t>
  </si>
  <si>
    <t>시프트업</t>
  </si>
  <si>
    <t>티씨케이</t>
  </si>
  <si>
    <t>클로봇</t>
  </si>
  <si>
    <t>대웅제약</t>
  </si>
  <si>
    <t>한국카본</t>
  </si>
  <si>
    <t>유진테크</t>
  </si>
  <si>
    <t>심텍</t>
  </si>
  <si>
    <t>씨어스테크놀로지</t>
  </si>
  <si>
    <t>다우기술</t>
  </si>
  <si>
    <t>롯데관광개발</t>
  </si>
  <si>
    <t>금호타이어</t>
  </si>
  <si>
    <t>롯데에너지머티리얼즈</t>
  </si>
  <si>
    <t>호텔신라</t>
  </si>
  <si>
    <t>동원산업</t>
  </si>
  <si>
    <t>서진시스템</t>
  </si>
  <si>
    <t>녹십자</t>
  </si>
  <si>
    <t>하나마이크론</t>
  </si>
  <si>
    <t>효성티앤씨</t>
  </si>
  <si>
    <t>GS리테일</t>
  </si>
  <si>
    <t>달바글로벌</t>
  </si>
  <si>
    <t>SNT다이내믹스</t>
  </si>
  <si>
    <t>DL이앤씨</t>
  </si>
  <si>
    <t>오스코텍</t>
  </si>
  <si>
    <t>씨에스윈드</t>
  </si>
  <si>
    <t>파크시스템스</t>
  </si>
  <si>
    <t>신성델타테크</t>
  </si>
  <si>
    <t>GS건설</t>
  </si>
  <si>
    <t>미래에셋생명</t>
  </si>
  <si>
    <t>파라다이스</t>
  </si>
  <si>
    <t>아시아나항공</t>
  </si>
  <si>
    <t>오뚜기</t>
  </si>
  <si>
    <t>한국콜마</t>
  </si>
  <si>
    <t>STX엔진</t>
  </si>
  <si>
    <t>테크윙</t>
  </si>
  <si>
    <t>주성엔지니어링</t>
  </si>
  <si>
    <t>가온전선</t>
  </si>
  <si>
    <t>코리아써키트</t>
  </si>
  <si>
    <t>DN오토모티브</t>
  </si>
  <si>
    <t>코스모신소재</t>
  </si>
  <si>
    <t>LS마린솔루션</t>
  </si>
  <si>
    <t>에스앤에스텍</t>
  </si>
  <si>
    <t>태성</t>
  </si>
  <si>
    <t>엠앤씨솔루션</t>
  </si>
  <si>
    <t>LX인터내셔널</t>
  </si>
  <si>
    <t>피에스케이홀딩스</t>
  </si>
  <si>
    <t>대신증권</t>
  </si>
  <si>
    <t>CJ ENM</t>
  </si>
  <si>
    <t>스튜디오드래곤</t>
  </si>
  <si>
    <t>HK이노엔</t>
  </si>
  <si>
    <t>엔켐</t>
  </si>
  <si>
    <t>HDC현대산업개발</t>
  </si>
  <si>
    <t>현대지에프홀딩스</t>
  </si>
  <si>
    <t>엘앤씨바이오</t>
  </si>
  <si>
    <t>오리온홀딩스</t>
  </si>
  <si>
    <t>차바이오텍</t>
  </si>
  <si>
    <t>대웅</t>
  </si>
  <si>
    <t>와이지엔터테인먼트</t>
  </si>
  <si>
    <t>지역난방공사</t>
  </si>
  <si>
    <t>네이처셀</t>
  </si>
  <si>
    <t>카카오게임즈</t>
  </si>
  <si>
    <t>하이트진로</t>
  </si>
  <si>
    <t>씨젠</t>
  </si>
  <si>
    <t>하림지주</t>
  </si>
  <si>
    <t>코오롱인더</t>
  </si>
  <si>
    <t>지투지바이오</t>
  </si>
  <si>
    <t>한일시멘트</t>
  </si>
  <si>
    <t>와이씨</t>
  </si>
  <si>
    <t>롯데칠성</t>
  </si>
  <si>
    <t>SK오션플랜트</t>
  </si>
  <si>
    <t>유일로보틱스</t>
  </si>
  <si>
    <t>피에스케이</t>
  </si>
  <si>
    <t>일동제약</t>
  </si>
  <si>
    <t>교보증권</t>
  </si>
  <si>
    <t>롯데정밀화학</t>
  </si>
  <si>
    <t>레이크머티리얼즈</t>
  </si>
  <si>
    <t>LS에코에너지</t>
  </si>
  <si>
    <t>종근당</t>
  </si>
  <si>
    <t>SK디스커버리</t>
  </si>
  <si>
    <t>SK케미칼</t>
  </si>
  <si>
    <t>에이프릴바이오</t>
  </si>
  <si>
    <t>제이앤티씨</t>
  </si>
  <si>
    <t>루닛</t>
  </si>
  <si>
    <t>세진중공업</t>
  </si>
  <si>
    <t>롯데렌탈</t>
  </si>
  <si>
    <t>더블유게임즈</t>
  </si>
  <si>
    <t>SNT모티브</t>
  </si>
  <si>
    <t>하나머티리얼즈</t>
  </si>
  <si>
    <t>한샘</t>
  </si>
  <si>
    <t>씨엠티엑스</t>
  </si>
  <si>
    <t>코미코</t>
  </si>
  <si>
    <t>제주반도체</t>
  </si>
  <si>
    <t>에이치브이엠</t>
  </si>
  <si>
    <t>대한유화</t>
  </si>
  <si>
    <t>롯데웰푸드</t>
  </si>
  <si>
    <t>두산테스나</t>
  </si>
  <si>
    <t>HDC</t>
  </si>
  <si>
    <t>로킷헬스케어</t>
  </si>
  <si>
    <t>필옵틱스</t>
  </si>
  <si>
    <t>에스디바이오센서</t>
  </si>
  <si>
    <t>젬백스</t>
  </si>
  <si>
    <t>NICE평가정보</t>
  </si>
  <si>
    <t>노타</t>
  </si>
  <si>
    <t>NHN</t>
  </si>
  <si>
    <t>대주전자재료</t>
  </si>
  <si>
    <t>HS효성첨단소재</t>
  </si>
  <si>
    <t>테스</t>
  </si>
  <si>
    <t>쿠쿠홀딩스</t>
  </si>
  <si>
    <t>영풍</t>
  </si>
  <si>
    <t>피엔티</t>
  </si>
  <si>
    <t>서부T&amp;D</t>
  </si>
  <si>
    <t>RFHIC</t>
  </si>
  <si>
    <t>SNT홀딩스</t>
  </si>
  <si>
    <t>인벤티지랩</t>
  </si>
  <si>
    <t>에스에프에이</t>
  </si>
  <si>
    <t>비츠로셀</t>
  </si>
  <si>
    <t>로보스타</t>
  </si>
  <si>
    <t>세방전지</t>
  </si>
  <si>
    <t>SFA반도체</t>
  </si>
  <si>
    <t>해성디에스</t>
  </si>
  <si>
    <t>LS머트리얼즈</t>
  </si>
  <si>
    <t>위메이드</t>
  </si>
  <si>
    <t>덕산네오룩스</t>
  </si>
  <si>
    <t>지아이이노베이션</t>
  </si>
  <si>
    <t>프로티나</t>
  </si>
  <si>
    <t>메디톡스</t>
  </si>
  <si>
    <t>명인제약</t>
  </si>
  <si>
    <t>온코닉테라퓨틱스</t>
  </si>
  <si>
    <t>태광산업</t>
  </si>
  <si>
    <t>디아이</t>
  </si>
  <si>
    <t>티에스이</t>
  </si>
  <si>
    <t>동성화인텍</t>
  </si>
  <si>
    <t>LX세미콘</t>
  </si>
  <si>
    <t>큐렉소</t>
  </si>
  <si>
    <t>SNT에너지</t>
  </si>
  <si>
    <t>경동나비엔</t>
  </si>
  <si>
    <t>솔브레인홀딩스</t>
  </si>
  <si>
    <t>케이씨텍</t>
  </si>
  <si>
    <t>GKL</t>
  </si>
  <si>
    <t>한국단자</t>
  </si>
  <si>
    <t>이뮨온시아</t>
  </si>
  <si>
    <t>넥슨게임즈</t>
  </si>
  <si>
    <t>후성</t>
  </si>
  <si>
    <t>인텔리안테크</t>
  </si>
  <si>
    <t>코스메카코리아</t>
  </si>
  <si>
    <t>파미셀</t>
  </si>
  <si>
    <t>GS피앤엘</t>
  </si>
  <si>
    <t>넥스틴</t>
  </si>
  <si>
    <t>성광벤드</t>
  </si>
  <si>
    <t>F&amp;F홀딩스</t>
  </si>
  <si>
    <t>포스코엠텍</t>
  </si>
  <si>
    <t>디어유</t>
  </si>
  <si>
    <t>DL</t>
  </si>
  <si>
    <t>보령</t>
  </si>
  <si>
    <t>카페24</t>
  </si>
  <si>
    <t>동국제약</t>
  </si>
  <si>
    <t>TKG휴켐스</t>
  </si>
  <si>
    <t>SOOP</t>
  </si>
  <si>
    <t>대상</t>
  </si>
  <si>
    <t>원텍</t>
  </si>
  <si>
    <t>아난티</t>
  </si>
  <si>
    <t>한라캐스트</t>
  </si>
  <si>
    <t>이노션</t>
  </si>
  <si>
    <t>케이카</t>
  </si>
  <si>
    <t>솔루엠</t>
  </si>
  <si>
    <t>빙그레</t>
  </si>
  <si>
    <t>에프에스티</t>
  </si>
  <si>
    <t>인투셀</t>
  </si>
  <si>
    <t>동원시스템즈</t>
  </si>
  <si>
    <t>전진건설로봇</t>
  </si>
  <si>
    <t>가온칩스</t>
  </si>
  <si>
    <t>기가비스</t>
  </si>
  <si>
    <t>하나투어</t>
  </si>
  <si>
    <t>태광</t>
  </si>
  <si>
    <t>다우데이타</t>
  </si>
  <si>
    <t>미원에스씨</t>
  </si>
  <si>
    <t>녹십자홀딩스</t>
  </si>
  <si>
    <t>미래에셋벤처투자</t>
  </si>
  <si>
    <t>태웅</t>
  </si>
  <si>
    <t>미원상사</t>
  </si>
  <si>
    <t>펌텍코리아</t>
  </si>
  <si>
    <t>동아쏘시오홀딩스</t>
  </si>
  <si>
    <t>아이에스동서</t>
  </si>
  <si>
    <t>현대힘스</t>
  </si>
  <si>
    <t>율촌화학</t>
  </si>
  <si>
    <t>이엔에프테크놀로지</t>
  </si>
  <si>
    <t>SK이터닉스</t>
  </si>
  <si>
    <t>큐로셀</t>
  </si>
  <si>
    <t>안랩</t>
  </si>
  <si>
    <t>제이에스링크</t>
  </si>
  <si>
    <t>제룡전기</t>
  </si>
  <si>
    <t>성우하이텍</t>
  </si>
  <si>
    <t>원익QnC</t>
  </si>
  <si>
    <t>브이엠</t>
  </si>
  <si>
    <t>JW중외제약</t>
  </si>
  <si>
    <t>신풍제약</t>
  </si>
  <si>
    <t>OCI</t>
  </si>
  <si>
    <t>현대홈쇼핑</t>
  </si>
  <si>
    <t>티로보틱스</t>
  </si>
  <si>
    <t>부국증권</t>
  </si>
  <si>
    <t>케이엠더블유</t>
  </si>
  <si>
    <t>아이쓰리시스템</t>
  </si>
  <si>
    <t>엔젤로보틱스</t>
  </si>
  <si>
    <t>나노신소재</t>
  </si>
  <si>
    <t>LX홀딩스</t>
  </si>
  <si>
    <t>코나아이</t>
  </si>
  <si>
    <t>성일하이텍</t>
  </si>
  <si>
    <t>HD현대에너지솔루션</t>
  </si>
  <si>
    <t>인카금융서비스</t>
  </si>
  <si>
    <t>나라스페이스테크놀로지</t>
  </si>
  <si>
    <t>휴온스글로벌</t>
  </si>
  <si>
    <t>코오롱생명과학</t>
  </si>
  <si>
    <t>우리기술투자</t>
  </si>
  <si>
    <t>고려제강</t>
  </si>
  <si>
    <t>넥스트바이오메디컬</t>
  </si>
  <si>
    <t>토모큐브</t>
  </si>
  <si>
    <t>케이아이엔엑스</t>
  </si>
  <si>
    <t>아세아</t>
  </si>
  <si>
    <t>비나텍</t>
  </si>
  <si>
    <t>지엔씨에너지</t>
  </si>
  <si>
    <t>삼양바이오팜</t>
  </si>
  <si>
    <t>천보</t>
  </si>
  <si>
    <t>메디포스트</t>
  </si>
  <si>
    <t>동운아나텍</t>
  </si>
  <si>
    <t>NHN KCP</t>
  </si>
  <si>
    <t>씨아이에스</t>
  </si>
  <si>
    <t>브이티</t>
  </si>
  <si>
    <t>코오롱</t>
  </si>
  <si>
    <t>한세실업</t>
  </si>
  <si>
    <t>한국쉘석유</t>
  </si>
  <si>
    <t>코스모화학</t>
  </si>
  <si>
    <t>E1</t>
  </si>
  <si>
    <t>네오위즈</t>
  </si>
  <si>
    <t>풍산홀딩스</t>
  </si>
  <si>
    <t>엠씨넥스</t>
  </si>
  <si>
    <t>HLB제약</t>
  </si>
  <si>
    <t>지노믹트리</t>
  </si>
  <si>
    <t>삼양컴텍</t>
  </si>
  <si>
    <t>우진</t>
  </si>
  <si>
    <t>현대바이오</t>
  </si>
  <si>
    <t>티엘비</t>
  </si>
  <si>
    <t>한글과컴퓨터</t>
  </si>
  <si>
    <t>비에이치</t>
  </si>
  <si>
    <t>선익시스템</t>
  </si>
  <si>
    <t>솔루스첨단소재</t>
  </si>
  <si>
    <t>퓨쳐켐</t>
  </si>
  <si>
    <t>현대차증권</t>
  </si>
  <si>
    <t>씨메스</t>
  </si>
  <si>
    <t>자화전자</t>
  </si>
  <si>
    <t>신대양제지</t>
  </si>
  <si>
    <t>켐트로닉스</t>
  </si>
  <si>
    <t>명신산업</t>
  </si>
  <si>
    <t>삼천리</t>
  </si>
  <si>
    <t>세아제강지주</t>
  </si>
  <si>
    <t>덴티움</t>
  </si>
  <si>
    <t>LF</t>
  </si>
  <si>
    <t>이녹스첨단소재</t>
  </si>
  <si>
    <t>쿠쿠홈시스</t>
  </si>
  <si>
    <t>툴젠</t>
  </si>
  <si>
    <t>위메이드맥스</t>
  </si>
  <si>
    <t>시노펙스</t>
  </si>
  <si>
    <t>네오셈</t>
  </si>
  <si>
    <t>퍼시스</t>
  </si>
  <si>
    <t>에코프로에이치엔</t>
  </si>
  <si>
    <t>GST</t>
  </si>
  <si>
    <t>감성코퍼레이션</t>
  </si>
  <si>
    <t>풀무원</t>
  </si>
  <si>
    <t>현대그린푸드</t>
  </si>
  <si>
    <t>일진하이솔루스</t>
  </si>
  <si>
    <t>에코마케팅</t>
  </si>
  <si>
    <t>DB증권</t>
  </si>
  <si>
    <t>유니드</t>
  </si>
  <si>
    <t>케이엔알시스템</t>
  </si>
  <si>
    <t>한국피아이엠</t>
  </si>
  <si>
    <t>제우스</t>
  </si>
  <si>
    <t>NICE</t>
  </si>
  <si>
    <t>한일홀딩스</t>
  </si>
  <si>
    <t>나우로보틱스</t>
  </si>
  <si>
    <t>에이디테크놀로지</t>
  </si>
  <si>
    <t>삼양사</t>
  </si>
  <si>
    <t>쏠리드</t>
  </si>
  <si>
    <t>에스티아이</t>
  </si>
  <si>
    <t>쓰리빌리언</t>
  </si>
  <si>
    <t>동아에스티</t>
  </si>
  <si>
    <t>조광피혁</t>
  </si>
  <si>
    <t>아스테라시스</t>
  </si>
  <si>
    <t>신도리코</t>
  </si>
  <si>
    <t>한양이엔지</t>
  </si>
  <si>
    <t>PI첨단소재</t>
  </si>
  <si>
    <t>삼양홀딩스</t>
  </si>
  <si>
    <t>서연이화</t>
  </si>
  <si>
    <t>원익머트리얼즈</t>
  </si>
  <si>
    <t>HL홀딩스</t>
  </si>
  <si>
    <t>바이넥스</t>
  </si>
  <si>
    <t>휴메딕스</t>
  </si>
  <si>
    <t>한국기업평가</t>
  </si>
  <si>
    <t>엠로</t>
  </si>
  <si>
    <t>한텍</t>
  </si>
  <si>
    <t>SPC삼립</t>
  </si>
  <si>
    <t>제주은행</t>
  </si>
  <si>
    <t>아세아시멘트</t>
  </si>
  <si>
    <t>아이티켐</t>
  </si>
  <si>
    <t>미코</t>
  </si>
  <si>
    <t>KCC글라스</t>
  </si>
  <si>
    <t>가비아</t>
  </si>
  <si>
    <t>한전산업</t>
  </si>
  <si>
    <t>인탑스</t>
  </si>
  <si>
    <t>코세스</t>
  </si>
  <si>
    <t>애경케미칼</t>
  </si>
  <si>
    <t>인화정공</t>
  </si>
  <si>
    <t>웹젠</t>
  </si>
  <si>
    <t>한중엔시에스</t>
  </si>
  <si>
    <t>유티아이</t>
  </si>
  <si>
    <t>큐리오시스</t>
  </si>
  <si>
    <t>동화기업</t>
  </si>
  <si>
    <t>씨앤씨인터내셔널</t>
  </si>
  <si>
    <t>아이센스</t>
  </si>
  <si>
    <t>스틱인베스트먼트</t>
  </si>
  <si>
    <t>유바이오로직스</t>
  </si>
  <si>
    <t>티에프이</t>
  </si>
  <si>
    <t>동국제강</t>
  </si>
  <si>
    <t>데브시스터즈</t>
  </si>
  <si>
    <t>메가스터디교육</t>
  </si>
  <si>
    <t>농심홀딩스</t>
  </si>
  <si>
    <t>쏘카</t>
  </si>
  <si>
    <t>프로텍</t>
  </si>
  <si>
    <t>에브리봇</t>
  </si>
  <si>
    <t>컴투스</t>
  </si>
  <si>
    <t>예스티</t>
  </si>
  <si>
    <t>티엠씨</t>
  </si>
  <si>
    <t>인바디</t>
  </si>
  <si>
    <t>수산인더스트리</t>
  </si>
  <si>
    <t>나이벡</t>
  </si>
  <si>
    <t>DI동일</t>
  </si>
  <si>
    <t>신세계인터내셔날</t>
  </si>
  <si>
    <t>케이프</t>
  </si>
  <si>
    <t>INVENI</t>
  </si>
  <si>
    <t>오리엔탈정공</t>
  </si>
  <si>
    <t>KISCO홀딩스</t>
  </si>
  <si>
    <t>HEM파마</t>
  </si>
  <si>
    <t>안트로젠</t>
  </si>
  <si>
    <t>케이씨</t>
  </si>
  <si>
    <t>하이록코리아</t>
  </si>
  <si>
    <t>칩스앤미디어</t>
  </si>
  <si>
    <t>에스바이오메딕스</t>
  </si>
  <si>
    <t>월덱스</t>
  </si>
  <si>
    <t>티엑스알로보틱스</t>
  </si>
  <si>
    <t>화신</t>
  </si>
  <si>
    <t>네패스</t>
  </si>
  <si>
    <t>콜마비앤에이치</t>
  </si>
  <si>
    <t>강원에너지</t>
  </si>
  <si>
    <t>갤럭시아머니트리</t>
  </si>
  <si>
    <t>한국철강</t>
  </si>
  <si>
    <t>한양디지텍</t>
  </si>
  <si>
    <t>TCC스틸</t>
  </si>
  <si>
    <t>삼아알미늄</t>
  </si>
  <si>
    <t>파인엠텍</t>
  </si>
  <si>
    <t>KH바텍</t>
  </si>
  <si>
    <t>더본코리아</t>
  </si>
  <si>
    <t>티앤엘</t>
  </si>
  <si>
    <t>바이오다인</t>
  </si>
  <si>
    <t>덕산테코피아</t>
  </si>
  <si>
    <t>지씨셀</t>
  </si>
  <si>
    <t>서울반도체</t>
  </si>
  <si>
    <t>SAMG엔터</t>
  </si>
  <si>
    <t>더핑크퐁컴퍼니</t>
  </si>
  <si>
    <t>나무가</t>
  </si>
  <si>
    <t>와이바이오로직스</t>
  </si>
  <si>
    <t>SBS</t>
  </si>
  <si>
    <t>펨트론</t>
  </si>
  <si>
    <t>디아이티</t>
  </si>
  <si>
    <t>한섬</t>
  </si>
  <si>
    <t>대덕</t>
  </si>
  <si>
    <t>국도화학</t>
  </si>
  <si>
    <t>대상홀딩스</t>
  </si>
  <si>
    <t>에이유브랜즈</t>
  </si>
  <si>
    <t>세아제강</t>
  </si>
  <si>
    <t>애경산업</t>
  </si>
  <si>
    <t>솔트룩스</t>
  </si>
  <si>
    <t>골프존</t>
  </si>
  <si>
    <t>롯데이노베이트</t>
  </si>
  <si>
    <t>DS단석</t>
  </si>
  <si>
    <t>삼화콘덴서</t>
  </si>
  <si>
    <t>미래나노텍</t>
  </si>
  <si>
    <t>에코앤드림</t>
  </si>
  <si>
    <t>사조대림</t>
  </si>
  <si>
    <t>제이에스코퍼레이션</t>
  </si>
  <si>
    <t>셀바스AI</t>
  </si>
  <si>
    <t>서울가스</t>
  </si>
  <si>
    <t>콜마홀딩스</t>
  </si>
  <si>
    <t>한솔아이원스</t>
  </si>
  <si>
    <t>한스바이오메드</t>
  </si>
  <si>
    <t>CJ프레시웨이</t>
  </si>
  <si>
    <t>에이직랜드</t>
  </si>
  <si>
    <t>넥스틸</t>
  </si>
  <si>
    <t>코오롱ENP</t>
  </si>
  <si>
    <t>석경에이티</t>
  </si>
  <si>
    <t>에스엔시스</t>
  </si>
  <si>
    <t>휴온스</t>
  </si>
  <si>
    <t>대명에너지</t>
  </si>
  <si>
    <t>바이오니아</t>
  </si>
  <si>
    <t>제이브이엠</t>
  </si>
  <si>
    <t>KPX홀딩스</t>
  </si>
  <si>
    <t>삼영무역</t>
  </si>
  <si>
    <t>남양유업</t>
  </si>
  <si>
    <t>일신방직</t>
  </si>
  <si>
    <t>한진</t>
  </si>
  <si>
    <t>대화제약</t>
  </si>
  <si>
    <t>진성티이씨</t>
  </si>
  <si>
    <t>셀비온</t>
  </si>
  <si>
    <t>SGC에너지</t>
  </si>
  <si>
    <t>오픈엣지테크놀로지</t>
  </si>
  <si>
    <t>유나이티드제약</t>
  </si>
  <si>
    <t>유니셈</t>
  </si>
  <si>
    <t>매커스</t>
  </si>
  <si>
    <t>대동</t>
  </si>
  <si>
    <t>바디텍메드</t>
  </si>
  <si>
    <t>일성아이에스</t>
  </si>
  <si>
    <t>한농화성</t>
  </si>
  <si>
    <t>모토닉</t>
  </si>
  <si>
    <t>한국정보통신</t>
  </si>
  <si>
    <t>신성에스티</t>
  </si>
  <si>
    <t>우주일렉트로</t>
  </si>
  <si>
    <t>현대코퍼레이션</t>
  </si>
  <si>
    <t>폰드그룹</t>
  </si>
  <si>
    <t>에코아이</t>
  </si>
  <si>
    <t>AP시스템</t>
  </si>
  <si>
    <t>한라IMS</t>
  </si>
  <si>
    <t>코난테크놀로지</t>
  </si>
  <si>
    <t>바텍</t>
  </si>
  <si>
    <t>뷰노</t>
  </si>
  <si>
    <t>삼목에스폼</t>
  </si>
  <si>
    <t>네오팜</t>
  </si>
  <si>
    <t>노머스</t>
  </si>
  <si>
    <t>쿠콘</t>
  </si>
  <si>
    <t>필에너지</t>
  </si>
  <si>
    <t>사조산업</t>
  </si>
  <si>
    <t>피에이치에이</t>
  </si>
  <si>
    <t>범한퓨얼셀</t>
  </si>
  <si>
    <t>KG이니시스</t>
  </si>
  <si>
    <t>지누스</t>
  </si>
  <si>
    <t>노루홀딩스</t>
  </si>
  <si>
    <t>매일유업</t>
  </si>
  <si>
    <t>대원산업</t>
  </si>
  <si>
    <t>BYC</t>
  </si>
  <si>
    <t>사피엔반도체</t>
  </si>
  <si>
    <t>세방</t>
  </si>
  <si>
    <t>뉴로핏</t>
  </si>
  <si>
    <t>아이패밀리에스씨</t>
  </si>
  <si>
    <t>플리토</t>
  </si>
  <si>
    <t>백산</t>
  </si>
  <si>
    <t>슈프리마</t>
  </si>
  <si>
    <t>LX하우시스</t>
  </si>
  <si>
    <t>삼진제약</t>
  </si>
  <si>
    <t>대원제약</t>
  </si>
  <si>
    <t>노바렉스</t>
  </si>
  <si>
    <t>대양전기공업</t>
  </si>
  <si>
    <t>에이블씨엔씨</t>
  </si>
  <si>
    <t>도우인시스</t>
  </si>
  <si>
    <t>토비스</t>
  </si>
  <si>
    <t>광주신세계</t>
  </si>
  <si>
    <t>유니테스트</t>
  </si>
  <si>
    <t>듀켐바이오</t>
  </si>
  <si>
    <t>잇츠한불</t>
  </si>
  <si>
    <t>윤성에프앤씨</t>
  </si>
  <si>
    <t>상아프론테크</t>
  </si>
  <si>
    <t>세나테크놀로지</t>
  </si>
  <si>
    <t>대한제분</t>
  </si>
  <si>
    <t>종근당홀딩스</t>
  </si>
  <si>
    <t>한양증권</t>
  </si>
  <si>
    <t>메카로</t>
  </si>
  <si>
    <t>대한제강</t>
  </si>
  <si>
    <t>아크릴</t>
  </si>
  <si>
    <t>서흥</t>
  </si>
  <si>
    <t>에스투더블유</t>
  </si>
  <si>
    <t>나이스정보통신</t>
  </si>
  <si>
    <t>성신양회</t>
  </si>
  <si>
    <t>클리오</t>
  </si>
  <si>
    <t>하나기술</t>
  </si>
  <si>
    <t>마녀공장</t>
  </si>
  <si>
    <t>디오</t>
  </si>
  <si>
    <t>엑스게이트</t>
  </si>
  <si>
    <t>아이티엠반도체</t>
  </si>
  <si>
    <t>이노테크</t>
  </si>
  <si>
    <t>0126Z0</t>
  </si>
  <si>
    <t>0009K0</t>
  </si>
  <si>
    <t>0120G0</t>
  </si>
  <si>
    <t>0008Z0</t>
  </si>
  <si>
    <t>0007C0</t>
  </si>
  <si>
    <t>세로 막대형3</t>
  </si>
  <si>
    <t>nxt_code</t>
    <phoneticPr fontId="2" type="noConversion"/>
  </si>
  <si>
    <t>현재가</t>
    <phoneticPr fontId="2" type="noConversion"/>
  </si>
  <si>
    <t>시가총액 (조원)</t>
    <phoneticPr fontId="2" type="noConversion"/>
  </si>
  <si>
    <t>거래소+코스닥</t>
    <phoneticPr fontId="2" type="noConversion"/>
  </si>
  <si>
    <t>거래소</t>
    <phoneticPr fontId="2" type="noConversion"/>
  </si>
  <si>
    <t>대금(억)</t>
    <phoneticPr fontId="2" type="noConversion"/>
  </si>
  <si>
    <t>코스닥</t>
    <phoneticPr fontId="2" type="noConversion"/>
  </si>
  <si>
    <t>전 시가총액</t>
    <phoneticPr fontId="2" type="noConversion"/>
  </si>
  <si>
    <t>시가총액</t>
    <phoneticPr fontId="2" type="noConversion"/>
  </si>
  <si>
    <t>구분</t>
    <phoneticPr fontId="2" type="noConversion"/>
  </si>
  <si>
    <t>변동</t>
    <phoneticPr fontId="2" type="noConversion"/>
  </si>
  <si>
    <t>k200</t>
    <phoneticPr fontId="2" type="noConversion"/>
  </si>
  <si>
    <t>code</t>
    <phoneticPr fontId="2" type="noConversion"/>
  </si>
  <si>
    <t>name</t>
    <phoneticPr fontId="2" type="noConversion"/>
  </si>
  <si>
    <t>한국타이어앤테크놀로지</t>
    <phoneticPr fontId="2" type="noConversion"/>
  </si>
  <si>
    <t xml:space="preserve"> =IF(IFERROR(INDEX(표.kospi200[code],MATCH([@코드],표.kospi200[code],0)),0)=0,0,1)</t>
    <phoneticPr fontId="2" type="noConversion"/>
  </si>
  <si>
    <t>KOSPI200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</si>
</sst>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);[Red]\(#,##0\)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4" fontId="0" fillId="0" borderId="0" xfId="0" applyNumberFormat="1">
      <alignment vertical="center"/>
    </xf>
    <xf numFmtId="41" fontId="0" fillId="0" borderId="0" xfId="1" applyFont="1">
      <alignment vertical="center"/>
    </xf>
    <xf numFmtId="176" fontId="0" fillId="0" borderId="0" xfId="1" applyNumberFormat="1" applyFont="1">
      <alignment vertical="center"/>
    </xf>
    <xf numFmtId="10" fontId="0" fillId="0" borderId="0" xfId="2" applyNumberFormat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137400</v>
        <stp/>
        <stp>P</stp>
        <stp>0</stp>
        <stp>STK</stp>
        <stp>N388720</stp>
        <stp>현재가</stp>
        <stp/>
        <stp/>
        <tr r="H286" s="1"/>
      </tp>
      <tp>
        <v>23300</v>
        <stp/>
        <stp>P</stp>
        <stp>0</stp>
        <stp>STK</stp>
        <stp>N488280</stp>
        <stp>현재가</stp>
        <stp/>
        <stp/>
        <tr r="H690" s="1"/>
      </tp>
      <tp>
        <v>128600</v>
        <stp/>
        <stp>P</stp>
        <stp>0</stp>
        <stp>STK</stp>
        <stp>N388210</stp>
        <stp>현재가</stp>
        <stp/>
        <stp/>
        <tr r="H305" s="1"/>
      </tp>
      <tp>
        <v>3505</v>
        <stp/>
        <stp>P</stp>
        <stp>0</stp>
        <stp>STK</stp>
        <stp>N088350</stp>
        <stp>현재가</stp>
        <stp/>
        <stp/>
        <tr r="H164" s="1"/>
      </tp>
      <tp>
        <v>74400</v>
        <stp/>
        <stp>P</stp>
        <stp>0</stp>
        <stp>STK</stp>
        <stp>N389650</stp>
        <stp>현재가</stp>
        <stp/>
        <stp/>
        <tr r="H430" s="1"/>
      </tp>
      <tp>
        <v>59800</v>
        <stp/>
        <stp>P</stp>
        <stp>0</stp>
        <stp>STK</stp>
        <stp>N489790</stp>
        <stp>현재가</stp>
        <stp/>
        <stp/>
        <tr r="H173" s="1"/>
      </tp>
      <tp>
        <v>74900</v>
        <stp/>
        <stp>P</stp>
        <stp>0</stp>
        <stp>STK</stp>
        <stp>N389470</stp>
        <stp>현재가</stp>
        <stp/>
        <stp/>
        <tr r="H329" s="1"/>
      </tp>
      <tp>
        <v>17040</v>
        <stp/>
        <stp>P</stp>
        <stp>0</stp>
        <stp>STK</stp>
        <stp>N389260</stp>
        <stp>현재가</stp>
        <stp/>
        <stp/>
        <tr r="H615" s="1"/>
      </tp>
      <tp>
        <v>104000</v>
        <stp/>
        <stp>P</stp>
        <stp>0</stp>
        <stp>STK</stp>
        <stp>N189300</stp>
        <stp>현재가</stp>
        <stp/>
        <stp/>
        <tr r="H359" s="1"/>
      </tp>
      <tp>
        <v>35900</v>
        <stp/>
        <stp>P</stp>
        <stp>0</stp>
        <stp>STK</stp>
        <stp>N089010</stp>
        <stp>현재가</stp>
        <stp/>
        <stp/>
        <tr r="H466" s="1"/>
      </tp>
      <tp>
        <v>49500</v>
        <stp/>
        <stp>P</stp>
        <stp>0</stp>
        <stp>STK</stp>
        <stp>N089030</stp>
        <stp>현재가</stp>
        <stp/>
        <stp/>
        <tr r="H250" s="1"/>
      </tp>
      <tp>
        <v>25200</v>
        <stp/>
        <stp>P</stp>
        <stp>0</stp>
        <stp>STK</stp>
        <stp>N089890</stp>
        <stp>현재가</stp>
        <stp/>
        <stp/>
        <tr r="H523" s="1"/>
      </tp>
      <tp>
        <v>30450</v>
        <stp/>
        <stp>P</stp>
        <stp>0</stp>
        <stp>STK</stp>
        <stp>N089860</stp>
        <stp>현재가</stp>
        <stp/>
        <stp/>
        <tr r="H300" s="1"/>
      </tp>
      <tp>
        <v>17070</v>
        <stp/>
        <stp>P</stp>
        <stp>0</stp>
        <stp>STK</stp>
        <stp>N089980</stp>
        <stp>현재가</stp>
        <stp/>
        <stp/>
        <tr r="H681" s="1"/>
      </tp>
      <tp>
        <v>28700</v>
        <stp/>
        <stp>P</stp>
        <stp>0</stp>
        <stp>STK</stp>
        <stp>N089970</stp>
        <stp>현재가</stp>
        <stp/>
        <stp/>
        <tr r="H409" s="1"/>
      </tp>
      <tp>
        <v>9800</v>
        <stp/>
        <stp>P</stp>
        <stp>0</stp>
        <stp>STK</stp>
        <stp>N084690</stp>
        <stp>현재가</stp>
        <stp/>
        <stp/>
        <tr r="H590" s="1"/>
      </tp>
      <tp>
        <v>23100</v>
        <stp/>
        <stp>P</stp>
        <stp>0</stp>
        <stp>STK</stp>
        <stp>N284740</stp>
        <stp>현재가</stp>
        <stp/>
        <stp/>
        <tr r="H473" s="1"/>
      </tp>
      <tp>
        <v>12920</v>
        <stp/>
        <stp>P</stp>
        <stp>0</stp>
        <stp>STK</stp>
        <stp>N484590</stp>
        <stp>현재가</stp>
        <stp/>
        <stp/>
        <tr r="H453" s="1"/>
      </tp>
      <tp>
        <v>106800</v>
        <stp/>
        <stp>P</stp>
        <stp>0</stp>
        <stp>STK</stp>
        <stp>N084370</stp>
        <stp>현재가</stp>
        <stp/>
        <stp/>
        <tr r="H222" s="1"/>
      </tp>
      <tp>
        <v>10320</v>
        <stp/>
        <stp>P</stp>
        <stp>0</stp>
        <stp>STK</stp>
        <stp>N084010</stp>
        <stp>현재가</stp>
        <stp/>
        <stp/>
        <tr r="H687" s="1"/>
      </tp>
      <tp>
        <v>23900</v>
        <stp/>
        <stp>P</stp>
        <stp>0</stp>
        <stp>STK</stp>
        <stp>N484120</stp>
        <stp>현재가</stp>
        <stp/>
        <stp/>
        <tr r="H674" s="1"/>
      </tp>
      <tp>
        <v>51400</v>
        <stp/>
        <stp>P</stp>
        <stp>0</stp>
        <stp>STK</stp>
        <stp>N084110</stp>
        <stp>현재가</stp>
        <stp/>
        <stp/>
        <tr r="H426" s="1"/>
      </tp>
      <tp>
        <v>10560</v>
        <stp/>
        <stp>P</stp>
        <stp>0</stp>
        <stp>STK</stp>
        <stp>N084850</stp>
        <stp>현재가</stp>
        <stp/>
        <stp/>
        <tr r="H698" s="1"/>
      </tp>
      <tp>
        <v>22000</v>
        <stp/>
        <stp>P</stp>
        <stp>0</stp>
        <stp>STK</stp>
        <stp>N484810</stp>
        <stp>현재가</stp>
        <stp/>
        <stp/>
        <tr r="H562" s="1"/>
      </tp>
      <tp>
        <v>144300</v>
        <stp/>
        <stp>P</stp>
        <stp>0</stp>
        <stp>STK</stp>
        <stp>N484870</stp>
        <stp>현재가</stp>
        <stp/>
        <stp/>
        <tr r="H259" s="1"/>
      </tp>
      <tp>
        <v>21550</v>
        <stp/>
        <stp>P</stp>
        <stp>0</stp>
        <stp>STK</stp>
        <stp>N085660</stp>
        <stp>현재가</stp>
        <stp/>
        <stp/>
        <tr r="H271" s="1"/>
      </tp>
      <tp>
        <v>9410</v>
        <stp/>
        <stp>P</stp>
        <stp>0</stp>
        <stp>STK</stp>
        <stp>N085620</stp>
        <stp>현재가</stp>
        <stp/>
        <stp/>
        <tr r="H244" s="1"/>
      </tp>
      <tp>
        <v>84600</v>
        <stp/>
        <stp>P</stp>
        <stp>0</stp>
        <stp>STK</stp>
        <stp>N185750</stp>
        <stp>현재가</stp>
        <stp/>
        <stp/>
        <tr r="H293" s="1"/>
      </tp>
      <tp>
        <v>65900</v>
        <stp/>
        <stp>P</stp>
        <stp>0</stp>
        <stp>STK</stp>
        <stp>N285130</stp>
        <stp>현재가</stp>
        <stp/>
        <stp/>
        <tr r="H295" s="1"/>
      </tp>
      <tp>
        <v>105000</v>
        <stp/>
        <stp>P</stp>
        <stp>0</stp>
        <stp>STK</stp>
        <stp>N086790</stp>
        <stp>현재가</stp>
        <stp/>
        <stp/>
        <tr r="H32" s="1"/>
      </tp>
      <tp>
        <v>18440</v>
        <stp/>
        <stp>P</stp>
        <stp>0</stp>
        <stp>STK</stp>
        <stp>N086450</stp>
        <stp>현재가</stp>
        <stp/>
        <stp/>
        <tr r="H371" s="1"/>
      </tp>
      <tp>
        <v>172000</v>
        <stp/>
        <stp>P</stp>
        <stp>0</stp>
        <stp>STK</stp>
        <stp>N086520</stp>
        <stp>현재가</stp>
        <stp/>
        <stp/>
        <tr r="H67" s="1"/>
      </tp>
      <tp>
        <v>247000</v>
        <stp/>
        <stp>P</stp>
        <stp>0</stp>
        <stp>STK</stp>
        <stp>N086280</stp>
        <stp>현재가</stp>
        <stp/>
        <stp/>
        <tr r="H39" s="1"/>
      </tp>
      <tp>
        <v>14410</v>
        <stp/>
        <stp>P</stp>
        <stp>0</stp>
        <stp>STK</stp>
        <stp>N086390</stp>
        <stp>현재가</stp>
        <stp/>
        <stp/>
        <tr r="H677" s="1"/>
      </tp>
      <tp>
        <v>41950</v>
        <stp/>
        <stp>P</stp>
        <stp>0</stp>
        <stp>STK</stp>
        <stp>N486990</stp>
        <stp>현재가</stp>
        <stp/>
        <stp/>
        <tr r="H318" s="1"/>
      </tp>
      <tp>
        <v>22300</v>
        <stp/>
        <stp>P</stp>
        <stp>0</stp>
        <stp>STK</stp>
        <stp>N286940</stp>
        <stp>현재가</stp>
        <stp/>
        <stp/>
        <tr r="H596" s="1"/>
      </tp>
      <tp>
        <v>131600</v>
        <stp/>
        <stp>P</stp>
        <stp>0</stp>
        <stp>STK</stp>
        <stp>N086900</stp>
        <stp>현재가</stp>
        <stp/>
        <stp/>
        <tr r="H341" s="1"/>
      </tp>
      <tp>
        <v>305500</v>
        <stp/>
        <stp>P</stp>
        <stp>0</stp>
        <stp>STK</stp>
        <stp>N087010</stp>
        <stp>현재가</stp>
        <stp/>
        <stp/>
        <tr r="H111" s="1"/>
      </tp>
      <tp>
        <v>49650</v>
        <stp/>
        <stp>P</stp>
        <stp>0</stp>
        <stp>STK</stp>
        <stp>N287840</stp>
        <stp>현재가</stp>
        <stp/>
        <stp/>
        <tr r="H383" s="1"/>
      </tp>
      <tp>
        <v>111000</v>
        <stp/>
        <stp>P</stp>
        <stp>0</stp>
        <stp>STK</stp>
        <stp>N180640</stp>
        <stp>현재가</stp>
        <stp/>
        <stp/>
        <tr r="H83" s="1"/>
      </tp>
      <tp>
        <v>32150</v>
        <stp/>
        <stp>P</stp>
        <stp>0</stp>
        <stp>STK</stp>
        <stp>N380550</stp>
        <stp>현재가</stp>
        <stp/>
        <stp/>
        <tr r="H663" s="1"/>
      </tp>
      <tp>
        <v>41600</v>
        <stp/>
        <stp>P</stp>
        <stp>0</stp>
        <stp>STK</stp>
        <stp>N080220</stp>
        <stp>현재가</stp>
        <stp/>
        <stp/>
        <tr r="H307" s="1"/>
      </tp>
      <tp>
        <v>118500</v>
        <stp/>
        <stp>P</stp>
        <stp>0</stp>
        <stp>STK</stp>
        <stp>N280360</stp>
        <stp>현재가</stp>
        <stp/>
        <stp/>
        <tr r="H310" s="1"/>
      </tp>
      <tp>
        <v>46350</v>
        <stp/>
        <stp>P</stp>
        <stp>0</stp>
        <stp>STK</stp>
        <stp>N081660</stp>
        <stp>현재가</stp>
        <stp/>
        <stp/>
        <tr r="H192" s="1"/>
      </tp>
      <tp>
        <v>27400</v>
        <stp/>
        <stp>P</stp>
        <stp>0</stp>
        <stp>STK</stp>
        <stp>N281740</stp>
        <stp>현재가</stp>
        <stp/>
        <stp/>
        <tr r="H291" s="1"/>
      </tp>
      <tp>
        <v>31500</v>
        <stp/>
        <stp>P</stp>
        <stp>0</stp>
        <stp>STK</stp>
        <stp>N181710</stp>
        <stp>현재가</stp>
        <stp/>
        <stp/>
        <tr r="H319" s="1"/>
      </tp>
      <tp>
        <v>27500</v>
        <stp/>
        <stp>P</stp>
        <stp>0</stp>
        <stp>STK</stp>
        <stp>N481070</stp>
        <stp>현재가</stp>
        <stp/>
        <stp/>
        <tr r="H591" s="1"/>
      </tp>
      <tp>
        <v>45950</v>
        <stp/>
        <stp>P</stp>
        <stp>0</stp>
        <stp>STK</stp>
        <stp>N281820</stp>
        <stp>현재가</stp>
        <stp/>
        <stp/>
        <tr r="H353" s="1"/>
      </tp>
      <tp>
        <v>15310</v>
        <stp/>
        <stp>P</stp>
        <stp>0</stp>
        <stp>STK</stp>
        <stp>N381970</stp>
        <stp>현재가</stp>
        <stp/>
        <stp/>
        <tr r="H379" s="1"/>
      </tp>
      <tp>
        <v>54100</v>
        <stp/>
        <stp>P</stp>
        <stp>0</stp>
        <stp>STK</stp>
        <stp>N082740</stp>
        <stp>현재가</stp>
        <stp/>
        <stp/>
        <tr r="H119" s="1"/>
      </tp>
      <tp>
        <v>39700</v>
        <stp/>
        <stp>P</stp>
        <stp>0</stp>
        <stp>STK</stp>
        <stp>N082270</stp>
        <stp>현재가</stp>
        <stp/>
        <stp/>
        <tr r="H316" s="1"/>
      </tp>
      <tp>
        <v>119500</v>
        <stp/>
        <stp>P</stp>
        <stp>0</stp>
        <stp>STK</stp>
        <stp>N282330</stp>
        <stp>현재가</stp>
        <stp/>
        <stp/>
        <tr r="H213" s="1"/>
      </tp>
      <tp>
        <v>30750</v>
        <stp/>
        <stp>P</stp>
        <stp>0</stp>
        <stp>STK</stp>
        <stp>N382900</stp>
        <stp>현재가</stp>
        <stp/>
        <stp/>
        <tr r="H654" s="1"/>
      </tp>
      <tp>
        <v>21100</v>
        <stp/>
        <stp>P</stp>
        <stp>0</stp>
        <stp>STK</stp>
        <stp>N082920</stp>
        <stp>현재가</stp>
        <stp/>
        <stp/>
        <tr r="H331" s="1"/>
      </tp>
      <tp>
        <v>70900</v>
        <stp/>
        <stp>P</stp>
        <stp>0</stp>
        <stp>STK</stp>
        <stp>N083650</stp>
        <stp>현재가</stp>
        <stp/>
        <stp/>
        <tr r="H215" s="1"/>
      </tp>
      <tp>
        <v>160300</v>
        <stp/>
        <stp>P</stp>
        <stp>0</stp>
        <stp>STK</stp>
        <stp>N483650</stp>
        <stp>현재가</stp>
        <stp/>
        <stp/>
        <tr r="H236" s="1"/>
      </tp>
      <tp>
        <v>28500</v>
        <stp/>
        <stp>P</stp>
        <stp>0</stp>
        <stp>STK</stp>
        <stp>N083450</stp>
        <stp>현재가</stp>
        <stp/>
        <stp/>
        <tr r="H480" s="1"/>
      </tp>
      <tp>
        <v>73000</v>
        <stp/>
        <stp>P</stp>
        <stp>0</stp>
        <stp>STK</stp>
        <stp>N383220</stp>
        <stp>현재가</stp>
        <stp/>
        <stp/>
        <tr r="H178" s="1"/>
      </tp>
      <tp>
        <v>122300</v>
        <stp/>
        <stp>P</stp>
        <stp>0</stp>
        <stp>STK</stp>
        <stp>N183300</stp>
        <stp>현재가</stp>
        <stp/>
        <stp/>
        <tr r="H306" s="1"/>
      </tp>
      <tp>
        <v>43000</v>
        <stp/>
        <stp>P</stp>
        <stp>0</stp>
        <stp>STK</stp>
        <stp>N383310</stp>
        <stp>현재가</stp>
        <stp/>
        <stp/>
        <tr r="H479" s="1"/>
      </tp>
      <tp>
        <v>12470</v>
        <stp/>
        <stp>P</stp>
        <stp>0</stp>
        <stp>STK</stp>
        <stp>N183190</stp>
        <stp>현재가</stp>
        <stp/>
        <stp/>
        <tr r="H516" s="1"/>
      </tp>
      <tp>
        <v>8580</v>
        <stp/>
        <stp>P</stp>
        <stp>0</stp>
        <stp>STK</stp>
        <stp>N383800</stp>
        <stp>현재가</stp>
        <stp/>
        <stp/>
        <tr r="H420" s="1"/>
      </tp>
      <tp>
        <v>34300</v>
        <stp/>
        <stp>P</stp>
        <stp>0</stp>
        <stp>STK</stp>
        <stp>N098460</stp>
        <stp>현재가</stp>
        <stp/>
        <stp/>
        <tr r="H205" s="1"/>
      </tp>
      <tp>
        <v>201000</v>
        <stp/>
        <stp>P</stp>
        <stp>0</stp>
        <stp>STK</stp>
        <stp>N298380</stp>
        <stp>현재가</stp>
        <stp/>
        <stp/>
        <tr r="H76" s="1"/>
      </tp>
      <tp>
        <v>35400</v>
        <stp/>
        <stp>P</stp>
        <stp>0</stp>
        <stp>STK</stp>
        <stp>N098070</stp>
        <stp>현재가</stp>
        <stp/>
        <stp/>
        <tr r="H513" s="1"/>
      </tp>
      <tp>
        <v>232500</v>
        <stp/>
        <stp>P</stp>
        <stp>0</stp>
        <stp>STK</stp>
        <stp>N298050</stp>
        <stp>현재가</stp>
        <stp/>
        <stp/>
        <tr r="H321" s="1"/>
      </tp>
      <tp>
        <v>2403000</v>
        <stp/>
        <stp>P</stp>
        <stp>0</stp>
        <stp>STK</stp>
        <stp>N298040</stp>
        <stp>현재가</stp>
        <stp/>
        <stp/>
        <tr r="H40" s="1"/>
      </tp>
      <tp>
        <v>367000</v>
        <stp/>
        <stp>P</stp>
        <stp>0</stp>
        <stp>STK</stp>
        <stp>N298020</stp>
        <stp>현재가</stp>
        <stp/>
        <stp/>
        <tr r="H234" s="1"/>
      </tp>
      <tp>
        <v>50400</v>
        <stp/>
        <stp>P</stp>
        <stp>0</stp>
        <stp>STK</stp>
        <stp>N499790</stp>
        <stp>현재가</stp>
        <stp/>
        <stp/>
        <tr r="H362" s="1"/>
      </tp>
      <tp>
        <v>69400</v>
        <stp/>
        <stp>P</stp>
        <stp>0</stp>
        <stp>STK</stp>
        <stp>N399720</stp>
        <stp>현재가</stp>
        <stp/>
        <stp/>
        <tr r="H386" s="1"/>
      </tp>
      <tp>
        <v>34250</v>
        <stp/>
        <stp>P</stp>
        <stp>0</stp>
        <stp>STK</stp>
        <stp>N199430</stp>
        <stp>현재가</stp>
        <stp/>
        <stp/>
        <tr r="H488" s="1"/>
      </tp>
      <tp>
        <v>31350</v>
        <stp/>
        <stp>P</stp>
        <stp>0</stp>
        <stp>STK</stp>
        <stp>N299030</stp>
        <stp>현재가</stp>
        <stp/>
        <stp/>
        <tr r="H694" s="1"/>
      </tp>
      <tp>
        <v>16630</v>
        <stp/>
        <stp>P</stp>
        <stp>0</stp>
        <stp>STK</stp>
        <stp>N099190</stp>
        <stp>현재가</stp>
        <stp/>
        <stp/>
        <tr r="H532" s="1"/>
      </tp>
      <tp>
        <v>61500</v>
        <stp/>
        <stp>P</stp>
        <stp>0</stp>
        <stp>STK</stp>
        <stp>N199800</stp>
        <stp>현재가</stp>
        <stp/>
        <stp/>
        <tr r="H474" s="1"/>
      </tp>
      <tp>
        <v>13910</v>
        <stp/>
        <stp>P</stp>
        <stp>0</stp>
        <stp>STK</stp>
        <stp>N194700</stp>
        <stp>현재가</stp>
        <stp/>
        <stp/>
        <tr r="H671" s="1"/>
      </tp>
      <tp>
        <v>36800</v>
        <stp/>
        <stp>P</stp>
        <stp>0</stp>
        <stp>STK</stp>
        <stp>N194480</stp>
        <stp>현재가</stp>
        <stp/>
        <stp/>
        <tr r="H537" s="1"/>
      </tp>
      <tp>
        <v>11380</v>
        <stp/>
        <stp>P</stp>
        <stp>0</stp>
        <stp>STK</stp>
        <stp>N094480</stp>
        <stp>현재가</stp>
        <stp/>
        <stp/>
        <tr r="H567" s="1"/>
      </tp>
      <tp>
        <v>33600</v>
        <stp/>
        <stp>P</stp>
        <stp>0</stp>
        <stp>STK</stp>
        <stp>N294570</stp>
        <stp>현재가</stp>
        <stp/>
        <stp/>
        <tr r="H650" s="1"/>
      </tp>
      <tp>
        <v>15030</v>
        <stp/>
        <stp>P</stp>
        <stp>0</stp>
        <stp>STK</stp>
        <stp>N394280</stp>
        <stp>현재가</stp>
        <stp/>
        <stp/>
        <tr r="H627" s="1"/>
      </tp>
      <tp>
        <v>18270</v>
        <stp/>
        <stp>P</stp>
        <stp>0</stp>
        <stp>STK</stp>
        <stp>N094360</stp>
        <stp>현재가</stp>
        <stp/>
        <stp/>
        <tr r="H559" s="1"/>
      </tp>
      <tp>
        <v>12560</v>
        <stp/>
        <stp>P</stp>
        <stp>0</stp>
        <stp>STK</stp>
        <stp>N194370</stp>
        <stp>현재가</stp>
        <stp/>
        <stp/>
        <tr r="H602" s="1"/>
      </tp>
      <tp>
        <v>30650</v>
        <stp/>
        <stp>P</stp>
        <stp>0</stp>
        <stp>STK</stp>
        <stp>N094170</stp>
        <stp>현재가</stp>
        <stp/>
        <stp/>
        <tr r="H439" s="1"/>
      </tp>
      <tp>
        <v>67200</v>
        <stp/>
        <stp>P</stp>
        <stp>0</stp>
        <stp>STK</stp>
        <stp>N494120</stp>
        <stp>현재가</stp>
        <stp/>
        <stp/>
        <tr r="H529" s="1"/>
      </tp>
      <tp>
        <v>20350</v>
        <stp/>
        <stp>P</stp>
        <stp>0</stp>
        <stp>STK</stp>
        <stp>N294870</stp>
        <stp>현재가</stp>
        <stp/>
        <stp/>
        <tr r="H267" s="1"/>
      </tp>
      <tp>
        <v>15970</v>
        <stp/>
        <stp>P</stp>
        <stp>0</stp>
        <stp>STK</stp>
        <stp>N394800</stp>
        <stp>현재가</stp>
        <stp/>
        <stp/>
        <tr r="H498" s="1"/>
      </tp>
      <tp>
        <v>30050</v>
        <stp/>
        <stp>P</stp>
        <stp>0</stp>
        <stp>STK</stp>
        <stp>N095660</stp>
        <stp>현재가</stp>
        <stp/>
        <stp/>
        <tr r="H448" s="1"/>
      </tp>
      <tp>
        <v>71400</v>
        <stp/>
        <stp>P</stp>
        <stp>0</stp>
        <stp>STK</stp>
        <stp>N095610</stp>
        <stp>현재가</stp>
        <stp/>
        <stp/>
        <tr r="H322" s="1"/>
      </tp>
      <tp>
        <v>11810</v>
        <stp/>
        <stp>P</stp>
        <stp>0</stp>
        <stp>STK</stp>
        <stp>N095500</stp>
        <stp>현재가</stp>
        <stp/>
        <stp/>
        <tr r="H599" s="1"/>
      </tp>
      <tp>
        <v>147000</v>
        <stp/>
        <stp>P</stp>
        <stp>0</stp>
        <stp>STK</stp>
        <stp>N095340</stp>
        <stp>현재가</stp>
        <stp/>
        <stp/>
        <tr r="H201" s="1"/>
      </tp>
      <tp>
        <v>88700</v>
        <stp/>
        <stp>P</stp>
        <stp>0</stp>
        <stp>STK</stp>
        <stp>N295310</stp>
        <stp>현재가</stp>
        <stp/>
        <stp/>
        <tr r="H308" s="1"/>
      </tp>
      <tp>
        <v>64600</v>
        <stp/>
        <stp>P</stp>
        <stp>0</stp>
        <stp>STK</stp>
        <stp>N195870</stp>
        <stp>현재가</stp>
        <stp/>
        <stp/>
        <tr r="H335" s="1"/>
      </tp>
      <tp>
        <v>56400</v>
        <stp/>
        <stp>P</stp>
        <stp>0</stp>
        <stp>STK</stp>
        <stp>N195940</stp>
        <stp>현재가</stp>
        <stp/>
        <stp/>
        <tr r="H265" s="1"/>
      </tp>
      <tp>
        <v>111500</v>
        <stp/>
        <stp>P</stp>
        <stp>0</stp>
        <stp>STK</stp>
        <stp>N096770</stp>
        <stp>현재가</stp>
        <stp/>
        <stp/>
        <tr r="H50" s="1"/>
      </tp>
      <tp>
        <v>28450</v>
        <stp/>
        <stp>P</stp>
        <stp>0</stp>
        <stp>STK</stp>
        <stp>N096530</stp>
        <stp>현재가</stp>
        <stp/>
        <stp/>
        <tr r="H278" s="1"/>
      </tp>
      <tp>
        <v>400000</v>
        <stp/>
        <stp>P</stp>
        <stp>0</stp>
        <stp>STK</stp>
        <stp>N196170</stp>
        <stp>현재가</stp>
        <stp/>
        <stp/>
        <tr r="H45" s="1"/>
      </tp>
      <tp>
        <v>29700</v>
        <stp/>
        <stp>P</stp>
        <stp>0</stp>
        <stp>STK</stp>
        <stp>N097520</stp>
        <stp>현재가</stp>
        <stp/>
        <stp/>
        <tr r="H450" s="1"/>
      </tp>
      <tp>
        <v>24700</v>
        <stp/>
        <stp>P</stp>
        <stp>0</stp>
        <stp>STK</stp>
        <stp>N097230</stp>
        <stp>현재가</stp>
        <stp/>
        <stp/>
        <tr r="H198" s="1"/>
      </tp>
      <tp>
        <v>61800</v>
        <stp/>
        <stp>P</stp>
        <stp>0</stp>
        <stp>STK</stp>
        <stp>N397030</stp>
        <stp>현재가</stp>
        <stp/>
        <stp/>
        <tr r="H296" s="1"/>
      </tp>
      <tp>
        <v>212000</v>
        <stp/>
        <stp>P</stp>
        <stp>0</stp>
        <stp>STK</stp>
        <stp>N097950</stp>
        <stp>현재가</stp>
        <stp/>
        <stp/>
        <tr r="H150" s="1"/>
      </tp>
      <tp>
        <v>88500</v>
        <stp/>
        <stp>P</stp>
        <stp>0</stp>
        <stp>STK</stp>
        <stp>N290650</stp>
        <stp>현재가</stp>
        <stp/>
        <stp/>
        <tr r="H269" s="1"/>
      </tp>
      <tp>
        <v>17970</v>
        <stp/>
        <stp>P</stp>
        <stp>0</stp>
        <stp>STK</stp>
        <stp>N090460</stp>
        <stp>현재가</stp>
        <stp/>
        <stp/>
        <tr r="H458" s="1"/>
      </tp>
      <tp>
        <v>137400</v>
        <stp/>
        <stp>P</stp>
        <stp>0</stp>
        <stp>STK</stp>
        <stp>N090430</stp>
        <stp>현재가</stp>
        <stp/>
        <stp/>
        <tr r="H93" s="1"/>
      </tp>
      <tp>
        <v>23850</v>
        <stp/>
        <stp>P</stp>
        <stp>0</stp>
        <stp>STK</stp>
        <stp>N190510</stp>
        <stp>현재가</stp>
        <stp/>
        <stp/>
        <tr r="H582" s="1"/>
      </tp>
      <tp>
        <v>89600</v>
        <stp/>
        <stp>P</stp>
        <stp>0</stp>
        <stp>STK</stp>
        <stp>N090360</stp>
        <stp>현재가</stp>
        <stp/>
        <stp/>
        <tr r="H332" s="1"/>
      </tp>
      <tp>
        <v>10960</v>
        <stp/>
        <stp>P</stp>
        <stp>0</stp>
        <stp>STK</stp>
        <stp>N092790</stp>
        <stp>현재가</stp>
        <stp/>
        <stp/>
        <tr r="H610" s="1"/>
      </tp>
      <tp>
        <v>19070</v>
        <stp/>
        <stp>P</stp>
        <stp>0</stp>
        <stp>STK</stp>
        <stp>N092730</stp>
        <stp>현재가</stp>
        <stp/>
        <stp/>
        <tr r="H648" s="1"/>
      </tp>
      <tp>
        <v>15780</v>
        <stp/>
        <stp>P</stp>
        <stp>0</stp>
        <stp>STK</stp>
        <stp>N092460</stp>
        <stp>현재가</stp>
        <stp/>
        <stp/>
        <tr r="H643" s="1"/>
      </tp>
      <tp>
        <v>27250</v>
        <stp/>
        <stp>P</stp>
        <stp>0</stp>
        <stp>STK</stp>
        <stp>N192400</stp>
        <stp>현재가</stp>
        <stp/>
        <stp/>
        <tr r="H323" s="1"/>
      </tp>
      <tp>
        <v>76000</v>
        <stp/>
        <stp>P</stp>
        <stp>0</stp>
        <stp>STK</stp>
        <stp>N092230</stp>
        <stp>현재가</stp>
        <stp/>
        <stp/>
        <tr r="H618" s="1"/>
      </tp>
      <tp>
        <v>52300</v>
        <stp/>
        <stp>P</stp>
        <stp>0</stp>
        <stp>STK</stp>
        <stp>N192080</stp>
        <stp>현재가</stp>
        <stp/>
        <stp/>
        <tr r="H301" s="1"/>
      </tp>
      <tp>
        <v>198700</v>
        <stp/>
        <stp>P</stp>
        <stp>0</stp>
        <stp>STK</stp>
        <stp>N192820</stp>
        <stp>현재가</stp>
        <stp/>
        <stp/>
        <tr r="H208" s="1"/>
      </tp>
      <tp>
        <v>16640</v>
        <stp/>
        <stp>P</stp>
        <stp>0</stp>
        <stp>STK</stp>
        <stp>N293490</stp>
        <stp>현재가</stp>
        <stp/>
        <stp/>
        <tr r="H276" s="1"/>
      </tp>
      <tp>
        <v>23300</v>
        <stp/>
        <stp>P</stp>
        <stp>0</stp>
        <stp>STK</stp>
        <stp>N093520</stp>
        <stp>현재가</stp>
        <stp/>
        <stp/>
        <tr r="H630" s="1"/>
      </tp>
      <tp>
        <v>8330</v>
        <stp/>
        <stp>P</stp>
        <stp>0</stp>
        <stp>STK</stp>
        <stp>N093370</stp>
        <stp>현재가</stp>
        <stp/>
        <stp/>
        <tr r="H358" s="1"/>
      </tp>
      <tp>
        <v>136000</v>
        <stp/>
        <stp>P</stp>
        <stp>0</stp>
        <stp>STK</stp>
        <stp>N093320</stp>
        <stp>현재가</stp>
        <stp/>
        <stp/>
        <tr r="H432" s="1"/>
      </tp>
      <tp>
        <v>19020</v>
        <stp/>
        <stp>P</stp>
        <stp>0</stp>
        <stp>STK</stp>
        <stp>N093050</stp>
        <stp>현재가</stp>
        <stp/>
        <stp/>
        <tr r="H471" s="1"/>
      </tp>
      <tp>
        <v>28700</v>
        <stp/>
        <stp>P</stp>
        <stp>0</stp>
        <stp>STK</stp>
        <stp>N108670</stp>
        <stp>현재가</stp>
        <stp/>
        <stp/>
        <tr r="H668" s="1"/>
      </tp>
      <tp>
        <v>46850</v>
        <stp/>
        <stp>P</stp>
        <stp>0</stp>
        <stp>STK</stp>
        <stp>N008770</stp>
        <stp>현재가</stp>
        <stp/>
        <stp/>
        <tr r="H229" s="1"/>
      </tp>
      <tp>
        <v>27150</v>
        <stp/>
        <stp>P</stp>
        <stp>0</stp>
        <stp>STK</stp>
        <stp>N008730</stp>
        <stp>현재가</stp>
        <stp/>
        <stp/>
        <tr r="H400" s="1"/>
      </tp>
      <tp>
        <v>21150</v>
        <stp/>
        <stp>P</stp>
        <stp>0</stp>
        <stp>STK</stp>
        <stp>N008490</stp>
        <stp>현재가</stp>
        <stp/>
        <stp/>
        <tr r="H689" s="1"/>
      </tp>
      <tp>
        <v>349500</v>
        <stp/>
        <stp>P</stp>
        <stp>0</stp>
        <stp>STK</stp>
        <stp>N108490</stp>
        <stp>현재가</stp>
        <stp/>
        <stp/>
        <tr r="H135" s="1"/>
      </tp>
      <tp>
        <v>24500</v>
        <stp/>
        <stp>P</stp>
        <stp>0</stp>
        <stp>STK</stp>
        <stp>N308430</stp>
        <stp>현재가</stp>
        <stp/>
        <stp/>
        <tr r="H625" s="1"/>
      </tp>
      <tp>
        <v>28650</v>
        <stp/>
        <stp>P</stp>
        <stp>0</stp>
        <stp>STK</stp>
        <stp>N108380</stp>
        <stp>현재가</stp>
        <stp/>
        <stp/>
        <tr r="H672" s="1"/>
      </tp>
      <tp>
        <v>54500</v>
        <stp/>
        <stp>P</stp>
        <stp>0</stp>
        <stp>STK</stp>
        <stp>N108320</stp>
        <stp>현재가</stp>
        <stp/>
        <stp/>
        <tr r="H348" s="1"/>
      </tp>
      <tp>
        <v>11090</v>
        <stp/>
        <stp>P</stp>
        <stp>0</stp>
        <stp>STK</stp>
        <stp>N008060</stp>
        <stp>현재가</stp>
        <stp/>
        <stp/>
        <tr r="H588" s="1"/>
      </tp>
      <tp>
        <v>12980</v>
        <stp/>
        <stp>P</stp>
        <stp>0</stp>
        <stp>STK</stp>
        <stp>N108860</stp>
        <stp>현재가</stp>
        <stp/>
        <stp/>
        <tr r="H603" s="1"/>
      </tp>
      <tp>
        <v>40900</v>
        <stp/>
        <stp>P</stp>
        <stp>0</stp>
        <stp>STK</stp>
        <stp>N008930</stp>
        <stp>현재가</stp>
        <stp/>
        <stp/>
        <tr r="H168" s="1"/>
      </tp>
      <tp>
        <v>10240</v>
        <stp/>
        <stp>P</stp>
        <stp>0</stp>
        <stp>STK</stp>
        <stp>N009680</stp>
        <stp>현재가</stp>
        <stp/>
        <stp/>
        <tr r="H635" s="1"/>
      </tp>
      <tp>
        <v>36900</v>
        <stp/>
        <stp>P</stp>
        <stp>0</stp>
        <stp>STK</stp>
        <stp>N309710</stp>
        <stp>현재가</stp>
        <stp/>
        <stp/>
        <tr r="H517" s="1"/>
      </tp>
      <tp>
        <v>57100</v>
        <stp/>
        <stp>P</stp>
        <stp>0</stp>
        <stp>STK</stp>
        <stp>N009450</stp>
        <stp>현재가</stp>
        <stp/>
        <stp/>
        <tr r="H351" s="1"/>
      </tp>
      <tp>
        <v>51500</v>
        <stp/>
        <stp>P</stp>
        <stp>0</stp>
        <stp>STK</stp>
        <stp>N009420</stp>
        <stp>현재가</stp>
        <stp/>
        <stp/>
        <tr r="H190" s="1"/>
      </tp>
      <tp>
        <v>412500</v>
        <stp/>
        <stp>P</stp>
        <stp>0</stp>
        <stp>STK</stp>
        <stp>N009540</stp>
        <stp>현재가</stp>
        <stp/>
        <stp/>
        <tr r="H30" s="1"/>
      </tp>
      <tp>
        <v>20100</v>
        <stp/>
        <stp>P</stp>
        <stp>0</stp>
        <stp>STK</stp>
        <stp>N009520</stp>
        <stp>현재가</stp>
        <stp/>
        <stp/>
        <tr r="H366" s="1"/>
      </tp>
      <tp>
        <v>45900</v>
        <stp/>
        <stp>P</stp>
        <stp>0</stp>
        <stp>STK</stp>
        <stp>N009240</stp>
        <stp>현재가</stp>
        <stp/>
        <stp/>
        <tr r="H304" s="1"/>
      </tp>
      <tp>
        <v>289000</v>
        <stp/>
        <stp>P</stp>
        <stp>0</stp>
        <stp>STK</stp>
        <stp>N009150</stp>
        <stp>현재가</stp>
        <stp/>
        <stp/>
        <tr r="H42" s="1"/>
      </tp>
      <tp>
        <v>27400</v>
        <stp/>
        <stp>P</stp>
        <stp>0</stp>
        <stp>STK</stp>
        <stp>N009830</stp>
        <stp>현재가</stp>
        <stp/>
        <stp/>
        <tr r="H116" s="1"/>
      </tp>
      <tp>
        <v>204000</v>
        <stp/>
        <stp>P</stp>
        <stp>0</stp>
        <stp>STK</stp>
        <stp>N009970</stp>
        <stp>현재가</stp>
        <stp/>
        <stp/>
        <tr r="H176" s="1"/>
      </tp>
      <tp>
        <v>9130</v>
        <stp/>
        <stp>P</stp>
        <stp>0</stp>
        <stp>STK</stp>
        <stp>N009900</stp>
        <stp>현재가</stp>
        <stp/>
        <stp/>
        <tr r="H467" s="1"/>
      </tp>
      <tp>
        <v>141400</v>
        <stp/>
        <stp>P</stp>
        <stp>0</stp>
        <stp>STK</stp>
        <stp>N004690</stp>
        <stp>현재가</stp>
        <stp/>
        <stp/>
        <tr r="H468" s="1"/>
      </tp>
      <tp>
        <v>9310</v>
        <stp/>
        <stp>P</stp>
        <stp>0</stp>
        <stp>STK</stp>
        <stp>N104700</stp>
        <stp>현재가</stp>
        <stp/>
        <stp/>
        <tr r="H568" s="1"/>
      </tp>
      <tp>
        <v>75400</v>
        <stp/>
        <stp>P</stp>
        <stp>0</stp>
        <stp>STK</stp>
        <stp>N004700</stp>
        <stp>현재가</stp>
        <stp/>
        <stp/>
        <tr r="H500" s="1"/>
      </tp>
      <tp>
        <v>63000</v>
        <stp/>
        <stp>P</stp>
        <stp>0</stp>
        <stp>STK</stp>
        <stp>N004490</stp>
        <stp>현재가</stp>
        <stp/>
        <stp/>
        <tr r="H333" s="1"/>
      </tp>
      <tp>
        <v>23600</v>
        <stp/>
        <stp>P</stp>
        <stp>0</stp>
        <stp>STK</stp>
        <stp>N204270</stp>
        <stp>현재가</stp>
        <stp/>
        <stp/>
        <tr r="H297" s="1"/>
      </tp>
      <tp>
        <v>33250</v>
        <stp/>
        <stp>P</stp>
        <stp>0</stp>
        <stp>STK</stp>
        <stp>N304360</stp>
        <stp>현재가</stp>
        <stp/>
        <stp/>
        <tr r="H560" s="1"/>
      </tp>
      <tp>
        <v>404000</v>
        <stp/>
        <stp>P</stp>
        <stp>0</stp>
        <stp>STK</stp>
        <stp>N004370</stp>
        <stp>현재가</stp>
        <stp/>
        <stp/>
        <tr r="H182" s="1"/>
      </tp>
      <tp>
        <v>14220</v>
        <stp/>
        <stp>P</stp>
        <stp>0</stp>
        <stp>STK</stp>
        <stp>N004360</stp>
        <stp>현재가</stp>
        <stp/>
        <stp/>
        <tr r="H662" s="1"/>
      </tp>
      <tp>
        <v>63100</v>
        <stp/>
        <stp>P</stp>
        <stp>0</stp>
        <stp>STK</stp>
        <stp>N204320</stp>
        <stp>현재가</stp>
        <stp/>
        <stp/>
        <tr r="H142" s="1"/>
      </tp>
      <tp>
        <v>46700</v>
        <stp/>
        <stp>P</stp>
        <stp>0</stp>
        <stp>STK</stp>
        <stp>N004000</stp>
        <stp>현재가</stp>
        <stp/>
        <stp/>
        <tr r="H290" s="1"/>
      </tp>
      <tp>
        <v>30300</v>
        <stp/>
        <stp>P</stp>
        <stp>0</stp>
        <stp>STK</stp>
        <stp>N004020</stp>
        <stp>현재가</stp>
        <stp/>
        <stp/>
        <tr r="H125" s="1"/>
      </tp>
      <tp>
        <v>317500</v>
        <stp/>
        <stp>P</stp>
        <stp>0</stp>
        <stp>STK</stp>
        <stp>N004170</stp>
        <stp>현재가</stp>
        <stp/>
        <stp/>
        <tr r="H163" s="1"/>
      </tp>
      <tp>
        <v>30000</v>
        <stp/>
        <stp>P</stp>
        <stp>0</stp>
        <stp>STK</stp>
        <stp>N304100</stp>
        <stp>현재가</stp>
        <stp/>
        <stp/>
        <tr r="H594" s="1"/>
      </tp>
      <tp>
        <v>146700</v>
        <stp/>
        <stp>P</stp>
        <stp>0</stp>
        <stp>STK</stp>
        <stp>N004800</stp>
        <stp>현재가</stp>
        <stp/>
        <stp/>
        <tr r="H177" s="1"/>
      </tp>
      <tp>
        <v>39050</v>
        <stp/>
        <stp>P</stp>
        <stp>0</stp>
        <stp>STK</stp>
        <stp>N104830</stp>
        <stp>현재가</stp>
        <stp/>
        <stp/>
        <tr r="H507" s="1"/>
      </tp>
      <tp>
        <v>31000</v>
        <stp/>
        <stp>P</stp>
        <stp>0</stp>
        <stp>STK</stp>
        <stp>N004990</stp>
        <stp>현재가</stp>
        <stp/>
        <stp/>
        <tr r="H153" s="1"/>
      </tp>
      <tp>
        <v>9720</v>
        <stp/>
        <stp>P</stp>
        <stp>0</stp>
        <stp>STK</stp>
        <stp>N004980</stp>
        <stp>현재가</stp>
        <stp/>
        <stp/>
        <tr r="H692" s="1"/>
      </tp>
      <tp>
        <v>13790</v>
        <stp/>
        <stp>P</stp>
        <stp>0</stp>
        <stp>STK</stp>
        <stp>N005690</stp>
        <stp>현재가</stp>
        <stp/>
        <stp/>
        <tr r="H361" s="1"/>
      </tp>
      <tp>
        <v>50600</v>
        <stp/>
        <stp>P</stp>
        <stp>0</stp>
        <stp>STK</stp>
        <stp>N005610</stp>
        <stp>현재가</stp>
        <stp/>
        <stp/>
        <tr r="H514" s="1"/>
      </tp>
      <tp>
        <v>14120</v>
        <stp/>
        <stp>P</stp>
        <stp>0</stp>
        <stp>STK</stp>
        <stp>N105630</stp>
        <stp>현재가</stp>
        <stp/>
        <stp/>
        <tr r="H444" s="1"/>
      </tp>
      <tp>
        <v>12920</v>
        <stp/>
        <stp>P</stp>
        <stp>0</stp>
        <stp>STK</stp>
        <stp>N005710</stp>
        <stp>현재가</stp>
        <stp/>
        <stp/>
        <tr r="H659" s="1"/>
      </tp>
      <tp>
        <v>348750</v>
        <stp/>
        <stp>P</stp>
        <stp>0</stp>
        <stp>STK</stp>
        <stp>N005490</stp>
        <stp>현재가</stp>
        <stp/>
        <stp/>
        <tr r="H31" s="1"/>
      </tp>
      <tp>
        <v>9250</v>
        <stp/>
        <stp>P</stp>
        <stp>0</stp>
        <stp>STK</stp>
        <stp>N005440</stp>
        <stp>현재가</stp>
        <stp/>
        <stp/>
        <tr r="H268" s="1"/>
      </tp>
      <tp>
        <v>16890</v>
        <stp/>
        <stp>P</stp>
        <stp>0</stp>
        <stp>STK</stp>
        <stp>N005420</stp>
        <stp>현재가</stp>
        <stp/>
        <stp/>
        <tr r="H446" s="1"/>
      </tp>
      <tp>
        <v>137600</v>
        <stp/>
        <stp>P</stp>
        <stp>0</stp>
        <stp>STK</stp>
        <stp>N105560</stp>
        <stp>현재가</stp>
        <stp/>
        <stp/>
        <tr r="H19" s="1"/>
      </tp>
      <tp>
        <v>19090</v>
        <stp/>
        <stp>P</stp>
        <stp>0</stp>
        <stp>STK</stp>
        <stp>N005500</stp>
        <stp>현재가</stp>
        <stp/>
        <stp/>
        <tr r="H669" s="1"/>
      </tp>
      <tp>
        <v>53700</v>
        <stp/>
        <stp>P</stp>
        <stp>0</stp>
        <stp>STK</stp>
        <stp>N005290</stp>
        <stp>현재가</stp>
        <stp/>
        <stp/>
        <tr r="H204" s="1"/>
      </tp>
      <tp>
        <v>15290</v>
        <stp/>
        <stp>P</stp>
        <stp>0</stp>
        <stp>STK</stp>
        <stp>N005250</stp>
        <stp>현재가</stp>
        <stp/>
        <stp/>
        <tr r="H392" s="1"/>
      </tp>
      <tp>
        <v>494000</v>
        <stp/>
        <stp>P</stp>
        <stp>0</stp>
        <stp>STK</stp>
        <stp>N005380</stp>
        <stp>현재가</stp>
        <stp/>
        <stp/>
        <tr r="H11" s="1"/>
      </tp>
      <tp>
        <v>133700</v>
        <stp/>
        <stp>P</stp>
        <stp>0</stp>
        <stp>STK</stp>
        <stp>N005300</stp>
        <stp>현재가</stp>
        <stp/>
        <stp/>
        <tr r="H284" s="1"/>
      </tp>
      <tp>
        <v>21650</v>
        <stp/>
        <stp>P</stp>
        <stp>0</stp>
        <stp>STK</stp>
        <stp>N005090</stp>
        <stp>현재가</stp>
        <stp/>
        <stp/>
        <tr r="H626" s="1"/>
      </tp>
      <tp>
        <v>52700</v>
        <stp/>
        <stp>P</stp>
        <stp>0</stp>
        <stp>STK</stp>
        <stp>N005070</stp>
        <stp>현재가</stp>
        <stp/>
        <stp/>
        <tr r="H255" s="1"/>
      </tp>
      <tp>
        <v>74200</v>
        <stp/>
        <stp>P</stp>
        <stp>0</stp>
        <stp>STK</stp>
        <stp>N005180</stp>
        <stp>현재가</stp>
        <stp/>
        <stp/>
        <tr r="H381" s="1"/>
      </tp>
      <tp>
        <v>54700</v>
        <stp/>
        <stp>P</stp>
        <stp>0</stp>
        <stp>STK</stp>
        <stp>N005850</stp>
        <stp>현재가</stp>
        <stp/>
        <stp/>
        <tr r="H147" s="1"/>
      </tp>
      <tp>
        <v>25300</v>
        <stp/>
        <stp>P</stp>
        <stp>0</stp>
        <stp>STK</stp>
        <stp>N105840</stp>
        <stp>현재가</stp>
        <stp/>
        <stp/>
        <tr r="H454" s="1"/>
      </tp>
      <tp>
        <v>40200</v>
        <stp/>
        <stp>P</stp>
        <stp>0</stp>
        <stp>STK</stp>
        <stp>N005810</stp>
        <stp>현재가</stp>
        <stp/>
        <stp/>
        <tr r="H449" s="1"/>
      </tp>
      <tp>
        <v>144800</v>
        <stp/>
        <stp>P</stp>
        <stp>0</stp>
        <stp>STK</stp>
        <stp>N005830</stp>
        <stp>현재가</stp>
        <stp/>
        <stp/>
        <tr r="H78" s="1"/>
      </tp>
      <tp>
        <v>26450</v>
        <stp/>
        <stp>P</stp>
        <stp>0</stp>
        <stp>STK</stp>
        <stp>N005940</stp>
        <stp>현재가</stp>
        <stp/>
        <stp/>
        <tr r="H88" s="1"/>
      </tp>
      <tp>
        <v>157300</v>
        <stp/>
        <stp>P</stp>
        <stp>0</stp>
        <stp>STK</stp>
        <stp>N005930</stp>
        <stp>현재가</stp>
        <stp/>
        <stp/>
        <tr r="H9" s="1"/>
      </tp>
      <tp>
        <v>154000</v>
        <stp/>
        <stp>P</stp>
        <stp>0</stp>
        <stp>STK</stp>
        <stp>N006650</stp>
        <stp>현재가</stp>
        <stp/>
        <stp/>
        <tr r="H309" s="1"/>
      </tp>
      <tp>
        <v>12680</v>
        <stp/>
        <stp>P</stp>
        <stp>0</stp>
        <stp>STK</stp>
        <stp>N206650</stp>
        <stp>현재가</stp>
        <stp/>
        <stp/>
        <tr r="H534" s="1"/>
      </tp>
      <tp>
        <v>12810</v>
        <stp/>
        <stp>P</stp>
        <stp>0</stp>
        <stp>STK</stp>
        <stp>N206640</stp>
        <stp>현재가</stp>
        <stp/>
        <stp/>
        <tr r="H632" s="1"/>
      </tp>
      <tp>
        <v>18210</v>
        <stp/>
        <stp>P</stp>
        <stp>0</stp>
        <stp>STK</stp>
        <stp>N006730</stp>
        <stp>현재가</stp>
        <stp/>
        <stp/>
        <tr r="H326" s="1"/>
      </tp>
      <tp>
        <v>384000</v>
        <stp/>
        <stp>P</stp>
        <stp>0</stp>
        <stp>STK</stp>
        <stp>N006400</stp>
        <stp>현재가</stp>
        <stp/>
        <stp/>
        <tr r="H34" s="1"/>
      </tp>
      <tp>
        <v>162700</v>
        <stp/>
        <stp>P</stp>
        <stp>0</stp>
        <stp>STK</stp>
        <stp>N006280</stp>
        <stp>현재가</stp>
        <stp/>
        <stp/>
        <tr r="H232" s="1"/>
      </tp>
      <tp>
        <v>213000</v>
        <stp/>
        <stp>P</stp>
        <stp>0</stp>
        <stp>STK</stp>
        <stp>N006260</stp>
        <stp>현재가</stp>
        <stp/>
        <stp/>
        <tr r="H92" s="1"/>
      </tp>
      <tp>
        <v>117600</v>
        <stp/>
        <stp>P</stp>
        <stp>0</stp>
        <stp>STK</stp>
        <stp>N306200</stp>
        <stp>현재가</stp>
        <stp/>
        <stp/>
        <tr r="H592" s="1"/>
      </tp>
      <tp>
        <v>14210</v>
        <stp/>
        <stp>P</stp>
        <stp>0</stp>
        <stp>STK</stp>
        <stp>N006220</stp>
        <stp>현재가</stp>
        <stp/>
        <stp/>
        <tr r="H515" s="1"/>
      </tp>
      <tp>
        <v>18600</v>
        <stp/>
        <stp>P</stp>
        <stp>0</stp>
        <stp>STK</stp>
        <stp>N006360</stp>
        <stp>현재가</stp>
        <stp/>
        <stp/>
        <tr r="H243" s="1"/>
      </tp>
      <tp>
        <v>41050</v>
        <stp/>
        <stp>P</stp>
        <stp>0</stp>
        <stp>STK</stp>
        <stp>N006040</stp>
        <stp>현재가</stp>
        <stp/>
        <stp/>
        <tr r="H230" s="1"/>
      </tp>
      <tp>
        <v>31800</v>
        <stp/>
        <stp>P</stp>
        <stp>0</stp>
        <stp>STK</stp>
        <stp>N006110</stp>
        <stp>현재가</stp>
        <stp/>
        <stp/>
        <tr r="H571" s="1"/>
      </tp>
      <tp>
        <v>56000</v>
        <stp/>
        <stp>P</stp>
        <stp>0</stp>
        <stp>STK</stp>
        <stp>N006120</stp>
        <stp>현재가</stp>
        <stp/>
        <stp/>
        <tr r="H294" s="1"/>
      </tp>
      <tp>
        <v>42150</v>
        <stp/>
        <stp>P</stp>
        <stp>0</stp>
        <stp>STK</stp>
        <stp>N006800</stp>
        <stp>현재가</stp>
        <stp/>
        <stp/>
        <tr r="H51" s="1"/>
      </tp>
      <tp>
        <v>36000</v>
        <stp/>
        <stp>P</stp>
        <stp>0</stp>
        <stp>STK</stp>
        <stp>N007690</stp>
        <stp>현재가</stp>
        <stp/>
        <stp/>
        <tr r="H589" s="1"/>
      </tp>
      <tp>
        <v>50200</v>
        <stp/>
        <stp>P</stp>
        <stp>0</stp>
        <stp>STK</stp>
        <stp>N107640</stp>
        <stp>현재가</stp>
        <stp/>
        <stp/>
        <tr r="H527" s="1"/>
      </tp>
      <tp>
        <v>115300</v>
        <stp/>
        <stp>P</stp>
        <stp>0</stp>
        <stp>STK</stp>
        <stp>N007660</stp>
        <stp>현재가</stp>
        <stp/>
        <stp/>
        <tr r="H89" s="1"/>
      </tp>
      <tp>
        <v>20400</v>
        <stp/>
        <stp>P</stp>
        <stp>0</stp>
        <stp>STK</stp>
        <stp>N007700</stp>
        <stp>현재가</stp>
        <stp/>
        <stp/>
        <tr r="H365" s="1"/>
      </tp>
      <tp>
        <v>24850</v>
        <stp/>
        <stp>P</stp>
        <stp>0</stp>
        <stp>STK</stp>
        <stp>N007390</stp>
        <stp>현재가</stp>
        <stp/>
        <stp/>
        <tr r="H275" s="1"/>
      </tp>
      <tp>
        <v>24950</v>
        <stp/>
        <stp>P</stp>
        <stp>0</stp>
        <stp>STK</stp>
        <stp>N007340</stp>
        <stp>현재가</stp>
        <stp/>
        <stp/>
        <tr r="H254" s="1"/>
      </tp>
      <tp>
        <v>384500</v>
        <stp/>
        <stp>P</stp>
        <stp>0</stp>
        <stp>STK</stp>
        <stp>N007310</stp>
        <stp>현재가</stp>
        <stp/>
        <stp/>
        <tr r="H247" s="1"/>
      </tp>
      <tp>
        <v>22300</v>
        <stp/>
        <stp>P</stp>
        <stp>0</stp>
        <stp>STK</stp>
        <stp>N007070</stp>
        <stp>현재가</stp>
        <stp/>
        <stp/>
        <tr r="H235" s="1"/>
      </tp>
      <tp>
        <v>58500</v>
        <stp/>
        <stp>P</stp>
        <stp>0</stp>
        <stp>STK</stp>
        <stp>N007160</stp>
        <stp>현재가</stp>
        <stp/>
        <stp/>
        <tr r="H652" s="1"/>
      </tp>
      <tp>
        <v>70700</v>
        <stp/>
        <stp>P</stp>
        <stp>0</stp>
        <stp>STK</stp>
        <stp>N007810</stp>
        <stp>현재가</stp>
        <stp/>
        <stp/>
        <tr r="H253" s="1"/>
      </tp>
      <tp>
        <v>1731000</v>
        <stp/>
        <stp>P</stp>
        <stp>0</stp>
        <stp>STK</stp>
        <stp>N207940</stp>
        <stp>현재가</stp>
        <stp/>
        <stp/>
        <tr r="H13" s="1"/>
      </tp>
      <tp>
        <v>455500</v>
        <stp/>
        <stp>P</stp>
        <stp>0</stp>
        <stp>STK</stp>
        <stp>N307950</stp>
        <stp>현재가</stp>
        <stp/>
        <stp/>
        <tr r="H61" s="1"/>
      </tp>
      <tp>
        <v>42950</v>
        <stp/>
        <stp>P</stp>
        <stp>0</stp>
        <stp>STK</stp>
        <stp>N200670</stp>
        <stp>현재가</stp>
        <stp/>
        <stp/>
        <tr r="H510" s="1"/>
      </tp>
      <tp>
        <v>107000</v>
        <stp/>
        <stp>P</stp>
        <stp>0</stp>
        <stp>STK</stp>
        <stp>N000640</stp>
        <stp>현재가</stp>
        <stp/>
        <stp/>
        <tr r="H397" s="1"/>
      </tp>
      <tp>
        <v>59100</v>
        <stp/>
        <stp>P</stp>
        <stp>0</stp>
        <stp>STK</stp>
        <stp>N000670</stp>
        <stp>현재가</stp>
        <stp/>
        <stp/>
        <tr r="H324" s="1"/>
      </tp>
      <tp>
        <v>876000</v>
        <stp/>
        <stp>P</stp>
        <stp>0</stp>
        <stp>STK</stp>
        <stp>N000660</stp>
        <stp>현재가</stp>
        <stp/>
        <stp/>
        <tr r="H10" s="1"/>
      </tp>
      <tp>
        <v>44400</v>
        <stp/>
        <stp>P</stp>
        <stp>0</stp>
        <stp>STK</stp>
        <stp>N0007C0</stp>
        <stp>현재가</stp>
        <stp/>
        <stp/>
        <tr r="H688" s="1"/>
      </tp>
      <tp>
        <v>17790</v>
        <stp/>
        <stp>P</stp>
        <stp>0</stp>
        <stp>STK</stp>
        <stp>N100790</stp>
        <stp>현재가</stp>
        <stp/>
        <stp/>
        <tr r="H393" s="1"/>
      </tp>
      <tp>
        <v>16960</v>
        <stp/>
        <stp>P</stp>
        <stp>0</stp>
        <stp>STK</stp>
        <stp>N300720</stp>
        <stp>현재가</stp>
        <stp/>
        <stp/>
        <tr r="H282" s="1"/>
      </tp>
      <tp>
        <v>37600</v>
        <stp/>
        <stp>P</stp>
        <stp>0</stp>
        <stp>STK</stp>
        <stp>N200710</stp>
        <stp>현재가</stp>
        <stp/>
        <stp/>
        <tr r="H494" s="1"/>
      </tp>
      <tp>
        <v>101600</v>
        <stp/>
        <stp>P</stp>
        <stp>0</stp>
        <stp>STK</stp>
        <stp>N000720</stp>
        <stp>현재가</stp>
        <stp/>
        <stp/>
        <tr r="H68" s="1"/>
      </tp>
      <tp>
        <v>9780</v>
        <stp/>
        <stp>P</stp>
        <stp>0</stp>
        <stp>STK</stp>
        <stp>N000490</stp>
        <stp>현재가</stp>
        <stp/>
        <stp/>
        <tr r="H631" s="1"/>
      </tp>
      <tp>
        <v>84400</v>
        <stp/>
        <stp>P</stp>
        <stp>0</stp>
        <stp>STK</stp>
        <stp>N000500</stp>
        <stp>현재가</stp>
        <stp/>
        <stp/>
        <tr r="H252" s="1"/>
      </tp>
      <tp>
        <v>478000</v>
        <stp/>
        <stp>P</stp>
        <stp>0</stp>
        <stp>STK</stp>
        <stp>N000250</stp>
        <stp>현재가</stp>
        <stp/>
        <stp/>
        <tr r="H100" s="1"/>
      </tp>
      <tp>
        <v>26600</v>
        <stp/>
        <stp>P</stp>
        <stp>0</stp>
        <stp>STK</stp>
        <stp>N000240</stp>
        <stp>현재가</stp>
        <stp/>
        <stp/>
        <tr r="H174" s="1"/>
      </tp>
      <tp>
        <v>155300</v>
        <stp/>
        <stp>P</stp>
        <stp>0</stp>
        <stp>STK</stp>
        <stp>N000270</stp>
        <stp>현재가</stp>
        <stp/>
        <stp/>
        <tr r="H14" s="1"/>
      </tp>
      <tp>
        <v>42750</v>
        <stp/>
        <stp>P</stp>
        <stp>0</stp>
        <stp>STK</stp>
        <stp>N000210</stp>
        <stp>현재가</stp>
        <stp/>
        <stp/>
        <tr r="H368" s="1"/>
      </tp>
      <tp>
        <v>21050</v>
        <stp/>
        <stp>P</stp>
        <stp>0</stp>
        <stp>STK</stp>
        <stp>N000320</stp>
        <stp>현재가</stp>
        <stp/>
        <stp/>
        <tr r="H657" s="1"/>
      </tp>
      <tp>
        <v>17540</v>
        <stp/>
        <stp>P</stp>
        <stp>0</stp>
        <stp>STK</stp>
        <stp>N000080</stp>
        <stp>현재가</stp>
        <stp/>
        <stp/>
        <tr r="H277" s="1"/>
      </tp>
      <tp>
        <v>17790</v>
        <stp/>
        <stp>P</stp>
        <stp>0</stp>
        <stp>STK</stp>
        <stp>N100090</stp>
        <stp>현재가</stp>
        <stp/>
        <stp/>
        <tr r="H285" s="1"/>
      </tp>
      <tp>
        <v>15800</v>
        <stp/>
        <stp>P</stp>
        <stp>0</stp>
        <stp>STK</stp>
        <stp>N300080</stp>
        <stp>현재가</stp>
        <stp/>
        <stp/>
        <tr r="H665" s="1"/>
      </tp>
      <tp>
        <v>60300</v>
        <stp/>
        <stp>P</stp>
        <stp>0</stp>
        <stp>STK</stp>
        <stp>N000070</stp>
        <stp>현재가</stp>
        <stp/>
        <stp/>
        <tr r="H505" s="1"/>
      </tp>
      <tp>
        <v>848000</v>
        <stp/>
        <stp>P</stp>
        <stp>0</stp>
        <stp>STK</stp>
        <stp>N000150</stp>
        <stp>현재가</stp>
        <stp/>
        <stp/>
        <tr r="H64" s="1"/>
      </tp>
      <tp>
        <v>14380</v>
        <stp/>
        <stp>P</stp>
        <stp>0</stp>
        <stp>STK</stp>
        <stp>N200130</stp>
        <stp>현재가</stp>
        <stp/>
        <stp/>
        <tr r="H565" s="1"/>
      </tp>
      <tp>
        <v>106400</v>
        <stp/>
        <stp>P</stp>
        <stp>0</stp>
        <stp>STK</stp>
        <stp>N000100</stp>
        <stp>현재가</stp>
        <stp/>
        <stp/>
        <tr r="H87" s="1"/>
      </tp>
      <tp>
        <v>102400</v>
        <stp/>
        <stp>P</stp>
        <stp>0</stp>
        <stp>STK</stp>
        <stp>N000120</stp>
        <stp>현재가</stp>
        <stp/>
        <stp/>
        <tr r="H197" s="1"/>
      </tp>
      <tp>
        <v>32650</v>
        <stp/>
        <stp>P</stp>
        <stp>0</stp>
        <stp>STK</stp>
        <stp>N0008Z0</stp>
        <stp>현재가</stp>
        <stp/>
        <stp/>
        <tr r="H613" s="1"/>
      </tp>
      <tp>
        <v>114600</v>
        <stp/>
        <stp>P</stp>
        <stp>0</stp>
        <stp>STK</stp>
        <stp>N000880</stp>
        <stp>현재가</stp>
        <stp/>
        <stp/>
        <tr r="H79" s="1"/>
      </tp>
      <tp>
        <v>15210</v>
        <stp/>
        <stp>P</stp>
        <stp>0</stp>
        <stp>STK</stp>
        <stp>N200880</stp>
        <stp>현재가</stp>
        <stp/>
        <stp/>
        <tr r="H506" s="1"/>
      </tp>
      <tp>
        <v>42000</v>
        <stp/>
        <stp>P</stp>
        <stp>0</stp>
        <stp>STK</stp>
        <stp>N100840</stp>
        <stp>현재가</stp>
        <stp/>
        <stp/>
        <tr r="H350" s="1"/>
      </tp>
      <tp>
        <v>492000</v>
        <stp/>
        <stp>P</stp>
        <stp>0</stp>
        <stp>STK</stp>
        <stp>N000810</stp>
        <stp>현재가</stp>
        <stp/>
        <stp/>
        <tr r="H38" s="1"/>
      </tp>
      <tp>
        <v>52600</v>
        <stp/>
        <stp>P</stp>
        <stp>0</stp>
        <stp>STK</stp>
        <stp>N0009K0</stp>
        <stp>현재가</stp>
        <stp/>
        <stp/>
        <tr r="H146" s="1"/>
      </tp>
      <tp>
        <v>110800</v>
        <stp/>
        <stp>P</stp>
        <stp>0</stp>
        <stp>STK</stp>
        <stp>N000990</stp>
        <stp>현재가</stp>
        <stp/>
        <stp/>
        <tr r="H128" s="1"/>
      </tp>
      <tp>
        <v>21600</v>
        <stp/>
        <stp>P</stp>
        <stp>0</stp>
        <stp>STK</stp>
        <stp>N001680</stp>
        <stp>현재가</stp>
        <stp/>
        <stp/>
        <tr r="H374" s="1"/>
      </tp>
      <tp>
        <v>49650</v>
        <stp/>
        <stp>P</stp>
        <stp>0</stp>
        <stp>STK</stp>
        <stp>N001630</stp>
        <stp>현재가</stp>
        <stp/>
        <stp/>
        <tr r="H684" s="1"/>
      </tp>
      <tp>
        <v>19860</v>
        <stp/>
        <stp>P</stp>
        <stp>0</stp>
        <stp>STK</stp>
        <stp>N001750</stp>
        <stp>현재가</stp>
        <stp/>
        <stp/>
        <tr r="H685" s="1"/>
      </tp>
      <tp>
        <v>174300</v>
        <stp/>
        <stp>P</stp>
        <stp>0</stp>
        <stp>STK</stp>
        <stp>N001720</stp>
        <stp>현재가</stp>
        <stp/>
        <stp/>
        <tr r="H184" s="1"/>
      </tp>
      <tp>
        <v>7170</v>
        <stp/>
        <stp>P</stp>
        <stp>0</stp>
        <stp>STK</stp>
        <stp>N101730</stp>
        <stp>현재가</stp>
        <stp/>
        <stp/>
        <tr r="H475" s="1"/>
      </tp>
      <tp>
        <v>88200</v>
        <stp/>
        <stp>P</stp>
        <stp>0</stp>
        <stp>STK</stp>
        <stp>N101490</stp>
        <stp>현재가</stp>
        <stp/>
        <stp/>
        <tr r="H257" s="1"/>
      </tp>
      <tp>
        <v>27950</v>
        <stp/>
        <stp>P</stp>
        <stp>0</stp>
        <stp>STK</stp>
        <stp>N001450</stp>
        <stp>현재가</stp>
        <stp/>
        <stp/>
        <tr r="H183" s="1"/>
      </tp>
      <tp>
        <v>28200</v>
        <stp/>
        <stp>P</stp>
        <stp>0</stp>
        <stp>STK</stp>
        <stp>N001440</stp>
        <stp>현재가</stp>
        <stp/>
        <stp/>
        <tr r="H110" s="1"/>
      </tp>
      <tp>
        <v>42050</v>
        <stp/>
        <stp>P</stp>
        <stp>0</stp>
        <stp>STK</stp>
        <stp>N001460</stp>
        <stp>현재가</stp>
        <stp/>
        <stp/>
        <tr r="H660" s="1"/>
      </tp>
      <tp>
        <v>72700</v>
        <stp/>
        <stp>P</stp>
        <stp>0</stp>
        <stp>STK</stp>
        <stp>N001430</stp>
        <stp>현재가</stp>
        <stp/>
        <stp/>
        <tr r="H166" s="1"/>
      </tp>
      <tp>
        <v>9270</v>
        <stp/>
        <stp>P</stp>
        <stp>0</stp>
        <stp>STK</stp>
        <stp>N001500</stp>
        <stp>현재가</stp>
        <stp/>
        <stp/>
        <tr r="H462" s="1"/>
      </tp>
      <tp>
        <v>19800</v>
        <stp/>
        <stp>P</stp>
        <stp>0</stp>
        <stp>STK</stp>
        <stp>N001530</stp>
        <stp>현재가</stp>
        <stp/>
        <stp/>
        <tr r="H549" s="1"/>
      </tp>
      <tp>
        <v>73100</v>
        <stp/>
        <stp>P</stp>
        <stp>0</stp>
        <stp>STK</stp>
        <stp>N001270</stp>
        <stp>현재가</stp>
        <stp/>
        <stp/>
        <tr r="H415" s="1"/>
      </tp>
      <tp>
        <v>22550</v>
        <stp/>
        <stp>P</stp>
        <stp>0</stp>
        <stp>STK</stp>
        <stp>N101360</stp>
        <stp>현재가</stp>
        <stp/>
        <stp/>
        <tr r="H600" s="1"/>
      </tp>
      <tp>
        <v>222500</v>
        <stp/>
        <stp>P</stp>
        <stp>0</stp>
        <stp>STK</stp>
        <stp>N001040</stp>
        <stp>현재가</stp>
        <stp/>
        <stp/>
        <tr r="H105" s="1"/>
      </tp>
      <tp>
        <v>30950</v>
        <stp/>
        <stp>P</stp>
        <stp>0</stp>
        <stp>STK</stp>
        <stp>N001060</stp>
        <stp>현재가</stp>
        <stp/>
        <stp/>
        <tr r="H410" s="1"/>
      </tp>
      <tp>
        <v>25400</v>
        <stp/>
        <stp>P</stp>
        <stp>0</stp>
        <stp>STK</stp>
        <stp>N101160</stp>
        <stp>현재가</stp>
        <stp/>
        <stp/>
        <tr r="H561" s="1"/>
      </tp>
      <tp>
        <v>144000</v>
        <stp/>
        <stp>P</stp>
        <stp>0</stp>
        <stp>STK</stp>
        <stp>N001130</stp>
        <stp>현재가</stp>
        <stp/>
        <stp/>
        <tr r="H683" s="1"/>
      </tp>
      <tp>
        <v>37650</v>
        <stp/>
        <stp>P</stp>
        <stp>0</stp>
        <stp>STK</stp>
        <stp>N001120</stp>
        <stp>현재가</stp>
        <stp/>
        <stp/>
        <tr r="H260" s="1"/>
      </tp>
      <tp>
        <v>20800</v>
        <stp/>
        <stp>P</stp>
        <stp>0</stp>
        <stp>STK</stp>
        <stp>N001800</stp>
        <stp>현재가</stp>
        <stp/>
        <stp/>
        <tr r="H270" s="1"/>
      </tp>
      <tp>
        <v>31700</v>
        <stp/>
        <stp>P</stp>
        <stp>0</stp>
        <stp>STK</stp>
        <stp>N001820</stp>
        <stp>현재가</stp>
        <stp/>
        <stp/>
        <tr r="H598" s="1"/>
      </tp>
      <tp>
        <v>23650</v>
        <stp/>
        <stp>P</stp>
        <stp>0</stp>
        <stp>STK</stp>
        <stp>N001940</stp>
        <stp>현재가</stp>
        <stp/>
        <stp/>
        <tr r="H554" s="1"/>
      </tp>
      <tp>
        <v>42500</v>
        <stp/>
        <stp>P</stp>
        <stp>0</stp>
        <stp>STK</stp>
        <stp>N101930</stp>
        <stp>현재가</stp>
        <stp/>
        <stp/>
        <tr r="H525" s="1"/>
      </tp>
      <tp>
        <v>28350</v>
        <stp/>
        <stp>P</stp>
        <stp>0</stp>
        <stp>STK</stp>
        <stp>N002790</stp>
        <stp>현재가</stp>
        <stp/>
        <stp/>
        <tr r="H210" s="1"/>
      </tp>
      <tp>
        <v>16960</v>
        <stp/>
        <stp>P</stp>
        <stp>0</stp>
        <stp>STK</stp>
        <stp>N002710</stp>
        <stp>현재가</stp>
        <stp/>
        <stp/>
        <tr r="H570" s="1"/>
      </tp>
      <tp>
        <v>56800</v>
        <stp/>
        <stp>P</stp>
        <stp>0</stp>
        <stp>STK</stp>
        <stp>N102710</stp>
        <stp>현재가</stp>
        <stp/>
        <stp/>
        <tr r="H401" s="1"/>
      </tp>
      <tp>
        <v>49950</v>
        <stp/>
        <stp>P</stp>
        <stp>0</stp>
        <stp>STK</stp>
        <stp>N302440</stp>
        <stp>현재가</stp>
        <stp/>
        <stp/>
        <tr r="H134" s="1"/>
      </tp>
      <tp>
        <v>21350</v>
        <stp/>
        <stp>P</stp>
        <stp>0</stp>
        <stp>STK</stp>
        <stp>N002240</stp>
        <stp>현재가</stp>
        <stp/>
        <stp/>
        <tr r="H429" s="1"/>
      </tp>
      <tp>
        <v>489000</v>
        <stp/>
        <stp>P</stp>
        <stp>0</stp>
        <stp>STK</stp>
        <stp>N002380</stp>
        <stp>현재가</stp>
        <stp/>
        <stp/>
        <tr r="H130" s="1"/>
      </tp>
      <tp>
        <v>541000</v>
        <stp/>
        <stp>P</stp>
        <stp>0</stp>
        <stp>STK</stp>
        <stp>N402340</stp>
        <stp>현재가</stp>
        <stp/>
        <stp/>
        <tr r="H18" s="1"/>
      </tp>
      <tp>
        <v>19820</v>
        <stp/>
        <stp>P</stp>
        <stp>0</stp>
        <stp>STK</stp>
        <stp>N002320</stp>
        <stp>현재가</stp>
        <stp/>
        <stp/>
        <tr r="H622" s="1"/>
      </tp>
      <tp>
        <v>22400</v>
        <stp/>
        <stp>P</stp>
        <stp>0</stp>
        <stp>STK</stp>
        <stp>N402030</stp>
        <stp>현재가</stp>
        <stp/>
        <stp/>
        <tr r="H644" s="1"/>
      </tp>
      <tp>
        <v>283500</v>
        <stp/>
        <stp>P</stp>
        <stp>0</stp>
        <stp>STK</stp>
        <stp>N002030</stp>
        <stp>현재가</stp>
        <stp/>
        <stp/>
        <tr r="H433" s="1"/>
      </tp>
      <tp>
        <v>59800</v>
        <stp/>
        <stp>P</stp>
        <stp>0</stp>
        <stp>STK</stp>
        <stp>N002020</stp>
        <stp>현재가</stp>
        <stp/>
        <stp/>
        <tr r="H443" s="1"/>
      </tp>
      <tp>
        <v>139800</v>
        <stp/>
        <stp>P</stp>
        <stp>0</stp>
        <stp>STK</stp>
        <stp>N002840</stp>
        <stp>현재가</stp>
        <stp/>
        <stp/>
        <tr r="H395" s="1"/>
      </tp>
      <tp>
        <v>17120</v>
        <stp/>
        <stp>P</stp>
        <stp>0</stp>
        <stp>STK</stp>
        <stp>N002810</stp>
        <stp>현재가</stp>
        <stp/>
        <stp/>
        <tr r="H619" s="1"/>
      </tp>
      <tp>
        <v>65600</v>
        <stp/>
        <stp>P</stp>
        <stp>0</stp>
        <stp>STK</stp>
        <stp>N102940</stp>
        <stp>현재가</stp>
        <stp/>
        <stp/>
        <tr r="H427" s="1"/>
      </tp>
      <tp>
        <v>430000</v>
        <stp/>
        <stp>P</stp>
        <stp>0</stp>
        <stp>STK</stp>
        <stp>N002960</stp>
        <stp>현재가</stp>
        <stp/>
        <stp/>
        <tr r="H445" s="1"/>
      </tp>
      <tp>
        <v>11890</v>
        <stp/>
        <stp>P</stp>
        <stp>0</stp>
        <stp>STK</stp>
        <stp>N003690</stp>
        <stp>현재가</stp>
        <stp/>
        <stp/>
        <tr r="H199" s="1"/>
      </tp>
      <tp>
        <v>230500</v>
        <stp/>
        <stp>P</stp>
        <stp>0</stp>
        <stp>STK</stp>
        <stp>N003670</stp>
        <stp>현재가</stp>
        <stp/>
        <stp/>
        <tr r="H49" s="1"/>
      </tp>
      <tp>
        <v>23000</v>
        <stp/>
        <stp>P</stp>
        <stp>0</stp>
        <stp>STK</stp>
        <stp>N003490</stp>
        <stp>현재가</stp>
        <stp/>
        <stp/>
        <tr r="H82" s="1"/>
      </tp>
      <tp>
        <v>64800</v>
        <stp/>
        <stp>P</stp>
        <stp>0</stp>
        <stp>STK</stp>
        <stp>N103590</stp>
        <stp>현재가</stp>
        <stp/>
        <stp/>
        <tr r="H157" s="1"/>
      </tp>
      <tp>
        <v>90000</v>
        <stp/>
        <stp>P</stp>
        <stp>0</stp>
        <stp>STK</stp>
        <stp>N003550</stp>
        <stp>현재가</stp>
        <stp/>
        <stp/>
        <tr r="H65" s="1"/>
      </tp>
      <tp>
        <v>30300</v>
        <stp/>
        <stp>P</stp>
        <stp>0</stp>
        <stp>STK</stp>
        <stp>N003540</stp>
        <stp>현재가</stp>
        <stp/>
        <stp/>
        <tr r="H262" s="1"/>
      </tp>
      <tp>
        <v>51300</v>
        <stp/>
        <stp>P</stp>
        <stp>0</stp>
        <stp>STK</stp>
        <stp>N003570</stp>
        <stp>현재가</stp>
        <stp/>
        <stp/>
        <tr r="H237" s="1"/>
      </tp>
      <tp>
        <v>11920</v>
        <stp/>
        <stp>P</stp>
        <stp>0</stp>
        <stp>STK</stp>
        <stp>N403550</stp>
        <stp>현재가</stp>
        <stp/>
        <stp/>
        <tr r="H540" s="1"/>
      </tp>
      <tp>
        <v>930000</v>
        <stp/>
        <stp>P</stp>
        <stp>0</stp>
        <stp>STK</stp>
        <stp>N003240</stp>
        <stp>현재가</stp>
        <stp/>
        <stp/>
        <tr r="H344" s="1"/>
      </tp>
      <tp>
        <v>13400</v>
        <stp/>
        <stp>P</stp>
        <stp>0</stp>
        <stp>STK</stp>
        <stp>N003200</stp>
        <stp>현재가</stp>
        <stp/>
        <stp/>
        <tr r="H621" s="1"/>
      </tp>
      <tp>
        <v>1158000</v>
        <stp/>
        <stp>P</stp>
        <stp>0</stp>
        <stp>STK</stp>
        <stp>N003230</stp>
        <stp>현재가</stp>
        <stp/>
        <stp/>
        <tr r="H80" s="1"/>
      </tp>
      <tp>
        <v>11340</v>
        <stp/>
        <stp>P</stp>
        <stp>0</stp>
        <stp>STK</stp>
        <stp>N003220</stp>
        <stp>현재가</stp>
        <stp/>
        <stp/>
        <tr r="H670" s="1"/>
      </tp>
      <tp>
        <v>14640</v>
        <stp/>
        <stp>P</stp>
        <stp>0</stp>
        <stp>STK</stp>
        <stp>N003380</stp>
        <stp>현재가</stp>
        <stp/>
        <stp/>
        <tr r="H279" s="1"/>
      </tp>
      <tp>
        <v>15660</v>
        <stp/>
        <stp>P</stp>
        <stp>0</stp>
        <stp>STK</stp>
        <stp>N003300</stp>
        <stp>현재가</stp>
        <stp/>
        <stp/>
        <tr r="H492" s="1"/>
      </tp>
      <tp>
        <v>23650</v>
        <stp/>
        <stp>P</stp>
        <stp>0</stp>
        <stp>STK</stp>
        <stp>N003090</stp>
        <stp>현재가</stp>
        <stp/>
        <stp/>
        <tr r="H272" s="1"/>
      </tp>
      <tp>
        <v>133300</v>
        <stp/>
        <stp>P</stp>
        <stp>0</stp>
        <stp>STK</stp>
        <stp>N003030</stp>
        <stp>현재가</stp>
        <stp/>
        <stp/>
        <tr r="H469" s="1"/>
      </tp>
      <tp>
        <v>126900</v>
        <stp/>
        <stp>P</stp>
        <stp>0</stp>
        <stp>STK</stp>
        <stp>N103140</stp>
        <stp>현재가</stp>
        <stp/>
        <stp/>
        <tr r="H144" s="1"/>
      </tp>
      <tp>
        <v>33250</v>
        <stp/>
        <stp>P</stp>
        <stp>0</stp>
        <stp>STK</stp>
        <stp>N003160</stp>
        <stp>현재가</stp>
        <stp/>
        <stp/>
        <tr r="H345" s="1"/>
      </tp>
      <tp>
        <v>23950</v>
        <stp/>
        <stp>P</stp>
        <stp>0</stp>
        <stp>STK</stp>
        <stp>N003120</stp>
        <stp>현재가</stp>
        <stp/>
        <stp/>
        <tr r="H633" s="1"/>
      </tp>
      <tp>
        <v>9130</v>
        <stp/>
        <stp>P</stp>
        <stp>0</stp>
        <stp>STK</stp>
        <stp>N003850</stp>
        <stp>현재가</stp>
        <stp/>
        <stp/>
        <tr r="H369" s="1"/>
      </tp>
      <tp>
        <v>22950</v>
        <stp/>
        <stp>P</stp>
        <stp>0</stp>
        <stp>STK</stp>
        <stp>N403850</stp>
        <stp>현재가</stp>
        <stp/>
        <stp/>
        <tr r="H581" s="1"/>
      </tp>
      <tp>
        <v>45200</v>
        <stp/>
        <stp>P</stp>
        <stp>0</stp>
        <stp>STK</stp>
        <stp>N403870</stp>
        <stp>현재가</stp>
        <stp/>
        <stp/>
        <tr r="H160" s="1"/>
      </tp>
      <tp>
        <v>35800</v>
        <stp/>
        <stp>P</stp>
        <stp>0</stp>
        <stp>STK</stp>
        <stp>N003960</stp>
        <stp>현재가</stp>
        <stp/>
        <stp/>
        <tr r="H601" s="1"/>
      </tp>
      <tp>
        <v>47100</v>
        <stp/>
        <stp>P</stp>
        <stp>0</stp>
        <stp>STK</stp>
        <stp>N003920</stp>
        <stp>현재가</stp>
        <stp/>
        <stp/>
        <tr r="H620" s="1"/>
      </tp>
      <tp>
        <v>228000</v>
        <stp/>
        <stp>P</stp>
        <stp>0</stp>
        <stp>STK</stp>
        <stp>N018670</stp>
        <stp>현재가</stp>
        <stp/>
        <stp/>
        <tr r="H209" s="1"/>
      </tp>
      <tp>
        <v>48500</v>
        <stp/>
        <stp>P</stp>
        <stp>0</stp>
        <stp>STK</stp>
        <stp>N218410</stp>
        <stp>현재가</stp>
        <stp/>
        <stp/>
        <tr r="H327" s="1"/>
      </tp>
      <tp>
        <v>20950</v>
        <stp/>
        <stp>P</stp>
        <stp>0</stp>
        <stp>STK</stp>
        <stp>N018290</stp>
        <stp>현재가</stp>
        <stp/>
        <stp/>
        <tr r="H442" s="1"/>
      </tp>
      <tp>
        <v>12440</v>
        <stp/>
        <stp>P</stp>
        <stp>0</stp>
        <stp>STK</stp>
        <stp>N018250</stp>
        <stp>현재가</stp>
        <stp/>
        <stp/>
        <tr r="H593" s="1"/>
      </tp>
      <tp>
        <v>170000</v>
        <stp/>
        <stp>P</stp>
        <stp>0</stp>
        <stp>STK</stp>
        <stp>N018260</stp>
        <stp>현재가</stp>
        <stp/>
        <stp/>
        <tr r="H63" s="1"/>
      </tp>
      <tp>
        <v>19500</v>
        <stp/>
        <stp>P</stp>
        <stp>0</stp>
        <stp>STK</stp>
        <stp>N018310</stp>
        <stp>현재가</stp>
        <stp/>
        <stp/>
        <tr r="H647" s="1"/>
      </tp>
      <tp>
        <v>3265</v>
        <stp/>
        <stp>P</stp>
        <stp>0</stp>
        <stp>STK</stp>
        <stp>N018880</stp>
        <stp>현재가</stp>
        <stp/>
        <stp/>
        <tr r="H145" s="1"/>
      </tp>
      <tp>
        <v>61800</v>
        <stp/>
        <stp>P</stp>
        <stp>0</stp>
        <stp>STK</stp>
        <stp>N319660</stp>
        <stp>현재가</stp>
        <stp/>
        <stp/>
        <tr r="H287" s="1"/>
      </tp>
      <tp>
        <v>36600</v>
        <stp/>
        <stp>P</stp>
        <stp>0</stp>
        <stp>STK</stp>
        <stp>N419530</stp>
        <stp>현재가</stp>
        <stp/>
        <stp/>
        <tr r="H580" s="1"/>
      </tp>
      <tp>
        <v>12910</v>
        <stp/>
        <stp>P</stp>
        <stp>0</stp>
        <stp>STK</stp>
        <stp>N019170</stp>
        <stp>현재가</stp>
        <stp/>
        <stp/>
        <tr r="H411" s="1"/>
      </tp>
      <tp>
        <v>36100</v>
        <stp/>
        <stp>P</stp>
        <stp>0</stp>
        <stp>STK</stp>
        <stp>N119850</stp>
        <stp>현재가</stp>
        <stp/>
        <stp/>
        <tr r="H435" s="1"/>
      </tp>
      <tp>
        <v>284000</v>
        <stp/>
        <stp>P</stp>
        <stp>0</stp>
        <stp>STK</stp>
        <stp>N014680</stp>
        <stp>현재가</stp>
        <stp/>
        <stp/>
        <tr r="H155" s="1"/>
      </tp>
      <tp>
        <v>31350</v>
        <stp/>
        <stp>P</stp>
        <stp>0</stp>
        <stp>STK</stp>
        <stp>N014620</stp>
        <stp>현재가</stp>
        <stp/>
        <stp/>
        <tr r="H364" s="1"/>
      </tp>
      <tp>
        <v>462500</v>
        <stp/>
        <stp>P</stp>
        <stp>0</stp>
        <stp>STK</stp>
        <stp>N214450</stp>
        <stp>현재가</stp>
        <stp/>
        <stp/>
        <tr r="H120" s="1"/>
      </tp>
      <tp>
        <v>126500</v>
        <stp/>
        <stp>P</stp>
        <stp>0</stp>
        <stp>STK</stp>
        <stp>N214430</stp>
        <stp>현재가</stp>
        <stp/>
        <stp/>
        <tr r="H417" s="1"/>
      </tp>
      <tp>
        <v>125500</v>
        <stp/>
        <stp>P</stp>
        <stp>0</stp>
        <stp>STK</stp>
        <stp>N214370</stp>
        <stp>현재가</stp>
        <stp/>
        <stp/>
        <tr r="H129" s="1"/>
      </tp>
      <tp>
        <v>18850</v>
        <stp/>
        <stp>P</stp>
        <stp>0</stp>
        <stp>STK</stp>
        <stp>N214320</stp>
        <stp>현재가</stp>
        <stp/>
        <stp/>
        <tr r="H378" s="1"/>
      </tp>
      <tp>
        <v>12810</v>
        <stp/>
        <stp>P</stp>
        <stp>0</stp>
        <stp>STK</stp>
        <stp>N114090</stp>
        <stp>현재가</stp>
        <stp/>
        <stp/>
        <tr r="H354" s="1"/>
      </tp>
      <tp>
        <v>17130</v>
        <stp/>
        <stp>P</stp>
        <stp>0</stp>
        <stp>STK</stp>
        <stp>N114190</stp>
        <stp>현재가</stp>
        <stp/>
        <stp/>
        <tr r="H566" s="1"/>
      </tp>
      <tp>
        <v>75000</v>
        <stp/>
        <stp>P</stp>
        <stp>0</stp>
        <stp>STK</stp>
        <stp>N214150</stp>
        <stp>현재가</stp>
        <stp/>
        <stp/>
        <tr r="H132" s="1"/>
      </tp>
      <tp>
        <v>14800</v>
        <stp/>
        <stp>P</stp>
        <stp>0</stp>
        <stp>STK</stp>
        <stp>N114840</stp>
        <stp>현재가</stp>
        <stp/>
        <stp/>
        <tr r="H664" s="1"/>
      </tp>
      <tp>
        <v>14280</v>
        <stp/>
        <stp>P</stp>
        <stp>0</stp>
        <stp>STK</stp>
        <stp>N114810</stp>
        <stp>현재가</stp>
        <stp/>
        <stp/>
        <tr r="H606" s="1"/>
      </tp>
      <tp>
        <v>77500</v>
        <stp/>
        <stp>P</stp>
        <stp>0</stp>
        <stp>STK</stp>
        <stp>N014830</stp>
        <stp>현재가</stp>
        <stp/>
        <stp/>
        <tr r="H487" s="1"/>
      </tp>
      <tp>
        <v>28500</v>
        <stp/>
        <stp>P</stp>
        <stp>0</stp>
        <stp>STK</stp>
        <stp>N014820</stp>
        <stp>현재가</stp>
        <stp/>
        <stp/>
        <tr r="H384" s="1"/>
      </tp>
      <tp>
        <v>8190</v>
        <stp/>
        <stp>P</stp>
        <stp>0</stp>
        <stp>STK</stp>
        <stp>N014940</stp>
        <stp>현재가</stp>
        <stp/>
        <stp/>
        <tr r="H553" s="1"/>
      </tp>
      <tp>
        <v>13270</v>
        <stp/>
        <stp>P</stp>
        <stp>0</stp>
        <stp>STK</stp>
        <stp>N314930</stp>
        <stp>현재가</stp>
        <stp/>
        <stp/>
        <tr r="H576" s="1"/>
      </tp>
      <tp>
        <v>7840</v>
        <stp/>
        <stp>P</stp>
        <stp>0</stp>
        <stp>STK</stp>
        <stp>N015750</stp>
        <stp>현재가</stp>
        <stp/>
        <stp/>
        <tr r="H407" s="1"/>
      </tp>
      <tp>
        <v>58200</v>
        <stp/>
        <stp>P</stp>
        <stp>0</stp>
        <stp>STK</stp>
        <stp>N015760</stp>
        <stp>현재가</stp>
        <stp/>
        <stp/>
        <tr r="H24" s="1"/>
      </tp>
      <tp>
        <v>44750</v>
        <stp/>
        <stp>P</stp>
        <stp>0</stp>
        <stp>STK</stp>
        <stp>N215200</stp>
        <stp>현재가</stp>
        <stp/>
        <stp/>
        <tr r="H538" s="1"/>
      </tp>
      <tp>
        <v>77200</v>
        <stp/>
        <stp>P</stp>
        <stp>0</stp>
        <stp>STK</stp>
        <stp>N015360</stp>
        <stp>현재가</stp>
        <stp/>
        <stp/>
        <tr r="H552" s="1"/>
      </tp>
      <tp>
        <v>59400</v>
        <stp/>
        <stp>P</stp>
        <stp>0</stp>
        <stp>STK</stp>
        <stp>N215000</stp>
        <stp>현재가</stp>
        <stp/>
        <stp/>
        <tr r="H595" s="1"/>
      </tp>
      <tp>
        <v>13270</v>
        <stp/>
        <stp>P</stp>
        <stp>0</stp>
        <stp>STK</stp>
        <stp>N016610</stp>
        <stp>현재가</stp>
        <stp/>
        <stp/>
        <tr r="H486" s="1"/>
      </tp>
      <tp>
        <v>12230</v>
        <stp/>
        <stp>P</stp>
        <stp>0</stp>
        <stp>STK</stp>
        <stp>N016590</stp>
        <stp>현재가</stp>
        <stp/>
        <stp/>
        <tr r="H465" s="1"/>
      </tp>
      <tp>
        <v>88800</v>
        <stp/>
        <stp>P</stp>
        <stp>0</stp>
        <stp>STK</stp>
        <stp>N016360</stp>
        <stp>현재가</stp>
        <stp/>
        <stp/>
        <tr r="H91" s="1"/>
      </tp>
      <tp>
        <v>39500</v>
        <stp/>
        <stp>P</stp>
        <stp>0</stp>
        <stp>STK</stp>
        <stp>N416180</stp>
        <stp>현재가</stp>
        <stp/>
        <stp/>
        <tr r="H637" s="1"/>
      </tp>
      <tp>
        <v>30350</v>
        <stp/>
        <stp>P</stp>
        <stp>0</stp>
        <stp>STK</stp>
        <stp>N316140</stp>
        <stp>현재가</stp>
        <stp/>
        <stp/>
        <tr r="H43" s="1"/>
      </tp>
      <tp>
        <v>42850</v>
        <stp/>
        <stp>P</stp>
        <stp>0</stp>
        <stp>STK</stp>
        <stp>N016800</stp>
        <stp>현재가</stp>
        <stp/>
        <stp/>
        <tr r="H478" s="1"/>
      </tp>
      <tp>
        <v>71150</v>
        <stp/>
        <stp>P</stp>
        <stp>0</stp>
        <stp>STK</stp>
        <stp>N017670</stp>
        <stp>현재가</stp>
        <stp/>
        <stp/>
        <tr r="H66" s="1"/>
      </tp>
      <tp>
        <v>24400</v>
        <stp/>
        <stp>P</stp>
        <stp>0</stp>
        <stp>STK</stp>
        <stp>N117730</stp>
        <stp>현재가</stp>
        <stp/>
        <stp/>
        <tr r="H414" s="1"/>
      </tp>
      <tp>
        <v>61700</v>
        <stp/>
        <stp>P</stp>
        <stp>0</stp>
        <stp>STK</stp>
        <stp>N317450</stp>
        <stp>현재가</stp>
        <stp/>
        <stp/>
        <tr r="H342" s="1"/>
      </tp>
      <tp>
        <v>14900</v>
        <stp/>
        <stp>P</stp>
        <stp>0</stp>
        <stp>STK</stp>
        <stp>N217590</stp>
        <stp>현재가</stp>
        <stp/>
        <stp/>
        <tr r="H545" s="1"/>
      </tp>
      <tp>
        <v>17440</v>
        <stp/>
        <stp>P</stp>
        <stp>0</stp>
        <stp>STK</stp>
        <stp>N417200</stp>
        <stp>현재가</stp>
        <stp/>
        <stp/>
        <tr r="H336" s="1"/>
      </tp>
      <tp>
        <v>65100</v>
        <stp/>
        <stp>P</stp>
        <stp>0</stp>
        <stp>STK</stp>
        <stp>N017390</stp>
        <stp>현재가</stp>
        <stp/>
        <stp/>
        <tr r="H604" s="1"/>
      </tp>
      <tp>
        <v>19680</v>
        <stp/>
        <stp>P</stp>
        <stp>0</stp>
        <stp>STK</stp>
        <stp>N317330</stp>
        <stp>현재가</stp>
        <stp/>
        <stp/>
        <tr r="H577" s="1"/>
      </tp>
      <tp>
        <v>19200</v>
        <stp/>
        <stp>P</stp>
        <stp>0</stp>
        <stp>STK</stp>
        <stp>N017860</stp>
        <stp>현재가</stp>
        <stp/>
        <stp/>
        <tr r="H597" s="1"/>
      </tp>
      <tp>
        <v>12960</v>
        <stp/>
        <stp>P</stp>
        <stp>0</stp>
        <stp>STK</stp>
        <stp>N017810</stp>
        <stp>현재가</stp>
        <stp/>
        <stp/>
        <tr r="H482" s="1"/>
      </tp>
      <tp>
        <v>96400</v>
        <stp/>
        <stp>P</stp>
        <stp>0</stp>
        <stp>STK</stp>
        <stp>N017800</stp>
        <stp>현재가</stp>
        <stp/>
        <stp/>
        <tr r="H140" s="1"/>
      </tp>
      <tp>
        <v>87300</v>
        <stp/>
        <stp>P</stp>
        <stp>0</stp>
        <stp>STK</stp>
        <stp>N017940</stp>
        <stp>현재가</stp>
        <stp/>
        <stp/>
        <tr r="H447" s="1"/>
      </tp>
      <tp>
        <v>32900</v>
        <stp/>
        <stp>P</stp>
        <stp>0</stp>
        <stp>STK</stp>
        <stp>N017960</stp>
        <stp>현재가</stp>
        <stp/>
        <stp/>
        <tr r="H221" s="1"/>
      </tp>
      <tp>
        <v>9080</v>
        <stp/>
        <stp>P</stp>
        <stp>0</stp>
        <stp>STK</stp>
        <stp>N010690</stp>
        <stp>현재가</stp>
        <stp/>
        <stp/>
        <tr r="H563" s="1"/>
      </tp>
      <tp>
        <v>23750</v>
        <stp/>
        <stp>P</stp>
        <stp>0</stp>
        <stp>STK</stp>
        <stp>N010780</stp>
        <stp>현재가</stp>
        <stp/>
        <stp/>
        <tr r="H398" s="1"/>
      </tp>
      <tp>
        <v>218500</v>
        <stp/>
        <stp>P</stp>
        <stp>0</stp>
        <stp>STK</stp>
        <stp>N310210</stp>
        <stp>현재가</stp>
        <stp/>
        <stp/>
        <tr r="H148" s="1"/>
      </tp>
      <tp>
        <v>113200</v>
        <stp/>
        <stp>P</stp>
        <stp>0</stp>
        <stp>STK</stp>
        <stp>N010060</stp>
        <stp>현재가</stp>
        <stp/>
        <stp/>
        <tr r="H202" s="1"/>
      </tp>
      <tp>
        <v>28350</v>
        <stp/>
        <stp>P</stp>
        <stp>0</stp>
        <stp>STK</stp>
        <stp>N010140</stp>
        <stp>현재가</stp>
        <stp/>
        <stp/>
        <tr r="H33" s="1"/>
      </tp>
      <tp>
        <v>1690000</v>
        <stp/>
        <stp>P</stp>
        <stp>0</stp>
        <stp>STK</stp>
        <stp>N010130</stp>
        <stp>현재가</stp>
        <stp/>
        <stp/>
        <tr r="H28" s="1"/>
      </tp>
      <tp>
        <v>547000</v>
        <stp/>
        <stp>P</stp>
        <stp>0</stp>
        <stp>STK</stp>
        <stp>N010120</stp>
        <stp>현재가</stp>
        <stp/>
        <stp/>
        <tr r="H58" s="1"/>
      </tp>
      <tp>
        <v>22350</v>
        <stp/>
        <stp>P</stp>
        <stp>0</stp>
        <stp>STK</stp>
        <stp>N110990</stp>
        <stp>현재가</stp>
        <stp/>
        <stp/>
        <tr r="H586" s="1"/>
      </tp>
      <tp>
        <v>102500</v>
        <stp/>
        <stp>P</stp>
        <stp>0</stp>
        <stp>STK</stp>
        <stp>N010950</stp>
        <stp>현재가</stp>
        <stp/>
        <stp/>
        <tr r="H72" s="1"/>
      </tp>
      <tp>
        <v>120000</v>
        <stp/>
        <stp>P</stp>
        <stp>0</stp>
        <stp>STK</stp>
        <stp>N011790</stp>
        <stp>현재가</stp>
        <stp/>
        <stp/>
        <tr r="H126" s="1"/>
      </tp>
      <tp>
        <v>143500</v>
        <stp/>
        <stp>P</stp>
        <stp>0</stp>
        <stp>STK</stp>
        <stp>N011780</stp>
        <stp>현재가</stp>
        <stp/>
        <stp/>
        <tr r="H136" s="1"/>
      </tp>
      <tp>
        <v>22450</v>
        <stp/>
        <stp>P</stp>
        <stp>0</stp>
        <stp>STK</stp>
        <stp>N011760</stp>
        <stp>현재가</stp>
        <stp/>
        <stp/>
        <tr r="H639" s="1"/>
      </tp>
      <tp>
        <v>87300</v>
        <stp/>
        <stp>P</stp>
        <stp>0</stp>
        <stp>STK</stp>
        <stp>N111770</stp>
        <stp>현재가</stp>
        <stp/>
        <stp/>
        <tr r="H138" s="1"/>
      </tp>
      <tp>
        <v>26500</v>
        <stp/>
        <stp>P</stp>
        <stp>0</stp>
        <stp>STK</stp>
        <stp>N011500</stp>
        <stp>현재가</stp>
        <stp/>
        <stp/>
        <tr r="H634" s="1"/>
      </tp>
      <tp>
        <v>85000</v>
        <stp/>
        <stp>P</stp>
        <stp>0</stp>
        <stp>STK</stp>
        <stp>N011210</stp>
        <stp>현재가</stp>
        <stp/>
        <stp/>
        <tr r="H167" s="1"/>
      </tp>
      <tp>
        <v>19810</v>
        <stp/>
        <stp>P</stp>
        <stp>0</stp>
        <stp>STK</stp>
        <stp>N011200</stp>
        <stp>현재가</stp>
        <stp/>
        <stp/>
        <tr r="H46" s="1"/>
      </tp>
      <tp>
        <v>240500</v>
        <stp/>
        <stp>P</stp>
        <stp>0</stp>
        <stp>STK</stp>
        <stp>N011070</stp>
        <stp>현재가</stp>
        <stp/>
        <stp/>
        <tr r="H97" s="1"/>
      </tp>
      <tp>
        <v>14940</v>
        <stp/>
        <stp>P</stp>
        <stp>0</stp>
        <stp>STK</stp>
        <stp>N211050</stp>
        <stp>현재가</stp>
        <stp/>
        <stp/>
        <tr r="H424" s="1"/>
      </tp>
      <tp>
        <v>80700</v>
        <stp/>
        <stp>P</stp>
        <stp>0</stp>
        <stp>STK</stp>
        <stp>N011170</stp>
        <stp>현재가</stp>
        <stp/>
        <stp/>
        <tr r="H152" s="1"/>
      </tp>
      <tp>
        <v>605000</v>
        <stp/>
        <stp>P</stp>
        <stp>0</stp>
        <stp>STK</stp>
        <stp>N0126Z0</stp>
        <stp>현재가</stp>
        <stp/>
        <stp/>
        <tr r="H60" s="1"/>
      </tp>
      <tp>
        <v>40050</v>
        <stp/>
        <stp>P</stp>
        <stp>0</stp>
        <stp>STK</stp>
        <stp>N112610</stp>
        <stp>현재가</stp>
        <stp/>
        <stp/>
        <tr r="H240" s="1"/>
      </tp>
      <tp>
        <v>18980</v>
        <stp/>
        <stp>P</stp>
        <stp>0</stp>
        <stp>STK</stp>
        <stp>N012630</stp>
        <stp>현재가</stp>
        <stp/>
        <stp/>
        <tr r="H312" s="1"/>
      </tp>
      <tp>
        <v>82100</v>
        <stp/>
        <stp>P</stp>
        <stp>0</stp>
        <stp>STK</stp>
        <stp>N012750</stp>
        <stp>현재가</stp>
        <stp/>
        <stp/>
        <tr r="H156" s="1"/>
      </tp>
      <tp>
        <v>1335000</v>
        <stp/>
        <stp>P</stp>
        <stp>0</stp>
        <stp>STK</stp>
        <stp>N012450</stp>
        <stp>현재가</stp>
        <stp/>
        <stp/>
        <tr r="H15" s="1"/>
      </tp>
      <tp>
        <v>94200</v>
        <stp/>
        <stp>P</stp>
        <stp>0</stp>
        <stp>STK</stp>
        <stp>N012510</stp>
        <stp>현재가</stp>
        <stp/>
        <stp/>
        <tr r="H158" s="1"/>
      </tp>
      <tp>
        <v>453500</v>
        <stp/>
        <stp>P</stp>
        <stp>0</stp>
        <stp>STK</stp>
        <stp>N012330</stp>
        <stp>현재가</stp>
        <stp/>
        <stp/>
        <tr r="H22" s="1"/>
      </tp>
      <tp>
        <v>90200</v>
        <stp/>
        <stp>P</stp>
        <stp>0</stp>
        <stp>STK</stp>
        <stp>N0120G0</stp>
        <stp>현재가</stp>
        <stp/>
        <stp/>
        <tr r="H436" s="1"/>
      </tp>
      <tp>
        <v>31150</v>
        <stp/>
        <stp>P</stp>
        <stp>0</stp>
        <stp>STK</stp>
        <stp>N112040</stp>
        <stp>현재가</stp>
        <stp/>
        <stp/>
        <tr r="H337" s="1"/>
      </tp>
      <tp>
        <v>38000</v>
        <stp/>
        <stp>P</stp>
        <stp>0</stp>
        <stp>STK</stp>
        <stp>N213420</stp>
        <stp>현재가</stp>
        <stp/>
        <stp/>
        <tr r="H338" s="1"/>
      </tp>
      <tp>
        <v>32600</v>
        <stp/>
        <stp>P</stp>
        <stp>0</stp>
        <stp>STK</stp>
        <stp>N013030</stp>
        <stp>현재가</stp>
        <stp/>
        <stp/>
        <tr r="H558" s="1"/>
      </tp>
      <tp>
        <v>12170</v>
        <stp/>
        <stp>P</stp>
        <stp>0</stp>
        <stp>STK</stp>
        <stp>N013890</stp>
        <stp>현재가</stp>
        <stp/>
        <stp/>
        <tr r="H656" s="1"/>
      </tp>
      <tp>
        <v>4730</v>
        <stp/>
        <stp>P</stp>
        <stp>0</stp>
        <stp>STK</stp>
        <stp>N028670</stp>
        <stp>현재가</stp>
        <stp/>
        <stp/>
        <tr r="H191" s="1"/>
      </tp>
      <tp>
        <v>23100</v>
        <stp/>
        <stp>P</stp>
        <stp>0</stp>
        <stp>STK</stp>
        <stp>N228760</stp>
        <stp>현재가</stp>
        <stp/>
        <stp/>
        <tr r="H452" s="1"/>
      </tp>
      <tp>
        <v>300000</v>
        <stp/>
        <stp>P</stp>
        <stp>0</stp>
        <stp>STK</stp>
        <stp>N028260</stp>
        <stp>현재가</stp>
        <stp/>
        <stp/>
        <tr r="H20" s="1"/>
      </tp>
      <tp>
        <v>56200</v>
        <stp/>
        <stp>P</stp>
        <stp>0</stp>
        <stp>STK</stp>
        <stp>N028300</stp>
        <stp>현재가</stp>
        <stp/>
        <stp/>
        <tr r="H96" s="1"/>
      </tp>
      <tp>
        <v>31450</v>
        <stp/>
        <stp>P</stp>
        <stp>0</stp>
        <stp>STK</stp>
        <stp>N028050</stp>
        <stp>현재가</stp>
        <stp/>
        <stp/>
        <tr r="H113" s="1"/>
      </tp>
      <tp>
        <v>38100</v>
        <stp/>
        <stp>P</stp>
        <stp>0</stp>
        <stp>STK</stp>
        <stp>N328130</stp>
        <stp>현재가</stp>
        <stp/>
        <stp/>
        <tr r="H298" s="1"/>
      </tp>
      <tp>
        <v>476000</v>
        <stp/>
        <stp>P</stp>
        <stp>0</stp>
        <stp>STK</stp>
        <stp>N128940</stp>
        <stp>현재가</stp>
        <stp/>
        <stp/>
        <tr r="H109" s="1"/>
      </tp>
      <tp>
        <v>40650</v>
        <stp/>
        <stp>P</stp>
        <stp>0</stp>
        <stp>STK</stp>
        <stp>N229640</stp>
        <stp>현재가</stp>
        <stp/>
        <stp/>
        <tr r="H292" s="1"/>
      </tp>
      <tp>
        <v>56600</v>
        <stp/>
        <stp>P</stp>
        <stp>0</stp>
        <stp>STK</stp>
        <stp>N029780</stp>
        <stp>현재가</stp>
        <stp/>
        <stp/>
        <tr r="H101" s="1"/>
      </tp>
      <tp>
        <v>32650</v>
        <stp/>
        <stp>P</stp>
        <stp>0</stp>
        <stp>STK</stp>
        <stp>N029460</stp>
        <stp>현재가</stp>
        <stp/>
        <stp/>
        <tr r="H557" s="1"/>
      </tp>
      <tp>
        <v>54900</v>
        <stp/>
        <stp>P</stp>
        <stp>0</stp>
        <stp>STK</stp>
        <stp>N029530</stp>
        <stp>현재가</stp>
        <stp/>
        <stp/>
        <tr r="H502" s="1"/>
      </tp>
      <tp>
        <v>568000</v>
        <stp/>
        <stp>P</stp>
        <stp>0</stp>
        <stp>STK</stp>
        <stp>N329180</stp>
        <stp>현재가</stp>
        <stp/>
        <stp/>
        <tr r="H16" s="1"/>
      </tp>
      <tp>
        <v>9950</v>
        <stp/>
        <stp>P</stp>
        <stp>0</stp>
        <stp>STK</stp>
        <stp>N024720</stp>
        <stp>현재가</stp>
        <stp/>
        <stp/>
        <tr r="H605" s="1"/>
      </tp>
      <tp>
        <v>22150</v>
        <stp/>
        <stp>P</stp>
        <stp>0</stp>
        <stp>STK</stp>
        <stp>N024110</stp>
        <stp>현재가</stp>
        <stp/>
        <stp/>
        <tr r="H55" s="1"/>
      </tp>
      <tp>
        <v>10750</v>
        <stp/>
        <stp>P</stp>
        <stp>0</stp>
        <stp>STK</stp>
        <stp>N424870</stp>
        <stp>현재가</stp>
        <stp/>
        <stp/>
        <tr r="H356" s="1"/>
      </tp>
      <tp>
        <v>7900</v>
        <stp/>
        <stp>P</stp>
        <stp>0</stp>
        <stp>STK</stp>
        <stp>N025770</stp>
        <stp>현재가</stp>
        <stp/>
        <stp/>
        <tr r="H636" s="1"/>
      </tp>
      <tp>
        <v>24850</v>
        <stp/>
        <stp>P</stp>
        <stp>0</stp>
        <stp>STK</stp>
        <stp>N125490</stp>
        <stp>현재가</stp>
        <stp/>
        <stp/>
        <tr r="H377" s="1"/>
      </tp>
      <tp>
        <v>37350</v>
        <stp/>
        <stp>P</stp>
        <stp>0</stp>
        <stp>STK</stp>
        <stp>N425420</stp>
        <stp>현재가</stp>
        <stp/>
        <stp/>
        <tr r="H535" s="1"/>
      </tp>
      <tp>
        <v>12880</v>
        <stp/>
        <stp>P</stp>
        <stp>0</stp>
        <stp>STK</stp>
        <stp>N225570</stp>
        <stp>현재가</stp>
        <stp/>
        <stp/>
        <tr r="H357" s="1"/>
      </tp>
      <tp>
        <v>73800</v>
        <stp/>
        <stp>P</stp>
        <stp>0</stp>
        <stp>STK</stp>
        <stp>N025540</stp>
        <stp>현재가</stp>
        <stp/>
        <stp/>
        <tr r="H355" s="1"/>
      </tp>
      <tp>
        <v>7760</v>
        <stp/>
        <stp>P</stp>
        <stp>0</stp>
        <stp>STK</stp>
        <stp>N025320</stp>
        <stp>현재가</stp>
        <stp/>
        <stp/>
        <tr r="H476" s="1"/>
      </tp>
      <tp>
        <v>8110</v>
        <stp/>
        <stp>P</stp>
        <stp>0</stp>
        <stp>STK</stp>
        <stp>N025980</stp>
        <stp>현재가</stp>
        <stp/>
        <stp/>
        <tr r="H376" s="1"/>
      </tp>
      <tp>
        <v>10510</v>
        <stp/>
        <stp>P</stp>
        <stp>0</stp>
        <stp>STK</stp>
        <stp>N025900</stp>
        <stp>현재가</stp>
        <stp/>
        <stp/>
        <tr r="H530" s="1"/>
      </tp>
      <tp>
        <v>24250</v>
        <stp/>
        <stp>P</stp>
        <stp>0</stp>
        <stp>STK</stp>
        <stp>N126720</stp>
        <stp>현재가</stp>
        <stp/>
        <stp/>
        <tr r="H547" s="1"/>
      </tp>
      <tp>
        <v>98700</v>
        <stp/>
        <stp>P</stp>
        <stp>0</stp>
        <stp>STK</stp>
        <stp>N126340</stp>
        <stp>현재가</stp>
        <stp/>
        <stp/>
        <tr r="H434" s="1"/>
      </tp>
      <tp>
        <v>11340</v>
        <stp/>
        <stp>P</stp>
        <stp>0</stp>
        <stp>STK</stp>
        <stp>N226320</stp>
        <stp>현재가</stp>
        <stp/>
        <stp/>
        <tr r="H679" s="1"/>
      </tp>
      <tp>
        <v>115500</v>
        <stp/>
        <stp>P</stp>
        <stp>0</stp>
        <stp>STK</stp>
        <stp>N326030</stp>
        <stp>현재가</stp>
        <stp/>
        <stp/>
        <tr r="H81" s="1"/>
      </tp>
      <tp>
        <v>11530</v>
        <stp/>
        <stp>P</stp>
        <stp>0</stp>
        <stp>STK</stp>
        <stp>N026890</stp>
        <stp>현재가</stp>
        <stp/>
        <stp/>
        <tr r="H533" s="1"/>
      </tp>
      <tp>
        <v>139600</v>
        <stp/>
        <stp>P</stp>
        <stp>0</stp>
        <stp>STK</stp>
        <stp>N226950</stp>
        <stp>현재가</stp>
        <stp/>
        <stp/>
        <tr r="H189" s="1"/>
      </tp>
      <tp>
        <v>25700</v>
        <stp/>
        <stp>P</stp>
        <stp>0</stp>
        <stp>STK</stp>
        <stp>N026960</stp>
        <stp>현재가</stp>
        <stp/>
        <stp/>
        <tr r="H175" s="1"/>
      </tp>
      <tp>
        <v>21400</v>
        <stp/>
        <stp>P</stp>
        <stp>0</stp>
        <stp>STK</stp>
        <stp>N127120</stp>
        <stp>현재가</stp>
        <stp/>
        <stp/>
        <tr r="H405" s="1"/>
      </tp>
      <tp>
        <v>54200</v>
        <stp/>
        <stp>P</stp>
        <stp>0</stp>
        <stp>STK</stp>
        <stp>N420770</stp>
        <stp>현재가</stp>
        <stp/>
        <stp/>
        <tr r="H387" s="1"/>
      </tp>
      <tp>
        <v>7550</v>
        <stp/>
        <stp>P</stp>
        <stp>0</stp>
        <stp>STK</stp>
        <stp>N020560</stp>
        <stp>현재가</stp>
        <stp/>
        <stp/>
        <tr r="H246" s="1"/>
      </tp>
      <tp>
        <v>18680</v>
        <stp/>
        <stp>P</stp>
        <stp>0</stp>
        <stp>STK</stp>
        <stp>N020000</stp>
        <stp>현재가</stp>
        <stp/>
        <stp/>
        <tr r="H587" s="1"/>
      </tp>
      <tp>
        <v>39200</v>
        <stp/>
        <stp>P</stp>
        <stp>0</stp>
        <stp>STK</stp>
        <stp>N020150</stp>
        <stp>현재가</stp>
        <stp/>
        <stp/>
        <tr r="H228" s="1"/>
      </tp>
      <tp>
        <v>51600</v>
        <stp/>
        <stp>P</stp>
        <stp>0</stp>
        <stp>STK</stp>
        <stp>N120110</stp>
        <stp>현재가</stp>
        <stp/>
        <stp/>
        <tr r="H280" s="1"/>
      </tp>
      <tp>
        <v>25600</v>
        <stp/>
        <stp>P</stp>
        <stp>0</stp>
        <stp>STK</stp>
        <stp>N220100</stp>
        <stp>현재가</stp>
        <stp/>
        <stp/>
        <tr r="H461" s="1"/>
      </tp>
      <tp>
        <v>71900</v>
        <stp/>
        <stp>P</stp>
        <stp>0</stp>
        <stp>STK</stp>
        <stp>N121600</stp>
        <stp>현재가</stp>
        <stp/>
        <stp/>
        <tr r="H419" s="1"/>
      </tp>
      <tp>
        <v>81500</v>
        <stp/>
        <stp>P</stp>
        <stp>0</stp>
        <stp>STK</stp>
        <stp>N021240</stp>
        <stp>현재가</stp>
        <stp/>
        <stp/>
        <tr r="H106" s="1"/>
      </tp>
      <tp>
        <v>22550</v>
        <stp/>
        <stp>P</stp>
        <stp>0</stp>
        <stp>STK</stp>
        <stp>N122640</stp>
        <stp>현재가</stp>
        <stp/>
        <stp/>
        <tr r="H544" s="1"/>
      </tp>
      <tp>
        <v>13610</v>
        <stp/>
        <stp>P</stp>
        <stp>0</stp>
        <stp>STK</stp>
        <stp>N222080</stp>
        <stp>현재가</stp>
        <stp/>
        <stp/>
        <tr r="H441" s="1"/>
      </tp>
      <tp>
        <v>52200</v>
        <stp/>
        <stp>P</stp>
        <stp>0</stp>
        <stp>STK</stp>
        <stp>N322000</stp>
        <stp>현재가</stp>
        <stp/>
        <stp/>
        <tr r="H423" s="1"/>
      </tp>
      <tp>
        <v>38250</v>
        <stp/>
        <stp>P</stp>
        <stp>0</stp>
        <stp>STK</stp>
        <stp>N022100</stp>
        <stp>현재가</stp>
        <stp/>
        <stp/>
        <tr r="H98" s="1"/>
      </tp>
      <tp>
        <v>72300</v>
        <stp/>
        <stp>P</stp>
        <stp>0</stp>
        <stp>STK</stp>
        <stp>N122870</stp>
        <stp>현재가</stp>
        <stp/>
        <stp/>
        <tr r="H273" s="1"/>
      </tp>
      <tp>
        <v>62200</v>
        <stp/>
        <stp>P</stp>
        <stp>0</stp>
        <stp>STK</stp>
        <stp>N222800</stp>
        <stp>현재가</stp>
        <stp/>
        <stp/>
        <tr r="H223" s="1"/>
      </tp>
      <tp>
        <v>22550</v>
        <stp/>
        <stp>P</stp>
        <stp>0</stp>
        <stp>STK</stp>
        <stp>N323410</stp>
        <stp>현재가</stp>
        <stp/>
        <stp/>
        <tr r="H75" s="1"/>
      </tp>
      <tp>
        <v>50500</v>
        <stp/>
        <stp>P</stp>
        <stp>0</stp>
        <stp>STK</stp>
        <stp>N023590</stp>
        <stp>현재가</stp>
        <stp/>
        <stp/>
        <tr r="H225" s="1"/>
      </tp>
      <tp>
        <v>84500</v>
        <stp/>
        <stp>P</stp>
        <stp>0</stp>
        <stp>STK</stp>
        <stp>N023530</stp>
        <stp>현재가</stp>
        <stp/>
        <stp/>
        <tr r="H203" s="1"/>
      </tp>
      <tp>
        <v>74000</v>
        <stp/>
        <stp>P</stp>
        <stp>0</stp>
        <stp>STK</stp>
        <stp>N323280</stp>
        <stp>현재가</stp>
        <stp/>
        <stp/>
        <tr r="H258" s="1"/>
      </tp>
      <tp>
        <v>27300</v>
        <stp/>
        <stp>P</stp>
        <stp>0</stp>
        <stp>STK</stp>
        <stp>N023160</stp>
        <stp>현재가</stp>
        <stp/>
        <stp/>
        <tr r="H389" s="1"/>
      </tp>
      <tp>
        <v>34650</v>
        <stp/>
        <stp>P</stp>
        <stp>0</stp>
        <stp>STK</stp>
        <stp>N138610</stp>
        <stp>현재가</stp>
        <stp/>
        <stp/>
        <tr r="H548" s="1"/>
      </tp>
      <tp>
        <v>9510</v>
        <stp/>
        <stp>P</stp>
        <stp>0</stp>
        <stp>STK</stp>
        <stp>N138490</stp>
        <stp>현재가</stp>
        <stp/>
        <stp/>
        <tr r="H611" s="1"/>
      </tp>
      <tp>
        <v>20750</v>
        <stp/>
        <stp>P</stp>
        <stp>0</stp>
        <stp>STK</stp>
        <stp>N338220</stp>
        <stp>현재가</stp>
        <stp/>
        <stp/>
        <tr r="H646" s="1"/>
      </tp>
      <tp>
        <v>120600</v>
        <stp/>
        <stp>P</stp>
        <stp>0</stp>
        <stp>STK</stp>
        <stp>N138040</stp>
        <stp>현재가</stp>
        <stp/>
        <stp/>
        <tr r="H47" s="1"/>
      </tp>
      <tp>
        <v>23800</v>
        <stp/>
        <stp>P</stp>
        <stp>0</stp>
        <stp>STK</stp>
        <stp>N338840</stp>
        <stp>현재가</stp>
        <stp/>
        <stp/>
        <tr r="H583" s="1"/>
      </tp>
      <tp>
        <v>16860</v>
        <stp/>
        <stp>P</stp>
        <stp>0</stp>
        <stp>STK</stp>
        <stp>N138930</stp>
        <stp>현재가</stp>
        <stp/>
        <stp/>
        <tr r="H115" s="1"/>
      </tp>
      <tp>
        <v>432500</v>
        <stp/>
        <stp>P</stp>
        <stp>0</stp>
        <stp>STK</stp>
        <stp>N039490</stp>
        <stp>현재가</stp>
        <stp/>
        <stp/>
        <tr r="H85" s="1"/>
      </tp>
      <tp>
        <v>89700</v>
        <stp/>
        <stp>P</stp>
        <stp>0</stp>
        <stp>STK</stp>
        <stp>N139480</stp>
        <stp>현재가</stp>
        <stp/>
        <stp/>
        <tr r="H194" s="1"/>
      </tp>
      <tp>
        <v>36400</v>
        <stp/>
        <stp>P</stp>
        <stp>0</stp>
        <stp>STK</stp>
        <stp>N039440</stp>
        <stp>현재가</stp>
        <stp/>
        <stp/>
        <tr r="H497" s="1"/>
      </tp>
      <tp>
        <v>54300</v>
        <stp/>
        <stp>P</stp>
        <stp>0</stp>
        <stp>STK</stp>
        <stp>N039200</stp>
        <stp>현재가</stp>
        <stp/>
        <stp/>
        <tr r="H239" s="1"/>
      </tp>
      <tp>
        <v>66400</v>
        <stp/>
        <stp>P</stp>
        <stp>0</stp>
        <stp>STK</stp>
        <stp>N439260</stp>
        <stp>현재가</stp>
        <stp/>
        <stp/>
        <tr r="H172" s="1"/>
      </tp>
      <tp>
        <v>14120</v>
        <stp/>
        <stp>P</stp>
        <stp>0</stp>
        <stp>STK</stp>
        <stp>N439090</stp>
        <stp>현재가</stp>
        <stp/>
        <stp/>
        <tr r="H695" s="1"/>
      </tp>
      <tp>
        <v>366000</v>
        <stp/>
        <stp>P</stp>
        <stp>0</stp>
        <stp>STK</stp>
        <stp>N039030</stp>
        <stp>현재가</stp>
        <stp/>
        <stp/>
        <tr r="H139" s="1"/>
      </tp>
      <tp>
        <v>45750</v>
        <stp/>
        <stp>P</stp>
        <stp>0</stp>
        <stp>STK</stp>
        <stp>N039130</stp>
        <stp>현재가</stp>
        <stp/>
        <stp/>
        <tr r="H388" s="1"/>
      </tp>
      <tp>
        <v>15630</v>
        <stp/>
        <stp>P</stp>
        <stp>0</stp>
        <stp>STK</stp>
        <stp>N139130</stp>
        <stp>현재가</stp>
        <stp/>
        <stp/>
        <tr r="H196" s="1"/>
      </tp>
      <tp>
        <v>15820</v>
        <stp/>
        <stp>P</stp>
        <stp>0</stp>
        <stp>STK</stp>
        <stp>N039840</stp>
        <stp>현재가</stp>
        <stp/>
        <stp/>
        <tr r="H696" s="1"/>
      </tp>
      <tp>
        <v>321500</v>
        <stp/>
        <stp>P</stp>
        <stp>0</stp>
        <stp>STK</stp>
        <stp>N034730</stp>
        <stp>현재가</stp>
        <stp/>
        <stp/>
        <tr r="H41" s="1"/>
      </tp>
      <tp>
        <v>17650</v>
        <stp/>
        <stp>P</stp>
        <stp>0</stp>
        <stp>STK</stp>
        <stp>N034230</stp>
        <stp>현재가</stp>
        <stp/>
        <stp/>
        <tr r="H245" s="1"/>
      </tp>
      <tp>
        <v>11440</v>
        <stp/>
        <stp>P</stp>
        <stp>0</stp>
        <stp>STK</stp>
        <stp>N034220</stp>
        <stp>현재가</stp>
        <stp/>
        <stp/>
        <tr r="H102" s="1"/>
      </tp>
      <tp>
        <v>13660</v>
        <stp/>
        <stp>P</stp>
        <stp>0</stp>
        <stp>STK</stp>
        <stp>N034310</stp>
        <stp>현재가</stp>
        <stp/>
        <stp/>
        <tr r="H491" s="1"/>
      </tp>
      <tp>
        <v>88800</v>
        <stp/>
        <stp>P</stp>
        <stp>0</stp>
        <stp>STK</stp>
        <stp>N034020</stp>
        <stp>현재가</stp>
        <stp/>
        <stp/>
        <tr r="H17" s="1"/>
      </tp>
      <tp>
        <v>18470</v>
        <stp/>
        <stp>P</stp>
        <stp>0</stp>
        <stp>STK</stp>
        <stp>N034120</stp>
        <stp>현재가</stp>
        <stp/>
        <stp/>
        <tr r="H584" s="1"/>
      </tp>
      <tp>
        <v>96300</v>
        <stp/>
        <stp>P</stp>
        <stp>0</stp>
        <stp>STK</stp>
        <stp>N034950</stp>
        <stp>현재가</stp>
        <stp/>
        <stp/>
        <tr r="H511" s="1"/>
      </tp>
      <tp>
        <v>11550</v>
        <stp/>
        <stp>P</stp>
        <stp>0</stp>
        <stp>STK</stp>
        <stp>N035600</stp>
        <stp>현재가</stp>
        <stp/>
        <stp/>
        <tr r="H655" s="1"/>
      </tp>
      <tp>
        <v>71200</v>
        <stp/>
        <stp>P</stp>
        <stp>0</stp>
        <stp>STK</stp>
        <stp>N035760</stp>
        <stp>현재가</stp>
        <stp/>
        <stp/>
        <tr r="H263" s="1"/>
      </tp>
      <tp>
        <v>60000</v>
        <stp/>
        <stp>P</stp>
        <stp>0</stp>
        <stp>STK</stp>
        <stp>N035720</stp>
        <stp>현재가</stp>
        <stp/>
        <stp/>
        <tr r="H35" s="1"/>
      </tp>
      <tp>
        <v>274250</v>
        <stp/>
        <stp>P</stp>
        <stp>0</stp>
        <stp>STK</stp>
        <stp>N035420</stp>
        <stp>현재가</stp>
        <stp/>
        <stp/>
        <tr r="H26" s="1"/>
      </tp>
      <tp>
        <v>17250</v>
        <stp/>
        <stp>P</stp>
        <stp>0</stp>
        <stp>STK</stp>
        <stp>N035250</stp>
        <stp>현재가</stp>
        <stp/>
        <stp/>
        <tr r="H131" s="1"/>
      </tp>
      <tp>
        <v>12640</v>
        <stp/>
        <stp>P</stp>
        <stp>0</stp>
        <stp>STK</stp>
        <stp>N035150</stp>
        <stp>현재가</stp>
        <stp/>
        <stp/>
        <tr r="H666" s="1"/>
      </tp>
      <tp>
        <v>71500</v>
        <stp/>
        <stp>P</stp>
        <stp>0</stp>
        <stp>STK</stp>
        <stp>N035900</stp>
        <stp>현재가</stp>
        <stp/>
        <stp/>
        <tr r="H188" s="1"/>
      </tp>
      <tp>
        <v>6600</v>
        <stp/>
        <stp>P</stp>
        <stp>0</stp>
        <stp>STK</stp>
        <stp>N036620</stp>
        <stp>현재가</stp>
        <stp/>
        <stp/>
        <tr r="H481" s="1"/>
      </tp>
      <tp>
        <v>39650</v>
        <stp/>
        <stp>P</stp>
        <stp>0</stp>
        <stp>STK</stp>
        <stp>N036460</stp>
        <stp>현재가</stp>
        <stp/>
        <stp/>
        <tr r="H137" s="1"/>
      </tp>
      <tp>
        <v>7470</v>
        <stp/>
        <stp>P</stp>
        <stp>0</stp>
        <stp>STK</stp>
        <stp>N036540</stp>
        <stp>현재가</stp>
        <stp/>
        <stp/>
        <tr r="H334" s="1"/>
      </tp>
      <tp>
        <v>9780</v>
        <stp/>
        <stp>P</stp>
        <stp>0</stp>
        <stp>STK</stp>
        <stp>N336570</stp>
        <stp>현재가</stp>
        <stp/>
        <stp/>
        <tr r="H375" s="1"/>
      </tp>
      <tp>
        <v>226000</v>
        <stp/>
        <stp>P</stp>
        <stp>0</stp>
        <stp>STK</stp>
        <stp>N036570</stp>
        <stp>현재가</stp>
        <stp/>
        <stp/>
        <tr r="H114" s="1"/>
      </tp>
      <tp>
        <v>53500</v>
        <stp/>
        <stp>P</stp>
        <stp>0</stp>
        <stp>STK</stp>
        <stp>N036530</stp>
        <stp>현재가</stp>
        <stp/>
        <stp/>
        <tr r="H328" s="1"/>
      </tp>
      <tp>
        <v>33250</v>
        <stp/>
        <stp>P</stp>
        <stp>0</stp>
        <stp>STK</stp>
        <stp>N336260</stp>
        <stp>현재가</stp>
        <stp/>
        <stp/>
        <tr r="H186" s="1"/>
      </tp>
      <tp>
        <v>11170</v>
        <stp/>
        <stp>P</stp>
        <stp>0</stp>
        <stp>STK</stp>
        <stp>N036200</stp>
        <stp>현재가</stp>
        <stp/>
        <stp/>
        <tr r="H629" s="1"/>
      </tp>
      <tp>
        <v>43350</v>
        <stp/>
        <stp>P</stp>
        <stp>0</stp>
        <stp>STK</stp>
        <stp>N236200</stp>
        <stp>현재가</stp>
        <stp/>
        <stp/>
        <tr r="H667" s="1"/>
      </tp>
      <tp>
        <v>7960</v>
        <stp/>
        <stp>P</stp>
        <stp>0</stp>
        <stp>STK</stp>
        <stp>N336370</stp>
        <stp>현재가</stp>
        <stp/>
        <stp/>
        <tr r="H460" s="1"/>
      </tp>
      <tp>
        <v>14060</v>
        <stp/>
        <stp>P</stp>
        <stp>0</stp>
        <stp>STK</stp>
        <stp>N036890</stp>
        <stp>현재가</stp>
        <stp/>
        <stp/>
        <tr r="H624" s="1"/>
      </tp>
      <tp>
        <v>45300</v>
        <stp/>
        <stp>P</stp>
        <stp>0</stp>
        <stp>STK</stp>
        <stp>N036810</stp>
        <stp>현재가</stp>
        <stp/>
        <stp/>
        <tr r="H382" s="1"/>
      </tp>
      <tp>
        <v>23950</v>
        <stp/>
        <stp>P</stp>
        <stp>0</stp>
        <stp>STK</stp>
        <stp>N036800</stp>
        <stp>현재가</stp>
        <stp/>
        <stp/>
        <tr r="H691" s="1"/>
      </tp>
      <tp>
        <v>55700</v>
        <stp/>
        <stp>P</stp>
        <stp>0</stp>
        <stp>STK</stp>
        <stp>N036830</stp>
        <stp>현재가</stp>
        <stp/>
        <stp/>
        <tr r="H352" s="1"/>
      </tp>
      <tp>
        <v>42700</v>
        <stp/>
        <stp>P</stp>
        <stp>0</stp>
        <stp>STK</stp>
        <stp>N036930</stp>
        <stp>현재가</stp>
        <stp/>
        <stp/>
        <tr r="H251" s="1"/>
      </tp>
      <tp>
        <v>154800</v>
        <stp/>
        <stp>P</stp>
        <stp>0</stp>
        <stp>STK</stp>
        <stp>N237690</stp>
        <stp>현재가</stp>
        <stp/>
        <stp/>
        <tr r="H185" s="1"/>
      </tp>
      <tp>
        <v>65500</v>
        <stp/>
        <stp>P</stp>
        <stp>0</stp>
        <stp>STK</stp>
        <stp>N437730</stp>
        <stp>현재가</stp>
        <stp/>
        <stp/>
        <tr r="H195" s="1"/>
      </tp>
      <tp>
        <v>31350</v>
        <stp/>
        <stp>P</stp>
        <stp>0</stp>
        <stp>STK</stp>
        <stp>N037710</stp>
        <stp>현재가</stp>
        <stp/>
        <stp/>
        <tr r="H676" s="1"/>
      </tp>
      <tp>
        <v>56300</v>
        <stp/>
        <stp>P</stp>
        <stp>0</stp>
        <stp>STK</stp>
        <stp>N137400</stp>
        <stp>현재가</stp>
        <stp/>
        <stp/>
        <tr r="H325" s="1"/>
      </tp>
      <tp>
        <v>9040</v>
        <stp/>
        <stp>P</stp>
        <stp>0</stp>
        <stp>STK</stp>
        <stp>N137310</stp>
        <stp>현재가</stp>
        <stp/>
        <stp/>
        <tr r="H315" s="1"/>
      </tp>
      <tp>
        <v>13160</v>
        <stp/>
        <stp>P</stp>
        <stp>0</stp>
        <stp>STK</stp>
        <stp>N237880</stp>
        <stp>현재가</stp>
        <stp/>
        <stp/>
        <tr r="H693" s="1"/>
      </tp>
      <tp>
        <v>13330</v>
        <stp/>
        <stp>P</stp>
        <stp>0</stp>
        <stp>STK</stp>
        <stp>N130660</stp>
        <stp>현재가</stp>
        <stp/>
        <stp/>
        <tr r="H521" s="1"/>
      </tp>
      <tp>
        <v>11680</v>
        <stp/>
        <stp>P</stp>
        <stp>0</stp>
        <stp>STK</stp>
        <stp>N030610</stp>
        <stp>현재가</stp>
        <stp/>
        <stp/>
        <tr r="H289" s="1"/>
      </tp>
      <tp>
        <v>41850</v>
        <stp/>
        <stp>P</stp>
        <stp>0</stp>
        <stp>STK</stp>
        <stp>N030530</stp>
        <stp>현재가</stp>
        <stp/>
        <stp/>
        <tr r="H149" s="1"/>
      </tp>
      <tp>
        <v>25200</v>
        <stp/>
        <stp>P</stp>
        <stp>0</stp>
        <stp>STK</stp>
        <stp>N030520</stp>
        <stp>현재가</stp>
        <stp/>
        <stp/>
        <tr r="H457" s="1"/>
      </tp>
      <tp>
        <v>56700</v>
        <stp/>
        <stp>P</stp>
        <stp>0</stp>
        <stp>STK</stp>
        <stp>N030200</stp>
        <stp>현재가</stp>
        <stp/>
        <stp/>
        <tr r="H62" s="1"/>
      </tp>
      <tp>
        <v>15900</v>
        <stp/>
        <stp>P</stp>
        <stp>0</stp>
        <stp>STK</stp>
        <stp>N230360</stp>
        <stp>현재가</stp>
        <stp/>
        <stp/>
        <tr r="H485" s="1"/>
      </tp>
      <tp>
        <v>21550</v>
        <stp/>
        <stp>P</stp>
        <stp>0</stp>
        <stp>STK</stp>
        <stp>N030000</stp>
        <stp>현재가</stp>
        <stp/>
        <stp/>
        <tr r="H187" s="1"/>
      </tp>
      <tp>
        <v>17200</v>
        <stp/>
        <stp>P</stp>
        <stp>0</stp>
        <stp>STK</stp>
        <stp>N030190</stp>
        <stp>현재가</stp>
        <stp/>
        <stp/>
        <tr r="H317" s="1"/>
      </tp>
      <tp>
        <v>11980</v>
        <stp/>
        <stp>P</stp>
        <stp>0</stp>
        <stp>STK</stp>
        <stp>N031430</stp>
        <stp>현재가</stp>
        <stp/>
        <stp/>
        <tr r="H550" s="1"/>
      </tp>
      <tp>
        <v>79500</v>
        <stp/>
        <stp>P</stp>
        <stp>0</stp>
        <stp>STK</stp>
        <stp>N131290</stp>
        <stp>현재가</stp>
        <stp/>
        <stp/>
        <tr r="H346" s="1"/>
      </tp>
      <tp>
        <v>49700</v>
        <stp/>
        <stp>P</stp>
        <stp>0</stp>
        <stp>STK</stp>
        <stp>N031210</stp>
        <stp>현재가</stp>
        <stp/>
        <stp/>
        <tr r="H143" s="1"/>
      </tp>
      <tp>
        <v>78800</v>
        <stp/>
        <stp>P</stp>
        <stp>0</stp>
        <stp>STK</stp>
        <stp>N031980</stp>
        <stp>현재가</stp>
        <stp/>
        <stp/>
        <tr r="H261" s="1"/>
      </tp>
      <tp>
        <v>65800</v>
        <stp/>
        <stp>P</stp>
        <stp>0</stp>
        <stp>STK</stp>
        <stp>N131970</stp>
        <stp>현재가</stp>
        <stp/>
        <stp/>
        <tr r="H311" s="1"/>
      </tp>
      <tp>
        <v>15950</v>
        <stp/>
        <stp>P</stp>
        <stp>0</stp>
        <stp>STK</stp>
        <stp>N032640</stp>
        <stp>현재가</stp>
        <stp/>
        <stp/>
        <tr r="H99" s="1"/>
      </tp>
      <tp>
        <v>18740</v>
        <stp/>
        <stp>P</stp>
        <stp>0</stp>
        <stp>STK</stp>
        <stp>N032500</stp>
        <stp>현재가</stp>
        <stp/>
        <stp/>
        <tr r="H416" s="1"/>
      </tp>
      <tp>
        <v>25050</v>
        <stp/>
        <stp>P</stp>
        <stp>0</stp>
        <stp>STK</stp>
        <stp>N032350</stp>
        <stp>현재가</stp>
        <stp/>
        <stp/>
        <tr r="H226" s="1"/>
      </tp>
      <tp>
        <v>26700</v>
        <stp/>
        <stp>P</stp>
        <stp>0</stp>
        <stp>STK</stp>
        <stp>N032190</stp>
        <stp>현재가</stp>
        <stp/>
        <stp/>
        <tr r="H390" s="1"/>
      </tp>
      <tp>
        <v>19260</v>
        <stp/>
        <stp>P</stp>
        <stp>0</stp>
        <stp>STK</stp>
        <stp>N232140</stp>
        <stp>현재가</stp>
        <stp/>
        <stp/>
        <tr r="H283" s="1"/>
      </tp>
      <tp>
        <v>183900</v>
        <stp/>
        <stp>P</stp>
        <stp>0</stp>
        <stp>STK</stp>
        <stp>N032830</stp>
        <stp>현재가</stp>
        <stp/>
        <stp/>
        <tr r="H27" s="1"/>
      </tp>
      <tp>
        <v>18470</v>
        <stp/>
        <stp>P</stp>
        <stp>0</stp>
        <stp>STK</stp>
        <stp>N033640</stp>
        <stp>현재가</stp>
        <stp/>
        <stp/>
        <tr r="H564" s="1"/>
      </tp>
      <tp>
        <v>153300</v>
        <stp/>
        <stp>P</stp>
        <stp>0</stp>
        <stp>STK</stp>
        <stp>N033780</stp>
        <stp>현재가</stp>
        <stp/>
        <stp/>
        <tr r="H52" s="1"/>
      </tp>
      <tp>
        <v>27500</v>
        <stp/>
        <stp>P</stp>
        <stp>0</stp>
        <stp>STK</stp>
        <stp>N033500</stp>
        <stp>현재가</stp>
        <stp/>
        <stp/>
        <tr r="H347" s="1"/>
      </tp>
      <tp>
        <v>30700</v>
        <stp/>
        <stp>P</stp>
        <stp>0</stp>
        <stp>STK</stp>
        <stp>N033240</stp>
        <stp>현재가</stp>
        <stp/>
        <stp/>
        <tr r="H464" s="1"/>
      </tp>
      <tp>
        <v>18900</v>
        <stp/>
        <stp>P</stp>
        <stp>0</stp>
        <stp>STK</stp>
        <stp>N033270</stp>
        <stp>현재가</stp>
        <stp/>
        <stp/>
        <tr r="H628" s="1"/>
      </tp>
      <tp>
        <v>46650</v>
        <stp/>
        <stp>P</stp>
        <stp>0</stp>
        <stp>STK</stp>
        <stp>N033100</stp>
        <stp>현재가</stp>
        <stp/>
        <stp/>
        <tr r="H406" s="1"/>
      </tp>
      <tp>
        <v>11250</v>
        <stp/>
        <stp>P</stp>
        <stp>0</stp>
        <stp>STK</stp>
        <stp>N048410</stp>
        <stp>현재가</stp>
        <stp/>
        <stp/>
        <tr r="H455" s="1"/>
      </tp>
      <tp>
        <v>10830</v>
        <stp/>
        <stp>P</stp>
        <stp>0</stp>
        <stp>STK</stp>
        <stp>N448280</stp>
        <stp>현재가</stp>
        <stp/>
        <stp/>
        <tr r="H641" s="1"/>
      </tp>
      <tp>
        <v>94000</v>
        <stp/>
        <stp>P</stp>
        <stp>0</stp>
        <stp>STK</stp>
        <stp>N348210</stp>
        <stp>현재가</stp>
        <stp/>
        <stp/>
        <tr r="H363" s="1"/>
      </tp>
      <tp>
        <v>94000</v>
        <stp/>
        <stp>P</stp>
        <stp>0</stp>
        <stp>STK</stp>
        <stp>N348370</stp>
        <stp>현재가</stp>
        <stp/>
        <stp/>
        <tr r="H266" s="1"/>
      </tp>
      <tp>
        <v>15580</v>
        <stp/>
        <stp>P</stp>
        <stp>0</stp>
        <stp>STK</stp>
        <stp>N248070</stp>
        <stp>현재가</stp>
        <stp/>
        <stp/>
        <tr r="H380" s="1"/>
      </tp>
      <tp>
        <v>70000</v>
        <stp/>
        <stp>P</stp>
        <stp>0</stp>
        <stp>STK</stp>
        <stp>N448900</stp>
        <stp>현재가</stp>
        <stp/>
        <stp/>
        <tr r="H489" s="1"/>
      </tp>
      <tp>
        <v>37400</v>
        <stp/>
        <stp>P</stp>
        <stp>0</stp>
        <stp>STK</stp>
        <stp>N249420</stp>
        <stp>현재가</stp>
        <stp/>
        <stp/>
        <tr r="H288" s="1"/>
      </tp>
      <tp>
        <v>21750</v>
        <stp/>
        <stp>P</stp>
        <stp>0</stp>
        <stp>STK</stp>
        <stp>N049070</stp>
        <stp>현재가</stp>
        <stp/>
        <stp/>
        <tr r="H522" s="1"/>
      </tp>
      <tp>
        <v>29850</v>
        <stp/>
        <stp>P</stp>
        <stp>0</stp>
        <stp>STK</stp>
        <stp>N044490</stp>
        <stp>현재가</stp>
        <stp/>
        <stp/>
        <tr r="H394" s="1"/>
      </tp>
      <tp>
        <v>25850</v>
        <stp/>
        <stp>P</stp>
        <stp>0</stp>
        <stp>STK</stp>
        <stp>N144510</stp>
        <stp>현재가</stp>
        <stp/>
        <stp/>
        <tr r="H578" s="1"/>
      </tp>
      <tp>
        <v>26600</v>
        <stp/>
        <stp>P</stp>
        <stp>0</stp>
        <stp>STK</stp>
        <stp>N344820</stp>
        <stp>현재가</stp>
        <stp/>
        <stp/>
        <tr r="H519" s="1"/>
      </tp>
      <tp>
        <v>122400</v>
        <stp/>
        <stp>P</stp>
        <stp>0</stp>
        <stp>STK</stp>
        <stp>N445680</stp>
        <stp>현재가</stp>
        <stp/>
        <stp/>
        <tr r="H207" s="1"/>
      </tp>
      <tp>
        <v>46800</v>
        <stp/>
        <stp>P</stp>
        <stp>0</stp>
        <stp>STK</stp>
        <stp>N145720</stp>
        <stp>현재가</stp>
        <stp/>
        <stp/>
        <tr r="H470" s="1"/>
      </tp>
      <tp>
        <v>31200</v>
        <stp/>
        <stp>P</stp>
        <stp>0</stp>
        <stp>STK</stp>
        <stp>N445090</stp>
        <stp>현재가</stp>
        <stp/>
        <stp/>
        <tr r="H609" s="1"/>
      </tp>
      <tp>
        <v>277500</v>
        <stp/>
        <stp>P</stp>
        <stp>0</stp>
        <stp>STK</stp>
        <stp>N145020</stp>
        <stp>현재가</stp>
        <stp/>
        <stp/>
        <tr r="H161" s="1"/>
      </tp>
      <tp>
        <v>31050</v>
        <stp/>
        <stp>P</stp>
        <stp>0</stp>
        <stp>STK</stp>
        <stp>N045100</stp>
        <stp>현재가</stp>
        <stp/>
        <stp/>
        <tr r="H503" s="1"/>
      </tp>
      <tp>
        <v>47000</v>
        <stp/>
        <stp>P</stp>
        <stp>0</stp>
        <stp>STK</stp>
        <stp>N145990</stp>
        <stp>현재가</stp>
        <stp/>
        <stp/>
        <tr r="H495" s="1"/>
      </tp>
      <tp>
        <v>7440</v>
        <stp/>
        <stp>P</stp>
        <stp>0</stp>
        <stp>STK</stp>
        <stp>N046890</stp>
        <stp>현재가</stp>
        <stp/>
        <stp/>
        <tr r="H579" s="1"/>
      </tp>
      <tp>
        <v>233000</v>
        <stp/>
        <stp>P</stp>
        <stp>0</stp>
        <stp>STK</stp>
        <stp>N247540</stp>
        <stp>현재가</stp>
        <stp/>
        <stp/>
        <tr r="H57" s="1"/>
      </tp>
      <tp>
        <v>62200</v>
        <stp/>
        <stp>P</stp>
        <stp>0</stp>
        <stp>STK</stp>
        <stp>N047050</stp>
        <stp>현재가</stp>
        <stp/>
        <stp/>
        <tr r="H71" s="1"/>
      </tp>
      <tp>
        <v>4810</v>
        <stp/>
        <stp>P</stp>
        <stp>0</stp>
        <stp>STK</stp>
        <stp>N047040</stp>
        <stp>현재가</stp>
        <stp/>
        <stp/>
        <tr r="H211" s="1"/>
      </tp>
      <tp>
        <v>93500</v>
        <stp/>
        <stp>P</stp>
        <stp>0</stp>
        <stp>STK</stp>
        <stp>N347850</stp>
        <stp>현재가</stp>
        <stp/>
        <stp/>
        <tr r="H141" s="1"/>
      </tp>
      <tp>
        <v>168000</v>
        <stp/>
        <stp>P</stp>
        <stp>0</stp>
        <stp>STK</stp>
        <stp>N047810</stp>
        <stp>현재가</stp>
        <stp/>
        <stp/>
        <tr r="H56" s="1"/>
      </tp>
      <tp>
        <v>16710</v>
        <stp/>
        <stp>P</stp>
        <stp>0</stp>
        <stp>STK</stp>
        <stp>N047920</stp>
        <stp>현재가</stp>
        <stp/>
        <stp/>
        <tr r="H451" s="1"/>
      </tp>
      <tp>
        <v>160700</v>
        <stp/>
        <stp>P</stp>
        <stp>0</stp>
        <stp>STK</stp>
        <stp>N140410</stp>
        <stp>현재가</stp>
        <stp/>
        <stp/>
        <tr r="H154" s="1"/>
      </tp>
      <tp>
        <v>56100</v>
        <stp/>
        <stp>P</stp>
        <stp>0</stp>
        <stp>STK</stp>
        <stp>N340570</stp>
        <stp>현재가</stp>
        <stp/>
        <stp/>
        <tr r="H575" s="1"/>
      </tp>
      <tp>
        <v>290500</v>
        <stp/>
        <stp>P</stp>
        <stp>0</stp>
        <stp>STK</stp>
        <stp>N140860</stp>
        <stp>현재가</stp>
        <stp/>
        <stp/>
        <tr r="H241" s="1"/>
      </tp>
      <tp>
        <v>114400</v>
        <stp/>
        <stp>P</stp>
        <stp>0</stp>
        <stp>STK</stp>
        <stp>N240810</stp>
        <stp>현재가</stp>
        <stp/>
        <stp/>
        <tr r="H133" s="1"/>
      </tp>
      <tp>
        <v>24900</v>
        <stp/>
        <stp>P</stp>
        <stp>0</stp>
        <stp>STK</stp>
        <stp>N241770</stp>
        <stp>현재가</stp>
        <stp/>
        <stp/>
        <tr r="H686" s="1"/>
      </tp>
      <tp>
        <v>93900</v>
        <stp/>
        <stp>P</stp>
        <stp>0</stp>
        <stp>STK</stp>
        <stp>N241710</stp>
        <stp>현재가</stp>
        <stp/>
        <stp/>
        <tr r="H360" s="1"/>
      </tp>
      <tp>
        <v>59400</v>
        <stp/>
        <stp>P</stp>
        <stp>0</stp>
        <stp>STK</stp>
        <stp>N241560</stp>
        <stp>현재가</stp>
        <stp/>
        <stp/>
        <tr r="H103" s="1"/>
      </tp>
      <tp>
        <v>112200</v>
        <stp/>
        <stp>P</stp>
        <stp>0</stp>
        <stp>STK</stp>
        <stp>N041510</stp>
        <stp>현재가</stp>
        <stp/>
        <stp/>
        <tr r="H180" s="1"/>
      </tp>
      <tp>
        <v>9330</v>
        <stp/>
        <stp>P</stp>
        <stp>0</stp>
        <stp>STK</stp>
        <stp>N441270</stp>
        <stp>현재가</stp>
        <stp/>
        <stp/>
        <tr r="H572" s="1"/>
      </tp>
      <tp>
        <v>199600</v>
        <stp/>
        <stp>P</stp>
        <stp>0</stp>
        <stp>STK</stp>
        <stp>N141080</stp>
        <stp>현재가</stp>
        <stp/>
        <stp/>
        <tr r="H108" s="1"/>
      </tp>
      <tp>
        <v>8080</v>
        <stp/>
        <stp>P</stp>
        <stp>0</stp>
        <stp>STK</stp>
        <stp>N041190</stp>
        <stp>현재가</stp>
        <stp/>
        <stp/>
        <tr r="H428" s="1"/>
      </tp>
      <tp>
        <v>31900</v>
        <stp/>
        <stp>P</stp>
        <stp>0</stp>
        <stp>STK</stp>
        <stp>N041830</stp>
        <stp>현재가</stp>
        <stp/>
        <stp/>
        <tr r="H546" s="1"/>
      </tp>
      <tp>
        <v>140100</v>
        <stp/>
        <stp>P</stp>
        <stp>0</stp>
        <stp>STK</stp>
        <stp>N042660</stp>
        <stp>현재가</stp>
        <stp/>
        <stp/>
        <tr r="H23" s="1"/>
      </tp>
      <tp>
        <v>200000</v>
        <stp/>
        <stp>P</stp>
        <stp>0</stp>
        <stp>STK</stp>
        <stp>N042700</stp>
        <stp>현재가</stp>
        <stp/>
        <stp/>
        <tr r="H54" s="1"/>
      </tp>
      <tp>
        <v>39900</v>
        <stp/>
        <stp>P</stp>
        <stp>0</stp>
        <stp>STK</stp>
        <stp>N042520</stp>
        <stp>현재가</stp>
        <stp/>
        <stp/>
        <tr r="H607" s="1"/>
      </tp>
      <tp>
        <v>36850</v>
        <stp/>
        <stp>P</stp>
        <stp>0</stp>
        <stp>STK</stp>
        <stp>N042000</stp>
        <stp>현재가</stp>
        <stp/>
        <stp/>
        <tr r="H370" s="1"/>
      </tp>
      <tp>
        <v>11790</v>
        <stp/>
        <stp>P</stp>
        <stp>0</stp>
        <stp>STK</stp>
        <stp>N043370</stp>
        <stp>현재가</stp>
        <stp/>
        <stp/>
        <tr r="H653" s="1"/>
      </tp>
      <tp>
        <v>27450</v>
        <stp/>
        <stp>P</stp>
        <stp>0</stp>
        <stp>STK</stp>
        <stp>N243070</stp>
        <stp>현재가</stp>
        <stp/>
        <stp/>
        <tr r="H614" s="1"/>
      </tp>
      <tp>
        <v>182000</v>
        <stp/>
        <stp>P</stp>
        <stp>0</stp>
        <stp>STK</stp>
        <stp>N443060</stp>
        <stp>현재가</stp>
        <stp/>
        <stp/>
        <tr r="H86" s="1"/>
      </tp>
      <tp>
        <v>20200</v>
        <stp/>
        <stp>P</stp>
        <stp>0</stp>
        <stp>STK</stp>
        <stp>N043150</stp>
        <stp>현재가</stp>
        <stp/>
        <stp/>
        <tr r="H645" s="1"/>
      </tp>
      <tp>
        <v>161400</v>
        <stp/>
        <stp>P</stp>
        <stp>0</stp>
        <stp>STK</stp>
        <stp>N058610</stp>
        <stp>현재가</stp>
        <stp/>
        <stp/>
        <tr r="H181" s="1"/>
      </tp>
      <tp>
        <v>100000</v>
        <stp/>
        <stp>P</stp>
        <stp>0</stp>
        <stp>STK</stp>
        <stp>N058470</stp>
        <stp>현재가</stp>
        <stp/>
        <stp/>
        <tr r="H112" s="1"/>
      </tp>
      <tp>
        <v>14980</v>
        <stp/>
        <stp>P</stp>
        <stp>0</stp>
        <stp>STK</stp>
        <stp>N358570</stp>
        <stp>현재가</stp>
        <stp/>
        <stp/>
        <tr r="H339" s="1"/>
      </tp>
      <tp>
        <v>164100</v>
        <stp/>
        <stp>P</stp>
        <stp>0</stp>
        <stp>STK</stp>
        <stp>N458870</stp>
        <stp>현재가</stp>
        <stp/>
        <stp/>
        <tr r="H224" s="1"/>
      </tp>
      <tp>
        <v>40350</v>
        <stp/>
        <stp>P</stp>
        <stp>0</stp>
        <stp>STK</stp>
        <stp>N058970</stp>
        <stp>현재가</stp>
        <stp/>
        <stp/>
        <tr r="H512" s="1"/>
      </tp>
      <tp>
        <v>31400</v>
        <stp/>
        <stp>P</stp>
        <stp>0</stp>
        <stp>STK</stp>
        <stp>N459510</stp>
        <stp>현재가</stp>
        <stp/>
        <stp/>
        <tr r="H493" s="1"/>
      </tp>
      <tp>
        <v>17410</v>
        <stp/>
        <stp>P</stp>
        <stp>0</stp>
        <stp>STK</stp>
        <stp>N059090</stp>
        <stp>현재가</stp>
        <stp/>
        <stp/>
        <tr r="H518" s="1"/>
      </tp>
      <tp>
        <v>248500</v>
        <stp/>
        <stp>P</stp>
        <stp>0</stp>
        <stp>STK</stp>
        <stp>N259960</stp>
        <stp>현재가</stp>
        <stp/>
        <stp/>
        <tr r="H70" s="1"/>
      </tp>
      <tp>
        <v>24950</v>
        <stp/>
        <stp>P</stp>
        <stp>0</stp>
        <stp>STK</stp>
        <stp>N054950</stp>
        <stp>현재가</stp>
        <stp/>
        <stp/>
        <tr r="H617" s="1"/>
      </tp>
      <tp>
        <v>114400</v>
        <stp/>
        <stp>P</stp>
        <stp>0</stp>
        <stp>STK</stp>
        <stp>N454910</stp>
        <stp>현재가</stp>
        <stp/>
        <stp/>
        <tr r="H90" s="1"/>
      </tp>
      <tp>
        <v>84900</v>
        <stp/>
        <stp>P</stp>
        <stp>0</stp>
        <stp>STK</stp>
        <stp>N055550</stp>
        <stp>현재가</stp>
        <stp/>
        <stp/>
        <tr r="H25" s="1"/>
      </tp>
      <tp>
        <v>36700</v>
        <stp/>
        <stp>P</stp>
        <stp>0</stp>
        <stp>STK</stp>
        <stp>N455900</stp>
        <stp>현재가</stp>
        <stp/>
        <stp/>
        <tr r="H418" s="1"/>
      </tp>
      <tp>
        <v>7530</v>
        <stp/>
        <stp>P</stp>
        <stp>0</stp>
        <stp>STK</stp>
        <stp>N356680</stp>
        <stp>현재가</stp>
        <stp/>
        <stp/>
        <tr r="H697" s="1"/>
      </tp>
      <tp>
        <v>70300</v>
        <stp/>
        <stp>P</stp>
        <stp>0</stp>
        <stp>STK</stp>
        <stp>N456040</stp>
        <stp>현재가</stp>
        <stp/>
        <stp/>
        <tr r="H412" s="1"/>
      </tp>
      <tp>
        <v>33200</v>
        <stp/>
        <stp>P</stp>
        <stp>0</stp>
        <stp>STK</stp>
        <stp>N056190</stp>
        <stp>현재가</stp>
        <stp/>
        <stp/>
        <tr r="H330" s="1"/>
      </tp>
      <tp>
        <v>77800</v>
        <stp/>
        <stp>P</stp>
        <stp>0</stp>
        <stp>STK</stp>
        <stp>N456160</stp>
        <stp>현재가</stp>
        <stp/>
        <stp/>
        <tr r="H281" s="1"/>
      </tp>
      <tp>
        <v>61900</v>
        <stp/>
        <stp>P</stp>
        <stp>0</stp>
        <stp>STK</stp>
        <stp>N356860</stp>
        <stp>현재가</stp>
        <stp/>
        <stp/>
        <tr r="H456" s="1"/>
      </tp>
      <tp>
        <v>446000</v>
        <stp/>
        <stp>P</stp>
        <stp>0</stp>
        <stp>STK</stp>
        <stp>N357780</stp>
        <stp>현재가</stp>
        <stp/>
        <stp/>
        <tr r="H170" s="1"/>
      </tp>
      <tp>
        <v>52600</v>
        <stp/>
        <stp>P</stp>
        <stp>0</stp>
        <stp>STK</stp>
        <stp>N257720</stp>
        <stp>현재가</stp>
        <stp/>
        <stp/>
        <tr r="H159" s="1"/>
      </tp>
      <tp>
        <v>56000</v>
        <stp/>
        <stp>P</stp>
        <stp>0</stp>
        <stp>STK</stp>
        <stp>N357550</stp>
        <stp>현재가</stp>
        <stp/>
        <stp/>
        <tr r="H612" s="1"/>
      </tp>
      <tp>
        <v>57500</v>
        <stp/>
        <stp>P</stp>
        <stp>0</stp>
        <stp>STK</stp>
        <stp>N057050</stp>
        <stp>현재가</stp>
        <stp/>
        <stp/>
        <tr r="H413" s="1"/>
      </tp>
      <tp>
        <v>112000</v>
        <stp/>
        <stp>P</stp>
        <stp>0</stp>
        <stp>STK</stp>
        <stp>N457190</stp>
        <stp>현재가</stp>
        <stp/>
        <stp/>
        <tr r="H162" s="1"/>
      </tp>
      <tp>
        <v>69100</v>
        <stp/>
        <stp>P</stp>
        <stp>0</stp>
        <stp>STK</stp>
        <stp>N450080</stp>
        <stp>현재가</stp>
        <stp/>
        <stp/>
        <tr r="H124" s="1"/>
      </tp>
      <tp>
        <v>8430</v>
        <stp/>
        <stp>P</stp>
        <stp>0</stp>
        <stp>STK</stp>
        <stp>N050890</stp>
        <stp>현재가</stp>
        <stp/>
        <stp/>
        <tr r="H496" s="1"/>
      </tp>
      <tp>
        <v>14910</v>
        <stp/>
        <stp>P</stp>
        <stp>0</stp>
        <stp>STK</stp>
        <stp>N450950</stp>
        <stp>현재가</stp>
        <stp/>
        <stp/>
        <tr r="H501" s="1"/>
      </tp>
      <tp>
        <v>55400</v>
        <stp/>
        <stp>P</stp>
        <stp>0</stp>
        <stp>STK</stp>
        <stp>N051600</stp>
        <stp>현재가</stp>
        <stp/>
        <stp/>
        <tr r="H169" s="1"/>
      </tp>
      <tp>
        <v>28000</v>
        <stp/>
        <stp>P</stp>
        <stp>0</stp>
        <stp>STK</stp>
        <stp>N051500</stp>
        <stp>현재가</stp>
        <stp/>
        <stp/>
        <tr r="H608" s="1"/>
      </tp>
      <tp>
        <v>51800</v>
        <stp/>
        <stp>P</stp>
        <stp>0</stp>
        <stp>STK</stp>
        <stp>N251270</stp>
        <stp>현재가</stp>
        <stp/>
        <stp/>
        <tr r="H123" s="1"/>
      </tp>
      <tp>
        <v>15320</v>
        <stp/>
        <stp>P</stp>
        <stp>0</stp>
        <stp>STK</stp>
        <stp>N051360</stp>
        <stp>현재가</stp>
        <stp/>
        <stp/>
        <tr r="H675" s="1"/>
      </tp>
      <tp>
        <v>63000</v>
        <stp/>
        <stp>P</stp>
        <stp>0</stp>
        <stp>STK</stp>
        <stp>N251970</stp>
        <stp>현재가</stp>
        <stp/>
        <stp/>
        <tr r="H396" s="1"/>
      </tp>
      <tp>
        <v>309500</v>
        <stp/>
        <stp>P</stp>
        <stp>0</stp>
        <stp>STK</stp>
        <stp>N051910</stp>
        <stp>현재가</stp>
        <stp/>
        <stp/>
        <tr r="H36" s="1"/>
      </tp>
      <tp>
        <v>259000</v>
        <stp/>
        <stp>P</stp>
        <stp>0</stp>
        <stp>STK</stp>
        <stp>N051900</stp>
        <stp>현재가</stp>
        <stp/>
        <stp/>
        <tr r="H127" s="1"/>
      </tp>
      <tp>
        <v>128900</v>
        <stp/>
        <stp>P</stp>
        <stp>0</stp>
        <stp>STK</stp>
        <stp>N052690</stp>
        <stp>현재가</stp>
        <stp/>
        <stp/>
        <tr r="H107" s="1"/>
      </tp>
      <tp>
        <v>36900</v>
        <stp/>
        <stp>P</stp>
        <stp>0</stp>
        <stp>STK</stp>
        <stp>N352480</stp>
        <stp>현재가</stp>
        <stp/>
        <stp/>
        <tr r="H531" s="1"/>
      </tp>
      <tp>
        <v>38100</v>
        <stp/>
        <stp>P</stp>
        <stp>0</stp>
        <stp>STK</stp>
        <stp>N452430</stp>
        <stp>현재가</stp>
        <stp/>
        <stp/>
        <tr r="H661" s="1"/>
      </tp>
      <tp>
        <v>58800</v>
        <stp/>
        <stp>P</stp>
        <stp>0</stp>
        <stp>STK</stp>
        <stp>N052400</stp>
        <stp>현재가</stp>
        <stp/>
        <stp/>
        <tr r="H421" s="1"/>
      </tp>
      <tp>
        <v>367500</v>
        <stp/>
        <stp>P</stp>
        <stp>0</stp>
        <stp>STK</stp>
        <stp>N352820</stp>
        <stp>현재가</stp>
        <stp/>
        <stp/>
        <tr r="H59" s="1"/>
      </tp>
      <tp>
        <v>53300</v>
        <stp/>
        <stp>P</stp>
        <stp>0</stp>
        <stp>STK</stp>
        <stp>N053610</stp>
        <stp>현재가</stp>
        <stp/>
        <stp/>
        <tr r="H541" s="1"/>
      </tp>
      <tp>
        <v>47250</v>
        <stp/>
        <stp>P</stp>
        <stp>0</stp>
        <stp>STK</stp>
        <stp>N253450</stp>
        <stp>현재가</stp>
        <stp/>
        <stp/>
        <tr r="H264" s="1"/>
      </tp>
      <tp>
        <v>15550</v>
        <stp/>
        <stp>P</stp>
        <stp>0</stp>
        <stp>STK</stp>
        <stp>N253590</stp>
        <stp>현재가</stp>
        <stp/>
        <stp/>
        <tr r="H477" s="1"/>
      </tp>
      <tp>
        <v>62800</v>
        <stp/>
        <stp>P</stp>
        <stp>0</stp>
        <stp>STK</stp>
        <stp>N353200</stp>
        <stp>현재가</stp>
        <stp/>
        <stp/>
        <tr r="H179" s="1"/>
      </tp>
      <tp>
        <v>15250</v>
        <stp/>
        <stp>P</stp>
        <stp>0</stp>
        <stp>STK</stp>
        <stp>N453340</stp>
        <stp>현재가</stp>
        <stp/>
        <stp/>
        <tr r="H483" s="1"/>
      </tp>
      <tp>
        <v>15970</v>
        <stp/>
        <stp>P</stp>
        <stp>0</stp>
        <stp>STK</stp>
        <stp>N053030</stp>
        <stp>현재가</stp>
        <stp/>
        <stp/>
        <tr r="H509" s="1"/>
      </tp>
      <tp>
        <v>64900</v>
        <stp/>
        <stp>P</stp>
        <stp>0</stp>
        <stp>STK</stp>
        <stp>N053800</stp>
        <stp>현재가</stp>
        <stp/>
        <stp/>
        <tr r="H404" s="1"/>
      </tp>
      <tp>
        <v>70700</v>
        <stp/>
        <stp>P</stp>
        <stp>0</stp>
        <stp>STK</stp>
        <stp>N068760</stp>
        <stp>현재가</stp>
        <stp/>
        <stp/>
        <tr r="H171" s="1"/>
      </tp>
      <tp>
        <v>78100</v>
        <stp/>
        <stp>P</stp>
        <stp>0</stp>
        <stp>STK</stp>
        <stp>N468530</stp>
        <stp>현재가</stp>
        <stp/>
        <stp/>
        <tr r="H340" s="1"/>
      </tp>
      <tp>
        <v>133100</v>
        <stp/>
        <stp>P</stp>
        <stp>0</stp>
        <stp>STK</stp>
        <stp>N268280</stp>
        <stp>현재가</stp>
        <stp/>
        <stp/>
        <tr r="H391" s="1"/>
      </tp>
      <tp>
        <v>208000</v>
        <stp/>
        <stp>P</stp>
        <stp>0</stp>
        <stp>STK</stp>
        <stp>N068270</stp>
        <stp>현재가</stp>
        <stp/>
        <stp/>
        <tr r="H21" s="1"/>
      </tp>
      <tp>
        <v>18830</v>
        <stp/>
        <stp>P</stp>
        <stp>0</stp>
        <stp>STK</stp>
        <stp>N168360</stp>
        <stp>현재가</stp>
        <stp/>
        <stp/>
        <tr r="H585" s="1"/>
      </tp>
      <tp>
        <v>24200</v>
        <stp/>
        <stp>P</stp>
        <stp>0</stp>
        <stp>STK</stp>
        <stp>N469610</stp>
        <stp>현재가</stp>
        <stp/>
        <stp/>
        <tr r="H699" s="1"/>
      </tp>
      <tp>
        <v>164800</v>
        <stp/>
        <stp>P</stp>
        <stp>0</stp>
        <stp>STK</stp>
        <stp>N069620</stp>
        <stp>현재가</stp>
        <stp/>
        <stp/>
        <tr r="H220" s="1"/>
      </tp>
      <tp>
        <v>19910</v>
        <stp/>
        <stp>P</stp>
        <stp>0</stp>
        <stp>STK</stp>
        <stp>N069260</stp>
        <stp>현재가</stp>
        <stp/>
        <stp/>
        <tr r="H372" s="1"/>
      </tp>
      <tp>
        <v>15800</v>
        <stp/>
        <stp>P</stp>
        <stp>0</stp>
        <stp>STK</stp>
        <stp>N069080</stp>
        <stp>현재가</stp>
        <stp/>
        <stp/>
        <tr r="H526" s="1"/>
      </tp>
      <tp>
        <v>94700</v>
        <stp/>
        <stp>P</stp>
        <stp>0</stp>
        <stp>STK</stp>
        <stp>N069960</stp>
        <stp>현재가</stp>
        <stp/>
        <stp/>
        <tr r="H206" s="1"/>
      </tp>
      <tp>
        <v>222000</v>
        <stp/>
        <stp>P</stp>
        <stp>0</stp>
        <stp>STK</stp>
        <stp>N064760</stp>
        <stp>현재가</stp>
        <stp/>
        <stp/>
        <tr r="H218" s="1"/>
      </tp>
      <tp>
        <v>69200</v>
        <stp/>
        <stp>P</stp>
        <stp>0</stp>
        <stp>STK</stp>
        <stp>N064400</stp>
        <stp>현재가</stp>
        <stp/>
        <stp/>
        <tr r="H94" s="1"/>
      </tp>
      <tp>
        <v>13350</v>
        <stp/>
        <stp>P</stp>
        <stp>0</stp>
        <stp>STK</stp>
        <stp>N064550</stp>
        <stp>현재가</stp>
        <stp/>
        <stp/>
        <tr r="H616" s="1"/>
      </tp>
      <tp>
        <v>231000</v>
        <stp/>
        <stp>P</stp>
        <stp>0</stp>
        <stp>STK</stp>
        <stp>N064350</stp>
        <stp>현재가</stp>
        <stp/>
        <stp/>
        <tr r="H37" s="1"/>
      </tp>
      <tp>
        <v>11370</v>
        <stp/>
        <stp>P</stp>
        <stp>0</stp>
        <stp>STK</stp>
        <stp>N064820</stp>
        <stp>현재가</stp>
        <stp/>
        <stp/>
        <tr r="H551" s="1"/>
      </tp>
      <tp>
        <v>34800</v>
        <stp/>
        <stp>P</stp>
        <stp>0</stp>
        <stp>STK</stp>
        <stp>N064960</stp>
        <stp>현재가</stp>
        <stp/>
        <stp/>
        <tr r="H302" s="1"/>
      </tp>
      <tp>
        <v>31700</v>
        <stp/>
        <stp>P</stp>
        <stp>0</stp>
        <stp>STK</stp>
        <stp>N065680</stp>
        <stp>현재가</stp>
        <stp/>
        <stp/>
        <tr r="H638" s="1"/>
      </tp>
      <tp>
        <v>41250</v>
        <stp/>
        <stp>P</stp>
        <stp>0</stp>
        <stp>STK</stp>
        <stp>N065660</stp>
        <stp>현재가</stp>
        <stp/>
        <stp/>
        <tr r="H556" s="1"/>
      </tp>
      <tp>
        <v>21150</v>
        <stp/>
        <stp>P</stp>
        <stp>0</stp>
        <stp>STK</stp>
        <stp>N265520</stp>
        <stp>현재가</stp>
        <stp/>
        <stp/>
        <tr r="H642" s="1"/>
      </tp>
      <tp>
        <v>80700</v>
        <stp/>
        <stp>P</stp>
        <stp>0</stp>
        <stp>STK</stp>
        <stp>N065350</stp>
        <stp>현재가</stp>
        <stp/>
        <stp/>
        <tr r="H242" s="1"/>
      </tp>
      <tp>
        <v>68300</v>
        <stp/>
        <stp>P</stp>
        <stp>0</stp>
        <stp>STK</stp>
        <stp>N365340</stp>
        <stp>현재가</stp>
        <stp/>
        <stp/>
        <tr r="H422" s="1"/>
      </tp>
      <tp>
        <v>99100</v>
        <stp/>
        <stp>P</stp>
        <stp>0</stp>
        <stp>STK</stp>
        <stp>N066570</stp>
        <stp>현재가</stp>
        <stp/>
        <stp/>
        <tr r="H48" s="1"/>
      </tp>
      <tp>
        <v>63900</v>
        <stp/>
        <stp>P</stp>
        <stp>0</stp>
        <stp>STK</stp>
        <stp>N166090</stp>
        <stp>현재가</stp>
        <stp/>
        <stp/>
        <tr r="H303" s="1"/>
      </tp>
      <tp>
        <v>76300</v>
        <stp/>
        <stp>P</stp>
        <stp>0</stp>
        <stp>STK</stp>
        <stp>N466100</stp>
        <stp>현재가</stp>
        <stp/>
        <stp/>
        <tr r="H219" s="1"/>
      </tp>
      <tp>
        <v>131200</v>
        <stp/>
        <stp>P</stp>
        <stp>0</stp>
        <stp>STK</stp>
        <stp>N066970</stp>
        <stp>현재가</stp>
        <stp/>
        <stp/>
        <tr r="H118" s="1"/>
      </tp>
      <tp>
        <v>107900</v>
        <stp/>
        <stp>P</stp>
        <stp>0</stp>
        <stp>STK</stp>
        <stp>N267270</stp>
        <stp>현재가</stp>
        <stp/>
        <stp/>
        <tr r="H216" s="1"/>
      </tp>
      <tp>
        <v>862000</v>
        <stp/>
        <stp>P</stp>
        <stp>0</stp>
        <stp>STK</stp>
        <stp>N267260</stp>
        <stp>현재가</stp>
        <stp/>
        <stp/>
        <tr r="H29" s="1"/>
      </tp>
      <tp>
        <v>230000</v>
        <stp/>
        <stp>P</stp>
        <stp>0</stp>
        <stp>STK</stp>
        <stp>N267250</stp>
        <stp>현재가</stp>
        <stp/>
        <stp/>
        <tr r="H44" s="1"/>
      </tp>
      <tp>
        <v>37900</v>
        <stp/>
        <stp>P</stp>
        <stp>0</stp>
        <stp>STK</stp>
        <stp>N067310</stp>
        <stp>현재가</stp>
        <stp/>
        <stp/>
        <tr r="H233" s="1"/>
      </tp>
      <tp>
        <v>16095</v>
        <stp/>
        <stp>P</stp>
        <stp>0</stp>
        <stp>STK</stp>
        <stp>N067080</stp>
        <stp>현재가</stp>
        <stp/>
        <stp/>
        <tr r="H623" s="1"/>
      </tp>
      <tp>
        <v>71600</v>
        <stp/>
        <stp>P</stp>
        <stp>0</stp>
        <stp>STK</stp>
        <stp>N067160</stp>
        <stp>현재가</stp>
        <stp/>
        <stp/>
        <tr r="H373" s="1"/>
      </tp>
      <tp>
        <v>35300</v>
        <stp/>
        <stp>P</stp>
        <stp>0</stp>
        <stp>STK</stp>
        <stp>N267980</stp>
        <stp>현재가</stp>
        <stp/>
        <stp/>
        <tr r="H658" s="1"/>
      </tp>
      <tp>
        <v>18690</v>
        <stp/>
        <stp>P</stp>
        <stp>0</stp>
        <stp>STK</stp>
        <stp>N060720</stp>
        <stp>현재가</stp>
        <stp/>
        <stp/>
        <tr r="H573" s="1"/>
      </tp>
      <tp>
        <v>21550</v>
        <stp/>
        <stp>P</stp>
        <stp>0</stp>
        <stp>STK</stp>
        <stp>N060280</stp>
        <stp>현재가</stp>
        <stp/>
        <stp/>
        <tr r="H349" s="1"/>
      </tp>
      <tp>
        <v>23200</v>
        <stp/>
        <stp>P</stp>
        <stp>0</stp>
        <stp>STK</stp>
        <stp>N060250</stp>
        <stp>현재가</stp>
        <stp/>
        <stp/>
        <tr r="H440" s="1"/>
      </tp>
      <tp>
        <v>31500</v>
        <stp/>
        <stp>P</stp>
        <stp>0</stp>
        <stp>STK</stp>
        <stp>N060370</stp>
        <stp>현재가</stp>
        <stp/>
        <stp/>
        <tr r="H256" s="1"/>
      </tp>
      <tp>
        <v>82900</v>
        <stp/>
        <stp>P</stp>
        <stp>0</stp>
        <stp>STK</stp>
        <stp>N160190</stp>
        <stp>현재가</stp>
        <stp/>
        <stp/>
        <tr r="H193" s="1"/>
      </tp>
      <tp>
        <v>8500</v>
        <stp/>
        <stp>P</stp>
        <stp>0</stp>
        <stp>STK</stp>
        <stp>N460860</stp>
        <stp>현재가</stp>
        <stp/>
        <stp/>
        <tr r="H536" s="1"/>
      </tp>
      <tp>
        <v>45150</v>
        <stp/>
        <stp>P</stp>
        <stp>0</stp>
        <stp>STK</stp>
        <stp>N060980</stp>
        <stp>현재가</stp>
        <stp/>
        <stp/>
        <tr r="H508" s="1"/>
      </tp>
      <tp>
        <v>17610</v>
        <stp/>
        <stp>P</stp>
        <stp>0</stp>
        <stp>STK</stp>
        <stp>N460930</stp>
        <stp>현재가</stp>
        <stp/>
        <stp/>
        <tr r="H399" s="1"/>
      </tp>
      <tp>
        <v>27300</v>
        <stp/>
        <stp>P</stp>
        <stp>0</stp>
        <stp>STK</stp>
        <stp>N361610</stp>
        <stp>현재가</stp>
        <stp/>
        <stp/>
        <tr r="H214" s="1"/>
      </tp>
      <tp>
        <v>56800</v>
        <stp/>
        <stp>P</stp>
        <stp>0</stp>
        <stp>STK</stp>
        <stp>N161580</stp>
        <stp>현재가</stp>
        <stp/>
        <stp/>
        <tr r="H314" s="1"/>
      </tp>
      <tp>
        <v>64400</v>
        <stp/>
        <stp>P</stp>
        <stp>0</stp>
        <stp>STK</stp>
        <stp>N161390</stp>
        <stp>현재가</stp>
        <stp/>
        <stp/>
        <tr r="H84" s="1"/>
      </tp>
      <tp>
        <v>45900</v>
        <stp/>
        <stp>P</stp>
        <stp>0</stp>
        <stp>STK</stp>
        <stp>N061090</stp>
        <stp>현재가</stp>
        <stp/>
        <stp/>
        <tr r="H682" s="1"/>
      </tp>
      <tp>
        <v>10100</v>
        <stp/>
        <stp>P</stp>
        <stp>0</stp>
        <stp>STK</stp>
        <stp>N161000</stp>
        <stp>현재가</stp>
        <stp/>
        <stp/>
        <tr r="H524" s="1"/>
      </tp>
      <tp>
        <v>68900</v>
        <stp/>
        <stp>P</stp>
        <stp>0</stp>
        <stp>STK</stp>
        <stp>N161890</stp>
        <stp>현재가</stp>
        <stp/>
        <stp/>
        <tr r="H248" s="1"/>
      </tp>
      <tp>
        <v>143100</v>
        <stp/>
        <stp>P</stp>
        <stp>0</stp>
        <stp>STK</stp>
        <stp>N062040</stp>
        <stp>현재가</stp>
        <stp/>
        <stp/>
        <tr r="H122" s="1"/>
      </tp>
      <tp>
        <v>33500</v>
        <stp/>
        <stp>P</stp>
        <stp>0</stp>
        <stp>STK</stp>
        <stp>N462870</stp>
        <stp>현재가</stp>
        <stp/>
        <stp/>
        <tr r="H217" s="1"/>
      </tp>
      <tp>
        <v>56400</v>
        <stp/>
        <stp>P</stp>
        <stp>0</stp>
        <stp>STK</stp>
        <stp>N263750</stp>
        <stp>현재가</stp>
        <stp/>
        <stp/>
        <tr r="H165" s="1"/>
      </tp>
      <tp>
        <v>77300</v>
        <stp/>
        <stp>P</stp>
        <stp>0</stp>
        <stp>STK</stp>
        <stp>N078600</stp>
        <stp>현재가</stp>
        <stp/>
        <stp/>
        <tr r="H320" s="1"/>
      </tp>
      <tp>
        <v>276000</v>
        <stp/>
        <stp>P</stp>
        <stp>0</stp>
        <stp>STK</stp>
        <stp>N278470</stp>
        <stp>현재가</stp>
        <stp/>
        <stp/>
        <tr r="H77" s="1"/>
      </tp>
      <tp>
        <v>10470</v>
        <stp/>
        <stp>P</stp>
        <stp>0</stp>
        <stp>STK</stp>
        <stp>N078520</stp>
        <stp>현재가</stp>
        <stp/>
        <stp/>
        <tr r="H673" s="1"/>
      </tp>
      <tp>
        <v>59100</v>
        <stp/>
        <stp>P</stp>
        <stp>0</stp>
        <stp>STK</stp>
        <stp>N278280</stp>
        <stp>현재가</stp>
        <stp/>
        <stp/>
        <tr r="H437" s="1"/>
      </tp>
      <tp>
        <v>26300</v>
        <stp/>
        <stp>P</stp>
        <stp>0</stp>
        <stp>STK</stp>
        <stp>N078350</stp>
        <stp>현재가</stp>
        <stp/>
        <stp/>
        <tr r="H569" s="1"/>
      </tp>
      <tp>
        <v>35800</v>
        <stp/>
        <stp>P</stp>
        <stp>0</stp>
        <stp>STK</stp>
        <stp>N078340</stp>
        <stp>현재가</stp>
        <stp/>
        <stp/>
        <tr r="H543" s="1"/>
      </tp>
      <tp>
        <v>16880</v>
        <stp/>
        <stp>P</stp>
        <stp>0</stp>
        <stp>STK</stp>
        <stp>N378340</stp>
        <stp>현재가</stp>
        <stp/>
        <stp/>
        <tr r="H651" s="1"/>
      </tp>
      <tp>
        <v>60000</v>
        <stp/>
        <stp>P</stp>
        <stp>0</stp>
        <stp>STK</stp>
        <stp>N478340</stp>
        <stp>현재가</stp>
        <stp/>
        <stp/>
        <tr r="H425" s="1"/>
      </tp>
      <tp>
        <v>37650</v>
        <stp/>
        <stp>P</stp>
        <stp>0</stp>
        <stp>STK</stp>
        <stp>N178320</stp>
        <stp>현재가</stp>
        <stp/>
        <stp/>
        <tr r="H231" s="1"/>
      </tp>
      <tp>
        <v>24750</v>
        <stp/>
        <stp>P</stp>
        <stp>0</stp>
        <stp>STK</stp>
        <stp>N078160</stp>
        <stp>현재가</stp>
        <stp/>
        <stp/>
        <tr r="H438" s="1"/>
      </tp>
      <tp>
        <v>66750</v>
        <stp/>
        <stp>P</stp>
        <stp>0</stp>
        <stp>STK</stp>
        <stp>N078930</stp>
        <stp>현재가</stp>
        <stp/>
        <stp/>
        <tr r="H104" s="1"/>
      </tp>
      <tp>
        <v>16100</v>
        <stp/>
        <stp>P</stp>
        <stp>0</stp>
        <stp>STK</stp>
        <stp>N178920</stp>
        <stp>현재가</stp>
        <stp/>
        <stp/>
        <tr r="H504" s="1"/>
      </tp>
      <tp>
        <v>474500</v>
        <stp/>
        <stp>P</stp>
        <stp>0</stp>
        <stp>STK</stp>
        <stp>N079550</stp>
        <stp>현재가</stp>
        <stp/>
        <stp/>
        <tr r="H69" s="1"/>
      </tp>
      <tp>
        <v>19950</v>
        <stp/>
        <stp>P</stp>
        <stp>0</stp>
        <stp>STK</stp>
        <stp>N079370</stp>
        <stp>현재가</stp>
        <stp/>
        <stp/>
        <tr r="H490" s="1"/>
      </tp>
      <tp>
        <v>32800</v>
        <stp/>
        <stp>P</stp>
        <stp>0</stp>
        <stp>STK</stp>
        <stp>N079940</stp>
        <stp>현재가</stp>
        <stp/>
        <stp/>
        <tr r="H520" s="1"/>
      </tp>
      <tp>
        <v>23850</v>
        <stp/>
        <stp>P</stp>
        <stp>0</stp>
        <stp>STK</stp>
        <stp>N179900</stp>
        <stp>현재가</stp>
        <stp/>
        <stp/>
        <tr r="H528" s="1"/>
      </tp>
      <tp>
        <v>50700</v>
        <stp/>
        <stp>P</stp>
        <stp>0</stp>
        <stp>STK</stp>
        <stp>N079900</stp>
        <stp>현재가</stp>
        <stp/>
        <stp/>
        <tr r="H385" s="1"/>
      </tp>
      <tp>
        <v>27850</v>
        <stp/>
        <stp>P</stp>
        <stp>0</stp>
        <stp>STK</stp>
        <stp>N074600</stp>
        <stp>현재가</stp>
        <stp/>
        <stp/>
        <tr r="H408" s="1"/>
      </tp>
      <tp>
        <v>43800</v>
        <stp/>
        <stp>P</stp>
        <stp>0</stp>
        <stp>STK</stp>
        <stp>N475400</stp>
        <stp>현재가</stp>
        <stp/>
        <stp/>
        <tr r="H463" s="1"/>
      </tp>
      <tp>
        <v>19030</v>
        <stp/>
        <stp>P</stp>
        <stp>0</stp>
        <stp>STK</stp>
        <stp>N075580</stp>
        <stp>현재가</stp>
        <stp/>
        <stp/>
        <tr r="H299" s="1"/>
      </tp>
      <tp>
        <v>44050</v>
        <stp/>
        <stp>P</stp>
        <stp>0</stp>
        <stp>STK</stp>
        <stp>N375500</stp>
        <stp>현재가</stp>
        <stp/>
        <stp/>
        <tr r="H238" s="1"/>
      </tp>
      <tp>
        <v>23950</v>
        <stp/>
        <stp>P</stp>
        <stp>0</stp>
        <stp>STK</stp>
        <stp>N475560</stp>
        <stp>현재가</stp>
        <stp/>
        <stp/>
        <tr r="H574" s="1"/>
      </tp>
      <tp>
        <v>25550</v>
        <stp/>
        <stp>P</stp>
        <stp>0</stp>
        <stp>STK</stp>
        <stp>N175330</stp>
        <stp>현재가</stp>
        <stp/>
        <stp/>
        <tr r="H121" s="1"/>
      </tp>
      <tp>
        <v>19760</v>
        <stp/>
        <stp>P</stp>
        <stp>0</stp>
        <stp>STK</stp>
        <stp>N475150</stp>
        <stp>현재가</stp>
        <stp/>
        <stp/>
        <tr r="H402" s="1"/>
      </tp>
      <tp>
        <v>111500</v>
        <stp/>
        <stp>P</stp>
        <stp>0</stp>
        <stp>STK</stp>
        <stp>N475830</stp>
        <stp>현재가</stp>
        <stp/>
        <stp/>
        <tr r="H200" s="1"/>
      </tp>
      <tp>
        <v>47350</v>
        <stp/>
        <stp>P</stp>
        <stp>0</stp>
        <stp>STK</stp>
        <stp>N475960</stp>
        <stp>현재가</stp>
        <stp/>
        <stp/>
        <tr r="H431" s="1"/>
      </tp>
      <tp>
        <v>10390</v>
        <stp/>
        <stp>P</stp>
        <stp>0</stp>
        <stp>STK</stp>
        <stp>N176750</stp>
        <stp>현재가</stp>
        <stp/>
        <stp/>
        <tr r="H678" s="1"/>
      </tp>
      <tp>
        <v>86500</v>
        <stp/>
        <stp>P</stp>
        <stp>0</stp>
        <stp>STK</stp>
        <stp>N376270</stp>
        <stp>현재가</stp>
        <stp/>
        <stp/>
        <tr r="H555" s="1"/>
      </tp>
      <tp>
        <v>36700</v>
        <stp/>
        <stp>P</stp>
        <stp>0</stp>
        <stp>STK</stp>
        <stp>N376300</stp>
        <stp>현재가</stp>
        <stp/>
        <stp/>
        <tr r="H367" s="1"/>
      </tp>
      <tp>
        <v>18200</v>
        <stp/>
        <stp>P</stp>
        <stp>0</stp>
        <stp>STK</stp>
        <stp>N476060</stp>
        <stp>현재가</stp>
        <stp/>
        <stp/>
        <tr r="H343" s="1"/>
      </tp>
      <tp>
        <v>148700</v>
        <stp/>
        <stp>P</stp>
        <stp>0</stp>
        <stp>STK</stp>
        <stp>N476830</stp>
        <stp>현재가</stp>
        <stp/>
        <stp/>
        <tr r="H212" s="1"/>
      </tp>
      <tp>
        <v>61500</v>
        <stp/>
        <stp>P</stp>
        <stp>0</stp>
        <stp>STK</stp>
        <stp>N376900</stp>
        <stp>현재가</stp>
        <stp/>
        <stp/>
        <tr r="H313" s="1"/>
      </tp>
      <tp>
        <v>64400</v>
        <stp/>
        <stp>P</stp>
        <stp>0</stp>
        <stp>STK</stp>
        <stp>N377300</stp>
        <stp>현재가</stp>
        <stp/>
        <stp/>
        <tr r="H95" s="1"/>
      </tp>
      <tp>
        <v>754000</v>
        <stp/>
        <stp>P</stp>
        <stp>0</stp>
        <stp>STK</stp>
        <stp>N277810</stp>
        <stp>현재가</stp>
        <stp/>
        <stp/>
        <tr r="H74" s="1"/>
      </tp>
      <tp>
        <v>33400</v>
        <stp/>
        <stp>P</stp>
        <stp>0</stp>
        <stp>STK</stp>
        <stp>N077970</stp>
        <stp>현재가</stp>
        <stp/>
        <stp/>
        <tr r="H249" s="1"/>
      </tp>
      <tp>
        <v>25950</v>
        <stp/>
        <stp>P</stp>
        <stp>0</stp>
        <stp>STK</stp>
        <stp>N270660</stp>
        <stp>현재가</stp>
        <stp/>
        <stp/>
        <tr r="H542" s="1"/>
      </tp>
      <tp>
        <v>54000</v>
        <stp/>
        <stp>P</stp>
        <stp>0</stp>
        <stp>STK</stp>
        <stp>N170900</stp>
        <stp>현재가</stp>
        <stp/>
        <stp/>
        <tr r="H499" s="1"/>
      </tp>
      <tp>
        <v>118000</v>
        <stp/>
        <stp>P</stp>
        <stp>0</stp>
        <stp>STK</stp>
        <stp>N271560</stp>
        <stp>현재가</stp>
        <stp/>
        <stp/>
        <tr r="H117" s="1"/>
      </tp>
      <tp>
        <v>99200</v>
        <stp/>
        <stp>P</stp>
        <stp>0</stp>
        <stp>STK</stp>
        <stp>N071320</stp>
        <stp>현재가</stp>
        <stp/>
        <stp/>
        <tr r="H274" s="1"/>
      </tp>
      <tp>
        <v>65800</v>
        <stp/>
        <stp>P</stp>
        <stp>0</stp>
        <stp>STK</stp>
        <stp>N171090</stp>
        <stp>현재가</stp>
        <stp/>
        <stp/>
        <tr r="H459" s="1"/>
      </tp>
      <tp>
        <v>209000</v>
        <stp/>
        <stp>P</stp>
        <stp>0</stp>
        <stp>STK</stp>
        <stp>N071050</stp>
        <stp>현재가</stp>
        <stp/>
        <stp/>
        <tr r="H73" s="1"/>
      </tp>
      <tp>
        <v>86800</v>
        <stp/>
        <stp>P</stp>
        <stp>0</stp>
        <stp>STK</stp>
        <stp>N071970</stp>
        <stp>현재가</stp>
        <stp/>
        <stp/>
        <tr r="H151" s="1"/>
      </tp>
      <tp>
        <v>13840</v>
        <stp/>
        <stp>P</stp>
        <stp>0</stp>
        <stp>STK</stp>
        <stp>N271940</stp>
        <stp>현재가</stp>
        <stp/>
        <stp/>
        <tr r="H484" s="1"/>
      </tp>
      <tp>
        <v>87400</v>
        <stp/>
        <stp>P</stp>
        <stp>0</stp>
        <stp>STK</stp>
        <stp>N072710</stp>
        <stp>현재가</stp>
        <stp/>
        <stp/>
        <tr r="H539" s="1"/>
      </tp>
      <tp>
        <v>32200</v>
        <stp/>
        <stp>P</stp>
        <stp>0</stp>
        <stp>STK</stp>
        <stp>N272290</stp>
        <stp>현재가</stp>
        <stp/>
        <stp/>
        <tr r="H472" s="1"/>
      </tp>
      <tp>
        <v>97400</v>
        <stp/>
        <stp>P</stp>
        <stp>0</stp>
        <stp>STK</stp>
        <stp>N272210</stp>
        <stp>현재가</stp>
        <stp/>
        <stp/>
        <tr r="H53" s="1"/>
      </tp>
      <tp>
        <v>48450</v>
        <stp/>
        <stp>P</stp>
        <stp>0</stp>
        <stp>STK</stp>
        <stp>N372320</stp>
        <stp>현재가</stp>
        <stp/>
        <stp/>
        <tr r="H403" s="1"/>
      </tp>
      <tp>
        <v>36350</v>
        <stp/>
        <stp>P</stp>
        <stp>0</stp>
        <stp>STK</stp>
        <stp>N372170</stp>
        <stp>현재가</stp>
        <stp/>
        <stp/>
        <tr r="H680" s="1"/>
      </tp>
      <tp>
        <v>5700</v>
        <stp/>
        <stp>P</stp>
        <stp>0</stp>
        <stp>STK</stp>
        <stp>N472850</stp>
        <stp>현재가</stp>
        <stp/>
        <stp/>
        <tr r="H640" s="1"/>
      </tp>
      <tp>
        <v>5980</v>
        <stp/>
        <stp>P</stp>
        <stp>0</stp>
        <stp>STK</stp>
        <stp>N073240</stp>
        <stp>현재가</stp>
        <stp/>
        <stp/>
        <tr r="H227" s="1"/>
      </tp>
      <tp>
        <v>396000</v>
        <stp/>
        <stp>P</stp>
        <stp>0</stp>
        <stp>STK</stp>
        <stp>N373220</stp>
        <stp>현재가</stp>
        <stp/>
        <stp/>
        <tr r="H12" s="1"/>
      </tp>
      <tp>
        <v>23350</v>
        <stp/>
        <stp>P</stp>
        <stp>0</stp>
        <stp>STK</stp>
        <stp>N473980</stp>
        <stp>현재가</stp>
        <stp/>
        <stp/>
        <tr r="H649" s="1"/>
      </tp>
      <tp>
        <v>32300</v>
        <stp/>
        <stp>P</stp>
        <stp>0</stp>
        <stp>STK</stp>
        <stp>N0008Z0</stp>
        <stp>저가</stp>
        <stp/>
        <stp/>
        <tr r="R613" s="1"/>
      </tp>
      <tp>
        <v>33350</v>
        <stp/>
        <stp>P</stp>
        <stp>0</stp>
        <stp>STK</stp>
        <stp>N0008Z0</stp>
        <stp>시가</stp>
        <stp/>
        <stp/>
        <tr r="P613" s="1"/>
      </tp>
      <tp>
        <v>33450</v>
        <stp/>
        <stp>P</stp>
        <stp>0</stp>
        <stp>STK</stp>
        <stp>N0008Z0</stp>
        <stp>고가</stp>
        <stp/>
        <stp/>
        <tr r="Q613" s="1"/>
      </tp>
      <tp>
        <v>592000</v>
        <stp/>
        <stp>P</stp>
        <stp>0</stp>
        <stp>STK</stp>
        <stp>N0126Z0</stp>
        <stp>저가</stp>
        <stp/>
        <stp/>
        <tr r="R60" s="1"/>
      </tp>
      <tp>
        <v>609000</v>
        <stp/>
        <stp>P</stp>
        <stp>0</stp>
        <stp>STK</stp>
        <stp>N0126Z0</stp>
        <stp>시가</stp>
        <stp/>
        <stp/>
        <tr r="P60" s="1"/>
      </tp>
      <tp>
        <v>609000</v>
        <stp/>
        <stp>P</stp>
        <stp>0</stp>
        <stp>STK</stp>
        <stp>N0126Z0</stp>
        <stp>고가</stp>
        <stp/>
        <stp/>
        <tr r="Q60" s="1"/>
      </tp>
      <tp>
        <v>50900</v>
        <stp/>
        <stp>P</stp>
        <stp>0</stp>
        <stp>STK</stp>
        <stp>N0009K0</stp>
        <stp>저가</stp>
        <stp/>
        <stp/>
        <tr r="R146" s="1"/>
      </tp>
      <tp>
        <v>54300</v>
        <stp/>
        <stp>P</stp>
        <stp>0</stp>
        <stp>STK</stp>
        <stp>N0009K0</stp>
        <stp>시가</stp>
        <stp/>
        <stp/>
        <tr r="P146" s="1"/>
      </tp>
      <tp>
        <v>54300</v>
        <stp/>
        <stp>P</stp>
        <stp>0</stp>
        <stp>STK</stp>
        <stp>N0009K0</stp>
        <stp>고가</stp>
        <stp/>
        <stp/>
        <tr r="Q146" s="1"/>
      </tp>
      <tp>
        <v>88800</v>
        <stp/>
        <stp>P</stp>
        <stp>0</stp>
        <stp>STK</stp>
        <stp>N0120G0</stp>
        <stp>저가</stp>
        <stp/>
        <stp/>
        <tr r="R436" s="1"/>
      </tp>
      <tp>
        <v>93700</v>
        <stp/>
        <stp>P</stp>
        <stp>0</stp>
        <stp>STK</stp>
        <stp>N0120G0</stp>
        <stp>시가</stp>
        <stp/>
        <stp/>
        <tr r="P436" s="1"/>
      </tp>
      <tp>
        <v>95100</v>
        <stp/>
        <stp>P</stp>
        <stp>0</stp>
        <stp>STK</stp>
        <stp>N0120G0</stp>
        <stp>고가</stp>
        <stp/>
        <stp/>
        <tr r="Q436" s="1"/>
      </tp>
      <tp>
        <v>43600</v>
        <stp/>
        <stp>P</stp>
        <stp>0</stp>
        <stp>STK</stp>
        <stp>N0007C0</stp>
        <stp>저가</stp>
        <stp/>
        <stp/>
        <tr r="R688" s="1"/>
      </tp>
      <tp>
        <v>43600</v>
        <stp/>
        <stp>P</stp>
        <stp>0</stp>
        <stp>STK</stp>
        <stp>N0007C0</stp>
        <stp>시가</stp>
        <stp/>
        <stp/>
        <tr r="P688" s="1"/>
      </tp>
      <tp>
        <v>47600</v>
        <stp/>
        <stp>P</stp>
        <stp>0</stp>
        <stp>STK</stp>
        <stp>N0007C0</stp>
        <stp>고가</stp>
        <stp/>
        <stp/>
        <tr r="Q688" s="1"/>
      </tp>
      <tp>
        <v>61900</v>
        <stp/>
        <stp>P</stp>
        <stp>0</stp>
        <stp>STK</stp>
        <stp>N489790</stp>
        <stp>시가</stp>
        <stp/>
        <stp/>
        <tr r="P173" s="1"/>
      </tp>
      <tp>
        <v>41150</v>
        <stp/>
        <stp>P</stp>
        <stp>0</stp>
        <stp>STK</stp>
        <stp>N486990</stp>
        <stp>저가</stp>
        <stp/>
        <stp/>
        <tr r="R318" s="1"/>
      </tp>
      <tp>
        <v>12780</v>
        <stp/>
        <stp>P</stp>
        <stp>0</stp>
        <stp>STK</stp>
        <stp>N484590</stp>
        <stp>저가</stp>
        <stp/>
        <stp/>
        <tr r="R453" s="1"/>
      </tp>
      <tp>
        <v>59200</v>
        <stp/>
        <stp>P</stp>
        <stp>0</stp>
        <stp>STK</stp>
        <stp>N489790</stp>
        <stp>저가</stp>
        <stp/>
        <stp/>
        <tr r="R173" s="1"/>
      </tp>
      <tp>
        <v>13230</v>
        <stp/>
        <stp>P</stp>
        <stp>0</stp>
        <stp>STK</stp>
        <stp>N484590</stp>
        <stp>시가</stp>
        <stp/>
        <stp/>
        <tr r="P453" s="1"/>
      </tp>
      <tp>
        <v>42900</v>
        <stp/>
        <stp>P</stp>
        <stp>0</stp>
        <stp>STK</stp>
        <stp>N486990</stp>
        <stp>시가</stp>
        <stp/>
        <stp/>
        <tr r="P318" s="1"/>
      </tp>
      <tp>
        <v>42900</v>
        <stp/>
        <stp>P</stp>
        <stp>0</stp>
        <stp>STK</stp>
        <stp>N486990</stp>
        <stp>고가</stp>
        <stp/>
        <stp/>
        <tr r="Q318" s="1"/>
      </tp>
      <tp>
        <v>13400</v>
        <stp/>
        <stp>P</stp>
        <stp>0</stp>
        <stp>STK</stp>
        <stp>N484590</stp>
        <stp>고가</stp>
        <stp/>
        <stp/>
        <tr r="Q453" s="1"/>
      </tp>
      <tp>
        <v>61900</v>
        <stp/>
        <stp>P</stp>
        <stp>0</stp>
        <stp>STK</stp>
        <stp>N489790</stp>
        <stp>고가</stp>
        <stp/>
        <stp/>
        <tr r="Q173" s="1"/>
      </tp>
      <tp>
        <v>51200</v>
        <stp/>
        <stp>P</stp>
        <stp>0</stp>
        <stp>STK</stp>
        <stp>N499790</stp>
        <stp>시가</stp>
        <stp/>
        <stp/>
        <tr r="P362" s="1"/>
      </tp>
      <tp>
        <v>48600</v>
        <stp/>
        <stp>P</stp>
        <stp>0</stp>
        <stp>STK</stp>
        <stp>N499790</stp>
        <stp>저가</stp>
        <stp/>
        <stp/>
        <tr r="R362" s="1"/>
      </tp>
      <tp>
        <v>52700</v>
        <stp/>
        <stp>P</stp>
        <stp>0</stp>
        <stp>STK</stp>
        <stp>N499790</stp>
        <stp>고가</stp>
        <stp/>
        <stp/>
        <tr r="Q362" s="1"/>
      </tp>
      <tp>
        <v>14350</v>
        <stp/>
        <stp>P</stp>
        <stp>0</stp>
        <stp>STK</stp>
        <stp>N439090</stp>
        <stp>시가</stp>
        <stp/>
        <stp/>
        <tr r="P695" s="1"/>
      </tp>
      <tp>
        <v>14050</v>
        <stp/>
        <stp>P</stp>
        <stp>0</stp>
        <stp>STK</stp>
        <stp>N439090</stp>
        <stp>저가</stp>
        <stp/>
        <stp/>
        <tr r="R695" s="1"/>
      </tp>
      <tp>
        <v>14400</v>
        <stp/>
        <stp>P</stp>
        <stp>0</stp>
        <stp>STK</stp>
        <stp>N439090</stp>
        <stp>고가</stp>
        <stp/>
        <stp/>
        <tr r="Q695" s="1"/>
      </tp>
      <tp>
        <v>30550</v>
        <stp/>
        <stp>P</stp>
        <stp>0</stp>
        <stp>STK</stp>
        <stp>N445090</stp>
        <stp>저가</stp>
        <stp/>
        <stp/>
        <tr r="R609" s="1"/>
      </tp>
      <tp>
        <v>31300</v>
        <stp/>
        <stp>P</stp>
        <stp>0</stp>
        <stp>STK</stp>
        <stp>N445090</stp>
        <stp>시가</stp>
        <stp/>
        <stp/>
        <tr r="P609" s="1"/>
      </tp>
      <tp>
        <v>31300</v>
        <stp/>
        <stp>P</stp>
        <stp>0</stp>
        <stp>STK</stp>
        <stp>N445090</stp>
        <stp>고가</stp>
        <stp/>
        <stp/>
        <tr r="Q609" s="1"/>
      </tp>
      <tp>
        <v>101600</v>
        <stp/>
        <stp>P</stp>
        <stp>0</stp>
        <stp>STK</stp>
        <stp>N457190</stp>
        <stp>저가</stp>
        <stp/>
        <stp/>
        <tr r="R162" s="1"/>
      </tp>
      <tp>
        <v>104400</v>
        <stp/>
        <stp>P</stp>
        <stp>0</stp>
        <stp>STK</stp>
        <stp>N457190</stp>
        <stp>시가</stp>
        <stp/>
        <stp/>
        <tr r="P162" s="1"/>
      </tp>
      <tp>
        <v>111000</v>
        <stp/>
        <stp>P</stp>
        <stp>0</stp>
        <stp>STK</stp>
        <stp>N457190</stp>
        <stp>고가</stp>
        <stp/>
        <stp/>
        <tr r="Q162" s="1"/>
      </tp>
      <tp>
        <v>38295</v>
        <stp/>
        <stp>P</stp>
        <stp>0</stp>
        <stp>STK</stp>
        <stp>N0120G0</stp>
        <stp>누적거래량</stp>
        <stp/>
        <stp/>
        <tr r="M436" s="1"/>
      </tp>
      <tp>
        <v>338846</v>
        <stp/>
        <stp>P</stp>
        <stp>0</stp>
        <stp>STK</stp>
        <stp>N397030</stp>
        <stp>누적거래량</stp>
        <stp/>
        <stp/>
        <tr r="M296" s="1"/>
      </tp>
      <tp>
        <v>4283</v>
        <stp/>
        <stp>P</stp>
        <stp>0</stp>
        <stp>STK</stp>
        <stp>N298020</stp>
        <stp>누적거래량</stp>
        <stp/>
        <stp/>
        <tr r="M234" s="1"/>
      </tp>
      <tp>
        <v>8187</v>
        <stp/>
        <stp>P</stp>
        <stp>0</stp>
        <stp>STK</stp>
        <stp>N456040</stp>
        <stp>누적거래량</stp>
        <stp/>
        <stp/>
        <tr r="M412" s="1"/>
      </tp>
      <tp>
        <v>26757</v>
        <stp/>
        <stp>P</stp>
        <stp>0</stp>
        <stp>STK</stp>
        <stp>N042000</stp>
        <stp>누적거래량</stp>
        <stp/>
        <stp/>
        <tr r="M370" s="1"/>
      </tp>
      <tp>
        <v>22617</v>
        <stp/>
        <stp>P</stp>
        <stp>0</stp>
        <stp>STK</stp>
        <stp>N030000</stp>
        <stp>누적거래량</stp>
        <stp/>
        <stp/>
        <tr r="M187" s="1"/>
      </tp>
      <tp>
        <v>10880</v>
        <stp/>
        <stp>P</stp>
        <stp>0</stp>
        <stp>STK</stp>
        <stp>N020000</stp>
        <stp>누적거래량</stp>
        <stp/>
        <stp/>
        <tr r="M587" s="1"/>
      </tp>
      <tp>
        <v>21999</v>
        <stp/>
        <stp>P</stp>
        <stp>0</stp>
        <stp>STK</stp>
        <stp>N326030</stp>
        <stp>누적거래량</stp>
        <stp/>
        <stp/>
        <tr r="M81" s="1"/>
      </tp>
      <tp>
        <v>4307</v>
        <stp/>
        <stp>P</stp>
        <stp>0</stp>
        <stp>STK</stp>
        <stp>N004000</stp>
        <stp>누적거래량</stp>
        <stp/>
        <stp/>
        <tr r="M290" s="1"/>
      </tp>
      <tp>
        <v>10723</v>
        <stp/>
        <stp>P</stp>
        <stp>0</stp>
        <stp>STK</stp>
        <stp>N299030</stp>
        <stp>누적거래량</stp>
        <stp/>
        <stp/>
        <tr r="M694" s="1"/>
      </tp>
      <tp>
        <v>2203</v>
        <stp/>
        <stp>P</stp>
        <stp>0</stp>
        <stp>STK</stp>
        <stp>N084010</stp>
        <stp>누적거래량</stp>
        <stp/>
        <stp/>
        <tr r="M687" s="1"/>
      </tp>
      <tp>
        <v>64671</v>
        <stp/>
        <stp>P</stp>
        <stp>0</stp>
        <stp>STK</stp>
        <stp>N087010</stp>
        <stp>누적거래량</stp>
        <stp/>
        <stp/>
        <tr r="M111" s="1"/>
      </tp>
      <tp>
        <v>241493</v>
        <stp/>
        <stp>P</stp>
        <stp>0</stp>
        <stp>STK</stp>
        <stp>N089010</stp>
        <stp>누적거래량</stp>
        <stp/>
        <stp/>
        <tr r="M466" s="1"/>
      </tp>
      <tp>
        <v>949570</v>
        <stp/>
        <stp>P</stp>
        <stp>0</stp>
        <stp>STK</stp>
        <stp>N161000</stp>
        <stp>누적거래량</stp>
        <stp/>
        <stp/>
        <tr r="M524" s="1"/>
      </tp>
      <tp>
        <v>113086</v>
        <stp/>
        <stp>P</stp>
        <stp>0</stp>
        <stp>STK</stp>
        <stp>N476060</stp>
        <stp>누적거래량</stp>
        <stp/>
        <stp/>
        <tr r="M343" s="1"/>
      </tp>
      <tp>
        <v>8593</v>
        <stp/>
        <stp>P</stp>
        <stp>0</stp>
        <stp>STK</stp>
        <stp>N443060</stp>
        <stp>누적거래량</stp>
        <stp/>
        <stp/>
        <tr r="M86" s="1"/>
      </tp>
      <tp>
        <v>1705356</v>
        <stp/>
        <stp>P</stp>
        <stp>0</stp>
        <stp>STK</stp>
        <stp>N034020</stp>
        <stp>누적거래량</stp>
        <stp/>
        <stp/>
        <tr r="M17" s="1"/>
      </tp>
      <tp>
        <v>1776</v>
        <stp/>
        <stp>P</stp>
        <stp>0</stp>
        <stp>STK</stp>
        <stp>N215000</stp>
        <stp>누적거래량</stp>
        <stp/>
        <stp/>
        <tr r="M595" s="1"/>
      </tp>
      <tp>
        <v>17143</v>
        <stp/>
        <stp>P</stp>
        <stp>0</stp>
        <stp>STK</stp>
        <stp>N002020</stp>
        <stp>누적거래량</stp>
        <stp/>
        <stp/>
        <tr r="M443" s="1"/>
      </tp>
      <tp>
        <v>85532</v>
        <stp/>
        <stp>P</stp>
        <stp>0</stp>
        <stp>STK</stp>
        <stp>N004020</stp>
        <stp>누적거래량</stp>
        <stp/>
        <stp/>
        <tr r="M125" s="1"/>
      </tp>
      <tp>
        <v>4415</v>
        <stp/>
        <stp>P</stp>
        <stp>0</stp>
        <stp>STK</stp>
        <stp>N481070</stp>
        <stp>누적거래량</stp>
        <stp/>
        <stp/>
        <tr r="M591" s="1"/>
      </tp>
      <tp>
        <v>380561</v>
        <stp/>
        <stp>P</stp>
        <stp>0</stp>
        <stp>STK</stp>
        <stp>N089030</stp>
        <stp>누적거래량</stp>
        <stp/>
        <stp/>
        <tr r="M250" s="1"/>
      </tp>
      <tp>
        <v>80019</v>
        <stp/>
        <stp>P</stp>
        <stp>0</stp>
        <stp>STK</stp>
        <stp>N053030</stp>
        <stp>누적거래량</stp>
        <stp/>
        <stp/>
        <tr r="M509" s="1"/>
      </tp>
      <tp>
        <v>11308</v>
        <stp/>
        <stp>P</stp>
        <stp>0</stp>
        <stp>STK</stp>
        <stp>N145020</stp>
        <stp>누적거래량</stp>
        <stp/>
        <stp/>
        <tr r="M161" s="1"/>
      </tp>
      <tp>
        <v>13582</v>
        <stp/>
        <stp>P</stp>
        <stp>0</stp>
        <stp>STK</stp>
        <stp>N039030</stp>
        <stp>누적거래량</stp>
        <stp/>
        <stp/>
        <tr r="M139" s="1"/>
      </tp>
      <tp>
        <v>18221</v>
        <stp/>
        <stp>P</stp>
        <stp>0</stp>
        <stp>STK</stp>
        <stp>N322000</stp>
        <stp>누적거래량</stp>
        <stp/>
        <stp/>
        <tr r="M423" s="1"/>
      </tp>
      <tp>
        <v>8268</v>
        <stp/>
        <stp>P</stp>
        <stp>0</stp>
        <stp>STK</stp>
        <stp>N013030</stp>
        <stp>누적거래량</stp>
        <stp/>
        <stp/>
        <tr r="M558" s="1"/>
      </tp>
      <tp>
        <v>189</v>
        <stp/>
        <stp>P</stp>
        <stp>0</stp>
        <stp>STK</stp>
        <stp>N003030</stp>
        <stp>누적거래량</stp>
        <stp/>
        <stp/>
        <tr r="M469" s="1"/>
      </tp>
      <tp>
        <v>24</v>
        <stp/>
        <stp>P</stp>
        <stp>0</stp>
        <stp>STK</stp>
        <stp>N002030</stp>
        <stp>누적거래량</stp>
        <stp/>
        <stp/>
        <tr r="M433" s="1"/>
      </tp>
      <tp>
        <v>47157</v>
        <stp/>
        <stp>P</stp>
        <stp>0</stp>
        <stp>STK</stp>
        <stp>N062040</stp>
        <stp>누적거래량</stp>
        <stp/>
        <stp/>
        <tr r="M122" s="1"/>
      </tp>
      <tp>
        <v>856415</v>
        <stp/>
        <stp>P</stp>
        <stp>0</stp>
        <stp>STK</stp>
        <stp>N047040</stp>
        <stp>누적거래량</stp>
        <stp/>
        <stp/>
        <tr r="M211" s="1"/>
      </tp>
      <tp>
        <v>19164</v>
        <stp/>
        <stp>P</stp>
        <stp>0</stp>
        <stp>STK</stp>
        <stp>N001040</stp>
        <stp>누적거래량</stp>
        <stp/>
        <stp/>
        <tr r="M105" s="1"/>
      </tp>
      <tp>
        <v>3962</v>
        <stp/>
        <stp>P</stp>
        <stp>0</stp>
        <stp>STK</stp>
        <stp>N006040</stp>
        <stp>누적거래량</stp>
        <stp/>
        <stp/>
        <tr r="M230" s="1"/>
      </tp>
      <tp>
        <v>3225</v>
        <stp/>
        <stp>P</stp>
        <stp>0</stp>
        <stp>STK</stp>
        <stp>N093050</stp>
        <stp>누적거래량</stp>
        <stp/>
        <stp/>
        <tr r="M471" s="1"/>
      </tp>
      <tp>
        <v>22853</v>
        <stp/>
        <stp>P</stp>
        <stp>0</stp>
        <stp>STK</stp>
        <stp>N071050</stp>
        <stp>누적거래량</stp>
        <stp/>
        <stp/>
        <tr r="M73" s="1"/>
      </tp>
      <tp>
        <v>1054</v>
        <stp/>
        <stp>P</stp>
        <stp>0</stp>
        <stp>STK</stp>
        <stp>N057050</stp>
        <stp>누적거래량</stp>
        <stp/>
        <stp/>
        <tr r="M413" s="1"/>
      </tp>
      <tp>
        <v>2123</v>
        <stp/>
        <stp>P</stp>
        <stp>0</stp>
        <stp>STK</stp>
        <stp>N243070</stp>
        <stp>누적거래량</stp>
        <stp/>
        <stp/>
        <tr r="M614" s="1"/>
      </tp>
      <tp>
        <v>87152</v>
        <stp/>
        <stp>P</stp>
        <stp>0</stp>
        <stp>STK</stp>
        <stp>N047050</stp>
        <stp>누적거래량</stp>
        <stp/>
        <stp/>
        <tr r="M71" s="1"/>
      </tp>
      <tp>
        <v>9707</v>
        <stp/>
        <stp>P</stp>
        <stp>0</stp>
        <stp>STK</stp>
        <stp>N248070</stp>
        <stp>누적거래량</stp>
        <stp/>
        <stp/>
        <tr r="M380" s="1"/>
      </tp>
      <tp>
        <v>42853</v>
        <stp/>
        <stp>P</stp>
        <stp>0</stp>
        <stp>STK</stp>
        <stp>N138040</stp>
        <stp>누적거래량</stp>
        <stp/>
        <stp/>
        <tr r="M47" s="1"/>
      </tp>
      <tp>
        <v>162945</v>
        <stp/>
        <stp>P</stp>
        <stp>0</stp>
        <stp>STK</stp>
        <stp>N028050</stp>
        <stp>누적거래량</stp>
        <stp/>
        <stp/>
        <tr r="M113" s="1"/>
      </tp>
      <tp>
        <v>67727</v>
        <stp/>
        <stp>P</stp>
        <stp>0</stp>
        <stp>STK</stp>
        <stp>N112040</stp>
        <stp>누적거래량</stp>
        <stp/>
        <stp/>
        <tr r="M337" s="1"/>
      </tp>
      <tp>
        <v>19355</v>
        <stp/>
        <stp>P</stp>
        <stp>0</stp>
        <stp>STK</stp>
        <stp>N298040</stp>
        <stp>누적거래량</stp>
        <stp/>
        <stp/>
        <tr r="M40" s="1"/>
      </tp>
      <tp>
        <v>19039</v>
        <stp/>
        <stp>P</stp>
        <stp>0</stp>
        <stp>STK</stp>
        <stp>N010060</stp>
        <stp>누적거래량</stp>
        <stp/>
        <stp/>
        <tr r="M202" s="1"/>
      </tp>
      <tp>
        <v>24944</v>
        <stp/>
        <stp>P</stp>
        <stp>0</stp>
        <stp>STK</stp>
        <stp>N001060</stp>
        <stp>누적거래량</stp>
        <stp/>
        <stp/>
        <tr r="M410" s="1"/>
      </tp>
      <tp>
        <v>17881</v>
        <stp/>
        <stp>P</stp>
        <stp>0</stp>
        <stp>STK</stp>
        <stp>N008060</stp>
        <stp>누적거래량</stp>
        <stp/>
        <stp/>
        <tr r="M588" s="1"/>
      </tp>
      <tp>
        <v>14173</v>
        <stp/>
        <stp>P</stp>
        <stp>0</stp>
        <stp>STK</stp>
        <stp>N098070</stp>
        <stp>누적거래량</stp>
        <stp/>
        <stp/>
        <tr r="M513" s="1"/>
      </tp>
      <tp>
        <v>4562</v>
        <stp/>
        <stp>P</stp>
        <stp>0</stp>
        <stp>STK</stp>
        <stp>N298050</stp>
        <stp>누적거래량</stp>
        <stp/>
        <stp/>
        <tr r="M321" s="1"/>
      </tp>
      <tp>
        <v>48794</v>
        <stp/>
        <stp>P</stp>
        <stp>0</stp>
        <stp>STK</stp>
        <stp>N049070</stp>
        <stp>누적거래량</stp>
        <stp/>
        <stp/>
        <tr r="M522" s="1"/>
      </tp>
      <tp>
        <v>28217</v>
        <stp/>
        <stp>P</stp>
        <stp>0</stp>
        <stp>STK</stp>
        <stp>N011070</stp>
        <stp>누적거래량</stp>
        <stp/>
        <stp/>
        <tr r="M97" s="1"/>
      </tp>
      <tp>
        <v>24363</v>
        <stp/>
        <stp>P</stp>
        <stp>0</stp>
        <stp>STK</stp>
        <stp>N211050</stp>
        <stp>누적거래량</stp>
        <stp/>
        <stp/>
        <tr r="M424" s="1"/>
      </tp>
      <tp>
        <v>662</v>
        <stp/>
        <stp>P</stp>
        <stp>0</stp>
        <stp>STK</stp>
        <stp>N000070</stp>
        <stp>누적거래량</stp>
        <stp/>
        <stp/>
        <tr r="M505" s="1"/>
      </tp>
      <tp>
        <v>10750</v>
        <stp/>
        <stp>P</stp>
        <stp>0</stp>
        <stp>STK</stp>
        <stp>N402030</stp>
        <stp>누적거래량</stp>
        <stp/>
        <stp/>
        <tr r="M644" s="1"/>
      </tp>
      <tp>
        <v>121958</v>
        <stp/>
        <stp>P</stp>
        <stp>0</stp>
        <stp>STK</stp>
        <stp>N005070</stp>
        <stp>누적거래량</stp>
        <stp/>
        <stp/>
        <tr r="M255" s="1"/>
      </tp>
      <tp>
        <v>10454</v>
        <stp/>
        <stp>P</stp>
        <stp>0</stp>
        <stp>STK</stp>
        <stp>N007070</stp>
        <stp>누적거래량</stp>
        <stp/>
        <stp/>
        <tr r="M235" s="1"/>
      </tp>
      <tp>
        <v>68617</v>
        <stp/>
        <stp>P</stp>
        <stp>0</stp>
        <stp>STK</stp>
        <stp>N171090</stp>
        <stp>누적거래량</stp>
        <stp/>
        <stp/>
        <tr r="M459" s="1"/>
      </tp>
      <tp>
        <v>34370</v>
        <stp/>
        <stp>P</stp>
        <stp>0</stp>
        <stp>STK</stp>
        <stp>N067080</stp>
        <stp>누적거래량</stp>
        <stp/>
        <stp/>
        <tr r="M623" s="1"/>
      </tp>
      <tp>
        <v>50411</v>
        <stp/>
        <stp>P</stp>
        <stp>0</stp>
        <stp>STK</stp>
        <stp>N166090</stp>
        <stp>누적거래량</stp>
        <stp/>
        <stp/>
        <tr r="M303" s="1"/>
      </tp>
      <tp>
        <v>25509</v>
        <stp/>
        <stp>P</stp>
        <stp>0</stp>
        <stp>STK</stp>
        <stp>N069080</stp>
        <stp>누적거래량</stp>
        <stp/>
        <stp/>
        <tr r="M526" s="1"/>
      </tp>
      <tp>
        <v>14226</v>
        <stp/>
        <stp>P</stp>
        <stp>0</stp>
        <stp>STK</stp>
        <stp>N114090</stp>
        <stp>누적거래량</stp>
        <stp/>
        <stp/>
        <tr r="M354" s="1"/>
      </tp>
      <tp>
        <v>17740</v>
        <stp/>
        <stp>P</stp>
        <stp>0</stp>
        <stp>STK</stp>
        <stp>N000080</stp>
        <stp>누적거래량</stp>
        <stp/>
        <stp/>
        <tr r="M277" s="1"/>
      </tp>
      <tp>
        <v>162716</v>
        <stp/>
        <stp>P</stp>
        <stp>0</stp>
        <stp>STK</stp>
        <stp>N100090</stp>
        <stp>누적거래량</stp>
        <stp/>
        <stp/>
        <tr r="M285" s="1"/>
      </tp>
      <tp>
        <v>1690</v>
        <stp/>
        <stp>P</stp>
        <stp>0</stp>
        <stp>STK</stp>
        <stp>N192080</stp>
        <stp>누적거래량</stp>
        <stp/>
        <stp/>
        <tr r="M301" s="1"/>
      </tp>
      <tp>
        <v>7305</v>
        <stp/>
        <stp>P</stp>
        <stp>0</stp>
        <stp>STK</stp>
        <stp>N061090</stp>
        <stp>누적거래량</stp>
        <stp/>
        <stp/>
        <tr r="M682" s="1"/>
      </tp>
      <tp>
        <v>192196</v>
        <stp/>
        <stp>P</stp>
        <stp>0</stp>
        <stp>STK</stp>
        <stp>N059090</stp>
        <stp>누적거래량</stp>
        <stp/>
        <stp/>
        <tr r="M518" s="1"/>
      </tp>
      <tp>
        <v>118249</v>
        <stp/>
        <stp>P</stp>
        <stp>0</stp>
        <stp>STK</stp>
        <stp>N141080</stp>
        <stp>누적거래량</stp>
        <stp/>
        <stp/>
        <tr r="M108" s="1"/>
      </tp>
      <tp>
        <v>4357</v>
        <stp/>
        <stp>P</stp>
        <stp>0</stp>
        <stp>STK</stp>
        <stp>N003090</stp>
        <stp>누적거래량</stp>
        <stp/>
        <stp/>
        <tr r="M272" s="1"/>
      </tp>
      <tp>
        <v>2180</v>
        <stp/>
        <stp>P</stp>
        <stp>0</stp>
        <stp>STK</stp>
        <stp>N005090</stp>
        <stp>누적거래량</stp>
        <stp/>
        <stp/>
        <tr r="M626" s="1"/>
      </tp>
      <tp>
        <v>3050215</v>
        <stp/>
        <stp>P</stp>
        <stp>0</stp>
        <stp>STK</stp>
        <stp>N222080</stp>
        <stp>누적거래량</stp>
        <stp/>
        <stp/>
        <tr r="M441" s="1"/>
      </tp>
      <tp>
        <v>52823</v>
        <stp/>
        <stp>P</stp>
        <stp>0</stp>
        <stp>STK</stp>
        <stp>N300080</stp>
        <stp>누적거래량</stp>
        <stp/>
        <stp/>
        <tr r="M665" s="1"/>
      </tp>
      <tp>
        <v>344542</v>
        <stp/>
        <stp>P</stp>
        <stp>0</stp>
        <stp>STK</stp>
        <stp>N450080</stp>
        <stp>누적거래량</stp>
        <stp/>
        <stp/>
        <tr r="M124" s="1"/>
      </tp>
      <tp>
        <v>32158</v>
        <stp/>
        <stp>P</stp>
        <stp>0</stp>
        <stp>STK</stp>
        <stp>N445090</stp>
        <stp>누적거래량</stp>
        <stp/>
        <stp/>
        <tr r="M609" s="1"/>
      </tp>
      <tp>
        <v>7503</v>
        <stp/>
        <stp>P</stp>
        <stp>0</stp>
        <stp>STK</stp>
        <stp>N439090</stp>
        <stp>누적거래량</stp>
        <stp/>
        <stp/>
        <tr r="M695" s="1"/>
      </tp>
      <tp>
        <v>22900</v>
        <stp/>
        <stp>P</stp>
        <stp>0</stp>
        <stp>STK</stp>
        <stp>N488280</stp>
        <stp>시가</stp>
        <stp/>
        <stp/>
        <tr r="P690" s="1"/>
      </tp>
      <tp>
        <v>22700</v>
        <stp/>
        <stp>P</stp>
        <stp>0</stp>
        <stp>STK</stp>
        <stp>N488280</stp>
        <stp>저가</stp>
        <stp/>
        <stp/>
        <tr r="R690" s="1"/>
      </tp>
      <tp>
        <v>24350</v>
        <stp/>
        <stp>P</stp>
        <stp>0</stp>
        <stp>STK</stp>
        <stp>N488280</stp>
        <stp>고가</stp>
        <stp/>
        <stp/>
        <tr r="Q690" s="1"/>
      </tp>
      <tp>
        <v>37300</v>
        <stp/>
        <stp>P</stp>
        <stp>0</stp>
        <stp>STK</stp>
        <stp>N416180</stp>
        <stp>저가</stp>
        <stp/>
        <stp/>
        <tr r="R637" s="1"/>
      </tp>
      <tp>
        <v>38200</v>
        <stp/>
        <stp>P</stp>
        <stp>0</stp>
        <stp>STK</stp>
        <stp>N416180</stp>
        <stp>시가</stp>
        <stp/>
        <stp/>
        <tr r="P637" s="1"/>
      </tp>
      <tp>
        <v>40000</v>
        <stp/>
        <stp>P</stp>
        <stp>0</stp>
        <stp>STK</stp>
        <stp>N416180</stp>
        <stp>고가</stp>
        <stp/>
        <stp/>
        <tr r="Q637" s="1"/>
      </tp>
      <tp>
        <v>10960</v>
        <stp/>
        <stp>P</stp>
        <stp>0</stp>
        <stp>STK</stp>
        <stp>N448280</stp>
        <stp>시가</stp>
        <stp/>
        <stp/>
        <tr r="P641" s="1"/>
      </tp>
      <tp>
        <v>115700</v>
        <stp/>
        <stp>P</stp>
        <stp>0</stp>
        <stp>STK</stp>
        <stp>N445680</stp>
        <stp>저가</stp>
        <stp/>
        <stp/>
        <tr r="R207" s="1"/>
      </tp>
      <tp>
        <v>10820</v>
        <stp/>
        <stp>P</stp>
        <stp>0</stp>
        <stp>STK</stp>
        <stp>N448280</stp>
        <stp>저가</stp>
        <stp/>
        <stp/>
        <tr r="R641" s="1"/>
      </tp>
      <tp>
        <v>119000</v>
        <stp/>
        <stp>P</stp>
        <stp>0</stp>
        <stp>STK</stp>
        <stp>N445680</stp>
        <stp>시가</stp>
        <stp/>
        <stp/>
        <tr r="P207" s="1"/>
      </tp>
      <tp>
        <v>123600</v>
        <stp/>
        <stp>P</stp>
        <stp>0</stp>
        <stp>STK</stp>
        <stp>N445680</stp>
        <stp>고가</stp>
        <stp/>
        <stp/>
        <tr r="Q207" s="1"/>
      </tp>
      <tp>
        <v>11100</v>
        <stp/>
        <stp>P</stp>
        <stp>0</stp>
        <stp>STK</stp>
        <stp>N448280</stp>
        <stp>고가</stp>
        <stp/>
        <stp/>
        <tr r="Q641" s="1"/>
      </tp>
      <tp>
        <v>65600</v>
        <stp/>
        <stp>P</stp>
        <stp>0</stp>
        <stp>STK</stp>
        <stp>N450080</stp>
        <stp>저가</stp>
        <stp/>
        <stp/>
        <tr r="R124" s="1"/>
      </tp>
      <tp>
        <v>66000</v>
        <stp/>
        <stp>P</stp>
        <stp>0</stp>
        <stp>STK</stp>
        <stp>N450080</stp>
        <stp>시가</stp>
        <stp/>
        <stp/>
        <tr r="P124" s="1"/>
      </tp>
      <tp>
        <v>69200</v>
        <stp/>
        <stp>P</stp>
        <stp>0</stp>
        <stp>STK</stp>
        <stp>N450080</stp>
        <stp>고가</stp>
        <stp/>
        <stp/>
        <tr r="Q124" s="1"/>
      </tp>
      <tp>
        <v>23200</v>
        <stp/>
        <stp>P</stp>
        <stp>0</stp>
        <stp>STK</stp>
        <stp>N473980</stp>
        <stp>저가</stp>
        <stp/>
        <stp/>
        <tr r="R649" s="1"/>
      </tp>
      <tp>
        <v>23350</v>
        <stp/>
        <stp>P</stp>
        <stp>0</stp>
        <stp>STK</stp>
        <stp>N473980</stp>
        <stp>시가</stp>
        <stp/>
        <stp/>
        <tr r="P649" s="1"/>
      </tp>
      <tp>
        <v>23650</v>
        <stp/>
        <stp>P</stp>
        <stp>0</stp>
        <stp>STK</stp>
        <stp>N473980</stp>
        <stp>고가</stp>
        <stp/>
        <stp/>
        <tr r="Q649" s="1"/>
      </tp>
      <tp>
        <v>40001</v>
        <stp/>
        <stp>P</stp>
        <stp>0</stp>
        <stp>STK</stp>
        <stp>N045100</stp>
        <stp>누적거래량</stp>
        <stp/>
        <stp/>
        <tr r="M503" s="1"/>
      </tp>
      <tp>
        <v>148803</v>
        <stp/>
        <stp>P</stp>
        <stp>0</stp>
        <stp>STK</stp>
        <stp>N033100</stp>
        <stp>누적거래량</stp>
        <stp/>
        <stp/>
        <tr r="M406" s="1"/>
      </tp>
      <tp>
        <v>75428</v>
        <stp/>
        <stp>P</stp>
        <stp>0</stp>
        <stp>STK</stp>
        <stp>N120110</stp>
        <stp>누적거래량</stp>
        <stp/>
        <stp/>
        <tr r="M280" s="1"/>
      </tp>
      <tp>
        <v>232455</v>
        <stp/>
        <stp>P</stp>
        <stp>0</stp>
        <stp>STK</stp>
        <stp>N022100</stp>
        <stp>누적거래량</stp>
        <stp/>
        <stp/>
        <tr r="M98" s="1"/>
      </tp>
      <tp>
        <v>98748</v>
        <stp/>
        <stp>P</stp>
        <stp>0</stp>
        <stp>STK</stp>
        <stp>N328130</stp>
        <stp>누적거래량</stp>
        <stp/>
        <stp/>
        <tr r="M298" s="1"/>
      </tp>
      <tp>
        <v>61341</v>
        <stp/>
        <stp>P</stp>
        <stp>0</stp>
        <stp>STK</stp>
        <stp>N000100</stp>
        <stp>누적거래량</stp>
        <stp/>
        <stp/>
        <tr r="M87" s="1"/>
      </tp>
      <tp>
        <v>5916</v>
        <stp/>
        <stp>P</stp>
        <stp>0</stp>
        <stp>STK</stp>
        <stp>N285130</stp>
        <stp>누적거래량</stp>
        <stp/>
        <stp/>
        <tr r="M295" s="1"/>
      </tp>
      <tp>
        <v>8851</v>
        <stp/>
        <stp>P</stp>
        <stp>0</stp>
        <stp>STK</stp>
        <stp>N084110</stp>
        <stp>누적거래량</stp>
        <stp/>
        <stp/>
        <tr r="M426" s="1"/>
      </tp>
      <tp>
        <v>65387</v>
        <stp/>
        <stp>P</stp>
        <stp>0</stp>
        <stp>STK</stp>
        <stp>N475150</stp>
        <stp>누적거래량</stp>
        <stp/>
        <stp/>
        <tr r="M402" s="1"/>
      </tp>
      <tp>
        <v>137695</v>
        <stp/>
        <stp>P</stp>
        <stp>0</stp>
        <stp>STK</stp>
        <stp>N024110</stp>
        <stp>누적거래량</stp>
        <stp/>
        <stp/>
        <tr r="M55" s="1"/>
      </tp>
      <tp>
        <v>6822</v>
        <stp/>
        <stp>P</stp>
        <stp>0</stp>
        <stp>STK</stp>
        <stp>N200130</stp>
        <stp>누적거래량</stp>
        <stp/>
        <stp/>
        <tr r="M565" s="1"/>
      </tp>
      <tp>
        <v>113514</v>
        <stp/>
        <stp>P</stp>
        <stp>0</stp>
        <stp>STK</stp>
        <stp>N006110</stp>
        <stp>누적거래량</stp>
        <stp/>
        <stp/>
        <tr r="M571" s="1"/>
      </tp>
      <tp>
        <v>137134</v>
        <stp/>
        <stp>P</stp>
        <stp>0</stp>
        <stp>STK</stp>
        <stp>N456160</stp>
        <stp>누적거래량</stp>
        <stp/>
        <stp/>
        <tr r="M281" s="1"/>
      </tp>
      <tp>
        <v>1285</v>
        <stp/>
        <stp>P</stp>
        <stp>0</stp>
        <stp>STK</stp>
        <stp>N034120</stp>
        <stp>누적거래량</stp>
        <stp/>
        <stp/>
        <tr r="M584" s="1"/>
      </tp>
      <tp>
        <v>20099</v>
        <stp/>
        <stp>P</stp>
        <stp>0</stp>
        <stp>STK</stp>
        <stp>N139130</stp>
        <stp>누적거래량</stp>
        <stp/>
        <stp/>
        <tr r="M196" s="1"/>
      </tp>
      <tp>
        <v>63938</v>
        <stp/>
        <stp>P</stp>
        <stp>0</stp>
        <stp>STK</stp>
        <stp>N220100</stp>
        <stp>누적거래량</stp>
        <stp/>
        <stp/>
        <tr r="M461" s="1"/>
      </tp>
      <tp>
        <v>25236</v>
        <stp/>
        <stp>P</stp>
        <stp>0</stp>
        <stp>STK</stp>
        <stp>N010120</stp>
        <stp>누적거래량</stp>
        <stp/>
        <stp/>
        <tr r="M58" s="1"/>
      </tp>
      <tp>
        <v>19887</v>
        <stp/>
        <stp>P</stp>
        <stp>0</stp>
        <stp>STK</stp>
        <stp>N001120</stp>
        <stp>누적거래량</stp>
        <stp/>
        <stp/>
        <tr r="M260" s="1"/>
      </tp>
      <tp>
        <v>4099</v>
        <stp/>
        <stp>P</stp>
        <stp>0</stp>
        <stp>STK</stp>
        <stp>N000120</stp>
        <stp>누적거래량</stp>
        <stp/>
        <stp/>
        <tr r="M197" s="1"/>
      </tp>
      <tp>
        <v>185923</v>
        <stp/>
        <stp>P</stp>
        <stp>0</stp>
        <stp>STK</stp>
        <stp>N003120</stp>
        <stp>누적거래량</stp>
        <stp/>
        <stp/>
        <tr r="M633" s="1"/>
      </tp>
      <tp>
        <v>1663</v>
        <stp/>
        <stp>P</stp>
        <stp>0</stp>
        <stp>STK</stp>
        <stp>N006120</stp>
        <stp>누적거래량</stp>
        <stp/>
        <stp/>
        <tr r="M294" s="1"/>
      </tp>
      <tp>
        <v>11675</v>
        <stp/>
        <stp>P</stp>
        <stp>0</stp>
        <stp>STK</stp>
        <stp>N039130</stp>
        <stp>누적거래량</stp>
        <stp/>
        <stp/>
        <tr r="M388" s="1"/>
      </tp>
      <tp>
        <v>41065</v>
        <stp/>
        <stp>P</stp>
        <stp>0</stp>
        <stp>STK</stp>
        <stp>N127120</stp>
        <stp>누적거래량</stp>
        <stp/>
        <stp/>
        <tr r="M405" s="1"/>
      </tp>
      <tp>
        <v>40747</v>
        <stp/>
        <stp>P</stp>
        <stp>0</stp>
        <stp>STK</stp>
        <stp>N010130</stp>
        <stp>누적거래량</stp>
        <stp/>
        <stp/>
        <tr r="M28" s="1"/>
      </tp>
      <tp>
        <v>113</v>
        <stp/>
        <stp>P</stp>
        <stp>0</stp>
        <stp>STK</stp>
        <stp>N001130</stp>
        <stp>누적거래량</stp>
        <stp/>
        <stp/>
        <tr r="M683" s="1"/>
      </tp>
      <tp>
        <v>67802</v>
        <stp/>
        <stp>P</stp>
        <stp>0</stp>
        <stp>STK</stp>
        <stp>N304100</stp>
        <stp>누적거래량</stp>
        <stp/>
        <stp/>
        <tr r="M594" s="1"/>
      </tp>
      <tp>
        <v>10381</v>
        <stp/>
        <stp>P</stp>
        <stp>0</stp>
        <stp>STK</stp>
        <stp>N372170</stp>
        <stp>누적거래량</stp>
        <stp/>
        <stp/>
        <tr r="M680" s="1"/>
      </tp>
      <tp>
        <v>277028</v>
        <stp/>
        <stp>P</stp>
        <stp>0</stp>
        <stp>STK</stp>
        <stp>N466100</stp>
        <stp>누적거래량</stp>
        <stp/>
        <stp/>
        <tr r="M219" s="1"/>
      </tp>
      <tp>
        <v>1001841</v>
        <stp/>
        <stp>P</stp>
        <stp>0</stp>
        <stp>STK</stp>
        <stp>N010140</stp>
        <stp>누적거래량</stp>
        <stp/>
        <stp/>
        <tr r="M33" s="1"/>
      </tp>
      <tp>
        <v>6700</v>
        <stp/>
        <stp>P</stp>
        <stp>0</stp>
        <stp>STK</stp>
        <stp>N043150</stp>
        <stp>누적거래량</stp>
        <stp/>
        <stp/>
        <tr r="M645" s="1"/>
      </tp>
      <tp>
        <v>761</v>
        <stp/>
        <stp>P</stp>
        <stp>0</stp>
        <stp>STK</stp>
        <stp>N035150</stp>
        <stp>누적거래량</stp>
        <stp/>
        <stp/>
        <tr r="M666" s="1"/>
      </tp>
      <tp>
        <v>71127</v>
        <stp/>
        <stp>P</stp>
        <stp>0</stp>
        <stp>STK</stp>
        <stp>N020150</stp>
        <stp>누적거래량</stp>
        <stp/>
        <stp/>
        <tr r="M228" s="1"/>
      </tp>
      <tp>
        <v>15924</v>
        <stp/>
        <stp>P</stp>
        <stp>0</stp>
        <stp>STK</stp>
        <stp>N000150</stp>
        <stp>누적거래량</stp>
        <stp/>
        <stp/>
        <tr r="M64" s="1"/>
      </tp>
      <tp>
        <v>104614</v>
        <stp/>
        <stp>P</stp>
        <stp>0</stp>
        <stp>STK</stp>
        <stp>N103140</stp>
        <stp>누적거래량</stp>
        <stp/>
        <stp/>
        <tr r="M144" s="1"/>
      </tp>
      <tp>
        <v>335905</v>
        <stp/>
        <stp>P</stp>
        <stp>0</stp>
        <stp>STK</stp>
        <stp>N009150</stp>
        <stp>누적거래량</stp>
        <stp/>
        <stp/>
        <tr r="M42" s="1"/>
      </tp>
      <tp>
        <v>22434</v>
        <stp/>
        <stp>P</stp>
        <stp>0</stp>
        <stp>STK</stp>
        <stp>N494120</stp>
        <stp>누적거래량</stp>
        <stp/>
        <stp/>
        <tr r="M529" s="1"/>
      </tp>
      <tp>
        <v>148654</v>
        <stp/>
        <stp>P</stp>
        <stp>0</stp>
        <stp>STK</stp>
        <stp>N196170</stp>
        <stp>누적거래량</stp>
        <stp/>
        <stp/>
        <tr r="M45" s="1"/>
      </tp>
      <tp>
        <v>8830</v>
        <stp/>
        <stp>P</stp>
        <stp>0</stp>
        <stp>STK</stp>
        <stp>N484120</stp>
        <stp>누적거래량</stp>
        <stp/>
        <stp/>
        <tr r="M674" s="1"/>
      </tp>
      <tp>
        <v>82061</v>
        <stp/>
        <stp>P</stp>
        <stp>0</stp>
        <stp>STK</stp>
        <stp>N078160</stp>
        <stp>누적거래량</stp>
        <stp/>
        <stp/>
        <tr r="M438" s="1"/>
      </tp>
      <tp>
        <v>5183</v>
        <stp/>
        <stp>P</stp>
        <stp>0</stp>
        <stp>STK</stp>
        <stp>N067160</stp>
        <stp>누적거래량</stp>
        <stp/>
        <stp/>
        <tr r="M373" s="1"/>
      </tp>
      <tp>
        <v>263537</v>
        <stp/>
        <stp>P</stp>
        <stp>0</stp>
        <stp>STK</stp>
        <stp>N232140</stp>
        <stp>누적거래량</stp>
        <stp/>
        <stp/>
        <tr r="M283" s="1"/>
      </tp>
      <tp>
        <v>31646</v>
        <stp/>
        <stp>P</stp>
        <stp>0</stp>
        <stp>STK</stp>
        <stp>N023160</stp>
        <stp>누적거래량</stp>
        <stp/>
        <stp/>
        <tr r="M389" s="1"/>
      </tp>
      <tp>
        <v>150267</v>
        <stp/>
        <stp>P</stp>
        <stp>0</stp>
        <stp>STK</stp>
        <stp>N003160</stp>
        <stp>누적거래량</stp>
        <stp/>
        <stp/>
        <tr r="M345" s="1"/>
      </tp>
      <tp>
        <v>4472</v>
        <stp/>
        <stp>P</stp>
        <stp>0</stp>
        <stp>STK</stp>
        <stp>N007160</stp>
        <stp>누적거래량</stp>
        <stp/>
        <stp/>
        <tr r="M652" s="1"/>
      </tp>
      <tp>
        <v>79390</v>
        <stp/>
        <stp>P</stp>
        <stp>0</stp>
        <stp>STK</stp>
        <stp>N094170</stp>
        <stp>누적거래량</stp>
        <stp/>
        <stp/>
        <tr r="M439" s="1"/>
      </tp>
      <tp>
        <v>17999</v>
        <stp/>
        <stp>P</stp>
        <stp>0</stp>
        <stp>STK</stp>
        <stp>N011170</stp>
        <stp>누적거래량</stp>
        <stp/>
        <stp/>
        <tr r="M152" s="1"/>
      </tp>
      <tp>
        <v>66412</v>
        <stp/>
        <stp>P</stp>
        <stp>0</stp>
        <stp>STK</stp>
        <stp>N214150</stp>
        <stp>누적거래량</stp>
        <stp/>
        <stp/>
        <tr r="M132" s="1"/>
      </tp>
      <tp>
        <v>118709</v>
        <stp/>
        <stp>P</stp>
        <stp>0</stp>
        <stp>STK</stp>
        <stp>N316140</stp>
        <stp>누적거래량</stp>
        <stp/>
        <stp/>
        <tr r="M43" s="1"/>
      </tp>
      <tp>
        <v>24012</v>
        <stp/>
        <stp>P</stp>
        <stp>0</stp>
        <stp>STK</stp>
        <stp>N019170</stp>
        <stp>누적거래량</stp>
        <stp/>
        <stp/>
        <tr r="M411" s="1"/>
      </tp>
      <tp>
        <v>67689</v>
        <stp/>
        <stp>P</stp>
        <stp>0</stp>
        <stp>STK</stp>
        <stp>N101160</stp>
        <stp>누적거래량</stp>
        <stp/>
        <stp/>
        <tr r="M561" s="1"/>
      </tp>
      <tp>
        <v>11919</v>
        <stp/>
        <stp>P</stp>
        <stp>0</stp>
        <stp>STK</stp>
        <stp>N004170</stp>
        <stp>누적거래량</stp>
        <stp/>
        <stp/>
        <tr r="M163" s="1"/>
      </tp>
      <tp>
        <v>4196</v>
        <stp/>
        <stp>P</stp>
        <stp>0</stp>
        <stp>STK</stp>
        <stp>N183190</stp>
        <stp>누적거래량</stp>
        <stp/>
        <stp/>
        <tr r="M516" s="1"/>
      </tp>
      <tp>
        <v>70305</v>
        <stp/>
        <stp>P</stp>
        <stp>0</stp>
        <stp>STK</stp>
        <stp>N160190</stp>
        <stp>누적거래량</stp>
        <stp/>
        <stp/>
        <tr r="M193" s="1"/>
      </tp>
      <tp>
        <v>146286</v>
        <stp/>
        <stp>P</stp>
        <stp>0</stp>
        <stp>STK</stp>
        <stp>N114190</stp>
        <stp>누적거래량</stp>
        <stp/>
        <stp/>
        <tr r="M566" s="1"/>
      </tp>
      <tp>
        <v>6471</v>
        <stp/>
        <stp>P</stp>
        <stp>0</stp>
        <stp>STK</stp>
        <stp>N005180</stp>
        <stp>누적거래량</stp>
        <stp/>
        <stp/>
        <tr r="M381" s="1"/>
      </tp>
      <tp>
        <v>18277</v>
        <stp/>
        <stp>P</stp>
        <stp>0</stp>
        <stp>STK</stp>
        <stp>N099190</stp>
        <stp>누적거래량</stp>
        <stp/>
        <stp/>
        <tr r="M532" s="1"/>
      </tp>
      <tp>
        <v>30247</v>
        <stp/>
        <stp>P</stp>
        <stp>0</stp>
        <stp>STK</stp>
        <stp>N056190</stp>
        <stp>누적거래량</stp>
        <stp/>
        <stp/>
        <tr r="M330" s="1"/>
      </tp>
      <tp>
        <v>558102</v>
        <stp/>
        <stp>P</stp>
        <stp>0</stp>
        <stp>STK</stp>
        <stp>N041190</stp>
        <stp>누적거래량</stp>
        <stp/>
        <stp/>
        <tr r="M428" s="1"/>
      </tp>
      <tp>
        <v>762</v>
        <stp/>
        <stp>P</stp>
        <stp>0</stp>
        <stp>STK</stp>
        <stp>N030190</stp>
        <stp>누적거래량</stp>
        <stp/>
        <stp/>
        <tr r="M317" s="1"/>
      </tp>
      <tp>
        <v>50573</v>
        <stp/>
        <stp>P</stp>
        <stp>0</stp>
        <stp>STK</stp>
        <stp>N032190</stp>
        <stp>누적거래량</stp>
        <stp/>
        <stp/>
        <tr r="M390" s="1"/>
      </tp>
      <tp>
        <v>21777</v>
        <stp/>
        <stp>P</stp>
        <stp>0</stp>
        <stp>STK</stp>
        <stp>N329180</stp>
        <stp>누적거래량</stp>
        <stp/>
        <stp/>
        <tr r="M16" s="1"/>
      </tp>
      <tp>
        <v>78677</v>
        <stp/>
        <stp>P</stp>
        <stp>0</stp>
        <stp>STK</stp>
        <stp>N416180</stp>
        <stp>누적거래량</stp>
        <stp/>
        <stp/>
        <tr r="M637" s="1"/>
      </tp>
      <tp>
        <v>224241</v>
        <stp/>
        <stp>P</stp>
        <stp>0</stp>
        <stp>STK</stp>
        <stp>N457190</stp>
        <stp>누적거래량</stp>
        <stp/>
        <stp/>
        <tr r="M162" s="1"/>
      </tp>
      <tp>
        <v>42262</v>
        <stp/>
        <stp>P</stp>
        <stp>0</stp>
        <stp>STK</stp>
        <stp>N030200</stp>
        <stp>누적거래량</stp>
        <stp/>
        <stp/>
        <tr r="M62" s="1"/>
      </tp>
      <tp>
        <v>315321</v>
        <stp/>
        <stp>P</stp>
        <stp>0</stp>
        <stp>STK</stp>
        <stp>N036200</stp>
        <stp>누적거래량</stp>
        <stp/>
        <stp/>
        <tr r="M629" s="1"/>
      </tp>
      <tp>
        <v>83304</v>
        <stp/>
        <stp>P</stp>
        <stp>0</stp>
        <stp>STK</stp>
        <stp>N039200</stp>
        <stp>누적거래량</stp>
        <stp/>
        <stp/>
        <tr r="M239" s="1"/>
      </tp>
      <tp>
        <v>242421</v>
        <stp/>
        <stp>P</stp>
        <stp>0</stp>
        <stp>STK</stp>
        <stp>N011200</stp>
        <stp>누적거래량</stp>
        <stp/>
        <stp/>
        <tr r="M46" s="1"/>
      </tp>
      <tp>
        <v>8996</v>
        <stp/>
        <stp>P</stp>
        <stp>0</stp>
        <stp>STK</stp>
        <stp>N003200</stp>
        <stp>누적거래량</stp>
        <stp/>
        <stp/>
        <tr r="M621" s="1"/>
      </tp>
      <tp>
        <v>8933</v>
        <stp/>
        <stp>P</stp>
        <stp>0</stp>
        <stp>STK</stp>
        <stp>N383220</stp>
        <stp>누적거래량</stp>
        <stp/>
        <stp/>
        <tr r="M178" s="1"/>
      </tp>
      <tp>
        <v>48684</v>
        <stp/>
        <stp>P</stp>
        <stp>0</stp>
        <stp>STK</stp>
        <stp>N373220</stp>
        <stp>누적거래량</stp>
        <stp/>
        <stp/>
        <tr r="M12" s="1"/>
      </tp>
      <tp>
        <v>2103</v>
        <stp/>
        <stp>P</stp>
        <stp>0</stp>
        <stp>STK</stp>
        <stp>N031210</stp>
        <stp>누적거래량</stp>
        <stp/>
        <stp/>
        <tr r="M143" s="1"/>
      </tp>
      <tp>
        <v>35550</v>
        <stp/>
        <stp>P</stp>
        <stp>0</stp>
        <stp>STK</stp>
        <stp>N338220</stp>
        <stp>누적거래량</stp>
        <stp/>
        <stp/>
        <tr r="M646" s="1"/>
      </tp>
      <tp>
        <v>85266</v>
        <stp/>
        <stp>P</stp>
        <stp>0</stp>
        <stp>STK</stp>
        <stp>N011210</stp>
        <stp>누적거래량</stp>
        <stp/>
        <stp/>
        <tr r="M167" s="1"/>
      </tp>
      <tp>
        <v>101155</v>
        <stp/>
        <stp>P</stp>
        <stp>0</stp>
        <stp>STK</stp>
        <stp>N000210</stp>
        <stp>누적거래량</stp>
        <stp/>
        <stp/>
        <tr r="M368" s="1"/>
      </tp>
      <tp>
        <v>2074070</v>
        <stp/>
        <stp>P</stp>
        <stp>0</stp>
        <stp>STK</stp>
        <stp>N080220</stp>
        <stp>누적거래량</stp>
        <stp/>
        <stp/>
        <tr r="M307" s="1"/>
      </tp>
      <tp>
        <v>31009</v>
        <stp/>
        <stp>P</stp>
        <stp>0</stp>
        <stp>STK</stp>
        <stp>N388210</stp>
        <stp>누적거래량</stp>
        <stp/>
        <stp/>
        <tr r="M305" s="1"/>
      </tp>
      <tp>
        <v>8280</v>
        <stp/>
        <stp>P</stp>
        <stp>0</stp>
        <stp>STK</stp>
        <stp>N348210</stp>
        <stp>누적거래량</stp>
        <stp/>
        <stp/>
        <tr r="M363" s="1"/>
      </tp>
      <tp>
        <v>262900</v>
        <stp/>
        <stp>P</stp>
        <stp>0</stp>
        <stp>STK</stp>
        <stp>N034220</stp>
        <stp>누적거래량</stp>
        <stp/>
        <stp/>
        <tr r="M102" s="1"/>
      </tp>
      <tp>
        <v>11665</v>
        <stp/>
        <stp>P</stp>
        <stp>0</stp>
        <stp>STK</stp>
        <stp>N236200</stp>
        <stp>누적거래량</stp>
        <stp/>
        <stp/>
        <tr r="M667" s="1"/>
      </tp>
      <tp>
        <v>165315</v>
        <stp/>
        <stp>P</stp>
        <stp>0</stp>
        <stp>STK</stp>
        <stp>N439260</stp>
        <stp>누적거래량</stp>
        <stp/>
        <stp/>
        <tr r="M172" s="1"/>
      </tp>
      <tp>
        <v>21229</v>
        <stp/>
        <stp>P</stp>
        <stp>0</stp>
        <stp>STK</stp>
        <stp>N310210</stp>
        <stp>누적거래량</stp>
        <stp/>
        <stp/>
        <tr r="M148" s="1"/>
      </tp>
      <tp>
        <v>2024</v>
        <stp/>
        <stp>P</stp>
        <stp>0</stp>
        <stp>STK</stp>
        <stp>N215200</stp>
        <stp>누적거래량</stp>
        <stp/>
        <stp/>
        <tr r="M538" s="1"/>
      </tp>
      <tp>
        <v>5772</v>
        <stp/>
        <stp>P</stp>
        <stp>0</stp>
        <stp>STK</stp>
        <stp>N003220</stp>
        <stp>누적거래량</stp>
        <stp/>
        <stp/>
        <tr r="M670" s="1"/>
      </tp>
      <tp>
        <v>858337</v>
        <stp/>
        <stp>P</stp>
        <stp>0</stp>
        <stp>STK</stp>
        <stp>N006220</stp>
        <stp>누적거래량</stp>
        <stp/>
        <stp/>
        <tr r="M515" s="1"/>
      </tp>
      <tp>
        <v>115</v>
        <stp/>
        <stp>P</stp>
        <stp>0</stp>
        <stp>STK</stp>
        <stp>N092230</stp>
        <stp>누적거래량</stp>
        <stp/>
        <stp/>
        <tr r="M618" s="1"/>
      </tp>
      <tp>
        <v>198246</v>
        <stp/>
        <stp>P</stp>
        <stp>0</stp>
        <stp>STK</stp>
        <stp>N097230</stp>
        <stp>누적거래량</stp>
        <stp/>
        <stp/>
        <tr r="M198" s="1"/>
      </tp>
      <tp>
        <v>526089</v>
        <stp/>
        <stp>P</stp>
        <stp>0</stp>
        <stp>STK</stp>
        <stp>N272210</stp>
        <stp>누적거래량</stp>
        <stp/>
        <stp/>
        <tr r="M53" s="1"/>
      </tp>
      <tp>
        <v>430206</v>
        <stp/>
        <stp>P</stp>
        <stp>0</stp>
        <stp>STK</stp>
        <stp>N353200</stp>
        <stp>누적거래량</stp>
        <stp/>
        <stp/>
        <tr r="M179" s="1"/>
      </tp>
      <tp>
        <v>42469</v>
        <stp/>
        <stp>P</stp>
        <stp>0</stp>
        <stp>STK</stp>
        <stp>N441270</stp>
        <stp>누적거래량</stp>
        <stp/>
        <stp/>
        <tr r="M572" s="1"/>
      </tp>
      <tp>
        <v>183678</v>
        <stp/>
        <stp>P</stp>
        <stp>0</stp>
        <stp>STK</stp>
        <stp>N034230</stp>
        <stp>누적거래량</stp>
        <stp/>
        <stp/>
        <tr r="M245" s="1"/>
      </tp>
      <tp>
        <v>11751</v>
        <stp/>
        <stp>P</stp>
        <stp>0</stp>
        <stp>STK</stp>
        <stp>N003230</stp>
        <stp>누적거래량</stp>
        <stp/>
        <stp/>
        <tr r="M80" s="1"/>
      </tp>
      <tp>
        <v>1568</v>
        <stp/>
        <stp>P</stp>
        <stp>0</stp>
        <stp>STK</stp>
        <stp>N306200</stp>
        <stp>누적거래량</stp>
        <stp/>
        <stp/>
        <tr r="M592" s="1"/>
      </tp>
      <tp>
        <v>39385</v>
        <stp/>
        <stp>P</stp>
        <stp>0</stp>
        <stp>STK</stp>
        <stp>N073240</stp>
        <stp>누적거래량</stp>
        <stp/>
        <stp/>
        <tr r="M227" s="1"/>
      </tp>
      <tp>
        <v>12269</v>
        <stp/>
        <stp>P</stp>
        <stp>0</stp>
        <stp>STK</stp>
        <stp>N376270</stp>
        <stp>누적거래량</stp>
        <stp/>
        <stp/>
        <tr r="M555" s="1"/>
      </tp>
      <tp>
        <v>17218</v>
        <stp/>
        <stp>P</stp>
        <stp>0</stp>
        <stp>STK</stp>
        <stp>N267260</stp>
        <stp>누적거래량</stp>
        <stp/>
        <stp/>
        <tr r="M29" s="1"/>
      </tp>
      <tp>
        <v>164813</v>
        <stp/>
        <stp>P</stp>
        <stp>0</stp>
        <stp>STK</stp>
        <stp>N033240</stp>
        <stp>누적거래량</stp>
        <stp/>
        <stp/>
        <tr r="M464" s="1"/>
      </tp>
      <tp>
        <v>5081</v>
        <stp/>
        <stp>P</stp>
        <stp>0</stp>
        <stp>STK</stp>
        <stp>N021240</stp>
        <stp>누적거래량</stp>
        <stp/>
        <stp/>
        <tr r="M106" s="1"/>
      </tp>
      <tp>
        <v>1010402</v>
        <stp/>
        <stp>P</stp>
        <stp>0</stp>
        <stp>STK</stp>
        <stp>N417200</stp>
        <stp>누적거래량</stp>
        <stp/>
        <stp/>
        <tr r="M336" s="1"/>
      </tp>
      <tp>
        <v>2321</v>
        <stp/>
        <stp>P</stp>
        <stp>0</stp>
        <stp>STK</stp>
        <stp>N000240</stp>
        <stp>누적거래량</stp>
        <stp/>
        <stp/>
        <tr r="M174" s="1"/>
      </tp>
      <tp>
        <v>2919</v>
        <stp/>
        <stp>P</stp>
        <stp>0</stp>
        <stp>STK</stp>
        <stp>N003240</stp>
        <stp>누적거래량</stp>
        <stp/>
        <stp/>
        <tr r="M344" s="1"/>
      </tp>
      <tp>
        <v>3366</v>
        <stp/>
        <stp>P</stp>
        <stp>0</stp>
        <stp>STK</stp>
        <stp>N002240</stp>
        <stp>누적거래량</stp>
        <stp/>
        <stp/>
        <tr r="M429" s="1"/>
      </tp>
      <tp>
        <v>6395</v>
        <stp/>
        <stp>P</stp>
        <stp>0</stp>
        <stp>STK</stp>
        <stp>N009240</stp>
        <stp>누적거래량</stp>
        <stp/>
        <stp/>
        <tr r="M304" s="1"/>
      </tp>
      <tp>
        <v>7294</v>
        <stp/>
        <stp>P</stp>
        <stp>0</stp>
        <stp>STK</stp>
        <stp>N389260</stp>
        <stp>누적거래량</stp>
        <stp/>
        <stp/>
        <tr r="M615" s="1"/>
      </tp>
      <tp>
        <v>3274649</v>
        <stp/>
        <stp>P</stp>
        <stp>0</stp>
        <stp>STK</stp>
        <stp>N060250</stp>
        <stp>누적거래량</stp>
        <stp/>
        <stp/>
        <tr r="M440" s="1"/>
      </tp>
      <tp>
        <v>69677</v>
        <stp/>
        <stp>P</stp>
        <stp>0</stp>
        <stp>STK</stp>
        <stp>N267270</stp>
        <stp>누적거래량</stp>
        <stp/>
        <stp/>
        <tr r="M216" s="1"/>
      </tp>
      <tp>
        <v>15131</v>
        <stp/>
        <stp>P</stp>
        <stp>0</stp>
        <stp>STK</stp>
        <stp>N251270</stp>
        <stp>누적거래량</stp>
        <stp/>
        <stp/>
        <tr r="M123" s="1"/>
      </tp>
      <tp>
        <v>48919</v>
        <stp/>
        <stp>P</stp>
        <stp>0</stp>
        <stp>STK</stp>
        <stp>N035250</stp>
        <stp>누적거래량</stp>
        <stp/>
        <stp/>
        <tr r="M131" s="1"/>
      </tp>
      <tp>
        <v>57730</v>
        <stp/>
        <stp>P</stp>
        <stp>0</stp>
        <stp>STK</stp>
        <stp>N336260</stp>
        <stp>누적거래량</stp>
        <stp/>
        <stp/>
        <tr r="M186" s="1"/>
      </tp>
      <tp>
        <v>5511</v>
        <stp/>
        <stp>P</stp>
        <stp>0</stp>
        <stp>STK</stp>
        <stp>N018250</stp>
        <stp>누적거래량</stp>
        <stp/>
        <stp/>
        <tr r="M593" s="1"/>
      </tp>
      <tp>
        <v>53740</v>
        <stp/>
        <stp>P</stp>
        <stp>0</stp>
        <stp>STK</stp>
        <stp>N000250</stp>
        <stp>누적거래량</stp>
        <stp/>
        <stp/>
        <tr r="M100" s="1"/>
      </tp>
      <tp>
        <v>7327</v>
        <stp/>
        <stp>P</stp>
        <stp>0</stp>
        <stp>STK</stp>
        <stp>N005250</stp>
        <stp>누적거래량</stp>
        <stp/>
        <stp/>
        <tr r="M392" s="1"/>
      </tp>
      <tp>
        <v>161664</v>
        <stp/>
        <stp>P</stp>
        <stp>0</stp>
        <stp>STK</stp>
        <stp>N204270</stp>
        <stp>누적거래량</stp>
        <stp/>
        <stp/>
        <tr r="M297" s="1"/>
      </tp>
      <tp>
        <v>3245</v>
        <stp/>
        <stp>P</stp>
        <stp>0</stp>
        <stp>STK</stp>
        <stp>N069260</stp>
        <stp>누적거래량</stp>
        <stp/>
        <stp/>
        <tr r="M372" s="1"/>
      </tp>
      <tp>
        <v>23965</v>
        <stp/>
        <stp>P</stp>
        <stp>0</stp>
        <stp>STK</stp>
        <stp>N028260</stp>
        <stp>누적거래량</stp>
        <stp/>
        <stp/>
        <tr r="M20" s="1"/>
      </tp>
      <tp>
        <v>17112</v>
        <stp/>
        <stp>P</stp>
        <stp>0</stp>
        <stp>STK</stp>
        <stp>N018260</stp>
        <stp>누적거래량</stp>
        <stp/>
        <stp/>
        <tr r="M63" s="1"/>
      </tp>
      <tp>
        <v>50003</v>
        <stp/>
        <stp>P</stp>
        <stp>0</stp>
        <stp>STK</stp>
        <stp>N006260</stp>
        <stp>누적거래량</stp>
        <stp/>
        <stp/>
        <tr r="M92" s="1"/>
      </tp>
      <tp>
        <v>106872</v>
        <stp/>
        <stp>P</stp>
        <stp>0</stp>
        <stp>STK</stp>
        <stp>N082270</stp>
        <stp>누적거래량</stp>
        <stp/>
        <stp/>
        <tr r="M316" s="1"/>
      </tp>
      <tp>
        <v>10453</v>
        <stp/>
        <stp>P</stp>
        <stp>0</stp>
        <stp>STK</stp>
        <stp>N267250</stp>
        <stp>누적거래량</stp>
        <stp/>
        <stp/>
        <tr r="M44" s="1"/>
      </tp>
      <tp>
        <v>96707</v>
        <stp/>
        <stp>P</stp>
        <stp>0</stp>
        <stp>STK</stp>
        <stp>N068270</stp>
        <stp>누적거래량</stp>
        <stp/>
        <stp/>
        <tr r="M21" s="1"/>
      </tp>
      <tp>
        <v>3433</v>
        <stp/>
        <stp>P</stp>
        <stp>0</stp>
        <stp>STK</stp>
        <stp>N033270</stp>
        <stp>누적거래량</stp>
        <stp/>
        <stp/>
        <tr r="M628" s="1"/>
      </tp>
      <tp>
        <v>66975</v>
        <stp/>
        <stp>P</stp>
        <stp>0</stp>
        <stp>STK</stp>
        <stp>N001270</stp>
        <stp>누적거래량</stp>
        <stp/>
        <stp/>
        <tr r="M415" s="1"/>
      </tp>
      <tp>
        <v>91971</v>
        <stp/>
        <stp>P</stp>
        <stp>0</stp>
        <stp>STK</stp>
        <stp>N000270</stp>
        <stp>누적거래량</stp>
        <stp/>
        <stp/>
        <tr r="M14" s="1"/>
      </tp>
      <tp>
        <v>58622</v>
        <stp/>
        <stp>P</stp>
        <stp>0</stp>
        <stp>STK</stp>
        <stp>N086280</stp>
        <stp>누적거래량</stp>
        <stp/>
        <stp/>
        <tr r="M39" s="1"/>
      </tp>
      <tp>
        <v>3154914</v>
        <stp/>
        <stp>P</stp>
        <stp>0</stp>
        <stp>STK</stp>
        <stp>N060280</stp>
        <stp>누적거래량</stp>
        <stp/>
        <stp/>
        <tr r="M349" s="1"/>
      </tp>
      <tp>
        <v>23646</v>
        <stp/>
        <stp>P</stp>
        <stp>0</stp>
        <stp>STK</stp>
        <stp>N131290</stp>
        <stp>누적거래량</stp>
        <stp/>
        <stp/>
        <tr r="M346" s="1"/>
      </tp>
      <tp>
        <v>5568</v>
        <stp/>
        <stp>P</stp>
        <stp>0</stp>
        <stp>STK</stp>
        <stp>N006280</stp>
        <stp>누적거래량</stp>
        <stp/>
        <stp/>
        <tr r="M232" s="1"/>
      </tp>
      <tp>
        <v>203601</v>
        <stp/>
        <stp>P</stp>
        <stp>0</stp>
        <stp>STK</stp>
        <stp>N018290</stp>
        <stp>누적거래량</stp>
        <stp/>
        <stp/>
        <tr r="M442" s="1"/>
      </tp>
      <tp>
        <v>274381</v>
        <stp/>
        <stp>P</stp>
        <stp>0</stp>
        <stp>STK</stp>
        <stp>N005290</stp>
        <stp>누적거래량</stp>
        <stp/>
        <stp/>
        <tr r="M204" s="1"/>
      </tp>
      <tp>
        <v>25397</v>
        <stp/>
        <stp>P</stp>
        <stp>0</stp>
        <stp>STK</stp>
        <stp>N278280</stp>
        <stp>누적거래량</stp>
        <stp/>
        <stp/>
        <tr r="M437" s="1"/>
      </tp>
      <tp>
        <v>22</v>
        <stp/>
        <stp>P</stp>
        <stp>0</stp>
        <stp>STK</stp>
        <stp>N268280</stp>
        <stp>누적거래량</stp>
        <stp/>
        <stp/>
        <tr r="M391" s="1"/>
      </tp>
      <tp>
        <v>124473</v>
        <stp/>
        <stp>P</stp>
        <stp>0</stp>
        <stp>STK</stp>
        <stp>N394280</stp>
        <stp>누적거래량</stp>
        <stp/>
        <stp/>
        <tr r="M627" s="1"/>
      </tp>
      <tp>
        <v>150365</v>
        <stp/>
        <stp>P</stp>
        <stp>0</stp>
        <stp>STK</stp>
        <stp>N272290</stp>
        <stp>누적거래량</stp>
        <stp/>
        <stp/>
        <tr r="M472" s="1"/>
      </tp>
      <tp>
        <v>169706</v>
        <stp/>
        <stp>P</stp>
        <stp>0</stp>
        <stp>STK</stp>
        <stp>N323280</stp>
        <stp>누적거래량</stp>
        <stp/>
        <stp/>
        <tr r="M258" s="1"/>
      </tp>
      <tp>
        <v>92802</v>
        <stp/>
        <stp>P</stp>
        <stp>0</stp>
        <stp>STK</stp>
        <stp>N488280</stp>
        <stp>누적거래량</stp>
        <stp/>
        <stp/>
        <tr r="M690" s="1"/>
      </tp>
      <tp>
        <v>4585</v>
        <stp/>
        <stp>P</stp>
        <stp>0</stp>
        <stp>STK</stp>
        <stp>N448280</stp>
        <stp>누적거래량</stp>
        <stp/>
        <stp/>
        <tr r="M641" s="1"/>
      </tp>
      <tp>
        <v>435677</v>
        <stp/>
        <stp>P</stp>
        <stp>0</stp>
        <stp>STK</stp>
        <stp>N478340</stp>
        <stp>누적거래량</stp>
        <stp/>
        <stp/>
        <tr r="M425" s="1"/>
      </tp>
      <tp>
        <v>5508</v>
        <stp/>
        <stp>P</stp>
        <stp>0</stp>
        <stp>STK</stp>
        <stp>N453340</stp>
        <stp>누적거래량</stp>
        <stp/>
        <stp/>
        <tr r="M483" s="1"/>
      </tp>
      <tp>
        <v>49398</v>
        <stp/>
        <stp>P</stp>
        <stp>0</stp>
        <stp>STK</stp>
        <stp>N137310</stp>
        <stp>누적거래량</stp>
        <stp/>
        <stp/>
        <tr r="M315" s="1"/>
      </tp>
      <tp>
        <v>1194</v>
        <stp/>
        <stp>P</stp>
        <stp>0</stp>
        <stp>STK</stp>
        <stp>N226320</stp>
        <stp>누적거래량</stp>
        <stp/>
        <stp/>
        <tr r="M679" s="1"/>
      </tp>
      <tp>
        <v>593650</v>
        <stp/>
        <stp>P</stp>
        <stp>0</stp>
        <stp>STK</stp>
        <stp>N028300</stp>
        <stp>누적거래량</stp>
        <stp/>
        <stp/>
        <tr r="M96" s="1"/>
      </tp>
      <tp>
        <v>5285</v>
        <stp/>
        <stp>P</stp>
        <stp>0</stp>
        <stp>STK</stp>
        <stp>N214320</stp>
        <stp>누적거래량</stp>
        <stp/>
        <stp/>
        <tr r="M378" s="1"/>
      </tp>
      <tp>
        <v>60235</v>
        <stp/>
        <stp>P</stp>
        <stp>0</stp>
        <stp>STK</stp>
        <stp>N317330</stp>
        <stp>누적거래량</stp>
        <stp/>
        <stp/>
        <tr r="M577" s="1"/>
      </tp>
      <tp>
        <v>523</v>
        <stp/>
        <stp>P</stp>
        <stp>0</stp>
        <stp>STK</stp>
        <stp>N003300</stp>
        <stp>누적거래량</stp>
        <stp/>
        <stp/>
        <tr r="M492" s="1"/>
      </tp>
      <tp>
        <v>43650</v>
        <stp/>
        <stp>P</stp>
        <stp>0</stp>
        <stp>STK</stp>
        <stp>N402340</stp>
        <stp>누적거래량</stp>
        <stp/>
        <stp/>
        <tr r="M18" s="1"/>
      </tp>
      <tp>
        <v>1826</v>
        <stp/>
        <stp>P</stp>
        <stp>0</stp>
        <stp>STK</stp>
        <stp>N005300</stp>
        <stp>누적거래량</stp>
        <stp/>
        <stp/>
        <tr r="M284" s="1"/>
      </tp>
      <tp>
        <v>146345</v>
        <stp/>
        <stp>P</stp>
        <stp>0</stp>
        <stp>STK</stp>
        <stp>N204320</stp>
        <stp>누적거래량</stp>
        <stp/>
        <stp/>
        <tr r="M142" s="1"/>
      </tp>
      <tp>
        <v>30210</v>
        <stp/>
        <stp>P</stp>
        <stp>0</stp>
        <stp>STK</stp>
        <stp>N183300</stp>
        <stp>누적거래량</stp>
        <stp/>
        <stp/>
        <tr r="M306" s="1"/>
      </tp>
      <tp>
        <v>1653</v>
        <stp/>
        <stp>P</stp>
        <stp>0</stp>
        <stp>STK</stp>
        <stp>N282330</stp>
        <stp>누적거래량</stp>
        <stp/>
        <stp/>
        <tr r="M213" s="1"/>
      </tp>
      <tp>
        <v>47883</v>
        <stp/>
        <stp>P</stp>
        <stp>0</stp>
        <stp>STK</stp>
        <stp>N189300</stp>
        <stp>누적거래량</stp>
        <stp/>
        <stp/>
        <tr r="M359" s="1"/>
      </tp>
      <tp>
        <v>17147</v>
        <stp/>
        <stp>P</stp>
        <stp>0</stp>
        <stp>STK</stp>
        <stp>N372320</stp>
        <stp>누적거래량</stp>
        <stp/>
        <stp/>
        <tr r="M403" s="1"/>
      </tp>
      <tp>
        <v>455690</v>
        <stp/>
        <stp>P</stp>
        <stp>0</stp>
        <stp>STK</stp>
        <stp>N067310</stp>
        <stp>누적거래량</stp>
        <stp/>
        <stp/>
        <tr r="M233" s="1"/>
      </tp>
      <tp>
        <v>3891</v>
        <stp/>
        <stp>P</stp>
        <stp>0</stp>
        <stp>STK</stp>
        <stp>N034310</stp>
        <stp>누적거래량</stp>
        <stp/>
        <stp/>
        <tr r="M491" s="1"/>
      </tp>
      <tp>
        <v>292</v>
        <stp/>
        <stp>P</stp>
        <stp>0</stp>
        <stp>STK</stp>
        <stp>N018310</stp>
        <stp>누적거래량</stp>
        <stp/>
        <stp/>
        <tr r="M647" s="1"/>
      </tp>
      <tp>
        <v>217</v>
        <stp/>
        <stp>P</stp>
        <stp>0</stp>
        <stp>STK</stp>
        <stp>N007310</stp>
        <stp>누적거래량</stp>
        <stp/>
        <stp/>
        <tr r="M247" s="1"/>
      </tp>
      <tp>
        <v>976</v>
        <stp/>
        <stp>P</stp>
        <stp>0</stp>
        <stp>STK</stp>
        <stp>N093320</stp>
        <stp>누적거래량</stp>
        <stp/>
        <stp/>
        <tr r="M432" s="1"/>
      </tp>
      <tp>
        <v>1153366</v>
        <stp/>
        <stp>P</stp>
        <stp>0</stp>
        <stp>STK</stp>
        <stp>N383310</stp>
        <stp>누적거래량</stp>
        <stp/>
        <stp/>
        <tr r="M479" s="1"/>
      </tp>
      <tp>
        <v>1323</v>
        <stp/>
        <stp>P</stp>
        <stp>0</stp>
        <stp>STK</stp>
        <stp>N071320</stp>
        <stp>누적거래량</stp>
        <stp/>
        <stp/>
        <tr r="M274" s="1"/>
      </tp>
      <tp>
        <v>8506</v>
        <stp/>
        <stp>P</stp>
        <stp>0</stp>
        <stp>STK</stp>
        <stp>N175330</stp>
        <stp>누적거래량</stp>
        <stp/>
        <stp/>
        <tr r="M121" s="1"/>
      </tp>
      <tp>
        <v>309208</v>
        <stp/>
        <stp>P</stp>
        <stp>0</stp>
        <stp>STK</stp>
        <stp>N025320</stp>
        <stp>누적거래량</stp>
        <stp/>
        <stp/>
        <tr r="M476" s="1"/>
      </tp>
      <tp>
        <v>3736</v>
        <stp/>
        <stp>P</stp>
        <stp>0</stp>
        <stp>STK</stp>
        <stp>N000320</stp>
        <stp>누적거래량</stp>
        <stp/>
        <stp/>
        <tr r="M657" s="1"/>
      </tp>
      <tp>
        <v>1433</v>
        <stp/>
        <stp>P</stp>
        <stp>0</stp>
        <stp>STK</stp>
        <stp>N002320</stp>
        <stp>누적거래량</stp>
        <stp/>
        <stp/>
        <tr r="M622" s="1"/>
      </tp>
      <tp>
        <v>81611</v>
        <stp/>
        <stp>P</stp>
        <stp>0</stp>
        <stp>STK</stp>
        <stp>N295310</stp>
        <stp>누적거래량</stp>
        <stp/>
        <stp/>
        <tr r="M308" s="1"/>
      </tp>
      <tp>
        <v>1306136</v>
        <stp/>
        <stp>P</stp>
        <stp>0</stp>
        <stp>STK</stp>
        <stp>N377300</stp>
        <stp>누적거래량</stp>
        <stp/>
        <stp/>
        <tr r="M95" s="1"/>
      </tp>
      <tp>
        <v>28704</v>
        <stp/>
        <stp>P</stp>
        <stp>0</stp>
        <stp>STK</stp>
        <stp>N376300</stp>
        <stp>누적거래량</stp>
        <stp/>
        <stp/>
        <tr r="M367" s="1"/>
      </tp>
      <tp>
        <v>270237</v>
        <stp/>
        <stp>P</stp>
        <stp>0</stp>
        <stp>STK</stp>
        <stp>N178320</stp>
        <stp>누적거래량</stp>
        <stp/>
        <stp/>
        <tr r="M231" s="1"/>
      </tp>
      <tp>
        <v>31586</v>
        <stp/>
        <stp>P</stp>
        <stp>0</stp>
        <stp>STK</stp>
        <stp>N012330</stp>
        <stp>누적거래량</stp>
        <stp/>
        <stp/>
        <tr r="M22" s="1"/>
      </tp>
      <tp>
        <v>12279</v>
        <stp/>
        <stp>P</stp>
        <stp>0</stp>
        <stp>STK</stp>
        <stp>N108320</stp>
        <stp>누적거래량</stp>
        <stp/>
        <stp/>
        <tr r="M348" s="1"/>
      </tp>
      <tp>
        <v>22912</v>
        <stp/>
        <stp>P</stp>
        <stp>0</stp>
        <stp>STK</stp>
        <stp>N095340</stp>
        <stp>누적거래량</stp>
        <stp/>
        <stp/>
        <tr r="M201" s="1"/>
      </tp>
      <tp>
        <v>868</v>
        <stp/>
        <stp>P</stp>
        <stp>0</stp>
        <stp>STK</stp>
        <stp>N280360</stp>
        <stp>누적거래량</stp>
        <stp/>
        <stp/>
        <tr r="M310" s="1"/>
      </tp>
      <tp>
        <v>10116</v>
        <stp/>
        <stp>P</stp>
        <stp>0</stp>
        <stp>STK</stp>
        <stp>N078340</stp>
        <stp>누적거래량</stp>
        <stp/>
        <stp/>
        <tr r="M543" s="1"/>
      </tp>
      <tp>
        <v>209915</v>
        <stp/>
        <stp>P</stp>
        <stp>0</stp>
        <stp>STK</stp>
        <stp>N348370</stp>
        <stp>누적거래량</stp>
        <stp/>
        <stp/>
        <tr r="M266" s="1"/>
      </tp>
      <tp>
        <v>6800</v>
        <stp/>
        <stp>P</stp>
        <stp>0</stp>
        <stp>STK</stp>
        <stp>N230360</stp>
        <stp>누적거래량</stp>
        <stp/>
        <stp/>
        <tr r="M485" s="1"/>
      </tp>
      <tp>
        <v>44781</v>
        <stp/>
        <stp>P</stp>
        <stp>0</stp>
        <stp>STK</stp>
        <stp>N336370</stp>
        <stp>누적거래량</stp>
        <stp/>
        <stp/>
        <tr r="M460" s="1"/>
      </tp>
      <tp>
        <v>14246</v>
        <stp/>
        <stp>P</stp>
        <stp>0</stp>
        <stp>STK</stp>
        <stp>N007340</stp>
        <stp>누적거래량</stp>
        <stp/>
        <stp/>
        <tr r="M254" s="1"/>
      </tp>
      <tp>
        <v>445785</v>
        <stp/>
        <stp>P</stp>
        <stp>0</stp>
        <stp>STK</stp>
        <stp>N088350</stp>
        <stp>누적거래량</stp>
        <stp/>
        <stp/>
        <tr r="M164" s="1"/>
      </tp>
      <tp>
        <v>43549</v>
        <stp/>
        <stp>P</stp>
        <stp>0</stp>
        <stp>STK</stp>
        <stp>N078350</stp>
        <stp>누적거래량</stp>
        <stp/>
        <stp/>
        <tr r="M569" s="1"/>
      </tp>
      <tp>
        <v>111130</v>
        <stp/>
        <stp>P</stp>
        <stp>0</stp>
        <stp>STK</stp>
        <stp>N065350</stp>
        <stp>누적거래량</stp>
        <stp/>
        <stp/>
        <tr r="M242" s="1"/>
      </tp>
      <tp>
        <v>208623</v>
        <stp/>
        <stp>P</stp>
        <stp>0</stp>
        <stp>STK</stp>
        <stp>N064350</stp>
        <stp>누적거래량</stp>
        <stp/>
        <stp/>
        <tr r="M37" s="1"/>
      </tp>
      <tp>
        <v>182032</v>
        <stp/>
        <stp>P</stp>
        <stp>0</stp>
        <stp>STK</stp>
        <stp>N032350</stp>
        <stp>누적거래량</stp>
        <stp/>
        <stp/>
        <tr r="M226" s="1"/>
      </tp>
      <tp>
        <v>17000</v>
        <stp/>
        <stp>P</stp>
        <stp>0</stp>
        <stp>STK</stp>
        <stp>N126340</stp>
        <stp>누적거래량</stp>
        <stp/>
        <stp/>
        <tr r="M434" s="1"/>
      </tp>
      <tp>
        <v>0</v>
        <stp/>
        <stp>P</stp>
        <stp>0</stp>
        <stp>STK</stp>
        <stp>N214370</stp>
        <stp>누적거래량</stp>
        <stp/>
        <stp/>
        <tr r="M129" s="1"/>
      </tp>
      <tp>
        <v>17296</v>
        <stp/>
        <stp>P</stp>
        <stp>0</stp>
        <stp>STK</stp>
        <stp>N304360</stp>
        <stp>누적거래량</stp>
        <stp/>
        <stp/>
        <tr r="M560" s="1"/>
      </tp>
      <tp>
        <v>60846</v>
        <stp/>
        <stp>P</stp>
        <stp>0</stp>
        <stp>STK</stp>
        <stp>N090360</stp>
        <stp>누적거래량</stp>
        <stp/>
        <stp/>
        <tr r="M332" s="1"/>
      </tp>
      <tp>
        <v>86140</v>
        <stp/>
        <stp>P</stp>
        <stp>0</stp>
        <stp>STK</stp>
        <stp>N094360</stp>
        <stp>누적거래량</stp>
        <stp/>
        <stp/>
        <tr r="M559" s="1"/>
      </tp>
      <tp>
        <v>79517</v>
        <stp/>
        <stp>P</stp>
        <stp>0</stp>
        <stp>STK</stp>
        <stp>N194370</stp>
        <stp>누적거래량</stp>
        <stp/>
        <stp/>
        <tr r="M602" s="1"/>
      </tp>
      <tp>
        <v>12686</v>
        <stp/>
        <stp>P</stp>
        <stp>0</stp>
        <stp>STK</stp>
        <stp>N051360</stp>
        <stp>누적거래량</stp>
        <stp/>
        <stp/>
        <tr r="M675" s="1"/>
      </tp>
      <tp>
        <v>969</v>
        <stp/>
        <stp>P</stp>
        <stp>0</stp>
        <stp>STK</stp>
        <stp>N015360</stp>
        <stp>누적거래량</stp>
        <stp/>
        <stp/>
        <tr r="M552" s="1"/>
      </tp>
      <tp>
        <v>64602</v>
        <stp/>
        <stp>P</stp>
        <stp>0</stp>
        <stp>STK</stp>
        <stp>N016360</stp>
        <stp>누적거래량</stp>
        <stp/>
        <stp/>
        <tr r="M91" s="1"/>
      </tp>
      <tp>
        <v>3723</v>
        <stp/>
        <stp>P</stp>
        <stp>0</stp>
        <stp>STK</stp>
        <stp>N004360</stp>
        <stp>누적거래량</stp>
        <stp/>
        <stp/>
        <tr r="M662" s="1"/>
      </tp>
      <tp>
        <v>64727</v>
        <stp/>
        <stp>P</stp>
        <stp>0</stp>
        <stp>STK</stp>
        <stp>N006360</stp>
        <stp>누적거래량</stp>
        <stp/>
        <stp/>
        <tr r="M243" s="1"/>
      </tp>
      <tp>
        <v>193528</v>
        <stp/>
        <stp>P</stp>
        <stp>0</stp>
        <stp>STK</stp>
        <stp>N093370</stp>
        <stp>누적거래량</stp>
        <stp/>
        <stp/>
        <tr r="M358" s="1"/>
      </tp>
      <tp>
        <v>44631</v>
        <stp/>
        <stp>P</stp>
        <stp>0</stp>
        <stp>STK</stp>
        <stp>N084370</stp>
        <stp>누적거래량</stp>
        <stp/>
        <stp/>
        <tr r="M222" s="1"/>
      </tp>
      <tp>
        <v>252959</v>
        <stp/>
        <stp>P</stp>
        <stp>0</stp>
        <stp>STK</stp>
        <stp>N079370</stp>
        <stp>누적거래량</stp>
        <stp/>
        <stp/>
        <tr r="M490" s="1"/>
      </tp>
      <tp>
        <v>101378</v>
        <stp/>
        <stp>P</stp>
        <stp>0</stp>
        <stp>STK</stp>
        <stp>N378340</stp>
        <stp>누적거래량</stp>
        <stp/>
        <stp/>
        <tr r="M651" s="1"/>
      </tp>
      <tp>
        <v>74108</v>
        <stp/>
        <stp>P</stp>
        <stp>0</stp>
        <stp>STK</stp>
        <stp>N060370</stp>
        <stp>누적거래량</stp>
        <stp/>
        <stp/>
        <tr r="M256" s="1"/>
      </tp>
      <tp>
        <v>34039</v>
        <stp/>
        <stp>P</stp>
        <stp>0</stp>
        <stp>STK</stp>
        <stp>N365340</stp>
        <stp>누적거래량</stp>
        <stp/>
        <stp/>
        <tr r="M422" s="1"/>
      </tp>
      <tp>
        <v>74424</v>
        <stp/>
        <stp>P</stp>
        <stp>0</stp>
        <stp>STK</stp>
        <stp>N168360</stp>
        <stp>누적거래량</stp>
        <stp/>
        <stp/>
        <tr r="M585" s="1"/>
      </tp>
      <tp>
        <v>16243</v>
        <stp/>
        <stp>P</stp>
        <stp>0</stp>
        <stp>STK</stp>
        <stp>N043370</stp>
        <stp>누적거래량</stp>
        <stp/>
        <stp/>
        <tr r="M653" s="1"/>
      </tp>
      <tp>
        <v>62549</v>
        <stp/>
        <stp>P</stp>
        <stp>0</stp>
        <stp>STK</stp>
        <stp>N101360</stp>
        <stp>누적거래량</stp>
        <stp/>
        <stp/>
        <tr r="M600" s="1"/>
      </tp>
      <tp>
        <v>1577</v>
        <stp/>
        <stp>P</stp>
        <stp>0</stp>
        <stp>STK</stp>
        <stp>N004370</stp>
        <stp>누적거래량</stp>
        <stp/>
        <stp/>
        <tr r="M182" s="1"/>
      </tp>
      <tp>
        <v>7793</v>
        <stp/>
        <stp>P</stp>
        <stp>0</stp>
        <stp>STK</stp>
        <stp>N161390</stp>
        <stp>누적거래량</stp>
        <stp/>
        <stp/>
        <tr r="M84" s="1"/>
      </tp>
      <tp>
        <v>3375777</v>
        <stp/>
        <stp>P</stp>
        <stp>0</stp>
        <stp>STK</stp>
        <stp>N003380</stp>
        <stp>누적거래량</stp>
        <stp/>
        <stp/>
        <tr r="M279" s="1"/>
      </tp>
      <tp>
        <v>1990</v>
        <stp/>
        <stp>P</stp>
        <stp>0</stp>
        <stp>STK</stp>
        <stp>N002380</stp>
        <stp>누적거래량</stp>
        <stp/>
        <stp/>
        <tr r="M130" s="1"/>
      </tp>
      <tp>
        <v>472778</v>
        <stp/>
        <stp>P</stp>
        <stp>0</stp>
        <stp>STK</stp>
        <stp>N005380</stp>
        <stp>누적거래량</stp>
        <stp/>
        <stp/>
        <tr r="M11" s="1"/>
      </tp>
      <tp>
        <v>42653</v>
        <stp/>
        <stp>P</stp>
        <stp>0</stp>
        <stp>STK</stp>
        <stp>N086390</stp>
        <stp>누적거래량</stp>
        <stp/>
        <stp/>
        <tr r="M677" s="1"/>
      </tp>
      <tp>
        <v>1053</v>
        <stp/>
        <stp>P</stp>
        <stp>0</stp>
        <stp>STK</stp>
        <stp>N017390</stp>
        <stp>누적거래량</stp>
        <stp/>
        <stp/>
        <tr r="M604" s="1"/>
      </tp>
      <tp>
        <v>135647</v>
        <stp/>
        <stp>P</stp>
        <stp>0</stp>
        <stp>STK</stp>
        <stp>N007390</stp>
        <stp>누적거래량</stp>
        <stp/>
        <stp/>
        <tr r="M275" s="1"/>
      </tp>
      <tp>
        <v>12205</v>
        <stp/>
        <stp>P</stp>
        <stp>0</stp>
        <stp>STK</stp>
        <stp>N108380</stp>
        <stp>누적거래량</stp>
        <stp/>
        <stp/>
        <tr r="M672" s="1"/>
      </tp>
      <tp>
        <v>592399</v>
        <stp/>
        <stp>P</stp>
        <stp>0</stp>
        <stp>STK</stp>
        <stp>N298380</stp>
        <stp>누적거래량</stp>
        <stp/>
        <stp/>
        <tr r="M76" s="1"/>
      </tp>
      <tp>
        <v>27000</v>
        <stp/>
        <stp>P</stp>
        <stp>0</stp>
        <stp>STK</stp>
        <stp>N089890</stp>
        <stp>시가</stp>
        <stp/>
        <stp/>
        <tr r="P523" s="1"/>
      </tp>
      <tp>
        <v>13860</v>
        <stp/>
        <stp>P</stp>
        <stp>0</stp>
        <stp>STK</stp>
        <stp>N086390</stp>
        <stp>저가</stp>
        <stp/>
        <stp/>
        <tr r="R677" s="1"/>
      </tp>
      <tp>
        <v>100000</v>
        <stp/>
        <stp>P</stp>
        <stp>0</stp>
        <stp>STK</stp>
        <stp>N086790</stp>
        <stp>저가</stp>
        <stp/>
        <stp/>
        <tr r="R32" s="1"/>
      </tp>
      <tp>
        <v>9690</v>
        <stp/>
        <stp>P</stp>
        <stp>0</stp>
        <stp>STK</stp>
        <stp>N084690</stp>
        <stp>저가</stp>
        <stp/>
        <stp/>
        <tr r="R590" s="1"/>
      </tp>
      <tp>
        <v>25050</v>
        <stp/>
        <stp>P</stp>
        <stp>0</stp>
        <stp>STK</stp>
        <stp>N089890</stp>
        <stp>저가</stp>
        <stp/>
        <stp/>
        <tr r="R523" s="1"/>
      </tp>
      <tp>
        <v>9870</v>
        <stp/>
        <stp>P</stp>
        <stp>0</stp>
        <stp>STK</stp>
        <stp>N084690</stp>
        <stp>시가</stp>
        <stp/>
        <stp/>
        <tr r="P590" s="1"/>
      </tp>
      <tp>
        <v>100100</v>
        <stp/>
        <stp>P</stp>
        <stp>0</stp>
        <stp>STK</stp>
        <stp>N086790</stp>
        <stp>시가</stp>
        <stp/>
        <stp/>
        <tr r="P32" s="1"/>
      </tp>
      <tp>
        <v>14400</v>
        <stp/>
        <stp>P</stp>
        <stp>0</stp>
        <stp>STK</stp>
        <stp>N086390</stp>
        <stp>시가</stp>
        <stp/>
        <stp/>
        <tr r="P677" s="1"/>
      </tp>
      <tp>
        <v>14600</v>
        <stp/>
        <stp>P</stp>
        <stp>0</stp>
        <stp>STK</stp>
        <stp>N086390</stp>
        <stp>고가</stp>
        <stp/>
        <stp/>
        <tr r="Q677" s="1"/>
      </tp>
      <tp>
        <v>105100</v>
        <stp/>
        <stp>P</stp>
        <stp>0</stp>
        <stp>STK</stp>
        <stp>N086790</stp>
        <stp>고가</stp>
        <stp/>
        <stp/>
        <tr r="Q32" s="1"/>
      </tp>
      <tp>
        <v>10080</v>
        <stp/>
        <stp>P</stp>
        <stp>0</stp>
        <stp>STK</stp>
        <stp>N084690</stp>
        <stp>고가</stp>
        <stp/>
        <stp/>
        <tr r="Q590" s="1"/>
      </tp>
      <tp>
        <v>27000</v>
        <stp/>
        <stp>P</stp>
        <stp>0</stp>
        <stp>STK</stp>
        <stp>N089890</stp>
        <stp>고가</stp>
        <stp/>
        <stp/>
        <tr r="Q523" s="1"/>
      </tp>
      <tp>
        <v>16410</v>
        <stp/>
        <stp>P</stp>
        <stp>0</stp>
        <stp>STK</stp>
        <stp>N099190</stp>
        <stp>시가</stp>
        <stp/>
        <stp/>
        <tr r="P532" s="1"/>
      </tp>
      <tp>
        <v>52300</v>
        <stp/>
        <stp>P</stp>
        <stp>0</stp>
        <stp>STK</stp>
        <stp>N192080</stp>
        <stp>저가</stp>
        <stp/>
        <stp/>
        <tr r="R301" s="1"/>
      </tp>
      <tp>
        <v>10810</v>
        <stp/>
        <stp>P</stp>
        <stp>0</stp>
        <stp>STK</stp>
        <stp>N092790</stp>
        <stp>저가</stp>
        <stp/>
        <stp/>
        <tr r="R610" s="1"/>
      </tp>
      <tp>
        <v>36300</v>
        <stp/>
        <stp>P</stp>
        <stp>0</stp>
        <stp>STK</stp>
        <stp>N194480</stp>
        <stp>저가</stp>
        <stp/>
        <stp/>
        <tr r="R537" s="1"/>
      </tp>
      <tp>
        <v>16020</v>
        <stp/>
        <stp>P</stp>
        <stp>0</stp>
        <stp>STK</stp>
        <stp>N099190</stp>
        <stp>저가</stp>
        <stp/>
        <stp/>
        <tr r="R532" s="1"/>
      </tp>
      <tp>
        <v>11210</v>
        <stp/>
        <stp>P</stp>
        <stp>0</stp>
        <stp>STK</stp>
        <stp>N092790</stp>
        <stp>시가</stp>
        <stp/>
        <stp/>
        <tr r="P610" s="1"/>
      </tp>
      <tp>
        <v>53600</v>
        <stp/>
        <stp>P</stp>
        <stp>0</stp>
        <stp>STK</stp>
        <stp>N192080</stp>
        <stp>시가</stp>
        <stp/>
        <stp/>
        <tr r="P301" s="1"/>
      </tp>
      <tp>
        <v>38000</v>
        <stp/>
        <stp>P</stp>
        <stp>0</stp>
        <stp>STK</stp>
        <stp>N194480</stp>
        <stp>시가</stp>
        <stp/>
        <stp/>
        <tr r="P537" s="1"/>
      </tp>
      <tp>
        <v>38000</v>
        <stp/>
        <stp>P</stp>
        <stp>0</stp>
        <stp>STK</stp>
        <stp>N194480</stp>
        <stp>고가</stp>
        <stp/>
        <stp/>
        <tr r="Q537" s="1"/>
      </tp>
      <tp>
        <v>53600</v>
        <stp/>
        <stp>P</stp>
        <stp>0</stp>
        <stp>STK</stp>
        <stp>N192080</stp>
        <stp>고가</stp>
        <stp/>
        <stp/>
        <tr r="Q301" s="1"/>
      </tp>
      <tp>
        <v>11210</v>
        <stp/>
        <stp>P</stp>
        <stp>0</stp>
        <stp>STK</stp>
        <stp>N092790</stp>
        <stp>고가</stp>
        <stp/>
        <stp/>
        <tr r="Q610" s="1"/>
      </tp>
      <tp>
        <v>16680</v>
        <stp/>
        <stp>P</stp>
        <stp>0</stp>
        <stp>STK</stp>
        <stp>N099190</stp>
        <stp>고가</stp>
        <stp/>
        <stp/>
        <tr r="Q532" s="1"/>
      </tp>
      <tp>
        <v>23550</v>
        <stp/>
        <stp>P</stp>
        <stp>0</stp>
        <stp>STK</stp>
        <stp>N003090</stp>
        <stp>저가</stp>
        <stp/>
        <stp/>
        <tr r="R272" s="1"/>
      </tp>
      <tp>
        <v>22800</v>
        <stp/>
        <stp>P</stp>
        <stp>0</stp>
        <stp>STK</stp>
        <stp>N003490</stp>
        <stp>저가</stp>
        <stp/>
        <stp/>
        <tr r="R82" s="1"/>
      </tp>
      <tp>
        <v>11690</v>
        <stp/>
        <stp>P</stp>
        <stp>0</stp>
        <stp>STK</stp>
        <stp>N003690</stp>
        <stp>저가</stp>
        <stp/>
        <stp/>
        <tr r="R199" s="1"/>
      </tp>
      <tp>
        <v>21700</v>
        <stp/>
        <stp>P</stp>
        <stp>0</stp>
        <stp>STK</stp>
        <stp>N008490</stp>
        <stp>시가</stp>
        <stp/>
        <stp/>
        <tr r="P689" s="1"/>
      </tp>
      <tp>
        <v>29600</v>
        <stp/>
        <stp>P</stp>
        <stp>0</stp>
        <stp>STK</stp>
        <stp>N108380</stp>
        <stp>시가</stp>
        <stp/>
        <stp/>
        <tr r="P672" s="1"/>
      </tp>
      <tp>
        <v>28350</v>
        <stp/>
        <stp>P</stp>
        <stp>0</stp>
        <stp>STK</stp>
        <stp>N002790</stp>
        <stp>저가</stp>
        <stp/>
        <stp/>
        <tr r="R210" s="1"/>
      </tp>
      <tp>
        <v>101600</v>
        <stp/>
        <stp>P</stp>
        <stp>0</stp>
        <stp>STK</stp>
        <stp>N000990</stp>
        <stp>저가</stp>
        <stp/>
        <stp/>
        <tr r="R128" s="1"/>
      </tp>
      <tp>
        <v>9670</v>
        <stp/>
        <stp>P</stp>
        <stp>0</stp>
        <stp>STK</stp>
        <stp>N000490</stp>
        <stp>저가</stp>
        <stp/>
        <stp/>
        <tr r="R631" s="1"/>
      </tp>
      <tp>
        <v>24150</v>
        <stp/>
        <stp>P</stp>
        <stp>0</stp>
        <stp>STK</stp>
        <stp>N007390</stp>
        <stp>저가</stp>
        <stp/>
        <stp/>
        <tr r="R275" s="1"/>
      </tp>
      <tp>
        <v>35600</v>
        <stp/>
        <stp>P</stp>
        <stp>0</stp>
        <stp>STK</stp>
        <stp>N007690</stp>
        <stp>저가</stp>
        <stp/>
        <stp/>
        <tr r="R589" s="1"/>
      </tp>
      <tp>
        <v>21650</v>
        <stp/>
        <stp>P</stp>
        <stp>0</stp>
        <stp>STK</stp>
        <stp>N005090</stp>
        <stp>저가</stp>
        <stp/>
        <stp/>
        <tr r="R626" s="1"/>
      </tp>
      <tp>
        <v>52300</v>
        <stp/>
        <stp>P</stp>
        <stp>0</stp>
        <stp>STK</stp>
        <stp>N005290</stp>
        <stp>저가</stp>
        <stp/>
        <stp/>
        <tr r="R204" s="1"/>
      </tp>
      <tp>
        <v>339000</v>
        <stp/>
        <stp>P</stp>
        <stp>0</stp>
        <stp>STK</stp>
        <stp>N005490</stp>
        <stp>저가</stp>
        <stp/>
        <stp/>
        <tr r="R31" s="1"/>
      </tp>
      <tp>
        <v>13500</v>
        <stp/>
        <stp>P</stp>
        <stp>0</stp>
        <stp>STK</stp>
        <stp>N005690</stp>
        <stp>저가</stp>
        <stp/>
        <stp/>
        <tr r="R361" s="1"/>
      </tp>
      <tp>
        <v>30550</v>
        <stp/>
        <stp>P</stp>
        <stp>0</stp>
        <stp>STK</stp>
        <stp>N004990</stp>
        <stp>저가</stp>
        <stp/>
        <stp/>
        <tr r="R153" s="1"/>
      </tp>
      <tp>
        <v>62100</v>
        <stp/>
        <stp>P</stp>
        <stp>0</stp>
        <stp>STK</stp>
        <stp>N004490</stp>
        <stp>저가</stp>
        <stp/>
        <stp/>
        <tr r="R333" s="1"/>
      </tp>
      <tp>
        <v>140200</v>
        <stp/>
        <stp>P</stp>
        <stp>0</stp>
        <stp>STK</stp>
        <stp>N004690</stp>
        <stp>저가</stp>
        <stp/>
        <stp/>
        <tr r="R468" s="1"/>
      </tp>
      <tp>
        <v>9800</v>
        <stp/>
        <stp>P</stp>
        <stp>0</stp>
        <stp>STK</stp>
        <stp>N000490</stp>
        <stp>시가</stp>
        <stp/>
        <stp/>
        <tr r="P631" s="1"/>
      </tp>
      <tp>
        <v>103000</v>
        <stp/>
        <stp>P</stp>
        <stp>0</stp>
        <stp>STK</stp>
        <stp>N000990</stp>
        <stp>시가</stp>
        <stp/>
        <stp/>
        <tr r="P128" s="1"/>
      </tp>
      <tp>
        <v>23300</v>
        <stp/>
        <stp>P</stp>
        <stp>0</stp>
        <stp>STK</stp>
        <stp>N003490</stp>
        <stp>시가</stp>
        <stp/>
        <stp/>
        <tr r="P82" s="1"/>
      </tp>
      <tp>
        <v>11800</v>
        <stp/>
        <stp>P</stp>
        <stp>0</stp>
        <stp>STK</stp>
        <stp>N003690</stp>
        <stp>시가</stp>
        <stp/>
        <stp/>
        <tr r="P199" s="1"/>
      </tp>
      <tp>
        <v>23950</v>
        <stp/>
        <stp>P</stp>
        <stp>0</stp>
        <stp>STK</stp>
        <stp>N003090</stp>
        <stp>시가</stp>
        <stp/>
        <stp/>
        <tr r="P272" s="1"/>
      </tp>
      <tp>
        <v>28500</v>
        <stp/>
        <stp>P</stp>
        <stp>0</stp>
        <stp>STK</stp>
        <stp>N002790</stp>
        <stp>시가</stp>
        <stp/>
        <stp/>
        <tr r="P210" s="1"/>
      </tp>
      <tp>
        <v>28250</v>
        <stp/>
        <stp>P</stp>
        <stp>0</stp>
        <stp>STK</stp>
        <stp>N108380</stp>
        <stp>저가</stp>
        <stp/>
        <stp/>
        <tr r="R672" s="1"/>
      </tp>
      <tp>
        <v>21000</v>
        <stp/>
        <stp>P</stp>
        <stp>0</stp>
        <stp>STK</stp>
        <stp>N008490</stp>
        <stp>저가</stp>
        <stp/>
        <stp/>
        <tr r="R689" s="1"/>
      </tp>
      <tp>
        <v>347500</v>
        <stp/>
        <stp>P</stp>
        <stp>0</stp>
        <stp>STK</stp>
        <stp>N005490</stp>
        <stp>시가</stp>
        <stp/>
        <stp/>
        <tr r="P31" s="1"/>
      </tp>
      <tp>
        <v>14010</v>
        <stp/>
        <stp>P</stp>
        <stp>0</stp>
        <stp>STK</stp>
        <stp>N005690</stp>
        <stp>시가</stp>
        <stp/>
        <stp/>
        <tr r="P361" s="1"/>
      </tp>
      <tp>
        <v>21750</v>
        <stp/>
        <stp>P</stp>
        <stp>0</stp>
        <stp>STK</stp>
        <stp>N005090</stp>
        <stp>시가</stp>
        <stp/>
        <stp/>
        <tr r="P626" s="1"/>
      </tp>
      <tp>
        <v>54900</v>
        <stp/>
        <stp>P</stp>
        <stp>0</stp>
        <stp>STK</stp>
        <stp>N005290</stp>
        <stp>시가</stp>
        <stp/>
        <stp/>
        <tr r="P204" s="1"/>
      </tp>
      <tp>
        <v>63800</v>
        <stp/>
        <stp>P</stp>
        <stp>0</stp>
        <stp>STK</stp>
        <stp>N004490</stp>
        <stp>시가</stp>
        <stp/>
        <stp/>
        <tr r="P333" s="1"/>
      </tp>
      <tp>
        <v>143000</v>
        <stp/>
        <stp>P</stp>
        <stp>0</stp>
        <stp>STK</stp>
        <stp>N004690</stp>
        <stp>시가</stp>
        <stp/>
        <stp/>
        <tr r="P468" s="1"/>
      </tp>
      <tp>
        <v>31100</v>
        <stp/>
        <stp>P</stp>
        <stp>0</stp>
        <stp>STK</stp>
        <stp>N004990</stp>
        <stp>시가</stp>
        <stp/>
        <stp/>
        <tr r="P153" s="1"/>
      </tp>
      <tp>
        <v>36550</v>
        <stp/>
        <stp>P</stp>
        <stp>0</stp>
        <stp>STK</stp>
        <stp>N007690</stp>
        <stp>시가</stp>
        <stp/>
        <stp/>
        <tr r="P589" s="1"/>
      </tp>
      <tp>
        <v>25050</v>
        <stp/>
        <stp>P</stp>
        <stp>0</stp>
        <stp>STK</stp>
        <stp>N007390</stp>
        <stp>시가</stp>
        <stp/>
        <stp/>
        <tr r="P275" s="1"/>
      </tp>
      <tp>
        <v>25050</v>
        <stp/>
        <stp>P</stp>
        <stp>0</stp>
        <stp>STK</stp>
        <stp>N007390</stp>
        <stp>고가</stp>
        <stp/>
        <stp/>
        <tr r="Q275" s="1"/>
      </tp>
      <tp>
        <v>36600</v>
        <stp/>
        <stp>P</stp>
        <stp>0</stp>
        <stp>STK</stp>
        <stp>N007690</stp>
        <stp>고가</stp>
        <stp/>
        <stp/>
        <tr r="Q589" s="1"/>
      </tp>
      <tp>
        <v>21900</v>
        <stp/>
        <stp>P</stp>
        <stp>0</stp>
        <stp>STK</stp>
        <stp>N005090</stp>
        <stp>고가</stp>
        <stp/>
        <stp/>
        <tr r="Q626" s="1"/>
      </tp>
      <tp>
        <v>55300</v>
        <stp/>
        <stp>P</stp>
        <stp>0</stp>
        <stp>STK</stp>
        <stp>N005290</stp>
        <stp>고가</stp>
        <stp/>
        <stp/>
        <tr r="Q204" s="1"/>
      </tp>
      <tp>
        <v>350500</v>
        <stp/>
        <stp>P</stp>
        <stp>0</stp>
        <stp>STK</stp>
        <stp>N005490</stp>
        <stp>고가</stp>
        <stp/>
        <stp/>
        <tr r="Q31" s="1"/>
      </tp>
      <tp>
        <v>14010</v>
        <stp/>
        <stp>P</stp>
        <stp>0</stp>
        <stp>STK</stp>
        <stp>N005690</stp>
        <stp>고가</stp>
        <stp/>
        <stp/>
        <tr r="Q361" s="1"/>
      </tp>
      <tp>
        <v>31400</v>
        <stp/>
        <stp>P</stp>
        <stp>0</stp>
        <stp>STK</stp>
        <stp>N004990</stp>
        <stp>고가</stp>
        <stp/>
        <stp/>
        <tr r="Q153" s="1"/>
      </tp>
      <tp>
        <v>63800</v>
        <stp/>
        <stp>P</stp>
        <stp>0</stp>
        <stp>STK</stp>
        <stp>N004490</stp>
        <stp>고가</stp>
        <stp/>
        <stp/>
        <tr r="Q333" s="1"/>
      </tp>
      <tp>
        <v>143000</v>
        <stp/>
        <stp>P</stp>
        <stp>0</stp>
        <stp>STK</stp>
        <stp>N004690</stp>
        <stp>고가</stp>
        <stp/>
        <stp/>
        <tr r="Q468" s="1"/>
      </tp>
      <tp>
        <v>24000</v>
        <stp/>
        <stp>P</stp>
        <stp>0</stp>
        <stp>STK</stp>
        <stp>N003090</stp>
        <stp>고가</stp>
        <stp/>
        <stp/>
        <tr r="Q272" s="1"/>
      </tp>
      <tp>
        <v>23300</v>
        <stp/>
        <stp>P</stp>
        <stp>0</stp>
        <stp>STK</stp>
        <stp>N003490</stp>
        <stp>고가</stp>
        <stp/>
        <stp/>
        <tr r="Q82" s="1"/>
      </tp>
      <tp>
        <v>12020</v>
        <stp/>
        <stp>P</stp>
        <stp>0</stp>
        <stp>STK</stp>
        <stp>N003690</stp>
        <stp>고가</stp>
        <stp/>
        <stp/>
        <tr r="Q199" s="1"/>
      </tp>
      <tp>
        <v>28750</v>
        <stp/>
        <stp>P</stp>
        <stp>0</stp>
        <stp>STK</stp>
        <stp>N002790</stp>
        <stp>고가</stp>
        <stp/>
        <stp/>
        <tr r="Q210" s="1"/>
      </tp>
      <tp>
        <v>110800</v>
        <stp/>
        <stp>P</stp>
        <stp>0</stp>
        <stp>STK</stp>
        <stp>N000990</stp>
        <stp>고가</stp>
        <stp/>
        <stp/>
        <tr r="Q128" s="1"/>
      </tp>
      <tp>
        <v>9950</v>
        <stp/>
        <stp>P</stp>
        <stp>0</stp>
        <stp>STK</stp>
        <stp>N000490</stp>
        <stp>고가</stp>
        <stp/>
        <stp/>
        <tr r="Q631" s="1"/>
      </tp>
      <tp>
        <v>29600</v>
        <stp/>
        <stp>P</stp>
        <stp>0</stp>
        <stp>STK</stp>
        <stp>N108380</stp>
        <stp>고가</stp>
        <stp/>
        <stp/>
        <tr r="Q672" s="1"/>
      </tp>
      <tp>
        <v>21700</v>
        <stp/>
        <stp>P</stp>
        <stp>0</stp>
        <stp>STK</stp>
        <stp>N008490</stp>
        <stp>고가</stp>
        <stp/>
        <stp/>
        <tr r="Q689" s="1"/>
      </tp>
      <tp>
        <v>12160</v>
        <stp/>
        <stp>P</stp>
        <stp>0</stp>
        <stp>STK</stp>
        <stp>N013890</stp>
        <stp>저가</stp>
        <stp/>
        <stp/>
        <tr r="R656" s="1"/>
      </tp>
      <tp>
        <v>21250</v>
        <stp/>
        <stp>P</stp>
        <stp>0</stp>
        <stp>STK</stp>
        <stp>N018290</stp>
        <stp>시가</stp>
        <stp/>
        <stp/>
        <tr r="P442" s="1"/>
      </tp>
      <tp>
        <v>112700</v>
        <stp/>
        <stp>P</stp>
        <stp>0</stp>
        <stp>STK</stp>
        <stp>N011790</stp>
        <stp>저가</stp>
        <stp/>
        <stp/>
        <tr r="R126" s="1"/>
      </tp>
      <tp>
        <v>8940</v>
        <stp/>
        <stp>P</stp>
        <stp>0</stp>
        <stp>STK</stp>
        <stp>N010690</stp>
        <stp>저가</stp>
        <stp/>
        <stp/>
        <tr r="R563" s="1"/>
      </tp>
      <tp>
        <v>65100</v>
        <stp/>
        <stp>P</stp>
        <stp>0</stp>
        <stp>STK</stp>
        <stp>N017390</stp>
        <stp>저가</stp>
        <stp/>
        <stp/>
        <tr r="R604" s="1"/>
      </tp>
      <tp>
        <v>12230</v>
        <stp/>
        <stp>P</stp>
        <stp>0</stp>
        <stp>STK</stp>
        <stp>N016590</stp>
        <stp>저가</stp>
        <stp/>
        <stp/>
        <tr r="R465" s="1"/>
      </tp>
      <tp>
        <v>115100</v>
        <stp/>
        <stp>P</stp>
        <stp>0</stp>
        <stp>STK</stp>
        <stp>N011790</stp>
        <stp>시가</stp>
        <stp/>
        <stp/>
        <tr r="P126" s="1"/>
      </tp>
      <tp>
        <v>9160</v>
        <stp/>
        <stp>P</stp>
        <stp>0</stp>
        <stp>STK</stp>
        <stp>N010690</stp>
        <stp>시가</stp>
        <stp/>
        <stp/>
        <tr r="P563" s="1"/>
      </tp>
      <tp>
        <v>12580</v>
        <stp/>
        <stp>P</stp>
        <stp>0</stp>
        <stp>STK</stp>
        <stp>N013890</stp>
        <stp>시가</stp>
        <stp/>
        <stp/>
        <tr r="P656" s="1"/>
      </tp>
      <tp>
        <v>20300</v>
        <stp/>
        <stp>P</stp>
        <stp>0</stp>
        <stp>STK</stp>
        <stp>N018290</stp>
        <stp>저가</stp>
        <stp/>
        <stp/>
        <tr r="R442" s="1"/>
      </tp>
      <tp>
        <v>66200</v>
        <stp/>
        <stp>P</stp>
        <stp>0</stp>
        <stp>STK</stp>
        <stp>N017390</stp>
        <stp>시가</stp>
        <stp/>
        <stp/>
        <tr r="P604" s="1"/>
      </tp>
      <tp>
        <v>12240</v>
        <stp/>
        <stp>P</stp>
        <stp>0</stp>
        <stp>STK</stp>
        <stp>N016590</stp>
        <stp>시가</stp>
        <stp/>
        <stp/>
        <tr r="P465" s="1"/>
      </tp>
      <tp>
        <v>66200</v>
        <stp/>
        <stp>P</stp>
        <stp>0</stp>
        <stp>STK</stp>
        <stp>N017390</stp>
        <stp>고가</stp>
        <stp/>
        <stp/>
        <tr r="Q604" s="1"/>
      </tp>
      <tp>
        <v>12240</v>
        <stp/>
        <stp>P</stp>
        <stp>0</stp>
        <stp>STK</stp>
        <stp>N016590</stp>
        <stp>고가</stp>
        <stp/>
        <stp/>
        <tr r="Q465" s="1"/>
      </tp>
      <tp>
        <v>12580</v>
        <stp/>
        <stp>P</stp>
        <stp>0</stp>
        <stp>STK</stp>
        <stp>N013890</stp>
        <stp>고가</stp>
        <stp/>
        <stp/>
        <tr r="Q656" s="1"/>
      </tp>
      <tp>
        <v>120200</v>
        <stp/>
        <stp>P</stp>
        <stp>0</stp>
        <stp>STK</stp>
        <stp>N011790</stp>
        <stp>고가</stp>
        <stp/>
        <stp/>
        <tr r="Q126" s="1"/>
      </tp>
      <tp>
        <v>9160</v>
        <stp/>
        <stp>P</stp>
        <stp>0</stp>
        <stp>STK</stp>
        <stp>N010690</stp>
        <stp>고가</stp>
        <stp/>
        <stp/>
        <tr r="Q563" s="1"/>
      </tp>
      <tp>
        <v>21250</v>
        <stp/>
        <stp>P</stp>
        <stp>0</stp>
        <stp>STK</stp>
        <stp>N018290</stp>
        <stp>고가</stp>
        <stp/>
        <stp/>
        <tr r="Q442" s="1"/>
      </tp>
      <tp>
        <v>49300</v>
        <stp/>
        <stp>P</stp>
        <stp>0</stp>
        <stp>STK</stp>
        <stp>N023590</stp>
        <stp>저가</stp>
        <stp/>
        <stp/>
        <tr r="R225" s="1"/>
      </tp>
      <tp>
        <v>11300</v>
        <stp/>
        <stp>P</stp>
        <stp>0</stp>
        <stp>STK</stp>
        <stp>N026890</stp>
        <stp>저가</stp>
        <stp/>
        <stp/>
        <tr r="R533" s="1"/>
      </tp>
      <tp>
        <v>52700</v>
        <stp/>
        <stp>P</stp>
        <stp>0</stp>
        <stp>STK</stp>
        <stp>N023590</stp>
        <stp>시가</stp>
        <stp/>
        <stp/>
        <tr r="P225" s="1"/>
      </tp>
      <tp>
        <v>11670</v>
        <stp/>
        <stp>P</stp>
        <stp>0</stp>
        <stp>STK</stp>
        <stp>N026890</stp>
        <stp>시가</stp>
        <stp/>
        <stp/>
        <tr r="P533" s="1"/>
      </tp>
      <tp>
        <v>11670</v>
        <stp/>
        <stp>P</stp>
        <stp>0</stp>
        <stp>STK</stp>
        <stp>N026890</stp>
        <stp>고가</stp>
        <stp/>
        <stp/>
        <tr r="Q533" s="1"/>
      </tp>
      <tp>
        <v>52700</v>
        <stp/>
        <stp>P</stp>
        <stp>0</stp>
        <stp>STK</stp>
        <stp>N023590</stp>
        <stp>고가</stp>
        <stp/>
        <stp/>
        <tr r="Q225" s="1"/>
      </tp>
      <tp>
        <v>421500</v>
        <stp/>
        <stp>P</stp>
        <stp>0</stp>
        <stp>STK</stp>
        <stp>N039490</stp>
        <stp>시가</stp>
        <stp/>
        <stp/>
        <tr r="P85" s="1"/>
      </tp>
      <tp>
        <v>91100</v>
        <stp/>
        <stp>P</stp>
        <stp>0</stp>
        <stp>STK</stp>
        <stp>N139480</stp>
        <stp>시가</stp>
        <stp/>
        <stp/>
        <tr r="P194" s="1"/>
      </tp>
      <tp>
        <v>26550</v>
        <stp/>
        <stp>P</stp>
        <stp>0</stp>
        <stp>STK</stp>
        <stp>N032190</stp>
        <stp>저가</stp>
        <stp/>
        <stp/>
        <tr r="R390" s="1"/>
      </tp>
      <tp>
        <v>16900</v>
        <stp/>
        <stp>P</stp>
        <stp>0</stp>
        <stp>STK</stp>
        <stp>N030190</stp>
        <stp>저가</stp>
        <stp/>
        <stp/>
        <tr r="R317" s="1"/>
      </tp>
      <tp>
        <v>13920</v>
        <stp/>
        <stp>P</stp>
        <stp>0</stp>
        <stp>STK</stp>
        <stp>N036890</stp>
        <stp>저가</stp>
        <stp/>
        <stp/>
        <tr r="R624" s="1"/>
      </tp>
      <tp>
        <v>17330</v>
        <stp/>
        <stp>P</stp>
        <stp>0</stp>
        <stp>STK</stp>
        <stp>N030190</stp>
        <stp>시가</stp>
        <stp/>
        <stp/>
        <tr r="P317" s="1"/>
      </tp>
      <tp>
        <v>421000</v>
        <stp/>
        <stp>P</stp>
        <stp>0</stp>
        <stp>STK</stp>
        <stp>N039490</stp>
        <stp>저가</stp>
        <stp/>
        <stp/>
        <tr r="R85" s="1"/>
      </tp>
      <tp>
        <v>89700</v>
        <stp/>
        <stp>P</stp>
        <stp>0</stp>
        <stp>STK</stp>
        <stp>N139480</stp>
        <stp>저가</stp>
        <stp/>
        <stp/>
        <tr r="R194" s="1"/>
      </tp>
      <tp>
        <v>27000</v>
        <stp/>
        <stp>P</stp>
        <stp>0</stp>
        <stp>STK</stp>
        <stp>N032190</stp>
        <stp>시가</stp>
        <stp/>
        <stp/>
        <tr r="P390" s="1"/>
      </tp>
      <tp>
        <v>14180</v>
        <stp/>
        <stp>P</stp>
        <stp>0</stp>
        <stp>STK</stp>
        <stp>N036890</stp>
        <stp>시가</stp>
        <stp/>
        <stp/>
        <tr r="P624" s="1"/>
      </tp>
      <tp>
        <v>14180</v>
        <stp/>
        <stp>P</stp>
        <stp>0</stp>
        <stp>STK</stp>
        <stp>N036890</stp>
        <stp>고가</stp>
        <stp/>
        <stp/>
        <tr r="Q624" s="1"/>
      </tp>
      <tp>
        <v>27350</v>
        <stp/>
        <stp>P</stp>
        <stp>0</stp>
        <stp>STK</stp>
        <stp>N032190</stp>
        <stp>고가</stp>
        <stp/>
        <stp/>
        <tr r="Q390" s="1"/>
      </tp>
      <tp>
        <v>17330</v>
        <stp/>
        <stp>P</stp>
        <stp>0</stp>
        <stp>STK</stp>
        <stp>N030190</stp>
        <stp>고가</stp>
        <stp/>
        <stp/>
        <tr r="Q317" s="1"/>
      </tp>
      <tp>
        <v>443000</v>
        <stp/>
        <stp>P</stp>
        <stp>0</stp>
        <stp>STK</stp>
        <stp>N039490</stp>
        <stp>고가</stp>
        <stp/>
        <stp/>
        <tr r="Q85" s="1"/>
      </tp>
      <tp>
        <v>91200</v>
        <stp/>
        <stp>P</stp>
        <stp>0</stp>
        <stp>STK</stp>
        <stp>N139480</stp>
        <stp>고가</stp>
        <stp/>
        <stp/>
        <tr r="Q194" s="1"/>
      </tp>
      <tp>
        <v>8000</v>
        <stp/>
        <stp>P</stp>
        <stp>0</stp>
        <stp>STK</stp>
        <stp>N041190</stp>
        <stp>저가</stp>
        <stp/>
        <stp/>
        <tr r="R428" s="1"/>
      </tp>
      <tp>
        <v>190400</v>
        <stp/>
        <stp>P</stp>
        <stp>0</stp>
        <stp>STK</stp>
        <stp>N141080</stp>
        <stp>저가</stp>
        <stp/>
        <stp/>
        <tr r="R108" s="1"/>
      </tp>
      <tp>
        <v>7400</v>
        <stp/>
        <stp>P</stp>
        <stp>0</stp>
        <stp>STK</stp>
        <stp>N046890</stp>
        <stp>저가</stp>
        <stp/>
        <stp/>
        <tr r="R579" s="1"/>
      </tp>
      <tp>
        <v>29200</v>
        <stp/>
        <stp>P</stp>
        <stp>0</stp>
        <stp>STK</stp>
        <stp>N044490</stp>
        <stp>저가</stp>
        <stp/>
        <stp/>
        <tr r="R394" s="1"/>
      </tp>
      <tp>
        <v>8320</v>
        <stp/>
        <stp>P</stp>
        <stp>0</stp>
        <stp>STK</stp>
        <stp>N041190</stp>
        <stp>시가</stp>
        <stp/>
        <stp/>
        <tr r="P428" s="1"/>
      </tp>
      <tp>
        <v>201000</v>
        <stp/>
        <stp>P</stp>
        <stp>0</stp>
        <stp>STK</stp>
        <stp>N141080</stp>
        <stp>시가</stp>
        <stp/>
        <stp/>
        <tr r="P108" s="1"/>
      </tp>
      <tp>
        <v>30000</v>
        <stp/>
        <stp>P</stp>
        <stp>0</stp>
        <stp>STK</stp>
        <stp>N044490</stp>
        <stp>시가</stp>
        <stp/>
        <stp/>
        <tr r="P394" s="1"/>
      </tp>
      <tp>
        <v>7840</v>
        <stp/>
        <stp>P</stp>
        <stp>0</stp>
        <stp>STK</stp>
        <stp>N046890</stp>
        <stp>시가</stp>
        <stp/>
        <stp/>
        <tr r="P579" s="1"/>
      </tp>
      <tp>
        <v>7920</v>
        <stp/>
        <stp>P</stp>
        <stp>0</stp>
        <stp>STK</stp>
        <stp>N046890</stp>
        <stp>고가</stp>
        <stp/>
        <stp/>
        <tr r="Q579" s="1"/>
      </tp>
      <tp>
        <v>30300</v>
        <stp/>
        <stp>P</stp>
        <stp>0</stp>
        <stp>STK</stp>
        <stp>N044490</stp>
        <stp>고가</stp>
        <stp/>
        <stp/>
        <tr r="Q394" s="1"/>
      </tp>
      <tp>
        <v>8320</v>
        <stp/>
        <stp>P</stp>
        <stp>0</stp>
        <stp>STK</stp>
        <stp>N041190</stp>
        <stp>고가</stp>
        <stp/>
        <stp/>
        <tr r="Q428" s="1"/>
      </tp>
      <tp>
        <v>201500</v>
        <stp/>
        <stp>P</stp>
        <stp>0</stp>
        <stp>STK</stp>
        <stp>N141080</stp>
        <stp>고가</stp>
        <stp/>
        <stp/>
        <tr r="Q108" s="1"/>
      </tp>
      <tp>
        <v>17590</v>
        <stp/>
        <stp>P</stp>
        <stp>0</stp>
        <stp>STK</stp>
        <stp>N059090</stp>
        <stp>시가</stp>
        <stp/>
        <stp/>
        <tr r="P518" s="1"/>
      </tp>
      <tp>
        <v>125700</v>
        <stp/>
        <stp>P</stp>
        <stp>0</stp>
        <stp>STK</stp>
        <stp>N052690</stp>
        <stp>저가</stp>
        <stp/>
        <stp/>
        <tr r="R107" s="1"/>
      </tp>
      <tp>
        <v>8100</v>
        <stp/>
        <stp>P</stp>
        <stp>0</stp>
        <stp>STK</stp>
        <stp>N050890</stp>
        <stp>저가</stp>
        <stp/>
        <stp/>
        <tr r="R496" s="1"/>
      </tp>
      <tp>
        <v>32250</v>
        <stp/>
        <stp>P</stp>
        <stp>0</stp>
        <stp>STK</stp>
        <stp>N056190</stp>
        <stp>저가</stp>
        <stp/>
        <stp/>
        <tr r="R330" s="1"/>
      </tp>
      <tp>
        <v>8300</v>
        <stp/>
        <stp>P</stp>
        <stp>0</stp>
        <stp>STK</stp>
        <stp>N050890</stp>
        <stp>시가</stp>
        <stp/>
        <stp/>
        <tr r="P496" s="1"/>
      </tp>
      <tp>
        <v>16960</v>
        <stp/>
        <stp>P</stp>
        <stp>0</stp>
        <stp>STK</stp>
        <stp>N059090</stp>
        <stp>저가</stp>
        <stp/>
        <stp/>
        <tr r="R518" s="1"/>
      </tp>
      <tp>
        <v>129800</v>
        <stp/>
        <stp>P</stp>
        <stp>0</stp>
        <stp>STK</stp>
        <stp>N052690</stp>
        <stp>시가</stp>
        <stp/>
        <stp/>
        <tr r="P107" s="1"/>
      </tp>
      <tp>
        <v>32500</v>
        <stp/>
        <stp>P</stp>
        <stp>0</stp>
        <stp>STK</stp>
        <stp>N056190</stp>
        <stp>시가</stp>
        <stp/>
        <stp/>
        <tr r="P330" s="1"/>
      </tp>
      <tp>
        <v>33750</v>
        <stp/>
        <stp>P</stp>
        <stp>0</stp>
        <stp>STK</stp>
        <stp>N056190</stp>
        <stp>고가</stp>
        <stp/>
        <stp/>
        <tr r="Q330" s="1"/>
      </tp>
      <tp>
        <v>131000</v>
        <stp/>
        <stp>P</stp>
        <stp>0</stp>
        <stp>STK</stp>
        <stp>N052690</stp>
        <stp>고가</stp>
        <stp/>
        <stp/>
        <tr r="Q107" s="1"/>
      </tp>
      <tp>
        <v>8430</v>
        <stp/>
        <stp>P</stp>
        <stp>0</stp>
        <stp>STK</stp>
        <stp>N050890</stp>
        <stp>고가</stp>
        <stp/>
        <stp/>
        <tr r="Q496" s="1"/>
      </tp>
      <tp>
        <v>17730</v>
        <stp/>
        <stp>P</stp>
        <stp>0</stp>
        <stp>STK</stp>
        <stp>N059090</stp>
        <stp>고가</stp>
        <stp/>
        <stp/>
        <tr r="Q518" s="1"/>
      </tp>
      <tp>
        <v>45650</v>
        <stp/>
        <stp>P</stp>
        <stp>0</stp>
        <stp>STK</stp>
        <stp>N061090</stp>
        <stp>저가</stp>
        <stp/>
        <stp/>
        <tr r="R682" s="1"/>
      </tp>
      <tp>
        <v>53100</v>
        <stp/>
        <stp>P</stp>
        <stp>0</stp>
        <stp>STK</stp>
        <stp>N161580</stp>
        <stp>저가</stp>
        <stp/>
        <stp/>
        <tr r="R314" s="1"/>
      </tp>
      <tp>
        <v>53600</v>
        <stp/>
        <stp>P</stp>
        <stp>0</stp>
        <stp>STK</stp>
        <stp>N161580</stp>
        <stp>시가</stp>
        <stp/>
        <stp/>
        <tr r="P314" s="1"/>
      </tp>
      <tp>
        <v>47200</v>
        <stp/>
        <stp>P</stp>
        <stp>0</stp>
        <stp>STK</stp>
        <stp>N061090</stp>
        <stp>시가</stp>
        <stp/>
        <stp/>
        <tr r="P682" s="1"/>
      </tp>
      <tp>
        <v>47200</v>
        <stp/>
        <stp>P</stp>
        <stp>0</stp>
        <stp>STK</stp>
        <stp>N061090</stp>
        <stp>고가</stp>
        <stp/>
        <stp/>
        <tr r="Q682" s="1"/>
      </tp>
      <tp>
        <v>57800</v>
        <stp/>
        <stp>P</stp>
        <stp>0</stp>
        <stp>STK</stp>
        <stp>N161580</stp>
        <stp>고가</stp>
        <stp/>
        <stp/>
        <tr r="Q314" s="1"/>
      </tp>
      <tp>
        <v>271351</v>
        <stp/>
        <stp>P</stp>
        <stp>0</stp>
        <stp>STK</stp>
        <stp>N064400</stp>
        <stp>누적거래량</stp>
        <stp/>
        <stp/>
        <tr r="M94" s="1"/>
      </tp>
      <tp>
        <v>46455</v>
        <stp/>
        <stp>P</stp>
        <stp>0</stp>
        <stp>STK</stp>
        <stp>N052400</stp>
        <stp>누적거래량</stp>
        <stp/>
        <stp/>
        <tr r="M421" s="1"/>
      </tp>
      <tp>
        <v>84314</v>
        <stp/>
        <stp>P</stp>
        <stp>0</stp>
        <stp>STK</stp>
        <stp>N140410</stp>
        <stp>누적거래량</stp>
        <stp/>
        <stp/>
        <tr r="M154" s="1"/>
      </tp>
      <tp>
        <v>93937</v>
        <stp/>
        <stp>P</stp>
        <stp>0</stp>
        <stp>STK</stp>
        <stp>N249420</stp>
        <stp>누적거래량</stp>
        <stp/>
        <stp/>
        <tr r="M288" s="1"/>
      </tp>
      <tp>
        <v>30604</v>
        <stp/>
        <stp>P</stp>
        <stp>0</stp>
        <stp>STK</stp>
        <stp>N213420</stp>
        <stp>누적거래량</stp>
        <stp/>
        <stp/>
        <tr r="M338" s="1"/>
      </tp>
      <tp>
        <v>288190</v>
        <stp/>
        <stp>P</stp>
        <stp>0</stp>
        <stp>STK</stp>
        <stp>N006400</stp>
        <stp>누적거래량</stp>
        <stp/>
        <stp/>
        <tr r="M34" s="1"/>
      </tp>
      <tp>
        <v>28511</v>
        <stp/>
        <stp>P</stp>
        <stp>0</stp>
        <stp>STK</stp>
        <stp>N308430</stp>
        <stp>누적거래량</stp>
        <stp/>
        <stp/>
        <tr r="M625" s="1"/>
      </tp>
      <tp>
        <v>2142</v>
        <stp/>
        <stp>P</stp>
        <stp>0</stp>
        <stp>STK</stp>
        <stp>N192400</stp>
        <stp>누적거래량</stp>
        <stp/>
        <stp/>
        <tr r="M323" s="1"/>
      </tp>
      <tp>
        <v>0</v>
        <stp/>
        <stp>P</stp>
        <stp>0</stp>
        <stp>STK</stp>
        <stp>N048410</stp>
        <stp>누적거래량</stp>
        <stp/>
        <stp/>
        <tr r="M455" s="1"/>
      </tp>
      <tp>
        <v>205801</v>
        <stp/>
        <stp>P</stp>
        <stp>0</stp>
        <stp>STK</stp>
        <stp>N137400</stp>
        <stp>누적거래량</stp>
        <stp/>
        <stp/>
        <tr r="M325" s="1"/>
      </tp>
      <tp>
        <v>23218</v>
        <stp/>
        <stp>P</stp>
        <stp>0</stp>
        <stp>STK</stp>
        <stp>N214430</stp>
        <stp>누적거래량</stp>
        <stp/>
        <stp/>
        <tr r="M417" s="1"/>
      </tp>
      <tp>
        <v>54605</v>
        <stp/>
        <stp>P</stp>
        <stp>0</stp>
        <stp>STK</stp>
        <stp>N199430</stp>
        <stp>누적거래량</stp>
        <stp/>
        <stp/>
        <tr r="M488" s="1"/>
      </tp>
      <tp>
        <v>371759</v>
        <stp/>
        <stp>P</stp>
        <stp>0</stp>
        <stp>STK</stp>
        <stp>N035420</stp>
        <stp>누적거래량</stp>
        <stp/>
        <stp/>
        <tr r="M26" s="1"/>
      </tp>
      <tp>
        <v>156198</v>
        <stp/>
        <stp>P</stp>
        <stp>0</stp>
        <stp>STK</stp>
        <stp>N323410</stp>
        <stp>누적거래량</stp>
        <stp/>
        <stp/>
        <tr r="M75" s="1"/>
      </tp>
      <tp>
        <v>66510</v>
        <stp/>
        <stp>P</stp>
        <stp>0</stp>
        <stp>STK</stp>
        <stp>N005420</stp>
        <stp>누적거래량</stp>
        <stp/>
        <stp/>
        <tr r="M446" s="1"/>
      </tp>
      <tp>
        <v>80043</v>
        <stp/>
        <stp>P</stp>
        <stp>0</stp>
        <stp>STK</stp>
        <stp>N009420</stp>
        <stp>누적거래량</stp>
        <stp/>
        <stp/>
        <tr r="M190" s="1"/>
      </tp>
      <tp>
        <v>26780</v>
        <stp/>
        <stp>P</stp>
        <stp>0</stp>
        <stp>STK</stp>
        <stp>N090430</stp>
        <stp>누적거래량</stp>
        <stp/>
        <stp/>
        <tr r="M93" s="1"/>
      </tp>
      <tp>
        <v>11759</v>
        <stp/>
        <stp>P</stp>
        <stp>0</stp>
        <stp>STK</stp>
        <stp>N031430</stp>
        <stp>누적거래량</stp>
        <stp/>
        <stp/>
        <tr r="M550" s="1"/>
      </tp>
      <tp>
        <v>82588</v>
        <stp/>
        <stp>P</stp>
        <stp>0</stp>
        <stp>STK</stp>
        <stp>N218410</stp>
        <stp>누적거래량</stp>
        <stp/>
        <stp/>
        <tr r="M327" s="1"/>
      </tp>
      <tp>
        <v>66100</v>
        <stp/>
        <stp>P</stp>
        <stp>0</stp>
        <stp>STK</stp>
        <stp>N001430</stp>
        <stp>누적거래량</stp>
        <stp/>
        <stp/>
        <tr r="M166" s="1"/>
      </tp>
      <tp>
        <v>25576</v>
        <stp/>
        <stp>P</stp>
        <stp>0</stp>
        <stp>STK</stp>
        <stp>N389470</stp>
        <stp>누적거래량</stp>
        <stp/>
        <stp/>
        <tr r="M329" s="1"/>
      </tp>
      <tp>
        <v>425153</v>
        <stp/>
        <stp>P</stp>
        <stp>0</stp>
        <stp>STK</stp>
        <stp>N475400</stp>
        <stp>누적거래량</stp>
        <stp/>
        <stp/>
        <tr r="M463" s="1"/>
      </tp>
      <tp>
        <v>209515</v>
        <stp/>
        <stp>P</stp>
        <stp>0</stp>
        <stp>STK</stp>
        <stp>N039440</stp>
        <stp>누적거래량</stp>
        <stp/>
        <stp/>
        <tr r="M497" s="1"/>
      </tp>
      <tp>
        <v>1173849</v>
        <stp/>
        <stp>P</stp>
        <stp>0</stp>
        <stp>STK</stp>
        <stp>N001440</stp>
        <stp>누적거래량</stp>
        <stp/>
        <stp/>
        <tr r="M110" s="1"/>
      </tp>
      <tp>
        <v>25633</v>
        <stp/>
        <stp>P</stp>
        <stp>0</stp>
        <stp>STK</stp>
        <stp>N005440</stp>
        <stp>누적거래량</stp>
        <stp/>
        <stp/>
        <tr r="M268" s="1"/>
      </tp>
      <tp>
        <v>103232</v>
        <stp/>
        <stp>P</stp>
        <stp>0</stp>
        <stp>STK</stp>
        <stp>N083450</stp>
        <stp>누적거래량</stp>
        <stp/>
        <stp/>
        <tr r="M480" s="1"/>
      </tp>
      <tp>
        <v>44141</v>
        <stp/>
        <stp>P</stp>
        <stp>0</stp>
        <stp>STK</stp>
        <stp>N086450</stp>
        <stp>누적거래량</stp>
        <stp/>
        <stp/>
        <tr r="M371" s="1"/>
      </tp>
      <tp>
        <v>109739</v>
        <stp/>
        <stp>P</stp>
        <stp>0</stp>
        <stp>STK</stp>
        <stp>N278470</stp>
        <stp>누적거래량</stp>
        <stp/>
        <stp/>
        <tr r="M77" s="1"/>
      </tp>
      <tp>
        <v>47104</v>
        <stp/>
        <stp>P</stp>
        <stp>0</stp>
        <stp>STK</stp>
        <stp>N012450</stp>
        <stp>누적거래량</stp>
        <stp/>
        <stp/>
        <tr r="M15" s="1"/>
      </tp>
      <tp>
        <v>50261</v>
        <stp/>
        <stp>P</stp>
        <stp>0</stp>
        <stp>STK</stp>
        <stp>N001450</stp>
        <stp>누적거래량</stp>
        <stp/>
        <stp/>
        <tr r="M183" s="1"/>
      </tp>
      <tp>
        <v>3248</v>
        <stp/>
        <stp>P</stp>
        <stp>0</stp>
        <stp>STK</stp>
        <stp>N009450</stp>
        <stp>누적거래량</stp>
        <stp/>
        <stp/>
        <tr r="M351" s="1"/>
      </tp>
      <tp>
        <v>27932</v>
        <stp/>
        <stp>P</stp>
        <stp>0</stp>
        <stp>STK</stp>
        <stp>N090460</stp>
        <stp>누적거래량</stp>
        <stp/>
        <stp/>
        <tr r="M458" s="1"/>
      </tp>
      <tp>
        <v>12835</v>
        <stp/>
        <stp>P</stp>
        <stp>0</stp>
        <stp>STK</stp>
        <stp>N092460</stp>
        <stp>누적거래량</stp>
        <stp/>
        <stp/>
        <tr r="M643" s="1"/>
      </tp>
      <tp>
        <v>1070164</v>
        <stp/>
        <stp>P</stp>
        <stp>0</stp>
        <stp>STK</stp>
        <stp>N098460</stp>
        <stp>누적거래량</stp>
        <stp/>
        <stp/>
        <tr r="M205" s="1"/>
      </tp>
      <tp>
        <v>38931</v>
        <stp/>
        <stp>P</stp>
        <stp>0</stp>
        <stp>STK</stp>
        <stp>N036460</stp>
        <stp>누적거래량</stp>
        <stp/>
        <stp/>
        <tr r="M137" s="1"/>
      </tp>
      <tp>
        <v>26706</v>
        <stp/>
        <stp>P</stp>
        <stp>0</stp>
        <stp>STK</stp>
        <stp>N425420</stp>
        <stp>누적거래량</stp>
        <stp/>
        <stp/>
        <tr r="M535" s="1"/>
      </tp>
      <tp>
        <v>9546</v>
        <stp/>
        <stp>P</stp>
        <stp>0</stp>
        <stp>STK</stp>
        <stp>N029460</stp>
        <stp>누적거래량</stp>
        <stp/>
        <stp/>
        <tr r="M557" s="1"/>
      </tp>
      <tp>
        <v>6518</v>
        <stp/>
        <stp>P</stp>
        <stp>0</stp>
        <stp>STK</stp>
        <stp>N317450</stp>
        <stp>누적거래량</stp>
        <stp/>
        <stp/>
        <tr r="M342" s="1"/>
      </tp>
      <tp>
        <v>93</v>
        <stp/>
        <stp>P</stp>
        <stp>0</stp>
        <stp>STK</stp>
        <stp>N001460</stp>
        <stp>누적거래량</stp>
        <stp/>
        <stp/>
        <tr r="M660" s="1"/>
      </tp>
      <tp>
        <v>21583</v>
        <stp/>
        <stp>P</stp>
        <stp>0</stp>
        <stp>STK</stp>
        <stp>N253450</stp>
        <stp>누적거래량</stp>
        <stp/>
        <stp/>
        <tr r="M264" s="1"/>
      </tp>
      <tp>
        <v>13133</v>
        <stp/>
        <stp>P</stp>
        <stp>0</stp>
        <stp>STK</stp>
        <stp>N452430</stp>
        <stp>누적거래량</stp>
        <stp/>
        <stp/>
        <tr r="M661" s="1"/>
      </tp>
      <tp>
        <v>270273</v>
        <stp/>
        <stp>P</stp>
        <stp>0</stp>
        <stp>STK</stp>
        <stp>N058470</stp>
        <stp>누적거래량</stp>
        <stp/>
        <stp/>
        <tr r="M112" s="1"/>
      </tp>
      <tp>
        <v>44747</v>
        <stp/>
        <stp>P</stp>
        <stp>0</stp>
        <stp>STK</stp>
        <stp>N214450</stp>
        <stp>누적거래량</stp>
        <stp/>
        <stp/>
        <tr r="M120" s="1"/>
      </tp>
      <tp>
        <v>25223</v>
        <stp/>
        <stp>P</stp>
        <stp>0</stp>
        <stp>STK</stp>
        <stp>N302440</stp>
        <stp>누적거래량</stp>
        <stp/>
        <stp/>
        <tr r="M134" s="1"/>
      </tp>
      <tp>
        <v>1617854</v>
        <stp/>
        <stp>P</stp>
        <stp>0</stp>
        <stp>STK</stp>
        <stp>N094480</stp>
        <stp>누적거래량</stp>
        <stp/>
        <stp/>
        <tr r="M567" s="1"/>
      </tp>
      <tp>
        <v>35289</v>
        <stp/>
        <stp>P</stp>
        <stp>0</stp>
        <stp>STK</stp>
        <stp>N138490</stp>
        <stp>누적거래량</stp>
        <stp/>
        <stp/>
        <tr r="M611" s="1"/>
      </tp>
      <tp>
        <v>3725150</v>
        <stp/>
        <stp>P</stp>
        <stp>0</stp>
        <stp>STK</stp>
        <stp>N125490</stp>
        <stp>누적거래량</stp>
        <stp/>
        <stp/>
        <tr r="M377" s="1"/>
      </tp>
      <tp>
        <v>96505</v>
        <stp/>
        <stp>P</stp>
        <stp>0</stp>
        <stp>STK</stp>
        <stp>N101490</stp>
        <stp>누적거래량</stp>
        <stp/>
        <stp/>
        <tr r="M257" s="1"/>
      </tp>
      <tp>
        <v>143636</v>
        <stp/>
        <stp>P</stp>
        <stp>0</stp>
        <stp>STK</stp>
        <stp>N108490</stp>
        <stp>누적거래량</stp>
        <stp/>
        <stp/>
        <tr r="M135" s="1"/>
      </tp>
      <tp>
        <v>17097</v>
        <stp/>
        <stp>P</stp>
        <stp>0</stp>
        <stp>STK</stp>
        <stp>N194480</stp>
        <stp>누적거래량</stp>
        <stp/>
        <stp/>
        <tr r="M537" s="1"/>
      </tp>
      <tp>
        <v>53628</v>
        <stp/>
        <stp>P</stp>
        <stp>0</stp>
        <stp>STK</stp>
        <stp>N044490</stp>
        <stp>누적거래량</stp>
        <stp/>
        <stp/>
        <tr r="M394" s="1"/>
      </tp>
      <tp>
        <v>8277</v>
        <stp/>
        <stp>P</stp>
        <stp>0</stp>
        <stp>STK</stp>
        <stp>N039490</stp>
        <stp>누적거래량</stp>
        <stp/>
        <stp/>
        <tr r="M85" s="1"/>
      </tp>
      <tp>
        <v>20122</v>
        <stp/>
        <stp>P</stp>
        <stp>0</stp>
        <stp>STK</stp>
        <stp>N139480</stp>
        <stp>누적거래량</stp>
        <stp/>
        <stp/>
        <tr r="M194" s="1"/>
      </tp>
      <tp>
        <v>15804</v>
        <stp/>
        <stp>P</stp>
        <stp>0</stp>
        <stp>STK</stp>
        <stp>N000490</stp>
        <stp>누적거래량</stp>
        <stp/>
        <stp/>
        <tr r="M631" s="1"/>
      </tp>
      <tp>
        <v>318341</v>
        <stp/>
        <stp>P</stp>
        <stp>0</stp>
        <stp>STK</stp>
        <stp>N003490</stp>
        <stp>누적거래량</stp>
        <stp/>
        <stp/>
        <tr r="M82" s="1"/>
      </tp>
      <tp>
        <v>102714</v>
        <stp/>
        <stp>P</stp>
        <stp>0</stp>
        <stp>STK</stp>
        <stp>N005490</stp>
        <stp>누적거래량</stp>
        <stp/>
        <stp/>
        <tr r="M31" s="1"/>
      </tp>
      <tp>
        <v>4007</v>
        <stp/>
        <stp>P</stp>
        <stp>0</stp>
        <stp>STK</stp>
        <stp>N004490</stp>
        <stp>누적거래량</stp>
        <stp/>
        <stp/>
        <tr r="M333" s="1"/>
      </tp>
      <tp>
        <v>1706</v>
        <stp/>
        <stp>P</stp>
        <stp>0</stp>
        <stp>STK</stp>
        <stp>N008490</stp>
        <stp>누적거래량</stp>
        <stp/>
        <stp/>
        <tr r="M689" s="1"/>
      </tp>
      <tp>
        <v>130563</v>
        <stp/>
        <stp>P</stp>
        <stp>0</stp>
        <stp>STK</stp>
        <stp>N293490</stp>
        <stp>누적거래량</stp>
        <stp/>
        <stp/>
        <tr r="M276" s="1"/>
      </tp>
      <tp>
        <v>7731</v>
        <stp/>
        <stp>P</stp>
        <stp>0</stp>
        <stp>STK</stp>
        <stp>N352480</stp>
        <stp>누적거래량</stp>
        <stp/>
        <stp/>
        <tr r="M531" s="1"/>
      </tp>
      <tp>
        <v>62100</v>
        <stp/>
        <stp>P</stp>
        <stp>0</stp>
        <stp>STK</stp>
        <stp>199800</stp>
        <stp>현재가</stp>
        <stp/>
        <stp/>
        <tr r="U474" s="1"/>
      </tp>
      <tp>
        <v>16670</v>
        <stp/>
        <stp>P</stp>
        <stp>0</stp>
        <stp>STK</stp>
        <stp>099190</stp>
        <stp>현재가</stp>
        <stp/>
        <stp/>
        <tr r="U532" s="1"/>
      </tp>
      <tp>
        <v>31450</v>
        <stp/>
        <stp>P</stp>
        <stp>0</stp>
        <stp>STK</stp>
        <stp>299030</stp>
        <stp>현재가</stp>
        <stp/>
        <stp/>
        <tr r="U694" s="1"/>
      </tp>
      <tp>
        <v>50300</v>
        <stp/>
        <stp>P</stp>
        <stp>0</stp>
        <stp>STK</stp>
        <stp>499790</stp>
        <stp>현재가</stp>
        <stp/>
        <stp/>
        <tr r="U362" s="1"/>
      </tp>
      <tp>
        <v>69900</v>
        <stp/>
        <stp>P</stp>
        <stp>0</stp>
        <stp>STK</stp>
        <stp>399720</stp>
        <stp>현재가</stp>
        <stp/>
        <stp/>
        <tr r="U386" s="1"/>
      </tp>
      <tp>
        <v>34550</v>
        <stp/>
        <stp>P</stp>
        <stp>0</stp>
        <stp>STK</stp>
        <stp>199430</stp>
        <stp>현재가</stp>
        <stp/>
        <stp/>
        <tr r="U488" s="1"/>
      </tp>
      <tp>
        <v>201500</v>
        <stp/>
        <stp>P</stp>
        <stp>0</stp>
        <stp>STK</stp>
        <stp>298380</stp>
        <stp>현재가</stp>
        <stp/>
        <stp/>
        <tr r="U76" s="1"/>
      </tp>
      <tp>
        <v>369500</v>
        <stp/>
        <stp>P</stp>
        <stp>0</stp>
        <stp>STK</stp>
        <stp>298020</stp>
        <stp>현재가</stp>
        <stp/>
        <stp/>
        <tr r="U234" s="1"/>
      </tp>
      <tp>
        <v>35400</v>
        <stp/>
        <stp>P</stp>
        <stp>0</stp>
        <stp>STK</stp>
        <stp>098070</stp>
        <stp>현재가</stp>
        <stp/>
        <stp/>
        <tr r="U513" s="1"/>
      </tp>
      <tp>
        <v>232500</v>
        <stp/>
        <stp>P</stp>
        <stp>0</stp>
        <stp>STK</stp>
        <stp>298050</stp>
        <stp>현재가</stp>
        <stp/>
        <stp/>
        <tr r="U321" s="1"/>
      </tp>
      <tp>
        <v>2403000</v>
        <stp/>
        <stp>P</stp>
        <stp>0</stp>
        <stp>STK</stp>
        <stp>298040</stp>
        <stp>현재가</stp>
        <stp/>
        <stp/>
        <tr r="U40" s="1"/>
      </tp>
      <tp>
        <v>34400</v>
        <stp/>
        <stp>P</stp>
        <stp>0</stp>
        <stp>STK</stp>
        <stp>098460</stp>
        <stp>현재가</stp>
        <stp/>
        <stp/>
        <tr r="U205" s="1"/>
      </tp>
      <tp>
        <v>56400</v>
        <stp/>
        <stp>P</stp>
        <stp>0</stp>
        <stp>STK</stp>
        <stp>195940</stp>
        <stp>현재가</stp>
        <stp/>
        <stp/>
        <tr r="U265" s="1"/>
      </tp>
      <tp>
        <v>64800</v>
        <stp/>
        <stp>P</stp>
        <stp>0</stp>
        <stp>STK</stp>
        <stp>195870</stp>
        <stp>현재가</stp>
        <stp/>
        <stp/>
        <tr r="U335" s="1"/>
      </tp>
      <tp>
        <v>88800</v>
        <stp/>
        <stp>P</stp>
        <stp>0</stp>
        <stp>STK</stp>
        <stp>295310</stp>
        <stp>현재가</stp>
        <stp/>
        <stp/>
        <tr r="U308" s="1"/>
      </tp>
      <tp>
        <v>147000</v>
        <stp/>
        <stp>P</stp>
        <stp>0</stp>
        <stp>STK</stp>
        <stp>095340</stp>
        <stp>현재가</stp>
        <stp/>
        <stp/>
        <tr r="U201" s="1"/>
      </tp>
      <tp>
        <v>71400</v>
        <stp/>
        <stp>P</stp>
        <stp>0</stp>
        <stp>STK</stp>
        <stp>095610</stp>
        <stp>현재가</stp>
        <stp/>
        <stp/>
        <tr r="U322" s="1"/>
      </tp>
      <tp>
        <v>30000</v>
        <stp/>
        <stp>P</stp>
        <stp>0</stp>
        <stp>STK</stp>
        <stp>095660</stp>
        <stp>현재가</stp>
        <stp/>
        <stp/>
        <tr r="U448" s="1"/>
      </tp>
      <tp>
        <v>11950</v>
        <stp/>
        <stp>P</stp>
        <stp>0</stp>
        <stp>STK</stp>
        <stp>095500</stp>
        <stp>현재가</stp>
        <stp/>
        <stp/>
        <tr r="U599" s="1"/>
      </tp>
      <tp>
        <v>15970</v>
        <stp/>
        <stp>P</stp>
        <stp>0</stp>
        <stp>STK</stp>
        <stp>394800</stp>
        <stp>현재가</stp>
        <stp/>
        <stp/>
        <tr r="U498" s="1"/>
      </tp>
      <tp>
        <v>20350</v>
        <stp/>
        <stp>P</stp>
        <stp>0</stp>
        <stp>STK</stp>
        <stp>294870</stp>
        <stp>현재가</stp>
        <stp/>
        <stp/>
        <tr r="U267" s="1"/>
      </tp>
      <tp>
        <v>18420</v>
        <stp/>
        <stp>P</stp>
        <stp>0</stp>
        <stp>STK</stp>
        <stp>094360</stp>
        <stp>현재가</stp>
        <stp/>
        <stp/>
        <tr r="U559" s="1"/>
      </tp>
      <tp>
        <v>12610</v>
        <stp/>
        <stp>P</stp>
        <stp>0</stp>
        <stp>STK</stp>
        <stp>194370</stp>
        <stp>현재가</stp>
        <stp/>
        <stp/>
        <tr r="U602" s="1"/>
      </tp>
      <tp>
        <v>14930</v>
        <stp/>
        <stp>P</stp>
        <stp>0</stp>
        <stp>STK</stp>
        <stp>394280</stp>
        <stp>현재가</stp>
        <stp/>
        <stp/>
        <tr r="U627" s="1"/>
      </tp>
      <tp>
        <v>30100</v>
        <stp/>
        <stp>P</stp>
        <stp>0</stp>
        <stp>STK</stp>
        <stp>094170</stp>
        <stp>현재가</stp>
        <stp/>
        <stp/>
        <tr r="U439" s="1"/>
      </tp>
      <tp>
        <v>67800</v>
        <stp/>
        <stp>P</stp>
        <stp>0</stp>
        <stp>STK</stp>
        <stp>494120</stp>
        <stp>현재가</stp>
        <stp/>
        <stp/>
        <tr r="U529" s="1"/>
      </tp>
      <tp>
        <v>13920</v>
        <stp/>
        <stp>P</stp>
        <stp>0</stp>
        <stp>STK</stp>
        <stp>194700</stp>
        <stp>현재가</stp>
        <stp/>
        <stp/>
        <tr r="U671" s="1"/>
      </tp>
      <tp>
        <v>33650</v>
        <stp/>
        <stp>P</stp>
        <stp>0</stp>
        <stp>STK</stp>
        <stp>294570</stp>
        <stp>현재가</stp>
        <stp/>
        <stp/>
        <tr r="U650" s="1"/>
      </tp>
      <tp>
        <v>36750</v>
        <stp/>
        <stp>P</stp>
        <stp>0</stp>
        <stp>STK</stp>
        <stp>194480</stp>
        <stp>현재가</stp>
        <stp/>
        <stp/>
        <tr r="U537" s="1"/>
      </tp>
      <tp>
        <v>11370</v>
        <stp/>
        <stp>P</stp>
        <stp>0</stp>
        <stp>STK</stp>
        <stp>094480</stp>
        <stp>현재가</stp>
        <stp/>
        <stp/>
        <tr r="U567" s="1"/>
      </tp>
      <tp>
        <v>211500</v>
        <stp/>
        <stp>P</stp>
        <stp>0</stp>
        <stp>STK</stp>
        <stp>097950</stp>
        <stp>현재가</stp>
        <stp/>
        <stp/>
        <tr r="U150" s="1"/>
      </tp>
      <tp>
        <v>24700</v>
        <stp/>
        <stp>P</stp>
        <stp>0</stp>
        <stp>STK</stp>
        <stp>097230</stp>
        <stp>현재가</stp>
        <stp/>
        <stp/>
        <tr r="U198" s="1"/>
      </tp>
      <tp>
        <v>61900</v>
        <stp/>
        <stp>P</stp>
        <stp>0</stp>
        <stp>STK</stp>
        <stp>397030</stp>
        <stp>현재가</stp>
        <stp/>
        <stp/>
        <tr r="U296" s="1"/>
      </tp>
      <tp>
        <v>29700</v>
        <stp/>
        <stp>P</stp>
        <stp>0</stp>
        <stp>STK</stp>
        <stp>097520</stp>
        <stp>현재가</stp>
        <stp/>
        <stp/>
        <tr r="U450" s="1"/>
      </tp>
      <tp>
        <v>401500</v>
        <stp/>
        <stp>P</stp>
        <stp>0</stp>
        <stp>STK</stp>
        <stp>196170</stp>
        <stp>현재가</stp>
        <stp/>
        <stp/>
        <tr r="U45" s="1"/>
      </tp>
      <tp>
        <v>111900</v>
        <stp/>
        <stp>P</stp>
        <stp>0</stp>
        <stp>STK</stp>
        <stp>096770</stp>
        <stp>현재가</stp>
        <stp/>
        <stp/>
        <tr r="U50" s="1"/>
      </tp>
      <tp>
        <v>28600</v>
        <stp/>
        <stp>P</stp>
        <stp>0</stp>
        <stp>STK</stp>
        <stp>096530</stp>
        <stp>현재가</stp>
        <stp/>
        <stp/>
        <tr r="U278" s="1"/>
      </tp>
      <tp>
        <v>89500</v>
        <stp/>
        <stp>P</stp>
        <stp>0</stp>
        <stp>STK</stp>
        <stp>090360</stp>
        <stp>현재가</stp>
        <stp/>
        <stp/>
        <tr r="U332" s="1"/>
      </tp>
      <tp>
        <v>88300</v>
        <stp/>
        <stp>P</stp>
        <stp>0</stp>
        <stp>STK</stp>
        <stp>290650</stp>
        <stp>현재가</stp>
        <stp/>
        <stp/>
        <tr r="U269" s="1"/>
      </tp>
      <tp>
        <v>24000</v>
        <stp/>
        <stp>P</stp>
        <stp>0</stp>
        <stp>STK</stp>
        <stp>190510</stp>
        <stp>현재가</stp>
        <stp/>
        <stp/>
        <tr r="U582" s="1"/>
      </tp>
      <tp>
        <v>137700</v>
        <stp/>
        <stp>P</stp>
        <stp>0</stp>
        <stp>STK</stp>
        <stp>090430</stp>
        <stp>현재가</stp>
        <stp/>
        <stp/>
        <tr r="U93" s="1"/>
      </tp>
      <tp>
        <v>17950</v>
        <stp/>
        <stp>P</stp>
        <stp>0</stp>
        <stp>STK</stp>
        <stp>090460</stp>
        <stp>현재가</stp>
        <stp/>
        <stp/>
        <tr r="U458" s="1"/>
      </tp>
      <tp>
        <v>136000</v>
        <stp/>
        <stp>P</stp>
        <stp>0</stp>
        <stp>STK</stp>
        <stp>093320</stp>
        <stp>현재가</stp>
        <stp/>
        <stp/>
        <tr r="U432" s="1"/>
      </tp>
      <tp>
        <v>8450</v>
        <stp/>
        <stp>P</stp>
        <stp>0</stp>
        <stp>STK</stp>
        <stp>093370</stp>
        <stp>현재가</stp>
        <stp/>
        <stp/>
        <tr r="U358" s="1"/>
      </tp>
      <tp>
        <v>18990</v>
        <stp/>
        <stp>P</stp>
        <stp>0</stp>
        <stp>STK</stp>
        <stp>093050</stp>
        <stp>현재가</stp>
        <stp/>
        <stp/>
        <tr r="U471" s="1"/>
      </tp>
      <tp>
        <v>23250</v>
        <stp/>
        <stp>P</stp>
        <stp>0</stp>
        <stp>STK</stp>
        <stp>093520</stp>
        <stp>현재가</stp>
        <stp/>
        <stp/>
        <tr r="U630" s="1"/>
      </tp>
      <tp>
        <v>16730</v>
        <stp/>
        <stp>P</stp>
        <stp>0</stp>
        <stp>STK</stp>
        <stp>293490</stp>
        <stp>현재가</stp>
        <stp/>
        <stp/>
        <tr r="U276" s="1"/>
      </tp>
      <tp>
        <v>199000</v>
        <stp/>
        <stp>P</stp>
        <stp>0</stp>
        <stp>STK</stp>
        <stp>192820</stp>
        <stp>현재가</stp>
        <stp/>
        <stp/>
        <tr r="U208" s="1"/>
      </tp>
      <tp>
        <v>76300</v>
        <stp/>
        <stp>P</stp>
        <stp>0</stp>
        <stp>STK</stp>
        <stp>092230</stp>
        <stp>현재가</stp>
        <stp/>
        <stp/>
        <tr r="U618" s="1"/>
      </tp>
      <tp>
        <v>52400</v>
        <stp/>
        <stp>P</stp>
        <stp>0</stp>
        <stp>STK</stp>
        <stp>192080</stp>
        <stp>현재가</stp>
        <stp/>
        <stp/>
        <tr r="U301" s="1"/>
      </tp>
      <tp>
        <v>10970</v>
        <stp/>
        <stp>P</stp>
        <stp>0</stp>
        <stp>STK</stp>
        <stp>092790</stp>
        <stp>현재가</stp>
        <stp/>
        <stp/>
        <tr r="U610" s="1"/>
      </tp>
      <tp>
        <v>19070</v>
        <stp/>
        <stp>P</stp>
        <stp>0</stp>
        <stp>STK</stp>
        <stp>092730</stp>
        <stp>현재가</stp>
        <stp/>
        <stp/>
        <tr r="U648" s="1"/>
      </tp>
      <tp>
        <v>27050</v>
        <stp/>
        <stp>P</stp>
        <stp>0</stp>
        <stp>STK</stp>
        <stp>192400</stp>
        <stp>현재가</stp>
        <stp/>
        <stp/>
        <tr r="U323" s="1"/>
      </tp>
      <tp>
        <v>15790</v>
        <stp/>
        <stp>P</stp>
        <stp>0</stp>
        <stp>STK</stp>
        <stp>092460</stp>
        <stp>현재가</stp>
        <stp/>
        <stp/>
        <tr r="U643" s="1"/>
      </tp>
      <tp>
        <v>17060</v>
        <stp/>
        <stp>P</stp>
        <stp>0</stp>
        <stp>STK</stp>
        <stp>N089980</stp>
        <stp>시가</stp>
        <stp/>
        <stp/>
        <tr r="P681" s="1"/>
      </tp>
      <tp>
        <v>12160</v>
        <stp/>
        <stp>P</stp>
        <stp>0</stp>
        <stp>STK</stp>
        <stp>N183190</stp>
        <stp>저가</stp>
        <stp/>
        <stp/>
        <tr r="R516" s="1"/>
      </tp>
      <tp>
        <v>234500</v>
        <stp/>
        <stp>P</stp>
        <stp>0</stp>
        <stp>STK</stp>
        <stp>N086280</stp>
        <stp>저가</stp>
        <stp/>
        <stp/>
        <tr r="R39" s="1"/>
      </tp>
      <tp>
        <v>12210</v>
        <stp/>
        <stp>P</stp>
        <stp>0</stp>
        <stp>STK</stp>
        <stp>N183190</stp>
        <stp>시가</stp>
        <stp/>
        <stp/>
        <tr r="P516" s="1"/>
      </tp>
      <tp>
        <v>16810</v>
        <stp/>
        <stp>P</stp>
        <stp>0</stp>
        <stp>STK</stp>
        <stp>N089980</stp>
        <stp>저가</stp>
        <stp/>
        <stp/>
        <tr r="R681" s="1"/>
      </tp>
      <tp>
        <v>242500</v>
        <stp/>
        <stp>P</stp>
        <stp>0</stp>
        <stp>STK</stp>
        <stp>N086280</stp>
        <stp>시가</stp>
        <stp/>
        <stp/>
        <tr r="P39" s="1"/>
      </tp>
      <tp>
        <v>247000</v>
        <stp/>
        <stp>P</stp>
        <stp>0</stp>
        <stp>STK</stp>
        <stp>N086280</stp>
        <stp>고가</stp>
        <stp/>
        <stp/>
        <tr r="Q39" s="1"/>
      </tp>
      <tp>
        <v>12470</v>
        <stp/>
        <stp>P</stp>
        <stp>0</stp>
        <stp>STK</stp>
        <stp>N183190</stp>
        <stp>고가</stp>
        <stp/>
        <stp/>
        <tr r="Q516" s="1"/>
      </tp>
      <tp>
        <v>17310</v>
        <stp/>
        <stp>P</stp>
        <stp>0</stp>
        <stp>STK</stp>
        <stp>N089980</stp>
        <stp>고가</stp>
        <stp/>
        <stp/>
        <tr r="Q681" s="1"/>
      </tp>
      <tp>
        <v>10930</v>
        <stp/>
        <stp>P</stp>
        <stp>0</stp>
        <stp>STK</stp>
        <stp>N094480</stp>
        <stp>저가</stp>
        <stp/>
        <stp/>
        <tr r="R567" s="1"/>
      </tp>
      <tp>
        <v>11080</v>
        <stp/>
        <stp>P</stp>
        <stp>0</stp>
        <stp>STK</stp>
        <stp>N094480</stp>
        <stp>시가</stp>
        <stp/>
        <stp/>
        <tr r="P567" s="1"/>
      </tp>
      <tp>
        <v>12030</v>
        <stp/>
        <stp>P</stp>
        <stp>0</stp>
        <stp>STK</stp>
        <stp>N094480</stp>
        <stp>고가</stp>
        <stp/>
        <stp/>
        <tr r="Q567" s="1"/>
      </tp>
      <tp>
        <v>10370</v>
        <stp/>
        <stp>P</stp>
        <stp>0</stp>
        <stp>STK</stp>
        <stp>N009680</stp>
        <stp>시가</stp>
        <stp/>
        <stp/>
        <tr r="P635" s="1"/>
      </tp>
      <tp>
        <v>14200</v>
        <stp/>
        <stp>P</stp>
        <stp>0</stp>
        <stp>STK</stp>
        <stp>N003380</stp>
        <stp>저가</stp>
        <stp/>
        <stp/>
        <tr r="R279" s="1"/>
      </tp>
      <tp>
        <v>63500</v>
        <stp/>
        <stp>P</stp>
        <stp>0</stp>
        <stp>STK</stp>
        <stp>N103590</stp>
        <stp>저가</stp>
        <stp/>
        <stp/>
        <tr r="R157" s="1"/>
      </tp>
      <tp>
        <v>345000</v>
        <stp/>
        <stp>P</stp>
        <stp>0</stp>
        <stp>STK</stp>
        <stp>N108490</stp>
        <stp>시가</stp>
        <stp/>
        <stp/>
        <tr r="P135" s="1"/>
      </tp>
      <tp>
        <v>474500</v>
        <stp/>
        <stp>P</stp>
        <stp>0</stp>
        <stp>STK</stp>
        <stp>N002380</stp>
        <stp>저가</stp>
        <stp/>
        <stp/>
        <tr r="R130" s="1"/>
      </tp>
      <tp>
        <v>85000</v>
        <stp/>
        <stp>P</stp>
        <stp>0</stp>
        <stp>STK</stp>
        <stp>N101490</stp>
        <stp>저가</stp>
        <stp/>
        <stp/>
        <tr r="R257" s="1"/>
      </tp>
      <tp>
        <v>21450</v>
        <stp/>
        <stp>P</stp>
        <stp>0</stp>
        <stp>STK</stp>
        <stp>N001680</stp>
        <stp>저가</stp>
        <stp/>
        <stp/>
        <tr r="R374" s="1"/>
      </tp>
      <tp>
        <v>111500</v>
        <stp/>
        <stp>P</stp>
        <stp>0</stp>
        <stp>STK</stp>
        <stp>N000880</stp>
        <stp>저가</stp>
        <stp/>
        <stp/>
        <tr r="R79" s="1"/>
      </tp>
      <tp>
        <v>17510</v>
        <stp/>
        <stp>P</stp>
        <stp>0</stp>
        <stp>STK</stp>
        <stp>N000080</stp>
        <stp>저가</stp>
        <stp/>
        <stp/>
        <tr r="R277" s="1"/>
      </tp>
      <tp>
        <v>17580</v>
        <stp/>
        <stp>P</stp>
        <stp>0</stp>
        <stp>STK</stp>
        <stp>N100090</stp>
        <stp>저가</stp>
        <stp/>
        <stp/>
        <tr r="R285" s="1"/>
      </tp>
      <tp>
        <v>17010</v>
        <stp/>
        <stp>P</stp>
        <stp>0</stp>
        <stp>STK</stp>
        <stp>N100790</stp>
        <stp>저가</stp>
        <stp/>
        <stp/>
        <tr r="R393" s="1"/>
      </tp>
      <tp>
        <v>160700</v>
        <stp/>
        <stp>P</stp>
        <stp>0</stp>
        <stp>STK</stp>
        <stp>N006280</stp>
        <stp>저가</stp>
        <stp/>
        <stp/>
        <tr r="R232" s="1"/>
      </tp>
      <tp>
        <v>74100</v>
        <stp/>
        <stp>P</stp>
        <stp>0</stp>
        <stp>STK</stp>
        <stp>N005180</stp>
        <stp>저가</stp>
        <stp/>
        <stp/>
        <tr r="R381" s="1"/>
      </tp>
      <tp>
        <v>482000</v>
        <stp/>
        <stp>P</stp>
        <stp>0</stp>
        <stp>STK</stp>
        <stp>N005380</stp>
        <stp>저가</stp>
        <stp/>
        <stp/>
        <tr r="R11" s="1"/>
      </tp>
      <tp>
        <v>9540</v>
        <stp/>
        <stp>P</stp>
        <stp>0</stp>
        <stp>STK</stp>
        <stp>N004980</stp>
        <stp>저가</stp>
        <stp/>
        <stp/>
        <tr r="R692" s="1"/>
      </tp>
      <tp>
        <v>91000</v>
        <stp/>
        <stp>P</stp>
        <stp>0</stp>
        <stp>STK</stp>
        <stp>N101490</stp>
        <stp>시가</stp>
        <stp/>
        <stp/>
        <tr r="P257" s="1"/>
      </tp>
      <tp>
        <v>21650</v>
        <stp/>
        <stp>P</stp>
        <stp>0</stp>
        <stp>STK</stp>
        <stp>N001680</stp>
        <stp>시가</stp>
        <stp/>
        <stp/>
        <tr r="P374" s="1"/>
      </tp>
      <tp>
        <v>17520</v>
        <stp/>
        <stp>P</stp>
        <stp>0</stp>
        <stp>STK</stp>
        <stp>N100790</stp>
        <stp>시가</stp>
        <stp/>
        <stp/>
        <tr r="P393" s="1"/>
      </tp>
      <tp>
        <v>17520</v>
        <stp/>
        <stp>P</stp>
        <stp>0</stp>
        <stp>STK</stp>
        <stp>N000080</stp>
        <stp>시가</stp>
        <stp/>
        <stp/>
        <tr r="P277" s="1"/>
      </tp>
      <tp>
        <v>18240</v>
        <stp/>
        <stp>P</stp>
        <stp>0</stp>
        <stp>STK</stp>
        <stp>N100090</stp>
        <stp>시가</stp>
        <stp/>
        <stp/>
        <tr r="P285" s="1"/>
      </tp>
      <tp>
        <v>115000</v>
        <stp/>
        <stp>P</stp>
        <stp>0</stp>
        <stp>STK</stp>
        <stp>N000880</stp>
        <stp>시가</stp>
        <stp/>
        <stp/>
        <tr r="P79" s="1"/>
      </tp>
      <tp>
        <v>67000</v>
        <stp/>
        <stp>P</stp>
        <stp>0</stp>
        <stp>STK</stp>
        <stp>N103590</stp>
        <stp>시가</stp>
        <stp/>
        <stp/>
        <tr r="P157" s="1"/>
      </tp>
      <tp>
        <v>14660</v>
        <stp/>
        <stp>P</stp>
        <stp>0</stp>
        <stp>STK</stp>
        <stp>N003380</stp>
        <stp>시가</stp>
        <stp/>
        <stp/>
        <tr r="P279" s="1"/>
      </tp>
      <tp>
        <v>10240</v>
        <stp/>
        <stp>P</stp>
        <stp>0</stp>
        <stp>STK</stp>
        <stp>N009680</stp>
        <stp>저가</stp>
        <stp/>
        <stp/>
        <tr r="R635" s="1"/>
      </tp>
      <tp>
        <v>483500</v>
        <stp/>
        <stp>P</stp>
        <stp>0</stp>
        <stp>STK</stp>
        <stp>N002380</stp>
        <stp>시가</stp>
        <stp/>
        <stp/>
        <tr r="P130" s="1"/>
      </tp>
      <tp>
        <v>325000</v>
        <stp/>
        <stp>P</stp>
        <stp>0</stp>
        <stp>STK</stp>
        <stp>N108490</stp>
        <stp>저가</stp>
        <stp/>
        <stp/>
        <tr r="R135" s="1"/>
      </tp>
      <tp>
        <v>74900</v>
        <stp/>
        <stp>P</stp>
        <stp>0</stp>
        <stp>STK</stp>
        <stp>N005180</stp>
        <stp>시가</stp>
        <stp/>
        <stp/>
        <tr r="P381" s="1"/>
      </tp>
      <tp>
        <v>495000</v>
        <stp/>
        <stp>P</stp>
        <stp>0</stp>
        <stp>STK</stp>
        <stp>N005380</stp>
        <stp>시가</stp>
        <stp/>
        <stp/>
        <tr r="P11" s="1"/>
      </tp>
      <tp>
        <v>9810</v>
        <stp/>
        <stp>P</stp>
        <stp>0</stp>
        <stp>STK</stp>
        <stp>N004980</stp>
        <stp>시가</stp>
        <stp/>
        <stp/>
        <tr r="P692" s="1"/>
      </tp>
      <tp>
        <v>163000</v>
        <stp/>
        <stp>P</stp>
        <stp>0</stp>
        <stp>STK</stp>
        <stp>N006280</stp>
        <stp>시가</stp>
        <stp/>
        <stp/>
        <tr r="P232" s="1"/>
      </tp>
      <tp>
        <v>164000</v>
        <stp/>
        <stp>P</stp>
        <stp>0</stp>
        <stp>STK</stp>
        <stp>N006280</stp>
        <stp>고가</stp>
        <stp/>
        <stp/>
        <tr r="Q232" s="1"/>
      </tp>
      <tp>
        <v>74900</v>
        <stp/>
        <stp>P</stp>
        <stp>0</stp>
        <stp>STK</stp>
        <stp>N005180</stp>
        <stp>고가</stp>
        <stp/>
        <stp/>
        <tr r="Q381" s="1"/>
      </tp>
      <tp>
        <v>495000</v>
        <stp/>
        <stp>P</stp>
        <stp>0</stp>
        <stp>STK</stp>
        <stp>N005380</stp>
        <stp>고가</stp>
        <stp/>
        <stp/>
        <tr r="Q11" s="1"/>
      </tp>
      <tp>
        <v>9810</v>
        <stp/>
        <stp>P</stp>
        <stp>0</stp>
        <stp>STK</stp>
        <stp>N004980</stp>
        <stp>고가</stp>
        <stp/>
        <stp/>
        <tr r="Q692" s="1"/>
      </tp>
      <tp>
        <v>15500</v>
        <stp/>
        <stp>P</stp>
        <stp>0</stp>
        <stp>STK</stp>
        <stp>N003380</stp>
        <stp>고가</stp>
        <stp/>
        <stp/>
        <tr r="Q279" s="1"/>
      </tp>
      <tp>
        <v>69000</v>
        <stp/>
        <stp>P</stp>
        <stp>0</stp>
        <stp>STK</stp>
        <stp>N103590</stp>
        <stp>고가</stp>
        <stp/>
        <stp/>
        <tr r="Q157" s="1"/>
      </tp>
      <tp>
        <v>489000</v>
        <stp/>
        <stp>P</stp>
        <stp>0</stp>
        <stp>STK</stp>
        <stp>N002380</stp>
        <stp>고가</stp>
        <stp/>
        <stp/>
        <tr r="Q130" s="1"/>
      </tp>
      <tp>
        <v>91000</v>
        <stp/>
        <stp>P</stp>
        <stp>0</stp>
        <stp>STK</stp>
        <stp>N101490</stp>
        <stp>고가</stp>
        <stp/>
        <stp/>
        <tr r="Q257" s="1"/>
      </tp>
      <tp>
        <v>21650</v>
        <stp/>
        <stp>P</stp>
        <stp>0</stp>
        <stp>STK</stp>
        <stp>N001680</stp>
        <stp>고가</stp>
        <stp/>
        <stp/>
        <tr r="Q374" s="1"/>
      </tp>
      <tp>
        <v>115000</v>
        <stp/>
        <stp>P</stp>
        <stp>0</stp>
        <stp>STK</stp>
        <stp>N000880</stp>
        <stp>고가</stp>
        <stp/>
        <stp/>
        <tr r="Q79" s="1"/>
      </tp>
      <tp>
        <v>17650</v>
        <stp/>
        <stp>P</stp>
        <stp>0</stp>
        <stp>STK</stp>
        <stp>N000080</stp>
        <stp>고가</stp>
        <stp/>
        <stp/>
        <tr r="Q277" s="1"/>
      </tp>
      <tp>
        <v>18240</v>
        <stp/>
        <stp>P</stp>
        <stp>0</stp>
        <stp>STK</stp>
        <stp>N100090</stp>
        <stp>고가</stp>
        <stp/>
        <stp/>
        <tr r="Q285" s="1"/>
      </tp>
      <tp>
        <v>18430</v>
        <stp/>
        <stp>P</stp>
        <stp>0</stp>
        <stp>STK</stp>
        <stp>N100790</stp>
        <stp>고가</stp>
        <stp/>
        <stp/>
        <tr r="Q393" s="1"/>
      </tp>
      <tp>
        <v>10380</v>
        <stp/>
        <stp>P</stp>
        <stp>0</stp>
        <stp>STK</stp>
        <stp>N009680</stp>
        <stp>고가</stp>
        <stp/>
        <stp/>
        <tr r="Q635" s="1"/>
      </tp>
      <tp>
        <v>349500</v>
        <stp/>
        <stp>P</stp>
        <stp>0</stp>
        <stp>STK</stp>
        <stp>N108490</stp>
        <stp>고가</stp>
        <stp/>
        <stp/>
        <tr r="Q135" s="1"/>
      </tp>
      <tp>
        <v>3275</v>
        <stp/>
        <stp>P</stp>
        <stp>0</stp>
        <stp>STK</stp>
        <stp>N018880</stp>
        <stp>시가</stp>
        <stp/>
        <stp/>
        <tr r="P145" s="1"/>
      </tp>
      <tp>
        <v>140100</v>
        <stp/>
        <stp>P</stp>
        <stp>0</stp>
        <stp>STK</stp>
        <stp>N011780</stp>
        <stp>저가</stp>
        <stp/>
        <stp/>
        <tr r="R136" s="1"/>
      </tp>
      <tp>
        <v>21100</v>
        <stp/>
        <stp>P</stp>
        <stp>0</stp>
        <stp>STK</stp>
        <stp>N110990</stp>
        <stp>저가</stp>
        <stp/>
        <stp/>
        <tr r="R586" s="1"/>
      </tp>
      <tp>
        <v>23250</v>
        <stp/>
        <stp>P</stp>
        <stp>0</stp>
        <stp>STK</stp>
        <stp>N010780</stp>
        <stp>저가</stp>
        <stp/>
        <stp/>
        <tr r="R398" s="1"/>
      </tp>
      <tp>
        <v>16700</v>
        <stp/>
        <stp>P</stp>
        <stp>0</stp>
        <stp>STK</stp>
        <stp>N114190</stp>
        <stp>저가</stp>
        <stp/>
        <stp/>
        <tr r="R566" s="1"/>
      </tp>
      <tp>
        <v>12800</v>
        <stp/>
        <stp>P</stp>
        <stp>0</stp>
        <stp>STK</stp>
        <stp>N114090</stp>
        <stp>저가</stp>
        <stp/>
        <stp/>
        <tr r="R354" s="1"/>
      </tp>
      <tp>
        <v>272000</v>
        <stp/>
        <stp>P</stp>
        <stp>0</stp>
        <stp>STK</stp>
        <stp>N014680</stp>
        <stp>저가</stp>
        <stp/>
        <stp/>
        <tr r="R155" s="1"/>
      </tp>
      <tp>
        <v>142700</v>
        <stp/>
        <stp>P</stp>
        <stp>0</stp>
        <stp>STK</stp>
        <stp>N011780</stp>
        <stp>시가</stp>
        <stp/>
        <stp/>
        <tr r="P136" s="1"/>
      </tp>
      <tp>
        <v>23500</v>
        <stp/>
        <stp>P</stp>
        <stp>0</stp>
        <stp>STK</stp>
        <stp>N010780</stp>
        <stp>시가</stp>
        <stp/>
        <stp/>
        <tr r="P398" s="1"/>
      </tp>
      <tp>
        <v>21100</v>
        <stp/>
        <stp>P</stp>
        <stp>0</stp>
        <stp>STK</stp>
        <stp>N110990</stp>
        <stp>시가</stp>
        <stp/>
        <stp/>
        <tr r="P586" s="1"/>
      </tp>
      <tp>
        <v>3100</v>
        <stp/>
        <stp>P</stp>
        <stp>0</stp>
        <stp>STK</stp>
        <stp>N018880</stp>
        <stp>저가</stp>
        <stp/>
        <stp/>
        <tr r="R145" s="1"/>
      </tp>
      <tp>
        <v>283000</v>
        <stp/>
        <stp>P</stp>
        <stp>0</stp>
        <stp>STK</stp>
        <stp>N014680</stp>
        <stp>시가</stp>
        <stp/>
        <stp/>
        <tr r="P155" s="1"/>
      </tp>
      <tp>
        <v>17400</v>
        <stp/>
        <stp>P</stp>
        <stp>0</stp>
        <stp>STK</stp>
        <stp>N114190</stp>
        <stp>시가</stp>
        <stp/>
        <stp/>
        <tr r="P566" s="1"/>
      </tp>
      <tp>
        <v>12850</v>
        <stp/>
        <stp>P</stp>
        <stp>0</stp>
        <stp>STK</stp>
        <stp>N114090</stp>
        <stp>시가</stp>
        <stp/>
        <stp/>
        <tr r="P354" s="1"/>
      </tp>
      <tp>
        <v>17420</v>
        <stp/>
        <stp>P</stp>
        <stp>0</stp>
        <stp>STK</stp>
        <stp>N114190</stp>
        <stp>고가</stp>
        <stp/>
        <stp/>
        <tr r="Q566" s="1"/>
      </tp>
      <tp>
        <v>12950</v>
        <stp/>
        <stp>P</stp>
        <stp>0</stp>
        <stp>STK</stp>
        <stp>N114090</stp>
        <stp>고가</stp>
        <stp/>
        <stp/>
        <tr r="Q354" s="1"/>
      </tp>
      <tp>
        <v>284000</v>
        <stp/>
        <stp>P</stp>
        <stp>0</stp>
        <stp>STK</stp>
        <stp>N014680</stp>
        <stp>고가</stp>
        <stp/>
        <stp/>
        <tr r="Q155" s="1"/>
      </tp>
      <tp>
        <v>144100</v>
        <stp/>
        <stp>P</stp>
        <stp>0</stp>
        <stp>STK</stp>
        <stp>N011780</stp>
        <stp>고가</stp>
        <stp/>
        <stp/>
        <tr r="Q136" s="1"/>
      </tp>
      <tp>
        <v>22700</v>
        <stp/>
        <stp>P</stp>
        <stp>0</stp>
        <stp>STK</stp>
        <stp>N110990</stp>
        <stp>고가</stp>
        <stp/>
        <stp/>
        <tr r="Q586" s="1"/>
      </tp>
      <tp>
        <v>24700</v>
        <stp/>
        <stp>P</stp>
        <stp>0</stp>
        <stp>STK</stp>
        <stp>N010780</stp>
        <stp>고가</stp>
        <stp/>
        <stp/>
        <tr r="Q398" s="1"/>
      </tp>
      <tp>
        <v>3310</v>
        <stp/>
        <stp>P</stp>
        <stp>0</stp>
        <stp>STK</stp>
        <stp>N018880</stp>
        <stp>고가</stp>
        <stp/>
        <stp/>
        <tr r="Q145" s="1"/>
      </tp>
      <tp>
        <v>56800</v>
        <stp/>
        <stp>P</stp>
        <stp>0</stp>
        <stp>STK</stp>
        <stp>N029780</stp>
        <stp>시가</stp>
        <stp/>
        <stp/>
        <tr r="P101" s="1"/>
      </tp>
      <tp>
        <v>8080</v>
        <stp/>
        <stp>P</stp>
        <stp>0</stp>
        <stp>STK</stp>
        <stp>N025980</stp>
        <stp>저가</stp>
        <stp/>
        <stp/>
        <tr r="R376" s="1"/>
      </tp>
      <tp>
        <v>23250</v>
        <stp/>
        <stp>P</stp>
        <stp>0</stp>
        <stp>STK</stp>
        <stp>N125490</stp>
        <stp>저가</stp>
        <stp/>
        <stp/>
        <tr r="R377" s="1"/>
      </tp>
      <tp>
        <v>56000</v>
        <stp/>
        <stp>P</stp>
        <stp>0</stp>
        <stp>STK</stp>
        <stp>N029780</stp>
        <stp>저가</stp>
        <stp/>
        <stp/>
        <tr r="R101" s="1"/>
      </tp>
      <tp>
        <v>23500</v>
        <stp/>
        <stp>P</stp>
        <stp>0</stp>
        <stp>STK</stp>
        <stp>N125490</stp>
        <stp>시가</stp>
        <stp/>
        <stp/>
        <tr r="P377" s="1"/>
      </tp>
      <tp>
        <v>8360</v>
        <stp/>
        <stp>P</stp>
        <stp>0</stp>
        <stp>STK</stp>
        <stp>N025980</stp>
        <stp>시가</stp>
        <stp/>
        <stp/>
        <tr r="P376" s="1"/>
      </tp>
      <tp>
        <v>8400</v>
        <stp/>
        <stp>P</stp>
        <stp>0</stp>
        <stp>STK</stp>
        <stp>N025980</stp>
        <stp>고가</stp>
        <stp/>
        <stp/>
        <tr r="Q376" s="1"/>
      </tp>
      <tp>
        <v>25350</v>
        <stp/>
        <stp>P</stp>
        <stp>0</stp>
        <stp>STK</stp>
        <stp>N125490</stp>
        <stp>고가</stp>
        <stp/>
        <stp/>
        <tr r="Q377" s="1"/>
      </tp>
      <tp>
        <v>56800</v>
        <stp/>
        <stp>P</stp>
        <stp>0</stp>
        <stp>STK</stp>
        <stp>N029780</stp>
        <stp>고가</stp>
        <stp/>
        <stp/>
        <tr r="Q101" s="1"/>
      </tp>
      <tp>
        <v>150100</v>
        <stp/>
        <stp>P</stp>
        <stp>0</stp>
        <stp>STK</stp>
        <stp>N033780</stp>
        <stp>저가</stp>
        <stp/>
        <stp/>
        <tr r="R52" s="1"/>
      </tp>
      <tp>
        <v>9850</v>
        <stp/>
        <stp>P</stp>
        <stp>0</stp>
        <stp>STK</stp>
        <stp>N138490</stp>
        <stp>시가</stp>
        <stp/>
        <stp/>
        <tr r="P611" s="1"/>
      </tp>
      <tp>
        <v>74500</v>
        <stp/>
        <stp>P</stp>
        <stp>0</stp>
        <stp>STK</stp>
        <stp>N031980</stp>
        <stp>저가</stp>
        <stp/>
        <stp/>
        <tr r="R261" s="1"/>
      </tp>
      <tp>
        <v>75700</v>
        <stp/>
        <stp>P</stp>
        <stp>0</stp>
        <stp>STK</stp>
        <stp>N131290</stp>
        <stp>저가</stp>
        <stp/>
        <stp/>
        <tr r="R346" s="1"/>
      </tp>
      <tp>
        <v>77700</v>
        <stp/>
        <stp>P</stp>
        <stp>0</stp>
        <stp>STK</stp>
        <stp>N131290</stp>
        <stp>시가</stp>
        <stp/>
        <stp/>
        <tr r="P346" s="1"/>
      </tp>
      <tp>
        <v>77000</v>
        <stp/>
        <stp>P</stp>
        <stp>0</stp>
        <stp>STK</stp>
        <stp>N031980</stp>
        <stp>시가</stp>
        <stp/>
        <stp/>
        <tr r="P261" s="1"/>
      </tp>
      <tp>
        <v>150100</v>
        <stp/>
        <stp>P</stp>
        <stp>0</stp>
        <stp>STK</stp>
        <stp>N033780</stp>
        <stp>시가</stp>
        <stp/>
        <stp/>
        <tr r="P52" s="1"/>
      </tp>
      <tp>
        <v>9490</v>
        <stp/>
        <stp>P</stp>
        <stp>0</stp>
        <stp>STK</stp>
        <stp>N138490</stp>
        <stp>저가</stp>
        <stp/>
        <stp/>
        <tr r="R611" s="1"/>
      </tp>
      <tp>
        <v>153900</v>
        <stp/>
        <stp>P</stp>
        <stp>0</stp>
        <stp>STK</stp>
        <stp>N033780</stp>
        <stp>고가</stp>
        <stp/>
        <stp/>
        <tr r="Q52" s="1"/>
      </tp>
      <tp>
        <v>78800</v>
        <stp/>
        <stp>P</stp>
        <stp>0</stp>
        <stp>STK</stp>
        <stp>N031980</stp>
        <stp>고가</stp>
        <stp/>
        <stp/>
        <tr r="Q261" s="1"/>
      </tp>
      <tp>
        <v>79600</v>
        <stp/>
        <stp>P</stp>
        <stp>0</stp>
        <stp>STK</stp>
        <stp>N131290</stp>
        <stp>고가</stp>
        <stp/>
        <stp/>
        <tr r="Q346" s="1"/>
      </tp>
      <tp>
        <v>9890</v>
        <stp/>
        <stp>P</stp>
        <stp>0</stp>
        <stp>STK</stp>
        <stp>N138490</stp>
        <stp>고가</stp>
        <stp/>
        <stp/>
        <tr r="Q611" s="1"/>
      </tp>
      <tp>
        <v>46800</v>
        <stp/>
        <stp>P</stp>
        <stp>0</stp>
        <stp>STK</stp>
        <stp>N145990</stp>
        <stp>저가</stp>
        <stp/>
        <stp/>
        <tr r="R495" s="1"/>
      </tp>
      <tp>
        <v>47550</v>
        <stp/>
        <stp>P</stp>
        <stp>0</stp>
        <stp>STK</stp>
        <stp>N145990</stp>
        <stp>시가</stp>
        <stp/>
        <stp/>
        <tr r="P495" s="1"/>
      </tp>
      <tp>
        <v>47600</v>
        <stp/>
        <stp>P</stp>
        <stp>0</stp>
        <stp>STK</stp>
        <stp>N145990</stp>
        <stp>고가</stp>
        <stp/>
        <stp/>
        <tr r="Q495" s="1"/>
      </tp>
      <tp>
        <v>17310</v>
        <stp/>
        <stp>P</stp>
        <stp>0</stp>
        <stp>STK</stp>
        <stp>N069080</stp>
        <stp>시가</stp>
        <stp/>
        <stp/>
        <tr r="P526" s="1"/>
      </tp>
      <tp>
        <v>67800</v>
        <stp/>
        <stp>P</stp>
        <stp>0</stp>
        <stp>STK</stp>
        <stp>N161890</stp>
        <stp>저가</stp>
        <stp/>
        <stp/>
        <tr r="R248" s="1"/>
      </tp>
      <tp>
        <v>62800</v>
        <stp/>
        <stp>P</stp>
        <stp>0</stp>
        <stp>STK</stp>
        <stp>N161390</stp>
        <stp>저가</stp>
        <stp/>
        <stp/>
        <tr r="R84" s="1"/>
      </tp>
      <tp>
        <v>44700</v>
        <stp/>
        <stp>P</stp>
        <stp>0</stp>
        <stp>STK</stp>
        <stp>N060980</stp>
        <stp>저가</stp>
        <stp/>
        <stp/>
        <tr r="R508" s="1"/>
      </tp>
      <tp>
        <v>79500</v>
        <stp/>
        <stp>P</stp>
        <stp>0</stp>
        <stp>STK</stp>
        <stp>N160190</stp>
        <stp>저가</stp>
        <stp/>
        <stp/>
        <tr r="R193" s="1"/>
      </tp>
      <tp>
        <v>19510</v>
        <stp/>
        <stp>P</stp>
        <stp>0</stp>
        <stp>STK</stp>
        <stp>N060280</stp>
        <stp>저가</stp>
        <stp/>
        <stp/>
        <tr r="R349" s="1"/>
      </tp>
      <tp>
        <v>15990</v>
        <stp/>
        <stp>P</stp>
        <stp>0</stp>
        <stp>STK</stp>
        <stp>N067080</stp>
        <stp>저가</stp>
        <stp/>
        <stp/>
        <tr r="R623" s="1"/>
      </tp>
      <tp>
        <v>61600</v>
        <stp/>
        <stp>P</stp>
        <stp>0</stp>
        <stp>STK</stp>
        <stp>N166090</stp>
        <stp>저가</stp>
        <stp/>
        <stp/>
        <tr r="R303" s="1"/>
      </tp>
      <tp>
        <v>31250</v>
        <stp/>
        <stp>P</stp>
        <stp>0</stp>
        <stp>STK</stp>
        <stp>N065680</stp>
        <stp>저가</stp>
        <stp/>
        <stp/>
        <tr r="R638" s="1"/>
      </tp>
      <tp>
        <v>63500</v>
        <stp/>
        <stp>P</stp>
        <stp>0</stp>
        <stp>STK</stp>
        <stp>N161390</stp>
        <stp>시가</stp>
        <stp/>
        <stp/>
        <tr r="P84" s="1"/>
      </tp>
      <tp>
        <v>69900</v>
        <stp/>
        <stp>P</stp>
        <stp>0</stp>
        <stp>STK</stp>
        <stp>N161890</stp>
        <stp>시가</stp>
        <stp/>
        <stp/>
        <tr r="P248" s="1"/>
      </tp>
      <tp>
        <v>82600</v>
        <stp/>
        <stp>P</stp>
        <stp>0</stp>
        <stp>STK</stp>
        <stp>N160190</stp>
        <stp>시가</stp>
        <stp/>
        <stp/>
        <tr r="P193" s="1"/>
      </tp>
      <tp>
        <v>19830</v>
        <stp/>
        <stp>P</stp>
        <stp>0</stp>
        <stp>STK</stp>
        <stp>N060280</stp>
        <stp>시가</stp>
        <stp/>
        <stp/>
        <tr r="P349" s="1"/>
      </tp>
      <tp>
        <v>45550</v>
        <stp/>
        <stp>P</stp>
        <stp>0</stp>
        <stp>STK</stp>
        <stp>N060980</stp>
        <stp>시가</stp>
        <stp/>
        <stp/>
        <tr r="P508" s="1"/>
      </tp>
      <tp>
        <v>15670</v>
        <stp/>
        <stp>P</stp>
        <stp>0</stp>
        <stp>STK</stp>
        <stp>N069080</stp>
        <stp>저가</stp>
        <stp/>
        <stp/>
        <tr r="R526" s="1"/>
      </tp>
      <tp>
        <v>34000</v>
        <stp/>
        <stp>P</stp>
        <stp>0</stp>
        <stp>STK</stp>
        <stp>N065680</stp>
        <stp>시가</stp>
        <stp/>
        <stp/>
        <tr r="P638" s="1"/>
      </tp>
      <tp>
        <v>16460</v>
        <stp/>
        <stp>P</stp>
        <stp>0</stp>
        <stp>STK</stp>
        <stp>N067080</stp>
        <stp>시가</stp>
        <stp/>
        <stp/>
        <tr r="P623" s="1"/>
      </tp>
      <tp>
        <v>64900</v>
        <stp/>
        <stp>P</stp>
        <stp>0</stp>
        <stp>STK</stp>
        <stp>N166090</stp>
        <stp>시가</stp>
        <stp/>
        <stp/>
        <tr r="P303" s="1"/>
      </tp>
      <tp>
        <v>16460</v>
        <stp/>
        <stp>P</stp>
        <stp>0</stp>
        <stp>STK</stp>
        <stp>N067080</stp>
        <stp>고가</stp>
        <stp/>
        <stp/>
        <tr r="Q623" s="1"/>
      </tp>
      <tp>
        <v>64900</v>
        <stp/>
        <stp>P</stp>
        <stp>0</stp>
        <stp>STK</stp>
        <stp>N166090</stp>
        <stp>고가</stp>
        <stp/>
        <stp/>
        <tr r="Q303" s="1"/>
      </tp>
      <tp>
        <v>34000</v>
        <stp/>
        <stp>P</stp>
        <stp>0</stp>
        <stp>STK</stp>
        <stp>N065680</stp>
        <stp>고가</stp>
        <stp/>
        <stp/>
        <tr r="Q638" s="1"/>
      </tp>
      <tp>
        <v>70300</v>
        <stp/>
        <stp>P</stp>
        <stp>0</stp>
        <stp>STK</stp>
        <stp>N161890</stp>
        <stp>고가</stp>
        <stp/>
        <stp/>
        <tr r="Q248" s="1"/>
      </tp>
      <tp>
        <v>64600</v>
        <stp/>
        <stp>P</stp>
        <stp>0</stp>
        <stp>STK</stp>
        <stp>N161390</stp>
        <stp>고가</stp>
        <stp/>
        <stp/>
        <tr r="Q84" s="1"/>
      </tp>
      <tp>
        <v>45550</v>
        <stp/>
        <stp>P</stp>
        <stp>0</stp>
        <stp>STK</stp>
        <stp>N060980</stp>
        <stp>고가</stp>
        <stp/>
        <stp/>
        <tr r="Q508" s="1"/>
      </tp>
      <tp>
        <v>83000</v>
        <stp/>
        <stp>P</stp>
        <stp>0</stp>
        <stp>STK</stp>
        <stp>N160190</stp>
        <stp>고가</stp>
        <stp/>
        <stp/>
        <tr r="Q193" s="1"/>
      </tp>
      <tp>
        <v>21900</v>
        <stp/>
        <stp>P</stp>
        <stp>0</stp>
        <stp>STK</stp>
        <stp>N060280</stp>
        <stp>고가</stp>
        <stp/>
        <stp/>
        <tr r="Q349" s="1"/>
      </tp>
      <tp>
        <v>17310</v>
        <stp/>
        <stp>P</stp>
        <stp>0</stp>
        <stp>STK</stp>
        <stp>N069080</stp>
        <stp>고가</stp>
        <stp/>
        <stp/>
        <tr r="Q526" s="1"/>
      </tp>
      <tp>
        <v>60200</v>
        <stp/>
        <stp>P</stp>
        <stp>0</stp>
        <stp>STK</stp>
        <stp>N171090</stp>
        <stp>저가</stp>
        <stp/>
        <stp/>
        <tr r="R459" s="1"/>
      </tp>
      <tp>
        <v>18920</v>
        <stp/>
        <stp>P</stp>
        <stp>0</stp>
        <stp>STK</stp>
        <stp>N075580</stp>
        <stp>저가</stp>
        <stp/>
        <stp/>
        <tr r="R299" s="1"/>
      </tp>
      <tp>
        <v>62700</v>
        <stp/>
        <stp>P</stp>
        <stp>0</stp>
        <stp>STK</stp>
        <stp>N171090</stp>
        <stp>시가</stp>
        <stp/>
        <stp/>
        <tr r="P459" s="1"/>
      </tp>
      <tp>
        <v>19380</v>
        <stp/>
        <stp>P</stp>
        <stp>0</stp>
        <stp>STK</stp>
        <stp>N075580</stp>
        <stp>시가</stp>
        <stp/>
        <stp/>
        <tr r="P299" s="1"/>
      </tp>
      <tp>
        <v>19570</v>
        <stp/>
        <stp>P</stp>
        <stp>0</stp>
        <stp>STK</stp>
        <stp>N075580</stp>
        <stp>고가</stp>
        <stp/>
        <stp/>
        <tr r="Q299" s="1"/>
      </tp>
      <tp>
        <v>65900</v>
        <stp/>
        <stp>P</stp>
        <stp>0</stp>
        <stp>STK</stp>
        <stp>N171090</stp>
        <stp>고가</stp>
        <stp/>
        <stp/>
        <tr r="Q459" s="1"/>
      </tp>
      <tp>
        <v>54087</v>
        <stp/>
        <stp>P</stp>
        <stp>0</stp>
        <stp>STK</stp>
        <stp>N190510</stp>
        <stp>누적거래량</stp>
        <stp/>
        <stp/>
        <tr r="M582" s="1"/>
      </tp>
      <tp>
        <v>82208</v>
        <stp/>
        <stp>P</stp>
        <stp>0</stp>
        <stp>STK</stp>
        <stp>N095500</stp>
        <stp>누적거래량</stp>
        <stp/>
        <stp/>
        <tr r="M599" s="1"/>
      </tp>
      <tp>
        <v>23933</v>
        <stp/>
        <stp>P</stp>
        <stp>0</stp>
        <stp>STK</stp>
        <stp>N265520</stp>
        <stp>누적거래량</stp>
        <stp/>
        <stp/>
        <tr r="M642" s="1"/>
      </tp>
      <tp>
        <v>4144</v>
        <stp/>
        <stp>P</stp>
        <stp>0</stp>
        <stp>STK</stp>
        <stp>N051500</stp>
        <stp>누적거래량</stp>
        <stp/>
        <stp/>
        <tr r="M608" s="1"/>
      </tp>
      <tp>
        <v>19615</v>
        <stp/>
        <stp>P</stp>
        <stp>0</stp>
        <stp>STK</stp>
        <stp>N144510</stp>
        <stp>누적거래량</stp>
        <stp/>
        <stp/>
        <tr r="M578" s="1"/>
      </tp>
      <tp>
        <v>31761</v>
        <stp/>
        <stp>P</stp>
        <stp>0</stp>
        <stp>STK</stp>
        <stp>N033500</stp>
        <stp>누적거래량</stp>
        <stp/>
        <stp/>
        <tr r="M347" s="1"/>
      </tp>
      <tp>
        <v>83053</v>
        <stp/>
        <stp>P</stp>
        <stp>0</stp>
        <stp>STK</stp>
        <stp>N032500</stp>
        <stp>누적거래량</stp>
        <stp/>
        <stp/>
        <tr r="M416" s="1"/>
      </tp>
      <tp>
        <v>254376</v>
        <stp/>
        <stp>P</stp>
        <stp>0</stp>
        <stp>STK</stp>
        <stp>N011500</stp>
        <stp>누적거래량</stp>
        <stp/>
        <stp/>
        <tr r="M634" s="1"/>
      </tp>
      <tp>
        <v>39486</v>
        <stp/>
        <stp>P</stp>
        <stp>0</stp>
        <stp>STK</stp>
        <stp>N001500</stp>
        <stp>누적거래량</stp>
        <stp/>
        <stp/>
        <tr r="M462" s="1"/>
      </tp>
      <tp>
        <v>12096</v>
        <stp/>
        <stp>P</stp>
        <stp>0</stp>
        <stp>STK</stp>
        <stp>N000500</stp>
        <stp>누적거래량</stp>
        <stp/>
        <stp/>
        <tr r="M252" s="1"/>
      </tp>
      <tp>
        <v>1235</v>
        <stp/>
        <stp>P</stp>
        <stp>0</stp>
        <stp>STK</stp>
        <stp>N005500</stp>
        <stp>누적거래량</stp>
        <stp/>
        <stp/>
        <tr r="M669" s="1"/>
      </tp>
      <tp>
        <v>27683</v>
        <stp/>
        <stp>P</stp>
        <stp>0</stp>
        <stp>STK</stp>
        <stp>N041510</stp>
        <stp>누적거래량</stp>
        <stp/>
        <stp/>
        <tr r="M180" s="1"/>
      </tp>
      <tp>
        <v>37711</v>
        <stp/>
        <stp>P</stp>
        <stp>0</stp>
        <stp>STK</stp>
        <stp>N012510</stp>
        <stp>누적거래량</stp>
        <stp/>
        <stp/>
        <tr r="M158" s="1"/>
      </tp>
      <tp>
        <v>814</v>
        <stp/>
        <stp>P</stp>
        <stp>0</stp>
        <stp>STK</stp>
        <stp>N403550</stp>
        <stp>누적거래량</stp>
        <stp/>
        <stp/>
        <tr r="M540" s="1"/>
      </tp>
      <tp>
        <v>13903</v>
        <stp/>
        <stp>P</stp>
        <stp>0</stp>
        <stp>STK</stp>
        <stp>N093520</stp>
        <stp>누적거래량</stp>
        <stp/>
        <stp/>
        <tr r="M630" s="1"/>
      </tp>
      <tp>
        <v>12568</v>
        <stp/>
        <stp>P</stp>
        <stp>0</stp>
        <stp>STK</stp>
        <stp>N097520</stp>
        <stp>누적거래량</stp>
        <stp/>
        <stp/>
        <tr r="M450" s="1"/>
      </tp>
      <tp>
        <v>2116677</v>
        <stp/>
        <stp>P</stp>
        <stp>0</stp>
        <stp>STK</stp>
        <stp>N086520</stp>
        <stp>누적거래량</stp>
        <stp/>
        <stp/>
        <tr r="M67" s="1"/>
      </tp>
      <tp>
        <v>4512</v>
        <stp/>
        <stp>P</stp>
        <stp>0</stp>
        <stp>STK</stp>
        <stp>N475560</stp>
        <stp>누적거래량</stp>
        <stp/>
        <stp/>
        <tr r="M574" s="1"/>
      </tp>
      <tp>
        <v>22952</v>
        <stp/>
        <stp>P</stp>
        <stp>0</stp>
        <stp>STK</stp>
        <stp>N078520</stp>
        <stp>누적거래량</stp>
        <stp/>
        <stp/>
        <tr r="M673" s="1"/>
      </tp>
      <tp>
        <v>139169</v>
        <stp/>
        <stp>P</stp>
        <stp>0</stp>
        <stp>STK</stp>
        <stp>N042520</stp>
        <stp>누적거래량</stp>
        <stp/>
        <stp/>
        <tr r="M607" s="1"/>
      </tp>
      <tp>
        <v>56881</v>
        <stp/>
        <stp>P</stp>
        <stp>0</stp>
        <stp>STK</stp>
        <stp>N030520</stp>
        <stp>누적거래량</stp>
        <stp/>
        <stp/>
        <tr r="M457" s="1"/>
      </tp>
      <tp>
        <v>178435</v>
        <stp/>
        <stp>P</stp>
        <stp>0</stp>
        <stp>STK</stp>
        <stp>N009520</stp>
        <stp>누적거래량</stp>
        <stp/>
        <stp/>
        <tr r="M366" s="1"/>
      </tp>
      <tp>
        <v>265026</v>
        <stp/>
        <stp>P</stp>
        <stp>0</stp>
        <stp>STK</stp>
        <stp>N096530</stp>
        <stp>누적거래량</stp>
        <stp/>
        <stp/>
        <tr r="M278" s="1"/>
      </tp>
      <tp>
        <v>45791</v>
        <stp/>
        <stp>P</stp>
        <stp>0</stp>
        <stp>STK</stp>
        <stp>N375500</stp>
        <stp>누적거래량</stp>
        <stp/>
        <stp/>
        <tr r="M238" s="1"/>
      </tp>
      <tp>
        <v>295018</v>
        <stp/>
        <stp>P</stp>
        <stp>0</stp>
        <stp>STK</stp>
        <stp>N030530</stp>
        <stp>누적거래량</stp>
        <stp/>
        <stp/>
        <tr r="M149" s="1"/>
      </tp>
      <tp>
        <v>3736</v>
        <stp/>
        <stp>P</stp>
        <stp>0</stp>
        <stp>STK</stp>
        <stp>N036530</stp>
        <stp>누적거래량</stp>
        <stp/>
        <stp/>
        <tr r="M328" s="1"/>
      </tp>
      <tp>
        <v>21877</v>
        <stp/>
        <stp>P</stp>
        <stp>0</stp>
        <stp>STK</stp>
        <stp>N023530</stp>
        <stp>누적거래량</stp>
        <stp/>
        <stp/>
        <tr r="M203" s="1"/>
      </tp>
      <tp>
        <v>11413</v>
        <stp/>
        <stp>P</stp>
        <stp>0</stp>
        <stp>STK</stp>
        <stp>N029530</stp>
        <stp>누적거래량</stp>
        <stp/>
        <stp/>
        <tr r="M502" s="1"/>
      </tp>
      <tp>
        <v>11290</v>
        <stp/>
        <stp>P</stp>
        <stp>0</stp>
        <stp>STK</stp>
        <stp>N001530</stp>
        <stp>누적거래량</stp>
        <stp/>
        <stp/>
        <tr r="M549" s="1"/>
      </tp>
      <tp>
        <v>3427</v>
        <stp/>
        <stp>P</stp>
        <stp>0</stp>
        <stp>STK</stp>
        <stp>N271560</stp>
        <stp>누적거래량</stp>
        <stp/>
        <stp/>
        <tr r="M117" s="1"/>
      </tp>
      <tp>
        <v>207386</v>
        <stp/>
        <stp>P</stp>
        <stp>0</stp>
        <stp>STK</stp>
        <stp>N358570</stp>
        <stp>누적거래량</stp>
        <stp/>
        <stp/>
        <tr r="M339" s="1"/>
      </tp>
      <tp>
        <v>16521</v>
        <stp/>
        <stp>P</stp>
        <stp>0</stp>
        <stp>STK</stp>
        <stp>N241560</stp>
        <stp>누적거래량</stp>
        <stp/>
        <stp/>
        <tr r="M103" s="1"/>
      </tp>
      <tp>
        <v>29628</v>
        <stp/>
        <stp>P</stp>
        <stp>0</stp>
        <stp>STK</stp>
        <stp>N340570</stp>
        <stp>누적거래량</stp>
        <stp/>
        <stp/>
        <tr r="M575" s="1"/>
      </tp>
      <tp>
        <v>1943590</v>
        <stp/>
        <stp>P</stp>
        <stp>0</stp>
        <stp>STK</stp>
        <stp>N036540</stp>
        <stp>누적거래량</stp>
        <stp/>
        <stp/>
        <tr r="M334" s="1"/>
      </tp>
      <tp>
        <v>737610</v>
        <stp/>
        <stp>P</stp>
        <stp>0</stp>
        <stp>STK</stp>
        <stp>N336570</stp>
        <stp>누적거래량</stp>
        <stp/>
        <stp/>
        <tr r="M375" s="1"/>
      </tp>
      <tp>
        <v>6161</v>
        <stp/>
        <stp>P</stp>
        <stp>0</stp>
        <stp>STK</stp>
        <stp>N025540</stp>
        <stp>누적거래량</stp>
        <stp/>
        <stp/>
        <tr r="M355" s="1"/>
      </tp>
      <tp>
        <v>39139</v>
        <stp/>
        <stp>P</stp>
        <stp>0</stp>
        <stp>STK</stp>
        <stp>N003540</stp>
        <stp>누적거래량</stp>
        <stp/>
        <stp/>
        <tr r="M262" s="1"/>
      </tp>
      <tp>
        <v>12644</v>
        <stp/>
        <stp>P</stp>
        <stp>0</stp>
        <stp>STK</stp>
        <stp>N009540</stp>
        <stp>누적거래량</stp>
        <stp/>
        <stp/>
        <tr r="M30" s="1"/>
      </tp>
      <tp>
        <v>72482</v>
        <stp/>
        <stp>P</stp>
        <stp>0</stp>
        <stp>STK</stp>
        <stp>N294570</stp>
        <stp>누적거래량</stp>
        <stp/>
        <stp/>
        <tr r="M650" s="1"/>
      </tp>
      <tp>
        <v>25399</v>
        <stp/>
        <stp>P</stp>
        <stp>0</stp>
        <stp>STK</stp>
        <stp>N079550</stp>
        <stp>누적거래량</stp>
        <stp/>
        <stp/>
        <tr r="M69" s="1"/>
      </tp>
      <tp>
        <v>14271</v>
        <stp/>
        <stp>P</stp>
        <stp>0</stp>
        <stp>STK</stp>
        <stp>N064550</stp>
        <stp>누적거래량</stp>
        <stp/>
        <stp/>
        <tr r="M616" s="1"/>
      </tp>
      <tp>
        <v>39262</v>
        <stp/>
        <stp>P</stp>
        <stp>0</stp>
        <stp>STK</stp>
        <stp>N055550</stp>
        <stp>누적거래량</stp>
        <stp/>
        <stp/>
        <tr r="M25" s="1"/>
      </tp>
      <tp>
        <v>61687</v>
        <stp/>
        <stp>P</stp>
        <stp>0</stp>
        <stp>STK</stp>
        <stp>N459510</stp>
        <stp>누적거래량</stp>
        <stp/>
        <stp/>
        <tr r="M493" s="1"/>
      </tp>
      <tp>
        <v>45320</v>
        <stp/>
        <stp>P</stp>
        <stp>0</stp>
        <stp>STK</stp>
        <stp>N225570</stp>
        <stp>누적거래량</stp>
        <stp/>
        <stp/>
        <tr r="M357" s="1"/>
      </tp>
      <tp>
        <v>21591</v>
        <stp/>
        <stp>P</stp>
        <stp>0</stp>
        <stp>STK</stp>
        <stp>N003550</stp>
        <stp>누적거래량</stp>
        <stp/>
        <stp/>
        <tr r="M65" s="1"/>
      </tp>
      <tp>
        <v>4053270</v>
        <stp/>
        <stp>P</stp>
        <stp>0</stp>
        <stp>STK</stp>
        <stp>N380550</stp>
        <stp>누적거래량</stp>
        <stp/>
        <stp/>
        <tr r="M663" s="1"/>
      </tp>
      <tp>
        <v>3426</v>
        <stp/>
        <stp>P</stp>
        <stp>0</stp>
        <stp>STK</stp>
        <stp>N357550</stp>
        <stp>누적거래량</stp>
        <stp/>
        <stp/>
        <tr r="M612" s="1"/>
      </tp>
      <tp>
        <v>378826</v>
        <stp/>
        <stp>P</stp>
        <stp>0</stp>
        <stp>STK</stp>
        <stp>N247540</stp>
        <stp>누적거래량</stp>
        <stp/>
        <stp/>
        <tr r="M57" s="1"/>
      </tp>
      <tp>
        <v>31074</v>
        <stp/>
        <stp>P</stp>
        <stp>0</stp>
        <stp>STK</stp>
        <stp>N020560</stp>
        <stp>누적거래량</stp>
        <stp/>
        <stp/>
        <tr r="M246" s="1"/>
      </tp>
      <tp>
        <v>133007</v>
        <stp/>
        <stp>P</stp>
        <stp>0</stp>
        <stp>STK</stp>
        <stp>N066570</stp>
        <stp>누적거래량</stp>
        <stp/>
        <stp/>
        <tr r="M48" s="1"/>
      </tp>
      <tp>
        <v>31902</v>
        <stp/>
        <stp>P</stp>
        <stp>0</stp>
        <stp>STK</stp>
        <stp>N468530</stp>
        <stp>누적거래량</stp>
        <stp/>
        <stp/>
        <tr r="M340" s="1"/>
      </tp>
      <tp>
        <v>21350</v>
        <stp/>
        <stp>P</stp>
        <stp>0</stp>
        <stp>STK</stp>
        <stp>N036570</stp>
        <stp>누적거래량</stp>
        <stp/>
        <stp/>
        <tr r="M114" s="1"/>
      </tp>
      <tp>
        <v>22566</v>
        <stp/>
        <stp>P</stp>
        <stp>0</stp>
        <stp>STK</stp>
        <stp>N419530</stp>
        <stp>누적거래량</stp>
        <stp/>
        <stp/>
        <tr r="M580" s="1"/>
      </tp>
      <tp>
        <v>25885</v>
        <stp/>
        <stp>P</stp>
        <stp>0</stp>
        <stp>STK</stp>
        <stp>N003570</stp>
        <stp>누적거래량</stp>
        <stp/>
        <stp/>
        <tr r="M237" s="1"/>
      </tp>
      <tp>
        <v>45608</v>
        <stp/>
        <stp>P</stp>
        <stp>0</stp>
        <stp>STK</stp>
        <stp>N105560</stp>
        <stp>누적거래량</stp>
        <stp/>
        <stp/>
        <tr r="M19" s="1"/>
      </tp>
      <tp>
        <v>76678</v>
        <stp/>
        <stp>P</stp>
        <stp>0</stp>
        <stp>STK</stp>
        <stp>N075580</stp>
        <stp>누적거래량</stp>
        <stp/>
        <stp/>
        <tr r="M299" s="1"/>
      </tp>
      <tp>
        <v>143846</v>
        <stp/>
        <stp>P</stp>
        <stp>0</stp>
        <stp>STK</stp>
        <stp>N103590</stp>
        <stp>누적거래량</stp>
        <stp/>
        <stp/>
        <tr r="M157" s="1"/>
      </tp>
      <tp>
        <v>479254</v>
        <stp/>
        <stp>P</stp>
        <stp>0</stp>
        <stp>STK</stp>
        <stp>N161580</stp>
        <stp>누적거래량</stp>
        <stp/>
        <stp/>
        <tr r="M314" s="1"/>
      </tp>
      <tp>
        <v>12096</v>
        <stp/>
        <stp>P</stp>
        <stp>0</stp>
        <stp>STK</stp>
        <stp>N023590</stp>
        <stp>누적거래량</stp>
        <stp/>
        <stp/>
        <tr r="M225" s="1"/>
      </tp>
      <tp>
        <v>9</v>
        <stp/>
        <stp>P</stp>
        <stp>0</stp>
        <stp>STK</stp>
        <stp>N016590</stp>
        <stp>누적거래량</stp>
        <stp/>
        <stp/>
        <tr r="M465" s="1"/>
      </tp>
      <tp>
        <v>805718</v>
        <stp/>
        <stp>P</stp>
        <stp>0</stp>
        <stp>STK</stp>
        <stp>N253590</stp>
        <stp>누적거래량</stp>
        <stp/>
        <stp/>
        <tr r="M477" s="1"/>
      </tp>
      <tp>
        <v>39423</v>
        <stp/>
        <stp>P</stp>
        <stp>0</stp>
        <stp>STK</stp>
        <stp>N217590</stp>
        <stp>누적거래량</stp>
        <stp/>
        <stp/>
        <tr r="M545" s="1"/>
      </tp>
      <tp>
        <v>63750</v>
        <stp/>
        <stp>P</stp>
        <stp>0</stp>
        <stp>STK</stp>
        <stp>N484590</stp>
        <stp>누적거래량</stp>
        <stp/>
        <stp/>
        <tr r="M453" s="1"/>
      </tp>
      <tp>
        <v>17070</v>
        <stp/>
        <stp>P</stp>
        <stp>0</stp>
        <stp>STK</stp>
        <stp>089980</stp>
        <stp>현재가</stp>
        <stp/>
        <stp/>
        <tr r="U681" s="1"/>
      </tp>
      <tp>
        <v>28850</v>
        <stp/>
        <stp>P</stp>
        <stp>0</stp>
        <stp>STK</stp>
        <stp>089970</stp>
        <stp>현재가</stp>
        <stp/>
        <stp/>
        <tr r="U409" s="1"/>
      </tp>
      <tp>
        <v>25250</v>
        <stp/>
        <stp>P</stp>
        <stp>0</stp>
        <stp>STK</stp>
        <stp>089890</stp>
        <stp>현재가</stp>
        <stp/>
        <stp/>
        <tr r="U523" s="1"/>
      </tp>
      <tp>
        <v>30450</v>
        <stp/>
        <stp>P</stp>
        <stp>0</stp>
        <stp>STK</stp>
        <stp>089860</stp>
        <stp>현재가</stp>
        <stp/>
        <stp/>
        <tr r="U300" s="1"/>
      </tp>
      <tp>
        <v>104000</v>
        <stp/>
        <stp>P</stp>
        <stp>0</stp>
        <stp>STK</stp>
        <stp>189300</stp>
        <stp>현재가</stp>
        <stp/>
        <stp/>
        <tr r="U359" s="1"/>
      </tp>
      <tp>
        <v>17050</v>
        <stp/>
        <stp>P</stp>
        <stp>0</stp>
        <stp>STK</stp>
        <stp>389260</stp>
        <stp>현재가</stp>
        <stp/>
        <stp/>
        <tr r="U615" s="1"/>
      </tp>
      <tp>
        <v>50200</v>
        <stp/>
        <stp>P</stp>
        <stp>0</stp>
        <stp>STK</stp>
        <stp>089030</stp>
        <stp>현재가</stp>
        <stp/>
        <stp/>
        <tr r="U250" s="1"/>
      </tp>
      <tp>
        <v>36250</v>
        <stp/>
        <stp>P</stp>
        <stp>0</stp>
        <stp>STK</stp>
        <stp>089010</stp>
        <stp>현재가</stp>
        <stp/>
        <stp/>
        <tr r="U466" s="1"/>
      </tp>
      <tp>
        <v>59800</v>
        <stp/>
        <stp>P</stp>
        <stp>0</stp>
        <stp>STK</stp>
        <stp>489790</stp>
        <stp>현재가</stp>
        <stp/>
        <stp/>
        <tr r="U173" s="1"/>
      </tp>
      <tp>
        <v>74400</v>
        <stp/>
        <stp>P</stp>
        <stp>0</stp>
        <stp>STK</stp>
        <stp>389650</stp>
        <stp>현재가</stp>
        <stp/>
        <stp/>
        <tr r="U430" s="1"/>
      </tp>
      <tp>
        <v>74900</v>
        <stp/>
        <stp>P</stp>
        <stp>0</stp>
        <stp>STK</stp>
        <stp>389470</stp>
        <stp>현재가</stp>
        <stp/>
        <stp/>
        <tr r="U329" s="1"/>
      </tp>
      <tp>
        <v>3495</v>
        <stp/>
        <stp>P</stp>
        <stp>0</stp>
        <stp>STK</stp>
        <stp>088350</stp>
        <stp>현재가</stp>
        <stp/>
        <stp/>
        <tr r="U164" s="1"/>
      </tp>
      <tp>
        <v>23450</v>
        <stp/>
        <stp>P</stp>
        <stp>0</stp>
        <stp>STK</stp>
        <stp>488280</stp>
        <stp>현재가</stp>
        <stp/>
        <stp/>
        <tr r="U690" s="1"/>
      </tp>
      <tp>
        <v>128400</v>
        <stp/>
        <stp>P</stp>
        <stp>0</stp>
        <stp>STK</stp>
        <stp>388210</stp>
        <stp>현재가</stp>
        <stp/>
        <stp/>
        <tr r="U305" s="1"/>
      </tp>
      <tp>
        <v>139000</v>
        <stp/>
        <stp>P</stp>
        <stp>0</stp>
        <stp>STK</stp>
        <stp>388720</stp>
        <stp>현재가</stp>
        <stp/>
        <stp/>
        <tr r="U286" s="1"/>
      </tp>
      <tp>
        <v>66000</v>
        <stp/>
        <stp>P</stp>
        <stp>0</stp>
        <stp>STK</stp>
        <stp>285130</stp>
        <stp>현재가</stp>
        <stp/>
        <stp/>
        <tr r="U295" s="1"/>
      </tp>
      <tp>
        <v>84500</v>
        <stp/>
        <stp>P</stp>
        <stp>0</stp>
        <stp>STK</stp>
        <stp>185750</stp>
        <stp>현재가</stp>
        <stp/>
        <stp/>
        <tr r="U293" s="1"/>
      </tp>
      <tp>
        <v>9410</v>
        <stp/>
        <stp>P</stp>
        <stp>0</stp>
        <stp>STK</stp>
        <stp>085620</stp>
        <stp>현재가</stp>
        <stp/>
        <stp/>
        <tr r="U244" s="1"/>
      </tp>
      <tp>
        <v>21600</v>
        <stp/>
        <stp>P</stp>
        <stp>0</stp>
        <stp>STK</stp>
        <stp>085660</stp>
        <stp>현재가</stp>
        <stp/>
        <stp/>
        <tr r="U271" s="1"/>
      </tp>
      <tp>
        <v>143800</v>
        <stp/>
        <stp>P</stp>
        <stp>0</stp>
        <stp>STK</stp>
        <stp>484870</stp>
        <stp>현재가</stp>
        <stp/>
        <stp/>
        <tr r="U259" s="1"/>
      </tp>
      <tp>
        <v>10550</v>
        <stp/>
        <stp>P</stp>
        <stp>0</stp>
        <stp>STK</stp>
        <stp>084850</stp>
        <stp>현재가</stp>
        <stp/>
        <stp/>
        <tr r="U698" s="1"/>
      </tp>
      <tp>
        <v>21900</v>
        <stp/>
        <stp>P</stp>
        <stp>0</stp>
        <stp>STK</stp>
        <stp>484810</stp>
        <stp>현재가</stp>
        <stp/>
        <stp/>
        <tr r="U562" s="1"/>
      </tp>
      <tp>
        <v>106900</v>
        <stp/>
        <stp>P</stp>
        <stp>0</stp>
        <stp>STK</stp>
        <stp>084370</stp>
        <stp>현재가</stp>
        <stp/>
        <stp/>
        <tr r="U222" s="1"/>
      </tp>
      <tp>
        <v>51300</v>
        <stp/>
        <stp>P</stp>
        <stp>0</stp>
        <stp>STK</stp>
        <stp>084110</stp>
        <stp>현재가</stp>
        <stp/>
        <stp/>
        <tr r="U426" s="1"/>
      </tp>
      <tp>
        <v>23750</v>
        <stp/>
        <stp>P</stp>
        <stp>0</stp>
        <stp>STK</stp>
        <stp>484120</stp>
        <stp>현재가</stp>
        <stp/>
        <stp/>
        <tr r="U674" s="1"/>
      </tp>
      <tp>
        <v>10360</v>
        <stp/>
        <stp>P</stp>
        <stp>0</stp>
        <stp>STK</stp>
        <stp>084010</stp>
        <stp>현재가</stp>
        <stp/>
        <stp/>
        <tr r="U687" s="1"/>
      </tp>
      <tp>
        <v>23100</v>
        <stp/>
        <stp>P</stp>
        <stp>0</stp>
        <stp>STK</stp>
        <stp>284740</stp>
        <stp>현재가</stp>
        <stp/>
        <stp/>
        <tr r="U473" s="1"/>
      </tp>
      <tp>
        <v>9810</v>
        <stp/>
        <stp>P</stp>
        <stp>0</stp>
        <stp>STK</stp>
        <stp>084690</stp>
        <stp>현재가</stp>
        <stp/>
        <stp/>
        <tr r="U590" s="1"/>
      </tp>
      <tp>
        <v>13000</v>
        <stp/>
        <stp>P</stp>
        <stp>0</stp>
        <stp>STK</stp>
        <stp>484590</stp>
        <stp>현재가</stp>
        <stp/>
        <stp/>
        <tr r="U453" s="1"/>
      </tp>
      <tp>
        <v>49650</v>
        <stp/>
        <stp>P</stp>
        <stp>0</stp>
        <stp>STK</stp>
        <stp>287840</stp>
        <stp>현재가</stp>
        <stp/>
        <stp/>
        <tr r="U383" s="1"/>
      </tp>
      <tp>
        <v>307500</v>
        <stp/>
        <stp>P</stp>
        <stp>0</stp>
        <stp>STK</stp>
        <stp>087010</stp>
        <stp>현재가</stp>
        <stp/>
        <stp/>
        <tr r="U111" s="1"/>
      </tp>
      <tp>
        <v>42250</v>
        <stp/>
        <stp>P</stp>
        <stp>0</stp>
        <stp>STK</stp>
        <stp>486990</stp>
        <stp>현재가</stp>
        <stp/>
        <stp/>
        <tr r="U318" s="1"/>
      </tp>
      <tp>
        <v>132500</v>
        <stp/>
        <stp>P</stp>
        <stp>0</stp>
        <stp>STK</stp>
        <stp>086900</stp>
        <stp>현재가</stp>
        <stp/>
        <stp/>
        <tr r="U341" s="1"/>
      </tp>
      <tp>
        <v>22300</v>
        <stp/>
        <stp>P</stp>
        <stp>0</stp>
        <stp>STK</stp>
        <stp>286940</stp>
        <stp>현재가</stp>
        <stp/>
        <stp/>
        <tr r="U596" s="1"/>
      </tp>
      <tp>
        <v>14480</v>
        <stp/>
        <stp>P</stp>
        <stp>0</stp>
        <stp>STK</stp>
        <stp>086390</stp>
        <stp>현재가</stp>
        <stp/>
        <stp/>
        <tr r="U677" s="1"/>
      </tp>
      <tp>
        <v>246500</v>
        <stp/>
        <stp>P</stp>
        <stp>0</stp>
        <stp>STK</stp>
        <stp>086280</stp>
        <stp>현재가</stp>
        <stp/>
        <stp/>
        <tr r="U39" s="1"/>
      </tp>
      <tp>
        <v>105000</v>
        <stp/>
        <stp>P</stp>
        <stp>0</stp>
        <stp>STK</stp>
        <stp>086790</stp>
        <stp>현재가</stp>
        <stp/>
        <stp/>
        <tr r="U32" s="1"/>
      </tp>
      <tp>
        <v>171900</v>
        <stp/>
        <stp>P</stp>
        <stp>0</stp>
        <stp>STK</stp>
        <stp>086520</stp>
        <stp>현재가</stp>
        <stp/>
        <stp/>
        <tr r="U67" s="1"/>
      </tp>
      <tp>
        <v>18480</v>
        <stp/>
        <stp>P</stp>
        <stp>0</stp>
        <stp>STK</stp>
        <stp>086450</stp>
        <stp>현재가</stp>
        <stp/>
        <stp/>
        <tr r="U371" s="1"/>
      </tp>
      <tp>
        <v>15320</v>
        <stp/>
        <stp>P</stp>
        <stp>0</stp>
        <stp>STK</stp>
        <stp>381970</stp>
        <stp>현재가</stp>
        <stp/>
        <stp/>
        <tr r="U379" s="1"/>
      </tp>
      <tp>
        <v>45900</v>
        <stp/>
        <stp>P</stp>
        <stp>0</stp>
        <stp>STK</stp>
        <stp>281820</stp>
        <stp>현재가</stp>
        <stp/>
        <stp/>
        <tr r="U353" s="1"/>
      </tp>
      <tp>
        <v>27500</v>
        <stp/>
        <stp>P</stp>
        <stp>0</stp>
        <stp>STK</stp>
        <stp>481070</stp>
        <stp>현재가</stp>
        <stp/>
        <stp/>
        <tr r="U591" s="1"/>
      </tp>
      <tp>
        <v>31700</v>
        <stp/>
        <stp>P</stp>
        <stp>0</stp>
        <stp>STK</stp>
        <stp>181710</stp>
        <stp>현재가</stp>
        <stp/>
        <stp/>
        <tr r="U319" s="1"/>
      </tp>
      <tp>
        <v>27900</v>
        <stp/>
        <stp>P</stp>
        <stp>0</stp>
        <stp>STK</stp>
        <stp>281740</stp>
        <stp>현재가</stp>
        <stp/>
        <stp/>
        <tr r="U291" s="1"/>
      </tp>
      <tp>
        <v>46450</v>
        <stp/>
        <stp>P</stp>
        <stp>0</stp>
        <stp>STK</stp>
        <stp>081660</stp>
        <stp>현재가</stp>
        <stp/>
        <stp/>
        <tr r="U192" s="1"/>
      </tp>
      <tp>
        <v>118300</v>
        <stp/>
        <stp>P</stp>
        <stp>0</stp>
        <stp>STK</stp>
        <stp>280360</stp>
        <stp>현재가</stp>
        <stp/>
        <stp/>
        <tr r="U310" s="1"/>
      </tp>
      <tp>
        <v>41600</v>
        <stp/>
        <stp>P</stp>
        <stp>0</stp>
        <stp>STK</stp>
        <stp>080220</stp>
        <stp>현재가</stp>
        <stp/>
        <stp/>
        <tr r="U307" s="1"/>
      </tp>
      <tp>
        <v>111000</v>
        <stp/>
        <stp>P</stp>
        <stp>0</stp>
        <stp>STK</stp>
        <stp>180640</stp>
        <stp>현재가</stp>
        <stp/>
        <stp/>
        <tr r="U83" s="1"/>
      </tp>
      <tp>
        <v>31600</v>
        <stp/>
        <stp>P</stp>
        <stp>0</stp>
        <stp>STK</stp>
        <stp>380550</stp>
        <stp>현재가</stp>
        <stp/>
        <stp/>
        <tr r="U663" s="1"/>
      </tp>
      <tp>
        <v>8570</v>
        <stp/>
        <stp>P</stp>
        <stp>0</stp>
        <stp>STK</stp>
        <stp>383800</stp>
        <stp>현재가</stp>
        <stp/>
        <stp/>
        <tr r="U420" s="1"/>
      </tp>
      <tp>
        <v>42950</v>
        <stp/>
        <stp>P</stp>
        <stp>0</stp>
        <stp>STK</stp>
        <stp>383310</stp>
        <stp>현재가</stp>
        <stp/>
        <stp/>
        <tr r="U479" s="1"/>
      </tp>
      <tp>
        <v>122800</v>
        <stp/>
        <stp>P</stp>
        <stp>0</stp>
        <stp>STK</stp>
        <stp>183300</stp>
        <stp>현재가</stp>
        <stp/>
        <stp/>
        <tr r="U306" s="1"/>
      </tp>
      <tp>
        <v>73100</v>
        <stp/>
        <stp>P</stp>
        <stp>0</stp>
        <stp>STK</stp>
        <stp>383220</stp>
        <stp>현재가</stp>
        <stp/>
        <stp/>
        <tr r="U178" s="1"/>
      </tp>
      <tp>
        <v>12400</v>
        <stp/>
        <stp>P</stp>
        <stp>0</stp>
        <stp>STK</stp>
        <stp>183190</stp>
        <stp>현재가</stp>
        <stp/>
        <stp/>
        <tr r="U516" s="1"/>
      </tp>
      <tp>
        <v>160200</v>
        <stp/>
        <stp>P</stp>
        <stp>0</stp>
        <stp>STK</stp>
        <stp>483650</stp>
        <stp>현재가</stp>
        <stp/>
        <stp/>
        <tr r="U236" s="1"/>
      </tp>
      <tp>
        <v>70900</v>
        <stp/>
        <stp>P</stp>
        <stp>0</stp>
        <stp>STK</stp>
        <stp>083650</stp>
        <stp>현재가</stp>
        <stp/>
        <stp/>
        <tr r="U215" s="1"/>
      </tp>
      <tp>
        <v>28450</v>
        <stp/>
        <stp>P</stp>
        <stp>0</stp>
        <stp>STK</stp>
        <stp>083450</stp>
        <stp>현재가</stp>
        <stp/>
        <stp/>
        <tr r="U480" s="1"/>
      </tp>
      <tp>
        <v>30700</v>
        <stp/>
        <stp>P</stp>
        <stp>0</stp>
        <stp>STK</stp>
        <stp>382900</stp>
        <stp>현재가</stp>
        <stp/>
        <stp/>
        <tr r="U654" s="1"/>
      </tp>
      <tp>
        <v>21100</v>
        <stp/>
        <stp>P</stp>
        <stp>0</stp>
        <stp>STK</stp>
        <stp>082920</stp>
        <stp>현재가</stp>
        <stp/>
        <stp/>
        <tr r="U331" s="1"/>
      </tp>
      <tp>
        <v>119700</v>
        <stp/>
        <stp>P</stp>
        <stp>0</stp>
        <stp>STK</stp>
        <stp>282330</stp>
        <stp>현재가</stp>
        <stp/>
        <stp/>
        <tr r="U213" s="1"/>
      </tp>
      <tp>
        <v>40400</v>
        <stp/>
        <stp>P</stp>
        <stp>0</stp>
        <stp>STK</stp>
        <stp>082270</stp>
        <stp>현재가</stp>
        <stp/>
        <stp/>
        <tr r="U316" s="1"/>
      </tp>
      <tp>
        <v>54100</v>
        <stp/>
        <stp>P</stp>
        <stp>0</stp>
        <stp>STK</stp>
        <stp>082740</stp>
        <stp>현재가</stp>
        <stp/>
        <stp/>
        <tr r="U119" s="1"/>
      </tp>
      <tp>
        <v>16540</v>
        <stp/>
        <stp>P</stp>
        <stp>0</stp>
        <stp>STK</stp>
        <stp>N293490</stp>
        <stp>저가</stp>
        <stp/>
        <stp/>
        <tr r="R276" s="1"/>
      </tp>
      <tp>
        <v>14680</v>
        <stp/>
        <stp>P</stp>
        <stp>0</stp>
        <stp>STK</stp>
        <stp>N394280</stp>
        <stp>저가</stp>
        <stp/>
        <stp/>
        <tr r="R627" s="1"/>
      </tp>
      <tp>
        <v>17760</v>
        <stp/>
        <stp>P</stp>
        <stp>0</stp>
        <stp>STK</stp>
        <stp>N293490</stp>
        <stp>시가</stp>
        <stp/>
        <stp/>
        <tr r="P276" s="1"/>
      </tp>
      <tp>
        <v>15610</v>
        <stp/>
        <stp>P</stp>
        <stp>0</stp>
        <stp>STK</stp>
        <stp>N394280</stp>
        <stp>시가</stp>
        <stp/>
        <stp/>
        <tr r="P627" s="1"/>
      </tp>
      <tp>
        <v>15750</v>
        <stp/>
        <stp>P</stp>
        <stp>0</stp>
        <stp>STK</stp>
        <stp>N394280</stp>
        <stp>고가</stp>
        <stp/>
        <stp/>
        <tr r="Q627" s="1"/>
      </tp>
      <tp>
        <v>17760</v>
        <stp/>
        <stp>P</stp>
        <stp>0</stp>
        <stp>STK</stp>
        <stp>N293490</stp>
        <stp>고가</stp>
        <stp/>
        <stp/>
        <tr r="Q276" s="1"/>
      </tp>
      <tp>
        <v>15730</v>
        <stp/>
        <stp>P</stp>
        <stp>0</stp>
        <stp>STK</stp>
        <stp>N300080</stp>
        <stp>저가</stp>
        <stp/>
        <stp/>
        <tr r="R665" s="1"/>
      </tp>
      <tp>
        <v>16200</v>
        <stp/>
        <stp>P</stp>
        <stp>0</stp>
        <stp>STK</stp>
        <stp>N300080</stp>
        <stp>시가</stp>
        <stp/>
        <stp/>
        <tr r="P665" s="1"/>
      </tp>
      <tp>
        <v>16500</v>
        <stp/>
        <stp>P</stp>
        <stp>0</stp>
        <stp>STK</stp>
        <stp>N300080</stp>
        <stp>고가</stp>
        <stp/>
        <stp/>
        <tr r="Q665" s="1"/>
      </tp>
      <tp>
        <v>14700</v>
        <stp/>
        <stp>P</stp>
        <stp>0</stp>
        <stp>STK</stp>
        <stp>N217590</stp>
        <stp>저가</stp>
        <stp/>
        <stp/>
        <tr r="R545" s="1"/>
      </tp>
      <tp>
        <v>15080</v>
        <stp/>
        <stp>P</stp>
        <stp>0</stp>
        <stp>STK</stp>
        <stp>N217590</stp>
        <stp>시가</stp>
        <stp/>
        <stp/>
        <tr r="P545" s="1"/>
      </tp>
      <tp>
        <v>15100</v>
        <stp/>
        <stp>P</stp>
        <stp>0</stp>
        <stp>STK</stp>
        <stp>N217590</stp>
        <stp>고가</stp>
        <stp/>
        <stp/>
        <tr r="Q545" s="1"/>
      </tp>
      <tp>
        <v>570000</v>
        <stp/>
        <stp>P</stp>
        <stp>0</stp>
        <stp>STK</stp>
        <stp>N329180</stp>
        <stp>시가</stp>
        <stp/>
        <stp/>
        <tr r="P16" s="1"/>
      </tp>
      <tp>
        <v>71600</v>
        <stp/>
        <stp>P</stp>
        <stp>0</stp>
        <stp>STK</stp>
        <stp>N323280</stp>
        <stp>저가</stp>
        <stp/>
        <stp/>
        <tr r="R258" s="1"/>
      </tp>
      <tp>
        <v>74400</v>
        <stp/>
        <stp>P</stp>
        <stp>0</stp>
        <stp>STK</stp>
        <stp>N323280</stp>
        <stp>시가</stp>
        <stp/>
        <stp/>
        <tr r="P258" s="1"/>
      </tp>
      <tp>
        <v>562000</v>
        <stp/>
        <stp>P</stp>
        <stp>0</stp>
        <stp>STK</stp>
        <stp>N329180</stp>
        <stp>저가</stp>
        <stp/>
        <stp/>
        <tr r="R16" s="1"/>
      </tp>
      <tp>
        <v>76300</v>
        <stp/>
        <stp>P</stp>
        <stp>0</stp>
        <stp>STK</stp>
        <stp>N323280</stp>
        <stp>고가</stp>
        <stp/>
        <stp/>
        <tr r="Q258" s="1"/>
      </tp>
      <tp>
        <v>580000</v>
        <stp/>
        <stp>P</stp>
        <stp>0</stp>
        <stp>STK</stp>
        <stp>N329180</stp>
        <stp>고가</stp>
        <stp/>
        <stp/>
        <tr r="Q16" s="1"/>
      </tp>
      <tp>
        <v>150200</v>
        <stp/>
        <stp>P</stp>
        <stp>0</stp>
        <stp>STK</stp>
        <stp>N237690</stp>
        <stp>저가</stp>
        <stp/>
        <stp/>
        <tr r="R185" s="1"/>
      </tp>
      <tp>
        <v>156800</v>
        <stp/>
        <stp>P</stp>
        <stp>0</stp>
        <stp>STK</stp>
        <stp>N237690</stp>
        <stp>시가</stp>
        <stp/>
        <stp/>
        <tr r="P185" s="1"/>
      </tp>
      <tp>
        <v>157500</v>
        <stp/>
        <stp>P</stp>
        <stp>0</stp>
        <stp>STK</stp>
        <stp>N237690</stp>
        <stp>고가</stp>
        <stp/>
        <stp/>
        <tr r="Q185" s="1"/>
      </tp>
      <tp>
        <v>15270</v>
        <stp/>
        <stp>P</stp>
        <stp>0</stp>
        <stp>STK</stp>
        <stp>N253590</stp>
        <stp>저가</stp>
        <stp/>
        <stp/>
        <tr r="R477" s="1"/>
      </tp>
      <tp>
        <v>36550</v>
        <stp/>
        <stp>P</stp>
        <stp>0</stp>
        <stp>STK</stp>
        <stp>N352480</stp>
        <stp>저가</stp>
        <stp/>
        <stp/>
        <tr r="R531" s="1"/>
      </tp>
      <tp>
        <v>424000</v>
        <stp/>
        <stp>P</stp>
        <stp>0</stp>
        <stp>STK</stp>
        <stp>N357780</stp>
        <stp>저가</stp>
        <stp/>
        <stp/>
        <tr r="R170" s="1"/>
      </tp>
      <tp>
        <v>7440</v>
        <stp/>
        <stp>P</stp>
        <stp>0</stp>
        <stp>STK</stp>
        <stp>N356680</stp>
        <stp>저가</stp>
        <stp/>
        <stp/>
        <tr r="R697" s="1"/>
      </tp>
      <tp>
        <v>15510</v>
        <stp/>
        <stp>P</stp>
        <stp>0</stp>
        <stp>STK</stp>
        <stp>N253590</stp>
        <stp>시가</stp>
        <stp/>
        <stp/>
        <tr r="P477" s="1"/>
      </tp>
      <tp>
        <v>37750</v>
        <stp/>
        <stp>P</stp>
        <stp>0</stp>
        <stp>STK</stp>
        <stp>N352480</stp>
        <stp>시가</stp>
        <stp/>
        <stp/>
        <tr r="P531" s="1"/>
      </tp>
      <tp>
        <v>455000</v>
        <stp/>
        <stp>P</stp>
        <stp>0</stp>
        <stp>STK</stp>
        <stp>N357780</stp>
        <stp>시가</stp>
        <stp/>
        <stp/>
        <tr r="P170" s="1"/>
      </tp>
      <tp>
        <v>7760</v>
        <stp/>
        <stp>P</stp>
        <stp>0</stp>
        <stp>STK</stp>
        <stp>N356680</stp>
        <stp>시가</stp>
        <stp/>
        <stp/>
        <tr r="P697" s="1"/>
      </tp>
      <tp>
        <v>477500</v>
        <stp/>
        <stp>P</stp>
        <stp>0</stp>
        <stp>STK</stp>
        <stp>N357780</stp>
        <stp>고가</stp>
        <stp/>
        <stp/>
        <tr r="Q170" s="1"/>
      </tp>
      <tp>
        <v>7760</v>
        <stp/>
        <stp>P</stp>
        <stp>0</stp>
        <stp>STK</stp>
        <stp>N356680</stp>
        <stp>고가</stp>
        <stp/>
        <stp/>
        <tr r="Q697" s="1"/>
      </tp>
      <tp>
        <v>16070</v>
        <stp/>
        <stp>P</stp>
        <stp>0</stp>
        <stp>STK</stp>
        <stp>N253590</stp>
        <stp>고가</stp>
        <stp/>
        <stp/>
        <tr r="Q477" s="1"/>
      </tp>
      <tp>
        <v>37750</v>
        <stp/>
        <stp>P</stp>
        <stp>0</stp>
        <stp>STK</stp>
        <stp>N352480</stp>
        <stp>고가</stp>
        <stp/>
        <stp/>
        <tr r="Q531" s="1"/>
      </tp>
      <tp>
        <v>30900</v>
        <stp/>
        <stp>P</stp>
        <stp>0</stp>
        <stp>STK</stp>
        <stp>N272290</stp>
        <stp>저가</stp>
        <stp/>
        <stp/>
        <tr r="R472" s="1"/>
      </tp>
      <tp>
        <v>32000</v>
        <stp/>
        <stp>P</stp>
        <stp>0</stp>
        <stp>STK</stp>
        <stp>N272290</stp>
        <stp>시가</stp>
        <stp/>
        <stp/>
        <tr r="P472" s="1"/>
      </tp>
      <tp>
        <v>32300</v>
        <stp/>
        <stp>P</stp>
        <stp>0</stp>
        <stp>STK</stp>
        <stp>N272290</stp>
        <stp>고가</stp>
        <stp/>
        <stp/>
        <tr r="Q472" s="1"/>
      </tp>
      <tp>
        <v>24170</v>
        <stp/>
        <stp>P</stp>
        <stp>0</stp>
        <stp>STK</stp>
        <stp>N0126Z0</stp>
        <stp>누적거래량</stp>
        <stp/>
        <stp/>
        <tr r="M60" s="1"/>
      </tp>
      <tp>
        <v>115024</v>
        <stp/>
        <stp>P</stp>
        <stp>0</stp>
        <stp>STK</stp>
        <stp>N074600</stp>
        <stp>누적거래량</stp>
        <stp/>
        <stp/>
        <tr r="M408" s="1"/>
      </tp>
      <tp>
        <v>66974</v>
        <stp/>
        <stp>P</stp>
        <stp>0</stp>
        <stp>STK</stp>
        <stp>N078600</stp>
        <stp>누적거래량</stp>
        <stp/>
        <stp/>
        <tr r="M320" s="1"/>
      </tp>
      <tp>
        <v>19994</v>
        <stp/>
        <stp>P</stp>
        <stp>0</stp>
        <stp>STK</stp>
        <stp>N051600</stp>
        <stp>누적거래량</stp>
        <stp/>
        <stp/>
        <tr r="M169" s="1"/>
      </tp>
      <tp>
        <v>57290</v>
        <stp/>
        <stp>P</stp>
        <stp>0</stp>
        <stp>STK</stp>
        <stp>N035600</stp>
        <stp>누적거래량</stp>
        <stp/>
        <stp/>
        <tr r="M655" s="1"/>
      </tp>
      <tp>
        <v>64936</v>
        <stp/>
        <stp>P</stp>
        <stp>0</stp>
        <stp>STK</stp>
        <stp>N138610</stp>
        <stp>누적거래량</stp>
        <stp/>
        <stp/>
        <tr r="M548" s="1"/>
      </tp>
      <tp>
        <v>43927</v>
        <stp/>
        <stp>P</stp>
        <stp>0</stp>
        <stp>STK</stp>
        <stp>N112610</stp>
        <stp>누적거래량</stp>
        <stp/>
        <stp/>
        <tr r="M240" s="1"/>
      </tp>
      <tp>
        <v>112953</v>
        <stp/>
        <stp>P</stp>
        <stp>0</stp>
        <stp>STK</stp>
        <stp>N095610</stp>
        <stp>누적거래량</stp>
        <stp/>
        <stp/>
        <tr r="M322" s="1"/>
      </tp>
      <tp>
        <v>36372</v>
        <stp/>
        <stp>P</stp>
        <stp>0</stp>
        <stp>STK</stp>
        <stp>N483650</stp>
        <stp>누적거래량</stp>
        <stp/>
        <stp/>
        <tr r="M236" s="1"/>
      </tp>
      <tp>
        <v>606266</v>
        <stp/>
        <stp>P</stp>
        <stp>0</stp>
        <stp>STK</stp>
        <stp>N053610</stp>
        <stp>누적거래량</stp>
        <stp/>
        <stp/>
        <tr r="M541" s="1"/>
      </tp>
      <tp>
        <v>252594</v>
        <stp/>
        <stp>P</stp>
        <stp>0</stp>
        <stp>STK</stp>
        <stp>N058610</stp>
        <stp>누적거래량</stp>
        <stp/>
        <stp/>
        <tr r="M181" s="1"/>
      </tp>
      <tp>
        <v>25885</v>
        <stp/>
        <stp>P</stp>
        <stp>0</stp>
        <stp>STK</stp>
        <stp>N030610</stp>
        <stp>누적거래량</stp>
        <stp/>
        <stp/>
        <tr r="M289" s="1"/>
      </tp>
      <tp>
        <v>48431</v>
        <stp/>
        <stp>P</stp>
        <stp>0</stp>
        <stp>STK</stp>
        <stp>N121600</stp>
        <stp>누적거래량</stp>
        <stp/>
        <stp/>
        <tr r="M419" s="1"/>
      </tp>
      <tp>
        <v>14673</v>
        <stp/>
        <stp>P</stp>
        <stp>0</stp>
        <stp>STK</stp>
        <stp>N016610</stp>
        <stp>누적거래량</stp>
        <stp/>
        <stp/>
        <tr r="M486" s="1"/>
      </tp>
      <tp>
        <v>230</v>
        <stp/>
        <stp>P</stp>
        <stp>0</stp>
        <stp>STK</stp>
        <stp>N005610</stp>
        <stp>누적거래량</stp>
        <stp/>
        <stp/>
        <tr r="M514" s="1"/>
      </tp>
      <tp>
        <v>9878</v>
        <stp/>
        <stp>P</stp>
        <stp>0</stp>
        <stp>STK</stp>
        <stp>N085620</stp>
        <stp>누적거래량</stp>
        <stp/>
        <stp/>
        <tr r="M244" s="1"/>
      </tp>
      <tp>
        <v>32471</v>
        <stp/>
        <stp>P</stp>
        <stp>0</stp>
        <stp>STK</stp>
        <stp>N361610</stp>
        <stp>누적거래량</stp>
        <stp/>
        <stp/>
        <tr r="M214" s="1"/>
      </tp>
      <tp>
        <v>1547</v>
        <stp/>
        <stp>P</stp>
        <stp>0</stp>
        <stp>STK</stp>
        <stp>N069620</stp>
        <stp>누적거래량</stp>
        <stp/>
        <stp/>
        <tr r="M220" s="1"/>
      </tp>
      <tp>
        <v>171178</v>
        <stp/>
        <stp>P</stp>
        <stp>0</stp>
        <stp>STK</stp>
        <stp>N036620</stp>
        <stp>누적거래량</stp>
        <stp/>
        <stp/>
        <tr r="M481" s="1"/>
      </tp>
      <tp>
        <v>29578</v>
        <stp/>
        <stp>P</stp>
        <stp>0</stp>
        <stp>STK</stp>
        <stp>N014620</stp>
        <stp>누적거래량</stp>
        <stp/>
        <stp/>
        <tr r="M364" s="1"/>
      </tp>
      <tp>
        <v>9883</v>
        <stp/>
        <stp>P</stp>
        <stp>0</stp>
        <stp>STK</stp>
        <stp>N105630</stp>
        <stp>누적거래량</stp>
        <stp/>
        <stp/>
        <tr r="M444" s="1"/>
      </tp>
      <tp>
        <v>17320</v>
        <stp/>
        <stp>P</stp>
        <stp>0</stp>
        <stp>STK</stp>
        <stp>N012630</stp>
        <stp>누적거래량</stp>
        <stp/>
        <stp/>
        <tr r="M312" s="1"/>
      </tp>
      <tp>
        <v>1048</v>
        <stp/>
        <stp>P</stp>
        <stp>0</stp>
        <stp>STK</stp>
        <stp>N001630</stp>
        <stp>누적거래량</stp>
        <stp/>
        <stp/>
        <tr r="M684" s="1"/>
      </tp>
      <tp>
        <v>45536</v>
        <stp/>
        <stp>P</stp>
        <stp>0</stp>
        <stp>STK</stp>
        <stp>N270660</stp>
        <stp>누적거래량</stp>
        <stp/>
        <stp/>
        <tr r="M542" s="1"/>
      </tp>
      <tp>
        <v>91537</v>
        <stp/>
        <stp>P</stp>
        <stp>0</stp>
        <stp>STK</stp>
        <stp>N033640</stp>
        <stp>누적거래량</stp>
        <stp/>
        <stp/>
        <tr r="M564" s="1"/>
      </tp>
      <tp>
        <v>18034</v>
        <stp/>
        <stp>P</stp>
        <stp>0</stp>
        <stp>STK</stp>
        <stp>N032640</stp>
        <stp>누적거래량</stp>
        <stp/>
        <stp/>
        <tr r="M99" s="1"/>
      </tp>
      <tp>
        <v>640</v>
        <stp/>
        <stp>P</stp>
        <stp>0</stp>
        <stp>STK</stp>
        <stp>N000640</stp>
        <stp>누적거래량</stp>
        <stp/>
        <stp/>
        <tr r="M397" s="1"/>
      </tp>
      <tp>
        <v>3762</v>
        <stp/>
        <stp>P</stp>
        <stp>0</stp>
        <stp>STK</stp>
        <stp>N180640</stp>
        <stp>누적거래량</stp>
        <stp/>
        <stp/>
        <tr r="M83" s="1"/>
      </tp>
      <tp>
        <v>157289</v>
        <stp/>
        <stp>P</stp>
        <stp>0</stp>
        <stp>STK</stp>
        <stp>N083650</stp>
        <stp>누적거래량</stp>
        <stp/>
        <stp/>
        <tr r="M215" s="1"/>
      </tp>
      <tp>
        <v>24392</v>
        <stp/>
        <stp>P</stp>
        <stp>0</stp>
        <stp>STK</stp>
        <stp>N469610</stp>
        <stp>누적거래량</stp>
        <stp/>
        <stp/>
        <tr r="M699" s="1"/>
      </tp>
      <tp>
        <v>487809</v>
        <stp/>
        <stp>P</stp>
        <stp>0</stp>
        <stp>STK</stp>
        <stp>N122640</stp>
        <stp>누적거래량</stp>
        <stp/>
        <stp/>
        <tr r="M544" s="1"/>
      </tp>
      <tp>
        <v>79189</v>
        <stp/>
        <stp>P</stp>
        <stp>0</stp>
        <stp>STK</stp>
        <stp>N319660</stp>
        <stp>누적거래량</stp>
        <stp/>
        <stp/>
        <tr r="M287" s="1"/>
      </tp>
      <tp>
        <v>20901</v>
        <stp/>
        <stp>P</stp>
        <stp>0</stp>
        <stp>STK</stp>
        <stp>N200670</stp>
        <stp>누적거래량</stp>
        <stp/>
        <stp/>
        <tr r="M510" s="1"/>
      </tp>
      <tp>
        <v>85655</v>
        <stp/>
        <stp>P</stp>
        <stp>0</stp>
        <stp>STK</stp>
        <stp>N107640</stp>
        <stp>누적거래량</stp>
        <stp/>
        <stp/>
        <tr r="M527" s="1"/>
      </tp>
      <tp>
        <v>1512</v>
        <stp/>
        <stp>P</stp>
        <stp>0</stp>
        <stp>STK</stp>
        <stp>N006650</stp>
        <stp>누적거래량</stp>
        <stp/>
        <stp/>
        <tr r="M309" s="1"/>
      </tp>
      <tp>
        <v>16298</v>
        <stp/>
        <stp>P</stp>
        <stp>0</stp>
        <stp>STK</stp>
        <stp>N095660</stp>
        <stp>누적거래량</stp>
        <stp/>
        <stp/>
        <tr r="M448" s="1"/>
      </tp>
      <tp>
        <v>1785</v>
        <stp/>
        <stp>P</stp>
        <stp>0</stp>
        <stp>STK</stp>
        <stp>N081660</stp>
        <stp>누적거래량</stp>
        <stp/>
        <stp/>
        <tr r="M192" s="1"/>
      </tp>
      <tp>
        <v>462348</v>
        <stp/>
        <stp>P</stp>
        <stp>0</stp>
        <stp>STK</stp>
        <stp>N085660</stp>
        <stp>누적거래량</stp>
        <stp/>
        <stp/>
        <tr r="M271" s="1"/>
      </tp>
      <tp>
        <v>23027</v>
        <stp/>
        <stp>P</stp>
        <stp>0</stp>
        <stp>STK</stp>
        <stp>N389650</stp>
        <stp>누적거래량</stp>
        <stp/>
        <stp/>
        <tr r="M430" s="1"/>
      </tp>
      <tp>
        <v>5237</v>
        <stp/>
        <stp>P</stp>
        <stp>0</stp>
        <stp>STK</stp>
        <stp>N065660</stp>
        <stp>누적거래량</stp>
        <stp/>
        <stp/>
        <tr r="M556" s="1"/>
      </tp>
      <tp>
        <v>587788</v>
        <stp/>
        <stp>P</stp>
        <stp>0</stp>
        <stp>STK</stp>
        <stp>N042660</stp>
        <stp>누적거래량</stp>
        <stp/>
        <stp/>
        <tr r="M23" s="1"/>
      </tp>
      <tp>
        <v>38936</v>
        <stp/>
        <stp>P</stp>
        <stp>0</stp>
        <stp>STK</stp>
        <stp>N229640</stp>
        <stp>누적거래량</stp>
        <stp/>
        <stp/>
        <tr r="M292" s="1"/>
      </tp>
      <tp>
        <v>986905</v>
        <stp/>
        <stp>P</stp>
        <stp>0</stp>
        <stp>STK</stp>
        <stp>N000660</stp>
        <stp>누적거래량</stp>
        <stp/>
        <stp/>
        <tr r="M10" s="1"/>
      </tp>
      <tp>
        <v>182364</v>
        <stp/>
        <stp>P</stp>
        <stp>0</stp>
        <stp>STK</stp>
        <stp>N007660</stp>
        <stp>누적거래량</stp>
        <stp/>
        <stp/>
        <tr r="M89" s="1"/>
      </tp>
      <tp>
        <v>9099</v>
        <stp/>
        <stp>P</stp>
        <stp>0</stp>
        <stp>STK</stp>
        <stp>N206640</stp>
        <stp>누적거래량</stp>
        <stp/>
        <stp/>
        <tr r="M632" s="1"/>
      </tp>
      <tp>
        <v>1652</v>
        <stp/>
        <stp>P</stp>
        <stp>0</stp>
        <stp>STK</stp>
        <stp>N108670</stp>
        <stp>누적거래량</stp>
        <stp/>
        <stp/>
        <tr r="M668" s="1"/>
      </tp>
      <tp>
        <v>214839</v>
        <stp/>
        <stp>P</stp>
        <stp>0</stp>
        <stp>STK</stp>
        <stp>N290650</stp>
        <stp>누적거래량</stp>
        <stp/>
        <stp/>
        <tr r="M269" s="1"/>
      </tp>
      <tp>
        <v>154688</v>
        <stp/>
        <stp>P</stp>
        <stp>0</stp>
        <stp>STK</stp>
        <stp>N130660</stp>
        <stp>누적거래량</stp>
        <stp/>
        <stp/>
        <tr r="M521" s="1"/>
      </tp>
      <tp>
        <v>382670</v>
        <stp/>
        <stp>P</stp>
        <stp>0</stp>
        <stp>STK</stp>
        <stp>N028670</stp>
        <stp>누적거래량</stp>
        <stp/>
        <stp/>
        <tr r="M191" s="1"/>
      </tp>
      <tp>
        <v>139772</v>
        <stp/>
        <stp>P</stp>
        <stp>0</stp>
        <stp>STK</stp>
        <stp>N017670</stp>
        <stp>누적거래량</stp>
        <stp/>
        <stp/>
        <tr r="M66" s="1"/>
      </tp>
      <tp>
        <v>1478</v>
        <stp/>
        <stp>P</stp>
        <stp>0</stp>
        <stp>STK</stp>
        <stp>N018670</stp>
        <stp>누적거래량</stp>
        <stp/>
        <stp/>
        <tr r="M209" s="1"/>
      </tp>
      <tp>
        <v>15062</v>
        <stp/>
        <stp>P</stp>
        <stp>0</stp>
        <stp>STK</stp>
        <stp>N000670</stp>
        <stp>누적거래량</stp>
        <stp/>
        <stp/>
        <tr r="M324" s="1"/>
      </tp>
      <tp>
        <v>146948</v>
        <stp/>
        <stp>P</stp>
        <stp>0</stp>
        <stp>STK</stp>
        <stp>N003670</stp>
        <stp>누적거래량</stp>
        <stp/>
        <stp/>
        <tr r="M49" s="1"/>
      </tp>
      <tp>
        <v>135554</v>
        <stp/>
        <stp>P</stp>
        <stp>0</stp>
        <stp>STK</stp>
        <stp>N206650</stp>
        <stp>누적거래량</stp>
        <stp/>
        <stp/>
        <tr r="M534" s="1"/>
      </tp>
      <tp>
        <v>6502</v>
        <stp/>
        <stp>P</stp>
        <stp>0</stp>
        <stp>STK</stp>
        <stp>N065680</stp>
        <stp>누적거래량</stp>
        <stp/>
        <stp/>
        <tr r="M638" s="1"/>
      </tp>
      <tp>
        <v>4137</v>
        <stp/>
        <stp>P</stp>
        <stp>0</stp>
        <stp>STK</stp>
        <stp>N014680</stp>
        <stp>누적거래량</stp>
        <stp/>
        <stp/>
        <tr r="M155" s="1"/>
      </tp>
      <tp>
        <v>9733</v>
        <stp/>
        <stp>P</stp>
        <stp>0</stp>
        <stp>STK</stp>
        <stp>N001680</stp>
        <stp>누적거래량</stp>
        <stp/>
        <stp/>
        <tr r="M374" s="1"/>
      </tp>
      <tp>
        <v>4435</v>
        <stp/>
        <stp>P</stp>
        <stp>0</stp>
        <stp>STK</stp>
        <stp>N009680</stp>
        <stp>누적거래량</stp>
        <stp/>
        <stp/>
        <tr r="M635" s="1"/>
      </tp>
      <tp>
        <v>105350</v>
        <stp/>
        <stp>P</stp>
        <stp>0</stp>
        <stp>STK</stp>
        <stp>N084690</stp>
        <stp>누적거래량</stp>
        <stp/>
        <stp/>
        <tr r="M590" s="1"/>
      </tp>
      <tp>
        <v>60026</v>
        <stp/>
        <stp>P</stp>
        <stp>0</stp>
        <stp>STK</stp>
        <stp>N052690</stp>
        <stp>누적거래량</stp>
        <stp/>
        <stp/>
        <tr r="M107" s="1"/>
      </tp>
      <tp>
        <v>57297</v>
        <stp/>
        <stp>P</stp>
        <stp>0</stp>
        <stp>STK</stp>
        <stp>N010690</stp>
        <stp>누적거래량</stp>
        <stp/>
        <stp/>
        <tr r="M563" s="1"/>
      </tp>
      <tp>
        <v>58656</v>
        <stp/>
        <stp>P</stp>
        <stp>0</stp>
        <stp>STK</stp>
        <stp>N003690</stp>
        <stp>누적거래량</stp>
        <stp/>
        <stp/>
        <tr r="M199" s="1"/>
      </tp>
      <tp>
        <v>177516</v>
        <stp/>
        <stp>P</stp>
        <stp>0</stp>
        <stp>STK</stp>
        <stp>N005690</stp>
        <stp>누적거래량</stp>
        <stp/>
        <stp/>
        <tr r="M361" s="1"/>
      </tp>
      <tp>
        <v>4153</v>
        <stp/>
        <stp>P</stp>
        <stp>0</stp>
        <stp>STK</stp>
        <stp>N004690</stp>
        <stp>누적거래량</stp>
        <stp/>
        <stp/>
        <tr r="M468" s="1"/>
      </tp>
      <tp>
        <v>2199</v>
        <stp/>
        <stp>P</stp>
        <stp>0</stp>
        <stp>STK</stp>
        <stp>N007690</stp>
        <stp>누적거래량</stp>
        <stp/>
        <stp/>
        <tr r="M589" s="1"/>
      </tp>
      <tp>
        <v>65891</v>
        <stp/>
        <stp>P</stp>
        <stp>0</stp>
        <stp>STK</stp>
        <stp>N356680</stp>
        <stp>누적거래량</stp>
        <stp/>
        <stp/>
        <tr r="M697" s="1"/>
      </tp>
      <tp>
        <v>42710</v>
        <stp/>
        <stp>P</stp>
        <stp>0</stp>
        <stp>STK</stp>
        <stp>N237690</stp>
        <stp>누적거래량</stp>
        <stp/>
        <stp/>
        <tr r="M185" s="1"/>
      </tp>
      <tp>
        <v>14011</v>
        <stp/>
        <stp>P</stp>
        <stp>0</stp>
        <stp>STK</stp>
        <stp>N445680</stp>
        <stp>누적거래량</stp>
        <stp/>
        <stp/>
        <tr r="M207" s="1"/>
      </tp>
      <tp>
        <v>199000</v>
        <stp/>
        <stp>P</stp>
        <stp>0</stp>
        <stp>STK</stp>
        <stp>N298380</stp>
        <stp>시가</stp>
        <stp/>
        <stp/>
        <tr r="P76" s="1"/>
      </tp>
      <tp>
        <v>191500</v>
        <stp/>
        <stp>P</stp>
        <stp>0</stp>
        <stp>STK</stp>
        <stp>N298380</stp>
        <stp>저가</stp>
        <stp/>
        <stp/>
        <tr r="R76" s="1"/>
      </tp>
      <tp>
        <v>203500</v>
        <stp/>
        <stp>P</stp>
        <stp>0</stp>
        <stp>STK</stp>
        <stp>N298380</stp>
        <stp>고가</stp>
        <stp/>
        <stp/>
        <tr r="Q76" s="1"/>
      </tp>
      <tp>
        <v>14760</v>
        <stp/>
        <stp>P</stp>
        <stp>0</stp>
        <stp>STK</stp>
        <stp>N200880</stp>
        <stp>저가</stp>
        <stp/>
        <stp/>
        <tr r="R506" s="1"/>
      </tp>
      <tp>
        <v>15050</v>
        <stp/>
        <stp>P</stp>
        <stp>0</stp>
        <stp>STK</stp>
        <stp>N200880</stp>
        <stp>시가</stp>
        <stp/>
        <stp/>
        <tr r="P506" s="1"/>
      </tp>
      <tp>
        <v>15220</v>
        <stp/>
        <stp>P</stp>
        <stp>0</stp>
        <stp>STK</stp>
        <stp>N200880</stp>
        <stp>고가</stp>
        <stp/>
        <stp/>
        <tr r="Q506" s="1"/>
      </tp>
      <tp>
        <v>12620</v>
        <stp/>
        <stp>P</stp>
        <stp>0</stp>
        <stp>STK</stp>
        <stp>N222080</stp>
        <stp>저가</stp>
        <stp/>
        <stp/>
        <tr r="R441" s="1"/>
      </tp>
      <tp>
        <v>13400</v>
        <stp/>
        <stp>P</stp>
        <stp>0</stp>
        <stp>STK</stp>
        <stp>N222080</stp>
        <stp>시가</stp>
        <stp/>
        <stp/>
        <tr r="P441" s="1"/>
      </tp>
      <tp>
        <v>14550</v>
        <stp/>
        <stp>P</stp>
        <stp>0</stp>
        <stp>STK</stp>
        <stp>N222080</stp>
        <stp>고가</stp>
        <stp/>
        <stp/>
        <tr r="Q441" s="1"/>
      </tp>
      <tp>
        <v>13100</v>
        <stp/>
        <stp>P</stp>
        <stp>0</stp>
        <stp>STK</stp>
        <stp>N237880</stp>
        <stp>저가</stp>
        <stp/>
        <stp/>
        <tr r="R693" s="1"/>
      </tp>
      <tp>
        <v>13260</v>
        <stp/>
        <stp>P</stp>
        <stp>0</stp>
        <stp>STK</stp>
        <stp>N237880</stp>
        <stp>시가</stp>
        <stp/>
        <stp/>
        <tr r="P693" s="1"/>
      </tp>
      <tp>
        <v>13260</v>
        <stp/>
        <stp>P</stp>
        <stp>0</stp>
        <stp>STK</stp>
        <stp>N237880</stp>
        <stp>고가</stp>
        <stp/>
        <stp/>
        <tr r="Q693" s="1"/>
      </tp>
      <tp>
        <v>134700</v>
        <stp/>
        <stp>P</stp>
        <stp>0</stp>
        <stp>STK</stp>
        <stp>N268280</stp>
        <stp>시가</stp>
        <stp/>
        <stp/>
        <tr r="P391" s="1"/>
      </tp>
      <tp>
        <v>35300</v>
        <stp/>
        <stp>P</stp>
        <stp>0</stp>
        <stp>STK</stp>
        <stp>N267980</stp>
        <stp>저가</stp>
        <stp/>
        <stp/>
        <tr r="R658" s="1"/>
      </tp>
      <tp>
        <v>133100</v>
        <stp/>
        <stp>P</stp>
        <stp>0</stp>
        <stp>STK</stp>
        <stp>N268280</stp>
        <stp>저가</stp>
        <stp/>
        <stp/>
        <tr r="R391" s="1"/>
      </tp>
      <tp>
        <v>35300</v>
        <stp/>
        <stp>P</stp>
        <stp>0</stp>
        <stp>STK</stp>
        <stp>N267980</stp>
        <stp>시가</stp>
        <stp/>
        <stp/>
        <tr r="P658" s="1"/>
      </tp>
      <tp>
        <v>35700</v>
        <stp/>
        <stp>P</stp>
        <stp>0</stp>
        <stp>STK</stp>
        <stp>N267980</stp>
        <stp>고가</stp>
        <stp/>
        <stp/>
        <tr r="Q658" s="1"/>
      </tp>
      <tp>
        <v>134800</v>
        <stp/>
        <stp>P</stp>
        <stp>0</stp>
        <stp>STK</stp>
        <stp>N268280</stp>
        <stp>고가</stp>
        <stp/>
        <stp/>
        <tr r="Q391" s="1"/>
      </tp>
      <tp>
        <v>58400</v>
        <stp/>
        <stp>P</stp>
        <stp>0</stp>
        <stp>STK</stp>
        <stp>N278280</stp>
        <stp>시가</stp>
        <stp/>
        <stp/>
        <tr r="P437" s="1"/>
      </tp>
      <tp>
        <v>55900</v>
        <stp/>
        <stp>P</stp>
        <stp>0</stp>
        <stp>STK</stp>
        <stp>N278280</stp>
        <stp>저가</stp>
        <stp/>
        <stp/>
        <tr r="R437" s="1"/>
      </tp>
      <tp>
        <v>59300</v>
        <stp/>
        <stp>P</stp>
        <stp>0</stp>
        <stp>STK</stp>
        <stp>N278280</stp>
        <stp>고가</stp>
        <stp/>
        <stp/>
        <tr r="Q437" s="1"/>
      </tp>
      <tp>
        <v>1144307</v>
        <stp/>
        <stp>P</stp>
        <stp>0</stp>
        <stp>STK</stp>
        <stp>N0007C0</stp>
        <stp>누적거래량</stp>
        <stp/>
        <stp/>
        <tr r="M688" s="1"/>
      </tp>
      <tp>
        <v>3753</v>
        <stp/>
        <stp>P</stp>
        <stp>0</stp>
        <stp>STK</stp>
        <stp>N181710</stp>
        <stp>누적거래량</stp>
        <stp/>
        <stp/>
        <tr r="M319" s="1"/>
      </tp>
      <tp>
        <v>124127</v>
        <stp/>
        <stp>P</stp>
        <stp>0</stp>
        <stp>STK</stp>
        <stp>N257720</stp>
        <stp>누적거래량</stp>
        <stp/>
        <stp/>
        <tr r="M159" s="1"/>
      </tp>
      <tp>
        <v>446561</v>
        <stp/>
        <stp>P</stp>
        <stp>0</stp>
        <stp>STK</stp>
        <stp>N042700</stp>
        <stp>누적거래량</stp>
        <stp/>
        <stp/>
        <tr r="M54" s="1"/>
      </tp>
      <tp>
        <v>29083</v>
        <stp/>
        <stp>P</stp>
        <stp>0</stp>
        <stp>STK</stp>
        <stp>N102710</stp>
        <stp>누적거래량</stp>
        <stp/>
        <stp/>
        <tr r="M401" s="1"/>
      </tp>
      <tp>
        <v>32101</v>
        <stp/>
        <stp>P</stp>
        <stp>0</stp>
        <stp>STK</stp>
        <stp>N004700</stp>
        <stp>누적거래량</stp>
        <stp/>
        <stp/>
        <tr r="M500" s="1"/>
      </tp>
      <tp>
        <v>1756</v>
        <stp/>
        <stp>P</stp>
        <stp>0</stp>
        <stp>STK</stp>
        <stp>N007700</stp>
        <stp>누적거래량</stp>
        <stp/>
        <stp/>
        <tr r="M365" s="1"/>
      </tp>
      <tp>
        <v>5953</v>
        <stp/>
        <stp>P</stp>
        <stp>0</stp>
        <stp>STK</stp>
        <stp>N194700</stp>
        <stp>누적거래량</stp>
        <stp/>
        <stp/>
        <tr r="M671" s="1"/>
      </tp>
      <tp>
        <v>61738</v>
        <stp/>
        <stp>P</stp>
        <stp>0</stp>
        <stp>STK</stp>
        <stp>N399720</stp>
        <stp>누적거래량</stp>
        <stp/>
        <stp/>
        <tr r="M386" s="1"/>
      </tp>
      <tp>
        <v>109587</v>
        <stp/>
        <stp>P</stp>
        <stp>0</stp>
        <stp>STK</stp>
        <stp>N388720</stp>
        <stp>누적거래량</stp>
        <stp/>
        <stp/>
        <tr r="M286" s="1"/>
      </tp>
      <tp>
        <v>1459</v>
        <stp/>
        <stp>P</stp>
        <stp>0</stp>
        <stp>STK</stp>
        <stp>N072710</stp>
        <stp>누적거래량</stp>
        <stp/>
        <stp/>
        <tr r="M539" s="1"/>
      </tp>
      <tp>
        <v>2859</v>
        <stp/>
        <stp>P</stp>
        <stp>0</stp>
        <stp>STK</stp>
        <stp>N037710</stp>
        <stp>누적거래량</stp>
        <stp/>
        <stp/>
        <tr r="M676" s="1"/>
      </tp>
      <tp>
        <v>11024</v>
        <stp/>
        <stp>P</stp>
        <stp>0</stp>
        <stp>STK</stp>
        <stp>N300720</stp>
        <stp>누적거래량</stp>
        <stp/>
        <stp/>
        <tr r="M282" s="1"/>
      </tp>
      <tp>
        <v>68552</v>
        <stp/>
        <stp>P</stp>
        <stp>0</stp>
        <stp>STK</stp>
        <stp>N002710</stp>
        <stp>누적거래량</stp>
        <stp/>
        <stp/>
        <tr r="M570" s="1"/>
      </tp>
      <tp>
        <v>1588</v>
        <stp/>
        <stp>P</stp>
        <stp>0</stp>
        <stp>STK</stp>
        <stp>N005710</stp>
        <stp>누적거래량</stp>
        <stp/>
        <stp/>
        <tr r="M659" s="1"/>
      </tp>
      <tp>
        <v>1147</v>
        <stp/>
        <stp>P</stp>
        <stp>0</stp>
        <stp>STK</stp>
        <stp>N104700</stp>
        <stp>누적거래량</stp>
        <stp/>
        <stp/>
        <tr r="M568" s="1"/>
      </tp>
      <tp>
        <v>493237</v>
        <stp/>
        <stp>P</stp>
        <stp>0</stp>
        <stp>STK</stp>
        <stp>N060720</stp>
        <stp>누적거래량</stp>
        <stp/>
        <stp/>
        <tr r="M573" s="1"/>
      </tp>
      <tp>
        <v>420085</v>
        <stp/>
        <stp>P</stp>
        <stp>0</stp>
        <stp>STK</stp>
        <stp>N035720</stp>
        <stp>누적거래량</stp>
        <stp/>
        <stp/>
        <tr r="M35" s="1"/>
      </tp>
      <tp>
        <v>11028</v>
        <stp/>
        <stp>P</stp>
        <stp>0</stp>
        <stp>STK</stp>
        <stp>N024720</stp>
        <stp>누적거래량</stp>
        <stp/>
        <stp/>
        <tr r="M605" s="1"/>
      </tp>
      <tp>
        <v>151107</v>
        <stp/>
        <stp>P</stp>
        <stp>0</stp>
        <stp>STK</stp>
        <stp>N117730</stp>
        <stp>누적거래량</stp>
        <stp/>
        <stp/>
        <tr r="M414" s="1"/>
      </tp>
      <tp>
        <v>19788</v>
        <stp/>
        <stp>P</stp>
        <stp>0</stp>
        <stp>STK</stp>
        <stp>N001720</stp>
        <stp>누적거래량</stp>
        <stp/>
        <stp/>
        <tr r="M184" s="1"/>
      </tp>
      <tp>
        <v>35987</v>
        <stp/>
        <stp>P</stp>
        <stp>0</stp>
        <stp>STK</stp>
        <stp>N101730</stp>
        <stp>누적거래량</stp>
        <stp/>
        <stp/>
        <tr r="M475" s="1"/>
      </tp>
      <tp>
        <v>178400</v>
        <stp/>
        <stp>P</stp>
        <stp>0</stp>
        <stp>STK</stp>
        <stp>N000720</stp>
        <stp>누적거래량</stp>
        <stp/>
        <stp/>
        <tr r="M68" s="1"/>
      </tp>
      <tp>
        <v>75703</v>
        <stp/>
        <stp>P</stp>
        <stp>0</stp>
        <stp>STK</stp>
        <stp>N309710</stp>
        <stp>누적거래량</stp>
        <stp/>
        <stp/>
        <tr r="M517" s="1"/>
      </tp>
      <tp>
        <v>4731</v>
        <stp/>
        <stp>P</stp>
        <stp>0</stp>
        <stp>STK</stp>
        <stp>N092730</stp>
        <stp>누적거래량</stp>
        <stp/>
        <stp/>
        <tr r="M648" s="1"/>
      </tp>
      <tp>
        <v>14532</v>
        <stp/>
        <stp>P</stp>
        <stp>0</stp>
        <stp>STK</stp>
        <stp>N241710</stp>
        <stp>누적거래량</stp>
        <stp/>
        <stp/>
        <tr r="M360" s="1"/>
      </tp>
      <tp>
        <v>3573</v>
        <stp/>
        <stp>P</stp>
        <stp>0</stp>
        <stp>STK</stp>
        <stp>N145720</stp>
        <stp>누적거래량</stp>
        <stp/>
        <stp/>
        <tr r="M470" s="1"/>
      </tp>
      <tp>
        <v>32860</v>
        <stp/>
        <stp>P</stp>
        <stp>0</stp>
        <stp>STK</stp>
        <stp>N034730</stp>
        <stp>누적거래량</stp>
        <stp/>
        <stp/>
        <tr r="M41" s="1"/>
      </tp>
      <tp>
        <v>18099</v>
        <stp/>
        <stp>P</stp>
        <stp>0</stp>
        <stp>STK</stp>
        <stp>N420770</stp>
        <stp>누적거래량</stp>
        <stp/>
        <stp/>
        <tr r="M387" s="1"/>
      </tp>
      <tp>
        <v>6448</v>
        <stp/>
        <stp>P</stp>
        <stp>0</stp>
        <stp>STK</stp>
        <stp>N126720</stp>
        <stp>누적거래량</stp>
        <stp/>
        <stp/>
        <tr r="M547" s="1"/>
      </tp>
      <tp>
        <v>126513</v>
        <stp/>
        <stp>P</stp>
        <stp>0</stp>
        <stp>STK</stp>
        <stp>N200710</stp>
        <stp>누적거래량</stp>
        <stp/>
        <stp/>
        <tr r="M494" s="1"/>
      </tp>
      <tp>
        <v>1722967</v>
        <stp/>
        <stp>P</stp>
        <stp>0</stp>
        <stp>STK</stp>
        <stp>N006730</stp>
        <stp>누적거래량</stp>
        <stp/>
        <stp/>
        <tr r="M326" s="1"/>
      </tp>
      <tp>
        <v>8709</v>
        <stp/>
        <stp>P</stp>
        <stp>0</stp>
        <stp>STK</stp>
        <stp>N008730</stp>
        <stp>누적거래량</stp>
        <stp/>
        <stp/>
        <tr r="M400" s="1"/>
      </tp>
      <tp>
        <v>88341</v>
        <stp/>
        <stp>P</stp>
        <stp>0</stp>
        <stp>STK</stp>
        <stp>N082740</stp>
        <stp>누적거래량</stp>
        <stp/>
        <stp/>
        <tr r="M119" s="1"/>
      </tp>
      <tp>
        <v>5832</v>
        <stp/>
        <stp>P</stp>
        <stp>0</stp>
        <stp>STK</stp>
        <stp>N185750</stp>
        <stp>누적거래량</stp>
        <stp/>
        <stp/>
        <tr r="M293" s="1"/>
      </tp>
      <tp>
        <v>71149</v>
        <stp/>
        <stp>P</stp>
        <stp>0</stp>
        <stp>STK</stp>
        <stp>N176750</stp>
        <stp>누적거래량</stp>
        <stp/>
        <stp/>
        <tr r="M678" s="1"/>
      </tp>
      <tp>
        <v>57782</v>
        <stp/>
        <stp>P</stp>
        <stp>0</stp>
        <stp>STK</stp>
        <stp>N228760</stp>
        <stp>누적거래량</stp>
        <stp/>
        <stp/>
        <tr r="M452" s="1"/>
      </tp>
      <tp>
        <v>16143</v>
        <stp/>
        <stp>P</stp>
        <stp>0</stp>
        <stp>STK</stp>
        <stp>N241770</stp>
        <stp>누적거래량</stp>
        <stp/>
        <stp/>
        <tr r="M686" s="1"/>
      </tp>
      <tp>
        <v>3040</v>
        <stp/>
        <stp>P</stp>
        <stp>0</stp>
        <stp>STK</stp>
        <stp>N012750</stp>
        <stp>누적거래량</stp>
        <stp/>
        <stp/>
        <tr r="M156" s="1"/>
      </tp>
      <tp>
        <v>206858</v>
        <stp/>
        <stp>P</stp>
        <stp>0</stp>
        <stp>STK</stp>
        <stp>N015750</stp>
        <stp>누적거래량</stp>
        <stp/>
        <stp/>
        <tr r="M407" s="1"/>
      </tp>
      <tp>
        <v>7191</v>
        <stp/>
        <stp>P</stp>
        <stp>0</stp>
        <stp>STK</stp>
        <stp>N001750</stp>
        <stp>누적거래량</stp>
        <stp/>
        <stp/>
        <tr r="M685" s="1"/>
      </tp>
      <tp>
        <v>422920</v>
        <stp/>
        <stp>P</stp>
        <stp>0</stp>
        <stp>STK</stp>
        <stp>N281740</stp>
        <stp>누적거래량</stp>
        <stp/>
        <stp/>
        <tr r="M291" s="1"/>
      </tp>
      <tp>
        <v>794</v>
        <stp/>
        <stp>P</stp>
        <stp>0</stp>
        <stp>STK</stp>
        <stp>N284740</stp>
        <stp>누적거래량</stp>
        <stp/>
        <stp/>
        <tr r="M473" s="1"/>
      </tp>
      <tp>
        <v>7249</v>
        <stp/>
        <stp>P</stp>
        <stp>0</stp>
        <stp>STK</stp>
        <stp>N064760</stp>
        <stp>누적거래량</stp>
        <stp/>
        <stp/>
        <tr r="M218" s="1"/>
      </tp>
      <tp>
        <v>45271</v>
        <stp/>
        <stp>P</stp>
        <stp>0</stp>
        <stp>STK</stp>
        <stp>N068760</stp>
        <stp>누적거래량</stp>
        <stp/>
        <stp/>
        <tr r="M171" s="1"/>
      </tp>
      <tp>
        <v>15062</v>
        <stp/>
        <stp>P</stp>
        <stp>0</stp>
        <stp>STK</stp>
        <stp>N035760</stp>
        <stp>누적거래량</stp>
        <stp/>
        <stp/>
        <tr r="M263" s="1"/>
      </tp>
      <tp>
        <v>7421</v>
        <stp/>
        <stp>P</stp>
        <stp>0</stp>
        <stp>STK</stp>
        <stp>N011760</stp>
        <stp>누적거래량</stp>
        <stp/>
        <stp/>
        <tr r="M639" s="1"/>
      </tp>
      <tp>
        <v>6448</v>
        <stp/>
        <stp>P</stp>
        <stp>0</stp>
        <stp>STK</stp>
        <stp>N111770</stp>
        <stp>누적거래량</stp>
        <stp/>
        <stp/>
        <tr r="M138" s="1"/>
      </tp>
      <tp>
        <v>383139</v>
        <stp/>
        <stp>P</stp>
        <stp>0</stp>
        <stp>STK</stp>
        <stp>N015760</stp>
        <stp>누적거래량</stp>
        <stp/>
        <stp/>
        <tr r="M24" s="1"/>
      </tp>
      <tp>
        <v>52529</v>
        <stp/>
        <stp>P</stp>
        <stp>0</stp>
        <stp>STK</stp>
        <stp>N096770</stp>
        <stp>누적거래량</stp>
        <stp/>
        <stp/>
        <tr r="M50" s="1"/>
      </tp>
      <tp>
        <v>149649</v>
        <stp/>
        <stp>P</stp>
        <stp>0</stp>
        <stp>STK</stp>
        <stp>N263750</stp>
        <stp>누적거래량</stp>
        <stp/>
        <stp/>
        <tr r="M165" s="1"/>
      </tp>
      <tp>
        <v>61275</v>
        <stp/>
        <stp>P</stp>
        <stp>0</stp>
        <stp>STK</stp>
        <stp>N437730</stp>
        <stp>누적거래량</stp>
        <stp/>
        <stp/>
        <tr r="M195" s="1"/>
      </tp>
      <tp>
        <v>6528</v>
        <stp/>
        <stp>P</stp>
        <stp>0</stp>
        <stp>STK</stp>
        <stp>N025770</stp>
        <stp>누적거래량</stp>
        <stp/>
        <stp/>
        <tr r="M636" s="1"/>
      </tp>
      <tp>
        <v>119952</v>
        <stp/>
        <stp>P</stp>
        <stp>0</stp>
        <stp>STK</stp>
        <stp>N008770</stp>
        <stp>누적거래량</stp>
        <stp/>
        <stp/>
        <tr r="M229" s="1"/>
      </tp>
      <tp>
        <v>12768</v>
        <stp/>
        <stp>P</stp>
        <stp>0</stp>
        <stp>STK</stp>
        <stp>N033780</stp>
        <stp>누적거래량</stp>
        <stp/>
        <stp/>
        <tr r="M52" s="1"/>
      </tp>
      <tp>
        <v>4030</v>
        <stp/>
        <stp>P</stp>
        <stp>0</stp>
        <stp>STK</stp>
        <stp>N029780</stp>
        <stp>누적거래량</stp>
        <stp/>
        <stp/>
        <tr r="M101" s="1"/>
      </tp>
      <tp>
        <v>7927</v>
        <stp/>
        <stp>P</stp>
        <stp>0</stp>
        <stp>STK</stp>
        <stp>N011780</stp>
        <stp>누적거래량</stp>
        <stp/>
        <stp/>
        <tr r="M136" s="1"/>
      </tp>
      <tp>
        <v>29762</v>
        <stp/>
        <stp>P</stp>
        <stp>0</stp>
        <stp>STK</stp>
        <stp>N010780</stp>
        <stp>누적거래량</stp>
        <stp/>
        <stp/>
        <tr r="M398" s="1"/>
      </tp>
      <tp>
        <v>2104948</v>
        <stp/>
        <stp>P</stp>
        <stp>0</stp>
        <stp>STK</stp>
        <stp>N100790</stp>
        <stp>누적거래량</stp>
        <stp/>
        <stp/>
        <tr r="M393" s="1"/>
      </tp>
      <tp>
        <v>61739</v>
        <stp/>
        <stp>P</stp>
        <stp>0</stp>
        <stp>STK</stp>
        <stp>N092790</stp>
        <stp>누적거래량</stp>
        <stp/>
        <stp/>
        <tr r="M610" s="1"/>
      </tp>
      <tp>
        <v>91696</v>
        <stp/>
        <stp>P</stp>
        <stp>0</stp>
        <stp>STK</stp>
        <stp>N086790</stp>
        <stp>누적거래량</stp>
        <stp/>
        <stp/>
        <tr r="M32" s="1"/>
      </tp>
      <tp>
        <v>75449</v>
        <stp/>
        <stp>P</stp>
        <stp>0</stp>
        <stp>STK</stp>
        <stp>N011790</stp>
        <stp>누적거래량</stp>
        <stp/>
        <stp/>
        <tr r="M126" s="1"/>
      </tp>
      <tp>
        <v>7016</v>
        <stp/>
        <stp>P</stp>
        <stp>0</stp>
        <stp>STK</stp>
        <stp>N002790</stp>
        <stp>누적거래량</stp>
        <stp/>
        <stp/>
        <tr r="M210" s="1"/>
      </tp>
      <tp>
        <v>13506</v>
        <stp/>
        <stp>P</stp>
        <stp>0</stp>
        <stp>STK</stp>
        <stp>N357780</stp>
        <stp>누적거래량</stp>
        <stp/>
        <stp/>
        <tr r="M170" s="1"/>
      </tp>
      <tp>
        <v>33666</v>
        <stp/>
        <stp>P</stp>
        <stp>0</stp>
        <stp>STK</stp>
        <stp>N499790</stp>
        <stp>누적거래량</stp>
        <stp/>
        <stp/>
        <tr r="M362" s="1"/>
      </tp>
      <tp>
        <v>328030</v>
        <stp/>
        <stp>P</stp>
        <stp>0</stp>
        <stp>STK</stp>
        <stp>N489790</stp>
        <stp>누적거래량</stp>
        <stp/>
        <stp/>
        <tr r="M173" s="1"/>
      </tp>
      <tp>
        <v>17620</v>
        <stp/>
        <stp>P</stp>
        <stp>0</stp>
        <stp>STK</stp>
        <stp>N389260</stp>
        <stp>시가</stp>
        <stp/>
        <stp/>
        <tr r="P615" s="1"/>
      </tp>
      <tp>
        <v>27900</v>
        <stp/>
        <stp>P</stp>
        <stp>0</stp>
        <stp>STK</stp>
        <stp>N083450</stp>
        <stp>저가</stp>
        <stp/>
        <stp/>
        <tr r="R480" s="1"/>
      </tp>
      <tp>
        <v>68600</v>
        <stp/>
        <stp>P</stp>
        <stp>0</stp>
        <stp>STK</stp>
        <stp>N083650</stp>
        <stp>저가</stp>
        <stp/>
        <stp/>
        <tr r="R215" s="1"/>
      </tp>
      <tp>
        <v>3505</v>
        <stp/>
        <stp>P</stp>
        <stp>0</stp>
        <stp>STK</stp>
        <stp>N088350</stp>
        <stp>시가</stp>
        <stp/>
        <stp/>
        <tr r="P164" s="1"/>
      </tp>
      <tp>
        <v>110900</v>
        <stp/>
        <stp>P</stp>
        <stp>0</stp>
        <stp>STK</stp>
        <stp>N180640</stp>
        <stp>저가</stp>
        <stp/>
        <stp/>
        <tr r="R83" s="1"/>
      </tp>
      <tp>
        <v>18260</v>
        <stp/>
        <stp>P</stp>
        <stp>0</stp>
        <stp>STK</stp>
        <stp>N086450</stp>
        <stp>저가</stp>
        <stp/>
        <stp/>
        <tr r="R371" s="1"/>
      </tp>
      <tp>
        <v>10240</v>
        <stp/>
        <stp>P</stp>
        <stp>0</stp>
        <stp>STK</stp>
        <stp>N084850</stp>
        <stp>저가</stp>
        <stp/>
        <stp/>
        <tr r="R698" s="1"/>
      </tp>
      <tp>
        <v>20300</v>
        <stp/>
        <stp>P</stp>
        <stp>0</stp>
        <stp>STK</stp>
        <stp>N484810</stp>
        <stp>저가</stp>
        <stp/>
        <stp/>
        <tr r="R562" s="1"/>
      </tp>
      <tp>
        <v>112600</v>
        <stp/>
        <stp>P</stp>
        <stp>0</stp>
        <stp>STK</stp>
        <stp>N180640</stp>
        <stp>시가</stp>
        <stp/>
        <stp/>
        <tr r="P83" s="1"/>
      </tp>
      <tp>
        <v>28300</v>
        <stp/>
        <stp>P</stp>
        <stp>0</stp>
        <stp>STK</stp>
        <stp>N083450</stp>
        <stp>시가</stp>
        <stp/>
        <stp/>
        <tr r="P480" s="1"/>
      </tp>
      <tp>
        <v>71000</v>
        <stp/>
        <stp>P</stp>
        <stp>0</stp>
        <stp>STK</stp>
        <stp>N083650</stp>
        <stp>시가</stp>
        <stp/>
        <stp/>
        <tr r="P215" s="1"/>
      </tp>
      <tp>
        <v>17000</v>
        <stp/>
        <stp>P</stp>
        <stp>0</stp>
        <stp>STK</stp>
        <stp>N389260</stp>
        <stp>저가</stp>
        <stp/>
        <stp/>
        <tr r="R615" s="1"/>
      </tp>
      <tp>
        <v>3450</v>
        <stp/>
        <stp>P</stp>
        <stp>0</stp>
        <stp>STK</stp>
        <stp>N088350</stp>
        <stp>저가</stp>
        <stp/>
        <stp/>
        <tr r="R164" s="1"/>
      </tp>
      <tp>
        <v>11110</v>
        <stp/>
        <stp>P</stp>
        <stp>0</stp>
        <stp>STK</stp>
        <stp>N084850</stp>
        <stp>시가</stp>
        <stp/>
        <stp/>
        <tr r="P698" s="1"/>
      </tp>
      <tp>
        <v>21350</v>
        <stp/>
        <stp>P</stp>
        <stp>0</stp>
        <stp>STK</stp>
        <stp>N484810</stp>
        <stp>시가</stp>
        <stp/>
        <stp/>
        <tr r="P562" s="1"/>
      </tp>
      <tp>
        <v>18730</v>
        <stp/>
        <stp>P</stp>
        <stp>0</stp>
        <stp>STK</stp>
        <stp>N086450</stp>
        <stp>시가</stp>
        <stp/>
        <stp/>
        <tr r="P371" s="1"/>
      </tp>
      <tp>
        <v>18800</v>
        <stp/>
        <stp>P</stp>
        <stp>0</stp>
        <stp>STK</stp>
        <stp>N086450</stp>
        <stp>고가</stp>
        <stp/>
        <stp/>
        <tr r="Q371" s="1"/>
      </tp>
      <tp>
        <v>11280</v>
        <stp/>
        <stp>P</stp>
        <stp>0</stp>
        <stp>STK</stp>
        <stp>N084850</stp>
        <stp>고가</stp>
        <stp/>
        <stp/>
        <tr r="Q698" s="1"/>
      </tp>
      <tp>
        <v>22250</v>
        <stp/>
        <stp>P</stp>
        <stp>0</stp>
        <stp>STK</stp>
        <stp>N484810</stp>
        <stp>고가</stp>
        <stp/>
        <stp/>
        <tr r="Q562" s="1"/>
      </tp>
      <tp>
        <v>28650</v>
        <stp/>
        <stp>P</stp>
        <stp>0</stp>
        <stp>STK</stp>
        <stp>N083450</stp>
        <stp>고가</stp>
        <stp/>
        <stp/>
        <tr r="Q480" s="1"/>
      </tp>
      <tp>
        <v>71400</v>
        <stp/>
        <stp>P</stp>
        <stp>0</stp>
        <stp>STK</stp>
        <stp>N083650</stp>
        <stp>고가</stp>
        <stp/>
        <stp/>
        <tr r="Q215" s="1"/>
      </tp>
      <tp>
        <v>114200</v>
        <stp/>
        <stp>P</stp>
        <stp>0</stp>
        <stp>STK</stp>
        <stp>N180640</stp>
        <stp>고가</stp>
        <stp/>
        <stp/>
        <tr r="Q83" s="1"/>
      </tp>
      <tp>
        <v>17620</v>
        <stp/>
        <stp>P</stp>
        <stp>0</stp>
        <stp>STK</stp>
        <stp>N389260</stp>
        <stp>고가</stp>
        <stp/>
        <stp/>
        <tr r="Q615" s="1"/>
      </tp>
      <tp>
        <v>3510</v>
        <stp/>
        <stp>P</stp>
        <stp>0</stp>
        <stp>STK</stp>
        <stp>N088350</stp>
        <stp>고가</stp>
        <stp/>
        <stp/>
        <tr r="Q164" s="1"/>
      </tp>
      <tp>
        <v>18940</v>
        <stp/>
        <stp>P</stp>
        <stp>0</stp>
        <stp>STK</stp>
        <stp>N093050</stp>
        <stp>저가</stp>
        <stp/>
        <stp/>
        <tr r="R471" s="1"/>
      </tp>
      <tp>
        <v>211000</v>
        <stp/>
        <stp>P</stp>
        <stp>0</stp>
        <stp>STK</stp>
        <stp>N097950</stp>
        <stp>저가</stp>
        <stp/>
        <stp/>
        <tr r="R150" s="1"/>
      </tp>
      <tp>
        <v>53700</v>
        <stp/>
        <stp>P</stp>
        <stp>0</stp>
        <stp>STK</stp>
        <stp>N195940</stp>
        <stp>저가</stp>
        <stp/>
        <stp/>
        <tr r="R265" s="1"/>
      </tp>
      <tp>
        <v>20250</v>
        <stp/>
        <stp>P</stp>
        <stp>0</stp>
        <stp>STK</stp>
        <stp>N294870</stp>
        <stp>저가</stp>
        <stp/>
        <stp/>
        <tr r="R267" s="1"/>
      </tp>
      <tp>
        <v>32650</v>
        <stp/>
        <stp>P</stp>
        <stp>0</stp>
        <stp>STK</stp>
        <stp>N294570</stp>
        <stp>저가</stp>
        <stp/>
        <stp/>
        <tr r="R650" s="1"/>
      </tp>
      <tp>
        <v>19260</v>
        <stp/>
        <stp>P</stp>
        <stp>0</stp>
        <stp>STK</stp>
        <stp>N093050</stp>
        <stp>시가</stp>
        <stp/>
        <stp/>
        <tr r="P471" s="1"/>
      </tp>
      <tp>
        <v>56300</v>
        <stp/>
        <stp>P</stp>
        <stp>0</stp>
        <stp>STK</stp>
        <stp>N195940</stp>
        <stp>시가</stp>
        <stp/>
        <stp/>
        <tr r="P265" s="1"/>
      </tp>
      <tp>
        <v>33250</v>
        <stp/>
        <stp>P</stp>
        <stp>0</stp>
        <stp>STK</stp>
        <stp>N294570</stp>
        <stp>시가</stp>
        <stp/>
        <stp/>
        <tr r="P650" s="1"/>
      </tp>
      <tp>
        <v>20550</v>
        <stp/>
        <stp>P</stp>
        <stp>0</stp>
        <stp>STK</stp>
        <stp>N294870</stp>
        <stp>시가</stp>
        <stp/>
        <stp/>
        <tr r="P267" s="1"/>
      </tp>
      <tp>
        <v>214000</v>
        <stp/>
        <stp>P</stp>
        <stp>0</stp>
        <stp>STK</stp>
        <stp>N097950</stp>
        <stp>시가</stp>
        <stp/>
        <stp/>
        <tr r="P150" s="1"/>
      </tp>
      <tp>
        <v>214000</v>
        <stp/>
        <stp>P</stp>
        <stp>0</stp>
        <stp>STK</stp>
        <stp>N097950</stp>
        <stp>고가</stp>
        <stp/>
        <stp/>
        <tr r="Q150" s="1"/>
      </tp>
      <tp>
        <v>56400</v>
        <stp/>
        <stp>P</stp>
        <stp>0</stp>
        <stp>STK</stp>
        <stp>N195940</stp>
        <stp>고가</stp>
        <stp/>
        <stp/>
        <tr r="Q265" s="1"/>
      </tp>
      <tp>
        <v>20550</v>
        <stp/>
        <stp>P</stp>
        <stp>0</stp>
        <stp>STK</stp>
        <stp>N294870</stp>
        <stp>고가</stp>
        <stp/>
        <stp/>
        <tr r="Q267" s="1"/>
      </tp>
      <tp>
        <v>35100</v>
        <stp/>
        <stp>P</stp>
        <stp>0</stp>
        <stp>STK</stp>
        <stp>N294570</stp>
        <stp>고가</stp>
        <stp/>
        <stp/>
        <tr r="Q650" s="1"/>
      </tp>
      <tp>
        <v>19260</v>
        <stp/>
        <stp>P</stp>
        <stp>0</stp>
        <stp>STK</stp>
        <stp>N093050</stp>
        <stp>고가</stp>
        <stp/>
        <stp/>
        <tr r="Q471" s="1"/>
      </tp>
      <tp>
        <v>57800</v>
        <stp/>
        <stp>P</stp>
        <stp>0</stp>
        <stp>STK</stp>
        <stp>N009450</stp>
        <stp>시가</stp>
        <stp/>
        <stp/>
        <tr r="P351" s="1"/>
      </tp>
      <tp>
        <v>288000</v>
        <stp/>
        <stp>P</stp>
        <stp>0</stp>
        <stp>STK</stp>
        <stp>N009150</stp>
        <stp>시가</stp>
        <stp/>
        <stp/>
        <tr r="P42" s="1"/>
      </tp>
      <tp>
        <v>9090</v>
        <stp/>
        <stp>P</stp>
        <stp>0</stp>
        <stp>STK</stp>
        <stp>N003850</stp>
        <stp>저가</stp>
        <stp/>
        <stp/>
        <tr r="R369" s="1"/>
      </tp>
      <tp>
        <v>121000</v>
        <stp/>
        <stp>P</stp>
        <stp>0</stp>
        <stp>STK</stp>
        <stp>N103140</stp>
        <stp>저가</stp>
        <stp/>
        <stp/>
        <tr r="R144" s="1"/>
      </tp>
      <tp>
        <v>89300</v>
        <stp/>
        <stp>P</stp>
        <stp>0</stp>
        <stp>STK</stp>
        <stp>N003550</stp>
        <stp>저가</stp>
        <stp/>
        <stp/>
        <tr r="R65" s="1"/>
      </tp>
      <tp>
        <v>62600</v>
        <stp/>
        <stp>P</stp>
        <stp>0</stp>
        <stp>STK</stp>
        <stp>N102940</stp>
        <stp>저가</stp>
        <stp/>
        <stp/>
        <tr r="R427" s="1"/>
      </tp>
      <tp>
        <v>27650</v>
        <stp/>
        <stp>P</stp>
        <stp>0</stp>
        <stp>STK</stp>
        <stp>N001450</stp>
        <stp>저가</stp>
        <stp/>
        <stp/>
        <tr r="R183" s="1"/>
      </tp>
      <tp>
        <v>19810</v>
        <stp/>
        <stp>P</stp>
        <stp>0</stp>
        <stp>STK</stp>
        <stp>N001750</stp>
        <stp>저가</stp>
        <stp/>
        <stp/>
        <tr r="R685" s="1"/>
      </tp>
      <tp>
        <v>40550</v>
        <stp/>
        <stp>P</stp>
        <stp>0</stp>
        <stp>STK</stp>
        <stp>N100840</stp>
        <stp>저가</stp>
        <stp/>
        <stp/>
        <tr r="R350" s="1"/>
      </tp>
      <tp>
        <v>826000</v>
        <stp/>
        <stp>P</stp>
        <stp>0</stp>
        <stp>STK</stp>
        <stp>N000150</stp>
        <stp>저가</stp>
        <stp/>
        <stp/>
        <tr r="R64" s="1"/>
      </tp>
      <tp>
        <v>453000</v>
        <stp/>
        <stp>P</stp>
        <stp>0</stp>
        <stp>STK</stp>
        <stp>N000250</stp>
        <stp>저가</stp>
        <stp/>
        <stp/>
        <tr r="R100" s="1"/>
      </tp>
      <tp>
        <v>42400</v>
        <stp/>
        <stp>P</stp>
        <stp>0</stp>
        <stp>STK</stp>
        <stp>N200670</stp>
        <stp>저가</stp>
        <stp/>
        <stp/>
        <tr r="R510" s="1"/>
      </tp>
      <tp>
        <v>47950</v>
        <stp/>
        <stp>P</stp>
        <stp>0</stp>
        <stp>STK</stp>
        <stp>N107640</stp>
        <stp>저가</stp>
        <stp/>
        <stp/>
        <tr r="R527" s="1"/>
      </tp>
      <tp>
        <v>152000</v>
        <stp/>
        <stp>P</stp>
        <stp>0</stp>
        <stp>STK</stp>
        <stp>N006650</stp>
        <stp>저가</stp>
        <stp/>
        <stp/>
        <tr r="R309" s="1"/>
      </tp>
      <tp>
        <v>53000</v>
        <stp/>
        <stp>P</stp>
        <stp>0</stp>
        <stp>STK</stp>
        <stp>N005850</stp>
        <stp>저가</stp>
        <stp/>
        <stp/>
        <tr r="R147" s="1"/>
      </tp>
      <tp>
        <v>24650</v>
        <stp/>
        <stp>P</stp>
        <stp>0</stp>
        <stp>STK</stp>
        <stp>N105840</stp>
        <stp>저가</stp>
        <stp/>
        <stp/>
        <tr r="R454" s="1"/>
      </tp>
      <tp>
        <v>15290</v>
        <stp/>
        <stp>P</stp>
        <stp>0</stp>
        <stp>STK</stp>
        <stp>N005250</stp>
        <stp>저가</stp>
        <stp/>
        <stp/>
        <tr r="R392" s="1"/>
      </tp>
      <tp>
        <v>32850</v>
        <stp/>
        <stp>P</stp>
        <stp>0</stp>
        <stp>STK</stp>
        <stp>N304360</stp>
        <stp>저가</stp>
        <stp/>
        <stp/>
        <tr r="R560" s="1"/>
      </tp>
      <tp>
        <v>22850</v>
        <stp/>
        <stp>P</stp>
        <stp>0</stp>
        <stp>STK</stp>
        <stp>N204270</stp>
        <stp>저가</stp>
        <stp/>
        <stp/>
        <tr r="R297" s="1"/>
      </tp>
      <tp>
        <v>28150</v>
        <stp/>
        <stp>P</stp>
        <stp>0</stp>
        <stp>STK</stp>
        <stp>N001450</stp>
        <stp>시가</stp>
        <stp/>
        <stp/>
        <tr r="P183" s="1"/>
      </tp>
      <tp>
        <v>20450</v>
        <stp/>
        <stp>P</stp>
        <stp>0</stp>
        <stp>STK</stp>
        <stp>N001750</stp>
        <stp>시가</stp>
        <stp/>
        <stp/>
        <tr r="P685" s="1"/>
      </tp>
      <tp>
        <v>43750</v>
        <stp/>
        <stp>P</stp>
        <stp>0</stp>
        <stp>STK</stp>
        <stp>N200670</stp>
        <stp>시가</stp>
        <stp/>
        <stp/>
        <tr r="P510" s="1"/>
      </tp>
      <tp>
        <v>840000</v>
        <stp/>
        <stp>P</stp>
        <stp>0</stp>
        <stp>STK</stp>
        <stp>N000150</stp>
        <stp>시가</stp>
        <stp/>
        <stp/>
        <tr r="P64" s="1"/>
      </tp>
      <tp>
        <v>479500</v>
        <stp/>
        <stp>P</stp>
        <stp>0</stp>
        <stp>STK</stp>
        <stp>N000250</stp>
        <stp>시가</stp>
        <stp/>
        <stp/>
        <tr r="P100" s="1"/>
      </tp>
      <tp>
        <v>42150</v>
        <stp/>
        <stp>P</stp>
        <stp>0</stp>
        <stp>STK</stp>
        <stp>N100840</stp>
        <stp>시가</stp>
        <stp/>
        <stp/>
        <tr r="P350" s="1"/>
      </tp>
      <tp>
        <v>93900</v>
        <stp/>
        <stp>P</stp>
        <stp>0</stp>
        <stp>STK</stp>
        <stp>N003550</stp>
        <stp>시가</stp>
        <stp/>
        <stp/>
        <tr r="P65" s="1"/>
      </tp>
      <tp>
        <v>131200</v>
        <stp/>
        <stp>P</stp>
        <stp>0</stp>
        <stp>STK</stp>
        <stp>N103140</stp>
        <stp>시가</stp>
        <stp/>
        <stp/>
        <tr r="P144" s="1"/>
      </tp>
      <tp>
        <v>9200</v>
        <stp/>
        <stp>P</stp>
        <stp>0</stp>
        <stp>STK</stp>
        <stp>N003850</stp>
        <stp>시가</stp>
        <stp/>
        <stp/>
        <tr r="P369" s="1"/>
      </tp>
      <tp>
        <v>283000</v>
        <stp/>
        <stp>P</stp>
        <stp>0</stp>
        <stp>STK</stp>
        <stp>N009150</stp>
        <stp>저가</stp>
        <stp/>
        <stp/>
        <tr r="R42" s="1"/>
      </tp>
      <tp>
        <v>57000</v>
        <stp/>
        <stp>P</stp>
        <stp>0</stp>
        <stp>STK</stp>
        <stp>N009450</stp>
        <stp>저가</stp>
        <stp/>
        <stp/>
        <tr r="R351" s="1"/>
      </tp>
      <tp>
        <v>64800</v>
        <stp/>
        <stp>P</stp>
        <stp>0</stp>
        <stp>STK</stp>
        <stp>N102940</stp>
        <stp>시가</stp>
        <stp/>
        <stp/>
        <tr r="P427" s="1"/>
      </tp>
      <tp>
        <v>15490</v>
        <stp/>
        <stp>P</stp>
        <stp>0</stp>
        <stp>STK</stp>
        <stp>N005250</stp>
        <stp>시가</stp>
        <stp/>
        <stp/>
        <tr r="P392" s="1"/>
      </tp>
      <tp>
        <v>55300</v>
        <stp/>
        <stp>P</stp>
        <stp>0</stp>
        <stp>STK</stp>
        <stp>N005850</stp>
        <stp>시가</stp>
        <stp/>
        <stp/>
        <tr r="P147" s="1"/>
      </tp>
      <tp>
        <v>25450</v>
        <stp/>
        <stp>P</stp>
        <stp>0</stp>
        <stp>STK</stp>
        <stp>N105840</stp>
        <stp>시가</stp>
        <stp/>
        <stp/>
        <tr r="P454" s="1"/>
      </tp>
      <tp>
        <v>33950</v>
        <stp/>
        <stp>P</stp>
        <stp>0</stp>
        <stp>STK</stp>
        <stp>N304360</stp>
        <stp>시가</stp>
        <stp/>
        <stp/>
        <tr r="P560" s="1"/>
      </tp>
      <tp>
        <v>24350</v>
        <stp/>
        <stp>P</stp>
        <stp>0</stp>
        <stp>STK</stp>
        <stp>N204270</stp>
        <stp>시가</stp>
        <stp/>
        <stp/>
        <tr r="P297" s="1"/>
      </tp>
      <tp>
        <v>50500</v>
        <stp/>
        <stp>P</stp>
        <stp>0</stp>
        <stp>STK</stp>
        <stp>N107640</stp>
        <stp>시가</stp>
        <stp/>
        <stp/>
        <tr r="P527" s="1"/>
      </tp>
      <tp>
        <v>154900</v>
        <stp/>
        <stp>P</stp>
        <stp>0</stp>
        <stp>STK</stp>
        <stp>N006650</stp>
        <stp>시가</stp>
        <stp/>
        <stp/>
        <tr r="P309" s="1"/>
      </tp>
      <tp>
        <v>50500</v>
        <stp/>
        <stp>P</stp>
        <stp>0</stp>
        <stp>STK</stp>
        <stp>N107640</stp>
        <stp>고가</stp>
        <stp/>
        <stp/>
        <tr r="Q527" s="1"/>
      </tp>
      <tp>
        <v>155400</v>
        <stp/>
        <stp>P</stp>
        <stp>0</stp>
        <stp>STK</stp>
        <stp>N006650</stp>
        <stp>고가</stp>
        <stp/>
        <stp/>
        <tr r="Q309" s="1"/>
      </tp>
      <tp>
        <v>55300</v>
        <stp/>
        <stp>P</stp>
        <stp>0</stp>
        <stp>STK</stp>
        <stp>N005850</stp>
        <stp>고가</stp>
        <stp/>
        <stp/>
        <tr r="Q147" s="1"/>
      </tp>
      <tp>
        <v>26150</v>
        <stp/>
        <stp>P</stp>
        <stp>0</stp>
        <stp>STK</stp>
        <stp>N105840</stp>
        <stp>고가</stp>
        <stp/>
        <stp/>
        <tr r="Q454" s="1"/>
      </tp>
      <tp>
        <v>15580</v>
        <stp/>
        <stp>P</stp>
        <stp>0</stp>
        <stp>STK</stp>
        <stp>N005250</stp>
        <stp>고가</stp>
        <stp/>
        <stp/>
        <tr r="Q392" s="1"/>
      </tp>
      <tp>
        <v>34250</v>
        <stp/>
        <stp>P</stp>
        <stp>0</stp>
        <stp>STK</stp>
        <stp>N304360</stp>
        <stp>고가</stp>
        <stp/>
        <stp/>
        <tr r="Q560" s="1"/>
      </tp>
      <tp>
        <v>24350</v>
        <stp/>
        <stp>P</stp>
        <stp>0</stp>
        <stp>STK</stp>
        <stp>N204270</stp>
        <stp>고가</stp>
        <stp/>
        <stp/>
        <tr r="Q297" s="1"/>
      </tp>
      <tp>
        <v>9270</v>
        <stp/>
        <stp>P</stp>
        <stp>0</stp>
        <stp>STK</stp>
        <stp>N003850</stp>
        <stp>고가</stp>
        <stp/>
        <stp/>
        <tr r="Q369" s="1"/>
      </tp>
      <tp>
        <v>131200</v>
        <stp/>
        <stp>P</stp>
        <stp>0</stp>
        <stp>STK</stp>
        <stp>N103140</stp>
        <stp>고가</stp>
        <stp/>
        <stp/>
        <tr r="Q144" s="1"/>
      </tp>
      <tp>
        <v>93900</v>
        <stp/>
        <stp>P</stp>
        <stp>0</stp>
        <stp>STK</stp>
        <stp>N003550</stp>
        <stp>고가</stp>
        <stp/>
        <stp/>
        <tr r="Q65" s="1"/>
      </tp>
      <tp>
        <v>67600</v>
        <stp/>
        <stp>P</stp>
        <stp>0</stp>
        <stp>STK</stp>
        <stp>N102940</stp>
        <stp>고가</stp>
        <stp/>
        <stp/>
        <tr r="Q427" s="1"/>
      </tp>
      <tp>
        <v>28500</v>
        <stp/>
        <stp>P</stp>
        <stp>0</stp>
        <stp>STK</stp>
        <stp>N001450</stp>
        <stp>고가</stp>
        <stp/>
        <stp/>
        <tr r="Q183" s="1"/>
      </tp>
      <tp>
        <v>20450</v>
        <stp/>
        <stp>P</stp>
        <stp>0</stp>
        <stp>STK</stp>
        <stp>N001750</stp>
        <stp>고가</stp>
        <stp/>
        <stp/>
        <tr r="Q685" s="1"/>
      </tp>
      <tp>
        <v>42150</v>
        <stp/>
        <stp>P</stp>
        <stp>0</stp>
        <stp>STK</stp>
        <stp>N100840</stp>
        <stp>고가</stp>
        <stp/>
        <stp/>
        <tr r="Q350" s="1"/>
      </tp>
      <tp>
        <v>848000</v>
        <stp/>
        <stp>P</stp>
        <stp>0</stp>
        <stp>STK</stp>
        <stp>N000150</stp>
        <stp>고가</stp>
        <stp/>
        <stp/>
        <tr r="Q64" s="1"/>
      </tp>
      <tp>
        <v>479500</v>
        <stp/>
        <stp>P</stp>
        <stp>0</stp>
        <stp>STK</stp>
        <stp>N000250</stp>
        <stp>고가</stp>
        <stp/>
        <stp/>
        <tr r="Q100" s="1"/>
      </tp>
      <tp>
        <v>43750</v>
        <stp/>
        <stp>P</stp>
        <stp>0</stp>
        <stp>STK</stp>
        <stp>N200670</stp>
        <stp>고가</stp>
        <stp/>
        <stp/>
        <tr r="Q510" s="1"/>
      </tp>
      <tp>
        <v>292000</v>
        <stp/>
        <stp>P</stp>
        <stp>0</stp>
        <stp>STK</stp>
        <stp>N009150</stp>
        <stp>고가</stp>
        <stp/>
        <stp/>
        <tr r="Q42" s="1"/>
      </tp>
      <tp>
        <v>58200</v>
        <stp/>
        <stp>P</stp>
        <stp>0</stp>
        <stp>STK</stp>
        <stp>N009450</stp>
        <stp>고가</stp>
        <stp/>
        <stp/>
        <tr r="Q351" s="1"/>
      </tp>
      <tp>
        <v>60000</v>
        <stp/>
        <stp>P</stp>
        <stp>0</stp>
        <stp>STK</stp>
        <stp>N319660</stp>
        <stp>시가</stp>
        <stp/>
        <stp/>
        <tr r="P287" s="1"/>
      </tp>
      <tp>
        <v>12600</v>
        <stp/>
        <stp>P</stp>
        <stp>0</stp>
        <stp>STK</stp>
        <stp>N018250</stp>
        <stp>시가</stp>
        <stp/>
        <stp/>
        <tr r="P593" s="1"/>
      </tp>
      <tp>
        <v>30900</v>
        <stp/>
        <stp>P</stp>
        <stp>0</stp>
        <stp>STK</stp>
        <stp>N112040</stp>
        <stp>저가</stp>
        <stp/>
        <stp/>
        <tr r="R337" s="1"/>
      </tp>
      <tp>
        <v>1306000</v>
        <stp/>
        <stp>P</stp>
        <stp>0</stp>
        <stp>STK</stp>
        <stp>N012450</stp>
        <stp>저가</stp>
        <stp/>
        <stp/>
        <tr r="R15" s="1"/>
      </tp>
      <tp>
        <v>78600</v>
        <stp/>
        <stp>P</stp>
        <stp>0</stp>
        <stp>STK</stp>
        <stp>N012750</stp>
        <stp>저가</stp>
        <stp/>
        <stp/>
        <tr r="R156" s="1"/>
      </tp>
      <tp>
        <v>102500</v>
        <stp/>
        <stp>P</stp>
        <stp>0</stp>
        <stp>STK</stp>
        <stp>N010950</stp>
        <stp>저가</stp>
        <stp/>
        <stp/>
        <tr r="R72" s="1"/>
      </tp>
      <tp>
        <v>7610</v>
        <stp/>
        <stp>P</stp>
        <stp>0</stp>
        <stp>STK</stp>
        <stp>N015750</stp>
        <stp>저가</stp>
        <stp/>
        <stp/>
        <tr r="R407" s="1"/>
      </tp>
      <tp>
        <v>14780</v>
        <stp/>
        <stp>P</stp>
        <stp>0</stp>
        <stp>STK</stp>
        <stp>N114840</stp>
        <stp>저가</stp>
        <stp/>
        <stp/>
        <tr r="R664" s="1"/>
      </tp>
      <tp>
        <v>0</v>
        <stp/>
        <stp>P</stp>
        <stp>0</stp>
        <stp>STK</stp>
        <stp>N214370</stp>
        <stp>저가</stp>
        <stp/>
        <stp/>
        <tr r="R129" s="1"/>
      </tp>
      <tp>
        <v>106000</v>
        <stp/>
        <stp>P</stp>
        <stp>0</stp>
        <stp>STK</stp>
        <stp>N010950</stp>
        <stp>시가</stp>
        <stp/>
        <stp/>
        <tr r="P72" s="1"/>
      </tp>
      <tp>
        <v>57600</v>
        <stp/>
        <stp>P</stp>
        <stp>0</stp>
        <stp>STK</stp>
        <stp>N319660</stp>
        <stp>저가</stp>
        <stp/>
        <stp/>
        <tr r="R287" s="1"/>
      </tp>
      <tp>
        <v>1321000</v>
        <stp/>
        <stp>P</stp>
        <stp>0</stp>
        <stp>STK</stp>
        <stp>N012450</stp>
        <stp>시가</stp>
        <stp/>
        <stp/>
        <tr r="P15" s="1"/>
      </tp>
      <tp>
        <v>79600</v>
        <stp/>
        <stp>P</stp>
        <stp>0</stp>
        <stp>STK</stp>
        <stp>N012750</stp>
        <stp>시가</stp>
        <stp/>
        <stp/>
        <tr r="P156" s="1"/>
      </tp>
      <tp>
        <v>31100</v>
        <stp/>
        <stp>P</stp>
        <stp>0</stp>
        <stp>STK</stp>
        <stp>N112040</stp>
        <stp>시가</stp>
        <stp/>
        <stp/>
        <tr r="P337" s="1"/>
      </tp>
      <tp>
        <v>12410</v>
        <stp/>
        <stp>P</stp>
        <stp>0</stp>
        <stp>STK</stp>
        <stp>N018250</stp>
        <stp>저가</stp>
        <stp/>
        <stp/>
        <tr r="R593" s="1"/>
      </tp>
      <tp>
        <v>7750</v>
        <stp/>
        <stp>P</stp>
        <stp>0</stp>
        <stp>STK</stp>
        <stp>N015750</stp>
        <stp>시가</stp>
        <stp/>
        <stp/>
        <tr r="P407" s="1"/>
      </tp>
      <tp>
        <v>0</v>
        <stp/>
        <stp>P</stp>
        <stp>0</stp>
        <stp>STK</stp>
        <stp>N214370</stp>
        <stp>시가</stp>
        <stp/>
        <stp/>
        <tr r="P129" s="1"/>
      </tp>
      <tp>
        <v>15180</v>
        <stp/>
        <stp>P</stp>
        <stp>0</stp>
        <stp>STK</stp>
        <stp>N114840</stp>
        <stp>시가</stp>
        <stp/>
        <stp/>
        <tr r="P664" s="1"/>
      </tp>
      <tp>
        <v>7890</v>
        <stp/>
        <stp>P</stp>
        <stp>0</stp>
        <stp>STK</stp>
        <stp>N015750</stp>
        <stp>고가</stp>
        <stp/>
        <stp/>
        <tr r="Q407" s="1"/>
      </tp>
      <tp>
        <v>15210</v>
        <stp/>
        <stp>P</stp>
        <stp>0</stp>
        <stp>STK</stp>
        <stp>N114840</stp>
        <stp>고가</stp>
        <stp/>
        <stp/>
        <tr r="Q664" s="1"/>
      </tp>
      <tp>
        <v>0</v>
        <stp/>
        <stp>P</stp>
        <stp>0</stp>
        <stp>STK</stp>
        <stp>N214370</stp>
        <stp>고가</stp>
        <stp/>
        <stp/>
        <tr r="Q129" s="1"/>
      </tp>
      <tp>
        <v>32950</v>
        <stp/>
        <stp>P</stp>
        <stp>0</stp>
        <stp>STK</stp>
        <stp>N112040</stp>
        <stp>고가</stp>
        <stp/>
        <stp/>
        <tr r="Q337" s="1"/>
      </tp>
      <tp>
        <v>1365000</v>
        <stp/>
        <stp>P</stp>
        <stp>0</stp>
        <stp>STK</stp>
        <stp>N012450</stp>
        <stp>고가</stp>
        <stp/>
        <stp/>
        <tr r="Q15" s="1"/>
      </tp>
      <tp>
        <v>82500</v>
        <stp/>
        <stp>P</stp>
        <stp>0</stp>
        <stp>STK</stp>
        <stp>N012750</stp>
        <stp>고가</stp>
        <stp/>
        <stp/>
        <tr r="Q156" s="1"/>
      </tp>
      <tp>
        <v>106000</v>
        <stp/>
        <stp>P</stp>
        <stp>0</stp>
        <stp>STK</stp>
        <stp>N010950</stp>
        <stp>고가</stp>
        <stp/>
        <stp/>
        <tr r="Q72" s="1"/>
      </tp>
      <tp>
        <v>61900</v>
        <stp/>
        <stp>P</stp>
        <stp>0</stp>
        <stp>STK</stp>
        <stp>N319660</stp>
        <stp>고가</stp>
        <stp/>
        <stp/>
        <tr r="Q287" s="1"/>
      </tp>
      <tp>
        <v>12610</v>
        <stp/>
        <stp>P</stp>
        <stp>0</stp>
        <stp>STK</stp>
        <stp>N018250</stp>
        <stp>고가</stp>
        <stp/>
        <stp/>
        <tr r="Q593" s="1"/>
      </tp>
      <tp>
        <v>30900</v>
        <stp/>
        <stp>P</stp>
        <stp>0</stp>
        <stp>STK</stp>
        <stp>N028050</stp>
        <stp>시가</stp>
        <stp/>
        <stp/>
        <tr r="P113" s="1"/>
      </tp>
      <tp>
        <v>480500</v>
        <stp/>
        <stp>P</stp>
        <stp>0</stp>
        <stp>STK</stp>
        <stp>N128940</stp>
        <stp>시가</stp>
        <stp/>
        <stp/>
        <tr r="P109" s="1"/>
      </tp>
      <tp>
        <v>21350</v>
        <stp/>
        <stp>P</stp>
        <stp>0</stp>
        <stp>STK</stp>
        <stp>N122640</stp>
        <stp>저가</stp>
        <stp/>
        <stp/>
        <tr r="R544" s="1"/>
      </tp>
      <tp>
        <v>37350</v>
        <stp/>
        <stp>P</stp>
        <stp>0</stp>
        <stp>STK</stp>
        <stp>N020150</stp>
        <stp>저가</stp>
        <stp/>
        <stp/>
        <tr r="R228" s="1"/>
      </tp>
      <tp>
        <v>89400</v>
        <stp/>
        <stp>P</stp>
        <stp>0</stp>
        <stp>STK</stp>
        <stp>N126340</stp>
        <stp>저가</stp>
        <stp/>
        <stp/>
        <tr r="R434" s="1"/>
      </tp>
      <tp>
        <v>12700</v>
        <stp/>
        <stp>P</stp>
        <stp>0</stp>
        <stp>STK</stp>
        <stp>N225570</stp>
        <stp>저가</stp>
        <stp/>
        <stp/>
        <tr r="R357" s="1"/>
      </tp>
      <tp>
        <v>38450</v>
        <stp/>
        <stp>P</stp>
        <stp>0</stp>
        <stp>STK</stp>
        <stp>N020150</stp>
        <stp>시가</stp>
        <stp/>
        <stp/>
        <tr r="P228" s="1"/>
      </tp>
      <tp>
        <v>21400</v>
        <stp/>
        <stp>P</stp>
        <stp>0</stp>
        <stp>STK</stp>
        <stp>N122640</stp>
        <stp>시가</stp>
        <stp/>
        <stp/>
        <tr r="P544" s="1"/>
      </tp>
      <tp>
        <v>467000</v>
        <stp/>
        <stp>P</stp>
        <stp>0</stp>
        <stp>STK</stp>
        <stp>N128940</stp>
        <stp>저가</stp>
        <stp/>
        <stp/>
        <tr r="R109" s="1"/>
      </tp>
      <tp>
        <v>29700</v>
        <stp/>
        <stp>P</stp>
        <stp>0</stp>
        <stp>STK</stp>
        <stp>N028050</stp>
        <stp>저가</stp>
        <stp/>
        <stp/>
        <tr r="R113" s="1"/>
      </tp>
      <tp>
        <v>13140</v>
        <stp/>
        <stp>P</stp>
        <stp>0</stp>
        <stp>STK</stp>
        <stp>N225570</stp>
        <stp>시가</stp>
        <stp/>
        <stp/>
        <tr r="P357" s="1"/>
      </tp>
      <tp>
        <v>93800</v>
        <stp/>
        <stp>P</stp>
        <stp>0</stp>
        <stp>STK</stp>
        <stp>N126340</stp>
        <stp>시가</stp>
        <stp/>
        <stp/>
        <tr r="P434" s="1"/>
      </tp>
      <tp>
        <v>98700</v>
        <stp/>
        <stp>P</stp>
        <stp>0</stp>
        <stp>STK</stp>
        <stp>N126340</stp>
        <stp>고가</stp>
        <stp/>
        <stp/>
        <tr r="Q434" s="1"/>
      </tp>
      <tp>
        <v>13140</v>
        <stp/>
        <stp>P</stp>
        <stp>0</stp>
        <stp>STK</stp>
        <stp>N225570</stp>
        <stp>고가</stp>
        <stp/>
        <stp/>
        <tr r="Q357" s="1"/>
      </tp>
      <tp>
        <v>23700</v>
        <stp/>
        <stp>P</stp>
        <stp>0</stp>
        <stp>STK</stp>
        <stp>N122640</stp>
        <stp>고가</stp>
        <stp/>
        <stp/>
        <tr r="Q544" s="1"/>
      </tp>
      <tp>
        <v>39350</v>
        <stp/>
        <stp>P</stp>
        <stp>0</stp>
        <stp>STK</stp>
        <stp>N020150</stp>
        <stp>고가</stp>
        <stp/>
        <stp/>
        <tr r="Q228" s="1"/>
      </tp>
      <tp>
        <v>480500</v>
        <stp/>
        <stp>P</stp>
        <stp>0</stp>
        <stp>STK</stp>
        <stp>N128940</stp>
        <stp>고가</stp>
        <stp/>
        <stp/>
        <tr r="Q109" s="1"/>
      </tp>
      <tp>
        <v>31650</v>
        <stp/>
        <stp>P</stp>
        <stp>0</stp>
        <stp>STK</stp>
        <stp>N028050</stp>
        <stp>고가</stp>
        <stp/>
        <stp/>
        <tr r="Q113" s="1"/>
      </tp>
      <tp>
        <v>113300</v>
        <stp/>
        <stp>P</stp>
        <stp>0</stp>
        <stp>STK</stp>
        <stp>N138040</stp>
        <stp>시가</stp>
        <stp/>
        <stp/>
        <tr r="P47" s="1"/>
      </tp>
      <tp>
        <v>24650</v>
        <stp/>
        <stp>P</stp>
        <stp>0</stp>
        <stp>STK</stp>
        <stp>N032350</stp>
        <stp>저가</stp>
        <stp/>
        <stp/>
        <tr r="R226" s="1"/>
      </tp>
      <tp>
        <v>33000</v>
        <stp/>
        <stp>P</stp>
        <stp>0</stp>
        <stp>STK</stp>
        <stp>N336260</stp>
        <stp>저가</stp>
        <stp/>
        <stp/>
        <tr r="R186" s="1"/>
      </tp>
      <tp>
        <v>12520</v>
        <stp/>
        <stp>P</stp>
        <stp>0</stp>
        <stp>STK</stp>
        <stp>N035150</stp>
        <stp>저가</stp>
        <stp/>
        <stp/>
        <tr r="R666" s="1"/>
      </tp>
      <tp>
        <v>17250</v>
        <stp/>
        <stp>P</stp>
        <stp>0</stp>
        <stp>STK</stp>
        <stp>N035250</stp>
        <stp>저가</stp>
        <stp/>
        <stp/>
        <tr r="R131" s="1"/>
      </tp>
      <tp>
        <v>96300</v>
        <stp/>
        <stp>P</stp>
        <stp>0</stp>
        <stp>STK</stp>
        <stp>N034950</stp>
        <stp>저가</stp>
        <stp/>
        <stp/>
        <tr r="R511" s="1"/>
      </tp>
      <tp>
        <v>25250</v>
        <stp/>
        <stp>P</stp>
        <stp>0</stp>
        <stp>STK</stp>
        <stp>N032350</stp>
        <stp>시가</stp>
        <stp/>
        <stp/>
        <tr r="P226" s="1"/>
      </tp>
      <tp>
        <v>113300</v>
        <stp/>
        <stp>P</stp>
        <stp>0</stp>
        <stp>STK</stp>
        <stp>N138040</stp>
        <stp>저가</stp>
        <stp/>
        <stp/>
        <tr r="R47" s="1"/>
      </tp>
      <tp>
        <v>12770</v>
        <stp/>
        <stp>P</stp>
        <stp>0</stp>
        <stp>STK</stp>
        <stp>N035150</stp>
        <stp>시가</stp>
        <stp/>
        <stp/>
        <tr r="P666" s="1"/>
      </tp>
      <tp>
        <v>17370</v>
        <stp/>
        <stp>P</stp>
        <stp>0</stp>
        <stp>STK</stp>
        <stp>N035250</stp>
        <stp>시가</stp>
        <stp/>
        <stp/>
        <tr r="P131" s="1"/>
      </tp>
      <tp>
        <v>96900</v>
        <stp/>
        <stp>P</stp>
        <stp>0</stp>
        <stp>STK</stp>
        <stp>N034950</stp>
        <stp>시가</stp>
        <stp/>
        <stp/>
        <tr r="P511" s="1"/>
      </tp>
      <tp>
        <v>34000</v>
        <stp/>
        <stp>P</stp>
        <stp>0</stp>
        <stp>STK</stp>
        <stp>N336260</stp>
        <stp>시가</stp>
        <stp/>
        <stp/>
        <tr r="P186" s="1"/>
      </tp>
      <tp>
        <v>34000</v>
        <stp/>
        <stp>P</stp>
        <stp>0</stp>
        <stp>STK</stp>
        <stp>N336260</stp>
        <stp>고가</stp>
        <stp/>
        <stp/>
        <tr r="Q186" s="1"/>
      </tp>
      <tp>
        <v>12770</v>
        <stp/>
        <stp>P</stp>
        <stp>0</stp>
        <stp>STK</stp>
        <stp>N035150</stp>
        <stp>고가</stp>
        <stp/>
        <stp/>
        <tr r="Q666" s="1"/>
      </tp>
      <tp>
        <v>17520</v>
        <stp/>
        <stp>P</stp>
        <stp>0</stp>
        <stp>STK</stp>
        <stp>N035250</stp>
        <stp>고가</stp>
        <stp/>
        <stp/>
        <tr r="Q131" s="1"/>
      </tp>
      <tp>
        <v>97000</v>
        <stp/>
        <stp>P</stp>
        <stp>0</stp>
        <stp>STK</stp>
        <stp>N034950</stp>
        <stp>고가</stp>
        <stp/>
        <stp/>
        <tr r="Q511" s="1"/>
      </tp>
      <tp>
        <v>26500</v>
        <stp/>
        <stp>P</stp>
        <stp>0</stp>
        <stp>STK</stp>
        <stp>N032350</stp>
        <stp>고가</stp>
        <stp/>
        <stp/>
        <tr r="Q226" s="1"/>
      </tp>
      <tp>
        <v>121200</v>
        <stp/>
        <stp>P</stp>
        <stp>0</stp>
        <stp>STK</stp>
        <stp>N138040</stp>
        <stp>고가</stp>
        <stp/>
        <stp/>
        <tr r="Q47" s="1"/>
      </tp>
      <tp>
        <v>20000</v>
        <stp/>
        <stp>P</stp>
        <stp>0</stp>
        <stp>STK</stp>
        <stp>N043150</stp>
        <stp>저가</stp>
        <stp/>
        <stp/>
        <tr r="R645" s="1"/>
      </tp>
      <tp>
        <v>27100</v>
        <stp/>
        <stp>P</stp>
        <stp>0</stp>
        <stp>STK</stp>
        <stp>N243070</stp>
        <stp>저가</stp>
        <stp/>
        <stp/>
        <tr r="R614" s="1"/>
      </tp>
      <tp>
        <v>15800</v>
        <stp/>
        <stp>P</stp>
        <stp>0</stp>
        <stp>STK</stp>
        <stp>N248070</stp>
        <stp>시가</stp>
        <stp/>
        <stp/>
        <tr r="P380" s="1"/>
      </tp>
      <tp>
        <v>24550</v>
        <stp/>
        <stp>P</stp>
        <stp>0</stp>
        <stp>STK</stp>
        <stp>N241770</stp>
        <stp>저가</stp>
        <stp/>
        <stp/>
        <tr r="R686" s="1"/>
      </tp>
      <tp>
        <v>60400</v>
        <stp/>
        <stp>P</stp>
        <stp>0</stp>
        <stp>STK</stp>
        <stp>N047050</stp>
        <stp>저가</stp>
        <stp/>
        <stp/>
        <tr r="R71" s="1"/>
      </tp>
      <tp>
        <v>25750</v>
        <stp/>
        <stp>P</stp>
        <stp>0</stp>
        <stp>STK</stp>
        <stp>N241770</stp>
        <stp>시가</stp>
        <stp/>
        <stp/>
        <tr r="P686" s="1"/>
      </tp>
      <tp>
        <v>20250</v>
        <stp/>
        <stp>P</stp>
        <stp>0</stp>
        <stp>STK</stp>
        <stp>N043150</stp>
        <stp>시가</stp>
        <stp/>
        <stp/>
        <tr r="P645" s="1"/>
      </tp>
      <tp>
        <v>27400</v>
        <stp/>
        <stp>P</stp>
        <stp>0</stp>
        <stp>STK</stp>
        <stp>N243070</stp>
        <stp>시가</stp>
        <stp/>
        <stp/>
        <tr r="P614" s="1"/>
      </tp>
      <tp>
        <v>15420</v>
        <stp/>
        <stp>P</stp>
        <stp>0</stp>
        <stp>STK</stp>
        <stp>N248070</stp>
        <stp>저가</stp>
        <stp/>
        <stp/>
        <tr r="R380" s="1"/>
      </tp>
      <tp>
        <v>61600</v>
        <stp/>
        <stp>P</stp>
        <stp>0</stp>
        <stp>STK</stp>
        <stp>N047050</stp>
        <stp>시가</stp>
        <stp/>
        <stp/>
        <tr r="P71" s="1"/>
      </tp>
      <tp>
        <v>62600</v>
        <stp/>
        <stp>P</stp>
        <stp>0</stp>
        <stp>STK</stp>
        <stp>N047050</stp>
        <stp>고가</stp>
        <stp/>
        <stp/>
        <tr r="Q71" s="1"/>
      </tp>
      <tp>
        <v>20500</v>
        <stp/>
        <stp>P</stp>
        <stp>0</stp>
        <stp>STK</stp>
        <stp>N043150</stp>
        <stp>고가</stp>
        <stp/>
        <stp/>
        <tr r="Q645" s="1"/>
      </tp>
      <tp>
        <v>27750</v>
        <stp/>
        <stp>P</stp>
        <stp>0</stp>
        <stp>STK</stp>
        <stp>N243070</stp>
        <stp>고가</stp>
        <stp/>
        <stp/>
        <tr r="Q614" s="1"/>
      </tp>
      <tp>
        <v>26050</v>
        <stp/>
        <stp>P</stp>
        <stp>0</stp>
        <stp>STK</stp>
        <stp>N241770</stp>
        <stp>고가</stp>
        <stp/>
        <stp/>
        <tr r="Q686" s="1"/>
      </tp>
      <tp>
        <v>15800</v>
        <stp/>
        <stp>P</stp>
        <stp>0</stp>
        <stp>STK</stp>
        <stp>N248070</stp>
        <stp>고가</stp>
        <stp/>
        <stp/>
        <tr r="Q380" s="1"/>
      </tp>
      <tp>
        <v>30800</v>
        <stp/>
        <stp>P</stp>
        <stp>0</stp>
        <stp>STK</stp>
        <stp>N459510</stp>
        <stp>시가</stp>
        <stp/>
        <stp/>
        <tr r="P493" s="1"/>
      </tp>
      <tp>
        <v>62300</v>
        <stp/>
        <stp>P</stp>
        <stp>0</stp>
        <stp>STK</stp>
        <stp>N251970</stp>
        <stp>저가</stp>
        <stp/>
        <stp/>
        <tr r="R396" s="1"/>
      </tp>
      <tp>
        <v>51300</v>
        <stp/>
        <stp>P</stp>
        <stp>0</stp>
        <stp>STK</stp>
        <stp>N251270</stp>
        <stp>저가</stp>
        <stp/>
        <stp/>
        <tr r="R123" s="1"/>
      </tp>
      <tp>
        <v>56800</v>
        <stp/>
        <stp>P</stp>
        <stp>0</stp>
        <stp>STK</stp>
        <stp>N057050</stp>
        <stp>저가</stp>
        <stp/>
        <stp/>
        <tr r="R413" s="1"/>
      </tp>
      <tp>
        <v>57400</v>
        <stp/>
        <stp>P</stp>
        <stp>0</stp>
        <stp>STK</stp>
        <stp>N356860</stp>
        <stp>저가</stp>
        <stp/>
        <stp/>
        <tr r="R456" s="1"/>
      </tp>
      <tp>
        <v>83900</v>
        <stp/>
        <stp>P</stp>
        <stp>0</stp>
        <stp>STK</stp>
        <stp>N055550</stp>
        <stp>저가</stp>
        <stp/>
        <stp/>
        <tr r="R25" s="1"/>
      </tp>
      <tp>
        <v>24750</v>
        <stp/>
        <stp>P</stp>
        <stp>0</stp>
        <stp>STK</stp>
        <stp>N054950</stp>
        <stp>저가</stp>
        <stp/>
        <stp/>
        <tr r="R617" s="1"/>
      </tp>
      <tp>
        <v>108900</v>
        <stp/>
        <stp>P</stp>
        <stp>0</stp>
        <stp>STK</stp>
        <stp>N454910</stp>
        <stp>저가</stp>
        <stp/>
        <stp/>
        <tr r="R90" s="1"/>
      </tp>
      <tp>
        <v>52800</v>
        <stp/>
        <stp>P</stp>
        <stp>0</stp>
        <stp>STK</stp>
        <stp>N251270</stp>
        <stp>시가</stp>
        <stp/>
        <stp/>
        <tr r="P123" s="1"/>
      </tp>
      <tp>
        <v>65600</v>
        <stp/>
        <stp>P</stp>
        <stp>0</stp>
        <stp>STK</stp>
        <stp>N251970</stp>
        <stp>시가</stp>
        <stp/>
        <stp/>
        <tr r="P396" s="1"/>
      </tp>
      <tp>
        <v>29800</v>
        <stp/>
        <stp>P</stp>
        <stp>0</stp>
        <stp>STK</stp>
        <stp>N459510</stp>
        <stp>저가</stp>
        <stp/>
        <stp/>
        <tr r="R493" s="1"/>
      </tp>
      <tp>
        <v>84500</v>
        <stp/>
        <stp>P</stp>
        <stp>0</stp>
        <stp>STK</stp>
        <stp>N055550</stp>
        <stp>시가</stp>
        <stp/>
        <stp/>
        <tr r="P25" s="1"/>
      </tp>
      <tp>
        <v>25350</v>
        <stp/>
        <stp>P</stp>
        <stp>0</stp>
        <stp>STK</stp>
        <stp>N054950</stp>
        <stp>시가</stp>
        <stp/>
        <stp/>
        <tr r="P617" s="1"/>
      </tp>
      <tp>
        <v>114000</v>
        <stp/>
        <stp>P</stp>
        <stp>0</stp>
        <stp>STK</stp>
        <stp>N454910</stp>
        <stp>시가</stp>
        <stp/>
        <stp/>
        <tr r="P90" s="1"/>
      </tp>
      <tp>
        <v>58000</v>
        <stp/>
        <stp>P</stp>
        <stp>0</stp>
        <stp>STK</stp>
        <stp>N057050</stp>
        <stp>시가</stp>
        <stp/>
        <stp/>
        <tr r="P413" s="1"/>
      </tp>
      <tp>
        <v>59100</v>
        <stp/>
        <stp>P</stp>
        <stp>0</stp>
        <stp>STK</stp>
        <stp>N356860</stp>
        <stp>시가</stp>
        <stp/>
        <stp/>
        <tr r="P456" s="1"/>
      </tp>
      <tp>
        <v>58000</v>
        <stp/>
        <stp>P</stp>
        <stp>0</stp>
        <stp>STK</stp>
        <stp>N057050</stp>
        <stp>고가</stp>
        <stp/>
        <stp/>
        <tr r="Q413" s="1"/>
      </tp>
      <tp>
        <v>62100</v>
        <stp/>
        <stp>P</stp>
        <stp>0</stp>
        <stp>STK</stp>
        <stp>N356860</stp>
        <stp>고가</stp>
        <stp/>
        <stp/>
        <tr r="Q456" s="1"/>
      </tp>
      <tp>
        <v>86000</v>
        <stp/>
        <stp>P</stp>
        <stp>0</stp>
        <stp>STK</stp>
        <stp>N055550</stp>
        <stp>고가</stp>
        <stp/>
        <stp/>
        <tr r="Q25" s="1"/>
      </tp>
      <tp>
        <v>25350</v>
        <stp/>
        <stp>P</stp>
        <stp>0</stp>
        <stp>STK</stp>
        <stp>N054950</stp>
        <stp>고가</stp>
        <stp/>
        <stp/>
        <tr r="Q617" s="1"/>
      </tp>
      <tp>
        <v>114400</v>
        <stp/>
        <stp>P</stp>
        <stp>0</stp>
        <stp>STK</stp>
        <stp>N454910</stp>
        <stp>고가</stp>
        <stp/>
        <stp/>
        <tr r="Q90" s="1"/>
      </tp>
      <tp>
        <v>65800</v>
        <stp/>
        <stp>P</stp>
        <stp>0</stp>
        <stp>STK</stp>
        <stp>N251970</stp>
        <stp>고가</stp>
        <stp/>
        <stp/>
        <tr r="Q396" s="1"/>
      </tp>
      <tp>
        <v>52800</v>
        <stp/>
        <stp>P</stp>
        <stp>0</stp>
        <stp>STK</stp>
        <stp>N251270</stp>
        <stp>고가</stp>
        <stp/>
        <stp/>
        <tr r="Q123" s="1"/>
      </tp>
      <tp>
        <v>31450</v>
        <stp/>
        <stp>P</stp>
        <stp>0</stp>
        <stp>STK</stp>
        <stp>N459510</stp>
        <stp>고가</stp>
        <stp/>
        <stp/>
        <tr r="Q493" s="1"/>
      </tp>
      <tp>
        <v>24850</v>
        <stp/>
        <stp>P</stp>
        <stp>0</stp>
        <stp>STK</stp>
        <stp>N469610</stp>
        <stp>시가</stp>
        <stp/>
        <stp/>
        <tr r="P699" s="1"/>
      </tp>
      <tp>
        <v>22100</v>
        <stp/>
        <stp>P</stp>
        <stp>0</stp>
        <stp>STK</stp>
        <stp>N060250</stp>
        <stp>저가</stp>
        <stp/>
        <stp/>
        <tr r="R440" s="1"/>
      </tp>
      <tp>
        <v>104200</v>
        <stp/>
        <stp>P</stp>
        <stp>0</stp>
        <stp>STK</stp>
        <stp>N267270</stp>
        <stp>저가</stp>
        <stp/>
        <stp/>
        <tr r="R216" s="1"/>
      </tp>
      <tp>
        <v>76200</v>
        <stp/>
        <stp>P</stp>
        <stp>0</stp>
        <stp>STK</stp>
        <stp>N065350</stp>
        <stp>저가</stp>
        <stp/>
        <stp/>
        <tr r="R242" s="1"/>
      </tp>
      <tp>
        <v>217000</v>
        <stp/>
        <stp>P</stp>
        <stp>0</stp>
        <stp>STK</stp>
        <stp>N064350</stp>
        <stp>저가</stp>
        <stp/>
        <stp/>
        <tr r="R37" s="1"/>
      </tp>
      <tp>
        <v>13130</v>
        <stp/>
        <stp>P</stp>
        <stp>0</stp>
        <stp>STK</stp>
        <stp>N064550</stp>
        <stp>저가</stp>
        <stp/>
        <stp/>
        <tr r="R616" s="1"/>
      </tp>
      <tp>
        <v>22800</v>
        <stp/>
        <stp>P</stp>
        <stp>0</stp>
        <stp>STK</stp>
        <stp>N060250</stp>
        <stp>시가</stp>
        <stp/>
        <stp/>
        <tr r="P440" s="1"/>
      </tp>
      <tp>
        <v>24000</v>
        <stp/>
        <stp>P</stp>
        <stp>0</stp>
        <stp>STK</stp>
        <stp>N469610</stp>
        <stp>저가</stp>
        <stp/>
        <stp/>
        <tr r="R699" s="1"/>
      </tp>
      <tp>
        <v>79000</v>
        <stp/>
        <stp>P</stp>
        <stp>0</stp>
        <stp>STK</stp>
        <stp>N065350</stp>
        <stp>시가</stp>
        <stp/>
        <stp/>
        <tr r="P242" s="1"/>
      </tp>
      <tp>
        <v>13540</v>
        <stp/>
        <stp>P</stp>
        <stp>0</stp>
        <stp>STK</stp>
        <stp>N064550</stp>
        <stp>시가</stp>
        <stp/>
        <stp/>
        <tr r="P616" s="1"/>
      </tp>
      <tp>
        <v>227500</v>
        <stp/>
        <stp>P</stp>
        <stp>0</stp>
        <stp>STK</stp>
        <stp>N064350</stp>
        <stp>시가</stp>
        <stp/>
        <stp/>
        <tr r="P37" s="1"/>
      </tp>
      <tp>
        <v>110000</v>
        <stp/>
        <stp>P</stp>
        <stp>0</stp>
        <stp>STK</stp>
        <stp>N267270</stp>
        <stp>시가</stp>
        <stp/>
        <stp/>
        <tr r="P216" s="1"/>
      </tp>
      <tp>
        <v>110000</v>
        <stp/>
        <stp>P</stp>
        <stp>0</stp>
        <stp>STK</stp>
        <stp>N267270</stp>
        <stp>고가</stp>
        <stp/>
        <stp/>
        <tr r="Q216" s="1"/>
      </tp>
      <tp>
        <v>81800</v>
        <stp/>
        <stp>P</stp>
        <stp>0</stp>
        <stp>STK</stp>
        <stp>N065350</stp>
        <stp>고가</stp>
        <stp/>
        <stp/>
        <tr r="Q242" s="1"/>
      </tp>
      <tp>
        <v>234000</v>
        <stp/>
        <stp>P</stp>
        <stp>0</stp>
        <stp>STK</stp>
        <stp>N064350</stp>
        <stp>고가</stp>
        <stp/>
        <stp/>
        <tr r="Q37" s="1"/>
      </tp>
      <tp>
        <v>13540</v>
        <stp/>
        <stp>P</stp>
        <stp>0</stp>
        <stp>STK</stp>
        <stp>N064550</stp>
        <stp>고가</stp>
        <stp/>
        <stp/>
        <tr r="Q616" s="1"/>
      </tp>
      <tp>
        <v>25300</v>
        <stp/>
        <stp>P</stp>
        <stp>0</stp>
        <stp>STK</stp>
        <stp>N060250</stp>
        <stp>고가</stp>
        <stp/>
        <stp/>
        <tr r="Q440" s="1"/>
      </tp>
      <tp>
        <v>24950</v>
        <stp/>
        <stp>P</stp>
        <stp>0</stp>
        <stp>STK</stp>
        <stp>N469610</stp>
        <stp>고가</stp>
        <stp/>
        <stp/>
        <tr r="Q699" s="1"/>
      </tp>
      <tp>
        <v>483500</v>
        <stp/>
        <stp>P</stp>
        <stp>0</stp>
        <stp>STK</stp>
        <stp>N079550</stp>
        <stp>시가</stp>
        <stp/>
        <stp/>
        <tr r="P69" s="1"/>
      </tp>
      <tp>
        <v>271500</v>
        <stp/>
        <stp>P</stp>
        <stp>0</stp>
        <stp>STK</stp>
        <stp>N278470</stp>
        <stp>시가</stp>
        <stp/>
        <stp/>
        <tr r="P77" s="1"/>
      </tp>
      <tp>
        <v>26000</v>
        <stp/>
        <stp>P</stp>
        <stp>0</stp>
        <stp>STK</stp>
        <stp>N078350</stp>
        <stp>시가</stp>
        <stp/>
        <stp/>
        <tr r="P569" s="1"/>
      </tp>
      <tp>
        <v>205500</v>
        <stp/>
        <stp>P</stp>
        <stp>0</stp>
        <stp>STK</stp>
        <stp>N071050</stp>
        <stp>저가</stp>
        <stp/>
        <stp/>
        <tr r="R73" s="1"/>
      </tp>
      <tp>
        <v>210500</v>
        <stp/>
        <stp>P</stp>
        <stp>0</stp>
        <stp>STK</stp>
        <stp>N071050</stp>
        <stp>시가</stp>
        <stp/>
        <stp/>
        <tr r="P73" s="1"/>
      </tp>
      <tp>
        <v>469000</v>
        <stp/>
        <stp>P</stp>
        <stp>0</stp>
        <stp>STK</stp>
        <stp>N079550</stp>
        <stp>저가</stp>
        <stp/>
        <stp/>
        <tr r="R69" s="1"/>
      </tp>
      <tp>
        <v>25250</v>
        <stp/>
        <stp>P</stp>
        <stp>0</stp>
        <stp>STK</stp>
        <stp>N078350</stp>
        <stp>저가</stp>
        <stp/>
        <stp/>
        <tr r="R569" s="1"/>
      </tp>
      <tp>
        <v>269500</v>
        <stp/>
        <stp>P</stp>
        <stp>0</stp>
        <stp>STK</stp>
        <stp>N278470</stp>
        <stp>저가</stp>
        <stp/>
        <stp/>
        <tr r="R77" s="1"/>
      </tp>
      <tp>
        <v>214000</v>
        <stp/>
        <stp>P</stp>
        <stp>0</stp>
        <stp>STK</stp>
        <stp>N071050</stp>
        <stp>고가</stp>
        <stp/>
        <stp/>
        <tr r="Q73" s="1"/>
      </tp>
      <tp>
        <v>486000</v>
        <stp/>
        <stp>P</stp>
        <stp>0</stp>
        <stp>STK</stp>
        <stp>N079550</stp>
        <stp>고가</stp>
        <stp/>
        <stp/>
        <tr r="Q69" s="1"/>
      </tp>
      <tp>
        <v>26300</v>
        <stp/>
        <stp>P</stp>
        <stp>0</stp>
        <stp>STK</stp>
        <stp>N078350</stp>
        <stp>고가</stp>
        <stp/>
        <stp/>
        <tr r="Q569" s="1"/>
      </tp>
      <tp>
        <v>283500</v>
        <stp/>
        <stp>P</stp>
        <stp>0</stp>
        <stp>STK</stp>
        <stp>N278470</stp>
        <stp>고가</stp>
        <stp/>
        <stp/>
        <tr r="Q77" s="1"/>
      </tp>
      <tp>
        <v>15057</v>
        <stp/>
        <stp>P</stp>
        <stp>0</stp>
        <stp>STK</stp>
        <stp>N0008Z0</stp>
        <stp>누적거래량</stp>
        <stp/>
        <stp/>
        <tr r="M613" s="1"/>
      </tp>
      <tp>
        <v>45911</v>
        <stp/>
        <stp>P</stp>
        <stp>0</stp>
        <stp>STK</stp>
        <stp>N281820</stp>
        <stp>누적거래량</stp>
        <stp/>
        <stp/>
        <tr r="M353" s="1"/>
      </tp>
      <tp>
        <v>6218</v>
        <stp/>
        <stp>P</stp>
        <stp>0</stp>
        <stp>STK</stp>
        <stp>N053800</stp>
        <stp>누적거래량</stp>
        <stp/>
        <stp/>
        <tr r="M404" s="1"/>
      </tp>
      <tp>
        <v>989</v>
        <stp/>
        <stp>P</stp>
        <stp>0</stp>
        <stp>STK</stp>
        <stp>N036800</stp>
        <stp>누적거래량</stp>
        <stp/>
        <stp/>
        <tr r="M691" s="1"/>
      </tp>
      <tp>
        <v>177065</v>
        <stp/>
        <stp>P</stp>
        <stp>0</stp>
        <stp>STK</stp>
        <stp>N114810</stp>
        <stp>누적거래량</stp>
        <stp/>
        <stp/>
        <tr r="M606" s="1"/>
      </tp>
      <tp>
        <v>55087</v>
        <stp/>
        <stp>P</stp>
        <stp>0</stp>
        <stp>STK</stp>
        <stp>N017800</stp>
        <stp>누적거래량</stp>
        <stp/>
        <stp/>
        <tr r="M140" s="1"/>
      </tp>
      <tp>
        <v>23</v>
        <stp/>
        <stp>P</stp>
        <stp>0</stp>
        <stp>STK</stp>
        <stp>N016800</stp>
        <stp>누적거래량</stp>
        <stp/>
        <stp/>
        <tr r="M478" s="1"/>
      </tp>
      <tp>
        <v>7560</v>
        <stp/>
        <stp>P</stp>
        <stp>0</stp>
        <stp>STK</stp>
        <stp>N001800</stp>
        <stp>누적거래량</stp>
        <stp/>
        <stp/>
        <tr r="M270" s="1"/>
      </tp>
      <tp>
        <v>4078</v>
        <stp/>
        <stp>P</stp>
        <stp>0</stp>
        <stp>STK</stp>
        <stp>N004800</stp>
        <stp>누적거래량</stp>
        <stp/>
        <stp/>
        <tr r="M177" s="1"/>
      </tp>
      <tp>
        <v>2628361</v>
        <stp/>
        <stp>P</stp>
        <stp>0</stp>
        <stp>STK</stp>
        <stp>N006800</stp>
        <stp>누적거래량</stp>
        <stp/>
        <stp/>
        <tr r="M51" s="1"/>
      </tp>
      <tp>
        <v>10951</v>
        <stp/>
        <stp>P</stp>
        <stp>0</stp>
        <stp>STK</stp>
        <stp>N199800</stp>
        <stp>누적거래량</stp>
        <stp/>
        <stp/>
        <tr r="M474" s="1"/>
      </tp>
      <tp>
        <v>17286</v>
        <stp/>
        <stp>P</stp>
        <stp>0</stp>
        <stp>STK</stp>
        <stp>N472850</stp>
        <stp>누적거래량</stp>
        <stp/>
        <stp/>
        <tr r="M640" s="1"/>
      </tp>
      <tp>
        <v>45886</v>
        <stp/>
        <stp>P</stp>
        <stp>0</stp>
        <stp>STK</stp>
        <stp>N352820</stp>
        <stp>누적거래량</stp>
        <stp/>
        <stp/>
        <tr r="M59" s="1"/>
      </tp>
      <tp>
        <v>3504</v>
        <stp/>
        <stp>P</stp>
        <stp>0</stp>
        <stp>STK</stp>
        <stp>N344820</stp>
        <stp>누적거래량</stp>
        <stp/>
        <stp/>
        <tr r="M519" s="1"/>
      </tp>
      <tp>
        <v>91090</v>
        <stp/>
        <stp>P</stp>
        <stp>0</stp>
        <stp>STK</stp>
        <stp>N047810</stp>
        <stp>누적거래량</stp>
        <stp/>
        <stp/>
        <tr r="M56" s="1"/>
      </tp>
      <tp>
        <v>142623</v>
        <stp/>
        <stp>P</stp>
        <stp>0</stp>
        <stp>STK</stp>
        <stp>N036810</stp>
        <stp>누적거래량</stp>
        <stp/>
        <stp/>
        <tr r="M382" s="1"/>
      </tp>
      <tp>
        <v>12521</v>
        <stp/>
        <stp>P</stp>
        <stp>0</stp>
        <stp>STK</stp>
        <stp>N017810</stp>
        <stp>누적거래량</stp>
        <stp/>
        <stp/>
        <tr r="M482" s="1"/>
      </tp>
      <tp>
        <v>2056</v>
        <stp/>
        <stp>P</stp>
        <stp>0</stp>
        <stp>STK</stp>
        <stp>N000810</stp>
        <stp>누적거래량</stp>
        <stp/>
        <stp/>
        <tr r="M38" s="1"/>
      </tp>
      <tp>
        <v>15214</v>
        <stp/>
        <stp>P</stp>
        <stp>0</stp>
        <stp>STK</stp>
        <stp>N403850</stp>
        <stp>누적거래량</stp>
        <stp/>
        <stp/>
        <tr r="M581" s="1"/>
      </tp>
      <tp>
        <v>1079</v>
        <stp/>
        <stp>P</stp>
        <stp>0</stp>
        <stp>STK</stp>
        <stp>N002810</stp>
        <stp>누적거래량</stp>
        <stp/>
        <stp/>
        <tr r="M619" s="1"/>
      </tp>
      <tp>
        <v>4566</v>
        <stp/>
        <stp>P</stp>
        <stp>0</stp>
        <stp>STK</stp>
        <stp>N005810</stp>
        <stp>누적거래량</stp>
        <stp/>
        <stp/>
        <tr r="M449" s="1"/>
      </tp>
      <tp>
        <v>0</v>
        <stp/>
        <stp>P</stp>
        <stp>0</stp>
        <stp>STK</stp>
        <stp>N007810</stp>
        <stp>누적거래량</stp>
        <stp/>
        <stp/>
        <tr r="M253" s="1"/>
      </tp>
      <tp>
        <v>78410</v>
        <stp/>
        <stp>P</stp>
        <stp>0</stp>
        <stp>STK</stp>
        <stp>N460860</stp>
        <stp>누적거래량</stp>
        <stp/>
        <stp/>
        <tr r="M536" s="1"/>
      </tp>
      <tp>
        <v>43527</v>
        <stp/>
        <stp>P</stp>
        <stp>0</stp>
        <stp>STK</stp>
        <stp>N064820</stp>
        <stp>누적거래량</stp>
        <stp/>
        <stp/>
        <tr r="M551" s="1"/>
      </tp>
      <tp>
        <v>624289</v>
        <stp/>
        <stp>P</stp>
        <stp>0</stp>
        <stp>STK</stp>
        <stp>N222800</stp>
        <stp>누적거래량</stp>
        <stp/>
        <stp/>
        <tr r="M223" s="1"/>
      </tp>
      <tp>
        <v>12020</v>
        <stp/>
        <stp>P</stp>
        <stp>0</stp>
        <stp>STK</stp>
        <stp>N014820</stp>
        <stp>누적거래량</stp>
        <stp/>
        <stp/>
        <tr r="M384" s="1"/>
      </tp>
      <tp>
        <v>11149</v>
        <stp/>
        <stp>P</stp>
        <stp>0</stp>
        <stp>STK</stp>
        <stp>N001820</stp>
        <stp>누적거래량</stp>
        <stp/>
        <stp/>
        <tr r="M598" s="1"/>
      </tp>
      <tp>
        <v>22973</v>
        <stp/>
        <stp>P</stp>
        <stp>0</stp>
        <stp>STK</stp>
        <stp>N104830</stp>
        <stp>누적거래량</stp>
        <stp/>
        <stp/>
        <tr r="M507" s="1"/>
      </tp>
      <tp>
        <v>9697</v>
        <stp/>
        <stp>P</stp>
        <stp>0</stp>
        <stp>STK</stp>
        <stp>N192820</stp>
        <stp>누적거래량</stp>
        <stp/>
        <stp/>
        <tr r="M208" s="1"/>
      </tp>
      <tp>
        <v>2257100</v>
        <stp/>
        <stp>P</stp>
        <stp>0</stp>
        <stp>STK</stp>
        <stp>N394800</stp>
        <stp>누적거래량</stp>
        <stp/>
        <stp/>
        <tr r="M498" s="1"/>
      </tp>
      <tp>
        <v>28500</v>
        <stp/>
        <stp>P</stp>
        <stp>0</stp>
        <stp>STK</stp>
        <stp>N383800</stp>
        <stp>누적거래량</stp>
        <stp/>
        <stp/>
        <tr r="M420" s="1"/>
      </tp>
      <tp>
        <v>8489</v>
        <stp/>
        <stp>P</stp>
        <stp>0</stp>
        <stp>STK</stp>
        <stp>N484870</stp>
        <stp>누적거래량</stp>
        <stp/>
        <stp/>
        <tr r="M259" s="1"/>
      </tp>
      <tp>
        <v>85887</v>
        <stp/>
        <stp>P</stp>
        <stp>0</stp>
        <stp>STK</stp>
        <stp>N277810</stp>
        <stp>누적거래량</stp>
        <stp/>
        <stp/>
        <tr r="M74" s="1"/>
      </tp>
      <tp>
        <v>43531</v>
        <stp/>
        <stp>P</stp>
        <stp>0</stp>
        <stp>STK</stp>
        <stp>N462870</stp>
        <stp>누적거래량</stp>
        <stp/>
        <stp/>
        <tr r="M217" s="1"/>
      </tp>
      <tp>
        <v>0</v>
        <stp/>
        <stp>P</stp>
        <stp>0</stp>
        <stp>STK</stp>
        <stp>N458870</stp>
        <stp>누적거래량</stp>
        <stp/>
        <stp/>
        <tr r="M224" s="1"/>
      </tp>
      <tp>
        <v>2979</v>
        <stp/>
        <stp>P</stp>
        <stp>0</stp>
        <stp>STK</stp>
        <stp>N041830</stp>
        <stp>누적거래량</stp>
        <stp/>
        <stp/>
        <tr r="M546" s="1"/>
      </tp>
      <tp>
        <v>0</v>
        <stp/>
        <stp>P</stp>
        <stp>0</stp>
        <stp>STK</stp>
        <stp>N240810</stp>
        <stp>누적거래량</stp>
        <stp/>
        <stp/>
        <tr r="M133" s="1"/>
      </tp>
      <tp>
        <v>9922</v>
        <stp/>
        <stp>P</stp>
        <stp>0</stp>
        <stp>STK</stp>
        <stp>N032830</stp>
        <stp>누적거래량</stp>
        <stp/>
        <stp/>
        <tr r="M27" s="1"/>
      </tp>
      <tp>
        <v>24764</v>
        <stp/>
        <stp>P</stp>
        <stp>0</stp>
        <stp>STK</stp>
        <stp>N036830</stp>
        <stp>누적거래량</stp>
        <stp/>
        <stp/>
        <tr r="M352" s="1"/>
      </tp>
      <tp>
        <v>156601</v>
        <stp/>
        <stp>P</stp>
        <stp>0</stp>
        <stp>STK</stp>
        <stp>N424870</stp>
        <stp>누적거래량</stp>
        <stp/>
        <stp/>
        <tr r="M356" s="1"/>
      </tp>
      <tp>
        <v>8601</v>
        <stp/>
        <stp>P</stp>
        <stp>0</stp>
        <stp>STK</stp>
        <stp>N014830</stp>
        <stp>누적거래량</stp>
        <stp/>
        <stp/>
        <tr r="M487" s="1"/>
      </tp>
      <tp>
        <v>564991</v>
        <stp/>
        <stp>P</stp>
        <stp>0</stp>
        <stp>STK</stp>
        <stp>N403870</stp>
        <stp>누적거래량</stp>
        <stp/>
        <stp/>
        <tr r="M160" s="1"/>
      </tp>
      <tp>
        <v>7956</v>
        <stp/>
        <stp>P</stp>
        <stp>0</stp>
        <stp>STK</stp>
        <stp>N005830</stp>
        <stp>누적거래량</stp>
        <stp/>
        <stp/>
        <tr r="M78" s="1"/>
      </tp>
      <tp>
        <v>243604</v>
        <stp/>
        <stp>P</stp>
        <stp>0</stp>
        <stp>STK</stp>
        <stp>N009830</stp>
        <stp>누적거래량</stp>
        <stp/>
        <stp/>
        <tr r="M116" s="1"/>
      </tp>
      <tp>
        <v>1173</v>
        <stp/>
        <stp>P</stp>
        <stp>0</stp>
        <stp>STK</stp>
        <stp>N039840</stp>
        <stp>누적거래량</stp>
        <stp/>
        <stp/>
        <tr r="M696" s="1"/>
      </tp>
      <tp>
        <v>89151</v>
        <stp/>
        <stp>P</stp>
        <stp>0</stp>
        <stp>STK</stp>
        <stp>N119850</stp>
        <stp>누적거래량</stp>
        <stp/>
        <stp/>
        <tr r="M435" s="1"/>
      </tp>
      <tp>
        <v>11</v>
        <stp/>
        <stp>P</stp>
        <stp>0</stp>
        <stp>STK</stp>
        <stp>N002840</stp>
        <stp>누적거래량</stp>
        <stp/>
        <stp/>
        <tr r="M395" s="1"/>
      </tp>
      <tp>
        <v>18914</v>
        <stp/>
        <stp>P</stp>
        <stp>0</stp>
        <stp>STK</stp>
        <stp>N294870</stp>
        <stp>누적거래량</stp>
        <stp/>
        <stp/>
        <tr r="M267" s="1"/>
      </tp>
      <tp>
        <v>14029</v>
        <stp/>
        <stp>P</stp>
        <stp>0</stp>
        <stp>STK</stp>
        <stp>N084850</stp>
        <stp>누적거래량</stp>
        <stp/>
        <stp/>
        <tr r="M698" s="1"/>
      </tp>
      <tp>
        <v>93279</v>
        <stp/>
        <stp>P</stp>
        <stp>0</stp>
        <stp>STK</stp>
        <stp>N484810</stp>
        <stp>누적거래량</stp>
        <stp/>
        <stp/>
        <tr r="M562" s="1"/>
      </tp>
      <tp>
        <v>68590</v>
        <stp/>
        <stp>P</stp>
        <stp>0</stp>
        <stp>STK</stp>
        <stp>N356860</stp>
        <stp>누적거래량</stp>
        <stp/>
        <stp/>
        <tr r="M456" s="1"/>
      </tp>
      <tp>
        <v>7371</v>
        <stp/>
        <stp>P</stp>
        <stp>0</stp>
        <stp>STK</stp>
        <stp>N114840</stp>
        <stp>누적거래량</stp>
        <stp/>
        <stp/>
        <tr r="M664" s="1"/>
      </tp>
      <tp>
        <v>60706</v>
        <stp/>
        <stp>P</stp>
        <stp>0</stp>
        <stp>STK</stp>
        <stp>N100840</stp>
        <stp>누적거래량</stp>
        <stp/>
        <stp/>
        <tr r="M350" s="1"/>
      </tp>
      <tp>
        <v>66696</v>
        <stp/>
        <stp>P</stp>
        <stp>0</stp>
        <stp>STK</stp>
        <stp>N003850</stp>
        <stp>누적거래량</stp>
        <stp/>
        <stp/>
        <tr r="M369" s="1"/>
      </tp>
      <tp>
        <v>29800</v>
        <stp/>
        <stp>P</stp>
        <stp>0</stp>
        <stp>STK</stp>
        <stp>N005850</stp>
        <stp>누적거래량</stp>
        <stp/>
        <stp/>
        <tr r="M147" s="1"/>
      </tp>
      <tp>
        <v>148608</v>
        <stp/>
        <stp>P</stp>
        <stp>0</stp>
        <stp>STK</stp>
        <stp>N105840</stp>
        <stp>누적거래량</stp>
        <stp/>
        <stp/>
        <tr r="M454" s="1"/>
      </tp>
      <tp>
        <v>54289</v>
        <stp/>
        <stp>P</stp>
        <stp>0</stp>
        <stp>STK</stp>
        <stp>N195870</stp>
        <stp>누적거래량</stp>
        <stp/>
        <stp/>
        <tr r="M335" s="1"/>
      </tp>
      <tp>
        <v>24945</v>
        <stp/>
        <stp>P</stp>
        <stp>0</stp>
        <stp>STK</stp>
        <stp>N287840</stp>
        <stp>누적거래량</stp>
        <stp/>
        <stp/>
        <tr r="M383" s="1"/>
      </tp>
      <tp>
        <v>6124</v>
        <stp/>
        <stp>P</stp>
        <stp>0</stp>
        <stp>STK</stp>
        <stp>N089860</stp>
        <stp>누적거래량</stp>
        <stp/>
        <stp/>
        <tr r="M300" s="1"/>
      </tp>
      <tp>
        <v>169456</v>
        <stp/>
        <stp>P</stp>
        <stp>0</stp>
        <stp>STK</stp>
        <stp>N347850</stp>
        <stp>누적거래량</stp>
        <stp/>
        <stp/>
        <tr r="M141" s="1"/>
      </tp>
      <tp>
        <v>46644</v>
        <stp/>
        <stp>P</stp>
        <stp>0</stp>
        <stp>STK</stp>
        <stp>N122870</stp>
        <stp>누적거래량</stp>
        <stp/>
        <stp/>
        <tr r="M273" s="1"/>
      </tp>
      <tp>
        <v>17548</v>
        <stp/>
        <stp>P</stp>
        <stp>0</stp>
        <stp>STK</stp>
        <stp>N017860</stp>
        <stp>누적거래량</stp>
        <stp/>
        <stp/>
        <tr r="M597" s="1"/>
      </tp>
      <tp>
        <v>59266</v>
        <stp/>
        <stp>P</stp>
        <stp>0</stp>
        <stp>STK</stp>
        <stp>N475830</stp>
        <stp>누적거래량</stp>
        <stp/>
        <stp/>
        <tr r="M200" s="1"/>
      </tp>
      <tp>
        <v>69669</v>
        <stp/>
        <stp>P</stp>
        <stp>0</stp>
        <stp>STK</stp>
        <stp>N476830</stp>
        <stp>누적거래량</stp>
        <stp/>
        <stp/>
        <tr r="M212" s="1"/>
      </tp>
      <tp>
        <v>5326</v>
        <stp/>
        <stp>P</stp>
        <stp>0</stp>
        <stp>STK</stp>
        <stp>N140860</stp>
        <stp>누적거래량</stp>
        <stp/>
        <stp/>
        <tr r="M241" s="1"/>
      </tp>
      <tp>
        <v>55255</v>
        <stp/>
        <stp>P</stp>
        <stp>0</stp>
        <stp>STK</stp>
        <stp>N338840</stp>
        <stp>누적거래량</stp>
        <stp/>
        <stp/>
        <tr r="M583" s="1"/>
      </tp>
      <tp>
        <v>86725</v>
        <stp/>
        <stp>P</stp>
        <stp>0</stp>
        <stp>STK</stp>
        <stp>N108860</stp>
        <stp>누적거래량</stp>
        <stp/>
        <stp/>
        <tr r="M603" s="1"/>
      </tp>
      <tp>
        <v>35983</v>
        <stp/>
        <stp>P</stp>
        <stp>0</stp>
        <stp>STK</stp>
        <stp>N161890</stp>
        <stp>누적거래량</stp>
        <stp/>
        <stp/>
        <tr r="M248" s="1"/>
      </tp>
      <tp>
        <v>805820</v>
        <stp/>
        <stp>P</stp>
        <stp>0</stp>
        <stp>STK</stp>
        <stp>N018880</stp>
        <stp>누적거래량</stp>
        <stp/>
        <stp/>
        <tr r="M145" s="1"/>
      </tp>
      <tp>
        <v>44734</v>
        <stp/>
        <stp>P</stp>
        <stp>0</stp>
        <stp>STK</stp>
        <stp>N000880</stp>
        <stp>누적거래량</stp>
        <stp/>
        <stp/>
        <tr r="M79" s="1"/>
      </tp>
      <tp>
        <v>29087</v>
        <stp/>
        <stp>P</stp>
        <stp>0</stp>
        <stp>STK</stp>
        <stp>N089890</stp>
        <stp>누적거래량</stp>
        <stp/>
        <stp/>
        <tr r="M523" s="1"/>
      </tp>
      <tp>
        <v>311433</v>
        <stp/>
        <stp>P</stp>
        <stp>0</stp>
        <stp>STK</stp>
        <stp>N050890</stp>
        <stp>누적거래량</stp>
        <stp/>
        <stp/>
        <tr r="M496" s="1"/>
      </tp>
      <tp>
        <v>53745</v>
        <stp/>
        <stp>P</stp>
        <stp>0</stp>
        <stp>STK</stp>
        <stp>N046890</stp>
        <stp>누적거래량</stp>
        <stp/>
        <stp/>
        <tr r="M579" s="1"/>
      </tp>
      <tp>
        <v>22103</v>
        <stp/>
        <stp>P</stp>
        <stp>0</stp>
        <stp>STK</stp>
        <stp>N036890</stp>
        <stp>누적거래량</stp>
        <stp/>
        <stp/>
        <tr r="M624" s="1"/>
      </tp>
      <tp>
        <v>4579</v>
        <stp/>
        <stp>P</stp>
        <stp>0</stp>
        <stp>STK</stp>
        <stp>N026890</stp>
        <stp>누적거래량</stp>
        <stp/>
        <stp/>
        <tr r="M533" s="1"/>
      </tp>
      <tp>
        <v>3232</v>
        <stp/>
        <stp>P</stp>
        <stp>0</stp>
        <stp>STK</stp>
        <stp>N013890</stp>
        <stp>누적거래량</stp>
        <stp/>
        <stp/>
        <tr r="M656" s="1"/>
      </tp>
      <tp>
        <v>5056</v>
        <stp/>
        <stp>P</stp>
        <stp>0</stp>
        <stp>STK</stp>
        <stp>N237880</stp>
        <stp>누적거래량</stp>
        <stp/>
        <stp/>
        <tr r="M693" s="1"/>
      </tp>
      <tp>
        <v>75168</v>
        <stp/>
        <stp>P</stp>
        <stp>0</stp>
        <stp>STK</stp>
        <stp>N200880</stp>
        <stp>누적거래량</stp>
        <stp/>
        <stp/>
        <tr r="M506" s="1"/>
      </tp>
      <tp>
        <v>248500</v>
        <stp/>
        <stp>P</stp>
        <stp>0</stp>
        <stp>STK</stp>
        <stp>259960</stp>
        <stp>현재가</stp>
        <stp/>
        <stp/>
        <tr r="U70" s="1"/>
      </tp>
      <tp>
        <v>17430</v>
        <stp/>
        <stp>P</stp>
        <stp>0</stp>
        <stp>STK</stp>
        <stp>059090</stp>
        <stp>현재가</stp>
        <stp/>
        <stp/>
        <tr r="U518" s="1"/>
      </tp>
      <tp>
        <v>31600</v>
        <stp/>
        <stp>P</stp>
        <stp>0</stp>
        <stp>STK</stp>
        <stp>459510</stp>
        <stp>현재가</stp>
        <stp/>
        <stp/>
        <tr r="U493" s="1"/>
      </tp>
      <tp>
        <v>40850</v>
        <stp/>
        <stp>P</stp>
        <stp>0</stp>
        <stp>STK</stp>
        <stp>058970</stp>
        <stp>현재가</stp>
        <stp/>
        <stp/>
        <tr r="U512" s="1"/>
      </tp>
      <tp>
        <v>161000</v>
        <stp/>
        <stp>P</stp>
        <stp>0</stp>
        <stp>STK</stp>
        <stp>458870</stp>
        <stp>현재가</stp>
        <stp/>
        <stp/>
        <tr r="U224" s="1"/>
      </tp>
      <tp>
        <v>161400</v>
        <stp/>
        <stp>P</stp>
        <stp>0</stp>
        <stp>STK</stp>
        <stp>058610</stp>
        <stp>현재가</stp>
        <stp/>
        <stp/>
        <tr r="U181" s="1"/>
      </tp>
      <tp>
        <v>14920</v>
        <stp/>
        <stp>P</stp>
        <stp>0</stp>
        <stp>STK</stp>
        <stp>358570</stp>
        <stp>현재가</stp>
        <stp/>
        <stp/>
        <tr r="U339" s="1"/>
      </tp>
      <tp>
        <v>99900</v>
        <stp/>
        <stp>P</stp>
        <stp>0</stp>
        <stp>STK</stp>
        <stp>058470</stp>
        <stp>현재가</stp>
        <stp/>
        <stp/>
        <tr r="U112" s="1"/>
      </tp>
      <tp>
        <v>36650</v>
        <stp/>
        <stp>P</stp>
        <stp>0</stp>
        <stp>STK</stp>
        <stp>455900</stp>
        <stp>현재가</stp>
        <stp/>
        <stp/>
        <tr r="U418" s="1"/>
      </tp>
      <tp>
        <v>85500</v>
        <stp/>
        <stp>P</stp>
        <stp>0</stp>
        <stp>STK</stp>
        <stp>055550</stp>
        <stp>현재가</stp>
        <stp/>
        <stp/>
        <tr r="U25" s="1"/>
      </tp>
      <tp>
        <v>25150</v>
        <stp/>
        <stp>P</stp>
        <stp>0</stp>
        <stp>STK</stp>
        <stp>054950</stp>
        <stp>현재가</stp>
        <stp/>
        <stp/>
        <tr r="U617" s="1"/>
      </tp>
      <tp>
        <v>114200</v>
        <stp/>
        <stp>P</stp>
        <stp>0</stp>
        <stp>STK</stp>
        <stp>454910</stp>
        <stp>현재가</stp>
        <stp/>
        <stp/>
        <tr r="U90" s="1"/>
      </tp>
      <tp>
        <v>112000</v>
        <stp/>
        <stp>P</stp>
        <stp>0</stp>
        <stp>STK</stp>
        <stp>457190</stp>
        <stp>현재가</stp>
        <stp/>
        <stp/>
        <tr r="U162" s="1"/>
      </tp>
      <tp>
        <v>57600</v>
        <stp/>
        <stp>P</stp>
        <stp>0</stp>
        <stp>STK</stp>
        <stp>057050</stp>
        <stp>현재가</stp>
        <stp/>
        <stp/>
        <tr r="U413" s="1"/>
      </tp>
      <tp>
        <v>449500</v>
        <stp/>
        <stp>P</stp>
        <stp>0</stp>
        <stp>STK</stp>
        <stp>357780</stp>
        <stp>현재가</stp>
        <stp/>
        <stp/>
        <tr r="U170" s="1"/>
      </tp>
      <tp>
        <v>52600</v>
        <stp/>
        <stp>P</stp>
        <stp>0</stp>
        <stp>STK</stp>
        <stp>257720</stp>
        <stp>현재가</stp>
        <stp/>
        <stp/>
        <tr r="U159" s="1"/>
      </tp>
      <tp>
        <v>56400</v>
        <stp/>
        <stp>P</stp>
        <stp>0</stp>
        <stp>STK</stp>
        <stp>357550</stp>
        <stp>현재가</stp>
        <stp/>
        <stp/>
        <tr r="U612" s="1"/>
      </tp>
      <tp>
        <v>62100</v>
        <stp/>
        <stp>P</stp>
        <stp>0</stp>
        <stp>STK</stp>
        <stp>356860</stp>
        <stp>현재가</stp>
        <stp/>
        <stp/>
        <tr r="U456" s="1"/>
      </tp>
      <tp>
        <v>33100</v>
        <stp/>
        <stp>P</stp>
        <stp>0</stp>
        <stp>STK</stp>
        <stp>056190</stp>
        <stp>현재가</stp>
        <stp/>
        <stp/>
        <tr r="U330" s="1"/>
      </tp>
      <tp>
        <v>77800</v>
        <stp/>
        <stp>P</stp>
        <stp>0</stp>
        <stp>STK</stp>
        <stp>456160</stp>
        <stp>현재가</stp>
        <stp/>
        <stp/>
        <tr r="U281" s="1"/>
      </tp>
      <tp>
        <v>70200</v>
        <stp/>
        <stp>P</stp>
        <stp>0</stp>
        <stp>STK</stp>
        <stp>456040</stp>
        <stp>현재가</stp>
        <stp/>
        <stp/>
        <tr r="U412" s="1"/>
      </tp>
      <tp>
        <v>7520</v>
        <stp/>
        <stp>P</stp>
        <stp>0</stp>
        <stp>STK</stp>
        <stp>356680</stp>
        <stp>현재가</stp>
        <stp/>
        <stp/>
        <tr r="U697" s="1"/>
      </tp>
      <tp>
        <v>309500</v>
        <stp/>
        <stp>P</stp>
        <stp>0</stp>
        <stp>STK</stp>
        <stp>051910</stp>
        <stp>현재가</stp>
        <stp/>
        <stp/>
        <tr r="U36" s="1"/>
      </tp>
      <tp>
        <v>259500</v>
        <stp/>
        <stp>P</stp>
        <stp>0</stp>
        <stp>STK</stp>
        <stp>051900</stp>
        <stp>현재가</stp>
        <stp/>
        <stp/>
        <tr r="U127" s="1"/>
      </tp>
      <tp>
        <v>63100</v>
        <stp/>
        <stp>P</stp>
        <stp>0</stp>
        <stp>STK</stp>
        <stp>251970</stp>
        <stp>현재가</stp>
        <stp/>
        <stp/>
        <tr r="U396" s="1"/>
      </tp>
      <tp>
        <v>15440</v>
        <stp/>
        <stp>P</stp>
        <stp>0</stp>
        <stp>STK</stp>
        <stp>051360</stp>
        <stp>현재가</stp>
        <stp/>
        <stp/>
        <tr r="U675" s="1"/>
      </tp>
      <tp>
        <v>51700</v>
        <stp/>
        <stp>P</stp>
        <stp>0</stp>
        <stp>STK</stp>
        <stp>251270</stp>
        <stp>현재가</stp>
        <stp/>
        <stp/>
        <tr r="U123" s="1"/>
      </tp>
      <tp>
        <v>55400</v>
        <stp/>
        <stp>P</stp>
        <stp>0</stp>
        <stp>STK</stp>
        <stp>051600</stp>
        <stp>현재가</stp>
        <stp/>
        <stp/>
        <tr r="U169" s="1"/>
      </tp>
      <tp>
        <v>27800</v>
        <stp/>
        <stp>P</stp>
        <stp>0</stp>
        <stp>STK</stp>
        <stp>051500</stp>
        <stp>현재가</stp>
        <stp/>
        <stp/>
        <tr r="U608" s="1"/>
      </tp>
      <tp>
        <v>14920</v>
        <stp/>
        <stp>P</stp>
        <stp>0</stp>
        <stp>STK</stp>
        <stp>450950</stp>
        <stp>현재가</stp>
        <stp/>
        <stp/>
        <tr r="U501" s="1"/>
      </tp>
      <tp>
        <v>8510</v>
        <stp/>
        <stp>P</stp>
        <stp>0</stp>
        <stp>STK</stp>
        <stp>050890</stp>
        <stp>현재가</stp>
        <stp/>
        <stp/>
        <tr r="U496" s="1"/>
      </tp>
      <tp>
        <v>69200</v>
        <stp/>
        <stp>P</stp>
        <stp>0</stp>
        <stp>STK</stp>
        <stp>450080</stp>
        <stp>현재가</stp>
        <stp/>
        <stp/>
        <tr r="U124" s="1"/>
      </tp>
      <tp>
        <v>64900</v>
        <stp/>
        <stp>P</stp>
        <stp>0</stp>
        <stp>STK</stp>
        <stp>053800</stp>
        <stp>현재가</stp>
        <stp/>
        <stp/>
        <tr r="U404" s="1"/>
      </tp>
      <tp>
        <v>15260</v>
        <stp/>
        <stp>P</stp>
        <stp>0</stp>
        <stp>STK</stp>
        <stp>453340</stp>
        <stp>현재가</stp>
        <stp/>
        <stp/>
        <tr r="U483" s="1"/>
      </tp>
      <tp>
        <v>62800</v>
        <stp/>
        <stp>P</stp>
        <stp>0</stp>
        <stp>STK</stp>
        <stp>353200</stp>
        <stp>현재가</stp>
        <stp/>
        <stp/>
        <tr r="U179" s="1"/>
      </tp>
      <tp>
        <v>15900</v>
        <stp/>
        <stp>P</stp>
        <stp>0</stp>
        <stp>STK</stp>
        <stp>053030</stp>
        <stp>현재가</stp>
        <stp/>
        <stp/>
        <tr r="U509" s="1"/>
      </tp>
      <tp>
        <v>53300</v>
        <stp/>
        <stp>P</stp>
        <stp>0</stp>
        <stp>STK</stp>
        <stp>053610</stp>
        <stp>현재가</stp>
        <stp/>
        <stp/>
        <tr r="U541" s="1"/>
      </tp>
      <tp>
        <v>15550</v>
        <stp/>
        <stp>P</stp>
        <stp>0</stp>
        <stp>STK</stp>
        <stp>253590</stp>
        <stp>현재가</stp>
        <stp/>
        <stp/>
        <tr r="U477" s="1"/>
      </tp>
      <tp>
        <v>47400</v>
        <stp/>
        <stp>P</stp>
        <stp>0</stp>
        <stp>STK</stp>
        <stp>253450</stp>
        <stp>현재가</stp>
        <stp/>
        <stp/>
        <tr r="U264" s="1"/>
      </tp>
      <tp>
        <v>367000</v>
        <stp/>
        <stp>P</stp>
        <stp>0</stp>
        <stp>STK</stp>
        <stp>352820</stp>
        <stp>현재가</stp>
        <stp/>
        <stp/>
        <tr r="U59" s="1"/>
      </tp>
      <tp>
        <v>128800</v>
        <stp/>
        <stp>P</stp>
        <stp>0</stp>
        <stp>STK</stp>
        <stp>052690</stp>
        <stp>현재가</stp>
        <stp/>
        <stp/>
        <tr r="U107" s="1"/>
      </tp>
      <tp>
        <v>36950</v>
        <stp/>
        <stp>P</stp>
        <stp>0</stp>
        <stp>STK</stp>
        <stp>352480</stp>
        <stp>현재가</stp>
        <stp/>
        <stp/>
        <tr r="U531" s="1"/>
      </tp>
      <tp>
        <v>58800</v>
        <stp/>
        <stp>P</stp>
        <stp>0</stp>
        <stp>STK</stp>
        <stp>052400</stp>
        <stp>현재가</stp>
        <stp/>
        <stp/>
        <tr r="U421" s="1"/>
      </tp>
      <tp>
        <v>38100</v>
        <stp/>
        <stp>P</stp>
        <stp>0</stp>
        <stp>STK</stp>
        <stp>452430</stp>
        <stp>현재가</stp>
        <stp/>
        <stp/>
        <tr r="U661" s="1"/>
      </tp>
      <tp>
        <v>73700</v>
        <stp/>
        <stp>P</stp>
        <stp>0</stp>
        <stp>STK</stp>
        <stp>N389470</stp>
        <stp>시가</stp>
        <stp/>
        <stp/>
        <tr r="P329" s="1"/>
      </tp>
      <tp>
        <v>52900</v>
        <stp/>
        <stp>P</stp>
        <stp>0</stp>
        <stp>STK</stp>
        <stp>N082740</stp>
        <stp>저가</stp>
        <stp/>
        <stp/>
        <tr r="R119" s="1"/>
      </tp>
      <tp>
        <v>15260</v>
        <stp/>
        <stp>P</stp>
        <stp>0</stp>
        <stp>STK</stp>
        <stp>N381970</stp>
        <stp>저가</stp>
        <stp/>
        <stp/>
        <tr r="R379" s="1"/>
      </tp>
      <tp>
        <v>115100</v>
        <stp/>
        <stp>P</stp>
        <stp>0</stp>
        <stp>STK</stp>
        <stp>N280360</stp>
        <stp>저가</stp>
        <stp/>
        <stp/>
        <tr r="R310" s="1"/>
      </tp>
      <tp>
        <v>84500</v>
        <stp/>
        <stp>P</stp>
        <stp>0</stp>
        <stp>STK</stp>
        <stp>N185750</stp>
        <stp>저가</stp>
        <stp/>
        <stp/>
        <tr r="R293" s="1"/>
      </tp>
      <tp>
        <v>15330</v>
        <stp/>
        <stp>P</stp>
        <stp>0</stp>
        <stp>STK</stp>
        <stp>N381970</stp>
        <stp>시가</stp>
        <stp/>
        <stp/>
        <tr r="P379" s="1"/>
      </tp>
      <tp>
        <v>116300</v>
        <stp/>
        <stp>P</stp>
        <stp>0</stp>
        <stp>STK</stp>
        <stp>N280360</stp>
        <stp>시가</stp>
        <stp/>
        <stp/>
        <tr r="P310" s="1"/>
      </tp>
      <tp>
        <v>70500</v>
        <stp/>
        <stp>P</stp>
        <stp>0</stp>
        <stp>STK</stp>
        <stp>N389470</stp>
        <stp>저가</stp>
        <stp/>
        <stp/>
        <tr r="R329" s="1"/>
      </tp>
      <tp>
        <v>54400</v>
        <stp/>
        <stp>P</stp>
        <stp>0</stp>
        <stp>STK</stp>
        <stp>N082740</stp>
        <stp>시가</stp>
        <stp/>
        <stp/>
        <tr r="P119" s="1"/>
      </tp>
      <tp>
        <v>85200</v>
        <stp/>
        <stp>P</stp>
        <stp>0</stp>
        <stp>STK</stp>
        <stp>N185750</stp>
        <stp>시가</stp>
        <stp/>
        <stp/>
        <tr r="P293" s="1"/>
      </tp>
      <tp>
        <v>85500</v>
        <stp/>
        <stp>P</stp>
        <stp>0</stp>
        <stp>STK</stp>
        <stp>N185750</stp>
        <stp>고가</stp>
        <stp/>
        <stp/>
        <tr r="Q293" s="1"/>
      </tp>
      <tp>
        <v>55000</v>
        <stp/>
        <stp>P</stp>
        <stp>0</stp>
        <stp>STK</stp>
        <stp>N082740</stp>
        <stp>고가</stp>
        <stp/>
        <stp/>
        <tr r="Q119" s="1"/>
      </tp>
      <tp>
        <v>15500</v>
        <stp/>
        <stp>P</stp>
        <stp>0</stp>
        <stp>STK</stp>
        <stp>N381970</stp>
        <stp>고가</stp>
        <stp/>
        <stp/>
        <tr r="Q379" s="1"/>
      </tp>
      <tp>
        <v>118500</v>
        <stp/>
        <stp>P</stp>
        <stp>0</stp>
        <stp>STK</stp>
        <stp>N280360</stp>
        <stp>고가</stp>
        <stp/>
        <stp/>
        <tr r="Q310" s="1"/>
      </tp>
      <tp>
        <v>75500</v>
        <stp/>
        <stp>P</stp>
        <stp>0</stp>
        <stp>STK</stp>
        <stp>N389470</stp>
        <stp>고가</stp>
        <stp/>
        <stp/>
        <tr r="Q329" s="1"/>
      </tp>
      <tp>
        <v>141200</v>
        <stp/>
        <stp>P</stp>
        <stp>0</stp>
        <stp>STK</stp>
        <stp>N095340</stp>
        <stp>저가</stp>
        <stp/>
        <stp/>
        <tr r="R201" s="1"/>
      </tp>
      <tp>
        <v>147000</v>
        <stp/>
        <stp>P</stp>
        <stp>0</stp>
        <stp>STK</stp>
        <stp>N095340</stp>
        <stp>시가</stp>
        <stp/>
        <stp/>
        <tr r="P201" s="1"/>
      </tp>
      <tp>
        <v>148600</v>
        <stp/>
        <stp>P</stp>
        <stp>0</stp>
        <stp>STK</stp>
        <stp>N095340</stp>
        <stp>고가</stp>
        <stp/>
        <stp/>
        <tr r="Q201" s="1"/>
      </tp>
      <tp>
        <v>412500</v>
        <stp/>
        <stp>P</stp>
        <stp>0</stp>
        <stp>STK</stp>
        <stp>N009540</stp>
        <stp>시가</stp>
        <stp/>
        <stp/>
        <tr r="P30" s="1"/>
      </tp>
      <tp>
        <v>46900</v>
        <stp/>
        <stp>P</stp>
        <stp>0</stp>
        <stp>STK</stp>
        <stp>N009240</stp>
        <stp>시가</stp>
        <stp/>
        <stp/>
        <tr r="P304" s="1"/>
      </tp>
      <tp>
        <v>873000</v>
        <stp/>
        <stp>P</stp>
        <stp>0</stp>
        <stp>STK</stp>
        <stp>N003240</stp>
        <stp>저가</stp>
        <stp/>
        <stp/>
        <tr r="R344" s="1"/>
      </tp>
      <tp>
        <v>30100</v>
        <stp/>
        <stp>P</stp>
        <stp>0</stp>
        <stp>STK</stp>
        <stp>N003540</stp>
        <stp>저가</stp>
        <stp/>
        <stp/>
        <tr r="R262" s="1"/>
      </tp>
      <tp>
        <v>139100</v>
        <stp/>
        <stp>P</stp>
        <stp>0</stp>
        <stp>STK</stp>
        <stp>N002840</stp>
        <stp>저가</stp>
        <stp/>
        <stp/>
        <tr r="R395" s="1"/>
      </tp>
      <tp>
        <v>21250</v>
        <stp/>
        <stp>P</stp>
        <stp>0</stp>
        <stp>STK</stp>
        <stp>N002240</stp>
        <stp>저가</stp>
        <stp/>
        <stp/>
        <tr r="R429" s="1"/>
      </tp>
      <tp>
        <v>23650</v>
        <stp/>
        <stp>P</stp>
        <stp>0</stp>
        <stp>STK</stp>
        <stp>N001940</stp>
        <stp>저가</stp>
        <stp/>
        <stp/>
        <tr r="R554" s="1"/>
      </tp>
      <tp>
        <v>210000</v>
        <stp/>
        <stp>P</stp>
        <stp>0</stp>
        <stp>STK</stp>
        <stp>N001040</stp>
        <stp>저가</stp>
        <stp/>
        <stp/>
        <tr r="R105" s="1"/>
      </tp>
      <tp>
        <v>27900</v>
        <stp/>
        <stp>P</stp>
        <stp>0</stp>
        <stp>STK</stp>
        <stp>N001440</stp>
        <stp>저가</stp>
        <stp/>
        <stp/>
        <tr r="R110" s="1"/>
      </tp>
      <tp>
        <v>26500</v>
        <stp/>
        <stp>P</stp>
        <stp>0</stp>
        <stp>STK</stp>
        <stp>N000240</stp>
        <stp>저가</stp>
        <stp/>
        <stp/>
        <tr r="R174" s="1"/>
      </tp>
      <tp>
        <v>105500</v>
        <stp/>
        <stp>P</stp>
        <stp>0</stp>
        <stp>STK</stp>
        <stp>N000640</stp>
        <stp>저가</stp>
        <stp/>
        <stp/>
        <tr r="R397" s="1"/>
      </tp>
      <tp>
        <v>24700</v>
        <stp/>
        <stp>P</stp>
        <stp>0</stp>
        <stp>STK</stp>
        <stp>N007340</stp>
        <stp>저가</stp>
        <stp/>
        <stp/>
        <tr r="R254" s="1"/>
      </tp>
      <tp>
        <v>40950</v>
        <stp/>
        <stp>P</stp>
        <stp>0</stp>
        <stp>STK</stp>
        <stp>N006040</stp>
        <stp>저가</stp>
        <stp/>
        <stp/>
        <tr r="R230" s="1"/>
      </tp>
      <tp>
        <v>26100</v>
        <stp/>
        <stp>P</stp>
        <stp>0</stp>
        <stp>STK</stp>
        <stp>N005940</stp>
        <stp>저가</stp>
        <stp/>
        <stp/>
        <tr r="R88" s="1"/>
      </tp>
      <tp>
        <v>8950</v>
        <stp/>
        <stp>P</stp>
        <stp>0</stp>
        <stp>STK</stp>
        <stp>N005440</stp>
        <stp>저가</stp>
        <stp/>
        <stp/>
        <tr r="R268" s="1"/>
      </tp>
      <tp>
        <v>28700</v>
        <stp/>
        <stp>P</stp>
        <stp>0</stp>
        <stp>STK</stp>
        <stp>N001440</stp>
        <stp>시가</stp>
        <stp/>
        <stp/>
        <tr r="P110" s="1"/>
      </tp>
      <tp>
        <v>217500</v>
        <stp/>
        <stp>P</stp>
        <stp>0</stp>
        <stp>STK</stp>
        <stp>N001040</stp>
        <stp>시가</stp>
        <stp/>
        <stp/>
        <tr r="P105" s="1"/>
      </tp>
      <tp>
        <v>24150</v>
        <stp/>
        <stp>P</stp>
        <stp>0</stp>
        <stp>STK</stp>
        <stp>N001940</stp>
        <stp>시가</stp>
        <stp/>
        <stp/>
        <tr r="P554" s="1"/>
      </tp>
      <tp>
        <v>109500</v>
        <stp/>
        <stp>P</stp>
        <stp>0</stp>
        <stp>STK</stp>
        <stp>N000640</stp>
        <stp>시가</stp>
        <stp/>
        <stp/>
        <tr r="P397" s="1"/>
      </tp>
      <tp>
        <v>27050</v>
        <stp/>
        <stp>P</stp>
        <stp>0</stp>
        <stp>STK</stp>
        <stp>N000240</stp>
        <stp>시가</stp>
        <stp/>
        <stp/>
        <tr r="P174" s="1"/>
      </tp>
      <tp>
        <v>30950</v>
        <stp/>
        <stp>P</stp>
        <stp>0</stp>
        <stp>STK</stp>
        <stp>N003540</stp>
        <stp>시가</stp>
        <stp/>
        <stp/>
        <tr r="P262" s="1"/>
      </tp>
      <tp>
        <v>873000</v>
        <stp/>
        <stp>P</stp>
        <stp>0</stp>
        <stp>STK</stp>
        <stp>N003240</stp>
        <stp>시가</stp>
        <stp/>
        <stp/>
        <tr r="P344" s="1"/>
      </tp>
      <tp>
        <v>45550</v>
        <stp/>
        <stp>P</stp>
        <stp>0</stp>
        <stp>STK</stp>
        <stp>N009240</stp>
        <stp>저가</stp>
        <stp/>
        <stp/>
        <tr r="R304" s="1"/>
      </tp>
      <tp>
        <v>405000</v>
        <stp/>
        <stp>P</stp>
        <stp>0</stp>
        <stp>STK</stp>
        <stp>N009540</stp>
        <stp>저가</stp>
        <stp/>
        <stp/>
        <tr r="R30" s="1"/>
      </tp>
      <tp>
        <v>21750</v>
        <stp/>
        <stp>P</stp>
        <stp>0</stp>
        <stp>STK</stp>
        <stp>N002240</stp>
        <stp>시가</stp>
        <stp/>
        <stp/>
        <tr r="P429" s="1"/>
      </tp>
      <tp>
        <v>139100</v>
        <stp/>
        <stp>P</stp>
        <stp>0</stp>
        <stp>STK</stp>
        <stp>N002840</stp>
        <stp>시가</stp>
        <stp/>
        <stp/>
        <tr r="P395" s="1"/>
      </tp>
      <tp>
        <v>9280</v>
        <stp/>
        <stp>P</stp>
        <stp>0</stp>
        <stp>STK</stp>
        <stp>N005440</stp>
        <stp>시가</stp>
        <stp/>
        <stp/>
        <tr r="P268" s="1"/>
      </tp>
      <tp>
        <v>26850</v>
        <stp/>
        <stp>P</stp>
        <stp>0</stp>
        <stp>STK</stp>
        <stp>N005940</stp>
        <stp>시가</stp>
        <stp/>
        <stp/>
        <tr r="P88" s="1"/>
      </tp>
      <tp>
        <v>25150</v>
        <stp/>
        <stp>P</stp>
        <stp>0</stp>
        <stp>STK</stp>
        <stp>N007340</stp>
        <stp>시가</stp>
        <stp/>
        <stp/>
        <tr r="P254" s="1"/>
      </tp>
      <tp>
        <v>41550</v>
        <stp/>
        <stp>P</stp>
        <stp>0</stp>
        <stp>STK</stp>
        <stp>N006040</stp>
        <stp>시가</stp>
        <stp/>
        <stp/>
        <tr r="P230" s="1"/>
      </tp>
      <tp>
        <v>25200</v>
        <stp/>
        <stp>P</stp>
        <stp>0</stp>
        <stp>STK</stp>
        <stp>N007340</stp>
        <stp>고가</stp>
        <stp/>
        <stp/>
        <tr r="Q254" s="1"/>
      </tp>
      <tp>
        <v>41900</v>
        <stp/>
        <stp>P</stp>
        <stp>0</stp>
        <stp>STK</stp>
        <stp>N006040</stp>
        <stp>고가</stp>
        <stp/>
        <stp/>
        <tr r="Q230" s="1"/>
      </tp>
      <tp>
        <v>27050</v>
        <stp/>
        <stp>P</stp>
        <stp>0</stp>
        <stp>STK</stp>
        <stp>N005940</stp>
        <stp>고가</stp>
        <stp/>
        <stp/>
        <tr r="Q88" s="1"/>
      </tp>
      <tp>
        <v>9280</v>
        <stp/>
        <stp>P</stp>
        <stp>0</stp>
        <stp>STK</stp>
        <stp>N005440</stp>
        <stp>고가</stp>
        <stp/>
        <stp/>
        <tr r="Q268" s="1"/>
      </tp>
      <tp>
        <v>948000</v>
        <stp/>
        <stp>P</stp>
        <stp>0</stp>
        <stp>STK</stp>
        <stp>N003240</stp>
        <stp>고가</stp>
        <stp/>
        <stp/>
        <tr r="Q344" s="1"/>
      </tp>
      <tp>
        <v>31050</v>
        <stp/>
        <stp>P</stp>
        <stp>0</stp>
        <stp>STK</stp>
        <stp>N003540</stp>
        <stp>고가</stp>
        <stp/>
        <stp/>
        <tr r="Q262" s="1"/>
      </tp>
      <tp>
        <v>139800</v>
        <stp/>
        <stp>P</stp>
        <stp>0</stp>
        <stp>STK</stp>
        <stp>N002840</stp>
        <stp>고가</stp>
        <stp/>
        <stp/>
        <tr r="Q395" s="1"/>
      </tp>
      <tp>
        <v>22000</v>
        <stp/>
        <stp>P</stp>
        <stp>0</stp>
        <stp>STK</stp>
        <stp>N002240</stp>
        <stp>고가</stp>
        <stp/>
        <stp/>
        <tr r="Q429" s="1"/>
      </tp>
      <tp>
        <v>25050</v>
        <stp/>
        <stp>P</stp>
        <stp>0</stp>
        <stp>STK</stp>
        <stp>N001940</stp>
        <stp>고가</stp>
        <stp/>
        <stp/>
        <tr r="Q554" s="1"/>
      </tp>
      <tp>
        <v>225000</v>
        <stp/>
        <stp>P</stp>
        <stp>0</stp>
        <stp>STK</stp>
        <stp>N001040</stp>
        <stp>고가</stp>
        <stp/>
        <stp/>
        <tr r="Q105" s="1"/>
      </tp>
      <tp>
        <v>29300</v>
        <stp/>
        <stp>P</stp>
        <stp>0</stp>
        <stp>STK</stp>
        <stp>N001440</stp>
        <stp>고가</stp>
        <stp/>
        <stp/>
        <tr r="Q110" s="1"/>
      </tp>
      <tp>
        <v>27050</v>
        <stp/>
        <stp>P</stp>
        <stp>0</stp>
        <stp>STK</stp>
        <stp>N000240</stp>
        <stp>고가</stp>
        <stp/>
        <stp/>
        <tr r="Q174" s="1"/>
      </tp>
      <tp>
        <v>109500</v>
        <stp/>
        <stp>P</stp>
        <stp>0</stp>
        <stp>STK</stp>
        <stp>N000640</stp>
        <stp>고가</stp>
        <stp/>
        <stp/>
        <tr r="Q397" s="1"/>
      </tp>
      <tp>
        <v>46900</v>
        <stp/>
        <stp>P</stp>
        <stp>0</stp>
        <stp>STK</stp>
        <stp>N009240</stp>
        <stp>고가</stp>
        <stp/>
        <stp/>
        <tr r="Q304" s="1"/>
      </tp>
      <tp>
        <v>414000</v>
        <stp/>
        <stp>P</stp>
        <stp>0</stp>
        <stp>STK</stp>
        <stp>N009540</stp>
        <stp>고가</stp>
        <stp/>
        <stp/>
        <tr r="Q30" s="1"/>
      </tp>
      <tp>
        <v>36200</v>
        <stp/>
        <stp>P</stp>
        <stp>0</stp>
        <stp>STK</stp>
        <stp>N119850</stp>
        <stp>시가</stp>
        <stp/>
        <stp/>
        <tr r="P435" s="1"/>
      </tp>
      <tp>
        <v>28000</v>
        <stp/>
        <stp>P</stp>
        <stp>0</stp>
        <stp>STK</stp>
        <stp>N010140</stp>
        <stp>저가</stp>
        <stp/>
        <stp/>
        <tr r="R33" s="1"/>
      </tp>
      <tp>
        <v>86800</v>
        <stp/>
        <stp>P</stp>
        <stp>0</stp>
        <stp>STK</stp>
        <stp>N017940</stp>
        <stp>저가</stp>
        <stp/>
        <stp/>
        <tr r="R447" s="1"/>
      </tp>
      <tp>
        <v>16830</v>
        <stp/>
        <stp>P</stp>
        <stp>0</stp>
        <stp>STK</stp>
        <stp>N417200</stp>
        <stp>저가</stp>
        <stp/>
        <stp/>
        <tr r="R336" s="1"/>
      </tp>
      <tp>
        <v>8110</v>
        <stp/>
        <stp>P</stp>
        <stp>0</stp>
        <stp>STK</stp>
        <stp>N014940</stp>
        <stp>저가</stp>
        <stp/>
        <stp/>
        <tr r="R553" s="1"/>
      </tp>
      <tp>
        <v>29500</v>
        <stp/>
        <stp>P</stp>
        <stp>0</stp>
        <stp>STK</stp>
        <stp>N010140</stp>
        <stp>시가</stp>
        <stp/>
        <stp/>
        <tr r="P33" s="1"/>
      </tp>
      <tp>
        <v>34700</v>
        <stp/>
        <stp>P</stp>
        <stp>0</stp>
        <stp>STK</stp>
        <stp>N119850</stp>
        <stp>저가</stp>
        <stp/>
        <stp/>
        <tr r="R435" s="1"/>
      </tp>
      <tp>
        <v>8370</v>
        <stp/>
        <stp>P</stp>
        <stp>0</stp>
        <stp>STK</stp>
        <stp>N014940</stp>
        <stp>시가</stp>
        <stp/>
        <stp/>
        <tr r="P553" s="1"/>
      </tp>
      <tp>
        <v>17400</v>
        <stp/>
        <stp>P</stp>
        <stp>0</stp>
        <stp>STK</stp>
        <stp>N417200</stp>
        <stp>시가</stp>
        <stp/>
        <stp/>
        <tr r="P336" s="1"/>
      </tp>
      <tp>
        <v>88900</v>
        <stp/>
        <stp>P</stp>
        <stp>0</stp>
        <stp>STK</stp>
        <stp>N017940</stp>
        <stp>시가</stp>
        <stp/>
        <stp/>
        <tr r="P447" s="1"/>
      </tp>
      <tp>
        <v>89100</v>
        <stp/>
        <stp>P</stp>
        <stp>0</stp>
        <stp>STK</stp>
        <stp>N017940</stp>
        <stp>고가</stp>
        <stp/>
        <stp/>
        <tr r="Q447" s="1"/>
      </tp>
      <tp>
        <v>17870</v>
        <stp/>
        <stp>P</stp>
        <stp>0</stp>
        <stp>STK</stp>
        <stp>N417200</stp>
        <stp>고가</stp>
        <stp/>
        <stp/>
        <tr r="Q336" s="1"/>
      </tp>
      <tp>
        <v>8500</v>
        <stp/>
        <stp>P</stp>
        <stp>0</stp>
        <stp>STK</stp>
        <stp>N014940</stp>
        <stp>고가</stp>
        <stp/>
        <stp/>
        <tr r="Q553" s="1"/>
      </tp>
      <tp>
        <v>29500</v>
        <stp/>
        <stp>P</stp>
        <stp>0</stp>
        <stp>STK</stp>
        <stp>N010140</stp>
        <stp>고가</stp>
        <stp/>
        <stp/>
        <tr r="Q33" s="1"/>
      </tp>
      <tp>
        <v>36200</v>
        <stp/>
        <stp>P</stp>
        <stp>0</stp>
        <stp>STK</stp>
        <stp>N119850</stp>
        <stp>고가</stp>
        <stp/>
        <stp/>
        <tr r="Q435" s="1"/>
      </tp>
      <tp>
        <v>23350</v>
        <stp/>
        <stp>P</stp>
        <stp>0</stp>
        <stp>STK</stp>
        <stp>N228760</stp>
        <stp>시가</stp>
        <stp/>
        <stp/>
        <tr r="P452" s="1"/>
      </tp>
      <tp>
        <v>81400</v>
        <stp/>
        <stp>P</stp>
        <stp>0</stp>
        <stp>STK</stp>
        <stp>N021240</stp>
        <stp>저가</stp>
        <stp/>
        <stp/>
        <tr r="R106" s="1"/>
      </tp>
      <tp>
        <v>72500</v>
        <stp/>
        <stp>P</stp>
        <stp>0</stp>
        <stp>STK</stp>
        <stp>N025540</stp>
        <stp>저가</stp>
        <stp/>
        <stp/>
        <tr r="R355" s="1"/>
      </tp>
      <tp>
        <v>83400</v>
        <stp/>
        <stp>P</stp>
        <stp>0</stp>
        <stp>STK</stp>
        <stp>N021240</stp>
        <stp>시가</stp>
        <stp/>
        <stp/>
        <tr r="P106" s="1"/>
      </tp>
      <tp>
        <v>22600</v>
        <stp/>
        <stp>P</stp>
        <stp>0</stp>
        <stp>STK</stp>
        <stp>N228760</stp>
        <stp>저가</stp>
        <stp/>
        <stp/>
        <tr r="R452" s="1"/>
      </tp>
      <tp>
        <v>74200</v>
        <stp/>
        <stp>P</stp>
        <stp>0</stp>
        <stp>STK</stp>
        <stp>N025540</stp>
        <stp>시가</stp>
        <stp/>
        <stp/>
        <tr r="P355" s="1"/>
      </tp>
      <tp>
        <v>74200</v>
        <stp/>
        <stp>P</stp>
        <stp>0</stp>
        <stp>STK</stp>
        <stp>N025540</stp>
        <stp>고가</stp>
        <stp/>
        <stp/>
        <tr r="Q355" s="1"/>
      </tp>
      <tp>
        <v>83500</v>
        <stp/>
        <stp>P</stp>
        <stp>0</stp>
        <stp>STK</stp>
        <stp>N021240</stp>
        <stp>고가</stp>
        <stp/>
        <stp/>
        <tr r="Q106" s="1"/>
      </tp>
      <tp>
        <v>23450</v>
        <stp/>
        <stp>P</stp>
        <stp>0</stp>
        <stp>STK</stp>
        <stp>N228760</stp>
        <stp>고가</stp>
        <stp/>
        <stp/>
        <tr r="Q452" s="1"/>
      </tp>
      <tp>
        <v>37600</v>
        <stp/>
        <stp>P</stp>
        <stp>0</stp>
        <stp>STK</stp>
        <stp>N039440</stp>
        <stp>시가</stp>
        <stp/>
        <stp/>
        <tr r="P497" s="1"/>
      </tp>
      <tp>
        <v>16100</v>
        <stp/>
        <stp>P</stp>
        <stp>0</stp>
        <stp>STK</stp>
        <stp>N039840</stp>
        <stp>시가</stp>
        <stp/>
        <stp/>
        <tr r="P696" s="1"/>
      </tp>
      <tp>
        <v>29000</v>
        <stp/>
        <stp>P</stp>
        <stp>0</stp>
        <stp>STK</stp>
        <stp>N033240</stp>
        <stp>저가</stp>
        <stp/>
        <stp/>
        <tr r="R464" s="1"/>
      </tp>
      <tp>
        <v>17940</v>
        <stp/>
        <stp>P</stp>
        <stp>0</stp>
        <stp>STK</stp>
        <stp>N033640</stp>
        <stp>저가</stp>
        <stp/>
        <stp/>
        <tr r="R564" s="1"/>
      </tp>
      <tp>
        <v>15790</v>
        <stp/>
        <stp>P</stp>
        <stp>0</stp>
        <stp>STK</stp>
        <stp>N032640</stp>
        <stp>저가</stp>
        <stp/>
        <stp/>
        <tr r="R99" s="1"/>
      </tp>
      <tp>
        <v>15890</v>
        <stp/>
        <stp>P</stp>
        <stp>0</stp>
        <stp>STK</stp>
        <stp>N230360</stp>
        <stp>저가</stp>
        <stp/>
        <stp/>
        <tr r="R485" s="1"/>
      </tp>
      <tp>
        <v>7820</v>
        <stp/>
        <stp>P</stp>
        <stp>0</stp>
        <stp>STK</stp>
        <stp>N336370</stp>
        <stp>저가</stp>
        <stp/>
        <stp/>
        <tr r="R460" s="1"/>
      </tp>
      <tp>
        <v>7340</v>
        <stp/>
        <stp>P</stp>
        <stp>0</stp>
        <stp>STK</stp>
        <stp>N036540</stp>
        <stp>저가</stp>
        <stp/>
        <stp/>
        <tr r="R334" s="1"/>
      </tp>
      <tp>
        <v>9620</v>
        <stp/>
        <stp>P</stp>
        <stp>0</stp>
        <stp>STK</stp>
        <stp>N336570</stp>
        <stp>저가</stp>
        <stp/>
        <stp/>
        <tr r="R375" s="1"/>
      </tp>
      <tp>
        <v>15980</v>
        <stp/>
        <stp>P</stp>
        <stp>0</stp>
        <stp>STK</stp>
        <stp>N230360</stp>
        <stp>시가</stp>
        <stp/>
        <stp/>
        <tr r="P485" s="1"/>
      </tp>
      <tp>
        <v>18900</v>
        <stp/>
        <stp>P</stp>
        <stp>0</stp>
        <stp>STK</stp>
        <stp>N033640</stp>
        <stp>시가</stp>
        <stp/>
        <stp/>
        <tr r="P564" s="1"/>
      </tp>
      <tp>
        <v>29700</v>
        <stp/>
        <stp>P</stp>
        <stp>0</stp>
        <stp>STK</stp>
        <stp>N033240</stp>
        <stp>시가</stp>
        <stp/>
        <stp/>
        <tr r="P464" s="1"/>
      </tp>
      <tp>
        <v>15710</v>
        <stp/>
        <stp>P</stp>
        <stp>0</stp>
        <stp>STK</stp>
        <stp>N039840</stp>
        <stp>저가</stp>
        <stp/>
        <stp/>
        <tr r="R696" s="1"/>
      </tp>
      <tp>
        <v>35700</v>
        <stp/>
        <stp>P</stp>
        <stp>0</stp>
        <stp>STK</stp>
        <stp>N039440</stp>
        <stp>저가</stp>
        <stp/>
        <stp/>
        <tr r="R497" s="1"/>
      </tp>
      <tp>
        <v>15900</v>
        <stp/>
        <stp>P</stp>
        <stp>0</stp>
        <stp>STK</stp>
        <stp>N032640</stp>
        <stp>시가</stp>
        <stp/>
        <stp/>
        <tr r="P99" s="1"/>
      </tp>
      <tp>
        <v>7640</v>
        <stp/>
        <stp>P</stp>
        <stp>0</stp>
        <stp>STK</stp>
        <stp>N036540</stp>
        <stp>시가</stp>
        <stp/>
        <stp/>
        <tr r="P334" s="1"/>
      </tp>
      <tp>
        <v>10240</v>
        <stp/>
        <stp>P</stp>
        <stp>0</stp>
        <stp>STK</stp>
        <stp>N336570</stp>
        <stp>시가</stp>
        <stp/>
        <stp/>
        <tr r="P375" s="1"/>
      </tp>
      <tp>
        <v>8150</v>
        <stp/>
        <stp>P</stp>
        <stp>0</stp>
        <stp>STK</stp>
        <stp>N336370</stp>
        <stp>시가</stp>
        <stp/>
        <stp/>
        <tr r="P460" s="1"/>
      </tp>
      <tp>
        <v>8150</v>
        <stp/>
        <stp>P</stp>
        <stp>0</stp>
        <stp>STK</stp>
        <stp>N336370</stp>
        <stp>고가</stp>
        <stp/>
        <stp/>
        <tr r="Q460" s="1"/>
      </tp>
      <tp>
        <v>7750</v>
        <stp/>
        <stp>P</stp>
        <stp>0</stp>
        <stp>STK</stp>
        <stp>N036540</stp>
        <stp>고가</stp>
        <stp/>
        <stp/>
        <tr r="Q334" s="1"/>
      </tp>
      <tp>
        <v>10270</v>
        <stp/>
        <stp>P</stp>
        <stp>0</stp>
        <stp>STK</stp>
        <stp>N336570</stp>
        <stp>고가</stp>
        <stp/>
        <stp/>
        <tr r="Q375" s="1"/>
      </tp>
      <tp>
        <v>31250</v>
        <stp/>
        <stp>P</stp>
        <stp>0</stp>
        <stp>STK</stp>
        <stp>N033240</stp>
        <stp>고가</stp>
        <stp/>
        <stp/>
        <tr r="Q464" s="1"/>
      </tp>
      <tp>
        <v>18950</v>
        <stp/>
        <stp>P</stp>
        <stp>0</stp>
        <stp>STK</stp>
        <stp>N033640</stp>
        <stp>고가</stp>
        <stp/>
        <stp/>
        <tr r="Q564" s="1"/>
      </tp>
      <tp>
        <v>16160</v>
        <stp/>
        <stp>P</stp>
        <stp>0</stp>
        <stp>STK</stp>
        <stp>N032640</stp>
        <stp>고가</stp>
        <stp/>
        <stp/>
        <tr r="Q99" s="1"/>
      </tp>
      <tp>
        <v>16000</v>
        <stp/>
        <stp>P</stp>
        <stp>0</stp>
        <stp>STK</stp>
        <stp>N230360</stp>
        <stp>고가</stp>
        <stp/>
        <stp/>
        <tr r="Q485" s="1"/>
      </tp>
      <tp>
        <v>16100</v>
        <stp/>
        <stp>P</stp>
        <stp>0</stp>
        <stp>STK</stp>
        <stp>N039840</stp>
        <stp>고가</stp>
        <stp/>
        <stp/>
        <tr r="Q696" s="1"/>
      </tp>
      <tp>
        <v>37800</v>
        <stp/>
        <stp>P</stp>
        <stp>0</stp>
        <stp>STK</stp>
        <stp>N039440</stp>
        <stp>고가</stp>
        <stp/>
        <stp/>
        <tr r="Q497" s="1"/>
      </tp>
      <tp>
        <v>93800</v>
        <stp/>
        <stp>P</stp>
        <stp>0</stp>
        <stp>STK</stp>
        <stp>N348370</stp>
        <stp>시가</stp>
        <stp/>
        <stp/>
        <tr r="P266" s="1"/>
      </tp>
      <tp>
        <v>71400</v>
        <stp/>
        <stp>P</stp>
        <stp>0</stp>
        <stp>STK</stp>
        <stp>N448900</stp>
        <stp>시가</stp>
        <stp/>
        <stp/>
        <tr r="P489" s="1"/>
      </tp>
      <tp>
        <v>57800</v>
        <stp/>
        <stp>P</stp>
        <stp>0</stp>
        <stp>STK</stp>
        <stp>N241560</stp>
        <stp>저가</stp>
        <stp/>
        <stp/>
        <tr r="R103" s="1"/>
      </tp>
      <tp>
        <v>53600</v>
        <stp/>
        <stp>P</stp>
        <stp>0</stp>
        <stp>STK</stp>
        <stp>N340570</stp>
        <stp>저가</stp>
        <stp/>
        <stp/>
        <tr r="R575" s="1"/>
      </tp>
      <tp>
        <v>4760</v>
        <stp/>
        <stp>P</stp>
        <stp>0</stp>
        <stp>STK</stp>
        <stp>N047040</stp>
        <stp>저가</stp>
        <stp/>
        <stp/>
        <tr r="R211" s="1"/>
      </tp>
      <tp>
        <v>58500</v>
        <stp/>
        <stp>P</stp>
        <stp>0</stp>
        <stp>STK</stp>
        <stp>N241560</stp>
        <stp>시가</stp>
        <stp/>
        <stp/>
        <tr r="P103" s="1"/>
      </tp>
      <tp>
        <v>54900</v>
        <stp/>
        <stp>P</stp>
        <stp>0</stp>
        <stp>STK</stp>
        <stp>N340570</stp>
        <stp>시가</stp>
        <stp/>
        <stp/>
        <tr r="P575" s="1"/>
      </tp>
      <tp>
        <v>68100</v>
        <stp/>
        <stp>P</stp>
        <stp>0</stp>
        <stp>STK</stp>
        <stp>N448900</stp>
        <stp>저가</stp>
        <stp/>
        <stp/>
        <tr r="R489" s="1"/>
      </tp>
      <tp>
        <v>91000</v>
        <stp/>
        <stp>P</stp>
        <stp>0</stp>
        <stp>STK</stp>
        <stp>N348370</stp>
        <stp>저가</stp>
        <stp/>
        <stp/>
        <tr r="R266" s="1"/>
      </tp>
      <tp>
        <v>4950</v>
        <stp/>
        <stp>P</stp>
        <stp>0</stp>
        <stp>STK</stp>
        <stp>N047040</stp>
        <stp>시가</stp>
        <stp/>
        <stp/>
        <tr r="P211" s="1"/>
      </tp>
      <tp>
        <v>4970</v>
        <stp/>
        <stp>P</stp>
        <stp>0</stp>
        <stp>STK</stp>
        <stp>N047040</stp>
        <stp>고가</stp>
        <stp/>
        <stp/>
        <tr r="Q211" s="1"/>
      </tp>
      <tp>
        <v>59500</v>
        <stp/>
        <stp>P</stp>
        <stp>0</stp>
        <stp>STK</stp>
        <stp>N241560</stp>
        <stp>고가</stp>
        <stp/>
        <stp/>
        <tr r="Q103" s="1"/>
      </tp>
      <tp>
        <v>57200</v>
        <stp/>
        <stp>P</stp>
        <stp>0</stp>
        <stp>STK</stp>
        <stp>N340570</stp>
        <stp>고가</stp>
        <stp/>
        <stp/>
        <tr r="Q575" s="1"/>
      </tp>
      <tp>
        <v>71400</v>
        <stp/>
        <stp>P</stp>
        <stp>0</stp>
        <stp>STK</stp>
        <stp>N448900</stp>
        <stp>고가</stp>
        <stp/>
        <stp/>
        <tr r="Q489" s="1"/>
      </tp>
      <tp>
        <v>97800</v>
        <stp/>
        <stp>P</stp>
        <stp>0</stp>
        <stp>STK</stp>
        <stp>N348370</stp>
        <stp>고가</stp>
        <stp/>
        <stp/>
        <tr r="Q266" s="1"/>
      </tp>
      <tp>
        <v>254000</v>
        <stp/>
        <stp>P</stp>
        <stp>0</stp>
        <stp>STK</stp>
        <stp>N259960</stp>
        <stp>시가</stp>
        <stp/>
        <stp/>
        <tr r="P70" s="1"/>
      </tp>
      <tp>
        <v>15320</v>
        <stp/>
        <stp>P</stp>
        <stp>0</stp>
        <stp>STK</stp>
        <stp>N358570</stp>
        <stp>시가</stp>
        <stp/>
        <stp/>
        <tr r="P339" s="1"/>
      </tp>
      <tp>
        <v>35750</v>
        <stp/>
        <stp>P</stp>
        <stp>0</stp>
        <stp>STK</stp>
        <stp>N455900</stp>
        <stp>저가</stp>
        <stp/>
        <stp/>
        <tr r="R418" s="1"/>
      </tp>
      <tp>
        <v>247500</v>
        <stp/>
        <stp>P</stp>
        <stp>0</stp>
        <stp>STK</stp>
        <stp>N259960</stp>
        <stp>저가</stp>
        <stp/>
        <stp/>
        <tr r="R70" s="1"/>
      </tp>
      <tp>
        <v>14690</v>
        <stp/>
        <stp>P</stp>
        <stp>0</stp>
        <stp>STK</stp>
        <stp>N358570</stp>
        <stp>저가</stp>
        <stp/>
        <stp/>
        <tr r="R339" s="1"/>
      </tp>
      <tp>
        <v>36400</v>
        <stp/>
        <stp>P</stp>
        <stp>0</stp>
        <stp>STK</stp>
        <stp>N455900</stp>
        <stp>시가</stp>
        <stp/>
        <stp/>
        <tr r="P418" s="1"/>
      </tp>
      <tp>
        <v>36800</v>
        <stp/>
        <stp>P</stp>
        <stp>0</stp>
        <stp>STK</stp>
        <stp>N455900</stp>
        <stp>고가</stp>
        <stp/>
        <stp/>
        <tr r="Q418" s="1"/>
      </tp>
      <tp>
        <v>254000</v>
        <stp/>
        <stp>P</stp>
        <stp>0</stp>
        <stp>STK</stp>
        <stp>N259960</stp>
        <stp>고가</stp>
        <stp/>
        <stp/>
        <tr r="Q70" s="1"/>
      </tp>
      <tp>
        <v>15730</v>
        <stp/>
        <stp>P</stp>
        <stp>0</stp>
        <stp>STK</stp>
        <stp>N358570</stp>
        <stp>고가</stp>
        <stp/>
        <stp/>
        <tr r="Q339" s="1"/>
      </tp>
      <tp>
        <v>140700</v>
        <stp/>
        <stp>P</stp>
        <stp>0</stp>
        <stp>STK</stp>
        <stp>N062040</stp>
        <stp>저가</stp>
        <stp/>
        <stp/>
        <tr r="R122" s="1"/>
      </tp>
      <tp>
        <v>850000</v>
        <stp/>
        <stp>P</stp>
        <stp>0</stp>
        <stp>STK</stp>
        <stp>N267260</stp>
        <stp>저가</stp>
        <stp/>
        <stp/>
        <tr r="R29" s="1"/>
      </tp>
      <tp>
        <v>72000</v>
        <stp/>
        <stp>P</stp>
        <stp>0</stp>
        <stp>STK</stp>
        <stp>N466100</stp>
        <stp>저가</stp>
        <stp/>
        <stp/>
        <tr r="R219" s="1"/>
      </tp>
      <tp>
        <v>147300</v>
        <stp/>
        <stp>P</stp>
        <stp>0</stp>
        <stp>STK</stp>
        <stp>N062040</stp>
        <stp>시가</stp>
        <stp/>
        <stp/>
        <tr r="P122" s="1"/>
      </tp>
      <tp>
        <v>887000</v>
        <stp/>
        <stp>P</stp>
        <stp>0</stp>
        <stp>STK</stp>
        <stp>N267260</stp>
        <stp>시가</stp>
        <stp/>
        <stp/>
        <tr r="P29" s="1"/>
      </tp>
      <tp>
        <v>74100</v>
        <stp/>
        <stp>P</stp>
        <stp>0</stp>
        <stp>STK</stp>
        <stp>N466100</stp>
        <stp>시가</stp>
        <stp/>
        <stp/>
        <tr r="P219" s="1"/>
      </tp>
      <tp>
        <v>894000</v>
        <stp/>
        <stp>P</stp>
        <stp>0</stp>
        <stp>STK</stp>
        <stp>N267260</stp>
        <stp>고가</stp>
        <stp/>
        <stp/>
        <tr r="Q29" s="1"/>
      </tp>
      <tp>
        <v>76400</v>
        <stp/>
        <stp>P</stp>
        <stp>0</stp>
        <stp>STK</stp>
        <stp>N466100</stp>
        <stp>고가</stp>
        <stp/>
        <stp/>
        <tr r="Q219" s="1"/>
      </tp>
      <tp>
        <v>147300</v>
        <stp/>
        <stp>P</stp>
        <stp>0</stp>
        <stp>STK</stp>
        <stp>N062040</stp>
        <stp>고가</stp>
        <stp/>
        <stp/>
        <tr r="Q122" s="1"/>
      </tp>
      <tp>
        <v>34000</v>
        <stp/>
        <stp>P</stp>
        <stp>0</stp>
        <stp>STK</stp>
        <stp>N079940</stp>
        <stp>시가</stp>
        <stp/>
        <stp/>
        <tr r="P520" s="1"/>
      </tp>
      <tp>
        <v>5940</v>
        <stp/>
        <stp>P</stp>
        <stp>0</stp>
        <stp>STK</stp>
        <stp>N073240</stp>
        <stp>저가</stp>
        <stp/>
        <stp/>
        <tr r="R227" s="1"/>
      </tp>
      <tp>
        <v>37000</v>
        <stp/>
        <stp>P</stp>
        <stp>0</stp>
        <stp>STK</stp>
        <stp>N078340</stp>
        <stp>시가</stp>
        <stp/>
        <stp/>
        <tr r="P543" s="1"/>
      </tp>
      <tp>
        <v>34250</v>
        <stp/>
        <stp>P</stp>
        <stp>0</stp>
        <stp>STK</stp>
        <stp>N372170</stp>
        <stp>저가</stp>
        <stp/>
        <stp/>
        <tr r="R680" s="1"/>
      </tp>
      <tp>
        <v>115800</v>
        <stp/>
        <stp>P</stp>
        <stp>0</stp>
        <stp>STK</stp>
        <stp>N271560</stp>
        <stp>저가</stp>
        <stp/>
        <stp/>
        <tr r="R117" s="1"/>
      </tp>
      <tp>
        <v>25150</v>
        <stp/>
        <stp>P</stp>
        <stp>0</stp>
        <stp>STK</stp>
        <stp>N270660</stp>
        <stp>저가</stp>
        <stp/>
        <stp/>
        <tr r="R542" s="1"/>
      </tp>
      <tp>
        <v>81000</v>
        <stp/>
        <stp>P</stp>
        <stp>0</stp>
        <stp>STK</stp>
        <stp>N376270</stp>
        <stp>저가</stp>
        <stp/>
        <stp/>
        <tr r="R555" s="1"/>
      </tp>
      <tp>
        <v>9800</v>
        <stp/>
        <stp>P</stp>
        <stp>0</stp>
        <stp>STK</stp>
        <stp>N176750</stp>
        <stp>저가</stp>
        <stp/>
        <stp/>
        <tr r="R678" s="1"/>
      </tp>
      <tp>
        <v>41700</v>
        <stp/>
        <stp>P</stp>
        <stp>0</stp>
        <stp>STK</stp>
        <stp>N475400</stp>
        <stp>저가</stp>
        <stp/>
        <stp/>
        <tr r="R463" s="1"/>
      </tp>
      <tp>
        <v>117600</v>
        <stp/>
        <stp>P</stp>
        <stp>0</stp>
        <stp>STK</stp>
        <stp>N271560</stp>
        <stp>시가</stp>
        <stp/>
        <stp/>
        <tr r="P117" s="1"/>
      </tp>
      <tp>
        <v>25850</v>
        <stp/>
        <stp>P</stp>
        <stp>0</stp>
        <stp>STK</stp>
        <stp>N270660</stp>
        <stp>시가</stp>
        <stp/>
        <stp/>
        <tr r="P542" s="1"/>
      </tp>
      <tp>
        <v>6020</v>
        <stp/>
        <stp>P</stp>
        <stp>0</stp>
        <stp>STK</stp>
        <stp>N073240</stp>
        <stp>시가</stp>
        <stp/>
        <stp/>
        <tr r="P227" s="1"/>
      </tp>
      <tp>
        <v>32550</v>
        <stp/>
        <stp>P</stp>
        <stp>0</stp>
        <stp>STK</stp>
        <stp>N079940</stp>
        <stp>저가</stp>
        <stp/>
        <stp/>
        <tr r="R520" s="1"/>
      </tp>
      <tp>
        <v>35100</v>
        <stp/>
        <stp>P</stp>
        <stp>0</stp>
        <stp>STK</stp>
        <stp>N372170</stp>
        <stp>시가</stp>
        <stp/>
        <stp/>
        <tr r="P680" s="1"/>
      </tp>
      <tp>
        <v>35500</v>
        <stp/>
        <stp>P</stp>
        <stp>0</stp>
        <stp>STK</stp>
        <stp>N078340</stp>
        <stp>저가</stp>
        <stp/>
        <stp/>
        <tr r="R543" s="1"/>
      </tp>
      <tp>
        <v>42500</v>
        <stp/>
        <stp>P</stp>
        <stp>0</stp>
        <stp>STK</stp>
        <stp>N475400</stp>
        <stp>시가</stp>
        <stp/>
        <stp/>
        <tr r="P463" s="1"/>
      </tp>
      <tp>
        <v>10250</v>
        <stp/>
        <stp>P</stp>
        <stp>0</stp>
        <stp>STK</stp>
        <stp>N176750</stp>
        <stp>시가</stp>
        <stp/>
        <stp/>
        <tr r="P678" s="1"/>
      </tp>
      <tp>
        <v>87800</v>
        <stp/>
        <stp>P</stp>
        <stp>0</stp>
        <stp>STK</stp>
        <stp>N376270</stp>
        <stp>시가</stp>
        <stp/>
        <stp/>
        <tr r="P555" s="1"/>
      </tp>
      <tp>
        <v>89700</v>
        <stp/>
        <stp>P</stp>
        <stp>0</stp>
        <stp>STK</stp>
        <stp>N376270</stp>
        <stp>고가</stp>
        <stp/>
        <stp/>
        <tr r="Q555" s="1"/>
      </tp>
      <tp>
        <v>10450</v>
        <stp/>
        <stp>P</stp>
        <stp>0</stp>
        <stp>STK</stp>
        <stp>N176750</stp>
        <stp>고가</stp>
        <stp/>
        <stp/>
        <tr r="Q678" s="1"/>
      </tp>
      <tp>
        <v>44900</v>
        <stp/>
        <stp>P</stp>
        <stp>0</stp>
        <stp>STK</stp>
        <stp>N475400</stp>
        <stp>고가</stp>
        <stp/>
        <stp/>
        <tr r="Q463" s="1"/>
      </tp>
      <tp>
        <v>6030</v>
        <stp/>
        <stp>P</stp>
        <stp>0</stp>
        <stp>STK</stp>
        <stp>N073240</stp>
        <stp>고가</stp>
        <stp/>
        <stp/>
        <tr r="Q227" s="1"/>
      </tp>
      <tp>
        <v>36550</v>
        <stp/>
        <stp>P</stp>
        <stp>0</stp>
        <stp>STK</stp>
        <stp>N372170</stp>
        <stp>고가</stp>
        <stp/>
        <stp/>
        <tr r="Q680" s="1"/>
      </tp>
      <tp>
        <v>118400</v>
        <stp/>
        <stp>P</stp>
        <stp>0</stp>
        <stp>STK</stp>
        <stp>N271560</stp>
        <stp>고가</stp>
        <stp/>
        <stp/>
        <tr r="Q117" s="1"/>
      </tp>
      <tp>
        <v>26400</v>
        <stp/>
        <stp>P</stp>
        <stp>0</stp>
        <stp>STK</stp>
        <stp>N270660</stp>
        <stp>고가</stp>
        <stp/>
        <stp/>
        <tr r="Q542" s="1"/>
      </tp>
      <tp>
        <v>34000</v>
        <stp/>
        <stp>P</stp>
        <stp>0</stp>
        <stp>STK</stp>
        <stp>N079940</stp>
        <stp>고가</stp>
        <stp/>
        <stp/>
        <tr r="Q520" s="1"/>
      </tp>
      <tp>
        <v>37000</v>
        <stp/>
        <stp>P</stp>
        <stp>0</stp>
        <stp>STK</stp>
        <stp>N078340</stp>
        <stp>고가</stp>
        <stp/>
        <stp/>
        <tr r="Q543" s="1"/>
      </tp>
      <tp>
        <v>68526</v>
        <stp/>
        <stp>P</stp>
        <stp>0</stp>
        <stp>STK</stp>
        <stp>N0009K0</stp>
        <stp>누적거래량</stp>
        <stp/>
        <stp/>
        <tr r="M146" s="1"/>
      </tp>
      <tp>
        <v>9210</v>
        <stp/>
        <stp>P</stp>
        <stp>0</stp>
        <stp>STK</stp>
        <stp>N086900</stp>
        <stp>누적거래량</stp>
        <stp/>
        <stp/>
        <tr r="M341" s="1"/>
      </tp>
      <tp>
        <v>25785</v>
        <stp/>
        <stp>P</stp>
        <stp>0</stp>
        <stp>STK</stp>
        <stp>N079900</stp>
        <stp>누적거래량</stp>
        <stp/>
        <stp/>
        <tr r="M385" s="1"/>
      </tp>
      <tp>
        <v>7816</v>
        <stp/>
        <stp>P</stp>
        <stp>0</stp>
        <stp>STK</stp>
        <stp>N051900</stp>
        <stp>누적거래량</stp>
        <stp/>
        <stp/>
        <tr r="M127" s="1"/>
      </tp>
      <tp>
        <v>126021</v>
        <stp/>
        <stp>P</stp>
        <stp>0</stp>
        <stp>STK</stp>
        <stp>N035900</stp>
        <stp>누적거래량</stp>
        <stp/>
        <stp/>
        <tr r="M188" s="1"/>
      </tp>
      <tp>
        <v>50371</v>
        <stp/>
        <stp>P</stp>
        <stp>0</stp>
        <stp>STK</stp>
        <stp>N025900</stp>
        <stp>누적거래량</stp>
        <stp/>
        <stp/>
        <tr r="M530" s="1"/>
      </tp>
      <tp>
        <v>20668</v>
        <stp/>
        <stp>P</stp>
        <stp>0</stp>
        <stp>STK</stp>
        <stp>N314930</stp>
        <stp>누적거래량</stp>
        <stp/>
        <stp/>
        <tr r="M576" s="1"/>
      </tp>
      <tp>
        <v>26478</v>
        <stp/>
        <stp>P</stp>
        <stp>0</stp>
        <stp>STK</stp>
        <stp>N009900</stp>
        <stp>누적거래량</stp>
        <stp/>
        <stp/>
        <tr r="M467" s="1"/>
      </tp>
      <tp>
        <v>2441</v>
        <stp/>
        <stp>P</stp>
        <stp>0</stp>
        <stp>STK</stp>
        <stp>N170900</stp>
        <stp>누적거래량</stp>
        <stp/>
        <stp/>
        <tr r="M499" s="1"/>
      </tp>
      <tp>
        <v>12347</v>
        <stp/>
        <stp>P</stp>
        <stp>0</stp>
        <stp>STK</stp>
        <stp>N179900</stp>
        <stp>누적거래량</stp>
        <stp/>
        <stp/>
        <tr r="M528" s="1"/>
      </tp>
      <tp>
        <v>43418</v>
        <stp/>
        <stp>P</stp>
        <stp>0</stp>
        <stp>STK</stp>
        <stp>N051910</stp>
        <stp>누적거래량</stp>
        <stp/>
        <stp/>
        <tr r="M36" s="1"/>
      </tp>
      <tp>
        <v>406439</v>
        <stp/>
        <stp>P</stp>
        <stp>0</stp>
        <stp>STK</stp>
        <stp>N450950</stp>
        <stp>누적거래량</stp>
        <stp/>
        <stp/>
        <tr r="M501" s="1"/>
      </tp>
      <tp>
        <v>39000</v>
        <stp/>
        <stp>P</stp>
        <stp>0</stp>
        <stp>STK</stp>
        <stp>N082920</stp>
        <stp>누적거래량</stp>
        <stp/>
        <stp/>
        <tr r="M331" s="1"/>
      </tp>
      <tp>
        <v>48235</v>
        <stp/>
        <stp>P</stp>
        <stp>0</stp>
        <stp>STK</stp>
        <stp>N475960</stp>
        <stp>누적거래량</stp>
        <stp/>
        <stp/>
        <tr r="M431" s="1"/>
      </tp>
      <tp>
        <v>100161</v>
        <stp/>
        <stp>P</stp>
        <stp>0</stp>
        <stp>STK</stp>
        <stp>N047920</stp>
        <stp>누적거래량</stp>
        <stp/>
        <stp/>
        <tr r="M451" s="1"/>
      </tp>
      <tp>
        <v>19261</v>
        <stp/>
        <stp>P</stp>
        <stp>0</stp>
        <stp>STK</stp>
        <stp>N138930</stp>
        <stp>누적거래량</stp>
        <stp/>
        <stp/>
        <tr r="M115" s="1"/>
      </tp>
      <tp>
        <v>1134</v>
        <stp/>
        <stp>P</stp>
        <stp>0</stp>
        <stp>STK</stp>
        <stp>N101930</stp>
        <stp>누적거래량</stp>
        <stp/>
        <stp/>
        <tr r="M525" s="1"/>
      </tp>
      <tp>
        <v>1493</v>
        <stp/>
        <stp>P</stp>
        <stp>0</stp>
        <stp>STK</stp>
        <stp>N003920</stp>
        <stp>누적거래량</stp>
        <stp/>
        <stp/>
        <tr r="M620" s="1"/>
      </tp>
      <tp>
        <v>14772</v>
        <stp/>
        <stp>P</stp>
        <stp>0</stp>
        <stp>STK</stp>
        <stp>N382900</stp>
        <stp>누적거래량</stp>
        <stp/>
        <stp/>
        <tr r="M654" s="1"/>
      </tp>
      <tp>
        <v>132529</v>
        <stp/>
        <stp>P</stp>
        <stp>0</stp>
        <stp>STK</stp>
        <stp>N376900</stp>
        <stp>누적거래량</stp>
        <stp/>
        <stp/>
        <tr r="M313" s="1"/>
      </tp>
      <tp>
        <v>36668</v>
        <stp/>
        <stp>P</stp>
        <stp>0</stp>
        <stp>STK</stp>
        <stp>N078930</stp>
        <stp>누적거래량</stp>
        <stp/>
        <stp/>
        <tr r="M104" s="1"/>
      </tp>
      <tp>
        <v>30603</v>
        <stp/>
        <stp>P</stp>
        <stp>0</stp>
        <stp>STK</stp>
        <stp>N178920</stp>
        <stp>누적거래량</stp>
        <stp/>
        <stp/>
        <tr r="M504" s="1"/>
      </tp>
      <tp>
        <v>829049</v>
        <stp/>
        <stp>P</stp>
        <stp>0</stp>
        <stp>STK</stp>
        <stp>N036930</stp>
        <stp>누적거래량</stp>
        <stp/>
        <stp/>
        <tr r="M251" s="1"/>
      </tp>
      <tp>
        <v>4257726</v>
        <stp/>
        <stp>P</stp>
        <stp>0</stp>
        <stp>STK</stp>
        <stp>N005930</stp>
        <stp>누적거래량</stp>
        <stp/>
        <stp/>
        <tr r="M9" s="1"/>
      </tp>
      <tp>
        <v>16746</v>
        <stp/>
        <stp>P</stp>
        <stp>0</stp>
        <stp>STK</stp>
        <stp>N008930</stp>
        <stp>누적거래량</stp>
        <stp/>
        <stp/>
        <tr r="M168" s="1"/>
      </tp>
      <tp>
        <v>5101</v>
        <stp/>
        <stp>P</stp>
        <stp>0</stp>
        <stp>STK</stp>
        <stp>N381970</stp>
        <stp>누적거래량</stp>
        <stp/>
        <stp/>
        <tr r="M379" s="1"/>
      </tp>
      <tp>
        <v>669</v>
        <stp/>
        <stp>P</stp>
        <stp>0</stp>
        <stp>STK</stp>
        <stp>N079940</stp>
        <stp>누적거래량</stp>
        <stp/>
        <stp/>
        <tr r="M520" s="1"/>
      </tp>
      <tp>
        <v>51272</v>
        <stp/>
        <stp>P</stp>
        <stp>0</stp>
        <stp>STK</stp>
        <stp>N455900</stp>
        <stp>누적거래량</stp>
        <stp/>
        <stp/>
        <tr r="M418" s="1"/>
      </tp>
      <tp>
        <v>6970</v>
        <stp/>
        <stp>P</stp>
        <stp>0</stp>
        <stp>STK</stp>
        <stp>N259960</stp>
        <stp>누적거래량</stp>
        <stp/>
        <stp/>
        <tr r="M70" s="1"/>
      </tp>
      <tp>
        <v>27961</v>
        <stp/>
        <stp>P</stp>
        <stp>0</stp>
        <stp>STK</stp>
        <stp>N448900</stp>
        <stp>누적거래량</stp>
        <stp/>
        <stp/>
        <tr r="M489" s="1"/>
      </tp>
      <tp>
        <v>72072</v>
        <stp/>
        <stp>P</stp>
        <stp>0</stp>
        <stp>STK</stp>
        <stp>N014940</stp>
        <stp>누적거래량</stp>
        <stp/>
        <stp/>
        <tr r="M553" s="1"/>
      </tp>
      <tp>
        <v>1362</v>
        <stp/>
        <stp>P</stp>
        <stp>0</stp>
        <stp>STK</stp>
        <stp>N017940</stp>
        <stp>누적거래량</stp>
        <stp/>
        <stp/>
        <tr r="M447" s="1"/>
      </tp>
      <tp>
        <v>857</v>
        <stp/>
        <stp>P</stp>
        <stp>0</stp>
        <stp>STK</stp>
        <stp>N001940</stp>
        <stp>누적거래량</stp>
        <stp/>
        <stp/>
        <tr r="M554" s="1"/>
      </tp>
      <tp>
        <v>100327</v>
        <stp/>
        <stp>P</stp>
        <stp>0</stp>
        <stp>STK</stp>
        <stp>N005940</stp>
        <stp>누적거래량</stp>
        <stp/>
        <stp/>
        <tr r="M88" s="1"/>
      </tp>
      <tp>
        <v>78292</v>
        <stp/>
        <stp>P</stp>
        <stp>0</stp>
        <stp>STK</stp>
        <stp>N195940</stp>
        <stp>누적거래량</stp>
        <stp/>
        <stp/>
        <tr r="M265" s="1"/>
      </tp>
      <tp>
        <v>3926</v>
        <stp/>
        <stp>P</stp>
        <stp>0</stp>
        <stp>STK</stp>
        <stp>N097950</stp>
        <stp>누적거래량</stp>
        <stp/>
        <stp/>
        <tr r="M150" s="1"/>
      </tp>
      <tp>
        <v>9427</v>
        <stp/>
        <stp>P</stp>
        <stp>0</stp>
        <stp>STK</stp>
        <stp>N251970</stp>
        <stp>누적거래량</stp>
        <stp/>
        <stp/>
        <tr r="M396" s="1"/>
      </tp>
      <tp>
        <v>7112</v>
        <stp/>
        <stp>P</stp>
        <stp>0</stp>
        <stp>STK</stp>
        <stp>N054950</stp>
        <stp>누적거래량</stp>
        <stp/>
        <stp/>
        <tr r="M617" s="1"/>
      </tp>
      <tp>
        <v>123277</v>
        <stp/>
        <stp>P</stp>
        <stp>0</stp>
        <stp>STK</stp>
        <stp>N454910</stp>
        <stp>누적거래량</stp>
        <stp/>
        <stp/>
        <tr r="M90" s="1"/>
      </tp>
      <tp>
        <v>113</v>
        <stp/>
        <stp>P</stp>
        <stp>0</stp>
        <stp>STK</stp>
        <stp>N034950</stp>
        <stp>누적거래량</stp>
        <stp/>
        <stp/>
        <tr r="M511" s="1"/>
      </tp>
      <tp>
        <v>14416</v>
        <stp/>
        <stp>P</stp>
        <stp>0</stp>
        <stp>STK</stp>
        <stp>N128940</stp>
        <stp>누적거래량</stp>
        <stp/>
        <stp/>
        <tr r="M109" s="1"/>
      </tp>
      <tp>
        <v>27214</v>
        <stp/>
        <stp>P</stp>
        <stp>0</stp>
        <stp>STK</stp>
        <stp>N010950</stp>
        <stp>누적거래량</stp>
        <stp/>
        <stp/>
        <tr r="M72" s="1"/>
      </tp>
      <tp>
        <v>14398</v>
        <stp/>
        <stp>P</stp>
        <stp>0</stp>
        <stp>STK</stp>
        <stp>N102940</stp>
        <stp>누적거래량</stp>
        <stp/>
        <stp/>
        <tr r="M427" s="1"/>
      </tp>
      <tp>
        <v>83054</v>
        <stp/>
        <stp>P</stp>
        <stp>0</stp>
        <stp>STK</stp>
        <stp>N286940</stp>
        <stp>누적거래량</stp>
        <stp/>
        <stp/>
        <tr r="M596" s="1"/>
      </tp>
      <tp>
        <v>6311</v>
        <stp/>
        <stp>P</stp>
        <stp>0</stp>
        <stp>STK</stp>
        <stp>N271940</stp>
        <stp>누적거래량</stp>
        <stp/>
        <stp/>
        <tr r="M484" s="1"/>
      </tp>
      <tp>
        <v>18407</v>
        <stp/>
        <stp>P</stp>
        <stp>0</stp>
        <stp>STK</stp>
        <stp>N064960</stp>
        <stp>누적거래량</stp>
        <stp/>
        <stp/>
        <tr r="M302" s="1"/>
      </tp>
      <tp>
        <v>12805</v>
        <stp/>
        <stp>P</stp>
        <stp>0</stp>
        <stp>STK</stp>
        <stp>N069960</stp>
        <stp>누적거래량</stp>
        <stp/>
        <stp/>
        <tr r="M206" s="1"/>
      </tp>
      <tp>
        <v>98921</v>
        <stp/>
        <stp>P</stp>
        <stp>0</stp>
        <stp>STK</stp>
        <stp>N131970</stp>
        <stp>누적거래량</stp>
        <stp/>
        <stp/>
        <tr r="M311" s="1"/>
      </tp>
      <tp>
        <v>4453</v>
        <stp/>
        <stp>P</stp>
        <stp>0</stp>
        <stp>STK</stp>
        <stp>N026960</stp>
        <stp>누적거래량</stp>
        <stp/>
        <stp/>
        <tr r="M175" s="1"/>
      </tp>
      <tp>
        <v>57191</v>
        <stp/>
        <stp>P</stp>
        <stp>0</stp>
        <stp>STK</stp>
        <stp>N017960</stp>
        <stp>누적거래량</stp>
        <stp/>
        <stp/>
        <tr r="M221" s="1"/>
      </tp>
      <tp>
        <v>2100</v>
        <stp/>
        <stp>P</stp>
        <stp>0</stp>
        <stp>STK</stp>
        <stp>N003960</stp>
        <stp>누적거래량</stp>
        <stp/>
        <stp/>
        <tr r="M601" s="1"/>
      </tp>
      <tp>
        <v>283</v>
        <stp/>
        <stp>P</stp>
        <stp>0</stp>
        <stp>STK</stp>
        <stp>N002960</stp>
        <stp>누적거래량</stp>
        <stp/>
        <stp/>
        <tr r="M445" s="1"/>
      </tp>
      <tp>
        <v>3994</v>
        <stp/>
        <stp>P</stp>
        <stp>0</stp>
        <stp>STK</stp>
        <stp>N207940</stp>
        <stp>누적거래량</stp>
        <stp/>
        <stp/>
        <tr r="M13" s="1"/>
      </tp>
      <tp>
        <v>40101</v>
        <stp/>
        <stp>P</stp>
        <stp>0</stp>
        <stp>STK</stp>
        <stp>N307950</stp>
        <stp>누적거래량</stp>
        <stp/>
        <stp/>
        <tr r="M61" s="1"/>
      </tp>
      <tp>
        <v>142499</v>
        <stp/>
        <stp>P</stp>
        <stp>0</stp>
        <stp>STK</stp>
        <stp>N089970</stp>
        <stp>누적거래량</stp>
        <stp/>
        <stp/>
        <tr r="M409" s="1"/>
      </tp>
      <tp>
        <v>38157</v>
        <stp/>
        <stp>P</stp>
        <stp>0</stp>
        <stp>STK</stp>
        <stp>N071970</stp>
        <stp>누적거래량</stp>
        <stp/>
        <stp/>
        <tr r="M151" s="1"/>
      </tp>
      <tp>
        <v>33088</v>
        <stp/>
        <stp>P</stp>
        <stp>0</stp>
        <stp>STK</stp>
        <stp>N077970</stp>
        <stp>누적거래량</stp>
        <stp/>
        <stp/>
        <tr r="M249" s="1"/>
      </tp>
      <tp>
        <v>35223</v>
        <stp/>
        <stp>P</stp>
        <stp>0</stp>
        <stp>STK</stp>
        <stp>N460930</stp>
        <stp>누적거래량</stp>
        <stp/>
        <stp/>
        <tr r="M399" s="1"/>
      </tp>
      <tp>
        <v>108207</v>
        <stp/>
        <stp>P</stp>
        <stp>0</stp>
        <stp>STK</stp>
        <stp>N066970</stp>
        <stp>누적거래량</stp>
        <stp/>
        <stp/>
        <tr r="M118" s="1"/>
      </tp>
      <tp>
        <v>16120</v>
        <stp/>
        <stp>P</stp>
        <stp>0</stp>
        <stp>STK</stp>
        <stp>N058970</stp>
        <stp>누적거래량</stp>
        <stp/>
        <stp/>
        <tr r="M512" s="1"/>
      </tp>
      <tp>
        <v>67239</v>
        <stp/>
        <stp>P</stp>
        <stp>0</stp>
        <stp>STK</stp>
        <stp>N226950</stp>
        <stp>누적거래량</stp>
        <stp/>
        <stp/>
        <tr r="M189" s="1"/>
      </tp>
      <tp>
        <v>888</v>
        <stp/>
        <stp>P</stp>
        <stp>0</stp>
        <stp>STK</stp>
        <stp>N009970</stp>
        <stp>누적거래량</stp>
        <stp/>
        <stp/>
        <tr r="M176" s="1"/>
      </tp>
      <tp>
        <v>12755</v>
        <stp/>
        <stp>P</stp>
        <stp>0</stp>
        <stp>STK</stp>
        <stp>N089980</stp>
        <stp>누적거래량</stp>
        <stp/>
        <stp/>
        <tr r="M681" s="1"/>
      </tp>
      <tp>
        <v>7052</v>
        <stp/>
        <stp>P</stp>
        <stp>0</stp>
        <stp>STK</stp>
        <stp>N060980</stp>
        <stp>누적거래량</stp>
        <stp/>
        <stp/>
        <tr r="M508" s="1"/>
      </tp>
      <tp>
        <v>824</v>
        <stp/>
        <stp>P</stp>
        <stp>0</stp>
        <stp>STK</stp>
        <stp>N145990</stp>
        <stp>누적거래량</stp>
        <stp/>
        <stp/>
        <tr r="M495" s="1"/>
      </tp>
      <tp>
        <v>69504</v>
        <stp/>
        <stp>P</stp>
        <stp>0</stp>
        <stp>STK</stp>
        <stp>N031980</stp>
        <stp>누적거래량</stp>
        <stp/>
        <stp/>
        <tr r="M261" s="1"/>
      </tp>
      <tp>
        <v>228474</v>
        <stp/>
        <stp>P</stp>
        <stp>0</stp>
        <stp>STK</stp>
        <stp>N025980</stp>
        <stp>누적거래량</stp>
        <stp/>
        <stp/>
        <tr r="M376" s="1"/>
      </tp>
      <tp>
        <v>111288</v>
        <stp/>
        <stp>P</stp>
        <stp>0</stp>
        <stp>STK</stp>
        <stp>N110990</stp>
        <stp>누적거래량</stp>
        <stp/>
        <stp/>
        <tr r="M586" s="1"/>
      </tp>
      <tp>
        <v>10024</v>
        <stp/>
        <stp>P</stp>
        <stp>0</stp>
        <stp>STK</stp>
        <stp>N004980</stp>
        <stp>누적거래량</stp>
        <stp/>
        <stp/>
        <tr r="M692" s="1"/>
      </tp>
      <tp>
        <v>85189</v>
        <stp/>
        <stp>P</stp>
        <stp>0</stp>
        <stp>STK</stp>
        <stp>N000990</stp>
        <stp>누적거래량</stp>
        <stp/>
        <stp/>
        <tr r="M128" s="1"/>
      </tp>
      <tp>
        <v>48211</v>
        <stp/>
        <stp>P</stp>
        <stp>0</stp>
        <stp>STK</stp>
        <stp>N004990</stp>
        <stp>누적거래량</stp>
        <stp/>
        <stp/>
        <tr r="M153" s="1"/>
      </tp>
      <tp>
        <v>488</v>
        <stp/>
        <stp>P</stp>
        <stp>0</stp>
        <stp>STK</stp>
        <stp>N267980</stp>
        <stp>누적거래량</stp>
        <stp/>
        <stp/>
        <tr r="M658" s="1"/>
      </tp>
      <tp>
        <v>51609</v>
        <stp/>
        <stp>P</stp>
        <stp>0</stp>
        <stp>STK</stp>
        <stp>N473980</stp>
        <stp>누적거래량</stp>
        <stp/>
        <stp/>
        <tr r="M649" s="1"/>
      </tp>
      <tp>
        <v>95240</v>
        <stp/>
        <stp>P</stp>
        <stp>0</stp>
        <stp>STK</stp>
        <stp>N486990</stp>
        <stp>누적거래량</stp>
        <stp/>
        <stp/>
        <tr r="M318" s="1"/>
      </tp>
      <tp>
        <v>21700</v>
        <stp/>
        <stp>P</stp>
        <stp>0</stp>
        <stp>STK</stp>
        <stp>049070</stp>
        <stp>현재가</stp>
        <stp/>
        <stp/>
        <tr r="U522" s="1"/>
      </tp>
      <tp>
        <v>37400</v>
        <stp/>
        <stp>P</stp>
        <stp>0</stp>
        <stp>STK</stp>
        <stp>249420</stp>
        <stp>현재가</stp>
        <stp/>
        <stp/>
        <tr r="U288" s="1"/>
      </tp>
      <tp>
        <v>70000</v>
        <stp/>
        <stp>P</stp>
        <stp>0</stp>
        <stp>STK</stp>
        <stp>448900</stp>
        <stp>현재가</stp>
        <stp/>
        <stp/>
        <tr r="U489" s="1"/>
      </tp>
      <tp>
        <v>94000</v>
        <stp/>
        <stp>P</stp>
        <stp>0</stp>
        <stp>STK</stp>
        <stp>348370</stp>
        <stp>현재가</stp>
        <stp/>
        <stp/>
        <tr r="U266" s="1"/>
      </tp>
      <tp>
        <v>10790</v>
        <stp/>
        <stp>P</stp>
        <stp>0</stp>
        <stp>STK</stp>
        <stp>448280</stp>
        <stp>현재가</stp>
        <stp/>
        <stp/>
        <tr r="U641" s="1"/>
      </tp>
      <tp>
        <v>94000</v>
        <stp/>
        <stp>P</stp>
        <stp>0</stp>
        <stp>STK</stp>
        <stp>348210</stp>
        <stp>현재가</stp>
        <stp/>
        <stp/>
        <tr r="U363" s="1"/>
      </tp>
      <tp>
        <v>15640</v>
        <stp/>
        <stp>P</stp>
        <stp>0</stp>
        <stp>STK</stp>
        <stp>248070</stp>
        <stp>현재가</stp>
        <stp/>
        <stp/>
        <tr r="U380" s="1"/>
      </tp>
      <tp>
        <v>11290</v>
        <stp/>
        <stp>P</stp>
        <stp>0</stp>
        <stp>STK</stp>
        <stp>048410</stp>
        <stp>현재가</stp>
        <stp/>
        <stp/>
        <tr r="U455" s="1"/>
      </tp>
      <tp>
        <v>47000</v>
        <stp/>
        <stp>P</stp>
        <stp>0</stp>
        <stp>STK</stp>
        <stp>145990</stp>
        <stp>현재가</stp>
        <stp/>
        <stp/>
        <tr r="U495" s="1"/>
      </tp>
      <tp>
        <v>31400</v>
        <stp/>
        <stp>P</stp>
        <stp>0</stp>
        <stp>STK</stp>
        <stp>045100</stp>
        <stp>현재가</stp>
        <stp/>
        <stp/>
        <tr r="U503" s="1"/>
      </tp>
      <tp>
        <v>31200</v>
        <stp/>
        <stp>P</stp>
        <stp>0</stp>
        <stp>STK</stp>
        <stp>445090</stp>
        <stp>현재가</stp>
        <stp/>
        <stp/>
        <tr r="U609" s="1"/>
      </tp>
      <tp>
        <v>277500</v>
        <stp/>
        <stp>P</stp>
        <stp>0</stp>
        <stp>STK</stp>
        <stp>145020</stp>
        <stp>현재가</stp>
        <stp/>
        <stp/>
        <tr r="U161" s="1"/>
      </tp>
      <tp>
        <v>46850</v>
        <stp/>
        <stp>P</stp>
        <stp>0</stp>
        <stp>STK</stp>
        <stp>145720</stp>
        <stp>현재가</stp>
        <stp/>
        <stp/>
        <tr r="U470" s="1"/>
      </tp>
      <tp>
        <v>122000</v>
        <stp/>
        <stp>P</stp>
        <stp>0</stp>
        <stp>STK</stp>
        <stp>445680</stp>
        <stp>현재가</stp>
        <stp/>
        <stp/>
        <tr r="U207" s="1"/>
      </tp>
      <tp>
        <v>26600</v>
        <stp/>
        <stp>P</stp>
        <stp>0</stp>
        <stp>STK</stp>
        <stp>344820</stp>
        <stp>현재가</stp>
        <stp/>
        <stp/>
        <tr r="U519" s="1"/>
      </tp>
      <tp>
        <v>25850</v>
        <stp/>
        <stp>P</stp>
        <stp>0</stp>
        <stp>STK</stp>
        <stp>144510</stp>
        <stp>현재가</stp>
        <stp/>
        <stp/>
        <tr r="U578" s="1"/>
      </tp>
      <tp>
        <v>29800</v>
        <stp/>
        <stp>P</stp>
        <stp>0</stp>
        <stp>STK</stp>
        <stp>044490</stp>
        <stp>현재가</stp>
        <stp/>
        <stp/>
        <tr r="U394" s="1"/>
      </tp>
      <tp>
        <v>16720</v>
        <stp/>
        <stp>P</stp>
        <stp>0</stp>
        <stp>STK</stp>
        <stp>047920</stp>
        <stp>현재가</stp>
        <stp/>
        <stp/>
        <tr r="U451" s="1"/>
      </tp>
      <tp>
        <v>168000</v>
        <stp/>
        <stp>P</stp>
        <stp>0</stp>
        <stp>STK</stp>
        <stp>047810</stp>
        <stp>현재가</stp>
        <stp/>
        <stp/>
        <tr r="U56" s="1"/>
      </tp>
      <tp>
        <v>93400</v>
        <stp/>
        <stp>P</stp>
        <stp>0</stp>
        <stp>STK</stp>
        <stp>347850</stp>
        <stp>현재가</stp>
        <stp/>
        <stp/>
        <tr r="U141" s="1"/>
      </tp>
      <tp>
        <v>62400</v>
        <stp/>
        <stp>P</stp>
        <stp>0</stp>
        <stp>STK</stp>
        <stp>047050</stp>
        <stp>현재가</stp>
        <stp/>
        <stp/>
        <tr r="U71" s="1"/>
      </tp>
      <tp>
        <v>4810</v>
        <stp/>
        <stp>P</stp>
        <stp>0</stp>
        <stp>STK</stp>
        <stp>047040</stp>
        <stp>현재가</stp>
        <stp/>
        <stp/>
        <tr r="U211" s="1"/>
      </tp>
      <tp>
        <v>232000</v>
        <stp/>
        <stp>P</stp>
        <stp>0</stp>
        <stp>STK</stp>
        <stp>247540</stp>
        <stp>현재가</stp>
        <stp/>
        <stp/>
        <tr r="U57" s="1"/>
      </tp>
      <tp>
        <v>7460</v>
        <stp/>
        <stp>P</stp>
        <stp>0</stp>
        <stp>STK</stp>
        <stp>046890</stp>
        <stp>현재가</stp>
        <stp/>
        <stp/>
        <tr r="U579" s="1"/>
      </tp>
      <tp>
        <v>32000</v>
        <stp/>
        <stp>P</stp>
        <stp>0</stp>
        <stp>STK</stp>
        <stp>041830</stp>
        <stp>현재가</stp>
        <stp/>
        <stp/>
        <tr r="U546" s="1"/>
      </tp>
      <tp>
        <v>9360</v>
        <stp/>
        <stp>P</stp>
        <stp>0</stp>
        <stp>STK</stp>
        <stp>441270</stp>
        <stp>현재가</stp>
        <stp/>
        <stp/>
        <tr r="U572" s="1"/>
      </tp>
      <tp>
        <v>8080</v>
        <stp/>
        <stp>P</stp>
        <stp>0</stp>
        <stp>STK</stp>
        <stp>041190</stp>
        <stp>현재가</stp>
        <stp/>
        <stp/>
        <tr r="U428" s="1"/>
      </tp>
      <tp>
        <v>199900</v>
        <stp/>
        <stp>P</stp>
        <stp>0</stp>
        <stp>STK</stp>
        <stp>141080</stp>
        <stp>현재가</stp>
        <stp/>
        <stp/>
        <tr r="U108" s="1"/>
      </tp>
      <tp>
        <v>93400</v>
        <stp/>
        <stp>P</stp>
        <stp>0</stp>
        <stp>STK</stp>
        <stp>241710</stp>
        <stp>현재가</stp>
        <stp/>
        <stp/>
        <tr r="U360" s="1"/>
      </tp>
      <tp>
        <v>24900</v>
        <stp/>
        <stp>P</stp>
        <stp>0</stp>
        <stp>STK</stp>
        <stp>241770</stp>
        <stp>현재가</stp>
        <stp/>
        <stp/>
        <tr r="U686" s="1"/>
      </tp>
      <tp>
        <v>111900</v>
        <stp/>
        <stp>P</stp>
        <stp>0</stp>
        <stp>STK</stp>
        <stp>041510</stp>
        <stp>현재가</stp>
        <stp/>
        <stp/>
        <tr r="U180" s="1"/>
      </tp>
      <tp>
        <v>59600</v>
        <stp/>
        <stp>P</stp>
        <stp>0</stp>
        <stp>STK</stp>
        <stp>241560</stp>
        <stp>현재가</stp>
        <stp/>
        <stp/>
        <tr r="U103" s="1"/>
      </tp>
      <tp>
        <v>111300</v>
        <stp/>
        <stp>P</stp>
        <stp>0</stp>
        <stp>STK</stp>
        <stp>240810</stp>
        <stp>현재가</stp>
        <stp/>
        <stp/>
        <tr r="U133" s="1"/>
      </tp>
      <tp>
        <v>291500</v>
        <stp/>
        <stp>P</stp>
        <stp>0</stp>
        <stp>STK</stp>
        <stp>140860</stp>
        <stp>현재가</stp>
        <stp/>
        <stp/>
        <tr r="U241" s="1"/>
      </tp>
      <tp>
        <v>55900</v>
        <stp/>
        <stp>P</stp>
        <stp>0</stp>
        <stp>STK</stp>
        <stp>340570</stp>
        <stp>현재가</stp>
        <stp/>
        <stp/>
        <tr r="U575" s="1"/>
      </tp>
      <tp>
        <v>160100</v>
        <stp/>
        <stp>P</stp>
        <stp>0</stp>
        <stp>STK</stp>
        <stp>140410</stp>
        <stp>현재가</stp>
        <stp/>
        <stp/>
        <tr r="U154" s="1"/>
      </tp>
      <tp>
        <v>11710</v>
        <stp/>
        <stp>P</stp>
        <stp>0</stp>
        <stp>STK</stp>
        <stp>043370</stp>
        <stp>현재가</stp>
        <stp/>
        <stp/>
        <tr r="U653" s="1"/>
      </tp>
      <tp>
        <v>20200</v>
        <stp/>
        <stp>P</stp>
        <stp>0</stp>
        <stp>STK</stp>
        <stp>043150</stp>
        <stp>현재가</stp>
        <stp/>
        <stp/>
        <tr r="U645" s="1"/>
      </tp>
      <tp>
        <v>180400</v>
        <stp/>
        <stp>P</stp>
        <stp>0</stp>
        <stp>STK</stp>
        <stp>443060</stp>
        <stp>현재가</stp>
        <stp/>
        <stp/>
        <tr r="U86" s="1"/>
      </tp>
      <tp>
        <v>27400</v>
        <stp/>
        <stp>P</stp>
        <stp>0</stp>
        <stp>STK</stp>
        <stp>243070</stp>
        <stp>현재가</stp>
        <stp/>
        <stp/>
        <tr r="U614" s="1"/>
      </tp>
      <tp>
        <v>36800</v>
        <stp/>
        <stp>P</stp>
        <stp>0</stp>
        <stp>STK</stp>
        <stp>042000</stp>
        <stp>현재가</stp>
        <stp/>
        <stp/>
        <tr r="U370" s="1"/>
      </tp>
      <tp>
        <v>200500</v>
        <stp/>
        <stp>P</stp>
        <stp>0</stp>
        <stp>STK</stp>
        <stp>042700</stp>
        <stp>현재가</stp>
        <stp/>
        <stp/>
        <tr r="U54" s="1"/>
      </tp>
      <tp>
        <v>140400</v>
        <stp/>
        <stp>P</stp>
        <stp>0</stp>
        <stp>STK</stp>
        <stp>042660</stp>
        <stp>현재가</stp>
        <stp/>
        <stp/>
        <tr r="U23" s="1"/>
      </tp>
      <tp>
        <v>40050</v>
        <stp/>
        <stp>P</stp>
        <stp>0</stp>
        <stp>STK</stp>
        <stp>042520</stp>
        <stp>현재가</stp>
        <stp/>
        <stp/>
        <tr r="U607" s="1"/>
      </tp>
      <tp>
        <v>29000</v>
        <stp/>
        <stp>P</stp>
        <stp>0</stp>
        <stp>STK</stp>
        <stp>N089970</stp>
        <stp>시가</stp>
        <stp/>
        <stp/>
        <tr r="P409" s="1"/>
      </tp>
      <tp>
        <v>39200</v>
        <stp/>
        <stp>P</stp>
        <stp>0</stp>
        <stp>STK</stp>
        <stp>N082270</stp>
        <stp>저가</stp>
        <stp/>
        <stp/>
        <tr r="R316" s="1"/>
      </tp>
      <tp>
        <v>100200</v>
        <stp/>
        <stp>P</stp>
        <stp>0</stp>
        <stp>STK</stp>
        <stp>N084370</stp>
        <stp>저가</stp>
        <stp/>
        <stp/>
        <tr r="R222" s="1"/>
      </tp>
      <tp>
        <v>27800</v>
        <stp/>
        <stp>P</stp>
        <stp>0</stp>
        <stp>STK</stp>
        <stp>N089970</stp>
        <stp>저가</stp>
        <stp/>
        <stp/>
        <tr r="R409" s="1"/>
      </tp>
      <tp>
        <v>42900</v>
        <stp/>
        <stp>P</stp>
        <stp>0</stp>
        <stp>STK</stp>
        <stp>N082270</stp>
        <stp>시가</stp>
        <stp/>
        <stp/>
        <tr r="P316" s="1"/>
      </tp>
      <tp>
        <v>107100</v>
        <stp/>
        <stp>P</stp>
        <stp>0</stp>
        <stp>STK</stp>
        <stp>N084370</stp>
        <stp>시가</stp>
        <stp/>
        <stp/>
        <tr r="P222" s="1"/>
      </tp>
      <tp>
        <v>107100</v>
        <stp/>
        <stp>P</stp>
        <stp>0</stp>
        <stp>STK</stp>
        <stp>N084370</stp>
        <stp>고가</stp>
        <stp/>
        <stp/>
        <tr r="Q222" s="1"/>
      </tp>
      <tp>
        <v>43700</v>
        <stp/>
        <stp>P</stp>
        <stp>0</stp>
        <stp>STK</stp>
        <stp>N082270</stp>
        <stp>고가</stp>
        <stp/>
        <stp/>
        <tr r="Q316" s="1"/>
      </tp>
      <tp>
        <v>29650</v>
        <stp/>
        <stp>P</stp>
        <stp>0</stp>
        <stp>STK</stp>
        <stp>N089970</stp>
        <stp>고가</stp>
        <stp/>
        <stp/>
        <tr r="Q409" s="1"/>
      </tp>
      <tp>
        <v>8130</v>
        <stp/>
        <stp>P</stp>
        <stp>0</stp>
        <stp>STK</stp>
        <stp>N093370</stp>
        <stp>저가</stp>
        <stp/>
        <stp/>
        <tr r="R358" s="1"/>
      </tp>
      <tp>
        <v>36800</v>
        <stp/>
        <stp>P</stp>
        <stp>0</stp>
        <stp>STK</stp>
        <stp>N098070</stp>
        <stp>시가</stp>
        <stp/>
        <stp/>
        <tr r="P513" s="1"/>
      </tp>
      <tp>
        <v>237000</v>
        <stp/>
        <stp>P</stp>
        <stp>0</stp>
        <stp>STK</stp>
        <stp>N298050</stp>
        <stp>시가</stp>
        <stp/>
        <stp/>
        <tr r="P321" s="1"/>
      </tp>
      <tp>
        <v>84100</v>
        <stp/>
        <stp>P</stp>
        <stp>0</stp>
        <stp>STK</stp>
        <stp>N290650</stp>
        <stp>저가</stp>
        <stp/>
        <stp/>
        <tr r="R269" s="1"/>
      </tp>
      <tp>
        <v>109600</v>
        <stp/>
        <stp>P</stp>
        <stp>0</stp>
        <stp>STK</stp>
        <stp>N096770</stp>
        <stp>저가</stp>
        <stp/>
        <stp/>
        <tr r="R50" s="1"/>
      </tp>
      <tp>
        <v>28500</v>
        <stp/>
        <stp>P</stp>
        <stp>0</stp>
        <stp>STK</stp>
        <stp>N094170</stp>
        <stp>저가</stp>
        <stp/>
        <stp/>
        <tr r="R439" s="1"/>
      </tp>
      <tp>
        <v>88000</v>
        <stp/>
        <stp>P</stp>
        <stp>0</stp>
        <stp>STK</stp>
        <stp>N290650</stp>
        <stp>시가</stp>
        <stp/>
        <stp/>
        <tr r="P269" s="1"/>
      </tp>
      <tp>
        <v>8400</v>
        <stp/>
        <stp>P</stp>
        <stp>0</stp>
        <stp>STK</stp>
        <stp>N093370</stp>
        <stp>시가</stp>
        <stp/>
        <stp/>
        <tr r="P358" s="1"/>
      </tp>
      <tp>
        <v>34900</v>
        <stp/>
        <stp>P</stp>
        <stp>0</stp>
        <stp>STK</stp>
        <stp>N098070</stp>
        <stp>저가</stp>
        <stp/>
        <stp/>
        <tr r="R513" s="1"/>
      </tp>
      <tp>
        <v>227000</v>
        <stp/>
        <stp>P</stp>
        <stp>0</stp>
        <stp>STK</stp>
        <stp>N298050</stp>
        <stp>저가</stp>
        <stp/>
        <stp/>
        <tr r="R321" s="1"/>
      </tp>
      <tp>
        <v>30350</v>
        <stp/>
        <stp>P</stp>
        <stp>0</stp>
        <stp>STK</stp>
        <stp>N094170</stp>
        <stp>시가</stp>
        <stp/>
        <stp/>
        <tr r="P439" s="1"/>
      </tp>
      <tp>
        <v>116100</v>
        <stp/>
        <stp>P</stp>
        <stp>0</stp>
        <stp>STK</stp>
        <stp>N096770</stp>
        <stp>시가</stp>
        <stp/>
        <stp/>
        <tr r="P50" s="1"/>
      </tp>
      <tp>
        <v>116100</v>
        <stp/>
        <stp>P</stp>
        <stp>0</stp>
        <stp>STK</stp>
        <stp>N096770</stp>
        <stp>고가</stp>
        <stp/>
        <stp/>
        <tr r="Q50" s="1"/>
      </tp>
      <tp>
        <v>30700</v>
        <stp/>
        <stp>P</stp>
        <stp>0</stp>
        <stp>STK</stp>
        <stp>N094170</stp>
        <stp>고가</stp>
        <stp/>
        <stp/>
        <tr r="Q439" s="1"/>
      </tp>
      <tp>
        <v>8400</v>
        <stp/>
        <stp>P</stp>
        <stp>0</stp>
        <stp>STK</stp>
        <stp>N093370</stp>
        <stp>고가</stp>
        <stp/>
        <stp/>
        <tr r="Q358" s="1"/>
      </tp>
      <tp>
        <v>90800</v>
        <stp/>
        <stp>P</stp>
        <stp>0</stp>
        <stp>STK</stp>
        <stp>N290650</stp>
        <stp>고가</stp>
        <stp/>
        <stp/>
        <tr r="Q269" s="1"/>
      </tp>
      <tp>
        <v>36800</v>
        <stp/>
        <stp>P</stp>
        <stp>0</stp>
        <stp>STK</stp>
        <stp>N098070</stp>
        <stp>고가</stp>
        <stp/>
        <stp/>
        <tr r="Q513" s="1"/>
      </tp>
      <tp>
        <v>237500</v>
        <stp/>
        <stp>P</stp>
        <stp>0</stp>
        <stp>STK</stp>
        <stp>N298050</stp>
        <stp>고가</stp>
        <stp/>
        <stp/>
        <tr r="Q321" s="1"/>
      </tp>
      <tp>
        <v>207000</v>
        <stp/>
        <stp>P</stp>
        <stp>0</stp>
        <stp>STK</stp>
        <stp>N009970</stp>
        <stp>시가</stp>
        <stp/>
        <stp/>
        <tr r="P176" s="1"/>
      </tp>
      <tp>
        <v>49550</v>
        <stp/>
        <stp>P</stp>
        <stp>0</stp>
        <stp>STK</stp>
        <stp>N003570</stp>
        <stp>저가</stp>
        <stp/>
        <stp/>
        <tr r="R237" s="1"/>
      </tp>
      <tp>
        <v>213000</v>
        <stp/>
        <stp>P</stp>
        <stp>0</stp>
        <stp>STK</stp>
        <stp>N003670</stp>
        <stp>저가</stp>
        <stp/>
        <stp/>
        <tr r="R49" s="1"/>
      </tp>
      <tp>
        <v>46100</v>
        <stp/>
        <stp>P</stp>
        <stp>0</stp>
        <stp>STK</stp>
        <stp>N008770</stp>
        <stp>시가</stp>
        <stp/>
        <stp/>
        <tr r="P229" s="1"/>
      </tp>
      <tp>
        <v>13800</v>
        <stp/>
        <stp>P</stp>
        <stp>0</stp>
        <stp>STK</stp>
        <stp>N108860</stp>
        <stp>시가</stp>
        <stp/>
        <stp/>
        <tr r="P603" s="1"/>
      </tp>
      <tp>
        <v>22000</v>
        <stp/>
        <stp>P</stp>
        <stp>0</stp>
        <stp>STK</stp>
        <stp>N402030</stp>
        <stp>저가</stp>
        <stp/>
        <stp/>
        <tr r="R644" s="1"/>
      </tp>
      <tp>
        <v>49700</v>
        <stp/>
        <stp>P</stp>
        <stp>0</stp>
        <stp>STK</stp>
        <stp>N302440</stp>
        <stp>저가</stp>
        <stp/>
        <stp/>
        <tr r="R134" s="1"/>
      </tp>
      <tp>
        <v>24600</v>
        <stp/>
        <stp>P</stp>
        <stp>0</stp>
        <stp>STK</stp>
        <stp>N101160</stp>
        <stp>저가</stp>
        <stp/>
        <stp/>
        <tr r="R561" s="1"/>
      </tp>
      <tp>
        <v>21550</v>
        <stp/>
        <stp>P</stp>
        <stp>0</stp>
        <stp>STK</stp>
        <stp>N101360</stp>
        <stp>저가</stp>
        <stp/>
        <stp/>
        <tr r="R600" s="1"/>
      </tp>
      <tp>
        <v>69000</v>
        <stp/>
        <stp>P</stp>
        <stp>0</stp>
        <stp>STK</stp>
        <stp>N001270</stp>
        <stp>저가</stp>
        <stp/>
        <stp/>
        <tr r="R415" s="1"/>
      </tp>
      <tp>
        <v>59900</v>
        <stp/>
        <stp>P</stp>
        <stp>0</stp>
        <stp>STK</stp>
        <stp>N000070</stp>
        <stp>저가</stp>
        <stp/>
        <stp/>
        <tr r="R505" s="1"/>
      </tp>
      <tp>
        <v>149300</v>
        <stp/>
        <stp>P</stp>
        <stp>0</stp>
        <stp>STK</stp>
        <stp>N000270</stp>
        <stp>저가</stp>
        <stp/>
        <stp/>
        <tr r="R14" s="1"/>
      </tp>
      <tp>
        <v>59000</v>
        <stp/>
        <stp>P</stp>
        <stp>0</stp>
        <stp>STK</stp>
        <stp>N000670</stp>
        <stp>저가</stp>
        <stp/>
        <stp/>
        <tr r="R324" s="1"/>
      </tp>
      <tp>
        <v>21850</v>
        <stp/>
        <stp>P</stp>
        <stp>0</stp>
        <stp>STK</stp>
        <stp>N007070</stp>
        <stp>저가</stp>
        <stp/>
        <stp/>
        <tr r="R235" s="1"/>
      </tp>
      <tp>
        <v>12610</v>
        <stp/>
        <stp>P</stp>
        <stp>0</stp>
        <stp>STK</stp>
        <stp>N206650</stp>
        <stp>저가</stp>
        <stp/>
        <stp/>
        <tr r="R534" s="1"/>
      </tp>
      <tp>
        <v>49250</v>
        <stp/>
        <stp>P</stp>
        <stp>0</stp>
        <stp>STK</stp>
        <stp>N005070</stp>
        <stp>저가</stp>
        <stp/>
        <stp/>
        <tr r="R255" s="1"/>
      </tp>
      <tp>
        <v>134600</v>
        <stp/>
        <stp>P</stp>
        <stp>0</stp>
        <stp>STK</stp>
        <stp>N105560</stp>
        <stp>저가</stp>
        <stp/>
        <stp/>
        <tr r="R19" s="1"/>
      </tp>
      <tp>
        <v>315500</v>
        <stp/>
        <stp>P</stp>
        <stp>0</stp>
        <stp>STK</stp>
        <stp>N004170</stp>
        <stp>저가</stp>
        <stp/>
        <stp/>
        <tr r="R163" s="1"/>
      </tp>
      <tp>
        <v>401500</v>
        <stp/>
        <stp>P</stp>
        <stp>0</stp>
        <stp>STK</stp>
        <stp>N004370</stp>
        <stp>저가</stp>
        <stp/>
        <stp/>
        <tr r="R182" s="1"/>
      </tp>
      <tp>
        <v>25600</v>
        <stp/>
        <stp>P</stp>
        <stp>0</stp>
        <stp>STK</stp>
        <stp>N101160</stp>
        <stp>시가</stp>
        <stp/>
        <stp/>
        <tr r="P561" s="1"/>
      </tp>
      <tp>
        <v>22400</v>
        <stp/>
        <stp>P</stp>
        <stp>0</stp>
        <stp>STK</stp>
        <stp>N101360</stp>
        <stp>시가</stp>
        <stp/>
        <stp/>
        <tr r="P600" s="1"/>
      </tp>
      <tp>
        <v>71000</v>
        <stp/>
        <stp>P</stp>
        <stp>0</stp>
        <stp>STK</stp>
        <stp>N001270</stp>
        <stp>시가</stp>
        <stp/>
        <stp/>
        <tr r="P415" s="1"/>
      </tp>
      <tp>
        <v>64000</v>
        <stp/>
        <stp>P</stp>
        <stp>0</stp>
        <stp>STK</stp>
        <stp>N000670</stp>
        <stp>시가</stp>
        <stp/>
        <stp/>
        <tr r="P324" s="1"/>
      </tp>
      <tp>
        <v>60800</v>
        <stp/>
        <stp>P</stp>
        <stp>0</stp>
        <stp>STK</stp>
        <stp>N000070</stp>
        <stp>시가</stp>
        <stp/>
        <stp/>
        <tr r="P505" s="1"/>
      </tp>
      <tp>
        <v>152200</v>
        <stp/>
        <stp>P</stp>
        <stp>0</stp>
        <stp>STK</stp>
        <stp>N000270</stp>
        <stp>시가</stp>
        <stp/>
        <stp/>
        <tr r="P14" s="1"/>
      </tp>
      <tp>
        <v>51800</v>
        <stp/>
        <stp>P</stp>
        <stp>0</stp>
        <stp>STK</stp>
        <stp>N003570</stp>
        <stp>시가</stp>
        <stp/>
        <stp/>
        <tr r="P237" s="1"/>
      </tp>
      <tp>
        <v>221000</v>
        <stp/>
        <stp>P</stp>
        <stp>0</stp>
        <stp>STK</stp>
        <stp>N003670</stp>
        <stp>시가</stp>
        <stp/>
        <stp/>
        <tr r="P49" s="1"/>
      </tp>
      <tp>
        <v>200000</v>
        <stp/>
        <stp>P</stp>
        <stp>0</stp>
        <stp>STK</stp>
        <stp>N009970</stp>
        <stp>저가</stp>
        <stp/>
        <stp/>
        <tr r="R176" s="1"/>
      </tp>
      <tp>
        <v>50800</v>
        <stp/>
        <stp>P</stp>
        <stp>0</stp>
        <stp>STK</stp>
        <stp>N302440</stp>
        <stp>시가</stp>
        <stp/>
        <stp/>
        <tr r="P134" s="1"/>
      </tp>
      <tp>
        <v>23050</v>
        <stp/>
        <stp>P</stp>
        <stp>0</stp>
        <stp>STK</stp>
        <stp>N402030</stp>
        <stp>시가</stp>
        <stp/>
        <stp/>
        <tr r="P644" s="1"/>
      </tp>
      <tp>
        <v>12650</v>
        <stp/>
        <stp>P</stp>
        <stp>0</stp>
        <stp>STK</stp>
        <stp>N108860</stp>
        <stp>저가</stp>
        <stp/>
        <stp/>
        <tr r="R603" s="1"/>
      </tp>
      <tp>
        <v>45850</v>
        <stp/>
        <stp>P</stp>
        <stp>0</stp>
        <stp>STK</stp>
        <stp>N008770</stp>
        <stp>저가</stp>
        <stp/>
        <stp/>
        <tr r="R229" s="1"/>
      </tp>
      <tp>
        <v>136100</v>
        <stp/>
        <stp>P</stp>
        <stp>0</stp>
        <stp>STK</stp>
        <stp>N105560</stp>
        <stp>시가</stp>
        <stp/>
        <stp/>
        <tr r="P19" s="1"/>
      </tp>
      <tp>
        <v>49900</v>
        <stp/>
        <stp>P</stp>
        <stp>0</stp>
        <stp>STK</stp>
        <stp>N005070</stp>
        <stp>시가</stp>
        <stp/>
        <stp/>
        <tr r="P255" s="1"/>
      </tp>
      <tp>
        <v>317500</v>
        <stp/>
        <stp>P</stp>
        <stp>0</stp>
        <stp>STK</stp>
        <stp>N004170</stp>
        <stp>시가</stp>
        <stp/>
        <stp/>
        <tr r="P163" s="1"/>
      </tp>
      <tp>
        <v>410000</v>
        <stp/>
        <stp>P</stp>
        <stp>0</stp>
        <stp>STK</stp>
        <stp>N004370</stp>
        <stp>시가</stp>
        <stp/>
        <stp/>
        <tr r="P182" s="1"/>
      </tp>
      <tp>
        <v>22400</v>
        <stp/>
        <stp>P</stp>
        <stp>0</stp>
        <stp>STK</stp>
        <stp>N007070</stp>
        <stp>시가</stp>
        <stp/>
        <stp/>
        <tr r="P235" s="1"/>
      </tp>
      <tp>
        <v>12620</v>
        <stp/>
        <stp>P</stp>
        <stp>0</stp>
        <stp>STK</stp>
        <stp>N206650</stp>
        <stp>시가</stp>
        <stp/>
        <stp/>
        <tr r="P534" s="1"/>
      </tp>
      <tp>
        <v>22450</v>
        <stp/>
        <stp>P</stp>
        <stp>0</stp>
        <stp>STK</stp>
        <stp>N007070</stp>
        <stp>고가</stp>
        <stp/>
        <stp/>
        <tr r="Q235" s="1"/>
      </tp>
      <tp>
        <v>13520</v>
        <stp/>
        <stp>P</stp>
        <stp>0</stp>
        <stp>STK</stp>
        <stp>N206650</stp>
        <stp>고가</stp>
        <stp/>
        <stp/>
        <tr r="Q534" s="1"/>
      </tp>
      <tp>
        <v>52700</v>
        <stp/>
        <stp>P</stp>
        <stp>0</stp>
        <stp>STK</stp>
        <stp>N005070</stp>
        <stp>고가</stp>
        <stp/>
        <stp/>
        <tr r="Q255" s="1"/>
      </tp>
      <tp>
        <v>138600</v>
        <stp/>
        <stp>P</stp>
        <stp>0</stp>
        <stp>STK</stp>
        <stp>N105560</stp>
        <stp>고가</stp>
        <stp/>
        <stp/>
        <tr r="Q19" s="1"/>
      </tp>
      <tp>
        <v>333000</v>
        <stp/>
        <stp>P</stp>
        <stp>0</stp>
        <stp>STK</stp>
        <stp>N004170</stp>
        <stp>고가</stp>
        <stp/>
        <stp/>
        <tr r="Q163" s="1"/>
      </tp>
      <tp>
        <v>410000</v>
        <stp/>
        <stp>P</stp>
        <stp>0</stp>
        <stp>STK</stp>
        <stp>N004370</stp>
        <stp>고가</stp>
        <stp/>
        <stp/>
        <tr r="Q182" s="1"/>
      </tp>
      <tp>
        <v>51800</v>
        <stp/>
        <stp>P</stp>
        <stp>0</stp>
        <stp>STK</stp>
        <stp>N003570</stp>
        <stp>고가</stp>
        <stp/>
        <stp/>
        <tr r="Q237" s="1"/>
      </tp>
      <tp>
        <v>230500</v>
        <stp/>
        <stp>P</stp>
        <stp>0</stp>
        <stp>STK</stp>
        <stp>N003670</stp>
        <stp>고가</stp>
        <stp/>
        <stp/>
        <tr r="Q49" s="1"/>
      </tp>
      <tp>
        <v>23050</v>
        <stp/>
        <stp>P</stp>
        <stp>0</stp>
        <stp>STK</stp>
        <stp>N402030</stp>
        <stp>고가</stp>
        <stp/>
        <stp/>
        <tr r="Q644" s="1"/>
      </tp>
      <tp>
        <v>50800</v>
        <stp/>
        <stp>P</stp>
        <stp>0</stp>
        <stp>STK</stp>
        <stp>N302440</stp>
        <stp>고가</stp>
        <stp/>
        <stp/>
        <tr r="Q134" s="1"/>
      </tp>
      <tp>
        <v>25600</v>
        <stp/>
        <stp>P</stp>
        <stp>0</stp>
        <stp>STK</stp>
        <stp>N101160</stp>
        <stp>고가</stp>
        <stp/>
        <stp/>
        <tr r="Q561" s="1"/>
      </tp>
      <tp>
        <v>22600</v>
        <stp/>
        <stp>P</stp>
        <stp>0</stp>
        <stp>STK</stp>
        <stp>N101360</stp>
        <stp>고가</stp>
        <stp/>
        <stp/>
        <tr r="Q600" s="1"/>
      </tp>
      <tp>
        <v>79000</v>
        <stp/>
        <stp>P</stp>
        <stp>0</stp>
        <stp>STK</stp>
        <stp>N001270</stp>
        <stp>고가</stp>
        <stp/>
        <stp/>
        <tr r="Q415" s="1"/>
      </tp>
      <tp>
        <v>60800</v>
        <stp/>
        <stp>P</stp>
        <stp>0</stp>
        <stp>STK</stp>
        <stp>N000070</stp>
        <stp>고가</stp>
        <stp/>
        <stp/>
        <tr r="Q505" s="1"/>
      </tp>
      <tp>
        <v>155300</v>
        <stp/>
        <stp>P</stp>
        <stp>0</stp>
        <stp>STK</stp>
        <stp>N000270</stp>
        <stp>고가</stp>
        <stp/>
        <stp/>
        <tr r="Q14" s="1"/>
      </tp>
      <tp>
        <v>64000</v>
        <stp/>
        <stp>P</stp>
        <stp>0</stp>
        <stp>STK</stp>
        <stp>N000670</stp>
        <stp>고가</stp>
        <stp/>
        <stp/>
        <tr r="Q324" s="1"/>
      </tp>
      <tp>
        <v>219000</v>
        <stp/>
        <stp>P</stp>
        <stp>0</stp>
        <stp>STK</stp>
        <stp>N009970</stp>
        <stp>고가</stp>
        <stp/>
        <stp/>
        <tr r="Q176" s="1"/>
      </tp>
      <tp>
        <v>13800</v>
        <stp/>
        <stp>P</stp>
        <stp>0</stp>
        <stp>STK</stp>
        <stp>N108860</stp>
        <stp>고가</stp>
        <stp/>
        <stp/>
        <tr r="Q603" s="1"/>
      </tp>
      <tp>
        <v>46900</v>
        <stp/>
        <stp>P</stp>
        <stp>0</stp>
        <stp>STK</stp>
        <stp>N008770</stp>
        <stp>고가</stp>
        <stp/>
        <stp/>
        <tr r="Q229" s="1"/>
      </tp>
      <tp>
        <v>37500</v>
        <stp/>
        <stp>P</stp>
        <stp>0</stp>
        <stp>STK</stp>
        <stp>N419530</stp>
        <stp>시가</stp>
        <stp/>
        <stp/>
        <tr r="P580" s="1"/>
      </tp>
      <tp>
        <v>13210</v>
        <stp/>
        <stp>P</stp>
        <stp>0</stp>
        <stp>STK</stp>
        <stp>N019170</stp>
        <stp>시가</stp>
        <stp/>
        <stp/>
        <tr r="P411" s="1"/>
      </tp>
      <tp>
        <v>233000</v>
        <stp/>
        <stp>P</stp>
        <stp>0</stp>
        <stp>STK</stp>
        <stp>N018670</stp>
        <stp>시가</stp>
        <stp/>
        <stp/>
        <tr r="P209" s="1"/>
      </tp>
      <tp>
        <v>80400</v>
        <stp/>
        <stp>P</stp>
        <stp>0</stp>
        <stp>STK</stp>
        <stp>N011170</stp>
        <stp>저가</stp>
        <stp/>
        <stp/>
        <tr r="R152" s="1"/>
      </tp>
      <tp>
        <v>238000</v>
        <stp/>
        <stp>P</stp>
        <stp>0</stp>
        <stp>STK</stp>
        <stp>N011070</stp>
        <stp>저가</stp>
        <stp/>
        <stp/>
        <tr r="R97" s="1"/>
      </tp>
      <tp>
        <v>14420</v>
        <stp/>
        <stp>P</stp>
        <stp>0</stp>
        <stp>STK</stp>
        <stp>N211050</stp>
        <stp>저가</stp>
        <stp/>
        <stp/>
        <tr r="R424" s="1"/>
      </tp>
      <tp>
        <v>70100</v>
        <stp/>
        <stp>P</stp>
        <stp>0</stp>
        <stp>STK</stp>
        <stp>N017670</stp>
        <stp>저가</stp>
        <stp/>
        <stp/>
        <tr r="R66" s="1"/>
      </tp>
      <tp>
        <v>29900</v>
        <stp/>
        <stp>P</stp>
        <stp>0</stp>
        <stp>STK</stp>
        <stp>N316140</stp>
        <stp>저가</stp>
        <stp/>
        <stp/>
        <tr r="R43" s="1"/>
      </tp>
      <tp>
        <v>71600</v>
        <stp/>
        <stp>P</stp>
        <stp>0</stp>
        <stp>STK</stp>
        <stp>N214150</stp>
        <stp>저가</stp>
        <stp/>
        <stp/>
        <tr r="R132" s="1"/>
      </tp>
      <tp>
        <v>438500</v>
        <stp/>
        <stp>P</stp>
        <stp>0</stp>
        <stp>STK</stp>
        <stp>N214450</stp>
        <stp>저가</stp>
        <stp/>
        <stp/>
        <tr r="R120" s="1"/>
      </tp>
      <tp>
        <v>82300</v>
        <stp/>
        <stp>P</stp>
        <stp>0</stp>
        <stp>STK</stp>
        <stp>N011170</stp>
        <stp>시가</stp>
        <stp/>
        <stp/>
        <tr r="P152" s="1"/>
      </tp>
      <tp>
        <v>245000</v>
        <stp/>
        <stp>P</stp>
        <stp>0</stp>
        <stp>STK</stp>
        <stp>N011070</stp>
        <stp>시가</stp>
        <stp/>
        <stp/>
        <tr r="P97" s="1"/>
      </tp>
      <tp>
        <v>15850</v>
        <stp/>
        <stp>P</stp>
        <stp>0</stp>
        <stp>STK</stp>
        <stp>N211050</stp>
        <stp>시가</stp>
        <stp/>
        <stp/>
        <tr r="P424" s="1"/>
      </tp>
      <tp>
        <v>12850</v>
        <stp/>
        <stp>P</stp>
        <stp>0</stp>
        <stp>STK</stp>
        <stp>N019170</stp>
        <stp>저가</stp>
        <stp/>
        <stp/>
        <tr r="R411" s="1"/>
      </tp>
      <tp>
        <v>36050</v>
        <stp/>
        <stp>P</stp>
        <stp>0</stp>
        <stp>STK</stp>
        <stp>N419530</stp>
        <stp>저가</stp>
        <stp/>
        <stp/>
        <tr r="R580" s="1"/>
      </tp>
      <tp>
        <v>227000</v>
        <stp/>
        <stp>P</stp>
        <stp>0</stp>
        <stp>STK</stp>
        <stp>N018670</stp>
        <stp>저가</stp>
        <stp/>
        <stp/>
        <tr r="R209" s="1"/>
      </tp>
      <tp>
        <v>461500</v>
        <stp/>
        <stp>P</stp>
        <stp>0</stp>
        <stp>STK</stp>
        <stp>N214450</stp>
        <stp>시가</stp>
        <stp/>
        <stp/>
        <tr r="P120" s="1"/>
      </tp>
      <tp>
        <v>74700</v>
        <stp/>
        <stp>P</stp>
        <stp>0</stp>
        <stp>STK</stp>
        <stp>N214150</stp>
        <stp>시가</stp>
        <stp/>
        <stp/>
        <tr r="P132" s="1"/>
      </tp>
      <tp>
        <v>72000</v>
        <stp/>
        <stp>P</stp>
        <stp>0</stp>
        <stp>STK</stp>
        <stp>N017670</stp>
        <stp>시가</stp>
        <stp/>
        <stp/>
        <tr r="P66" s="1"/>
      </tp>
      <tp>
        <v>30200</v>
        <stp/>
        <stp>P</stp>
        <stp>0</stp>
        <stp>STK</stp>
        <stp>N316140</stp>
        <stp>시가</stp>
        <stp/>
        <stp/>
        <tr r="P43" s="1"/>
      </tp>
      <tp>
        <v>72000</v>
        <stp/>
        <stp>P</stp>
        <stp>0</stp>
        <stp>STK</stp>
        <stp>N017670</stp>
        <stp>고가</stp>
        <stp/>
        <stp/>
        <tr r="Q66" s="1"/>
      </tp>
      <tp>
        <v>30700</v>
        <stp/>
        <stp>P</stp>
        <stp>0</stp>
        <stp>STK</stp>
        <stp>N316140</stp>
        <stp>고가</stp>
        <stp/>
        <stp/>
        <tr r="Q43" s="1"/>
      </tp>
      <tp>
        <v>75000</v>
        <stp/>
        <stp>P</stp>
        <stp>0</stp>
        <stp>STK</stp>
        <stp>N214150</stp>
        <stp>고가</stp>
        <stp/>
        <stp/>
        <tr r="Q132" s="1"/>
      </tp>
      <tp>
        <v>469000</v>
        <stp/>
        <stp>P</stp>
        <stp>0</stp>
        <stp>STK</stp>
        <stp>N214450</stp>
        <stp>고가</stp>
        <stp/>
        <stp/>
        <tr r="Q120" s="1"/>
      </tp>
      <tp>
        <v>83000</v>
        <stp/>
        <stp>P</stp>
        <stp>0</stp>
        <stp>STK</stp>
        <stp>N011170</stp>
        <stp>고가</stp>
        <stp/>
        <stp/>
        <tr r="Q152" s="1"/>
      </tp>
      <tp>
        <v>245000</v>
        <stp/>
        <stp>P</stp>
        <stp>0</stp>
        <stp>STK</stp>
        <stp>N011070</stp>
        <stp>고가</stp>
        <stp/>
        <stp/>
        <tr r="Q97" s="1"/>
      </tp>
      <tp>
        <v>15850</v>
        <stp/>
        <stp>P</stp>
        <stp>0</stp>
        <stp>STK</stp>
        <stp>N211050</stp>
        <stp>고가</stp>
        <stp/>
        <stp/>
        <tr r="Q424" s="1"/>
      </tp>
      <tp>
        <v>13210</v>
        <stp/>
        <stp>P</stp>
        <stp>0</stp>
        <stp>STK</stp>
        <stp>N019170</stp>
        <stp>고가</stp>
        <stp/>
        <stp/>
        <tr r="Q411" s="1"/>
      </tp>
      <tp>
        <v>37650</v>
        <stp/>
        <stp>P</stp>
        <stp>0</stp>
        <stp>STK</stp>
        <stp>N419530</stp>
        <stp>고가</stp>
        <stp/>
        <stp/>
        <tr r="Q580" s="1"/>
      </tp>
      <tp>
        <v>233000</v>
        <stp/>
        <stp>P</stp>
        <stp>0</stp>
        <stp>STK</stp>
        <stp>N018670</stp>
        <stp>고가</stp>
        <stp/>
        <stp/>
        <tr r="Q209" s="1"/>
      </tp>
      <tp>
        <v>4670</v>
        <stp/>
        <stp>P</stp>
        <stp>0</stp>
        <stp>STK</stp>
        <stp>N028670</stp>
        <stp>시가</stp>
        <stp/>
        <stp/>
        <tr r="P191" s="1"/>
      </tp>
      <tp>
        <v>131300</v>
        <stp/>
        <stp>P</stp>
        <stp>0</stp>
        <stp>STK</stp>
        <stp>N226950</stp>
        <stp>저가</stp>
        <stp/>
        <stp/>
        <tr r="R189" s="1"/>
      </tp>
      <tp>
        <v>7870</v>
        <stp/>
        <stp>P</stp>
        <stp>0</stp>
        <stp>STK</stp>
        <stp>N025770</stp>
        <stp>저가</stp>
        <stp/>
        <stp/>
        <tr r="R636" s="1"/>
      </tp>
      <tp>
        <v>4585</v>
        <stp/>
        <stp>P</stp>
        <stp>0</stp>
        <stp>STK</stp>
        <stp>N028670</stp>
        <stp>저가</stp>
        <stp/>
        <stp/>
        <tr r="R191" s="1"/>
      </tp>
      <tp>
        <v>7980</v>
        <stp/>
        <stp>P</stp>
        <stp>0</stp>
        <stp>STK</stp>
        <stp>N025770</stp>
        <stp>시가</stp>
        <stp/>
        <stp/>
        <tr r="P636" s="1"/>
      </tp>
      <tp>
        <v>144700</v>
        <stp/>
        <stp>P</stp>
        <stp>0</stp>
        <stp>STK</stp>
        <stp>N226950</stp>
        <stp>시가</stp>
        <stp/>
        <stp/>
        <tr r="P189" s="1"/>
      </tp>
      <tp>
        <v>144700</v>
        <stp/>
        <stp>P</stp>
        <stp>0</stp>
        <stp>STK</stp>
        <stp>N226950</stp>
        <stp>고가</stp>
        <stp/>
        <stp/>
        <tr r="Q189" s="1"/>
      </tp>
      <tp>
        <v>8000</v>
        <stp/>
        <stp>P</stp>
        <stp>0</stp>
        <stp>STK</stp>
        <stp>N025770</stp>
        <stp>고가</stp>
        <stp/>
        <stp/>
        <tr r="Q636" s="1"/>
      </tp>
      <tp>
        <v>4770</v>
        <stp/>
        <stp>P</stp>
        <stp>0</stp>
        <stp>STK</stp>
        <stp>N028670</stp>
        <stp>고가</stp>
        <stp/>
        <stp/>
        <tr r="Q191" s="1"/>
      </tp>
      <tp>
        <v>18780</v>
        <stp/>
        <stp>P</stp>
        <stp>0</stp>
        <stp>STK</stp>
        <stp>N033270</stp>
        <stp>저가</stp>
        <stp/>
        <stp/>
        <tr r="R628" s="1"/>
      </tp>
      <tp>
        <v>23400</v>
        <stp/>
        <stp>P</stp>
        <stp>0</stp>
        <stp>STK</stp>
        <stp>N338840</stp>
        <stp>시가</stp>
        <stp/>
        <stp/>
        <tr r="P583" s="1"/>
      </tp>
      <tp>
        <v>13130</v>
        <stp/>
        <stp>P</stp>
        <stp>0</stp>
        <stp>STK</stp>
        <stp>N130660</stp>
        <stp>저가</stp>
        <stp/>
        <stp/>
        <tr r="R521" s="1"/>
      </tp>
      <tp>
        <v>64000</v>
        <stp/>
        <stp>P</stp>
        <stp>0</stp>
        <stp>STK</stp>
        <stp>N437730</stp>
        <stp>저가</stp>
        <stp/>
        <stp/>
        <tr r="R195" s="1"/>
      </tp>
      <tp>
        <v>216000</v>
        <stp/>
        <stp>P</stp>
        <stp>0</stp>
        <stp>STK</stp>
        <stp>N036570</stp>
        <stp>저가</stp>
        <stp/>
        <stp/>
        <tr r="R114" s="1"/>
      </tp>
      <tp>
        <v>13510</v>
        <stp/>
        <stp>P</stp>
        <stp>0</stp>
        <stp>STK</stp>
        <stp>N130660</stp>
        <stp>시가</stp>
        <stp/>
        <stp/>
        <tr r="P521" s="1"/>
      </tp>
      <tp>
        <v>19080</v>
        <stp/>
        <stp>P</stp>
        <stp>0</stp>
        <stp>STK</stp>
        <stp>N033270</stp>
        <stp>시가</stp>
        <stp/>
        <stp/>
        <tr r="P628" s="1"/>
      </tp>
      <tp>
        <v>22000</v>
        <stp/>
        <stp>P</stp>
        <stp>0</stp>
        <stp>STK</stp>
        <stp>N338840</stp>
        <stp>저가</stp>
        <stp/>
        <stp/>
        <tr r="R583" s="1"/>
      </tp>
      <tp>
        <v>67100</v>
        <stp/>
        <stp>P</stp>
        <stp>0</stp>
        <stp>STK</stp>
        <stp>N437730</stp>
        <stp>시가</stp>
        <stp/>
        <stp/>
        <tr r="P195" s="1"/>
      </tp>
      <tp>
        <v>225500</v>
        <stp/>
        <stp>P</stp>
        <stp>0</stp>
        <stp>STK</stp>
        <stp>N036570</stp>
        <stp>시가</stp>
        <stp/>
        <stp/>
        <tr r="P114" s="1"/>
      </tp>
      <tp>
        <v>67100</v>
        <stp/>
        <stp>P</stp>
        <stp>0</stp>
        <stp>STK</stp>
        <stp>N437730</stp>
        <stp>고가</stp>
        <stp/>
        <stp/>
        <tr r="Q195" s="1"/>
      </tp>
      <tp>
        <v>230500</v>
        <stp/>
        <stp>P</stp>
        <stp>0</stp>
        <stp>STK</stp>
        <stp>N036570</stp>
        <stp>고가</stp>
        <stp/>
        <stp/>
        <tr r="Q114" s="1"/>
      </tp>
      <tp>
        <v>19080</v>
        <stp/>
        <stp>P</stp>
        <stp>0</stp>
        <stp>STK</stp>
        <stp>N033270</stp>
        <stp>고가</stp>
        <stp/>
        <stp/>
        <tr r="Q628" s="1"/>
      </tp>
      <tp>
        <v>13550</v>
        <stp/>
        <stp>P</stp>
        <stp>0</stp>
        <stp>STK</stp>
        <stp>N130660</stp>
        <stp>고가</stp>
        <stp/>
        <stp/>
        <tr r="Q521" s="1"/>
      </tp>
      <tp>
        <v>23950</v>
        <stp/>
        <stp>P</stp>
        <stp>0</stp>
        <stp>STK</stp>
        <stp>N338840</stp>
        <stp>고가</stp>
        <stp/>
        <stp/>
        <tr r="Q583" s="1"/>
      </tp>
      <tp>
        <v>21900</v>
        <stp/>
        <stp>P</stp>
        <stp>0</stp>
        <stp>STK</stp>
        <stp>N049070</stp>
        <stp>시가</stp>
        <stp/>
        <stp/>
        <tr r="P522" s="1"/>
      </tp>
      <tp>
        <v>11570</v>
        <stp/>
        <stp>P</stp>
        <stp>0</stp>
        <stp>STK</stp>
        <stp>N043370</stp>
        <stp>저가</stp>
        <stp/>
        <stp/>
        <tr r="R653" s="1"/>
      </tp>
      <tp>
        <v>281500</v>
        <stp/>
        <stp>P</stp>
        <stp>0</stp>
        <stp>STK</stp>
        <stp>N140860</stp>
        <stp>저가</stp>
        <stp/>
        <stp/>
        <tr r="R241" s="1"/>
      </tp>
      <tp>
        <v>295500</v>
        <stp/>
        <stp>P</stp>
        <stp>0</stp>
        <stp>STK</stp>
        <stp>N140860</stp>
        <stp>시가</stp>
        <stp/>
        <stp/>
        <tr r="P241" s="1"/>
      </tp>
      <tp>
        <v>11770</v>
        <stp/>
        <stp>P</stp>
        <stp>0</stp>
        <stp>STK</stp>
        <stp>N043370</stp>
        <stp>시가</stp>
        <stp/>
        <stp/>
        <tr r="P653" s="1"/>
      </tp>
      <tp>
        <v>21000</v>
        <stp/>
        <stp>P</stp>
        <stp>0</stp>
        <stp>STK</stp>
        <stp>N049070</stp>
        <stp>저가</stp>
        <stp/>
        <stp/>
        <tr r="R522" s="1"/>
      </tp>
      <tp>
        <v>11800</v>
        <stp/>
        <stp>P</stp>
        <stp>0</stp>
        <stp>STK</stp>
        <stp>N043370</stp>
        <stp>고가</stp>
        <stp/>
        <stp/>
        <tr r="Q653" s="1"/>
      </tp>
      <tp>
        <v>299000</v>
        <stp/>
        <stp>P</stp>
        <stp>0</stp>
        <stp>STK</stp>
        <stp>N140860</stp>
        <stp>고가</stp>
        <stp/>
        <stp/>
        <tr r="Q241" s="1"/>
      </tp>
      <tp>
        <v>22300</v>
        <stp/>
        <stp>P</stp>
        <stp>0</stp>
        <stp>STK</stp>
        <stp>N049070</stp>
        <stp>고가</stp>
        <stp/>
        <stp/>
        <tr r="Q522" s="1"/>
      </tp>
      <tp>
        <v>47075</v>
        <stp/>
        <stp>P</stp>
        <stp>0</stp>
        <stp>STK</stp>
        <stp>N253450</stp>
        <stp>저가</stp>
        <stp/>
        <stp/>
        <tr r="R264" s="1"/>
      </tp>
      <tp>
        <v>103000</v>
        <stp/>
        <stp>P</stp>
        <stp>0</stp>
        <stp>STK</stp>
        <stp>N058470</stp>
        <stp>시가</stp>
        <stp/>
        <stp/>
        <tr r="P112" s="1"/>
      </tp>
      <tp>
        <v>42150</v>
        <stp/>
        <stp>P</stp>
        <stp>0</stp>
        <stp>STK</stp>
        <stp>N058970</stp>
        <stp>시가</stp>
        <stp/>
        <stp/>
        <tr r="P512" s="1"/>
      </tp>
      <tp>
        <v>35150</v>
        <stp/>
        <stp>P</stp>
        <stp>0</stp>
        <stp>STK</stp>
        <stp>N452430</stp>
        <stp>저가</stp>
        <stp/>
        <stp/>
        <tr r="R661" s="1"/>
      </tp>
      <tp>
        <v>49150</v>
        <stp/>
        <stp>P</stp>
        <stp>0</stp>
        <stp>STK</stp>
        <stp>N253450</stp>
        <stp>시가</stp>
        <stp/>
        <stp/>
        <tr r="P264" s="1"/>
      </tp>
      <tp>
        <v>35150</v>
        <stp/>
        <stp>P</stp>
        <stp>0</stp>
        <stp>STK</stp>
        <stp>N452430</stp>
        <stp>시가</stp>
        <stp/>
        <stp/>
        <tr r="P661" s="1"/>
      </tp>
      <tp>
        <v>40100</v>
        <stp/>
        <stp>P</stp>
        <stp>0</stp>
        <stp>STK</stp>
        <stp>N058970</stp>
        <stp>저가</stp>
        <stp/>
        <stp/>
        <tr r="R512" s="1"/>
      </tp>
      <tp>
        <v>98500</v>
        <stp/>
        <stp>P</stp>
        <stp>0</stp>
        <stp>STK</stp>
        <stp>N058470</stp>
        <stp>저가</stp>
        <stp/>
        <stp/>
        <tr r="R112" s="1"/>
      </tp>
      <tp>
        <v>49150</v>
        <stp/>
        <stp>P</stp>
        <stp>0</stp>
        <stp>STK</stp>
        <stp>N253450</stp>
        <stp>고가</stp>
        <stp/>
        <stp/>
        <tr r="Q264" s="1"/>
      </tp>
      <tp>
        <v>38650</v>
        <stp/>
        <stp>P</stp>
        <stp>0</stp>
        <stp>STK</stp>
        <stp>N452430</stp>
        <stp>고가</stp>
        <stp/>
        <stp/>
        <tr r="Q661" s="1"/>
      </tp>
      <tp>
        <v>42250</v>
        <stp/>
        <stp>P</stp>
        <stp>0</stp>
        <stp>STK</stp>
        <stp>N058970</stp>
        <stp>고가</stp>
        <stp/>
        <stp/>
        <tr r="Q512" s="1"/>
      </tp>
      <tp>
        <v>104500</v>
        <stp/>
        <stp>P</stp>
        <stp>0</stp>
        <stp>STK</stp>
        <stp>N058470</stp>
        <stp>고가</stp>
        <stp/>
        <stp/>
        <tr r="Q112" s="1"/>
      </tp>
      <tp>
        <v>55000</v>
        <stp/>
        <stp>P</stp>
        <stp>0</stp>
        <stp>STK</stp>
        <stp>N263750</stp>
        <stp>저가</stp>
        <stp/>
        <stp/>
        <tr r="R165" s="1"/>
      </tp>
      <tp>
        <v>78700</v>
        <stp/>
        <stp>P</stp>
        <stp>0</stp>
        <stp>STK</stp>
        <stp>N468530</stp>
        <stp>시가</stp>
        <stp/>
        <stp/>
        <tr r="P340" s="1"/>
      </tp>
      <tp>
        <v>18660</v>
        <stp/>
        <stp>P</stp>
        <stp>0</stp>
        <stp>STK</stp>
        <stp>N168360</stp>
        <stp>시가</stp>
        <stp/>
        <stp/>
        <tr r="P585" s="1"/>
      </tp>
      <tp>
        <v>207500</v>
        <stp/>
        <stp>P</stp>
        <stp>0</stp>
        <stp>STK</stp>
        <stp>N068270</stp>
        <stp>시가</stp>
        <stp/>
        <stp/>
        <tr r="P21" s="1"/>
      </tp>
      <tp>
        <v>17580</v>
        <stp/>
        <stp>P</stp>
        <stp>0</stp>
        <stp>STK</stp>
        <stp>N460930</stp>
        <stp>저가</stp>
        <stp/>
        <stp/>
        <tr r="R399" s="1"/>
      </tp>
      <tp>
        <v>30300</v>
        <stp/>
        <stp>P</stp>
        <stp>0</stp>
        <stp>STK</stp>
        <stp>N060370</stp>
        <stp>저가</stp>
        <stp/>
        <stp/>
        <tr r="R256" s="1"/>
      </tp>
      <tp>
        <v>228000</v>
        <stp/>
        <stp>P</stp>
        <stp>0</stp>
        <stp>STK</stp>
        <stp>N267250</stp>
        <stp>저가</stp>
        <stp/>
        <stp/>
        <tr r="R44" s="1"/>
      </tp>
      <tp>
        <v>121000</v>
        <stp/>
        <stp>P</stp>
        <stp>0</stp>
        <stp>STK</stp>
        <stp>N066970</stp>
        <stp>저가</stp>
        <stp/>
        <stp/>
        <tr r="R118" s="1"/>
      </tp>
      <tp>
        <v>97100</v>
        <stp/>
        <stp>P</stp>
        <stp>0</stp>
        <stp>STK</stp>
        <stp>N066570</stp>
        <stp>저가</stp>
        <stp/>
        <stp/>
        <tr r="R48" s="1"/>
      </tp>
      <tp>
        <v>65300</v>
        <stp/>
        <stp>P</stp>
        <stp>0</stp>
        <stp>STK</stp>
        <stp>N365340</stp>
        <stp>저가</stp>
        <stp/>
        <stp/>
        <tr r="R422" s="1"/>
      </tp>
      <tp>
        <v>32300</v>
        <stp/>
        <stp>P</stp>
        <stp>0</stp>
        <stp>STK</stp>
        <stp>N060370</stp>
        <stp>시가</stp>
        <stp/>
        <stp/>
        <tr r="P256" s="1"/>
      </tp>
      <tp>
        <v>17810</v>
        <stp/>
        <stp>P</stp>
        <stp>0</stp>
        <stp>STK</stp>
        <stp>N460930</stp>
        <stp>시가</stp>
        <stp/>
        <stp/>
        <tr r="P399" s="1"/>
      </tp>
      <tp>
        <v>57900</v>
        <stp/>
        <stp>P</stp>
        <stp>0</stp>
        <stp>STK</stp>
        <stp>N263750</stp>
        <stp>시가</stp>
        <stp/>
        <stp/>
        <tr r="P165" s="1"/>
      </tp>
      <tp>
        <v>17790</v>
        <stp/>
        <stp>P</stp>
        <stp>0</stp>
        <stp>STK</stp>
        <stp>N168360</stp>
        <stp>저가</stp>
        <stp/>
        <stp/>
        <tr r="R585" s="1"/>
      </tp>
      <tp>
        <v>204000</v>
        <stp/>
        <stp>P</stp>
        <stp>0</stp>
        <stp>STK</stp>
        <stp>N068270</stp>
        <stp>저가</stp>
        <stp/>
        <stp/>
        <tr r="R21" s="1"/>
      </tp>
      <tp>
        <v>75700</v>
        <stp/>
        <stp>P</stp>
        <stp>0</stp>
        <stp>STK</stp>
        <stp>N468530</stp>
        <stp>저가</stp>
        <stp/>
        <stp/>
        <tr r="R340" s="1"/>
      </tp>
      <tp>
        <v>70000</v>
        <stp/>
        <stp>P</stp>
        <stp>0</stp>
        <stp>STK</stp>
        <stp>N365340</stp>
        <stp>시가</stp>
        <stp/>
        <stp/>
        <tr r="P422" s="1"/>
      </tp>
      <tp>
        <v>231500</v>
        <stp/>
        <stp>P</stp>
        <stp>0</stp>
        <stp>STK</stp>
        <stp>N267250</stp>
        <stp>시가</stp>
        <stp/>
        <stp/>
        <tr r="P44" s="1"/>
      </tp>
      <tp>
        <v>99100</v>
        <stp/>
        <stp>P</stp>
        <stp>0</stp>
        <stp>STK</stp>
        <stp>N066570</stp>
        <stp>시가</stp>
        <stp/>
        <stp/>
        <tr r="P48" s="1"/>
      </tp>
      <tp>
        <v>124500</v>
        <stp/>
        <stp>P</stp>
        <stp>0</stp>
        <stp>STK</stp>
        <stp>N066970</stp>
        <stp>시가</stp>
        <stp/>
        <stp/>
        <tr r="P118" s="1"/>
      </tp>
      <tp>
        <v>235500</v>
        <stp/>
        <stp>P</stp>
        <stp>0</stp>
        <stp>STK</stp>
        <stp>N267250</stp>
        <stp>고가</stp>
        <stp/>
        <stp/>
        <tr r="Q44" s="1"/>
      </tp>
      <tp>
        <v>131300</v>
        <stp/>
        <stp>P</stp>
        <stp>0</stp>
        <stp>STK</stp>
        <stp>N066970</stp>
        <stp>고가</stp>
        <stp/>
        <stp/>
        <tr r="Q118" s="1"/>
      </tp>
      <tp>
        <v>100000</v>
        <stp/>
        <stp>P</stp>
        <stp>0</stp>
        <stp>STK</stp>
        <stp>N066570</stp>
        <stp>고가</stp>
        <stp/>
        <stp/>
        <tr r="Q48" s="1"/>
      </tp>
      <tp>
        <v>70800</v>
        <stp/>
        <stp>P</stp>
        <stp>0</stp>
        <stp>STK</stp>
        <stp>N365340</stp>
        <stp>고가</stp>
        <stp/>
        <stp/>
        <tr r="Q422" s="1"/>
      </tp>
      <tp>
        <v>59000</v>
        <stp/>
        <stp>P</stp>
        <stp>0</stp>
        <stp>STK</stp>
        <stp>N263750</stp>
        <stp>고가</stp>
        <stp/>
        <stp/>
        <tr r="Q165" s="1"/>
      </tp>
      <tp>
        <v>17870</v>
        <stp/>
        <stp>P</stp>
        <stp>0</stp>
        <stp>STK</stp>
        <stp>N460930</stp>
        <stp>고가</stp>
        <stp/>
        <stp/>
        <tr r="Q399" s="1"/>
      </tp>
      <tp>
        <v>32350</v>
        <stp/>
        <stp>P</stp>
        <stp>0</stp>
        <stp>STK</stp>
        <stp>N060370</stp>
        <stp>고가</stp>
        <stp/>
        <stp/>
        <tr r="Q256" s="1"/>
      </tp>
      <tp>
        <v>19600</v>
        <stp/>
        <stp>P</stp>
        <stp>0</stp>
        <stp>STK</stp>
        <stp>N168360</stp>
        <stp>고가</stp>
        <stp/>
        <stp/>
        <tr r="Q585" s="1"/>
      </tp>
      <tp>
        <v>209500</v>
        <stp/>
        <stp>P</stp>
        <stp>0</stp>
        <stp>STK</stp>
        <stp>N068270</stp>
        <stp>고가</stp>
        <stp/>
        <stp/>
        <tr r="Q21" s="1"/>
      </tp>
      <tp>
        <v>79500</v>
        <stp/>
        <stp>P</stp>
        <stp>0</stp>
        <stp>STK</stp>
        <stp>N468530</stp>
        <stp>고가</stp>
        <stp/>
        <stp/>
        <tr r="Q340" s="1"/>
      </tp>
      <tp>
        <v>19480</v>
        <stp/>
        <stp>P</stp>
        <stp>0</stp>
        <stp>STK</stp>
        <stp>N079370</stp>
        <stp>시가</stp>
        <stp/>
        <stp/>
        <tr r="P490" s="1"/>
      </tp>
      <tp>
        <v>16900</v>
        <stp/>
        <stp>P</stp>
        <stp>0</stp>
        <stp>STK</stp>
        <stp>N378340</stp>
        <stp>시가</stp>
        <stp/>
        <stp/>
        <tr r="P651" s="1"/>
      </tp>
      <tp>
        <v>85700</v>
        <stp/>
        <stp>P</stp>
        <stp>0</stp>
        <stp>STK</stp>
        <stp>N071970</stp>
        <stp>저가</stp>
        <stp/>
        <stp/>
        <tr r="R151" s="1"/>
      </tp>
      <tp>
        <v>33050</v>
        <stp/>
        <stp>P</stp>
        <stp>0</stp>
        <stp>STK</stp>
        <stp>N077970</stp>
        <stp>저가</stp>
        <stp/>
        <stp/>
        <tr r="R249" s="1"/>
      </tp>
      <tp>
        <v>141300</v>
        <stp/>
        <stp>P</stp>
        <stp>0</stp>
        <stp>STK</stp>
        <stp>N476830</stp>
        <stp>저가</stp>
        <stp/>
        <stp/>
        <tr r="R212" s="1"/>
      </tp>
      <tp>
        <v>106500</v>
        <stp/>
        <stp>P</stp>
        <stp>0</stp>
        <stp>STK</stp>
        <stp>N475830</stp>
        <stp>저가</stp>
        <stp/>
        <stp/>
        <tr r="R200" s="1"/>
      </tp>
      <tp>
        <v>88500</v>
        <stp/>
        <stp>P</stp>
        <stp>0</stp>
        <stp>STK</stp>
        <stp>N071970</stp>
        <stp>시가</stp>
        <stp/>
        <stp/>
        <tr r="P151" s="1"/>
      </tp>
      <tp>
        <v>19100</v>
        <stp/>
        <stp>P</stp>
        <stp>0</stp>
        <stp>STK</stp>
        <stp>N079370</stp>
        <stp>저가</stp>
        <stp/>
        <stp/>
        <tr r="R490" s="1"/>
      </tp>
      <tp>
        <v>16240</v>
        <stp/>
        <stp>P</stp>
        <stp>0</stp>
        <stp>STK</stp>
        <stp>N378340</stp>
        <stp>저가</stp>
        <stp/>
        <stp/>
        <tr r="R651" s="1"/>
      </tp>
      <tp>
        <v>109700</v>
        <stp/>
        <stp>P</stp>
        <stp>0</stp>
        <stp>STK</stp>
        <stp>N475830</stp>
        <stp>시가</stp>
        <stp/>
        <stp/>
        <tr r="P200" s="1"/>
      </tp>
      <tp>
        <v>33950</v>
        <stp/>
        <stp>P</stp>
        <stp>0</stp>
        <stp>STK</stp>
        <stp>N077970</stp>
        <stp>시가</stp>
        <stp/>
        <stp/>
        <tr r="P249" s="1"/>
      </tp>
      <tp>
        <v>146100</v>
        <stp/>
        <stp>P</stp>
        <stp>0</stp>
        <stp>STK</stp>
        <stp>N476830</stp>
        <stp>시가</stp>
        <stp/>
        <stp/>
        <tr r="P212" s="1"/>
      </tp>
      <tp>
        <v>34100</v>
        <stp/>
        <stp>P</stp>
        <stp>0</stp>
        <stp>STK</stp>
        <stp>N077970</stp>
        <stp>고가</stp>
        <stp/>
        <stp/>
        <tr r="Q249" s="1"/>
      </tp>
      <tp>
        <v>149500</v>
        <stp/>
        <stp>P</stp>
        <stp>0</stp>
        <stp>STK</stp>
        <stp>N476830</stp>
        <stp>고가</stp>
        <stp/>
        <stp/>
        <tr r="Q212" s="1"/>
      </tp>
      <tp>
        <v>112200</v>
        <stp/>
        <stp>P</stp>
        <stp>0</stp>
        <stp>STK</stp>
        <stp>N475830</stp>
        <stp>고가</stp>
        <stp/>
        <stp/>
        <tr r="Q200" s="1"/>
      </tp>
      <tp>
        <v>88500</v>
        <stp/>
        <stp>P</stp>
        <stp>0</stp>
        <stp>STK</stp>
        <stp>N071970</stp>
        <stp>고가</stp>
        <stp/>
        <stp/>
        <tr r="Q151" s="1"/>
      </tp>
      <tp>
        <v>20100</v>
        <stp/>
        <stp>P</stp>
        <stp>0</stp>
        <stp>STK</stp>
        <stp>N079370</stp>
        <stp>고가</stp>
        <stp/>
        <stp/>
        <tr r="Q490" s="1"/>
      </tp>
      <tp>
        <v>16910</v>
        <stp/>
        <stp>P</stp>
        <stp>0</stp>
        <stp>STK</stp>
        <stp>N378340</stp>
        <stp>고가</stp>
        <stp/>
        <stp/>
        <tr r="Q651" s="1"/>
      </tp>
      <tp>
        <v>23650</v>
        <stp/>
        <stp>P</stp>
        <stp>0</stp>
        <stp>STK</stp>
        <stp>179900</stp>
        <stp>현재가</stp>
        <stp/>
        <stp/>
        <tr r="U528" s="1"/>
      </tp>
      <tp>
        <v>50600</v>
        <stp/>
        <stp>P</stp>
        <stp>0</stp>
        <stp>STK</stp>
        <stp>079900</stp>
        <stp>현재가</stp>
        <stp/>
        <stp/>
        <tr r="U385" s="1"/>
      </tp>
      <tp>
        <v>32750</v>
        <stp/>
        <stp>P</stp>
        <stp>0</stp>
        <stp>STK</stp>
        <stp>079940</stp>
        <stp>현재가</stp>
        <stp/>
        <stp/>
        <tr r="U520" s="1"/>
      </tp>
      <tp>
        <v>20050</v>
        <stp/>
        <stp>P</stp>
        <stp>0</stp>
        <stp>STK</stp>
        <stp>079370</stp>
        <stp>현재가</stp>
        <stp/>
        <stp/>
        <tr r="U490" s="1"/>
      </tp>
      <tp>
        <v>480500</v>
        <stp/>
        <stp>P</stp>
        <stp>0</stp>
        <stp>STK</stp>
        <stp>079550</stp>
        <stp>현재가</stp>
        <stp/>
        <stp/>
        <tr r="U69" s="1"/>
      </tp>
      <tp>
        <v>66700</v>
        <stp/>
        <stp>P</stp>
        <stp>0</stp>
        <stp>STK</stp>
        <stp>078930</stp>
        <stp>현재가</stp>
        <stp/>
        <stp/>
        <tr r="U104" s="1"/>
      </tp>
      <tp>
        <v>16090</v>
        <stp/>
        <stp>P</stp>
        <stp>0</stp>
        <stp>STK</stp>
        <stp>178920</stp>
        <stp>현재가</stp>
        <stp/>
        <stp/>
        <tr r="U504" s="1"/>
      </tp>
      <tp>
        <v>37900</v>
        <stp/>
        <stp>P</stp>
        <stp>0</stp>
        <stp>STK</stp>
        <stp>178320</stp>
        <stp>현재가</stp>
        <stp/>
        <stp/>
        <tr r="U231" s="1"/>
      </tp>
      <tp>
        <v>60000</v>
        <stp/>
        <stp>P</stp>
        <stp>0</stp>
        <stp>STK</stp>
        <stp>478340</stp>
        <stp>현재가</stp>
        <stp/>
        <stp/>
        <tr r="U425" s="1"/>
      </tp>
      <tp>
        <v>16880</v>
        <stp/>
        <stp>P</stp>
        <stp>0</stp>
        <stp>STK</stp>
        <stp>378340</stp>
        <stp>현재가</stp>
        <stp/>
        <stp/>
        <tr r="U651" s="1"/>
      </tp>
      <tp>
        <v>26300</v>
        <stp/>
        <stp>P</stp>
        <stp>0</stp>
        <stp>STK</stp>
        <stp>078350</stp>
        <stp>현재가</stp>
        <stp/>
        <stp/>
        <tr r="U569" s="1"/>
      </tp>
      <tp>
        <v>36200</v>
        <stp/>
        <stp>P</stp>
        <stp>0</stp>
        <stp>STK</stp>
        <stp>078340</stp>
        <stp>현재가</stp>
        <stp/>
        <stp/>
        <tr r="U543" s="1"/>
      </tp>
      <tp>
        <v>58800</v>
        <stp/>
        <stp>P</stp>
        <stp>0</stp>
        <stp>STK</stp>
        <stp>278280</stp>
        <stp>현재가</stp>
        <stp/>
        <stp/>
        <tr r="U437" s="1"/>
      </tp>
      <tp>
        <v>24550</v>
        <stp/>
        <stp>P</stp>
        <stp>0</stp>
        <stp>STK</stp>
        <stp>078160</stp>
        <stp>현재가</stp>
        <stp/>
        <stp/>
        <tr r="U438" s="1"/>
      </tp>
      <tp>
        <v>77950</v>
        <stp/>
        <stp>P</stp>
        <stp>0</stp>
        <stp>STK</stp>
        <stp>078600</stp>
        <stp>현재가</stp>
        <stp/>
        <stp/>
        <tr r="U320" s="1"/>
      </tp>
      <tp>
        <v>10480</v>
        <stp/>
        <stp>P</stp>
        <stp>0</stp>
        <stp>STK</stp>
        <stp>078520</stp>
        <stp>현재가</stp>
        <stp/>
        <stp/>
        <tr r="U673" s="1"/>
      </tp>
      <tp>
        <v>275500</v>
        <stp/>
        <stp>P</stp>
        <stp>0</stp>
        <stp>STK</stp>
        <stp>278470</stp>
        <stp>현재가</stp>
        <stp/>
        <stp/>
        <tr r="U77" s="1"/>
      </tp>
      <tp>
        <v>47450</v>
        <stp/>
        <stp>P</stp>
        <stp>0</stp>
        <stp>STK</stp>
        <stp>475960</stp>
        <stp>현재가</stp>
        <stp/>
        <stp/>
        <tr r="U431" s="1"/>
      </tp>
      <tp>
        <v>111800</v>
        <stp/>
        <stp>P</stp>
        <stp>0</stp>
        <stp>STK</stp>
        <stp>475830</stp>
        <stp>현재가</stp>
        <stp/>
        <stp/>
        <tr r="U200" s="1"/>
      </tp>
      <tp>
        <v>25500</v>
        <stp/>
        <stp>P</stp>
        <stp>0</stp>
        <stp>STK</stp>
        <stp>175330</stp>
        <stp>현재가</stp>
        <stp/>
        <stp/>
        <tr r="U121" s="1"/>
      </tp>
      <tp>
        <v>19780</v>
        <stp/>
        <stp>P</stp>
        <stp>0</stp>
        <stp>STK</stp>
        <stp>475150</stp>
        <stp>현재가</stp>
        <stp/>
        <stp/>
        <tr r="U402" s="1"/>
      </tp>
      <tp>
        <v>19040</v>
        <stp/>
        <stp>P</stp>
        <stp>0</stp>
        <stp>STK</stp>
        <stp>075580</stp>
        <stp>현재가</stp>
        <stp/>
        <stp/>
        <tr r="U299" s="1"/>
      </tp>
      <tp>
        <v>44100</v>
        <stp/>
        <stp>P</stp>
        <stp>0</stp>
        <stp>STK</stp>
        <stp>375500</stp>
        <stp>현재가</stp>
        <stp/>
        <stp/>
        <tr r="U238" s="1"/>
      </tp>
      <tp>
        <v>23900</v>
        <stp/>
        <stp>P</stp>
        <stp>0</stp>
        <stp>STK</stp>
        <stp>475560</stp>
        <stp>현재가</stp>
        <stp/>
        <stp/>
        <tr r="U574" s="1"/>
      </tp>
      <tp>
        <v>43950</v>
        <stp/>
        <stp>P</stp>
        <stp>0</stp>
        <stp>STK</stp>
        <stp>475400</stp>
        <stp>현재가</stp>
        <stp/>
        <stp/>
        <tr r="U463" s="1"/>
      </tp>
      <tp>
        <v>28200</v>
        <stp/>
        <stp>P</stp>
        <stp>0</stp>
        <stp>STK</stp>
        <stp>074600</stp>
        <stp>현재가</stp>
        <stp/>
        <stp/>
        <tr r="U408" s="1"/>
      </tp>
      <tp>
        <v>33350</v>
        <stp/>
        <stp>P</stp>
        <stp>0</stp>
        <stp>STK</stp>
        <stp>077970</stp>
        <stp>현재가</stp>
        <stp/>
        <stp/>
        <tr r="U249" s="1"/>
      </tp>
      <tp>
        <v>755000</v>
        <stp/>
        <stp>P</stp>
        <stp>0</stp>
        <stp>STK</stp>
        <stp>277810</stp>
        <stp>현재가</stp>
        <stp/>
        <stp/>
        <tr r="U74" s="1"/>
      </tp>
      <tp>
        <v>64300</v>
        <stp/>
        <stp>P</stp>
        <stp>0</stp>
        <stp>STK</stp>
        <stp>377300</stp>
        <stp>현재가</stp>
        <stp/>
        <stp/>
        <tr r="U95" s="1"/>
      </tp>
      <tp>
        <v>61500</v>
        <stp/>
        <stp>P</stp>
        <stp>0</stp>
        <stp>STK</stp>
        <stp>376900</stp>
        <stp>현재가</stp>
        <stp/>
        <stp/>
        <tr r="U313" s="1"/>
      </tp>
      <tp>
        <v>148800</v>
        <stp/>
        <stp>P</stp>
        <stp>0</stp>
        <stp>STK</stp>
        <stp>476830</stp>
        <stp>현재가</stp>
        <stp/>
        <stp/>
        <tr r="U212" s="1"/>
      </tp>
      <tp>
        <v>36650</v>
        <stp/>
        <stp>P</stp>
        <stp>0</stp>
        <stp>STK</stp>
        <stp>376300</stp>
        <stp>현재가</stp>
        <stp/>
        <stp/>
        <tr r="U367" s="1"/>
      </tp>
      <tp>
        <v>86500</v>
        <stp/>
        <stp>P</stp>
        <stp>0</stp>
        <stp>STK</stp>
        <stp>376270</stp>
        <stp>현재가</stp>
        <stp/>
        <stp/>
        <tr r="U555" s="1"/>
      </tp>
      <tp>
        <v>18180</v>
        <stp/>
        <stp>P</stp>
        <stp>0</stp>
        <stp>STK</stp>
        <stp>476060</stp>
        <stp>현재가</stp>
        <stp/>
        <stp/>
        <tr r="U343" s="1"/>
      </tp>
      <tp>
        <v>10390</v>
        <stp/>
        <stp>P</stp>
        <stp>0</stp>
        <stp>STK</stp>
        <stp>176750</stp>
        <stp>현재가</stp>
        <stp/>
        <stp/>
        <tr r="U678" s="1"/>
      </tp>
      <tp>
        <v>86600</v>
        <stp/>
        <stp>P</stp>
        <stp>0</stp>
        <stp>STK</stp>
        <stp>071970</stp>
        <stp>현재가</stp>
        <stp/>
        <stp/>
        <tr r="U151" s="1"/>
      </tp>
      <tp>
        <v>13850</v>
        <stp/>
        <stp>P</stp>
        <stp>0</stp>
        <stp>STK</stp>
        <stp>271940</stp>
        <stp>현재가</stp>
        <stp/>
        <stp/>
        <tr r="U484" s="1"/>
      </tp>
      <tp>
        <v>99500</v>
        <stp/>
        <stp>P</stp>
        <stp>0</stp>
        <stp>STK</stp>
        <stp>071320</stp>
        <stp>현재가</stp>
        <stp/>
        <stp/>
        <tr r="U274" s="1"/>
      </tp>
      <tp>
        <v>65700</v>
        <stp/>
        <stp>P</stp>
        <stp>0</stp>
        <stp>STK</stp>
        <stp>171090</stp>
        <stp>현재가</stp>
        <stp/>
        <stp/>
        <tr r="U459" s="1"/>
      </tp>
      <tp>
        <v>209000</v>
        <stp/>
        <stp>P</stp>
        <stp>0</stp>
        <stp>STK</stp>
        <stp>071050</stp>
        <stp>현재가</stp>
        <stp/>
        <stp/>
        <tr r="U73" s="1"/>
      </tp>
      <tp>
        <v>118600</v>
        <stp/>
        <stp>P</stp>
        <stp>0</stp>
        <stp>STK</stp>
        <stp>271560</stp>
        <stp>현재가</stp>
        <stp/>
        <stp/>
        <tr r="U117" s="1"/>
      </tp>
      <tp>
        <v>53900</v>
        <stp/>
        <stp>P</stp>
        <stp>0</stp>
        <stp>STK</stp>
        <stp>170900</stp>
        <stp>현재가</stp>
        <stp/>
        <stp/>
        <tr r="U499" s="1"/>
      </tp>
      <tp>
        <v>26050</v>
        <stp/>
        <stp>P</stp>
        <stp>0</stp>
        <stp>STK</stp>
        <stp>270660</stp>
        <stp>현재가</stp>
        <stp/>
        <stp/>
        <tr r="U542" s="1"/>
      </tp>
      <tp>
        <v>23450</v>
        <stp/>
        <stp>P</stp>
        <stp>0</stp>
        <stp>STK</stp>
        <stp>473980</stp>
        <stp>현재가</stp>
        <stp/>
        <stp/>
        <tr r="U649" s="1"/>
      </tp>
      <tp>
        <v>395000</v>
        <stp/>
        <stp>P</stp>
        <stp>0</stp>
        <stp>STK</stp>
        <stp>373220</stp>
        <stp>현재가</stp>
        <stp/>
        <stp/>
        <tr r="U12" s="1"/>
      </tp>
      <tp>
        <v>5970</v>
        <stp/>
        <stp>P</stp>
        <stp>0</stp>
        <stp>STK</stp>
        <stp>073240</stp>
        <stp>현재가</stp>
        <stp/>
        <stp/>
        <tr r="U227" s="1"/>
      </tp>
      <tp>
        <v>5700</v>
        <stp/>
        <stp>P</stp>
        <stp>0</stp>
        <stp>STK</stp>
        <stp>472850</stp>
        <stp>현재가</stp>
        <stp/>
        <stp/>
        <tr r="U640" s="1"/>
      </tp>
      <tp>
        <v>48500</v>
        <stp/>
        <stp>P</stp>
        <stp>0</stp>
        <stp>STK</stp>
        <stp>372320</stp>
        <stp>현재가</stp>
        <stp/>
        <stp/>
        <tr r="U403" s="1"/>
      </tp>
      <tp>
        <v>32050</v>
        <stp/>
        <stp>P</stp>
        <stp>0</stp>
        <stp>STK</stp>
        <stp>272290</stp>
        <stp>현재가</stp>
        <stp/>
        <stp/>
        <tr r="U472" s="1"/>
      </tp>
      <tp>
        <v>97400</v>
        <stp/>
        <stp>P</stp>
        <stp>0</stp>
        <stp>STK</stp>
        <stp>272210</stp>
        <stp>현재가</stp>
        <stp/>
        <stp/>
        <tr r="U53" s="1"/>
      </tp>
      <tp>
        <v>36700</v>
        <stp/>
        <stp>P</stp>
        <stp>0</stp>
        <stp>STK</stp>
        <stp>372170</stp>
        <stp>현재가</stp>
        <stp/>
        <stp/>
        <tr r="U680" s="1"/>
      </tp>
      <tp>
        <v>87700</v>
        <stp/>
        <stp>P</stp>
        <stp>0</stp>
        <stp>STK</stp>
        <stp>072710</stp>
        <stp>현재가</stp>
        <stp/>
        <stp/>
        <tr r="U539" s="1"/>
      </tp>
      <tp>
        <v>75800</v>
        <stp/>
        <stp>P</stp>
        <stp>0</stp>
        <stp>STK</stp>
        <stp>N389650</stp>
        <stp>시가</stp>
        <stp/>
        <stp/>
        <tr r="P430" s="1"/>
      </tp>
      <tp>
        <v>30950</v>
        <stp/>
        <stp>P</stp>
        <stp>0</stp>
        <stp>STK</stp>
        <stp>N089860</stp>
        <stp>시가</stp>
        <stp/>
        <stp/>
        <tr r="P300" s="1"/>
      </tp>
      <tp>
        <v>25600</v>
        <stp/>
        <stp>P</stp>
        <stp>0</stp>
        <stp>STK</stp>
        <stp>N281740</stp>
        <stp>저가</stp>
        <stp/>
        <stp/>
        <tr r="R291" s="1"/>
      </tp>
      <tp>
        <v>46300</v>
        <stp/>
        <stp>P</stp>
        <stp>0</stp>
        <stp>STK</stp>
        <stp>N081660</stp>
        <stp>저가</stp>
        <stp/>
        <stp/>
        <tr r="R192" s="1"/>
      </tp>
      <tp>
        <v>30550</v>
        <stp/>
        <stp>P</stp>
        <stp>0</stp>
        <stp>STK</stp>
        <stp>N380550</stp>
        <stp>저가</stp>
        <stp/>
        <stp/>
        <tr r="R663" s="1"/>
      </tp>
      <tp>
        <v>48000</v>
        <stp/>
        <stp>P</stp>
        <stp>0</stp>
        <stp>STK</stp>
        <stp>N287840</stp>
        <stp>저가</stp>
        <stp/>
        <stp/>
        <tr r="R383" s="1"/>
      </tp>
      <tp>
        <v>20800</v>
        <stp/>
        <stp>P</stp>
        <stp>0</stp>
        <stp>STK</stp>
        <stp>N286940</stp>
        <stp>저가</stp>
        <stp/>
        <stp/>
        <tr r="R596" s="1"/>
      </tp>
      <tp>
        <v>20300</v>
        <stp/>
        <stp>P</stp>
        <stp>0</stp>
        <stp>STK</stp>
        <stp>N085660</stp>
        <stp>저가</stp>
        <stp/>
        <stp/>
        <tr r="R271" s="1"/>
      </tp>
      <tp>
        <v>23250</v>
        <stp/>
        <stp>P</stp>
        <stp>0</stp>
        <stp>STK</stp>
        <stp>N484120</stp>
        <stp>저가</stp>
        <stp/>
        <stp/>
        <tr r="R674" s="1"/>
      </tp>
      <tp>
        <v>23050</v>
        <stp/>
        <stp>P</stp>
        <stp>0</stp>
        <stp>STK</stp>
        <stp>N284740</stp>
        <stp>저가</stp>
        <stp/>
        <stp/>
        <tr r="R473" s="1"/>
      </tp>
      <tp>
        <v>26800</v>
        <stp/>
        <stp>P</stp>
        <stp>0</stp>
        <stp>STK</stp>
        <stp>N281740</stp>
        <stp>시가</stp>
        <stp/>
        <stp/>
        <tr r="P291" s="1"/>
      </tp>
      <tp>
        <v>46500</v>
        <stp/>
        <stp>P</stp>
        <stp>0</stp>
        <stp>STK</stp>
        <stp>N081660</stp>
        <stp>시가</stp>
        <stp/>
        <stp/>
        <tr r="P192" s="1"/>
      </tp>
      <tp>
        <v>32000</v>
        <stp/>
        <stp>P</stp>
        <stp>0</stp>
        <stp>STK</stp>
        <stp>N380550</stp>
        <stp>시가</stp>
        <stp/>
        <stp/>
        <tr r="P663" s="1"/>
      </tp>
      <tp>
        <v>30300</v>
        <stp/>
        <stp>P</stp>
        <stp>0</stp>
        <stp>STK</stp>
        <stp>N089860</stp>
        <stp>저가</stp>
        <stp/>
        <stp/>
        <tr r="R300" s="1"/>
      </tp>
      <tp>
        <v>72500</v>
        <stp/>
        <stp>P</stp>
        <stp>0</stp>
        <stp>STK</stp>
        <stp>N389650</stp>
        <stp>저가</stp>
        <stp/>
        <stp/>
        <tr r="R430" s="1"/>
      </tp>
      <tp>
        <v>21750</v>
        <stp/>
        <stp>P</stp>
        <stp>0</stp>
        <stp>STK</stp>
        <stp>N085660</stp>
        <stp>시가</stp>
        <stp/>
        <stp/>
        <tr r="P271" s="1"/>
      </tp>
      <tp>
        <v>23450</v>
        <stp/>
        <stp>P</stp>
        <stp>0</stp>
        <stp>STK</stp>
        <stp>N284740</stp>
        <stp>시가</stp>
        <stp/>
        <stp/>
        <tr r="P473" s="1"/>
      </tp>
      <tp>
        <v>24400</v>
        <stp/>
        <stp>P</stp>
        <stp>0</stp>
        <stp>STK</stp>
        <stp>N484120</stp>
        <stp>시가</stp>
        <stp/>
        <stp/>
        <tr r="P674" s="1"/>
      </tp>
      <tp>
        <v>49650</v>
        <stp/>
        <stp>P</stp>
        <stp>0</stp>
        <stp>STK</stp>
        <stp>N287840</stp>
        <stp>시가</stp>
        <stp/>
        <stp/>
        <tr r="P383" s="1"/>
      </tp>
      <tp>
        <v>21000</v>
        <stp/>
        <stp>P</stp>
        <stp>0</stp>
        <stp>STK</stp>
        <stp>N286940</stp>
        <stp>시가</stp>
        <stp/>
        <stp/>
        <tr r="P596" s="1"/>
      </tp>
      <tp>
        <v>50200</v>
        <stp/>
        <stp>P</stp>
        <stp>0</stp>
        <stp>STK</stp>
        <stp>N287840</stp>
        <stp>고가</stp>
        <stp/>
        <stp/>
        <tr r="Q383" s="1"/>
      </tp>
      <tp>
        <v>22800</v>
        <stp/>
        <stp>P</stp>
        <stp>0</stp>
        <stp>STK</stp>
        <stp>N286940</stp>
        <stp>고가</stp>
        <stp/>
        <stp/>
        <tr r="Q596" s="1"/>
      </tp>
      <tp>
        <v>21800</v>
        <stp/>
        <stp>P</stp>
        <stp>0</stp>
        <stp>STK</stp>
        <stp>N085660</stp>
        <stp>고가</stp>
        <stp/>
        <stp/>
        <tr r="Q271" s="1"/>
      </tp>
      <tp>
        <v>24400</v>
        <stp/>
        <stp>P</stp>
        <stp>0</stp>
        <stp>STK</stp>
        <stp>N484120</stp>
        <stp>고가</stp>
        <stp/>
        <stp/>
        <tr r="Q674" s="1"/>
      </tp>
      <tp>
        <v>23450</v>
        <stp/>
        <stp>P</stp>
        <stp>0</stp>
        <stp>STK</stp>
        <stp>N284740</stp>
        <stp>고가</stp>
        <stp/>
        <stp/>
        <tr r="Q473" s="1"/>
      </tp>
      <tp>
        <v>27900</v>
        <stp/>
        <stp>P</stp>
        <stp>0</stp>
        <stp>STK</stp>
        <stp>N281740</stp>
        <stp>고가</stp>
        <stp/>
        <stp/>
        <tr r="Q291" s="1"/>
      </tp>
      <tp>
        <v>47050</v>
        <stp/>
        <stp>P</stp>
        <stp>0</stp>
        <stp>STK</stp>
        <stp>N081660</stp>
        <stp>고가</stp>
        <stp/>
        <stp/>
        <tr r="Q192" s="1"/>
      </tp>
      <tp>
        <v>34400</v>
        <stp/>
        <stp>P</stp>
        <stp>0</stp>
        <stp>STK</stp>
        <stp>N380550</stp>
        <stp>고가</stp>
        <stp/>
        <stp/>
        <tr r="Q663" s="1"/>
      </tp>
      <tp>
        <v>31000</v>
        <stp/>
        <stp>P</stp>
        <stp>0</stp>
        <stp>STK</stp>
        <stp>N089860</stp>
        <stp>고가</stp>
        <stp/>
        <stp/>
        <tr r="Q300" s="1"/>
      </tp>
      <tp>
        <v>76500</v>
        <stp/>
        <stp>P</stp>
        <stp>0</stp>
        <stp>STK</stp>
        <stp>N389650</stp>
        <stp>고가</stp>
        <stp/>
        <stp/>
        <tr r="Q430" s="1"/>
      </tp>
      <tp>
        <v>33000</v>
        <stp/>
        <stp>P</stp>
        <stp>0</stp>
        <stp>STK</stp>
        <stp>N098460</stp>
        <stp>시가</stp>
        <stp/>
        <stp/>
        <tr r="P205" s="1"/>
      </tp>
      <tp>
        <v>2494000</v>
        <stp/>
        <stp>P</stp>
        <stp>0</stp>
        <stp>STK</stp>
        <stp>N298040</stp>
        <stp>시가</stp>
        <stp/>
        <stp/>
        <tr r="P40" s="1"/>
      </tp>
      <tp>
        <v>15700</v>
        <stp/>
        <stp>P</stp>
        <stp>0</stp>
        <stp>STK</stp>
        <stp>N092460</stp>
        <stp>저가</stp>
        <stp/>
        <stp/>
        <tr r="R643" s="1"/>
      </tp>
      <tp>
        <v>84900</v>
        <stp/>
        <stp>P</stp>
        <stp>0</stp>
        <stp>STK</stp>
        <stp>N090360</stp>
        <stp>저가</stp>
        <stp/>
        <stp/>
        <tr r="R332" s="1"/>
      </tp>
      <tp>
        <v>17590</v>
        <stp/>
        <stp>P</stp>
        <stp>0</stp>
        <stp>STK</stp>
        <stp>N090460</stp>
        <stp>저가</stp>
        <stp/>
        <stp/>
        <tr r="R458" s="1"/>
      </tp>
      <tp>
        <v>395000</v>
        <stp/>
        <stp>P</stp>
        <stp>0</stp>
        <stp>STK</stp>
        <stp>N196170</stp>
        <stp>저가</stp>
        <stp/>
        <stp/>
        <tr r="R45" s="1"/>
      </tp>
      <tp>
        <v>61700</v>
        <stp/>
        <stp>P</stp>
        <stp>0</stp>
        <stp>STK</stp>
        <stp>N195870</stp>
        <stp>저가</stp>
        <stp/>
        <stp/>
        <tr r="R335" s="1"/>
      </tp>
      <tp>
        <v>28950</v>
        <stp/>
        <stp>P</stp>
        <stp>0</stp>
        <stp>STK</stp>
        <stp>N095660</stp>
        <stp>저가</stp>
        <stp/>
        <stp/>
        <tr r="R448" s="1"/>
      </tp>
      <tp>
        <v>66100</v>
        <stp/>
        <stp>P</stp>
        <stp>0</stp>
        <stp>STK</stp>
        <stp>N494120</stp>
        <stp>저가</stp>
        <stp/>
        <stp/>
        <tr r="R529" s="1"/>
      </tp>
      <tp>
        <v>17980</v>
        <stp/>
        <stp>P</stp>
        <stp>0</stp>
        <stp>STK</stp>
        <stp>N094360</stp>
        <stp>저가</stp>
        <stp/>
        <stp/>
        <tr r="R559" s="1"/>
      </tp>
      <tp>
        <v>11900</v>
        <stp/>
        <stp>P</stp>
        <stp>0</stp>
        <stp>STK</stp>
        <stp>N194370</stp>
        <stp>저가</stp>
        <stp/>
        <stp/>
        <tr r="R602" s="1"/>
      </tp>
      <tp>
        <v>18180</v>
        <stp/>
        <stp>P</stp>
        <stp>0</stp>
        <stp>STK</stp>
        <stp>N090460</stp>
        <stp>시가</stp>
        <stp/>
        <stp/>
        <tr r="P458" s="1"/>
      </tp>
      <tp>
        <v>88900</v>
        <stp/>
        <stp>P</stp>
        <stp>0</stp>
        <stp>STK</stp>
        <stp>N090360</stp>
        <stp>시가</stp>
        <stp/>
        <stp/>
        <tr r="P332" s="1"/>
      </tp>
      <tp>
        <v>15810</v>
        <stp/>
        <stp>P</stp>
        <stp>0</stp>
        <stp>STK</stp>
        <stp>N092460</stp>
        <stp>시가</stp>
        <stp/>
        <stp/>
        <tr r="P643" s="1"/>
      </tp>
      <tp>
        <v>2365000</v>
        <stp/>
        <stp>P</stp>
        <stp>0</stp>
        <stp>STK</stp>
        <stp>N298040</stp>
        <stp>저가</stp>
        <stp/>
        <stp/>
        <tr r="R40" s="1"/>
      </tp>
      <tp>
        <v>32100</v>
        <stp/>
        <stp>P</stp>
        <stp>0</stp>
        <stp>STK</stp>
        <stp>N098460</stp>
        <stp>저가</stp>
        <stp/>
        <stp/>
        <tr r="R205" s="1"/>
      </tp>
      <tp>
        <v>30100</v>
        <stp/>
        <stp>P</stp>
        <stp>0</stp>
        <stp>STK</stp>
        <stp>N095660</stp>
        <stp>시가</stp>
        <stp/>
        <stp/>
        <tr r="P448" s="1"/>
      </tp>
      <tp>
        <v>63500</v>
        <stp/>
        <stp>P</stp>
        <stp>0</stp>
        <stp>STK</stp>
        <stp>N195870</stp>
        <stp>시가</stp>
        <stp/>
        <stp/>
        <tr r="P335" s="1"/>
      </tp>
      <tp>
        <v>68800</v>
        <stp/>
        <stp>P</stp>
        <stp>0</stp>
        <stp>STK</stp>
        <stp>N494120</stp>
        <stp>시가</stp>
        <stp/>
        <stp/>
        <tr r="P529" s="1"/>
      </tp>
      <tp>
        <v>17980</v>
        <stp/>
        <stp>P</stp>
        <stp>0</stp>
        <stp>STK</stp>
        <stp>N094360</stp>
        <stp>시가</stp>
        <stp/>
        <stp/>
        <tr r="P559" s="1"/>
      </tp>
      <tp>
        <v>12110</v>
        <stp/>
        <stp>P</stp>
        <stp>0</stp>
        <stp>STK</stp>
        <stp>N194370</stp>
        <stp>시가</stp>
        <stp/>
        <stp/>
        <tr r="P602" s="1"/>
      </tp>
      <tp>
        <v>413500</v>
        <stp/>
        <stp>P</stp>
        <stp>0</stp>
        <stp>STK</stp>
        <stp>N196170</stp>
        <stp>시가</stp>
        <stp/>
        <stp/>
        <tr r="P45" s="1"/>
      </tp>
      <tp>
        <v>413500</v>
        <stp/>
        <stp>P</stp>
        <stp>0</stp>
        <stp>STK</stp>
        <stp>N196170</stp>
        <stp>고가</stp>
        <stp/>
        <stp/>
        <tr r="Q45" s="1"/>
      </tp>
      <tp>
        <v>65900</v>
        <stp/>
        <stp>P</stp>
        <stp>0</stp>
        <stp>STK</stp>
        <stp>N195870</stp>
        <stp>고가</stp>
        <stp/>
        <stp/>
        <tr r="Q335" s="1"/>
      </tp>
      <tp>
        <v>30350</v>
        <stp/>
        <stp>P</stp>
        <stp>0</stp>
        <stp>STK</stp>
        <stp>N095660</stp>
        <stp>고가</stp>
        <stp/>
        <stp/>
        <tr r="Q448" s="1"/>
      </tp>
      <tp>
        <v>69300</v>
        <stp/>
        <stp>P</stp>
        <stp>0</stp>
        <stp>STK</stp>
        <stp>N494120</stp>
        <stp>고가</stp>
        <stp/>
        <stp/>
        <tr r="Q529" s="1"/>
      </tp>
      <tp>
        <v>18420</v>
        <stp/>
        <stp>P</stp>
        <stp>0</stp>
        <stp>STK</stp>
        <stp>N094360</stp>
        <stp>고가</stp>
        <stp/>
        <stp/>
        <tr r="Q559" s="1"/>
      </tp>
      <tp>
        <v>12600</v>
        <stp/>
        <stp>P</stp>
        <stp>0</stp>
        <stp>STK</stp>
        <stp>N194370</stp>
        <stp>고가</stp>
        <stp/>
        <stp/>
        <tr r="Q602" s="1"/>
      </tp>
      <tp>
        <v>15960</v>
        <stp/>
        <stp>P</stp>
        <stp>0</stp>
        <stp>STK</stp>
        <stp>N092460</stp>
        <stp>고가</stp>
        <stp/>
        <stp/>
        <tr r="Q643" s="1"/>
      </tp>
      <tp>
        <v>89600</v>
        <stp/>
        <stp>P</stp>
        <stp>0</stp>
        <stp>STK</stp>
        <stp>N090360</stp>
        <stp>고가</stp>
        <stp/>
        <stp/>
        <tr r="Q332" s="1"/>
      </tp>
      <tp>
        <v>18200</v>
        <stp/>
        <stp>P</stp>
        <stp>0</stp>
        <stp>STK</stp>
        <stp>N090460</stp>
        <stp>고가</stp>
        <stp/>
        <stp/>
        <tr r="Q458" s="1"/>
      </tp>
      <tp>
        <v>2530000</v>
        <stp/>
        <stp>P</stp>
        <stp>0</stp>
        <stp>STK</stp>
        <stp>N298040</stp>
        <stp>고가</stp>
        <stp/>
        <stp/>
        <tr r="Q40" s="1"/>
      </tp>
      <tp>
        <v>34450</v>
        <stp/>
        <stp>P</stp>
        <stp>0</stp>
        <stp>STK</stp>
        <stp>N098460</stp>
        <stp>고가</stp>
        <stp/>
        <stp/>
        <tr r="Q205" s="1"/>
      </tp>
      <tp>
        <v>35700</v>
        <stp/>
        <stp>P</stp>
        <stp>0</stp>
        <stp>STK</stp>
        <stp>N003960</stp>
        <stp>저가</stp>
        <stp/>
        <stp/>
        <tr r="R601" s="1"/>
      </tp>
      <tp>
        <v>32500</v>
        <stp/>
        <stp>P</stp>
        <stp>0</stp>
        <stp>STK</stp>
        <stp>N003160</stp>
        <stp>저가</stp>
        <stp/>
        <stp/>
        <tr r="R345" s="1"/>
      </tp>
      <tp>
        <v>28950</v>
        <stp/>
        <stp>P</stp>
        <stp>0</stp>
        <stp>STK</stp>
        <stp>N108670</stp>
        <stp>시가</stp>
        <stp/>
        <stp/>
        <tr r="P668" s="1"/>
      </tp>
      <tp>
        <v>10980</v>
        <stp/>
        <stp>P</stp>
        <stp>0</stp>
        <stp>STK</stp>
        <stp>N008060</stp>
        <stp>시가</stp>
        <stp/>
        <stp/>
        <tr r="P588" s="1"/>
      </tp>
      <tp>
        <v>430000</v>
        <stp/>
        <stp>P</stp>
        <stp>0</stp>
        <stp>STK</stp>
        <stp>N002960</stp>
        <stp>저가</stp>
        <stp/>
        <stp/>
        <tr r="R445" s="1"/>
      </tp>
      <tp>
        <v>30550</v>
        <stp/>
        <stp>P</stp>
        <stp>0</stp>
        <stp>STK</stp>
        <stp>N001060</stp>
        <stp>저가</stp>
        <stp/>
        <stp/>
        <tr r="R410" s="1"/>
      </tp>
      <tp>
        <v>40650</v>
        <stp/>
        <stp>P</stp>
        <stp>0</stp>
        <stp>STK</stp>
        <stp>N001460</stp>
        <stp>저가</stp>
        <stp/>
        <stp/>
        <tr r="R660" s="1"/>
      </tp>
      <tp>
        <v>862000</v>
        <stp/>
        <stp>P</stp>
        <stp>0</stp>
        <stp>STK</stp>
        <stp>N000660</stp>
        <stp>저가</stp>
        <stp/>
        <stp/>
        <tr r="R10" s="1"/>
      </tp>
      <tp>
        <v>1718000</v>
        <stp/>
        <stp>P</stp>
        <stp>0</stp>
        <stp>STK</stp>
        <stp>N207940</stp>
        <stp>저가</stp>
        <stp/>
        <stp/>
        <tr r="R13" s="1"/>
      </tp>
      <tp>
        <v>444000</v>
        <stp/>
        <stp>P</stp>
        <stp>0</stp>
        <stp>STK</stp>
        <stp>N307950</stp>
        <stp>저가</stp>
        <stp/>
        <stp/>
        <tr r="R61" s="1"/>
      </tp>
      <tp>
        <v>57800</v>
        <stp/>
        <stp>P</stp>
        <stp>0</stp>
        <stp>STK</stp>
        <stp>N007160</stp>
        <stp>저가</stp>
        <stp/>
        <stp/>
        <tr r="R652" s="1"/>
      </tp>
      <tp>
        <v>113100</v>
        <stp/>
        <stp>P</stp>
        <stp>0</stp>
        <stp>STK</stp>
        <stp>N007660</stp>
        <stp>저가</stp>
        <stp/>
        <stp/>
        <tr r="R89" s="1"/>
      </tp>
      <tp>
        <v>18530</v>
        <stp/>
        <stp>P</stp>
        <stp>0</stp>
        <stp>STK</stp>
        <stp>N006360</stp>
        <stp>저가</stp>
        <stp/>
        <stp/>
        <tr r="R243" s="1"/>
      </tp>
      <tp>
        <v>211500</v>
        <stp/>
        <stp>P</stp>
        <stp>0</stp>
        <stp>STK</stp>
        <stp>N006260</stp>
        <stp>저가</stp>
        <stp/>
        <stp/>
        <tr r="R92" s="1"/>
      </tp>
      <tp>
        <v>12810</v>
        <stp/>
        <stp>P</stp>
        <stp>0</stp>
        <stp>STK</stp>
        <stp>N206640</stp>
        <stp>저가</stp>
        <stp/>
        <stp/>
        <tr r="R632" s="1"/>
      </tp>
      <tp>
        <v>14220</v>
        <stp/>
        <stp>P</stp>
        <stp>0</stp>
        <stp>STK</stp>
        <stp>N004360</stp>
        <stp>저가</stp>
        <stp/>
        <stp/>
        <tr r="R662" s="1"/>
      </tp>
      <tp>
        <v>41700</v>
        <stp/>
        <stp>P</stp>
        <stp>0</stp>
        <stp>STK</stp>
        <stp>N001460</stp>
        <stp>시가</stp>
        <stp/>
        <stp/>
        <tr r="P660" s="1"/>
      </tp>
      <tp>
        <v>31100</v>
        <stp/>
        <stp>P</stp>
        <stp>0</stp>
        <stp>STK</stp>
        <stp>N001060</stp>
        <stp>시가</stp>
        <stp/>
        <stp/>
        <tr r="P410" s="1"/>
      </tp>
      <tp>
        <v>900000</v>
        <stp/>
        <stp>P</stp>
        <stp>0</stp>
        <stp>STK</stp>
        <stp>N000660</stp>
        <stp>시가</stp>
        <stp/>
        <stp/>
        <tr r="P10" s="1"/>
      </tp>
      <tp>
        <v>34450</v>
        <stp/>
        <stp>P</stp>
        <stp>0</stp>
        <stp>STK</stp>
        <stp>N003160</stp>
        <stp>시가</stp>
        <stp/>
        <stp/>
        <tr r="P345" s="1"/>
      </tp>
      <tp>
        <v>35750</v>
        <stp/>
        <stp>P</stp>
        <stp>0</stp>
        <stp>STK</stp>
        <stp>N003960</stp>
        <stp>시가</stp>
        <stp/>
        <stp/>
        <tr r="P601" s="1"/>
      </tp>
      <tp>
        <v>434500</v>
        <stp/>
        <stp>P</stp>
        <stp>0</stp>
        <stp>STK</stp>
        <stp>N002960</stp>
        <stp>시가</stp>
        <stp/>
        <stp/>
        <tr r="P445" s="1"/>
      </tp>
      <tp>
        <v>10700</v>
        <stp/>
        <stp>P</stp>
        <stp>0</stp>
        <stp>STK</stp>
        <stp>N008060</stp>
        <stp>저가</stp>
        <stp/>
        <stp/>
        <tr r="R588" s="1"/>
      </tp>
      <tp>
        <v>28400</v>
        <stp/>
        <stp>P</stp>
        <stp>0</stp>
        <stp>STK</stp>
        <stp>N108670</stp>
        <stp>저가</stp>
        <stp/>
        <stp/>
        <tr r="R668" s="1"/>
      </tp>
      <tp>
        <v>14500</v>
        <stp/>
        <stp>P</stp>
        <stp>0</stp>
        <stp>STK</stp>
        <stp>N004360</stp>
        <stp>시가</stp>
        <stp/>
        <stp/>
        <tr r="P662" s="1"/>
      </tp>
      <tp>
        <v>113200</v>
        <stp/>
        <stp>P</stp>
        <stp>0</stp>
        <stp>STK</stp>
        <stp>N007660</stp>
        <stp>시가</stp>
        <stp/>
        <stp/>
        <tr r="P89" s="1"/>
      </tp>
      <tp>
        <v>58500</v>
        <stp/>
        <stp>P</stp>
        <stp>0</stp>
        <stp>STK</stp>
        <stp>N007160</stp>
        <stp>시가</stp>
        <stp/>
        <stp/>
        <tr r="P652" s="1"/>
      </tp>
      <tp>
        <v>1752000</v>
        <stp/>
        <stp>P</stp>
        <stp>0</stp>
        <stp>STK</stp>
        <stp>N207940</stp>
        <stp>시가</stp>
        <stp/>
        <stp/>
        <tr r="P13" s="1"/>
      </tp>
      <tp>
        <v>463000</v>
        <stp/>
        <stp>P</stp>
        <stp>0</stp>
        <stp>STK</stp>
        <stp>N307950</stp>
        <stp>시가</stp>
        <stp/>
        <stp/>
        <tr r="P61" s="1"/>
      </tp>
      <tp>
        <v>13050</v>
        <stp/>
        <stp>P</stp>
        <stp>0</stp>
        <stp>STK</stp>
        <stp>N206640</stp>
        <stp>시가</stp>
        <stp/>
        <stp/>
        <tr r="P632" s="1"/>
      </tp>
      <tp>
        <v>18770</v>
        <stp/>
        <stp>P</stp>
        <stp>0</stp>
        <stp>STK</stp>
        <stp>N006360</stp>
        <stp>시가</stp>
        <stp/>
        <stp/>
        <tr r="P243" s="1"/>
      </tp>
      <tp>
        <v>222000</v>
        <stp/>
        <stp>P</stp>
        <stp>0</stp>
        <stp>STK</stp>
        <stp>N006260</stp>
        <stp>시가</stp>
        <stp/>
        <stp/>
        <tr r="P92" s="1"/>
      </tp>
      <tp>
        <v>1761000</v>
        <stp/>
        <stp>P</stp>
        <stp>0</stp>
        <stp>STK</stp>
        <stp>N207940</stp>
        <stp>고가</stp>
        <stp/>
        <stp/>
        <tr r="Q13" s="1"/>
      </tp>
      <tp>
        <v>464500</v>
        <stp/>
        <stp>P</stp>
        <stp>0</stp>
        <stp>STK</stp>
        <stp>N307950</stp>
        <stp>고가</stp>
        <stp/>
        <stp/>
        <tr r="Q61" s="1"/>
      </tp>
      <tp>
        <v>59200</v>
        <stp/>
        <stp>P</stp>
        <stp>0</stp>
        <stp>STK</stp>
        <stp>N007160</stp>
        <stp>고가</stp>
        <stp/>
        <stp/>
        <tr r="Q652" s="1"/>
      </tp>
      <tp>
        <v>116600</v>
        <stp/>
        <stp>P</stp>
        <stp>0</stp>
        <stp>STK</stp>
        <stp>N007660</stp>
        <stp>고가</stp>
        <stp/>
        <stp/>
        <tr r="Q89" s="1"/>
      </tp>
      <tp>
        <v>18800</v>
        <stp/>
        <stp>P</stp>
        <stp>0</stp>
        <stp>STK</stp>
        <stp>N006360</stp>
        <stp>고가</stp>
        <stp/>
        <stp/>
        <tr r="Q243" s="1"/>
      </tp>
      <tp>
        <v>224000</v>
        <stp/>
        <stp>P</stp>
        <stp>0</stp>
        <stp>STK</stp>
        <stp>N006260</stp>
        <stp>고가</stp>
        <stp/>
        <stp/>
        <tr r="Q92" s="1"/>
      </tp>
      <tp>
        <v>13050</v>
        <stp/>
        <stp>P</stp>
        <stp>0</stp>
        <stp>STK</stp>
        <stp>N206640</stp>
        <stp>고가</stp>
        <stp/>
        <stp/>
        <tr r="Q632" s="1"/>
      </tp>
      <tp>
        <v>14500</v>
        <stp/>
        <stp>P</stp>
        <stp>0</stp>
        <stp>STK</stp>
        <stp>N004360</stp>
        <stp>고가</stp>
        <stp/>
        <stp/>
        <tr r="Q662" s="1"/>
      </tp>
      <tp>
        <v>36550</v>
        <stp/>
        <stp>P</stp>
        <stp>0</stp>
        <stp>STK</stp>
        <stp>N003960</stp>
        <stp>고가</stp>
        <stp/>
        <stp/>
        <tr r="Q601" s="1"/>
      </tp>
      <tp>
        <v>34800</v>
        <stp/>
        <stp>P</stp>
        <stp>0</stp>
        <stp>STK</stp>
        <stp>N003160</stp>
        <stp>고가</stp>
        <stp/>
        <stp/>
        <tr r="Q345" s="1"/>
      </tp>
      <tp>
        <v>435000</v>
        <stp/>
        <stp>P</stp>
        <stp>0</stp>
        <stp>STK</stp>
        <stp>N002960</stp>
        <stp>고가</stp>
        <stp/>
        <stp/>
        <tr r="Q445" s="1"/>
      </tp>
      <tp>
        <v>31350</v>
        <stp/>
        <stp>P</stp>
        <stp>0</stp>
        <stp>STK</stp>
        <stp>N001060</stp>
        <stp>고가</stp>
        <stp/>
        <stp/>
        <tr r="Q410" s="1"/>
      </tp>
      <tp>
        <v>42600</v>
        <stp/>
        <stp>P</stp>
        <stp>0</stp>
        <stp>STK</stp>
        <stp>N001460</stp>
        <stp>고가</stp>
        <stp/>
        <stp/>
        <tr r="Q660" s="1"/>
      </tp>
      <tp>
        <v>900000</v>
        <stp/>
        <stp>P</stp>
        <stp>0</stp>
        <stp>STK</stp>
        <stp>N000660</stp>
        <stp>고가</stp>
        <stp/>
        <stp/>
        <tr r="Q10" s="1"/>
      </tp>
      <tp>
        <v>11090</v>
        <stp/>
        <stp>P</stp>
        <stp>0</stp>
        <stp>STK</stp>
        <stp>N008060</stp>
        <stp>고가</stp>
        <stp/>
        <stp/>
        <tr r="Q588" s="1"/>
      </tp>
      <tp>
        <v>29000</v>
        <stp/>
        <stp>P</stp>
        <stp>0</stp>
        <stp>STK</stp>
        <stp>N108670</stp>
        <stp>고가</stp>
        <stp/>
        <stp/>
        <tr r="Q668" s="1"/>
      </tp>
      <tp>
        <v>173300</v>
        <stp/>
        <stp>P</stp>
        <stp>0</stp>
        <stp>STK</stp>
        <stp>N018260</stp>
        <stp>시가</stp>
        <stp/>
        <stp/>
        <tr r="P63" s="1"/>
      </tp>
      <tp>
        <v>22250</v>
        <stp/>
        <stp>P</stp>
        <stp>0</stp>
        <stp>STK</stp>
        <stp>N011760</stp>
        <stp>저가</stp>
        <stp/>
        <stp/>
        <tr r="R639" s="1"/>
      </tp>
      <tp>
        <v>87100</v>
        <stp/>
        <stp>P</stp>
        <stp>0</stp>
        <stp>STK</stp>
        <stp>N111770</stp>
        <stp>저가</stp>
        <stp/>
        <stp/>
        <tr r="R138" s="1"/>
      </tp>
      <tp>
        <v>110800</v>
        <stp/>
        <stp>P</stp>
        <stp>0</stp>
        <stp>STK</stp>
        <stp>N010060</stp>
        <stp>저가</stp>
        <stp/>
        <stp/>
        <tr r="R202" s="1"/>
      </tp>
      <tp>
        <v>32700</v>
        <stp/>
        <stp>P</stp>
        <stp>0</stp>
        <stp>STK</stp>
        <stp>N017960</stp>
        <stp>저가</stp>
        <stp/>
        <stp/>
        <tr r="R221" s="1"/>
      </tp>
      <tp>
        <v>19100</v>
        <stp/>
        <stp>P</stp>
        <stp>0</stp>
        <stp>STK</stp>
        <stp>N017860</stp>
        <stp>저가</stp>
        <stp/>
        <stp/>
        <tr r="R597" s="1"/>
      </tp>
      <tp>
        <v>61600</v>
        <stp/>
        <stp>P</stp>
        <stp>0</stp>
        <stp>STK</stp>
        <stp>N317450</stp>
        <stp>저가</stp>
        <stp/>
        <stp/>
        <tr r="R342" s="1"/>
      </tp>
      <tp>
        <v>87000</v>
        <stp/>
        <stp>P</stp>
        <stp>0</stp>
        <stp>STK</stp>
        <stp>N016360</stp>
        <stp>저가</stp>
        <stp/>
        <stp/>
        <tr r="R91" s="1"/>
      </tp>
      <tp>
        <v>76900</v>
        <stp/>
        <stp>P</stp>
        <stp>0</stp>
        <stp>STK</stp>
        <stp>N015360</stp>
        <stp>저가</stp>
        <stp/>
        <stp/>
        <tr r="R552" s="1"/>
      </tp>
      <tp>
        <v>56800</v>
        <stp/>
        <stp>P</stp>
        <stp>0</stp>
        <stp>STK</stp>
        <stp>N015760</stp>
        <stp>저가</stp>
        <stp/>
        <stp/>
        <tr r="R24" s="1"/>
      </tp>
      <tp>
        <v>22600</v>
        <stp/>
        <stp>P</stp>
        <stp>0</stp>
        <stp>STK</stp>
        <stp>N011760</stp>
        <stp>시가</stp>
        <stp/>
        <stp/>
        <tr r="P639" s="1"/>
      </tp>
      <tp>
        <v>92000</v>
        <stp/>
        <stp>P</stp>
        <stp>0</stp>
        <stp>STK</stp>
        <stp>N111770</stp>
        <stp>시가</stp>
        <stp/>
        <stp/>
        <tr r="P138" s="1"/>
      </tp>
      <tp>
        <v>110800</v>
        <stp/>
        <stp>P</stp>
        <stp>0</stp>
        <stp>STK</stp>
        <stp>N010060</stp>
        <stp>시가</stp>
        <stp/>
        <stp/>
        <tr r="P202" s="1"/>
      </tp>
      <tp>
        <v>169600</v>
        <stp/>
        <stp>P</stp>
        <stp>0</stp>
        <stp>STK</stp>
        <stp>N018260</stp>
        <stp>저가</stp>
        <stp/>
        <stp/>
        <tr r="R63" s="1"/>
      </tp>
      <tp>
        <v>58000</v>
        <stp/>
        <stp>P</stp>
        <stp>0</stp>
        <stp>STK</stp>
        <stp>N015760</stp>
        <stp>시가</stp>
        <stp/>
        <stp/>
        <tr r="P24" s="1"/>
      </tp>
      <tp>
        <v>78200</v>
        <stp/>
        <stp>P</stp>
        <stp>0</stp>
        <stp>STK</stp>
        <stp>N015360</stp>
        <stp>시가</stp>
        <stp/>
        <stp/>
        <tr r="P552" s="1"/>
      </tp>
      <tp>
        <v>62800</v>
        <stp/>
        <stp>P</stp>
        <stp>0</stp>
        <stp>STK</stp>
        <stp>N317450</stp>
        <stp>시가</stp>
        <stp/>
        <stp/>
        <tr r="P342" s="1"/>
      </tp>
      <tp>
        <v>33550</v>
        <stp/>
        <stp>P</stp>
        <stp>0</stp>
        <stp>STK</stp>
        <stp>N017960</stp>
        <stp>시가</stp>
        <stp/>
        <stp/>
        <tr r="P221" s="1"/>
      </tp>
      <tp>
        <v>19580</v>
        <stp/>
        <stp>P</stp>
        <stp>0</stp>
        <stp>STK</stp>
        <stp>N017860</stp>
        <stp>시가</stp>
        <stp/>
        <stp/>
        <tr r="P597" s="1"/>
      </tp>
      <tp>
        <v>90300</v>
        <stp/>
        <stp>P</stp>
        <stp>0</stp>
        <stp>STK</stp>
        <stp>N016360</stp>
        <stp>시가</stp>
        <stp/>
        <stp/>
        <tr r="P91" s="1"/>
      </tp>
      <tp>
        <v>33700</v>
        <stp/>
        <stp>P</stp>
        <stp>0</stp>
        <stp>STK</stp>
        <stp>N017960</stp>
        <stp>고가</stp>
        <stp/>
        <stp/>
        <tr r="Q221" s="1"/>
      </tp>
      <tp>
        <v>19580</v>
        <stp/>
        <stp>P</stp>
        <stp>0</stp>
        <stp>STK</stp>
        <stp>N017860</stp>
        <stp>고가</stp>
        <stp/>
        <stp/>
        <tr r="Q597" s="1"/>
      </tp>
      <tp>
        <v>63000</v>
        <stp/>
        <stp>P</stp>
        <stp>0</stp>
        <stp>STK</stp>
        <stp>N317450</stp>
        <stp>고가</stp>
        <stp/>
        <stp/>
        <tr r="Q342" s="1"/>
      </tp>
      <tp>
        <v>90300</v>
        <stp/>
        <stp>P</stp>
        <stp>0</stp>
        <stp>STK</stp>
        <stp>N016360</stp>
        <stp>고가</stp>
        <stp/>
        <stp/>
        <tr r="Q91" s="1"/>
      </tp>
      <tp>
        <v>78200</v>
        <stp/>
        <stp>P</stp>
        <stp>0</stp>
        <stp>STK</stp>
        <stp>N015360</stp>
        <stp>고가</stp>
        <stp/>
        <stp/>
        <tr r="Q552" s="1"/>
      </tp>
      <tp>
        <v>58500</v>
        <stp/>
        <stp>P</stp>
        <stp>0</stp>
        <stp>STK</stp>
        <stp>N015760</stp>
        <stp>고가</stp>
        <stp/>
        <stp/>
        <tr r="Q24" s="1"/>
      </tp>
      <tp>
        <v>22600</v>
        <stp/>
        <stp>P</stp>
        <stp>0</stp>
        <stp>STK</stp>
        <stp>N011760</stp>
        <stp>고가</stp>
        <stp/>
        <stp/>
        <tr r="Q639" s="1"/>
      </tp>
      <tp>
        <v>93300</v>
        <stp/>
        <stp>P</stp>
        <stp>0</stp>
        <stp>STK</stp>
        <stp>N111770</stp>
        <stp>고가</stp>
        <stp/>
        <stp/>
        <tr r="Q138" s="1"/>
      </tp>
      <tp>
        <v>114400</v>
        <stp/>
        <stp>P</stp>
        <stp>0</stp>
        <stp>STK</stp>
        <stp>N010060</stp>
        <stp>고가</stp>
        <stp/>
        <stp/>
        <tr r="Q202" s="1"/>
      </tp>
      <tp>
        <v>173300</v>
        <stp/>
        <stp>P</stp>
        <stp>0</stp>
        <stp>STK</stp>
        <stp>N018260</stp>
        <stp>고가</stp>
        <stp/>
        <stp/>
        <tr r="Q63" s="1"/>
      </tp>
      <tp>
        <v>33000</v>
        <stp/>
        <stp>P</stp>
        <stp>0</stp>
        <stp>STK</stp>
        <stp>N029460</stp>
        <stp>시가</stp>
        <stp/>
        <stp/>
        <tr r="P557" s="1"/>
      </tp>
      <tp>
        <v>41150</v>
        <stp/>
        <stp>P</stp>
        <stp>0</stp>
        <stp>STK</stp>
        <stp>N229640</stp>
        <stp>시가</stp>
        <stp/>
        <stp/>
        <tr r="P292" s="1"/>
      </tp>
      <tp>
        <v>27150</v>
        <stp/>
        <stp>P</stp>
        <stp>0</stp>
        <stp>STK</stp>
        <stp>N023160</stp>
        <stp>저가</stp>
        <stp/>
        <stp/>
        <tr r="R389" s="1"/>
      </tp>
      <tp>
        <v>302500</v>
        <stp/>
        <stp>P</stp>
        <stp>0</stp>
        <stp>STK</stp>
        <stp>N028260</stp>
        <stp>시가</stp>
        <stp/>
        <stp/>
        <tr r="P20" s="1"/>
      </tp>
      <tp>
        <v>71600</v>
        <stp/>
        <stp>P</stp>
        <stp>0</stp>
        <stp>STK</stp>
        <stp>N122870</stp>
        <stp>저가</stp>
        <stp/>
        <stp/>
        <tr r="R273" s="1"/>
      </tp>
      <tp>
        <v>7540</v>
        <stp/>
        <stp>P</stp>
        <stp>0</stp>
        <stp>STK</stp>
        <stp>N020560</stp>
        <stp>저가</stp>
        <stp/>
        <stp/>
        <tr r="R246" s="1"/>
      </tp>
      <tp>
        <v>25700</v>
        <stp/>
        <stp>P</stp>
        <stp>0</stp>
        <stp>STK</stp>
        <stp>N026960</stp>
        <stp>저가</stp>
        <stp/>
        <stp/>
        <tr r="R175" s="1"/>
      </tp>
      <tp>
        <v>36600</v>
        <stp/>
        <stp>P</stp>
        <stp>0</stp>
        <stp>STK</stp>
        <stp>N425420</stp>
        <stp>저가</stp>
        <stp/>
        <stp/>
        <tr r="R535" s="1"/>
      </tp>
      <tp>
        <v>7650</v>
        <stp/>
        <stp>P</stp>
        <stp>0</stp>
        <stp>STK</stp>
        <stp>N020560</stp>
        <stp>시가</stp>
        <stp/>
        <stp/>
        <tr r="P246" s="1"/>
      </tp>
      <tp>
        <v>28300</v>
        <stp/>
        <stp>P</stp>
        <stp>0</stp>
        <stp>STK</stp>
        <stp>N023160</stp>
        <stp>시가</stp>
        <stp/>
        <stp/>
        <tr r="P389" s="1"/>
      </tp>
      <tp>
        <v>32150</v>
        <stp/>
        <stp>P</stp>
        <stp>0</stp>
        <stp>STK</stp>
        <stp>N029460</stp>
        <stp>저가</stp>
        <stp/>
        <stp/>
        <tr r="R557" s="1"/>
      </tp>
      <tp>
        <v>39600</v>
        <stp/>
        <stp>P</stp>
        <stp>0</stp>
        <stp>STK</stp>
        <stp>N229640</stp>
        <stp>저가</stp>
        <stp/>
        <stp/>
        <tr r="R292" s="1"/>
      </tp>
      <tp>
        <v>73400</v>
        <stp/>
        <stp>P</stp>
        <stp>0</stp>
        <stp>STK</stp>
        <stp>N122870</stp>
        <stp>시가</stp>
        <stp/>
        <stp/>
        <tr r="P273" s="1"/>
      </tp>
      <tp>
        <v>290000</v>
        <stp/>
        <stp>P</stp>
        <stp>0</stp>
        <stp>STK</stp>
        <stp>N028260</stp>
        <stp>저가</stp>
        <stp/>
        <stp/>
        <tr r="R20" s="1"/>
      </tp>
      <tp>
        <v>38250</v>
        <stp/>
        <stp>P</stp>
        <stp>0</stp>
        <stp>STK</stp>
        <stp>N425420</stp>
        <stp>시가</stp>
        <stp/>
        <stp/>
        <tr r="P535" s="1"/>
      </tp>
      <tp>
        <v>26000</v>
        <stp/>
        <stp>P</stp>
        <stp>0</stp>
        <stp>STK</stp>
        <stp>N026960</stp>
        <stp>시가</stp>
        <stp/>
        <stp/>
        <tr r="P175" s="1"/>
      </tp>
      <tp>
        <v>26000</v>
        <stp/>
        <stp>P</stp>
        <stp>0</stp>
        <stp>STK</stp>
        <stp>N026960</stp>
        <stp>고가</stp>
        <stp/>
        <stp/>
        <tr r="Q175" s="1"/>
      </tp>
      <tp>
        <v>38400</v>
        <stp/>
        <stp>P</stp>
        <stp>0</stp>
        <stp>STK</stp>
        <stp>N425420</stp>
        <stp>고가</stp>
        <stp/>
        <stp/>
        <tr r="Q535" s="1"/>
      </tp>
      <tp>
        <v>28300</v>
        <stp/>
        <stp>P</stp>
        <stp>0</stp>
        <stp>STK</stp>
        <stp>N023160</stp>
        <stp>고가</stp>
        <stp/>
        <stp/>
        <tr r="Q389" s="1"/>
      </tp>
      <tp>
        <v>73900</v>
        <stp/>
        <stp>P</stp>
        <stp>0</stp>
        <stp>STK</stp>
        <stp>N122870</stp>
        <stp>고가</stp>
        <stp/>
        <stp/>
        <tr r="Q273" s="1"/>
      </tp>
      <tp>
        <v>7650</v>
        <stp/>
        <stp>P</stp>
        <stp>0</stp>
        <stp>STK</stp>
        <stp>N020560</stp>
        <stp>고가</stp>
        <stp/>
        <stp/>
        <tr r="Q246" s="1"/>
      </tp>
      <tp>
        <v>34050</v>
        <stp/>
        <stp>P</stp>
        <stp>0</stp>
        <stp>STK</stp>
        <stp>N029460</stp>
        <stp>고가</stp>
        <stp/>
        <stp/>
        <tr r="Q557" s="1"/>
      </tp>
      <tp>
        <v>41150</v>
        <stp/>
        <stp>P</stp>
        <stp>0</stp>
        <stp>STK</stp>
        <stp>N229640</stp>
        <stp>고가</stp>
        <stp/>
        <stp/>
        <tr r="Q292" s="1"/>
      </tp>
      <tp>
        <v>302500</v>
        <stp/>
        <stp>P</stp>
        <stp>0</stp>
        <stp>STK</stp>
        <stp>N028260</stp>
        <stp>고가</stp>
        <stp/>
        <stp/>
        <tr r="Q20" s="1"/>
      </tp>
      <tp>
        <v>18570</v>
        <stp/>
        <stp>P</stp>
        <stp>0</stp>
        <stp>STK</stp>
        <stp>N232140</stp>
        <stp>저가</stp>
        <stp/>
        <stp/>
        <tr r="R283" s="1"/>
      </tp>
      <tp>
        <v>63800</v>
        <stp/>
        <stp>P</stp>
        <stp>0</stp>
        <stp>STK</stp>
        <stp>N131970</stp>
        <stp>저가</stp>
        <stp/>
        <stp/>
        <tr r="R311" s="1"/>
      </tp>
      <tp>
        <v>39600</v>
        <stp/>
        <stp>P</stp>
        <stp>0</stp>
        <stp>STK</stp>
        <stp>N036460</stp>
        <stp>저가</stp>
        <stp/>
        <stp/>
        <tr r="R137" s="1"/>
      </tp>
      <tp>
        <v>70000</v>
        <stp/>
        <stp>P</stp>
        <stp>0</stp>
        <stp>STK</stp>
        <stp>N035760</stp>
        <stp>저가</stp>
        <stp/>
        <stp/>
        <tr r="R263" s="1"/>
      </tp>
      <tp>
        <v>67100</v>
        <stp/>
        <stp>P</stp>
        <stp>0</stp>
        <stp>STK</stp>
        <stp>N131970</stp>
        <stp>시가</stp>
        <stp/>
        <stp/>
        <tr r="P311" s="1"/>
      </tp>
      <tp>
        <v>19410</v>
        <stp/>
        <stp>P</stp>
        <stp>0</stp>
        <stp>STK</stp>
        <stp>N232140</stp>
        <stp>시가</stp>
        <stp/>
        <stp/>
        <tr r="P283" s="1"/>
      </tp>
      <tp>
        <v>73900</v>
        <stp/>
        <stp>P</stp>
        <stp>0</stp>
        <stp>STK</stp>
        <stp>N035760</stp>
        <stp>시가</stp>
        <stp/>
        <stp/>
        <tr r="P263" s="1"/>
      </tp>
      <tp>
        <v>40000</v>
        <stp/>
        <stp>P</stp>
        <stp>0</stp>
        <stp>STK</stp>
        <stp>N036460</stp>
        <stp>시가</stp>
        <stp/>
        <stp/>
        <tr r="P137" s="1"/>
      </tp>
      <tp>
        <v>40100</v>
        <stp/>
        <stp>P</stp>
        <stp>0</stp>
        <stp>STK</stp>
        <stp>N036460</stp>
        <stp>고가</stp>
        <stp/>
        <stp/>
        <tr r="Q137" s="1"/>
      </tp>
      <tp>
        <v>74500</v>
        <stp/>
        <stp>P</stp>
        <stp>0</stp>
        <stp>STK</stp>
        <stp>N035760</stp>
        <stp>고가</stp>
        <stp/>
        <stp/>
        <tr r="Q263" s="1"/>
      </tp>
      <tp>
        <v>19700</v>
        <stp/>
        <stp>P</stp>
        <stp>0</stp>
        <stp>STK</stp>
        <stp>N232140</stp>
        <stp>고가</stp>
        <stp/>
        <stp/>
        <tr r="Q283" s="1"/>
      </tp>
      <tp>
        <v>67100</v>
        <stp/>
        <stp>P</stp>
        <stp>0</stp>
        <stp>STK</stp>
        <stp>N131970</stp>
        <stp>고가</stp>
        <stp/>
        <stp/>
        <tr r="Q311" s="1"/>
      </tp>
      <tp>
        <v>135500</v>
        <stp/>
        <stp>P</stp>
        <stp>0</stp>
        <stp>STK</stp>
        <stp>N042660</stp>
        <stp>저가</stp>
        <stp/>
        <stp/>
        <tr r="R23" s="1"/>
      </tp>
      <tp>
        <v>90200</v>
        <stp/>
        <stp>P</stp>
        <stp>0</stp>
        <stp>STK</stp>
        <stp>N347850</stp>
        <stp>저가</stp>
        <stp/>
        <stp/>
        <tr r="R141" s="1"/>
      </tp>
      <tp>
        <v>219500</v>
        <stp/>
        <stp>P</stp>
        <stp>0</stp>
        <stp>STK</stp>
        <stp>N247540</stp>
        <stp>저가</stp>
        <stp/>
        <stp/>
        <tr r="R57" s="1"/>
      </tp>
      <tp>
        <v>138500</v>
        <stp/>
        <stp>P</stp>
        <stp>0</stp>
        <stp>STK</stp>
        <stp>N042660</stp>
        <stp>시가</stp>
        <stp/>
        <stp/>
        <tr r="P23" s="1"/>
      </tp>
      <tp>
        <v>224000</v>
        <stp/>
        <stp>P</stp>
        <stp>0</stp>
        <stp>STK</stp>
        <stp>N247540</stp>
        <stp>시가</stp>
        <stp/>
        <stp/>
        <tr r="P57" s="1"/>
      </tp>
      <tp>
        <v>93000</v>
        <stp/>
        <stp>P</stp>
        <stp>0</stp>
        <stp>STK</stp>
        <stp>N347850</stp>
        <stp>시가</stp>
        <stp/>
        <stp/>
        <tr r="P141" s="1"/>
      </tp>
      <tp>
        <v>94500</v>
        <stp/>
        <stp>P</stp>
        <stp>0</stp>
        <stp>STK</stp>
        <stp>N347850</stp>
        <stp>고가</stp>
        <stp/>
        <stp/>
        <tr r="Q141" s="1"/>
      </tp>
      <tp>
        <v>235500</v>
        <stp/>
        <stp>P</stp>
        <stp>0</stp>
        <stp>STK</stp>
        <stp>N247540</stp>
        <stp>고가</stp>
        <stp/>
        <stp/>
        <tr r="Q57" s="1"/>
      </tp>
      <tp>
        <v>141000</v>
        <stp/>
        <stp>P</stp>
        <stp>0</stp>
        <stp>STK</stp>
        <stp>N042660</stp>
        <stp>고가</stp>
        <stp/>
        <stp/>
        <tr r="Q23" s="1"/>
      </tp>
      <tp>
        <v>15260</v>
        <stp/>
        <stp>P</stp>
        <stp>0</stp>
        <stp>STK</stp>
        <stp>N051360</stp>
        <stp>저가</stp>
        <stp/>
        <stp/>
        <tr r="R675" s="1"/>
      </tp>
      <tp>
        <v>56000</v>
        <stp/>
        <stp>P</stp>
        <stp>0</stp>
        <stp>STK</stp>
        <stp>N357550</stp>
        <stp>저가</stp>
        <stp/>
        <stp/>
        <tr r="R612" s="1"/>
      </tp>
      <tp>
        <v>15750</v>
        <stp/>
        <stp>P</stp>
        <stp>0</stp>
        <stp>STK</stp>
        <stp>N051360</stp>
        <stp>시가</stp>
        <stp/>
        <stp/>
        <tr r="P675" s="1"/>
      </tp>
      <tp>
        <v>57800</v>
        <stp/>
        <stp>P</stp>
        <stp>0</stp>
        <stp>STK</stp>
        <stp>N357550</stp>
        <stp>시가</stp>
        <stp/>
        <stp/>
        <tr r="P612" s="1"/>
      </tp>
      <tp>
        <v>58200</v>
        <stp/>
        <stp>P</stp>
        <stp>0</stp>
        <stp>STK</stp>
        <stp>N357550</stp>
        <stp>고가</stp>
        <stp/>
        <stp/>
        <tr r="Q612" s="1"/>
      </tp>
      <tp>
        <v>15750</v>
        <stp/>
        <stp>P</stp>
        <stp>0</stp>
        <stp>STK</stp>
        <stp>N051360</stp>
        <stp>고가</stp>
        <stp/>
        <stp/>
        <tr r="Q675" s="1"/>
      </tp>
      <tp>
        <v>20200</v>
        <stp/>
        <stp>P</stp>
        <stp>0</stp>
        <stp>STK</stp>
        <stp>N069260</stp>
        <stp>시가</stp>
        <stp/>
        <stp/>
        <tr r="P372" s="1"/>
      </tp>
      <tp>
        <v>93800</v>
        <stp/>
        <stp>P</stp>
        <stp>0</stp>
        <stp>STK</stp>
        <stp>N069960</stp>
        <stp>시가</stp>
        <stp/>
        <stp/>
        <tr r="P206" s="1"/>
      </tp>
      <tp>
        <v>72300</v>
        <stp/>
        <stp>P</stp>
        <stp>0</stp>
        <stp>STK</stp>
        <stp>N068760</stp>
        <stp>시가</stp>
        <stp/>
        <stp/>
        <tr r="P171" s="1"/>
      </tp>
      <tp>
        <v>71400</v>
        <stp/>
        <stp>P</stp>
        <stp>0</stp>
        <stp>STK</stp>
        <stp>N067160</stp>
        <stp>저가</stp>
        <stp/>
        <stp/>
        <tr r="R373" s="1"/>
      </tp>
      <tp>
        <v>39350</v>
        <stp/>
        <stp>P</stp>
        <stp>0</stp>
        <stp>STK</stp>
        <stp>N065660</stp>
        <stp>저가</stp>
        <stp/>
        <stp/>
        <tr r="R556" s="1"/>
      </tp>
      <tp>
        <v>34350</v>
        <stp/>
        <stp>P</stp>
        <stp>0</stp>
        <stp>STK</stp>
        <stp>N064960</stp>
        <stp>저가</stp>
        <stp/>
        <stp/>
        <tr r="R302" s="1"/>
      </tp>
      <tp>
        <v>211500</v>
        <stp/>
        <stp>P</stp>
        <stp>0</stp>
        <stp>STK</stp>
        <stp>N064760</stp>
        <stp>저가</stp>
        <stp/>
        <stp/>
        <tr r="R218" s="1"/>
      </tp>
      <tp>
        <v>93800</v>
        <stp/>
        <stp>P</stp>
        <stp>0</stp>
        <stp>STK</stp>
        <stp>N069960</stp>
        <stp>저가</stp>
        <stp/>
        <stp/>
        <tr r="R206" s="1"/>
      </tp>
      <tp>
        <v>19810</v>
        <stp/>
        <stp>P</stp>
        <stp>0</stp>
        <stp>STK</stp>
        <stp>N069260</stp>
        <stp>저가</stp>
        <stp/>
        <stp/>
        <tr r="R372" s="1"/>
      </tp>
      <tp>
        <v>69800</v>
        <stp/>
        <stp>P</stp>
        <stp>0</stp>
        <stp>STK</stp>
        <stp>N068760</stp>
        <stp>저가</stp>
        <stp/>
        <stp/>
        <tr r="R171" s="1"/>
      </tp>
      <tp>
        <v>42000</v>
        <stp/>
        <stp>P</stp>
        <stp>0</stp>
        <stp>STK</stp>
        <stp>N065660</stp>
        <stp>시가</stp>
        <stp/>
        <stp/>
        <tr r="P556" s="1"/>
      </tp>
      <tp>
        <v>226500</v>
        <stp/>
        <stp>P</stp>
        <stp>0</stp>
        <stp>STK</stp>
        <stp>N064760</stp>
        <stp>시가</stp>
        <stp/>
        <stp/>
        <tr r="P218" s="1"/>
      </tp>
      <tp>
        <v>35500</v>
        <stp/>
        <stp>P</stp>
        <stp>0</stp>
        <stp>STK</stp>
        <stp>N064960</stp>
        <stp>시가</stp>
        <stp/>
        <stp/>
        <tr r="P302" s="1"/>
      </tp>
      <tp>
        <v>74000</v>
        <stp/>
        <stp>P</stp>
        <stp>0</stp>
        <stp>STK</stp>
        <stp>N067160</stp>
        <stp>시가</stp>
        <stp/>
        <stp/>
        <tr r="P373" s="1"/>
      </tp>
      <tp>
        <v>74200</v>
        <stp/>
        <stp>P</stp>
        <stp>0</stp>
        <stp>STK</stp>
        <stp>N067160</stp>
        <stp>고가</stp>
        <stp/>
        <stp/>
        <tr r="Q373" s="1"/>
      </tp>
      <tp>
        <v>42000</v>
        <stp/>
        <stp>P</stp>
        <stp>0</stp>
        <stp>STK</stp>
        <stp>N065660</stp>
        <stp>고가</stp>
        <stp/>
        <stp/>
        <tr r="Q556" s="1"/>
      </tp>
      <tp>
        <v>35650</v>
        <stp/>
        <stp>P</stp>
        <stp>0</stp>
        <stp>STK</stp>
        <stp>N064960</stp>
        <stp>고가</stp>
        <stp/>
        <stp/>
        <tr r="Q302" s="1"/>
      </tp>
      <tp>
        <v>229500</v>
        <stp/>
        <stp>P</stp>
        <stp>0</stp>
        <stp>STK</stp>
        <stp>N064760</stp>
        <stp>고가</stp>
        <stp/>
        <stp/>
        <tr r="Q218" s="1"/>
      </tp>
      <tp>
        <v>96500</v>
        <stp/>
        <stp>P</stp>
        <stp>0</stp>
        <stp>STK</stp>
        <stp>N069960</stp>
        <stp>고가</stp>
        <stp/>
        <stp/>
        <tr r="Q206" s="1"/>
      </tp>
      <tp>
        <v>20200</v>
        <stp/>
        <stp>P</stp>
        <stp>0</stp>
        <stp>STK</stp>
        <stp>N069260</stp>
        <stp>고가</stp>
        <stp/>
        <stp/>
        <tr r="Q372" s="1"/>
      </tp>
      <tp>
        <v>72300</v>
        <stp/>
        <stp>P</stp>
        <stp>0</stp>
        <stp>STK</stp>
        <stp>N068760</stp>
        <stp>고가</stp>
        <stp/>
        <stp/>
        <tr r="Q171" s="1"/>
      </tp>
      <tp>
        <v>23700</v>
        <stp/>
        <stp>P</stp>
        <stp>0</stp>
        <stp>STK</stp>
        <stp>N078160</stp>
        <stp>시가</stp>
        <stp/>
        <stp/>
        <tr r="P438" s="1"/>
      </tp>
      <tp>
        <v>13820</v>
        <stp/>
        <stp>P</stp>
        <stp>0</stp>
        <stp>STK</stp>
        <stp>N271940</stp>
        <stp>저가</stp>
        <stp/>
        <stp/>
        <tr r="R484" s="1"/>
      </tp>
      <tp>
        <v>14100</v>
        <stp/>
        <stp>P</stp>
        <stp>0</stp>
        <stp>STK</stp>
        <stp>N271940</stp>
        <stp>시가</stp>
        <stp/>
        <stp/>
        <tr r="P484" s="1"/>
      </tp>
      <tp>
        <v>23300</v>
        <stp/>
        <stp>P</stp>
        <stp>0</stp>
        <stp>STK</stp>
        <stp>N078160</stp>
        <stp>저가</stp>
        <stp/>
        <stp/>
        <tr r="R438" s="1"/>
      </tp>
      <tp>
        <v>14100</v>
        <stp/>
        <stp>P</stp>
        <stp>0</stp>
        <stp>STK</stp>
        <stp>N271940</stp>
        <stp>고가</stp>
        <stp/>
        <stp/>
        <tr r="Q484" s="1"/>
      </tp>
      <tp>
        <v>24800</v>
        <stp/>
        <stp>P</stp>
        <stp>0</stp>
        <stp>STK</stp>
        <stp>N078160</stp>
        <stp>고가</stp>
        <stp/>
        <stp/>
        <tr r="Q438" s="1"/>
      </tp>
      <tp>
        <v>94700</v>
        <stp/>
        <stp>P</stp>
        <stp>0</stp>
        <stp>STK</stp>
        <stp>069960</stp>
        <stp>현재가</stp>
        <stp/>
        <stp/>
        <tr r="U206" s="1"/>
      </tp>
      <tp>
        <v>19920</v>
        <stp/>
        <stp>P</stp>
        <stp>0</stp>
        <stp>STK</stp>
        <stp>069260</stp>
        <stp>현재가</stp>
        <stp/>
        <stp/>
        <tr r="U372" s="1"/>
      </tp>
      <tp>
        <v>16000</v>
        <stp/>
        <stp>P</stp>
        <stp>0</stp>
        <stp>STK</stp>
        <stp>069080</stp>
        <stp>현재가</stp>
        <stp/>
        <stp/>
        <tr r="U526" s="1"/>
      </tp>
      <tp>
        <v>165200</v>
        <stp/>
        <stp>P</stp>
        <stp>0</stp>
        <stp>STK</stp>
        <stp>069620</stp>
        <stp>현재가</stp>
        <stp/>
        <stp/>
        <tr r="U220" s="1"/>
      </tp>
      <tp>
        <v>24450</v>
        <stp/>
        <stp>P</stp>
        <stp>0</stp>
        <stp>STK</stp>
        <stp>469610</stp>
        <stp>현재가</stp>
        <stp/>
        <stp/>
        <tr r="U699" s="1"/>
      </tp>
      <tp>
        <v>18960</v>
        <stp/>
        <stp>P</stp>
        <stp>0</stp>
        <stp>STK</stp>
        <stp>168360</stp>
        <stp>현재가</stp>
        <stp/>
        <stp/>
        <tr r="U585" s="1"/>
      </tp>
      <tp>
        <v>132100</v>
        <stp/>
        <stp>P</stp>
        <stp>0</stp>
        <stp>STK</stp>
        <stp>268280</stp>
        <stp>현재가</stp>
        <stp/>
        <stp/>
        <tr r="U391" s="1"/>
      </tp>
      <tp>
        <v>208500</v>
        <stp/>
        <stp>P</stp>
        <stp>0</stp>
        <stp>STK</stp>
        <stp>068270</stp>
        <stp>현재가</stp>
        <stp/>
        <stp/>
        <tr r="U21" s="1"/>
      </tp>
      <tp>
        <v>71400</v>
        <stp/>
        <stp>P</stp>
        <stp>0</stp>
        <stp>STK</stp>
        <stp>068760</stp>
        <stp>현재가</stp>
        <stp/>
        <stp/>
        <tr r="U171" s="1"/>
      </tp>
      <tp>
        <v>78200</v>
        <stp/>
        <stp>P</stp>
        <stp>0</stp>
        <stp>STK</stp>
        <stp>468530</stp>
        <stp>현재가</stp>
        <stp/>
        <stp/>
        <tr r="U340" s="1"/>
      </tp>
      <tp>
        <v>68200</v>
        <stp/>
        <stp>P</stp>
        <stp>0</stp>
        <stp>STK</stp>
        <stp>365340</stp>
        <stp>현재가</stp>
        <stp/>
        <stp/>
        <tr r="U422" s="1"/>
      </tp>
      <tp>
        <v>80800</v>
        <stp/>
        <stp>P</stp>
        <stp>0</stp>
        <stp>STK</stp>
        <stp>065350</stp>
        <stp>현재가</stp>
        <stp/>
        <stp/>
        <tr r="U242" s="1"/>
      </tp>
      <tp>
        <v>32150</v>
        <stp/>
        <stp>P</stp>
        <stp>0</stp>
        <stp>STK</stp>
        <stp>065680</stp>
        <stp>현재가</stp>
        <stp/>
        <stp/>
        <tr r="U638" s="1"/>
      </tp>
      <tp>
        <v>41250</v>
        <stp/>
        <stp>P</stp>
        <stp>0</stp>
        <stp>STK</stp>
        <stp>065660</stp>
        <stp>현재가</stp>
        <stp/>
        <stp/>
        <tr r="U556" s="1"/>
      </tp>
      <tp>
        <v>21200</v>
        <stp/>
        <stp>P</stp>
        <stp>0</stp>
        <stp>STK</stp>
        <stp>265520</stp>
        <stp>현재가</stp>
        <stp/>
        <stp/>
        <tr r="U642" s="1"/>
      </tp>
      <tp>
        <v>34850</v>
        <stp/>
        <stp>P</stp>
        <stp>0</stp>
        <stp>STK</stp>
        <stp>064960</stp>
        <stp>현재가</stp>
        <stp/>
        <stp/>
        <tr r="U302" s="1"/>
      </tp>
      <tp>
        <v>11360</v>
        <stp/>
        <stp>P</stp>
        <stp>0</stp>
        <stp>STK</stp>
        <stp>064820</stp>
        <stp>현재가</stp>
        <stp/>
        <stp/>
        <tr r="U551" s="1"/>
      </tp>
      <tp>
        <v>231000</v>
        <stp/>
        <stp>P</stp>
        <stp>0</stp>
        <stp>STK</stp>
        <stp>064350</stp>
        <stp>현재가</stp>
        <stp/>
        <stp/>
        <tr r="U37" s="1"/>
      </tp>
      <tp>
        <v>227000</v>
        <stp/>
        <stp>P</stp>
        <stp>0</stp>
        <stp>STK</stp>
        <stp>064760</stp>
        <stp>현재가</stp>
        <stp/>
        <stp/>
        <tr r="U218" s="1"/>
      </tp>
      <tp>
        <v>13350</v>
        <stp/>
        <stp>P</stp>
        <stp>0</stp>
        <stp>STK</stp>
        <stp>064550</stp>
        <stp>현재가</stp>
        <stp/>
        <stp/>
        <tr r="U616" s="1"/>
      </tp>
      <tp>
        <v>69300</v>
        <stp/>
        <stp>P</stp>
        <stp>0</stp>
        <stp>STK</stp>
        <stp>064400</stp>
        <stp>현재가</stp>
        <stp/>
        <stp/>
        <tr r="U94" s="1"/>
      </tp>
      <tp>
        <v>35300</v>
        <stp/>
        <stp>P</stp>
        <stp>0</stp>
        <stp>STK</stp>
        <stp>267980</stp>
        <stp>현재가</stp>
        <stp/>
        <stp/>
        <tr r="U658" s="1"/>
      </tp>
      <tp>
        <v>37950</v>
        <stp/>
        <stp>P</stp>
        <stp>0</stp>
        <stp>STK</stp>
        <stp>067310</stp>
        <stp>현재가</stp>
        <stp/>
        <stp/>
        <tr r="U233" s="1"/>
      </tp>
      <tp>
        <v>229500</v>
        <stp/>
        <stp>P</stp>
        <stp>0</stp>
        <stp>STK</stp>
        <stp>267250</stp>
        <stp>현재가</stp>
        <stp/>
        <stp/>
        <tr r="U44" s="1"/>
      </tp>
      <tp>
        <v>108000</v>
        <stp/>
        <stp>P</stp>
        <stp>0</stp>
        <stp>STK</stp>
        <stp>267270</stp>
        <stp>현재가</stp>
        <stp/>
        <stp/>
        <tr r="U216" s="1"/>
      </tp>
      <tp>
        <v>862000</v>
        <stp/>
        <stp>P</stp>
        <stp>0</stp>
        <stp>STK</stp>
        <stp>267260</stp>
        <stp>현재가</stp>
        <stp/>
        <stp/>
        <tr r="U29" s="1"/>
      </tp>
      <tp>
        <v>72100</v>
        <stp/>
        <stp>P</stp>
        <stp>0</stp>
        <stp>STK</stp>
        <stp>067160</stp>
        <stp>현재가</stp>
        <stp/>
        <stp/>
        <tr r="U373" s="1"/>
      </tp>
      <tp>
        <v>16100</v>
        <stp/>
        <stp>P</stp>
        <stp>0</stp>
        <stp>STK</stp>
        <stp>067080</stp>
        <stp>현재가</stp>
        <stp/>
        <stp/>
        <tr r="U623" s="1"/>
      </tp>
      <tp>
        <v>131500</v>
        <stp/>
        <stp>P</stp>
        <stp>0</stp>
        <stp>STK</stp>
        <stp>066970</stp>
        <stp>현재가</stp>
        <stp/>
        <stp/>
        <tr r="U118" s="1"/>
      </tp>
      <tp>
        <v>76400</v>
        <stp/>
        <stp>P</stp>
        <stp>0</stp>
        <stp>STK</stp>
        <stp>466100</stp>
        <stp>현재가</stp>
        <stp/>
        <stp/>
        <tr r="U219" s="1"/>
      </tp>
      <tp>
        <v>64400</v>
        <stp/>
        <stp>P</stp>
        <stp>0</stp>
        <stp>STK</stp>
        <stp>166090</stp>
        <stp>현재가</stp>
        <stp/>
        <stp/>
        <tr r="U303" s="1"/>
      </tp>
      <tp>
        <v>99000</v>
        <stp/>
        <stp>P</stp>
        <stp>0</stp>
        <stp>STK</stp>
        <stp>066570</stp>
        <stp>현재가</stp>
        <stp/>
        <stp/>
        <tr r="U48" s="1"/>
      </tp>
      <tp>
        <v>68900</v>
        <stp/>
        <stp>P</stp>
        <stp>0</stp>
        <stp>STK</stp>
        <stp>161890</stp>
        <stp>현재가</stp>
        <stp/>
        <stp/>
        <tr r="U248" s="1"/>
      </tp>
      <tp>
        <v>64400</v>
        <stp/>
        <stp>P</stp>
        <stp>0</stp>
        <stp>STK</stp>
        <stp>161390</stp>
        <stp>현재가</stp>
        <stp/>
        <stp/>
        <tr r="U84" s="1"/>
      </tp>
      <tp>
        <v>45950</v>
        <stp/>
        <stp>P</stp>
        <stp>0</stp>
        <stp>STK</stp>
        <stp>061090</stp>
        <stp>현재가</stp>
        <stp/>
        <stp/>
        <tr r="U682" s="1"/>
      </tp>
      <tp>
        <v>10100</v>
        <stp/>
        <stp>P</stp>
        <stp>0</stp>
        <stp>STK</stp>
        <stp>161000</stp>
        <stp>현재가</stp>
        <stp/>
        <stp/>
        <tr r="U524" s="1"/>
      </tp>
      <tp>
        <v>27100</v>
        <stp/>
        <stp>P</stp>
        <stp>0</stp>
        <stp>STK</stp>
        <stp>361610</stp>
        <stp>현재가</stp>
        <stp/>
        <stp/>
        <tr r="U214" s="1"/>
      </tp>
      <tp>
        <v>56800</v>
        <stp/>
        <stp>P</stp>
        <stp>0</stp>
        <stp>STK</stp>
        <stp>161580</stp>
        <stp>현재가</stp>
        <stp/>
        <stp/>
        <tr r="U314" s="1"/>
      </tp>
      <tp>
        <v>45150</v>
        <stp/>
        <stp>P</stp>
        <stp>0</stp>
        <stp>STK</stp>
        <stp>060980</stp>
        <stp>현재가</stp>
        <stp/>
        <stp/>
        <tr r="U508" s="1"/>
      </tp>
      <tp>
        <v>17630</v>
        <stp/>
        <stp>P</stp>
        <stp>0</stp>
        <stp>STK</stp>
        <stp>460930</stp>
        <stp>현재가</stp>
        <stp/>
        <stp/>
        <tr r="U399" s="1"/>
      </tp>
      <tp>
        <v>8530</v>
        <stp/>
        <stp>P</stp>
        <stp>0</stp>
        <stp>STK</stp>
        <stp>460860</stp>
        <stp>현재가</stp>
        <stp/>
        <stp/>
        <tr r="U536" s="1"/>
      </tp>
      <tp>
        <v>31550</v>
        <stp/>
        <stp>P</stp>
        <stp>0</stp>
        <stp>STK</stp>
        <stp>060370</stp>
        <stp>현재가</stp>
        <stp/>
        <stp/>
        <tr r="U256" s="1"/>
      </tp>
      <tp>
        <v>21500</v>
        <stp/>
        <stp>P</stp>
        <stp>0</stp>
        <stp>STK</stp>
        <stp>060280</stp>
        <stp>현재가</stp>
        <stp/>
        <stp/>
        <tr r="U349" s="1"/>
      </tp>
      <tp>
        <v>23200</v>
        <stp/>
        <stp>P</stp>
        <stp>0</stp>
        <stp>STK</stp>
        <stp>060250</stp>
        <stp>현재가</stp>
        <stp/>
        <stp/>
        <tr r="U440" s="1"/>
      </tp>
      <tp>
        <v>82900</v>
        <stp/>
        <stp>P</stp>
        <stp>0</stp>
        <stp>STK</stp>
        <stp>160190</stp>
        <stp>현재가</stp>
        <stp/>
        <stp/>
        <tr r="U193" s="1"/>
      </tp>
      <tp>
        <v>18620</v>
        <stp/>
        <stp>P</stp>
        <stp>0</stp>
        <stp>STK</stp>
        <stp>060720</stp>
        <stp>현재가</stp>
        <stp/>
        <stp/>
        <tr r="U573" s="1"/>
      </tp>
      <tp>
        <v>56300</v>
        <stp/>
        <stp>P</stp>
        <stp>0</stp>
        <stp>STK</stp>
        <stp>263750</stp>
        <stp>현재가</stp>
        <stp/>
        <stp/>
        <tr r="U165" s="1"/>
      </tp>
      <tp>
        <v>33600</v>
        <stp/>
        <stp>P</stp>
        <stp>0</stp>
        <stp>STK</stp>
        <stp>462870</stp>
        <stp>현재가</stp>
        <stp/>
        <stp/>
        <tr r="U217" s="1"/>
      </tp>
      <tp>
        <v>143600</v>
        <stp/>
        <stp>P</stp>
        <stp>0</stp>
        <stp>STK</stp>
        <stp>062040</stp>
        <stp>현재가</stp>
        <stp/>
        <stp/>
        <tr r="U122" s="1"/>
      </tp>
      <tp>
        <v>35150</v>
        <stp/>
        <stp>P</stp>
        <stp>0</stp>
        <stp>STK</stp>
        <stp>N089010</stp>
        <stp>시가</stp>
        <stp/>
        <stp/>
        <tr r="P466" s="1"/>
      </tp>
      <tp>
        <v>102900</v>
        <stp/>
        <stp>P</stp>
        <stp>0</stp>
        <stp>STK</stp>
        <stp>N189300</stp>
        <stp>시가</stp>
        <stp/>
        <stp/>
        <tr r="P359" s="1"/>
      </tp>
      <tp>
        <v>118100</v>
        <stp/>
        <stp>P</stp>
        <stp>0</stp>
        <stp>STK</stp>
        <stp>N183300</stp>
        <stp>저가</stp>
        <stp/>
        <stp/>
        <tr r="R306" s="1"/>
      </tp>
      <tp>
        <v>72400</v>
        <stp/>
        <stp>P</stp>
        <stp>0</stp>
        <stp>STK</stp>
        <stp>N383220</stp>
        <stp>저가</stp>
        <stp/>
        <stp/>
        <tr r="R178" s="1"/>
      </tp>
      <tp>
        <v>155700</v>
        <stp/>
        <stp>P</stp>
        <stp>0</stp>
        <stp>STK</stp>
        <stp>N483650</stp>
        <stp>저가</stp>
        <stp/>
        <stp/>
        <tr r="R236" s="1"/>
      </tp>
      <tp>
        <v>136000</v>
        <stp/>
        <stp>P</stp>
        <stp>0</stp>
        <stp>STK</stp>
        <stp>N388720</stp>
        <stp>시가</stp>
        <stp/>
        <stp/>
        <tr r="P286" s="1"/>
      </tp>
      <tp>
        <v>119300</v>
        <stp/>
        <stp>P</stp>
        <stp>0</stp>
        <stp>STK</stp>
        <stp>N282330</stp>
        <stp>저가</stp>
        <stp/>
        <stp/>
        <tr r="R213" s="1"/>
      </tp>
      <tp>
        <v>290500</v>
        <stp/>
        <stp>P</stp>
        <stp>0</stp>
        <stp>STK</stp>
        <stp>N087010</stp>
        <stp>저가</stp>
        <stp/>
        <stp/>
        <tr r="R111" s="1"/>
      </tp>
      <tp>
        <v>65600</v>
        <stp/>
        <stp>P</stp>
        <stp>0</stp>
        <stp>STK</stp>
        <stp>N285130</stp>
        <stp>저가</stp>
        <stp/>
        <stp/>
        <tr r="R295" s="1"/>
      </tp>
      <tp>
        <v>48950</v>
        <stp/>
        <stp>P</stp>
        <stp>0</stp>
        <stp>STK</stp>
        <stp>N084110</stp>
        <stp>저가</stp>
        <stp/>
        <stp/>
        <tr r="R426" s="1"/>
      </tp>
      <tp>
        <v>10100</v>
        <stp/>
        <stp>P</stp>
        <stp>0</stp>
        <stp>STK</stp>
        <stp>N084010</stp>
        <stp>저가</stp>
        <stp/>
        <stp/>
        <tr r="R687" s="1"/>
      </tp>
      <tp>
        <v>160000</v>
        <stp/>
        <stp>P</stp>
        <stp>0</stp>
        <stp>STK</stp>
        <stp>N483650</stp>
        <stp>시가</stp>
        <stp/>
        <stp/>
        <tr r="P236" s="1"/>
      </tp>
      <tp>
        <v>121900</v>
        <stp/>
        <stp>P</stp>
        <stp>0</stp>
        <stp>STK</stp>
        <stp>N183300</stp>
        <stp>시가</stp>
        <stp/>
        <stp/>
        <tr r="P306" s="1"/>
      </tp>
      <tp>
        <v>73100</v>
        <stp/>
        <stp>P</stp>
        <stp>0</stp>
        <stp>STK</stp>
        <stp>N383220</stp>
        <stp>시가</stp>
        <stp/>
        <stp/>
        <tr r="P178" s="1"/>
      </tp>
      <tp>
        <v>34100</v>
        <stp/>
        <stp>P</stp>
        <stp>0</stp>
        <stp>STK</stp>
        <stp>N089010</stp>
        <stp>저가</stp>
        <stp/>
        <stp/>
        <tr r="R466" s="1"/>
      </tp>
      <tp>
        <v>99400</v>
        <stp/>
        <stp>P</stp>
        <stp>0</stp>
        <stp>STK</stp>
        <stp>N189300</stp>
        <stp>저가</stp>
        <stp/>
        <stp/>
        <tr r="R359" s="1"/>
      </tp>
      <tp>
        <v>121400</v>
        <stp/>
        <stp>P</stp>
        <stp>0</stp>
        <stp>STK</stp>
        <stp>N282330</stp>
        <stp>시가</stp>
        <stp/>
        <stp/>
        <tr r="P213" s="1"/>
      </tp>
      <tp>
        <v>129500</v>
        <stp/>
        <stp>P</stp>
        <stp>0</stp>
        <stp>STK</stp>
        <stp>N388720</stp>
        <stp>저가</stp>
        <stp/>
        <stp/>
        <tr r="R286" s="1"/>
      </tp>
      <tp>
        <v>67000</v>
        <stp/>
        <stp>P</stp>
        <stp>0</stp>
        <stp>STK</stp>
        <stp>N285130</stp>
        <stp>시가</stp>
        <stp/>
        <stp/>
        <tr r="P295" s="1"/>
      </tp>
      <tp>
        <v>51000</v>
        <stp/>
        <stp>P</stp>
        <stp>0</stp>
        <stp>STK</stp>
        <stp>N084110</stp>
        <stp>시가</stp>
        <stp/>
        <stp/>
        <tr r="P426" s="1"/>
      </tp>
      <tp>
        <v>10480</v>
        <stp/>
        <stp>P</stp>
        <stp>0</stp>
        <stp>STK</stp>
        <stp>N084010</stp>
        <stp>시가</stp>
        <stp/>
        <stp/>
        <tr r="P687" s="1"/>
      </tp>
      <tp>
        <v>310000</v>
        <stp/>
        <stp>P</stp>
        <stp>0</stp>
        <stp>STK</stp>
        <stp>N087010</stp>
        <stp>시가</stp>
        <stp/>
        <stp/>
        <tr r="P111" s="1"/>
      </tp>
      <tp>
        <v>314500</v>
        <stp/>
        <stp>P</stp>
        <stp>0</stp>
        <stp>STK</stp>
        <stp>N087010</stp>
        <stp>고가</stp>
        <stp/>
        <stp/>
        <tr r="Q111" s="1"/>
      </tp>
      <tp>
        <v>67000</v>
        <stp/>
        <stp>P</stp>
        <stp>0</stp>
        <stp>STK</stp>
        <stp>N285130</stp>
        <stp>고가</stp>
        <stp/>
        <stp/>
        <tr r="Q295" s="1"/>
      </tp>
      <tp>
        <v>51400</v>
        <stp/>
        <stp>P</stp>
        <stp>0</stp>
        <stp>STK</stp>
        <stp>N084110</stp>
        <stp>고가</stp>
        <stp/>
        <stp/>
        <tr r="Q426" s="1"/>
      </tp>
      <tp>
        <v>10510</v>
        <stp/>
        <stp>P</stp>
        <stp>0</stp>
        <stp>STK</stp>
        <stp>N084010</stp>
        <stp>고가</stp>
        <stp/>
        <stp/>
        <tr r="Q687" s="1"/>
      </tp>
      <tp>
        <v>122800</v>
        <stp/>
        <stp>P</stp>
        <stp>0</stp>
        <stp>STK</stp>
        <stp>N183300</stp>
        <stp>고가</stp>
        <stp/>
        <stp/>
        <tr r="Q306" s="1"/>
      </tp>
      <tp>
        <v>75000</v>
        <stp/>
        <stp>P</stp>
        <stp>0</stp>
        <stp>STK</stp>
        <stp>N383220</stp>
        <stp>고가</stp>
        <stp/>
        <stp/>
        <tr r="Q178" s="1"/>
      </tp>
      <tp>
        <v>162600</v>
        <stp/>
        <stp>P</stp>
        <stp>0</stp>
        <stp>STK</stp>
        <stp>N483650</stp>
        <stp>고가</stp>
        <stp/>
        <stp/>
        <tr r="Q236" s="1"/>
      </tp>
      <tp>
        <v>121500</v>
        <stp/>
        <stp>P</stp>
        <stp>0</stp>
        <stp>STK</stp>
        <stp>N282330</stp>
        <stp>고가</stp>
        <stp/>
        <stp/>
        <tr r="Q213" s="1"/>
      </tp>
      <tp>
        <v>36450</v>
        <stp/>
        <stp>P</stp>
        <stp>0</stp>
        <stp>STK</stp>
        <stp>N089010</stp>
        <stp>고가</stp>
        <stp/>
        <stp/>
        <tr r="Q466" s="1"/>
      </tp>
      <tp>
        <v>104100</v>
        <stp/>
        <stp>P</stp>
        <stp>0</stp>
        <stp>STK</stp>
        <stp>N189300</stp>
        <stp>고가</stp>
        <stp/>
        <stp/>
        <tr r="Q359" s="1"/>
      </tp>
      <tp>
        <v>138300</v>
        <stp/>
        <stp>P</stp>
        <stp>0</stp>
        <stp>STK</stp>
        <stp>N388720</stp>
        <stp>고가</stp>
        <stp/>
        <stp/>
        <tr r="Q286" s="1"/>
      </tp>
      <tp>
        <v>71700</v>
        <stp/>
        <stp>P</stp>
        <stp>0</stp>
        <stp>STK</stp>
        <stp>N399720</stp>
        <stp>시가</stp>
        <stp/>
        <stp/>
        <tr r="P386" s="1"/>
      </tp>
      <tp>
        <v>31850</v>
        <stp/>
        <stp>P</stp>
        <stp>0</stp>
        <stp>STK</stp>
        <stp>N299030</stp>
        <stp>시가</stp>
        <stp/>
        <stp/>
        <tr r="P694" s="1"/>
      </tp>
      <tp>
        <v>60000</v>
        <stp/>
        <stp>P</stp>
        <stp>0</stp>
        <stp>STK</stp>
        <stp>N199800</stp>
        <stp>시가</stp>
        <stp/>
        <stp/>
        <tr r="P474" s="1"/>
      </tp>
      <tp>
        <v>26950</v>
        <stp/>
        <stp>P</stp>
        <stp>0</stp>
        <stp>STK</stp>
        <stp>N192400</stp>
        <stp>저가</stp>
        <stp/>
        <stp/>
        <tr r="R323" s="1"/>
      </tp>
      <tp>
        <v>67800</v>
        <stp/>
        <stp>P</stp>
        <stp>0</stp>
        <stp>STK</stp>
        <stp>N095610</stp>
        <stp>저가</stp>
        <stp/>
        <stp/>
        <tr r="R322" s="1"/>
      </tp>
      <tp>
        <v>13820</v>
        <stp/>
        <stp>P</stp>
        <stp>0</stp>
        <stp>STK</stp>
        <stp>N194700</stp>
        <stp>저가</stp>
        <stp/>
        <stp/>
        <tr r="R671" s="1"/>
      </tp>
      <tp>
        <v>59000</v>
        <stp/>
        <stp>P</stp>
        <stp>0</stp>
        <stp>STK</stp>
        <stp>N199800</stp>
        <stp>저가</stp>
        <stp/>
        <stp/>
        <tr r="R474" s="1"/>
      </tp>
      <tp>
        <v>30650</v>
        <stp/>
        <stp>P</stp>
        <stp>0</stp>
        <stp>STK</stp>
        <stp>N299030</stp>
        <stp>저가</stp>
        <stp/>
        <stp/>
        <tr r="R694" s="1"/>
      </tp>
      <tp>
        <v>68100</v>
        <stp/>
        <stp>P</stp>
        <stp>0</stp>
        <stp>STK</stp>
        <stp>N399720</stp>
        <stp>저가</stp>
        <stp/>
        <stp/>
        <tr r="R386" s="1"/>
      </tp>
      <tp>
        <v>27000</v>
        <stp/>
        <stp>P</stp>
        <stp>0</stp>
        <stp>STK</stp>
        <stp>N192400</stp>
        <stp>시가</stp>
        <stp/>
        <stp/>
        <tr r="P323" s="1"/>
      </tp>
      <tp>
        <v>71800</v>
        <stp/>
        <stp>P</stp>
        <stp>0</stp>
        <stp>STK</stp>
        <stp>N095610</stp>
        <stp>시가</stp>
        <stp/>
        <stp/>
        <tr r="P322" s="1"/>
      </tp>
      <tp>
        <v>14310</v>
        <stp/>
        <stp>P</stp>
        <stp>0</stp>
        <stp>STK</stp>
        <stp>N194700</stp>
        <stp>시가</stp>
        <stp/>
        <stp/>
        <tr r="P671" s="1"/>
      </tp>
      <tp>
        <v>72200</v>
        <stp/>
        <stp>P</stp>
        <stp>0</stp>
        <stp>STK</stp>
        <stp>N095610</stp>
        <stp>고가</stp>
        <stp/>
        <stp/>
        <tr r="Q322" s="1"/>
      </tp>
      <tp>
        <v>14310</v>
        <stp/>
        <stp>P</stp>
        <stp>0</stp>
        <stp>STK</stp>
        <stp>N194700</stp>
        <stp>고가</stp>
        <stp/>
        <stp/>
        <tr r="Q671" s="1"/>
      </tp>
      <tp>
        <v>27450</v>
        <stp/>
        <stp>P</stp>
        <stp>0</stp>
        <stp>STK</stp>
        <stp>N192400</stp>
        <stp>고가</stp>
        <stp/>
        <stp/>
        <tr r="Q323" s="1"/>
      </tp>
      <tp>
        <v>67600</v>
        <stp/>
        <stp>P</stp>
        <stp>0</stp>
        <stp>STK</stp>
        <stp>N199800</stp>
        <stp>고가</stp>
        <stp/>
        <stp/>
        <tr r="Q474" s="1"/>
      </tp>
      <tp>
        <v>31850</v>
        <stp/>
        <stp>P</stp>
        <stp>0</stp>
        <stp>STK</stp>
        <stp>N299030</stp>
        <stp>고가</stp>
        <stp/>
        <stp/>
        <tr r="Q694" s="1"/>
      </tp>
      <tp>
        <v>72500</v>
        <stp/>
        <stp>P</stp>
        <stp>0</stp>
        <stp>STK</stp>
        <stp>N399720</stp>
        <stp>고가</stp>
        <stp/>
        <stp/>
        <tr r="Q386" s="1"/>
      </tp>
      <tp>
        <v>22850</v>
        <stp/>
        <stp>P</stp>
        <stp>0</stp>
        <stp>STK</stp>
        <stp>N403850</stp>
        <stp>저가</stp>
        <stp/>
        <stp/>
        <tr r="R581" s="1"/>
      </tp>
      <tp>
        <v>11510</v>
        <stp/>
        <stp>P</stp>
        <stp>0</stp>
        <stp>STK</stp>
        <stp>N403550</stp>
        <stp>저가</stp>
        <stp/>
        <stp/>
        <tr r="R540" s="1"/>
      </tp>
      <tp>
        <v>17120</v>
        <stp/>
        <stp>P</stp>
        <stp>0</stp>
        <stp>STK</stp>
        <stp>N002810</stp>
        <stp>저가</stp>
        <stp/>
        <stp/>
        <tr r="R619" s="1"/>
      </tp>
      <tp>
        <v>16200</v>
        <stp/>
        <stp>P</stp>
        <stp>0</stp>
        <stp>STK</stp>
        <stp>N002710</stp>
        <stp>저가</stp>
        <stp/>
        <stp/>
        <tr r="R570" s="1"/>
      </tp>
      <tp>
        <v>492000</v>
        <stp/>
        <stp>P</stp>
        <stp>0</stp>
        <stp>STK</stp>
        <stp>N000810</stp>
        <stp>저가</stp>
        <stp/>
        <stp/>
        <tr r="R38" s="1"/>
      </tp>
      <tp>
        <v>14210</v>
        <stp/>
        <stp>P</stp>
        <stp>0</stp>
        <stp>STK</stp>
        <stp>N200130</stp>
        <stp>저가</stp>
        <stp/>
        <stp/>
        <tr r="R565" s="1"/>
      </tp>
      <tp>
        <v>41400</v>
        <stp/>
        <stp>P</stp>
        <stp>0</stp>
        <stp>STK</stp>
        <stp>N000210</stp>
        <stp>저가</stp>
        <stp/>
        <stp/>
        <tr r="R368" s="1"/>
      </tp>
      <tp>
        <v>16840</v>
        <stp/>
        <stp>P</stp>
        <stp>0</stp>
        <stp>STK</stp>
        <stp>N300720</stp>
        <stp>저가</stp>
        <stp/>
        <stp/>
        <tr r="R282" s="1"/>
      </tp>
      <tp>
        <v>0</v>
        <stp/>
        <stp>P</stp>
        <stp>0</stp>
        <stp>STK</stp>
        <stp>N007810</stp>
        <stp>저가</stp>
        <stp/>
        <stp/>
        <tr r="R253" s="1"/>
      </tp>
      <tp>
        <v>383500</v>
        <stp/>
        <stp>P</stp>
        <stp>0</stp>
        <stp>STK</stp>
        <stp>N007310</stp>
        <stp>저가</stp>
        <stp/>
        <stp/>
        <tr r="R247" s="1"/>
      </tp>
      <tp>
        <v>31200</v>
        <stp/>
        <stp>P</stp>
        <stp>0</stp>
        <stp>STK</stp>
        <stp>N006110</stp>
        <stp>저가</stp>
        <stp/>
        <stp/>
        <tr r="R571" s="1"/>
      </tp>
      <tp>
        <v>39950</v>
        <stp/>
        <stp>P</stp>
        <stp>0</stp>
        <stp>STK</stp>
        <stp>N005810</stp>
        <stp>저가</stp>
        <stp/>
        <stp/>
        <tr r="R449" s="1"/>
      </tp>
      <tp>
        <v>12740</v>
        <stp/>
        <stp>P</stp>
        <stp>0</stp>
        <stp>STK</stp>
        <stp>N005710</stp>
        <stp>저가</stp>
        <stp/>
        <stp/>
        <tr r="R659" s="1"/>
      </tp>
      <tp>
        <v>50400</v>
        <stp/>
        <stp>P</stp>
        <stp>0</stp>
        <stp>STK</stp>
        <stp>N005610</stp>
        <stp>저가</stp>
        <stp/>
        <stp/>
        <tr r="R514" s="1"/>
      </tp>
      <tp>
        <v>9260</v>
        <stp/>
        <stp>P</stp>
        <stp>0</stp>
        <stp>STK</stp>
        <stp>N104700</stp>
        <stp>저가</stp>
        <stp/>
        <stp/>
        <tr r="R568" s="1"/>
      </tp>
      <tp>
        <v>17060</v>
        <stp/>
        <stp>P</stp>
        <stp>0</stp>
        <stp>STK</stp>
        <stp>N300720</stp>
        <stp>시가</stp>
        <stp/>
        <stp/>
        <tr r="P282" s="1"/>
      </tp>
      <tp>
        <v>14760</v>
        <stp/>
        <stp>P</stp>
        <stp>0</stp>
        <stp>STK</stp>
        <stp>N200130</stp>
        <stp>시가</stp>
        <stp/>
        <stp/>
        <tr r="P565" s="1"/>
      </tp>
      <tp>
        <v>41600</v>
        <stp/>
        <stp>P</stp>
        <stp>0</stp>
        <stp>STK</stp>
        <stp>N000210</stp>
        <stp>시가</stp>
        <stp/>
        <stp/>
        <tr r="P368" s="1"/>
      </tp>
      <tp>
        <v>501000</v>
        <stp/>
        <stp>P</stp>
        <stp>0</stp>
        <stp>STK</stp>
        <stp>N000810</stp>
        <stp>시가</stp>
        <stp/>
        <stp/>
        <tr r="P38" s="1"/>
      </tp>
      <tp>
        <v>11920</v>
        <stp/>
        <stp>P</stp>
        <stp>0</stp>
        <stp>STK</stp>
        <stp>N403550</stp>
        <stp>시가</stp>
        <stp/>
        <stp/>
        <tr r="P540" s="1"/>
      </tp>
      <tp>
        <v>23250</v>
        <stp/>
        <stp>P</stp>
        <stp>0</stp>
        <stp>STK</stp>
        <stp>N403850</stp>
        <stp>시가</stp>
        <stp/>
        <stp/>
        <tr r="P581" s="1"/>
      </tp>
      <tp>
        <v>16820</v>
        <stp/>
        <stp>P</stp>
        <stp>0</stp>
        <stp>STK</stp>
        <stp>N002710</stp>
        <stp>시가</stp>
        <stp/>
        <stp/>
        <tr r="P570" s="1"/>
      </tp>
      <tp>
        <v>17330</v>
        <stp/>
        <stp>P</stp>
        <stp>0</stp>
        <stp>STK</stp>
        <stp>N002810</stp>
        <stp>시가</stp>
        <stp/>
        <stp/>
        <tr r="P619" s="1"/>
      </tp>
      <tp>
        <v>12960</v>
        <stp/>
        <stp>P</stp>
        <stp>0</stp>
        <stp>STK</stp>
        <stp>N005710</stp>
        <stp>시가</stp>
        <stp/>
        <stp/>
        <tr r="P659" s="1"/>
      </tp>
      <tp>
        <v>50800</v>
        <stp/>
        <stp>P</stp>
        <stp>0</stp>
        <stp>STK</stp>
        <stp>N005610</stp>
        <stp>시가</stp>
        <stp/>
        <stp/>
        <tr r="P514" s="1"/>
      </tp>
      <tp>
        <v>41400</v>
        <stp/>
        <stp>P</stp>
        <stp>0</stp>
        <stp>STK</stp>
        <stp>N005810</stp>
        <stp>시가</stp>
        <stp/>
        <stp/>
        <tr r="P449" s="1"/>
      </tp>
      <tp>
        <v>9390</v>
        <stp/>
        <stp>P</stp>
        <stp>0</stp>
        <stp>STK</stp>
        <stp>N104700</stp>
        <stp>시가</stp>
        <stp/>
        <stp/>
        <tr r="P568" s="1"/>
      </tp>
      <tp>
        <v>386000</v>
        <stp/>
        <stp>P</stp>
        <stp>0</stp>
        <stp>STK</stp>
        <stp>N007310</stp>
        <stp>시가</stp>
        <stp/>
        <stp/>
        <tr r="P247" s="1"/>
      </tp>
      <tp>
        <v>0</v>
        <stp/>
        <stp>P</stp>
        <stp>0</stp>
        <stp>STK</stp>
        <stp>N007810</stp>
        <stp>시가</stp>
        <stp/>
        <stp/>
        <tr r="P253" s="1"/>
      </tp>
      <tp>
        <v>34000</v>
        <stp/>
        <stp>P</stp>
        <stp>0</stp>
        <stp>STK</stp>
        <stp>N006110</stp>
        <stp>시가</stp>
        <stp/>
        <stp/>
        <tr r="P571" s="1"/>
      </tp>
      <tp>
        <v>0</v>
        <stp/>
        <stp>P</stp>
        <stp>0</stp>
        <stp>STK</stp>
        <stp>N007810</stp>
        <stp>고가</stp>
        <stp/>
        <stp/>
        <tr r="Q253" s="1"/>
      </tp>
      <tp>
        <v>387500</v>
        <stp/>
        <stp>P</stp>
        <stp>0</stp>
        <stp>STK</stp>
        <stp>N007310</stp>
        <stp>고가</stp>
        <stp/>
        <stp/>
        <tr r="Q247" s="1"/>
      </tp>
      <tp>
        <v>34000</v>
        <stp/>
        <stp>P</stp>
        <stp>0</stp>
        <stp>STK</stp>
        <stp>N006110</stp>
        <stp>고가</stp>
        <stp/>
        <stp/>
        <tr r="Q571" s="1"/>
      </tp>
      <tp>
        <v>41400</v>
        <stp/>
        <stp>P</stp>
        <stp>0</stp>
        <stp>STK</stp>
        <stp>N005810</stp>
        <stp>고가</stp>
        <stp/>
        <stp/>
        <tr r="Q449" s="1"/>
      </tp>
      <tp>
        <v>12960</v>
        <stp/>
        <stp>P</stp>
        <stp>0</stp>
        <stp>STK</stp>
        <stp>N005710</stp>
        <stp>고가</stp>
        <stp/>
        <stp/>
        <tr r="Q659" s="1"/>
      </tp>
      <tp>
        <v>50800</v>
        <stp/>
        <stp>P</stp>
        <stp>0</stp>
        <stp>STK</stp>
        <stp>N005610</stp>
        <stp>고가</stp>
        <stp/>
        <stp/>
        <tr r="Q514" s="1"/>
      </tp>
      <tp>
        <v>9430</v>
        <stp/>
        <stp>P</stp>
        <stp>0</stp>
        <stp>STK</stp>
        <stp>N104700</stp>
        <stp>고가</stp>
        <stp/>
        <stp/>
        <tr r="Q568" s="1"/>
      </tp>
      <tp>
        <v>23450</v>
        <stp/>
        <stp>P</stp>
        <stp>0</stp>
        <stp>STK</stp>
        <stp>N403850</stp>
        <stp>고가</stp>
        <stp/>
        <stp/>
        <tr r="Q581" s="1"/>
      </tp>
      <tp>
        <v>11920</v>
        <stp/>
        <stp>P</stp>
        <stp>0</stp>
        <stp>STK</stp>
        <stp>N403550</stp>
        <stp>고가</stp>
        <stp/>
        <stp/>
        <tr r="Q540" s="1"/>
      </tp>
      <tp>
        <v>17610</v>
        <stp/>
        <stp>P</stp>
        <stp>0</stp>
        <stp>STK</stp>
        <stp>N002810</stp>
        <stp>고가</stp>
        <stp/>
        <stp/>
        <tr r="Q619" s="1"/>
      </tp>
      <tp>
        <v>16980</v>
        <stp/>
        <stp>P</stp>
        <stp>0</stp>
        <stp>STK</stp>
        <stp>N002710</stp>
        <stp>고가</stp>
        <stp/>
        <stp/>
        <tr r="Q570" s="1"/>
      </tp>
      <tp>
        <v>502000</v>
        <stp/>
        <stp>P</stp>
        <stp>0</stp>
        <stp>STK</stp>
        <stp>N000810</stp>
        <stp>고가</stp>
        <stp/>
        <stp/>
        <tr r="Q38" s="1"/>
      </tp>
      <tp>
        <v>14930</v>
        <stp/>
        <stp>P</stp>
        <stp>0</stp>
        <stp>STK</stp>
        <stp>N200130</stp>
        <stp>고가</stp>
        <stp/>
        <stp/>
        <tr r="Q565" s="1"/>
      </tp>
      <tp>
        <v>43050</v>
        <stp/>
        <stp>P</stp>
        <stp>0</stp>
        <stp>STK</stp>
        <stp>N000210</stp>
        <stp>고가</stp>
        <stp/>
        <stp/>
        <tr r="Q368" s="1"/>
      </tp>
      <tp>
        <v>17060</v>
        <stp/>
        <stp>P</stp>
        <stp>0</stp>
        <stp>STK</stp>
        <stp>N300720</stp>
        <stp>고가</stp>
        <stp/>
        <stp/>
        <tr r="Q282" s="1"/>
      </tp>
      <tp>
        <v>19760</v>
        <stp/>
        <stp>P</stp>
        <stp>0</stp>
        <stp>STK</stp>
        <stp>N018310</stp>
        <stp>시가</stp>
        <stp/>
        <stp/>
        <tr r="P647" s="1"/>
      </tp>
      <tp>
        <v>93500</v>
        <stp/>
        <stp>P</stp>
        <stp>0</stp>
        <stp>STK</stp>
        <stp>N012510</stp>
        <stp>저가</stp>
        <stp/>
        <stp/>
        <tr r="R158" s="1"/>
      </tp>
      <tp>
        <v>81400</v>
        <stp/>
        <stp>P</stp>
        <stp>0</stp>
        <stp>STK</stp>
        <stp>N011210</stp>
        <stp>저가</stp>
        <stp/>
        <stp/>
        <tr r="R167" s="1"/>
      </tp>
      <tp>
        <v>12940</v>
        <stp/>
        <stp>P</stp>
        <stp>0</stp>
        <stp>STK</stp>
        <stp>N017810</stp>
        <stp>저가</stp>
        <stp/>
        <stp/>
        <tr r="R482" s="1"/>
      </tp>
      <tp>
        <v>13230</v>
        <stp/>
        <stp>P</stp>
        <stp>0</stp>
        <stp>STK</stp>
        <stp>N016610</stp>
        <stp>저가</stp>
        <stp/>
        <stp/>
        <tr r="R486" s="1"/>
      </tp>
      <tp>
        <v>122300</v>
        <stp/>
        <stp>P</stp>
        <stp>0</stp>
        <stp>STK</stp>
        <stp>N214430</stp>
        <stp>저가</stp>
        <stp/>
        <stp/>
        <tr r="R417" s="1"/>
      </tp>
      <tp>
        <v>86300</v>
        <stp/>
        <stp>P</stp>
        <stp>0</stp>
        <stp>STK</stp>
        <stp>N011210</stp>
        <stp>시가</stp>
        <stp/>
        <stp/>
        <tr r="P167" s="1"/>
      </tp>
      <tp>
        <v>98000</v>
        <stp/>
        <stp>P</stp>
        <stp>0</stp>
        <stp>STK</stp>
        <stp>N012510</stp>
        <stp>시가</stp>
        <stp/>
        <stp/>
        <tr r="P158" s="1"/>
      </tp>
      <tp>
        <v>19500</v>
        <stp/>
        <stp>P</stp>
        <stp>0</stp>
        <stp>STK</stp>
        <stp>N018310</stp>
        <stp>저가</stp>
        <stp/>
        <stp/>
        <tr r="R647" s="1"/>
      </tp>
      <tp>
        <v>131000</v>
        <stp/>
        <stp>P</stp>
        <stp>0</stp>
        <stp>STK</stp>
        <stp>N214430</stp>
        <stp>시가</stp>
        <stp/>
        <stp/>
        <tr r="P417" s="1"/>
      </tp>
      <tp>
        <v>13100</v>
        <stp/>
        <stp>P</stp>
        <stp>0</stp>
        <stp>STK</stp>
        <stp>N017810</stp>
        <stp>시가</stp>
        <stp/>
        <stp/>
        <tr r="P482" s="1"/>
      </tp>
      <tp>
        <v>13540</v>
        <stp/>
        <stp>P</stp>
        <stp>0</stp>
        <stp>STK</stp>
        <stp>N016610</stp>
        <stp>시가</stp>
        <stp/>
        <stp/>
        <tr r="P486" s="1"/>
      </tp>
      <tp>
        <v>13100</v>
        <stp/>
        <stp>P</stp>
        <stp>0</stp>
        <stp>STK</stp>
        <stp>N017810</stp>
        <stp>고가</stp>
        <stp/>
        <stp/>
        <tr r="Q482" s="1"/>
      </tp>
      <tp>
        <v>13540</v>
        <stp/>
        <stp>P</stp>
        <stp>0</stp>
        <stp>STK</stp>
        <stp>N016610</stp>
        <stp>고가</stp>
        <stp/>
        <stp/>
        <tr r="Q486" s="1"/>
      </tp>
      <tp>
        <v>131000</v>
        <stp/>
        <stp>P</stp>
        <stp>0</stp>
        <stp>STK</stp>
        <stp>N214430</stp>
        <stp>고가</stp>
        <stp/>
        <stp/>
        <tr r="Q417" s="1"/>
      </tp>
      <tp>
        <v>98000</v>
        <stp/>
        <stp>P</stp>
        <stp>0</stp>
        <stp>STK</stp>
        <stp>N012510</stp>
        <stp>고가</stp>
        <stp/>
        <stp/>
        <tr r="Q158" s="1"/>
      </tp>
      <tp>
        <v>86300</v>
        <stp/>
        <stp>P</stp>
        <stp>0</stp>
        <stp>STK</stp>
        <stp>N011210</stp>
        <stp>고가</stp>
        <stp/>
        <stp/>
        <tr r="Q167" s="1"/>
      </tp>
      <tp>
        <v>19980</v>
        <stp/>
        <stp>P</stp>
        <stp>0</stp>
        <stp>STK</stp>
        <stp>N018310</stp>
        <stp>고가</stp>
        <stp/>
        <stp/>
        <tr r="Q647" s="1"/>
      </tp>
      <tp>
        <v>65600</v>
        <stp/>
        <stp>P</stp>
        <stp>0</stp>
        <stp>STK</stp>
        <stp>N121600</stp>
        <stp>저가</stp>
        <stp/>
        <stp/>
        <tr r="R419" s="1"/>
      </tp>
      <tp>
        <v>21550</v>
        <stp/>
        <stp>P</stp>
        <stp>0</stp>
        <stp>STK</stp>
        <stp>N024110</stp>
        <stp>저가</stp>
        <stp/>
        <stp/>
        <tr r="R55" s="1"/>
      </tp>
      <tp>
        <v>69100</v>
        <stp/>
        <stp>P</stp>
        <stp>0</stp>
        <stp>STK</stp>
        <stp>N121600</stp>
        <stp>시가</stp>
        <stp/>
        <stp/>
        <tr r="P419" s="1"/>
      </tp>
      <tp>
        <v>22200</v>
        <stp/>
        <stp>P</stp>
        <stp>0</stp>
        <stp>STK</stp>
        <stp>N024110</stp>
        <stp>시가</stp>
        <stp/>
        <stp/>
        <tr r="P55" s="1"/>
      </tp>
      <tp>
        <v>22350</v>
        <stp/>
        <stp>P</stp>
        <stp>0</stp>
        <stp>STK</stp>
        <stp>N024110</stp>
        <stp>고가</stp>
        <stp/>
        <stp/>
        <tr r="Q55" s="1"/>
      </tp>
      <tp>
        <v>72000</v>
        <stp/>
        <stp>P</stp>
        <stp>0</stp>
        <stp>STK</stp>
        <stp>N121600</stp>
        <stp>고가</stp>
        <stp/>
        <stp/>
        <tr r="Q419" s="1"/>
      </tp>
      <tp>
        <v>21550</v>
        <stp/>
        <stp>P</stp>
        <stp>0</stp>
        <stp>STK</stp>
        <stp>N338220</stp>
        <stp>시가</stp>
        <stp/>
        <stp/>
        <tr r="P646" s="1"/>
      </tp>
      <tp>
        <v>49100</v>
        <stp/>
        <stp>P</stp>
        <stp>0</stp>
        <stp>STK</stp>
        <stp>N031210</stp>
        <stp>저가</stp>
        <stp/>
        <stp/>
        <tr r="R143" s="1"/>
      </tp>
      <tp>
        <v>11480</v>
        <stp/>
        <stp>P</stp>
        <stp>0</stp>
        <stp>STK</stp>
        <stp>N030610</stp>
        <stp>저가</stp>
        <stp/>
        <stp/>
        <tr r="R289" s="1"/>
      </tp>
      <tp>
        <v>50900</v>
        <stp/>
        <stp>P</stp>
        <stp>0</stp>
        <stp>STK</stp>
        <stp>N137400</stp>
        <stp>저가</stp>
        <stp/>
        <stp/>
        <tr r="R325" s="1"/>
      </tp>
      <tp>
        <v>31150</v>
        <stp/>
        <stp>P</stp>
        <stp>0</stp>
        <stp>STK</stp>
        <stp>N037710</stp>
        <stp>저가</stp>
        <stp/>
        <stp/>
        <tr r="R676" s="1"/>
      </tp>
      <tp>
        <v>43800</v>
        <stp/>
        <stp>P</stp>
        <stp>0</stp>
        <stp>STK</stp>
        <stp>N036810</stp>
        <stp>저가</stp>
        <stp/>
        <stp/>
        <tr r="R382" s="1"/>
      </tp>
      <tp>
        <v>13660</v>
        <stp/>
        <stp>P</stp>
        <stp>0</stp>
        <stp>STK</stp>
        <stp>N034310</stp>
        <stp>저가</stp>
        <stp/>
        <stp/>
        <tr r="R491" s="1"/>
      </tp>
      <tp>
        <v>49900</v>
        <stp/>
        <stp>P</stp>
        <stp>0</stp>
        <stp>STK</stp>
        <stp>N031210</stp>
        <stp>시가</stp>
        <stp/>
        <stp/>
        <tr r="P143" s="1"/>
      </tp>
      <tp>
        <v>11910</v>
        <stp/>
        <stp>P</stp>
        <stp>0</stp>
        <stp>STK</stp>
        <stp>N030610</stp>
        <stp>시가</stp>
        <stp/>
        <stp/>
        <tr r="P289" s="1"/>
      </tp>
      <tp>
        <v>20550</v>
        <stp/>
        <stp>P</stp>
        <stp>0</stp>
        <stp>STK</stp>
        <stp>N338220</stp>
        <stp>저가</stp>
        <stp/>
        <stp/>
        <tr r="R646" s="1"/>
      </tp>
      <tp>
        <v>18100</v>
        <stp/>
        <stp>P</stp>
        <stp>0</stp>
        <stp>STK</stp>
        <stp>N034310</stp>
        <stp>시가</stp>
        <stp/>
        <stp/>
        <tr r="P491" s="1"/>
      </tp>
      <tp>
        <v>52500</v>
        <stp/>
        <stp>P</stp>
        <stp>0</stp>
        <stp>STK</stp>
        <stp>N137400</stp>
        <stp>시가</stp>
        <stp/>
        <stp/>
        <tr r="P325" s="1"/>
      </tp>
      <tp>
        <v>31550</v>
        <stp/>
        <stp>P</stp>
        <stp>0</stp>
        <stp>STK</stp>
        <stp>N037710</stp>
        <stp>시가</stp>
        <stp/>
        <stp/>
        <tr r="P676" s="1"/>
      </tp>
      <tp>
        <v>45800</v>
        <stp/>
        <stp>P</stp>
        <stp>0</stp>
        <stp>STK</stp>
        <stp>N036810</stp>
        <stp>시가</stp>
        <stp/>
        <stp/>
        <tr r="P382" s="1"/>
      </tp>
      <tp>
        <v>56400</v>
        <stp/>
        <stp>P</stp>
        <stp>0</stp>
        <stp>STK</stp>
        <stp>N137400</stp>
        <stp>고가</stp>
        <stp/>
        <stp/>
        <tr r="Q325" s="1"/>
      </tp>
      <tp>
        <v>31550</v>
        <stp/>
        <stp>P</stp>
        <stp>0</stp>
        <stp>STK</stp>
        <stp>N037710</stp>
        <stp>고가</stp>
        <stp/>
        <stp/>
        <tr r="Q676" s="1"/>
      </tp>
      <tp>
        <v>46500</v>
        <stp/>
        <stp>P</stp>
        <stp>0</stp>
        <stp>STK</stp>
        <stp>N036810</stp>
        <stp>고가</stp>
        <stp/>
        <stp/>
        <tr r="Q382" s="1"/>
      </tp>
      <tp>
        <v>18100</v>
        <stp/>
        <stp>P</stp>
        <stp>0</stp>
        <stp>STK</stp>
        <stp>N034310</stp>
        <stp>고가</stp>
        <stp/>
        <stp/>
        <tr r="Q491" s="1"/>
      </tp>
      <tp>
        <v>49900</v>
        <stp/>
        <stp>P</stp>
        <stp>0</stp>
        <stp>STK</stp>
        <stp>N031210</stp>
        <stp>고가</stp>
        <stp/>
        <stp/>
        <tr r="Q143" s="1"/>
      </tp>
      <tp>
        <v>11910</v>
        <stp/>
        <stp>P</stp>
        <stp>0</stp>
        <stp>STK</stp>
        <stp>N030610</stp>
        <stp>고가</stp>
        <stp/>
        <stp/>
        <tr r="Q289" s="1"/>
      </tp>
      <tp>
        <v>21550</v>
        <stp/>
        <stp>P</stp>
        <stp>0</stp>
        <stp>STK</stp>
        <stp>N338220</stp>
        <stp>고가</stp>
        <stp/>
        <stp/>
        <tr r="Q646" s="1"/>
      </tp>
      <tp>
        <v>0</v>
        <stp/>
        <stp>P</stp>
        <stp>0</stp>
        <stp>STK</stp>
        <stp>N048410</stp>
        <stp>시가</stp>
        <stp/>
        <stp/>
        <tr r="P455" s="1"/>
      </tp>
      <tp>
        <v>109900</v>
        <stp/>
        <stp>P</stp>
        <stp>0</stp>
        <stp>STK</stp>
        <stp>N041510</stp>
        <stp>저가</stp>
        <stp/>
        <stp/>
        <tr r="R180" s="1"/>
      </tp>
      <tp>
        <v>163600</v>
        <stp/>
        <stp>P</stp>
        <stp>0</stp>
        <stp>STK</stp>
        <stp>N047810</stp>
        <stp>저가</stp>
        <stp/>
        <stp/>
        <tr r="R56" s="1"/>
      </tp>
      <tp>
        <v>26550</v>
        <stp/>
        <stp>P</stp>
        <stp>0</stp>
        <stp>STK</stp>
        <stp>N344820</stp>
        <stp>저가</stp>
        <stp/>
        <stp/>
        <tr r="R519" s="1"/>
      </tp>
      <tp>
        <v>114200</v>
        <stp/>
        <stp>P</stp>
        <stp>0</stp>
        <stp>STK</stp>
        <stp>N041510</stp>
        <stp>시가</stp>
        <stp/>
        <stp/>
        <tr r="P180" s="1"/>
      </tp>
      <tp>
        <v>0</v>
        <stp/>
        <stp>P</stp>
        <stp>0</stp>
        <stp>STK</stp>
        <stp>N048410</stp>
        <stp>저가</stp>
        <stp/>
        <stp/>
        <tr r="R455" s="1"/>
      </tp>
      <tp>
        <v>26850</v>
        <stp/>
        <stp>P</stp>
        <stp>0</stp>
        <stp>STK</stp>
        <stp>N344820</stp>
        <stp>시가</stp>
        <stp/>
        <stp/>
        <tr r="P519" s="1"/>
      </tp>
      <tp>
        <v>167100</v>
        <stp/>
        <stp>P</stp>
        <stp>0</stp>
        <stp>STK</stp>
        <stp>N047810</stp>
        <stp>시가</stp>
        <stp/>
        <stp/>
        <tr r="P56" s="1"/>
      </tp>
      <tp>
        <v>168100</v>
        <stp/>
        <stp>P</stp>
        <stp>0</stp>
        <stp>STK</stp>
        <stp>N047810</stp>
        <stp>고가</stp>
        <stp/>
        <stp/>
        <tr r="Q56" s="1"/>
      </tp>
      <tp>
        <v>26950</v>
        <stp/>
        <stp>P</stp>
        <stp>0</stp>
        <stp>STK</stp>
        <stp>N344820</stp>
        <stp>고가</stp>
        <stp/>
        <stp/>
        <tr r="Q519" s="1"/>
      </tp>
      <tp>
        <v>114500</v>
        <stp/>
        <stp>P</stp>
        <stp>0</stp>
        <stp>STK</stp>
        <stp>N041510</stp>
        <stp>고가</stp>
        <stp/>
        <stp/>
        <tr r="Q180" s="1"/>
      </tp>
      <tp>
        <v>0</v>
        <stp/>
        <stp>P</stp>
        <stp>0</stp>
        <stp>STK</stp>
        <stp>N048410</stp>
        <stp>고가</stp>
        <stp/>
        <stp/>
        <tr r="Q455" s="1"/>
      </tp>
      <tp>
        <v>49750</v>
        <stp/>
        <stp>P</stp>
        <stp>0</stp>
        <stp>STK</stp>
        <stp>N053610</stp>
        <stp>저가</stp>
        <stp/>
        <stp/>
        <tr r="R541" s="1"/>
      </tp>
      <tp>
        <v>150200</v>
        <stp/>
        <stp>P</stp>
        <stp>0</stp>
        <stp>STK</stp>
        <stp>N058610</stp>
        <stp>시가</stp>
        <stp/>
        <stp/>
        <tr r="P181" s="1"/>
      </tp>
      <tp>
        <v>362000</v>
        <stp/>
        <stp>P</stp>
        <stp>0</stp>
        <stp>STK</stp>
        <stp>N352820</stp>
        <stp>저가</stp>
        <stp/>
        <stp/>
        <tr r="R59" s="1"/>
      </tp>
      <tp>
        <v>304500</v>
        <stp/>
        <stp>P</stp>
        <stp>0</stp>
        <stp>STK</stp>
        <stp>N051910</stp>
        <stp>저가</stp>
        <stp/>
        <stp/>
        <tr r="R36" s="1"/>
      </tp>
      <tp>
        <v>14290</v>
        <stp/>
        <stp>P</stp>
        <stp>0</stp>
        <stp>STK</stp>
        <stp>N450950</stp>
        <stp>저가</stp>
        <stp/>
        <stp/>
        <tr r="R501" s="1"/>
      </tp>
      <tp>
        <v>314500</v>
        <stp/>
        <stp>P</stp>
        <stp>0</stp>
        <stp>STK</stp>
        <stp>N051910</stp>
        <stp>시가</stp>
        <stp/>
        <stp/>
        <tr r="P36" s="1"/>
      </tp>
      <tp>
        <v>14340</v>
        <stp/>
        <stp>P</stp>
        <stp>0</stp>
        <stp>STK</stp>
        <stp>N450950</stp>
        <stp>시가</stp>
        <stp/>
        <stp/>
        <tr r="P501" s="1"/>
      </tp>
      <tp>
        <v>53000</v>
        <stp/>
        <stp>P</stp>
        <stp>0</stp>
        <stp>STK</stp>
        <stp>N053610</stp>
        <stp>시가</stp>
        <stp/>
        <stp/>
        <tr r="P541" s="1"/>
      </tp>
      <tp>
        <v>367500</v>
        <stp/>
        <stp>P</stp>
        <stp>0</stp>
        <stp>STK</stp>
        <stp>N352820</stp>
        <stp>시가</stp>
        <stp/>
        <stp/>
        <tr r="P59" s="1"/>
      </tp>
      <tp>
        <v>143500</v>
        <stp/>
        <stp>P</stp>
        <stp>0</stp>
        <stp>STK</stp>
        <stp>N058610</stp>
        <stp>저가</stp>
        <stp/>
        <stp/>
        <tr r="R181" s="1"/>
      </tp>
      <tp>
        <v>58600</v>
        <stp/>
        <stp>P</stp>
        <stp>0</stp>
        <stp>STK</stp>
        <stp>N053610</stp>
        <stp>고가</stp>
        <stp/>
        <stp/>
        <tr r="Q541" s="1"/>
      </tp>
      <tp>
        <v>372000</v>
        <stp/>
        <stp>P</stp>
        <stp>0</stp>
        <stp>STK</stp>
        <stp>N352820</stp>
        <stp>고가</stp>
        <stp/>
        <stp/>
        <tr r="Q59" s="1"/>
      </tp>
      <tp>
        <v>314500</v>
        <stp/>
        <stp>P</stp>
        <stp>0</stp>
        <stp>STK</stp>
        <stp>N051910</stp>
        <stp>고가</stp>
        <stp/>
        <stp/>
        <tr r="Q36" s="1"/>
      </tp>
      <tp>
        <v>15560</v>
        <stp/>
        <stp>P</stp>
        <stp>0</stp>
        <stp>STK</stp>
        <stp>N450950</stp>
        <stp>고가</stp>
        <stp/>
        <stp/>
        <tr r="Q501" s="1"/>
      </tp>
      <tp>
        <v>161400</v>
        <stp/>
        <stp>P</stp>
        <stp>0</stp>
        <stp>STK</stp>
        <stp>N058610</stp>
        <stp>고가</stp>
        <stp/>
        <stp/>
        <tr r="Q181" s="1"/>
      </tp>
      <tp>
        <v>9360</v>
        <stp/>
        <stp>P</stp>
        <stp>0</stp>
        <stp>STK</stp>
        <stp>N161000</stp>
        <stp>저가</stp>
        <stp/>
        <stp/>
        <tr r="R524" s="1"/>
      </tp>
      <tp>
        <v>35250</v>
        <stp/>
        <stp>P</stp>
        <stp>0</stp>
        <stp>STK</stp>
        <stp>N067310</stp>
        <stp>저가</stp>
        <stp/>
        <stp/>
        <tr r="R233" s="1"/>
      </tp>
      <tp>
        <v>9370</v>
        <stp/>
        <stp>P</stp>
        <stp>0</stp>
        <stp>STK</stp>
        <stp>N161000</stp>
        <stp>시가</stp>
        <stp/>
        <stp/>
        <tr r="P524" s="1"/>
      </tp>
      <tp>
        <v>36500</v>
        <stp/>
        <stp>P</stp>
        <stp>0</stp>
        <stp>STK</stp>
        <stp>N067310</stp>
        <stp>시가</stp>
        <stp/>
        <stp/>
        <tr r="P233" s="1"/>
      </tp>
      <tp>
        <v>37950</v>
        <stp/>
        <stp>P</stp>
        <stp>0</stp>
        <stp>STK</stp>
        <stp>N067310</stp>
        <stp>고가</stp>
        <stp/>
        <stp/>
        <tr r="Q233" s="1"/>
      </tp>
      <tp>
        <v>10300</v>
        <stp/>
        <stp>P</stp>
        <stp>0</stp>
        <stp>STK</stp>
        <stp>N161000</stp>
        <stp>고가</stp>
        <stp/>
        <stp/>
        <tr r="Q524" s="1"/>
      </tp>
      <tp>
        <v>24800</v>
        <stp/>
        <stp>P</stp>
        <stp>0</stp>
        <stp>STK</stp>
        <stp>N179900</stp>
        <stp>시가</stp>
        <stp/>
        <stp/>
        <tr r="P528" s="1"/>
      </tp>
      <tp>
        <v>385500</v>
        <stp/>
        <stp>P</stp>
        <stp>0</stp>
        <stp>STK</stp>
        <stp>N373220</stp>
        <stp>저가</stp>
        <stp/>
        <stp/>
        <tr r="R12" s="1"/>
      </tp>
      <tp>
        <v>5600</v>
        <stp/>
        <stp>P</stp>
        <stp>0</stp>
        <stp>STK</stp>
        <stp>N472850</stp>
        <stp>저가</stp>
        <stp/>
        <stp/>
        <tr r="R640" s="1"/>
      </tp>
      <tp>
        <v>46600</v>
        <stp/>
        <stp>P</stp>
        <stp>0</stp>
        <stp>STK</stp>
        <stp>N372320</stp>
        <stp>저가</stp>
        <stp/>
        <stp/>
        <tr r="R403" s="1"/>
      </tp>
      <tp>
        <v>87300</v>
        <stp/>
        <stp>P</stp>
        <stp>0</stp>
        <stp>STK</stp>
        <stp>N072710</stp>
        <stp>저가</stp>
        <stp/>
        <stp/>
        <tr r="R539" s="1"/>
      </tp>
      <tp>
        <v>53100</v>
        <stp/>
        <stp>P</stp>
        <stp>0</stp>
        <stp>STK</stp>
        <stp>N170900</stp>
        <stp>저가</stp>
        <stp/>
        <stp/>
        <tr r="R499" s="1"/>
      </tp>
      <tp>
        <v>19560</v>
        <stp/>
        <stp>P</stp>
        <stp>0</stp>
        <stp>STK</stp>
        <stp>N475150</stp>
        <stp>저가</stp>
        <stp/>
        <stp/>
        <tr r="R402" s="1"/>
      </tp>
      <tp>
        <v>54100</v>
        <stp/>
        <stp>P</stp>
        <stp>0</stp>
        <stp>STK</stp>
        <stp>N170900</stp>
        <stp>시가</stp>
        <stp/>
        <stp/>
        <tr r="P499" s="1"/>
      </tp>
      <tp>
        <v>400000</v>
        <stp/>
        <stp>P</stp>
        <stp>0</stp>
        <stp>STK</stp>
        <stp>N373220</stp>
        <stp>시가</stp>
        <stp/>
        <stp/>
        <tr r="P12" s="1"/>
      </tp>
      <tp>
        <v>23400</v>
        <stp/>
        <stp>P</stp>
        <stp>0</stp>
        <stp>STK</stp>
        <stp>N179900</stp>
        <stp>저가</stp>
        <stp/>
        <stp/>
        <tr r="R528" s="1"/>
      </tp>
      <tp>
        <v>88200</v>
        <stp/>
        <stp>P</stp>
        <stp>0</stp>
        <stp>STK</stp>
        <stp>N072710</stp>
        <stp>시가</stp>
        <stp/>
        <stp/>
        <tr r="P539" s="1"/>
      </tp>
      <tp>
        <v>47500</v>
        <stp/>
        <stp>P</stp>
        <stp>0</stp>
        <stp>STK</stp>
        <stp>N372320</stp>
        <stp>시가</stp>
        <stp/>
        <stp/>
        <tr r="P403" s="1"/>
      </tp>
      <tp>
        <v>5800</v>
        <stp/>
        <stp>P</stp>
        <stp>0</stp>
        <stp>STK</stp>
        <stp>N472850</stp>
        <stp>시가</stp>
        <stp/>
        <stp/>
        <tr r="P640" s="1"/>
      </tp>
      <tp>
        <v>20000</v>
        <stp/>
        <stp>P</stp>
        <stp>0</stp>
        <stp>STK</stp>
        <stp>N475150</stp>
        <stp>시가</stp>
        <stp/>
        <stp/>
        <tr r="P402" s="1"/>
      </tp>
      <tp>
        <v>20100</v>
        <stp/>
        <stp>P</stp>
        <stp>0</stp>
        <stp>STK</stp>
        <stp>N475150</stp>
        <stp>고가</stp>
        <stp/>
        <stp/>
        <tr r="Q402" s="1"/>
      </tp>
      <tp>
        <v>400000</v>
        <stp/>
        <stp>P</stp>
        <stp>0</stp>
        <stp>STK</stp>
        <stp>N373220</stp>
        <stp>고가</stp>
        <stp/>
        <stp/>
        <tr r="Q12" s="1"/>
      </tp>
      <tp>
        <v>5950</v>
        <stp/>
        <stp>P</stp>
        <stp>0</stp>
        <stp>STK</stp>
        <stp>N472850</stp>
        <stp>고가</stp>
        <stp/>
        <stp/>
        <tr r="Q640" s="1"/>
      </tp>
      <tp>
        <v>49250</v>
        <stp/>
        <stp>P</stp>
        <stp>0</stp>
        <stp>STK</stp>
        <stp>N372320</stp>
        <stp>고가</stp>
        <stp/>
        <stp/>
        <tr r="Q403" s="1"/>
      </tp>
      <tp>
        <v>88500</v>
        <stp/>
        <stp>P</stp>
        <stp>0</stp>
        <stp>STK</stp>
        <stp>N072710</stp>
        <stp>고가</stp>
        <stp/>
        <stp/>
        <tr r="Q539" s="1"/>
      </tp>
      <tp>
        <v>54100</v>
        <stp/>
        <stp>P</stp>
        <stp>0</stp>
        <stp>STK</stp>
        <stp>N170900</stp>
        <stp>고가</stp>
        <stp/>
        <stp/>
        <tr r="Q499" s="1"/>
      </tp>
      <tp>
        <v>24800</v>
        <stp/>
        <stp>P</stp>
        <stp>0</stp>
        <stp>STK</stp>
        <stp>N179900</stp>
        <stp>고가</stp>
        <stp/>
        <stp/>
        <tr r="Q528" s="1"/>
      </tp>
      <tp>
        <v>35550</v>
        <stp/>
        <stp>P</stp>
        <stp>0</stp>
        <stp>STK</stp>
        <stp>119850</stp>
        <stp>현재가</stp>
        <stp/>
        <stp/>
        <tr r="U435" s="1"/>
      </tp>
      <tp>
        <v>12910</v>
        <stp/>
        <stp>P</stp>
        <stp>0</stp>
        <stp>STK</stp>
        <stp>019170</stp>
        <stp>현재가</stp>
        <stp/>
        <stp/>
        <tr r="U411" s="1"/>
      </tp>
      <tp>
        <v>61800</v>
        <stp/>
        <stp>P</stp>
        <stp>0</stp>
        <stp>STK</stp>
        <stp>319660</stp>
        <stp>현재가</stp>
        <stp/>
        <stp/>
        <tr r="U287" s="1"/>
      </tp>
      <tp>
        <v>36650</v>
        <stp/>
        <stp>P</stp>
        <stp>0</stp>
        <stp>STK</stp>
        <stp>419530</stp>
        <stp>현재가</stp>
        <stp/>
        <stp/>
        <tr r="U580" s="1"/>
      </tp>
      <tp>
        <v>3275</v>
        <stp/>
        <stp>P</stp>
        <stp>0</stp>
        <stp>STK</stp>
        <stp>018880</stp>
        <stp>현재가</stp>
        <stp/>
        <stp/>
        <tr r="U145" s="1"/>
      </tp>
      <tp>
        <v>19490</v>
        <stp/>
        <stp>P</stp>
        <stp>0</stp>
        <stp>STK</stp>
        <stp>018310</stp>
        <stp>현재가</stp>
        <stp/>
        <stp/>
        <tr r="U647" s="1"/>
      </tp>
      <tp>
        <v>20800</v>
        <stp/>
        <stp>P</stp>
        <stp>0</stp>
        <stp>STK</stp>
        <stp>018290</stp>
        <stp>현재가</stp>
        <stp/>
        <stp/>
        <tr r="U442" s="1"/>
      </tp>
      <tp>
        <v>170300</v>
        <stp/>
        <stp>P</stp>
        <stp>0</stp>
        <stp>STK</stp>
        <stp>018260</stp>
        <stp>현재가</stp>
        <stp/>
        <stp/>
        <tr r="U63" s="1"/>
      </tp>
      <tp>
        <v>12500</v>
        <stp/>
        <stp>P</stp>
        <stp>0</stp>
        <stp>STK</stp>
        <stp>018250</stp>
        <stp>현재가</stp>
        <stp/>
        <stp/>
        <tr r="U593" s="1"/>
      </tp>
      <tp>
        <v>228000</v>
        <stp/>
        <stp>P</stp>
        <stp>0</stp>
        <stp>STK</stp>
        <stp>018670</stp>
        <stp>현재가</stp>
        <stp/>
        <stp/>
        <tr r="U209" s="1"/>
      </tp>
      <tp>
        <v>49050</v>
        <stp/>
        <stp>P</stp>
        <stp>0</stp>
        <stp>STK</stp>
        <stp>218410</stp>
        <stp>현재가</stp>
        <stp/>
        <stp/>
        <tr r="U327" s="1"/>
      </tp>
      <tp>
        <v>77200</v>
        <stp/>
        <stp>P</stp>
        <stp>0</stp>
        <stp>STK</stp>
        <stp>015360</stp>
        <stp>현재가</stp>
        <stp/>
        <stp/>
        <tr r="U552" s="1"/>
      </tp>
      <tp>
        <v>44800</v>
        <stp/>
        <stp>P</stp>
        <stp>0</stp>
        <stp>STK</stp>
        <stp>215200</stp>
        <stp>현재가</stp>
        <stp/>
        <stp/>
        <tr r="U538" s="1"/>
      </tp>
      <tp>
        <v>59200</v>
        <stp/>
        <stp>P</stp>
        <stp>0</stp>
        <stp>STK</stp>
        <stp>215000</stp>
        <stp>현재가</stp>
        <stp/>
        <stp/>
        <tr r="U595" s="1"/>
      </tp>
      <tp>
        <v>58300</v>
        <stp/>
        <stp>P</stp>
        <stp>0</stp>
        <stp>STK</stp>
        <stp>015760</stp>
        <stp>현재가</stp>
        <stp/>
        <stp/>
        <tr r="U24" s="1"/>
      </tp>
      <tp>
        <v>7820</v>
        <stp/>
        <stp>P</stp>
        <stp>0</stp>
        <stp>STK</stp>
        <stp>015750</stp>
        <stp>현재가</stp>
        <stp/>
        <stp/>
        <tr r="U407" s="1"/>
      </tp>
      <tp>
        <v>13280</v>
        <stp/>
        <stp>P</stp>
        <stp>0</stp>
        <stp>STK</stp>
        <stp>314930</stp>
        <stp>현재가</stp>
        <stp/>
        <stp/>
        <tr r="U576" s="1"/>
      </tp>
      <tp>
        <v>8180</v>
        <stp/>
        <stp>P</stp>
        <stp>0</stp>
        <stp>STK</stp>
        <stp>014940</stp>
        <stp>현재가</stp>
        <stp/>
        <stp/>
        <tr r="U553" s="1"/>
      </tp>
      <tp>
        <v>78700</v>
        <stp/>
        <stp>P</stp>
        <stp>0</stp>
        <stp>STK</stp>
        <stp>014830</stp>
        <stp>현재가</stp>
        <stp/>
        <stp/>
        <tr r="U487" s="1"/>
      </tp>
      <tp>
        <v>28300</v>
        <stp/>
        <stp>P</stp>
        <stp>0</stp>
        <stp>STK</stp>
        <stp>014820</stp>
        <stp>현재가</stp>
        <stp/>
        <stp/>
        <tr r="U384" s="1"/>
      </tp>
      <tp>
        <v>14350</v>
        <stp/>
        <stp>P</stp>
        <stp>0</stp>
        <stp>STK</stp>
        <stp>114810</stp>
        <stp>현재가</stp>
        <stp/>
        <stp/>
        <tr r="U606" s="1"/>
      </tp>
      <tp>
        <v>14950</v>
        <stp/>
        <stp>P</stp>
        <stp>0</stp>
        <stp>STK</stp>
        <stp>114840</stp>
        <stp>현재가</stp>
        <stp/>
        <stp/>
        <tr r="U664" s="1"/>
      </tp>
      <tp>
        <v>18850</v>
        <stp/>
        <stp>P</stp>
        <stp>0</stp>
        <stp>STK</stp>
        <stp>214320</stp>
        <stp>현재가</stp>
        <stp/>
        <stp/>
        <tr r="U378" s="1"/>
      </tp>
      <tp>
        <v>109500</v>
        <stp/>
        <stp>P</stp>
        <stp>0</stp>
        <stp>STK</stp>
        <stp>214370</stp>
        <stp>현재가</stp>
        <stp/>
        <stp/>
        <tr r="U129" s="1"/>
      </tp>
      <tp>
        <v>17150</v>
        <stp/>
        <stp>P</stp>
        <stp>0</stp>
        <stp>STK</stp>
        <stp>114190</stp>
        <stp>현재가</stp>
        <stp/>
        <stp/>
        <tr r="U566" s="1"/>
      </tp>
      <tp>
        <v>75000</v>
        <stp/>
        <stp>P</stp>
        <stp>0</stp>
        <stp>STK</stp>
        <stp>214150</stp>
        <stp>현재가</stp>
        <stp/>
        <stp/>
        <tr r="U132" s="1"/>
      </tp>
      <tp>
        <v>12870</v>
        <stp/>
        <stp>P</stp>
        <stp>0</stp>
        <stp>STK</stp>
        <stp>114090</stp>
        <stp>현재가</stp>
        <stp/>
        <stp/>
        <tr r="U354" s="1"/>
      </tp>
      <tp>
        <v>284500</v>
        <stp/>
        <stp>P</stp>
        <stp>0</stp>
        <stp>STK</stp>
        <stp>014680</stp>
        <stp>현재가</stp>
        <stp/>
        <stp/>
        <tr r="U155" s="1"/>
      </tp>
      <tp>
        <v>31350</v>
        <stp/>
        <stp>P</stp>
        <stp>0</stp>
        <stp>STK</stp>
        <stp>014620</stp>
        <stp>현재가</stp>
        <stp/>
        <stp/>
        <tr r="U364" s="1"/>
      </tp>
      <tp>
        <v>126500</v>
        <stp/>
        <stp>P</stp>
        <stp>0</stp>
        <stp>STK</stp>
        <stp>214430</stp>
        <stp>현재가</stp>
        <stp/>
        <stp/>
        <tr r="U417" s="1"/>
      </tp>
      <tp>
        <v>462000</v>
        <stp/>
        <stp>P</stp>
        <stp>0</stp>
        <stp>STK</stp>
        <stp>214450</stp>
        <stp>현재가</stp>
        <stp/>
        <stp/>
        <tr r="U120" s="1"/>
      </tp>
      <tp>
        <v>33200</v>
        <stp/>
        <stp>P</stp>
        <stp>0</stp>
        <stp>STK</stp>
        <stp>017960</stp>
        <stp>현재가</stp>
        <stp/>
        <stp/>
        <tr r="U221" s="1"/>
      </tp>
      <tp>
        <v>87500</v>
        <stp/>
        <stp>P</stp>
        <stp>0</stp>
        <stp>STK</stp>
        <stp>017940</stp>
        <stp>현재가</stp>
        <stp/>
        <stp/>
        <tr r="U447" s="1"/>
      </tp>
      <tp>
        <v>12970</v>
        <stp/>
        <stp>P</stp>
        <stp>0</stp>
        <stp>STK</stp>
        <stp>017810</stp>
        <stp>현재가</stp>
        <stp/>
        <stp/>
        <tr r="U482" s="1"/>
      </tp>
      <tp>
        <v>98500</v>
        <stp/>
        <stp>P</stp>
        <stp>0</stp>
        <stp>STK</stp>
        <stp>017800</stp>
        <stp>현재가</stp>
        <stp/>
        <stp/>
        <tr r="U140" s="1"/>
      </tp>
      <tp>
        <v>19270</v>
        <stp/>
        <stp>P</stp>
        <stp>0</stp>
        <stp>STK</stp>
        <stp>017860</stp>
        <stp>현재가</stp>
        <stp/>
        <stp/>
        <tr r="U597" s="1"/>
      </tp>
      <tp>
        <v>65200</v>
        <stp/>
        <stp>P</stp>
        <stp>0</stp>
        <stp>STK</stp>
        <stp>017390</stp>
        <stp>현재가</stp>
        <stp/>
        <stp/>
        <tr r="U604" s="1"/>
      </tp>
      <tp>
        <v>19650</v>
        <stp/>
        <stp>P</stp>
        <stp>0</stp>
        <stp>STK</stp>
        <stp>317330</stp>
        <stp>현재가</stp>
        <stp/>
        <stp/>
        <tr r="U577" s="1"/>
      </tp>
      <tp>
        <v>17420</v>
        <stp/>
        <stp>P</stp>
        <stp>0</stp>
        <stp>STK</stp>
        <stp>417200</stp>
        <stp>현재가</stp>
        <stp/>
        <stp/>
        <tr r="U336" s="1"/>
      </tp>
      <tp>
        <v>24450</v>
        <stp/>
        <stp>P</stp>
        <stp>0</stp>
        <stp>STK</stp>
        <stp>117730</stp>
        <stp>현재가</stp>
        <stp/>
        <stp/>
        <tr r="U414" s="1"/>
      </tp>
      <tp>
        <v>71300</v>
        <stp/>
        <stp>P</stp>
        <stp>0</stp>
        <stp>STK</stp>
        <stp>017670</stp>
        <stp>현재가</stp>
        <stp/>
        <stp/>
        <tr r="U66" s="1"/>
      </tp>
      <tp>
        <v>14910</v>
        <stp/>
        <stp>P</stp>
        <stp>0</stp>
        <stp>STK</stp>
        <stp>217590</stp>
        <stp>현재가</stp>
        <stp/>
        <stp/>
        <tr r="U545" s="1"/>
      </tp>
      <tp>
        <v>61600</v>
        <stp/>
        <stp>P</stp>
        <stp>0</stp>
        <stp>STK</stp>
        <stp>317450</stp>
        <stp>현재가</stp>
        <stp/>
        <stp/>
        <tr r="U342" s="1"/>
      </tp>
      <tp>
        <v>42800</v>
        <stp/>
        <stp>P</stp>
        <stp>0</stp>
        <stp>STK</stp>
        <stp>016800</stp>
        <stp>현재가</stp>
        <stp/>
        <stp/>
        <tr r="U478" s="1"/>
      </tp>
      <tp>
        <v>88700</v>
        <stp/>
        <stp>P</stp>
        <stp>0</stp>
        <stp>STK</stp>
        <stp>016360</stp>
        <stp>현재가</stp>
        <stp/>
        <stp/>
        <tr r="U91" s="1"/>
      </tp>
      <tp>
        <v>39550</v>
        <stp/>
        <stp>P</stp>
        <stp>0</stp>
        <stp>STK</stp>
        <stp>416180</stp>
        <stp>현재가</stp>
        <stp/>
        <stp/>
        <tr r="U637" s="1"/>
      </tp>
      <tp>
        <v>30500</v>
        <stp/>
        <stp>P</stp>
        <stp>0</stp>
        <stp>STK</stp>
        <stp>316140</stp>
        <stp>현재가</stp>
        <stp/>
        <stp/>
        <tr r="U43" s="1"/>
      </tp>
      <tp>
        <v>13270</v>
        <stp/>
        <stp>P</stp>
        <stp>0</stp>
        <stp>STK</stp>
        <stp>016610</stp>
        <stp>현재가</stp>
        <stp/>
        <stp/>
        <tr r="U486" s="1"/>
      </tp>
      <tp>
        <v>11850</v>
        <stp/>
        <stp>P</stp>
        <stp>0</stp>
        <stp>STK</stp>
        <stp>016590</stp>
        <stp>현재가</stp>
        <stp/>
        <stp/>
        <tr r="U465" s="1"/>
      </tp>
      <tp>
        <v>85000</v>
        <stp/>
        <stp>P</stp>
        <stp>0</stp>
        <stp>STK</stp>
        <stp>011210</stp>
        <stp>현재가</stp>
        <stp/>
        <stp/>
        <tr r="U167" s="1"/>
      </tp>
      <tp>
        <v>19840</v>
        <stp/>
        <stp>P</stp>
        <stp>0</stp>
        <stp>STK</stp>
        <stp>011200</stp>
        <stp>현재가</stp>
        <stp/>
        <stp/>
        <tr r="U46" s="1"/>
      </tp>
      <tp>
        <v>80900</v>
        <stp/>
        <stp>P</stp>
        <stp>0</stp>
        <stp>STK</stp>
        <stp>011170</stp>
        <stp>현재가</stp>
        <stp/>
        <stp/>
        <tr r="U152" s="1"/>
      </tp>
      <tp>
        <v>241000</v>
        <stp/>
        <stp>P</stp>
        <stp>0</stp>
        <stp>STK</stp>
        <stp>011070</stp>
        <stp>현재가</stp>
        <stp/>
        <stp/>
        <tr r="U97" s="1"/>
      </tp>
      <tp>
        <v>14710</v>
        <stp/>
        <stp>P</stp>
        <stp>0</stp>
        <stp>STK</stp>
        <stp>211050</stp>
        <stp>현재가</stp>
        <stp/>
        <stp/>
        <tr r="U424" s="1"/>
      </tp>
      <tp>
        <v>120100</v>
        <stp/>
        <stp>P</stp>
        <stp>0</stp>
        <stp>STK</stp>
        <stp>011790</stp>
        <stp>현재가</stp>
        <stp/>
        <stp/>
        <tr r="U126" s="1"/>
      </tp>
      <tp>
        <v>143700</v>
        <stp/>
        <stp>P</stp>
        <stp>0</stp>
        <stp>STK</stp>
        <stp>011780</stp>
        <stp>현재가</stp>
        <stp/>
        <stp/>
        <tr r="U136" s="1"/>
      </tp>
      <tp>
        <v>22400</v>
        <stp/>
        <stp>P</stp>
        <stp>0</stp>
        <stp>STK</stp>
        <stp>011760</stp>
        <stp>현재가</stp>
        <stp/>
        <stp/>
        <tr r="U639" s="1"/>
      </tp>
      <tp>
        <v>87700</v>
        <stp/>
        <stp>P</stp>
        <stp>0</stp>
        <stp>STK</stp>
        <stp>111770</stp>
        <stp>현재가</stp>
        <stp/>
        <stp/>
        <tr r="U138" s="1"/>
      </tp>
      <tp>
        <v>26500</v>
        <stp/>
        <stp>P</stp>
        <stp>0</stp>
        <stp>STK</stp>
        <stp>011500</stp>
        <stp>현재가</stp>
        <stp/>
        <stp/>
        <tr r="U634" s="1"/>
      </tp>
      <tp>
        <v>22350</v>
        <stp/>
        <stp>P</stp>
        <stp>0</stp>
        <stp>STK</stp>
        <stp>110990</stp>
        <stp>현재가</stp>
        <stp/>
        <stp/>
        <tr r="U586" s="1"/>
      </tp>
      <tp>
        <v>103300</v>
        <stp/>
        <stp>P</stp>
        <stp>0</stp>
        <stp>STK</stp>
        <stp>010950</stp>
        <stp>현재가</stp>
        <stp/>
        <stp/>
        <tr r="U72" s="1"/>
      </tp>
      <tp>
        <v>217500</v>
        <stp/>
        <stp>P</stp>
        <stp>0</stp>
        <stp>STK</stp>
        <stp>310210</stp>
        <stp>현재가</stp>
        <stp/>
        <stp/>
        <tr r="U148" s="1"/>
      </tp>
      <tp>
        <v>1690000</v>
        <stp/>
        <stp>P</stp>
        <stp>0</stp>
        <stp>STK</stp>
        <stp>010130</stp>
        <stp>현재가</stp>
        <stp/>
        <stp/>
        <tr r="U28" s="1"/>
      </tp>
      <tp>
        <v>547000</v>
        <stp/>
        <stp>P</stp>
        <stp>0</stp>
        <stp>STK</stp>
        <stp>010120</stp>
        <stp>현재가</stp>
        <stp/>
        <stp/>
        <tr r="U58" s="1"/>
      </tp>
      <tp>
        <v>28500</v>
        <stp/>
        <stp>P</stp>
        <stp>0</stp>
        <stp>STK</stp>
        <stp>010140</stp>
        <stp>현재가</stp>
        <stp/>
        <stp/>
        <tr r="U33" s="1"/>
      </tp>
      <tp>
        <v>113200</v>
        <stp/>
        <stp>P</stp>
        <stp>0</stp>
        <stp>STK</stp>
        <stp>010060</stp>
        <stp>현재가</stp>
        <stp/>
        <stp/>
        <tr r="U202" s="1"/>
      </tp>
      <tp>
        <v>23750</v>
        <stp/>
        <stp>P</stp>
        <stp>0</stp>
        <stp>STK</stp>
        <stp>010780</stp>
        <stp>현재가</stp>
        <stp/>
        <stp/>
        <tr r="U398" s="1"/>
      </tp>
      <tp>
        <v>9090</v>
        <stp/>
        <stp>P</stp>
        <stp>0</stp>
        <stp>STK</stp>
        <stp>010690</stp>
        <stp>현재가</stp>
        <stp/>
        <stp/>
        <tr r="U563" s="1"/>
      </tp>
      <tp>
        <v>12180</v>
        <stp/>
        <stp>P</stp>
        <stp>0</stp>
        <stp>STK</stp>
        <stp>013890</stp>
        <stp>현재가</stp>
        <stp/>
        <stp/>
        <tr r="U656" s="1"/>
      </tp>
      <tp>
        <v>32750</v>
        <stp/>
        <stp>P</stp>
        <stp>0</stp>
        <stp>STK</stp>
        <stp>013030</stp>
        <stp>현재가</stp>
        <stp/>
        <stp/>
        <tr r="U558" s="1"/>
      </tp>
      <tp>
        <v>37850</v>
        <stp/>
        <stp>P</stp>
        <stp>0</stp>
        <stp>STK</stp>
        <stp>213420</stp>
        <stp>현재가</stp>
        <stp/>
        <stp/>
        <tr r="U338" s="1"/>
      </tp>
      <tp>
        <v>453500</v>
        <stp/>
        <stp>P</stp>
        <stp>0</stp>
        <stp>STK</stp>
        <stp>012330</stp>
        <stp>현재가</stp>
        <stp/>
        <stp/>
        <tr r="U22" s="1"/>
      </tp>
      <tp>
        <v>31150</v>
        <stp/>
        <stp>P</stp>
        <stp>0</stp>
        <stp>STK</stp>
        <stp>112040</stp>
        <stp>현재가</stp>
        <stp/>
        <stp/>
        <tr r="U337" s="1"/>
      </tp>
      <tp>
        <v>91800</v>
        <stp/>
        <stp>P</stp>
        <stp>0</stp>
        <stp>STK</stp>
        <stp>0120G0</stp>
        <stp>현재가</stp>
        <stp/>
        <stp/>
        <tr r="U436" s="1"/>
      </tp>
      <tp>
        <v>82300</v>
        <stp/>
        <stp>P</stp>
        <stp>0</stp>
        <stp>STK</stp>
        <stp>012750</stp>
        <stp>현재가</stp>
        <stp/>
        <stp/>
        <tr r="U156" s="1"/>
      </tp>
      <tp>
        <v>18890</v>
        <stp/>
        <stp>P</stp>
        <stp>0</stp>
        <stp>STK</stp>
        <stp>012630</stp>
        <stp>현재가</stp>
        <stp/>
        <stp/>
        <tr r="U312" s="1"/>
      </tp>
      <tp>
        <v>40000</v>
        <stp/>
        <stp>P</stp>
        <stp>0</stp>
        <stp>STK</stp>
        <stp>112610</stp>
        <stp>현재가</stp>
        <stp/>
        <stp/>
        <tr r="U240" s="1"/>
      </tp>
      <tp>
        <v>605000</v>
        <stp/>
        <stp>P</stp>
        <stp>0</stp>
        <stp>STK</stp>
        <stp>0126Z0</stp>
        <stp>현재가</stp>
        <stp/>
        <stp/>
        <tr r="U60" s="1"/>
      </tp>
      <tp>
        <v>94200</v>
        <stp/>
        <stp>P</stp>
        <stp>0</stp>
        <stp>STK</stp>
        <stp>012510</stp>
        <stp>현재가</stp>
        <stp/>
        <stp/>
        <tr r="U158" s="1"/>
      </tp>
      <tp>
        <v>1331000</v>
        <stp/>
        <stp>P</stp>
        <stp>0</stp>
        <stp>STK</stp>
        <stp>012450</stp>
        <stp>현재가</stp>
        <stp/>
        <stp/>
        <tr r="U15" s="1"/>
      </tp>
      <tp>
        <v>44850</v>
        <stp/>
        <stp>P</stp>
        <stp>0</stp>
        <stp>STK</stp>
        <stp>N281820</stp>
        <stp>저가</stp>
        <stp/>
        <stp/>
        <tr r="R353" s="1"/>
      </tp>
      <tp>
        <v>31450</v>
        <stp/>
        <stp>P</stp>
        <stp>0</stp>
        <stp>STK</stp>
        <stp>N181710</stp>
        <stp>저가</stp>
        <stp/>
        <stp/>
        <tr r="R319" s="1"/>
      </tp>
      <tp>
        <v>129000</v>
        <stp/>
        <stp>P</stp>
        <stp>0</stp>
        <stp>STK</stp>
        <stp>N086900</stp>
        <stp>저가</stp>
        <stp/>
        <stp/>
        <tr r="R341" s="1"/>
      </tp>
      <tp>
        <v>31900</v>
        <stp/>
        <stp>P</stp>
        <stp>0</stp>
        <stp>STK</stp>
        <stp>N181710</stp>
        <stp>시가</stp>
        <stp/>
        <stp/>
        <tr r="P319" s="1"/>
      </tp>
      <tp>
        <v>46800</v>
        <stp/>
        <stp>P</stp>
        <stp>0</stp>
        <stp>STK</stp>
        <stp>N281820</stp>
        <stp>시가</stp>
        <stp/>
        <stp/>
        <tr r="P353" s="1"/>
      </tp>
      <tp>
        <v>134400</v>
        <stp/>
        <stp>P</stp>
        <stp>0</stp>
        <stp>STK</stp>
        <stp>N086900</stp>
        <stp>시가</stp>
        <stp/>
        <stp/>
        <tr r="P341" s="1"/>
      </tp>
      <tp>
        <v>134400</v>
        <stp/>
        <stp>P</stp>
        <stp>0</stp>
        <stp>STK</stp>
        <stp>N086900</stp>
        <stp>고가</stp>
        <stp/>
        <stp/>
        <tr r="Q341" s="1"/>
      </tp>
      <tp>
        <v>47250</v>
        <stp/>
        <stp>P</stp>
        <stp>0</stp>
        <stp>STK</stp>
        <stp>N281820</stp>
        <stp>고가</stp>
        <stp/>
        <stp/>
        <tr r="Q353" s="1"/>
      </tp>
      <tp>
        <v>31900</v>
        <stp/>
        <stp>P</stp>
        <stp>0</stp>
        <stp>STK</stp>
        <stp>N181710</stp>
        <stp>고가</stp>
        <stp/>
        <stp/>
        <tr r="Q319" s="1"/>
      </tp>
      <tp>
        <v>371500</v>
        <stp/>
        <stp>P</stp>
        <stp>0</stp>
        <stp>STK</stp>
        <stp>N298020</stp>
        <stp>시가</stp>
        <stp/>
        <stp/>
        <tr r="P234" s="1"/>
      </tp>
      <tp>
        <v>23600</v>
        <stp/>
        <stp>P</stp>
        <stp>0</stp>
        <stp>STK</stp>
        <stp>N190510</stp>
        <stp>저가</stp>
        <stp/>
        <stp/>
        <tr r="R582" s="1"/>
      </tp>
      <tp>
        <v>57000</v>
        <stp/>
        <stp>P</stp>
        <stp>0</stp>
        <stp>STK</stp>
        <stp>N397030</stp>
        <stp>저가</stp>
        <stp/>
        <stp/>
        <tr r="R296" s="1"/>
      </tp>
      <tp>
        <v>11500</v>
        <stp/>
        <stp>P</stp>
        <stp>0</stp>
        <stp>STK</stp>
        <stp>N095500</stp>
        <stp>저가</stp>
        <stp/>
        <stp/>
        <tr r="R599" s="1"/>
      </tp>
      <tp>
        <v>24600</v>
        <stp/>
        <stp>P</stp>
        <stp>0</stp>
        <stp>STK</stp>
        <stp>N190510</stp>
        <stp>시가</stp>
        <stp/>
        <stp/>
        <tr r="P582" s="1"/>
      </tp>
      <tp>
        <v>358000</v>
        <stp/>
        <stp>P</stp>
        <stp>0</stp>
        <stp>STK</stp>
        <stp>N298020</stp>
        <stp>저가</stp>
        <stp/>
        <stp/>
        <tr r="R234" s="1"/>
      </tp>
      <tp>
        <v>11700</v>
        <stp/>
        <stp>P</stp>
        <stp>0</stp>
        <stp>STK</stp>
        <stp>N095500</stp>
        <stp>시가</stp>
        <stp/>
        <stp/>
        <tr r="P599" s="1"/>
      </tp>
      <tp>
        <v>57600</v>
        <stp/>
        <stp>P</stp>
        <stp>0</stp>
        <stp>STK</stp>
        <stp>N397030</stp>
        <stp>시가</stp>
        <stp/>
        <stp/>
        <tr r="P296" s="1"/>
      </tp>
      <tp>
        <v>62800</v>
        <stp/>
        <stp>P</stp>
        <stp>0</stp>
        <stp>STK</stp>
        <stp>N397030</stp>
        <stp>고가</stp>
        <stp/>
        <stp/>
        <tr r="Q296" s="1"/>
      </tp>
      <tp>
        <v>11850</v>
        <stp/>
        <stp>P</stp>
        <stp>0</stp>
        <stp>STK</stp>
        <stp>N095500</stp>
        <stp>고가</stp>
        <stp/>
        <stp/>
        <tr r="Q599" s="1"/>
      </tp>
      <tp>
        <v>24700</v>
        <stp/>
        <stp>P</stp>
        <stp>0</stp>
        <stp>STK</stp>
        <stp>N190510</stp>
        <stp>고가</stp>
        <stp/>
        <stp/>
        <tr r="Q582" s="1"/>
      </tp>
      <tp>
        <v>390000</v>
        <stp/>
        <stp>P</stp>
        <stp>0</stp>
        <stp>STK</stp>
        <stp>N298020</stp>
        <stp>고가</stp>
        <stp/>
        <stp/>
        <tr r="Q234" s="1"/>
      </tp>
      <tp>
        <v>9230</v>
        <stp/>
        <stp>P</stp>
        <stp>0</stp>
        <stp>STK</stp>
        <stp>N009900</stp>
        <stp>시가</stp>
        <stp/>
        <stp/>
        <tr r="P467" s="1"/>
      </tp>
      <tp>
        <v>15570</v>
        <stp/>
        <stp>P</stp>
        <stp>0</stp>
        <stp>STK</stp>
        <stp>N003300</stp>
        <stp>저가</stp>
        <stp/>
        <stp/>
        <tr r="R492" s="1"/>
      </tp>
      <tp>
        <v>12940</v>
        <stp/>
        <stp>P</stp>
        <stp>0</stp>
        <stp>STK</stp>
        <stp>N003200</stp>
        <stp>저가</stp>
        <stp/>
        <stp/>
        <tr r="R621" s="1"/>
      </tp>
      <tp>
        <v>25250</v>
        <stp/>
        <stp>P</stp>
        <stp>0</stp>
        <stp>STK</stp>
        <stp>N308430</stp>
        <stp>시가</stp>
        <stp/>
        <stp/>
        <tr r="P625" s="1"/>
      </tp>
      <tp>
        <v>532000</v>
        <stp/>
        <stp>P</stp>
        <stp>0</stp>
        <stp>STK</stp>
        <stp>N402340</stp>
        <stp>저가</stp>
        <stp/>
        <stp/>
        <tr r="R18" s="1"/>
      </tp>
      <tp>
        <v>55100</v>
        <stp/>
        <stp>P</stp>
        <stp>0</stp>
        <stp>STK</stp>
        <stp>N102710</stp>
        <stp>저가</stp>
        <stp/>
        <stp/>
        <tr r="R401" s="1"/>
      </tp>
      <tp>
        <v>20600</v>
        <stp/>
        <stp>P</stp>
        <stp>0</stp>
        <stp>STK</stp>
        <stp>N001800</stp>
        <stp>저가</stp>
        <stp/>
        <stp/>
        <tr r="R270" s="1"/>
      </tp>
      <tp>
        <v>9170</v>
        <stp/>
        <stp>P</stp>
        <stp>0</stp>
        <stp>STK</stp>
        <stp>N001500</stp>
        <stp>저가</stp>
        <stp/>
        <stp/>
        <tr r="R462" s="1"/>
      </tp>
      <tp>
        <v>105200</v>
        <stp/>
        <stp>P</stp>
        <stp>0</stp>
        <stp>STK</stp>
        <stp>N000100</stp>
        <stp>저가</stp>
        <stp/>
        <stp/>
        <tr r="R87" s="1"/>
      </tp>
      <tp>
        <v>82300</v>
        <stp/>
        <stp>P</stp>
        <stp>0</stp>
        <stp>STK</stp>
        <stp>N000500</stp>
        <stp>저가</stp>
        <stp/>
        <stp/>
        <tr r="R252" s="1"/>
      </tp>
      <tp>
        <v>19950</v>
        <stp/>
        <stp>P</stp>
        <stp>0</stp>
        <stp>STK</stp>
        <stp>N007700</stp>
        <stp>저가</stp>
        <stp/>
        <stp/>
        <tr r="R365" s="1"/>
      </tp>
      <tp>
        <v>41200</v>
        <stp/>
        <stp>P</stp>
        <stp>0</stp>
        <stp>STK</stp>
        <stp>N006800</stp>
        <stp>저가</stp>
        <stp/>
        <stp/>
        <tr r="R51" s="1"/>
      </tp>
      <tp>
        <v>373500</v>
        <stp/>
        <stp>P</stp>
        <stp>0</stp>
        <stp>STK</stp>
        <stp>N006400</stp>
        <stp>저가</stp>
        <stp/>
        <stp/>
        <tr r="R34" s="1"/>
      </tp>
      <tp>
        <v>131500</v>
        <stp/>
        <stp>P</stp>
        <stp>0</stp>
        <stp>STK</stp>
        <stp>N005300</stp>
        <stp>저가</stp>
        <stp/>
        <stp/>
        <tr r="R284" s="1"/>
      </tp>
      <tp>
        <v>18800</v>
        <stp/>
        <stp>P</stp>
        <stp>0</stp>
        <stp>STK</stp>
        <stp>N005500</stp>
        <stp>저가</stp>
        <stp/>
        <stp/>
        <tr r="R669" s="1"/>
      </tp>
      <tp>
        <v>142900</v>
        <stp/>
        <stp>P</stp>
        <stp>0</stp>
        <stp>STK</stp>
        <stp>N004800</stp>
        <stp>저가</stp>
        <stp/>
        <stp/>
        <tr r="R177" s="1"/>
      </tp>
      <tp>
        <v>46500</v>
        <stp/>
        <stp>P</stp>
        <stp>0</stp>
        <stp>STK</stp>
        <stp>N004000</stp>
        <stp>저가</stp>
        <stp/>
        <stp/>
        <tr r="R290" s="1"/>
      </tp>
      <tp>
        <v>61400</v>
        <stp/>
        <stp>P</stp>
        <stp>0</stp>
        <stp>STK</stp>
        <stp>N204320</stp>
        <stp>저가</stp>
        <stp/>
        <stp/>
        <tr r="R142" s="1"/>
      </tp>
      <tp>
        <v>71500</v>
        <stp/>
        <stp>P</stp>
        <stp>0</stp>
        <stp>STK</stp>
        <stp>N004700</stp>
        <stp>저가</stp>
        <stp/>
        <stp/>
        <tr r="R500" s="1"/>
      </tp>
      <tp>
        <v>9510</v>
        <stp/>
        <stp>P</stp>
        <stp>0</stp>
        <stp>STK</stp>
        <stp>N001500</stp>
        <stp>시가</stp>
        <stp/>
        <stp/>
        <tr r="P462" s="1"/>
      </tp>
      <tp>
        <v>20900</v>
        <stp/>
        <stp>P</stp>
        <stp>0</stp>
        <stp>STK</stp>
        <stp>N001800</stp>
        <stp>시가</stp>
        <stp/>
        <stp/>
        <tr r="P270" s="1"/>
      </tp>
      <tp>
        <v>86600</v>
        <stp/>
        <stp>P</stp>
        <stp>0</stp>
        <stp>STK</stp>
        <stp>N000500</stp>
        <stp>시가</stp>
        <stp/>
        <stp/>
        <tr r="P252" s="1"/>
      </tp>
      <tp>
        <v>107100</v>
        <stp/>
        <stp>P</stp>
        <stp>0</stp>
        <stp>STK</stp>
        <stp>N000100</stp>
        <stp>시가</stp>
        <stp/>
        <stp/>
        <tr r="P87" s="1"/>
      </tp>
      <tp>
        <v>15600</v>
        <stp/>
        <stp>P</stp>
        <stp>0</stp>
        <stp>STK</stp>
        <stp>N003300</stp>
        <stp>시가</stp>
        <stp/>
        <stp/>
        <tr r="P492" s="1"/>
      </tp>
      <tp>
        <v>13140</v>
        <stp/>
        <stp>P</stp>
        <stp>0</stp>
        <stp>STK</stp>
        <stp>N003200</stp>
        <stp>시가</stp>
        <stp/>
        <stp/>
        <tr r="P621" s="1"/>
      </tp>
      <tp>
        <v>9010</v>
        <stp/>
        <stp>P</stp>
        <stp>0</stp>
        <stp>STK</stp>
        <stp>N009900</stp>
        <stp>저가</stp>
        <stp/>
        <stp/>
        <tr r="R467" s="1"/>
      </tp>
      <tp>
        <v>57400</v>
        <stp/>
        <stp>P</stp>
        <stp>0</stp>
        <stp>STK</stp>
        <stp>N102710</stp>
        <stp>시가</stp>
        <stp/>
        <stp/>
        <tr r="P401" s="1"/>
      </tp>
      <tp>
        <v>567000</v>
        <stp/>
        <stp>P</stp>
        <stp>0</stp>
        <stp>STK</stp>
        <stp>N402340</stp>
        <stp>시가</stp>
        <stp/>
        <stp/>
        <tr r="P18" s="1"/>
      </tp>
      <tp>
        <v>24400</v>
        <stp/>
        <stp>P</stp>
        <stp>0</stp>
        <stp>STK</stp>
        <stp>N308430</stp>
        <stp>저가</stp>
        <stp/>
        <stp/>
        <tr r="R625" s="1"/>
      </tp>
      <tp>
        <v>18800</v>
        <stp/>
        <stp>P</stp>
        <stp>0</stp>
        <stp>STK</stp>
        <stp>N005500</stp>
        <stp>시가</stp>
        <stp/>
        <stp/>
        <tr r="P669" s="1"/>
      </tp>
      <tp>
        <v>133600</v>
        <stp/>
        <stp>P</stp>
        <stp>0</stp>
        <stp>STK</stp>
        <stp>N005300</stp>
        <stp>시가</stp>
        <stp/>
        <stp/>
        <tr r="P284" s="1"/>
      </tp>
      <tp>
        <v>71500</v>
        <stp/>
        <stp>P</stp>
        <stp>0</stp>
        <stp>STK</stp>
        <stp>N004700</stp>
        <stp>시가</stp>
        <stp/>
        <stp/>
        <tr r="P500" s="1"/>
      </tp>
      <tp>
        <v>47300</v>
        <stp/>
        <stp>P</stp>
        <stp>0</stp>
        <stp>STK</stp>
        <stp>N004000</stp>
        <stp>시가</stp>
        <stp/>
        <stp/>
        <tr r="P290" s="1"/>
      </tp>
      <tp>
        <v>63800</v>
        <stp/>
        <stp>P</stp>
        <stp>0</stp>
        <stp>STK</stp>
        <stp>N204320</stp>
        <stp>시가</stp>
        <stp/>
        <stp/>
        <tr r="P142" s="1"/>
      </tp>
      <tp>
        <v>150100</v>
        <stp/>
        <stp>P</stp>
        <stp>0</stp>
        <stp>STK</stp>
        <stp>N004800</stp>
        <stp>시가</stp>
        <stp/>
        <stp/>
        <tr r="P177" s="1"/>
      </tp>
      <tp>
        <v>21000</v>
        <stp/>
        <stp>P</stp>
        <stp>0</stp>
        <stp>STK</stp>
        <stp>N007700</stp>
        <stp>시가</stp>
        <stp/>
        <stp/>
        <tr r="P365" s="1"/>
      </tp>
      <tp>
        <v>390000</v>
        <stp/>
        <stp>P</stp>
        <stp>0</stp>
        <stp>STK</stp>
        <stp>N006400</stp>
        <stp>시가</stp>
        <stp/>
        <stp/>
        <tr r="P34" s="1"/>
      </tp>
      <tp>
        <v>42500</v>
        <stp/>
        <stp>P</stp>
        <stp>0</stp>
        <stp>STK</stp>
        <stp>N006800</stp>
        <stp>시가</stp>
        <stp/>
        <stp/>
        <tr r="P51" s="1"/>
      </tp>
      <tp>
        <v>21000</v>
        <stp/>
        <stp>P</stp>
        <stp>0</stp>
        <stp>STK</stp>
        <stp>N007700</stp>
        <stp>고가</stp>
        <stp/>
        <stp/>
        <tr r="Q365" s="1"/>
      </tp>
      <tp>
        <v>44350</v>
        <stp/>
        <stp>P</stp>
        <stp>0</stp>
        <stp>STK</stp>
        <stp>N006800</stp>
        <stp>고가</stp>
        <stp/>
        <stp/>
        <tr r="Q51" s="1"/>
      </tp>
      <tp>
        <v>390000</v>
        <stp/>
        <stp>P</stp>
        <stp>0</stp>
        <stp>STK</stp>
        <stp>N006400</stp>
        <stp>고가</stp>
        <stp/>
        <stp/>
        <tr r="Q34" s="1"/>
      </tp>
      <tp>
        <v>133700</v>
        <stp/>
        <stp>P</stp>
        <stp>0</stp>
        <stp>STK</stp>
        <stp>N005300</stp>
        <stp>고가</stp>
        <stp/>
        <stp/>
        <tr r="Q284" s="1"/>
      </tp>
      <tp>
        <v>19250</v>
        <stp/>
        <stp>P</stp>
        <stp>0</stp>
        <stp>STK</stp>
        <stp>N005500</stp>
        <stp>고가</stp>
        <stp/>
        <stp/>
        <tr r="Q669" s="1"/>
      </tp>
      <tp>
        <v>150200</v>
        <stp/>
        <stp>P</stp>
        <stp>0</stp>
        <stp>STK</stp>
        <stp>N004800</stp>
        <stp>고가</stp>
        <stp/>
        <stp/>
        <tr r="Q177" s="1"/>
      </tp>
      <tp>
        <v>47300</v>
        <stp/>
        <stp>P</stp>
        <stp>0</stp>
        <stp>STK</stp>
        <stp>N004000</stp>
        <stp>고가</stp>
        <stp/>
        <stp/>
        <tr r="Q290" s="1"/>
      </tp>
      <tp>
        <v>63800</v>
        <stp/>
        <stp>P</stp>
        <stp>0</stp>
        <stp>STK</stp>
        <stp>N204320</stp>
        <stp>고가</stp>
        <stp/>
        <stp/>
        <tr r="Q142" s="1"/>
      </tp>
      <tp>
        <v>86100</v>
        <stp/>
        <stp>P</stp>
        <stp>0</stp>
        <stp>STK</stp>
        <stp>N004700</stp>
        <stp>고가</stp>
        <stp/>
        <stp/>
        <tr r="Q500" s="1"/>
      </tp>
      <tp>
        <v>15720</v>
        <stp/>
        <stp>P</stp>
        <stp>0</stp>
        <stp>STK</stp>
        <stp>N003300</stp>
        <stp>고가</stp>
        <stp/>
        <stp/>
        <tr r="Q492" s="1"/>
      </tp>
      <tp>
        <v>13600</v>
        <stp/>
        <stp>P</stp>
        <stp>0</stp>
        <stp>STK</stp>
        <stp>N003200</stp>
        <stp>고가</stp>
        <stp/>
        <stp/>
        <tr r="Q621" s="1"/>
      </tp>
      <tp>
        <v>569000</v>
        <stp/>
        <stp>P</stp>
        <stp>0</stp>
        <stp>STK</stp>
        <stp>N402340</stp>
        <stp>고가</stp>
        <stp/>
        <stp/>
        <tr r="Q18" s="1"/>
      </tp>
      <tp>
        <v>57700</v>
        <stp/>
        <stp>P</stp>
        <stp>0</stp>
        <stp>STK</stp>
        <stp>N102710</stp>
        <stp>고가</stp>
        <stp/>
        <stp/>
        <tr r="Q401" s="1"/>
      </tp>
      <tp>
        <v>20950</v>
        <stp/>
        <stp>P</stp>
        <stp>0</stp>
        <stp>STK</stp>
        <stp>N001800</stp>
        <stp>고가</stp>
        <stp/>
        <stp/>
        <tr r="Q270" s="1"/>
      </tp>
      <tp>
        <v>9510</v>
        <stp/>
        <stp>P</stp>
        <stp>0</stp>
        <stp>STK</stp>
        <stp>N001500</stp>
        <stp>고가</stp>
        <stp/>
        <stp/>
        <tr r="Q462" s="1"/>
      </tp>
      <tp>
        <v>107700</v>
        <stp/>
        <stp>P</stp>
        <stp>0</stp>
        <stp>STK</stp>
        <stp>N000100</stp>
        <stp>고가</stp>
        <stp/>
        <stp/>
        <tr r="Q87" s="1"/>
      </tp>
      <tp>
        <v>86600</v>
        <stp/>
        <stp>P</stp>
        <stp>0</stp>
        <stp>STK</stp>
        <stp>N000500</stp>
        <stp>고가</stp>
        <stp/>
        <stp/>
        <tr r="Q252" s="1"/>
      </tp>
      <tp>
        <v>9230</v>
        <stp/>
        <stp>P</stp>
        <stp>0</stp>
        <stp>STK</stp>
        <stp>N009900</stp>
        <stp>고가</stp>
        <stp/>
        <stp/>
        <tr r="Q467" s="1"/>
      </tp>
      <tp>
        <v>25550</v>
        <stp/>
        <stp>P</stp>
        <stp>0</stp>
        <stp>STK</stp>
        <stp>N308430</stp>
        <stp>고가</stp>
        <stp/>
        <stp/>
        <tr r="Q625" s="1"/>
      </tp>
      <tp>
        <v>37150</v>
        <stp/>
        <stp>P</stp>
        <stp>0</stp>
        <stp>STK</stp>
        <stp>N213420</stp>
        <stp>저가</stp>
        <stp/>
        <stp/>
        <tr r="R338" s="1"/>
      </tp>
      <tp>
        <v>39900</v>
        <stp/>
        <stp>P</stp>
        <stp>0</stp>
        <stp>STK</stp>
        <stp>N112610</stp>
        <stp>저가</stp>
        <stp/>
        <stp/>
        <tr r="R240" s="1"/>
      </tp>
      <tp>
        <v>19770</v>
        <stp/>
        <stp>P</stp>
        <stp>0</stp>
        <stp>STK</stp>
        <stp>N011200</stp>
        <stp>저가</stp>
        <stp/>
        <stp/>
        <tr r="R46" s="1"/>
      </tp>
      <tp>
        <v>24400</v>
        <stp/>
        <stp>P</stp>
        <stp>0</stp>
        <stp>STK</stp>
        <stp>N011500</stp>
        <stp>저가</stp>
        <stp/>
        <stp/>
        <tr r="R634" s="1"/>
      </tp>
      <tp>
        <v>92600</v>
        <stp/>
        <stp>P</stp>
        <stp>0</stp>
        <stp>STK</stp>
        <stp>N017800</stp>
        <stp>저가</stp>
        <stp/>
        <stp/>
        <tr r="R140" s="1"/>
      </tp>
      <tp>
        <v>18810</v>
        <stp/>
        <stp>P</stp>
        <stp>0</stp>
        <stp>STK</stp>
        <stp>N317330</stp>
        <stp>저가</stp>
        <stp/>
        <stp/>
        <tr r="R577" s="1"/>
      </tp>
      <tp>
        <v>42150</v>
        <stp/>
        <stp>P</stp>
        <stp>0</stp>
        <stp>STK</stp>
        <stp>N016800</stp>
        <stp>저가</stp>
        <stp/>
        <stp/>
        <tr r="R478" s="1"/>
      </tp>
      <tp>
        <v>13240</v>
        <stp/>
        <stp>P</stp>
        <stp>0</stp>
        <stp>STK</stp>
        <stp>N314930</stp>
        <stp>저가</stp>
        <stp/>
        <stp/>
        <tr r="R576" s="1"/>
      </tp>
      <tp>
        <v>13740</v>
        <stp/>
        <stp>P</stp>
        <stp>0</stp>
        <stp>STK</stp>
        <stp>N114810</stp>
        <stp>저가</stp>
        <stp/>
        <stp/>
        <tr r="R606" s="1"/>
      </tp>
      <tp>
        <v>18760</v>
        <stp/>
        <stp>P</stp>
        <stp>0</stp>
        <stp>STK</stp>
        <stp>N214320</stp>
        <stp>저가</stp>
        <stp/>
        <stp/>
        <tr r="R378" s="1"/>
      </tp>
      <tp>
        <v>25400</v>
        <stp/>
        <stp>P</stp>
        <stp>0</stp>
        <stp>STK</stp>
        <stp>N011500</stp>
        <stp>시가</stp>
        <stp/>
        <stp/>
        <tr r="P634" s="1"/>
      </tp>
      <tp>
        <v>20000</v>
        <stp/>
        <stp>P</stp>
        <stp>0</stp>
        <stp>STK</stp>
        <stp>N011200</stp>
        <stp>시가</stp>
        <stp/>
        <stp/>
        <tr r="P46" s="1"/>
      </tp>
      <tp>
        <v>38600</v>
        <stp/>
        <stp>P</stp>
        <stp>0</stp>
        <stp>STK</stp>
        <stp>N213420</stp>
        <stp>시가</stp>
        <stp/>
        <stp/>
        <tr r="P338" s="1"/>
      </tp>
      <tp>
        <v>40700</v>
        <stp/>
        <stp>P</stp>
        <stp>0</stp>
        <stp>STK</stp>
        <stp>N112610</stp>
        <stp>시가</stp>
        <stp/>
        <stp/>
        <tr r="P240" s="1"/>
      </tp>
      <tp>
        <v>18940</v>
        <stp/>
        <stp>P</stp>
        <stp>0</stp>
        <stp>STK</stp>
        <stp>N214320</stp>
        <stp>시가</stp>
        <stp/>
        <stp/>
        <tr r="P378" s="1"/>
      </tp>
      <tp>
        <v>13490</v>
        <stp/>
        <stp>P</stp>
        <stp>0</stp>
        <stp>STK</stp>
        <stp>N314930</stp>
        <stp>시가</stp>
        <stp/>
        <stp/>
        <tr r="P576" s="1"/>
      </tp>
      <tp>
        <v>14270</v>
        <stp/>
        <stp>P</stp>
        <stp>0</stp>
        <stp>STK</stp>
        <stp>N114810</stp>
        <stp>시가</stp>
        <stp/>
        <stp/>
        <tr r="P606" s="1"/>
      </tp>
      <tp>
        <v>19370</v>
        <stp/>
        <stp>P</stp>
        <stp>0</stp>
        <stp>STK</stp>
        <stp>N317330</stp>
        <stp>시가</stp>
        <stp/>
        <stp/>
        <tr r="P577" s="1"/>
      </tp>
      <tp>
        <v>93700</v>
        <stp/>
        <stp>P</stp>
        <stp>0</stp>
        <stp>STK</stp>
        <stp>N017800</stp>
        <stp>시가</stp>
        <stp/>
        <stp/>
        <tr r="P140" s="1"/>
      </tp>
      <tp>
        <v>42150</v>
        <stp/>
        <stp>P</stp>
        <stp>0</stp>
        <stp>STK</stp>
        <stp>N016800</stp>
        <stp>시가</stp>
        <stp/>
        <stp/>
        <tr r="P478" s="1"/>
      </tp>
      <tp>
        <v>96400</v>
        <stp/>
        <stp>P</stp>
        <stp>0</stp>
        <stp>STK</stp>
        <stp>N017800</stp>
        <stp>고가</stp>
        <stp/>
        <stp/>
        <tr r="Q140" s="1"/>
      </tp>
      <tp>
        <v>19680</v>
        <stp/>
        <stp>P</stp>
        <stp>0</stp>
        <stp>STK</stp>
        <stp>N317330</stp>
        <stp>고가</stp>
        <stp/>
        <stp/>
        <tr r="Q577" s="1"/>
      </tp>
      <tp>
        <v>42850</v>
        <stp/>
        <stp>P</stp>
        <stp>0</stp>
        <stp>STK</stp>
        <stp>N016800</stp>
        <stp>고가</stp>
        <stp/>
        <stp/>
        <tr r="Q478" s="1"/>
      </tp>
      <tp>
        <v>13570</v>
        <stp/>
        <stp>P</stp>
        <stp>0</stp>
        <stp>STK</stp>
        <stp>N314930</stp>
        <stp>고가</stp>
        <stp/>
        <stp/>
        <tr r="Q576" s="1"/>
      </tp>
      <tp>
        <v>14830</v>
        <stp/>
        <stp>P</stp>
        <stp>0</stp>
        <stp>STK</stp>
        <stp>N114810</stp>
        <stp>고가</stp>
        <stp/>
        <stp/>
        <tr r="Q606" s="1"/>
      </tp>
      <tp>
        <v>18940</v>
        <stp/>
        <stp>P</stp>
        <stp>0</stp>
        <stp>STK</stp>
        <stp>N214320</stp>
        <stp>고가</stp>
        <stp/>
        <stp/>
        <tr r="Q378" s="1"/>
      </tp>
      <tp>
        <v>38800</v>
        <stp/>
        <stp>P</stp>
        <stp>0</stp>
        <stp>STK</stp>
        <stp>N213420</stp>
        <stp>고가</stp>
        <stp/>
        <stp/>
        <tr r="Q338" s="1"/>
      </tp>
      <tp>
        <v>41150</v>
        <stp/>
        <stp>P</stp>
        <stp>0</stp>
        <stp>STK</stp>
        <stp>N112610</stp>
        <stp>고가</stp>
        <stp/>
        <stp/>
        <tr r="Q240" s="1"/>
      </tp>
      <tp>
        <v>20000</v>
        <stp/>
        <stp>P</stp>
        <stp>0</stp>
        <stp>STK</stp>
        <stp>N011200</stp>
        <stp>고가</stp>
        <stp/>
        <stp/>
        <tr r="Q46" s="1"/>
      </tp>
      <tp>
        <v>26550</v>
        <stp/>
        <stp>P</stp>
        <stp>0</stp>
        <stp>STK</stp>
        <stp>N011500</stp>
        <stp>고가</stp>
        <stp/>
        <stp/>
        <tr r="Q634" s="1"/>
      </tp>
      <tp>
        <v>37700</v>
        <stp/>
        <stp>P</stp>
        <stp>0</stp>
        <stp>STK</stp>
        <stp>N328130</stp>
        <stp>시가</stp>
        <stp/>
        <stp/>
        <tr r="P298" s="1"/>
      </tp>
      <tp>
        <v>56000</v>
        <stp/>
        <stp>P</stp>
        <stp>0</stp>
        <stp>STK</stp>
        <stp>N028300</stp>
        <stp>시가</stp>
        <stp/>
        <stp/>
        <tr r="P96" s="1"/>
      </tp>
      <tp>
        <v>37250</v>
        <stp/>
        <stp>P</stp>
        <stp>0</stp>
        <stp>STK</stp>
        <stp>N022100</stp>
        <stp>저가</stp>
        <stp/>
        <stp/>
        <tr r="R98" s="1"/>
      </tp>
      <tp>
        <v>50800</v>
        <stp/>
        <stp>P</stp>
        <stp>0</stp>
        <stp>STK</stp>
        <stp>N120110</stp>
        <stp>저가</stp>
        <stp/>
        <stp/>
        <tr r="R280" s="1"/>
      </tp>
      <tp>
        <v>17990</v>
        <stp/>
        <stp>P</stp>
        <stp>0</stp>
        <stp>STK</stp>
        <stp>N020000</stp>
        <stp>저가</stp>
        <stp/>
        <stp/>
        <tr r="R587" s="1"/>
      </tp>
      <tp>
        <v>114500</v>
        <stp/>
        <stp>P</stp>
        <stp>0</stp>
        <stp>STK</stp>
        <stp>N326030</stp>
        <stp>저가</stp>
        <stp/>
        <stp/>
        <tr r="R81" s="1"/>
      </tp>
      <tp>
        <v>11300</v>
        <stp/>
        <stp>P</stp>
        <stp>0</stp>
        <stp>STK</stp>
        <stp>N226320</stp>
        <stp>저가</stp>
        <stp/>
        <stp/>
        <tr r="R679" s="1"/>
      </tp>
      <tp>
        <v>10210</v>
        <stp/>
        <stp>P</stp>
        <stp>0</stp>
        <stp>STK</stp>
        <stp>N025900</stp>
        <stp>저가</stp>
        <stp/>
        <stp/>
        <tr r="R530" s="1"/>
      </tp>
      <tp>
        <v>51000</v>
        <stp/>
        <stp>P</stp>
        <stp>0</stp>
        <stp>STK</stp>
        <stp>N120110</stp>
        <stp>시가</stp>
        <stp/>
        <stp/>
        <tr r="P280" s="1"/>
      </tp>
      <tp>
        <v>18400</v>
        <stp/>
        <stp>P</stp>
        <stp>0</stp>
        <stp>STK</stp>
        <stp>N020000</stp>
        <stp>시가</stp>
        <stp/>
        <stp/>
        <tr r="P587" s="1"/>
      </tp>
      <tp>
        <v>37250</v>
        <stp/>
        <stp>P</stp>
        <stp>0</stp>
        <stp>STK</stp>
        <stp>N022100</stp>
        <stp>시가</stp>
        <stp/>
        <stp/>
        <tr r="P98" s="1"/>
      </tp>
      <tp>
        <v>37350</v>
        <stp/>
        <stp>P</stp>
        <stp>0</stp>
        <stp>STK</stp>
        <stp>N328130</stp>
        <stp>저가</stp>
        <stp/>
        <stp/>
        <tr r="R298" s="1"/>
      </tp>
      <tp>
        <v>55000</v>
        <stp/>
        <stp>P</stp>
        <stp>0</stp>
        <stp>STK</stp>
        <stp>N028300</stp>
        <stp>저가</stp>
        <stp/>
        <stp/>
        <tr r="R96" s="1"/>
      </tp>
      <tp>
        <v>10520</v>
        <stp/>
        <stp>P</stp>
        <stp>0</stp>
        <stp>STK</stp>
        <stp>N025900</stp>
        <stp>시가</stp>
        <stp/>
        <stp/>
        <tr r="P530" s="1"/>
      </tp>
      <tp>
        <v>117100</v>
        <stp/>
        <stp>P</stp>
        <stp>0</stp>
        <stp>STK</stp>
        <stp>N326030</stp>
        <stp>시가</stp>
        <stp/>
        <stp/>
        <tr r="P81" s="1"/>
      </tp>
      <tp>
        <v>11570</v>
        <stp/>
        <stp>P</stp>
        <stp>0</stp>
        <stp>STK</stp>
        <stp>N226320</stp>
        <stp>시가</stp>
        <stp/>
        <stp/>
        <tr r="P679" s="1"/>
      </tp>
      <tp>
        <v>117100</v>
        <stp/>
        <stp>P</stp>
        <stp>0</stp>
        <stp>STK</stp>
        <stp>N326030</stp>
        <stp>고가</stp>
        <stp/>
        <stp/>
        <tr r="Q81" s="1"/>
      </tp>
      <tp>
        <v>11570</v>
        <stp/>
        <stp>P</stp>
        <stp>0</stp>
        <stp>STK</stp>
        <stp>N226320</stp>
        <stp>고가</stp>
        <stp/>
        <stp/>
        <tr r="Q679" s="1"/>
      </tp>
      <tp>
        <v>10520</v>
        <stp/>
        <stp>P</stp>
        <stp>0</stp>
        <stp>STK</stp>
        <stp>N025900</stp>
        <stp>고가</stp>
        <stp/>
        <stp/>
        <tr r="Q530" s="1"/>
      </tp>
      <tp>
        <v>38350</v>
        <stp/>
        <stp>P</stp>
        <stp>0</stp>
        <stp>STK</stp>
        <stp>N022100</stp>
        <stp>고가</stp>
        <stp/>
        <stp/>
        <tr r="Q98" s="1"/>
      </tp>
      <tp>
        <v>52300</v>
        <stp/>
        <stp>P</stp>
        <stp>0</stp>
        <stp>STK</stp>
        <stp>N120110</stp>
        <stp>고가</stp>
        <stp/>
        <stp/>
        <tr r="Q280" s="1"/>
      </tp>
      <tp>
        <v>18680</v>
        <stp/>
        <stp>P</stp>
        <stp>0</stp>
        <stp>STK</stp>
        <stp>N020000</stp>
        <stp>고가</stp>
        <stp/>
        <stp/>
        <tr r="Q587" s="1"/>
      </tp>
      <tp>
        <v>38550</v>
        <stp/>
        <stp>P</stp>
        <stp>0</stp>
        <stp>STK</stp>
        <stp>N328130</stp>
        <stp>고가</stp>
        <stp/>
        <stp/>
        <tr r="Q298" s="1"/>
      </tp>
      <tp>
        <v>57400</v>
        <stp/>
        <stp>P</stp>
        <stp>0</stp>
        <stp>STK</stp>
        <stp>N028300</stp>
        <stp>고가</stp>
        <stp/>
        <stp/>
        <tr r="Q96" s="1"/>
      </tp>
      <tp>
        <v>55600</v>
        <stp/>
        <stp>P</stp>
        <stp>0</stp>
        <stp>STK</stp>
        <stp>N039200</stp>
        <stp>시가</stp>
        <stp/>
        <stp/>
        <tr r="P239" s="1"/>
      </tp>
      <tp>
        <v>45950</v>
        <stp/>
        <stp>P</stp>
        <stp>0</stp>
        <stp>STK</stp>
        <stp>N033100</stp>
        <stp>저가</stp>
        <stp/>
        <stp/>
        <tr r="R406" s="1"/>
      </tp>
      <tp>
        <v>27050</v>
        <stp/>
        <stp>P</stp>
        <stp>0</stp>
        <stp>STK</stp>
        <stp>N033500</stp>
        <stp>저가</stp>
        <stp/>
        <stp/>
        <tr r="R347" s="1"/>
      </tp>
      <tp>
        <v>35150</v>
        <stp/>
        <stp>P</stp>
        <stp>0</stp>
        <stp>STK</stp>
        <stp>N138610</stp>
        <stp>시가</stp>
        <stp/>
        <stp/>
        <tr r="P548" s="1"/>
      </tp>
      <tp>
        <v>17800</v>
        <stp/>
        <stp>P</stp>
        <stp>0</stp>
        <stp>STK</stp>
        <stp>N032500</stp>
        <stp>저가</stp>
        <stp/>
        <stp/>
        <tr r="R416" s="1"/>
      </tp>
      <tp>
        <v>21550</v>
        <stp/>
        <stp>P</stp>
        <stp>0</stp>
        <stp>STK</stp>
        <stp>N030000</stp>
        <stp>저가</stp>
        <stp/>
        <stp/>
        <tr r="R187" s="1"/>
      </tp>
      <tp>
        <v>56300</v>
        <stp/>
        <stp>P</stp>
        <stp>0</stp>
        <stp>STK</stp>
        <stp>N030200</stp>
        <stp>저가</stp>
        <stp/>
        <stp/>
        <tr r="R62" s="1"/>
      </tp>
      <tp>
        <v>8990</v>
        <stp/>
        <stp>P</stp>
        <stp>0</stp>
        <stp>STK</stp>
        <stp>N137310</stp>
        <stp>저가</stp>
        <stp/>
        <stp/>
        <tr r="R315" s="1"/>
      </tp>
      <tp>
        <v>23750</v>
        <stp/>
        <stp>P</stp>
        <stp>0</stp>
        <stp>STK</stp>
        <stp>N036800</stp>
        <stp>저가</stp>
        <stp/>
        <stp/>
        <tr r="R691" s="1"/>
      </tp>
      <tp>
        <v>10910</v>
        <stp/>
        <stp>P</stp>
        <stp>0</stp>
        <stp>STK</stp>
        <stp>N036200</stp>
        <stp>저가</stp>
        <stp/>
        <stp/>
        <tr r="R629" s="1"/>
      </tp>
      <tp>
        <v>70900</v>
        <stp/>
        <stp>P</stp>
        <stp>0</stp>
        <stp>STK</stp>
        <stp>N035900</stp>
        <stp>저가</stp>
        <stp/>
        <stp/>
        <tr r="R188" s="1"/>
      </tp>
      <tp>
        <v>11410</v>
        <stp/>
        <stp>P</stp>
        <stp>0</stp>
        <stp>STK</stp>
        <stp>N035600</stp>
        <stp>저가</stp>
        <stp/>
        <stp/>
        <tr r="R655" s="1"/>
      </tp>
      <tp>
        <v>21950</v>
        <stp/>
        <stp>P</stp>
        <stp>0</stp>
        <stp>STK</stp>
        <stp>N030000</stp>
        <stp>시가</stp>
        <stp/>
        <stp/>
        <tr r="P187" s="1"/>
      </tp>
      <tp>
        <v>57000</v>
        <stp/>
        <stp>P</stp>
        <stp>0</stp>
        <stp>STK</stp>
        <stp>N030200</stp>
        <stp>시가</stp>
        <stp/>
        <stp/>
        <tr r="P62" s="1"/>
      </tp>
      <tp>
        <v>28150</v>
        <stp/>
        <stp>P</stp>
        <stp>0</stp>
        <stp>STK</stp>
        <stp>N033500</stp>
        <stp>시가</stp>
        <stp/>
        <stp/>
        <tr r="P347" s="1"/>
      </tp>
      <tp>
        <v>48500</v>
        <stp/>
        <stp>P</stp>
        <stp>0</stp>
        <stp>STK</stp>
        <stp>N033100</stp>
        <stp>시가</stp>
        <stp/>
        <stp/>
        <tr r="P406" s="1"/>
      </tp>
      <tp>
        <v>52500</v>
        <stp/>
        <stp>P</stp>
        <stp>0</stp>
        <stp>STK</stp>
        <stp>N039200</stp>
        <stp>저가</stp>
        <stp/>
        <stp/>
        <tr r="R239" s="1"/>
      </tp>
      <tp>
        <v>18300</v>
        <stp/>
        <stp>P</stp>
        <stp>0</stp>
        <stp>STK</stp>
        <stp>N032500</stp>
        <stp>시가</stp>
        <stp/>
        <stp/>
        <tr r="P416" s="1"/>
      </tp>
      <tp>
        <v>34050</v>
        <stp/>
        <stp>P</stp>
        <stp>0</stp>
        <stp>STK</stp>
        <stp>N138610</stp>
        <stp>저가</stp>
        <stp/>
        <stp/>
        <tr r="R548" s="1"/>
      </tp>
      <tp>
        <v>11490</v>
        <stp/>
        <stp>P</stp>
        <stp>0</stp>
        <stp>STK</stp>
        <stp>N035600</stp>
        <stp>시가</stp>
        <stp/>
        <stp/>
        <tr r="P655" s="1"/>
      </tp>
      <tp>
        <v>73800</v>
        <stp/>
        <stp>P</stp>
        <stp>0</stp>
        <stp>STK</stp>
        <stp>N035900</stp>
        <stp>시가</stp>
        <stp/>
        <stp/>
        <tr r="P188" s="1"/>
      </tp>
      <tp>
        <v>9300</v>
        <stp/>
        <stp>P</stp>
        <stp>0</stp>
        <stp>STK</stp>
        <stp>N137310</stp>
        <stp>시가</stp>
        <stp/>
        <stp/>
        <tr r="P315" s="1"/>
      </tp>
      <tp>
        <v>11360</v>
        <stp/>
        <stp>P</stp>
        <stp>0</stp>
        <stp>STK</stp>
        <stp>N036200</stp>
        <stp>시가</stp>
        <stp/>
        <stp/>
        <tr r="P629" s="1"/>
      </tp>
      <tp>
        <v>23750</v>
        <stp/>
        <stp>P</stp>
        <stp>0</stp>
        <stp>STK</stp>
        <stp>N036800</stp>
        <stp>시가</stp>
        <stp/>
        <stp/>
        <tr r="P691" s="1"/>
      </tp>
      <tp>
        <v>9300</v>
        <stp/>
        <stp>P</stp>
        <stp>0</stp>
        <stp>STK</stp>
        <stp>N137310</stp>
        <stp>고가</stp>
        <stp/>
        <stp/>
        <tr r="Q315" s="1"/>
      </tp>
      <tp>
        <v>24350</v>
        <stp/>
        <stp>P</stp>
        <stp>0</stp>
        <stp>STK</stp>
        <stp>N036800</stp>
        <stp>고가</stp>
        <stp/>
        <stp/>
        <tr r="Q691" s="1"/>
      </tp>
      <tp>
        <v>11720</v>
        <stp/>
        <stp>P</stp>
        <stp>0</stp>
        <stp>STK</stp>
        <stp>N036200</stp>
        <stp>고가</stp>
        <stp/>
        <stp/>
        <tr r="Q629" s="1"/>
      </tp>
      <tp>
        <v>73800</v>
        <stp/>
        <stp>P</stp>
        <stp>0</stp>
        <stp>STK</stp>
        <stp>N035900</stp>
        <stp>고가</stp>
        <stp/>
        <stp/>
        <tr r="Q188" s="1"/>
      </tp>
      <tp>
        <v>11800</v>
        <stp/>
        <stp>P</stp>
        <stp>0</stp>
        <stp>STK</stp>
        <stp>N035600</stp>
        <stp>고가</stp>
        <stp/>
        <stp/>
        <tr r="Q655" s="1"/>
      </tp>
      <tp>
        <v>48850</v>
        <stp/>
        <stp>P</stp>
        <stp>0</stp>
        <stp>STK</stp>
        <stp>N033100</stp>
        <stp>고가</stp>
        <stp/>
        <stp/>
        <tr r="Q406" s="1"/>
      </tp>
      <tp>
        <v>28350</v>
        <stp/>
        <stp>P</stp>
        <stp>0</stp>
        <stp>STK</stp>
        <stp>N033500</stp>
        <stp>고가</stp>
        <stp/>
        <stp/>
        <tr r="Q347" s="1"/>
      </tp>
      <tp>
        <v>18740</v>
        <stp/>
        <stp>P</stp>
        <stp>0</stp>
        <stp>STK</stp>
        <stp>N032500</stp>
        <stp>고가</stp>
        <stp/>
        <stp/>
        <tr r="Q416" s="1"/>
      </tp>
      <tp>
        <v>22000</v>
        <stp/>
        <stp>P</stp>
        <stp>0</stp>
        <stp>STK</stp>
        <stp>N030000</stp>
        <stp>고가</stp>
        <stp/>
        <stp/>
        <tr r="Q187" s="1"/>
      </tp>
      <tp>
        <v>57000</v>
        <stp/>
        <stp>P</stp>
        <stp>0</stp>
        <stp>STK</stp>
        <stp>N030200</stp>
        <stp>고가</stp>
        <stp/>
        <stp/>
        <tr r="Q62" s="1"/>
      </tp>
      <tp>
        <v>55600</v>
        <stp/>
        <stp>P</stp>
        <stp>0</stp>
        <stp>STK</stp>
        <stp>N039200</stp>
        <stp>고가</stp>
        <stp/>
        <stp/>
        <tr r="Q239" s="1"/>
      </tp>
      <tp>
        <v>36150</v>
        <stp/>
        <stp>P</stp>
        <stp>0</stp>
        <stp>STK</stp>
        <stp>N138610</stp>
        <stp>고가</stp>
        <stp/>
        <stp/>
        <tr r="Q548" s="1"/>
      </tp>
      <tp>
        <v>36900</v>
        <stp/>
        <stp>P</stp>
        <stp>0</stp>
        <stp>STK</stp>
        <stp>N249420</stp>
        <stp>시가</stp>
        <stp/>
        <stp/>
        <tr r="P288" s="1"/>
      </tp>
      <tp>
        <v>36250</v>
        <stp/>
        <stp>P</stp>
        <stp>0</stp>
        <stp>STK</stp>
        <stp>N042000</stp>
        <stp>저가</stp>
        <stp/>
        <stp/>
        <tr r="R370" s="1"/>
      </tp>
      <tp>
        <v>197900</v>
        <stp/>
        <stp>P</stp>
        <stp>0</stp>
        <stp>STK</stp>
        <stp>N042700</stp>
        <stp>저가</stp>
        <stp/>
        <stp/>
        <tr r="R54" s="1"/>
      </tp>
      <tp>
        <v>157200</v>
        <stp/>
        <stp>P</stp>
        <stp>0</stp>
        <stp>STK</stp>
        <stp>N140410</stp>
        <stp>저가</stp>
        <stp/>
        <stp/>
        <tr r="R154" s="1"/>
      </tp>
      <tp>
        <v>30200</v>
        <stp/>
        <stp>P</stp>
        <stp>0</stp>
        <stp>STK</stp>
        <stp>N045100</stp>
        <stp>저가</stp>
        <stp/>
        <stp/>
        <tr r="R503" s="1"/>
      </tp>
      <tp>
        <v>25250</v>
        <stp/>
        <stp>P</stp>
        <stp>0</stp>
        <stp>STK</stp>
        <stp>N144510</stp>
        <stp>저가</stp>
        <stp/>
        <stp/>
        <tr r="R578" s="1"/>
      </tp>
      <tp>
        <v>171900</v>
        <stp/>
        <stp>P</stp>
        <stp>0</stp>
        <stp>STK</stp>
        <stp>N140410</stp>
        <stp>시가</stp>
        <stp/>
        <stp/>
        <tr r="P154" s="1"/>
      </tp>
      <tp>
        <v>34850</v>
        <stp/>
        <stp>P</stp>
        <stp>0</stp>
        <stp>STK</stp>
        <stp>N249420</stp>
        <stp>저가</stp>
        <stp/>
        <stp/>
        <tr r="R288" s="1"/>
      </tp>
      <tp>
        <v>207000</v>
        <stp/>
        <stp>P</stp>
        <stp>0</stp>
        <stp>STK</stp>
        <stp>N042700</stp>
        <stp>시가</stp>
        <stp/>
        <stp/>
        <tr r="P54" s="1"/>
      </tp>
      <tp>
        <v>37750</v>
        <stp/>
        <stp>P</stp>
        <stp>0</stp>
        <stp>STK</stp>
        <stp>N042000</stp>
        <stp>시가</stp>
        <stp/>
        <stp/>
        <tr r="P370" s="1"/>
      </tp>
      <tp>
        <v>30500</v>
        <stp/>
        <stp>P</stp>
        <stp>0</stp>
        <stp>STK</stp>
        <stp>N045100</stp>
        <stp>시가</stp>
        <stp/>
        <stp/>
        <tr r="P503" s="1"/>
      </tp>
      <tp>
        <v>26450</v>
        <stp/>
        <stp>P</stp>
        <stp>0</stp>
        <stp>STK</stp>
        <stp>N144510</stp>
        <stp>시가</stp>
        <stp/>
        <stp/>
        <tr r="P578" s="1"/>
      </tp>
      <tp>
        <v>31350</v>
        <stp/>
        <stp>P</stp>
        <stp>0</stp>
        <stp>STK</stp>
        <stp>N045100</stp>
        <stp>고가</stp>
        <stp/>
        <stp/>
        <tr r="Q503" s="1"/>
      </tp>
      <tp>
        <v>26500</v>
        <stp/>
        <stp>P</stp>
        <stp>0</stp>
        <stp>STK</stp>
        <stp>N144510</stp>
        <stp>고가</stp>
        <stp/>
        <stp/>
        <tr r="Q578" s="1"/>
      </tp>
      <tp>
        <v>37950</v>
        <stp/>
        <stp>P</stp>
        <stp>0</stp>
        <stp>STK</stp>
        <stp>N042000</stp>
        <stp>고가</stp>
        <stp/>
        <stp/>
        <tr r="Q370" s="1"/>
      </tp>
      <tp>
        <v>209000</v>
        <stp/>
        <stp>P</stp>
        <stp>0</stp>
        <stp>STK</stp>
        <stp>N042700</stp>
        <stp>고가</stp>
        <stp/>
        <stp/>
        <tr r="Q54" s="1"/>
      </tp>
      <tp>
        <v>171900</v>
        <stp/>
        <stp>P</stp>
        <stp>0</stp>
        <stp>STK</stp>
        <stp>N140410</stp>
        <stp>고가</stp>
        <stp/>
        <stp/>
        <tr r="Q154" s="1"/>
      </tp>
      <tp>
        <v>37650</v>
        <stp/>
        <stp>P</stp>
        <stp>0</stp>
        <stp>STK</stp>
        <stp>N249420</stp>
        <stp>고가</stp>
        <stp/>
        <stp/>
        <tr r="Q288" s="1"/>
      </tp>
      <tp>
        <v>64500</v>
        <stp/>
        <stp>P</stp>
        <stp>0</stp>
        <stp>STK</stp>
        <stp>N053800</stp>
        <stp>저가</stp>
        <stp/>
        <stp/>
        <tr r="R404" s="1"/>
      </tp>
      <tp>
        <v>15140</v>
        <stp/>
        <stp>P</stp>
        <stp>0</stp>
        <stp>STK</stp>
        <stp>N453340</stp>
        <stp>저가</stp>
        <stp/>
        <stp/>
        <tr r="R483" s="1"/>
      </tp>
      <tp>
        <v>57800</v>
        <stp/>
        <stp>P</stp>
        <stp>0</stp>
        <stp>STK</stp>
        <stp>N052400</stp>
        <stp>저가</stp>
        <stp/>
        <stp/>
        <tr r="R421" s="1"/>
      </tp>
      <tp>
        <v>258500</v>
        <stp/>
        <stp>P</stp>
        <stp>0</stp>
        <stp>STK</stp>
        <stp>N051900</stp>
        <stp>저가</stp>
        <stp/>
        <stp/>
        <tr r="R127" s="1"/>
      </tp>
      <tp>
        <v>27700</v>
        <stp/>
        <stp>P</stp>
        <stp>0</stp>
        <stp>STK</stp>
        <stp>N051500</stp>
        <stp>저가</stp>
        <stp/>
        <stp/>
        <tr r="R608" s="1"/>
      </tp>
      <tp>
        <v>54800</v>
        <stp/>
        <stp>P</stp>
        <stp>0</stp>
        <stp>STK</stp>
        <stp>N051600</stp>
        <stp>저가</stp>
        <stp/>
        <stp/>
        <tr r="R169" s="1"/>
      </tp>
      <tp>
        <v>51100</v>
        <stp/>
        <stp>P</stp>
        <stp>0</stp>
        <stp>STK</stp>
        <stp>N257720</stp>
        <stp>저가</stp>
        <stp/>
        <stp/>
        <tr r="R159" s="1"/>
      </tp>
      <tp>
        <v>69200</v>
        <stp/>
        <stp>P</stp>
        <stp>0</stp>
        <stp>STK</stp>
        <stp>N456040</stp>
        <stp>저가</stp>
        <stp/>
        <stp/>
        <tr r="R412" s="1"/>
      </tp>
      <tp>
        <v>27850</v>
        <stp/>
        <stp>P</stp>
        <stp>0</stp>
        <stp>STK</stp>
        <stp>N051500</stp>
        <stp>시가</stp>
        <stp/>
        <stp/>
        <tr r="P608" s="1"/>
      </tp>
      <tp>
        <v>55400</v>
        <stp/>
        <stp>P</stp>
        <stp>0</stp>
        <stp>STK</stp>
        <stp>N051600</stp>
        <stp>시가</stp>
        <stp/>
        <stp/>
        <tr r="P169" s="1"/>
      </tp>
      <tp>
        <v>262500</v>
        <stp/>
        <stp>P</stp>
        <stp>0</stp>
        <stp>STK</stp>
        <stp>N051900</stp>
        <stp>시가</stp>
        <stp/>
        <stp/>
        <tr r="P127" s="1"/>
      </tp>
      <tp>
        <v>15300</v>
        <stp/>
        <stp>P</stp>
        <stp>0</stp>
        <stp>STK</stp>
        <stp>N453340</stp>
        <stp>시가</stp>
        <stp/>
        <stp/>
        <tr r="P483" s="1"/>
      </tp>
      <tp>
        <v>66300</v>
        <stp/>
        <stp>P</stp>
        <stp>0</stp>
        <stp>STK</stp>
        <stp>N053800</stp>
        <stp>시가</stp>
        <stp/>
        <stp/>
        <tr r="P404" s="1"/>
      </tp>
      <tp>
        <v>60700</v>
        <stp/>
        <stp>P</stp>
        <stp>0</stp>
        <stp>STK</stp>
        <stp>N052400</stp>
        <stp>시가</stp>
        <stp/>
        <stp/>
        <tr r="P421" s="1"/>
      </tp>
      <tp>
        <v>51900</v>
        <stp/>
        <stp>P</stp>
        <stp>0</stp>
        <stp>STK</stp>
        <stp>N257720</stp>
        <stp>시가</stp>
        <stp/>
        <stp/>
        <tr r="P159" s="1"/>
      </tp>
      <tp>
        <v>71200</v>
        <stp/>
        <stp>P</stp>
        <stp>0</stp>
        <stp>STK</stp>
        <stp>N456040</stp>
        <stp>시가</stp>
        <stp/>
        <stp/>
        <tr r="P412" s="1"/>
      </tp>
      <tp>
        <v>53700</v>
        <stp/>
        <stp>P</stp>
        <stp>0</stp>
        <stp>STK</stp>
        <stp>N257720</stp>
        <stp>고가</stp>
        <stp/>
        <stp/>
        <tr r="Q159" s="1"/>
      </tp>
      <tp>
        <v>71200</v>
        <stp/>
        <stp>P</stp>
        <stp>0</stp>
        <stp>STK</stp>
        <stp>N456040</stp>
        <stp>고가</stp>
        <stp/>
        <stp/>
        <tr r="Q412" s="1"/>
      </tp>
      <tp>
        <v>66400</v>
        <stp/>
        <stp>P</stp>
        <stp>0</stp>
        <stp>STK</stp>
        <stp>N053800</stp>
        <stp>고가</stp>
        <stp/>
        <stp/>
        <tr r="Q404" s="1"/>
      </tp>
      <tp>
        <v>15300</v>
        <stp/>
        <stp>P</stp>
        <stp>0</stp>
        <stp>STK</stp>
        <stp>N453340</stp>
        <stp>고가</stp>
        <stp/>
        <stp/>
        <tr r="Q483" s="1"/>
      </tp>
      <tp>
        <v>60900</v>
        <stp/>
        <stp>P</stp>
        <stp>0</stp>
        <stp>STK</stp>
        <stp>N052400</stp>
        <stp>고가</stp>
        <stp/>
        <stp/>
        <tr r="Q421" s="1"/>
      </tp>
      <tp>
        <v>263000</v>
        <stp/>
        <stp>P</stp>
        <stp>0</stp>
        <stp>STK</stp>
        <stp>N051900</stp>
        <stp>고가</stp>
        <stp/>
        <stp/>
        <tr r="Q127" s="1"/>
      </tp>
      <tp>
        <v>28150</v>
        <stp/>
        <stp>P</stp>
        <stp>0</stp>
        <stp>STK</stp>
        <stp>N051500</stp>
        <stp>고가</stp>
        <stp/>
        <stp/>
        <tr r="Q608" s="1"/>
      </tp>
      <tp>
        <v>55500</v>
        <stp/>
        <stp>P</stp>
        <stp>0</stp>
        <stp>STK</stp>
        <stp>N051600</stp>
        <stp>고가</stp>
        <stp/>
        <stp/>
        <tr r="Q169" s="1"/>
      </tp>
      <tp>
        <v>20450</v>
        <stp/>
        <stp>P</stp>
        <stp>0</stp>
        <stp>STK</stp>
        <stp>N265520</stp>
        <stp>저가</stp>
        <stp/>
        <stp/>
        <tr r="R642" s="1"/>
      </tp>
      <tp>
        <v>68100</v>
        <stp/>
        <stp>P</stp>
        <stp>0</stp>
        <stp>STK</stp>
        <stp>N064400</stp>
        <stp>저가</stp>
        <stp/>
        <stp/>
        <tr r="R94" s="1"/>
      </tp>
      <tp>
        <v>21500</v>
        <stp/>
        <stp>P</stp>
        <stp>0</stp>
        <stp>STK</stp>
        <stp>N265520</stp>
        <stp>시가</stp>
        <stp/>
        <stp/>
        <tr r="P642" s="1"/>
      </tp>
      <tp>
        <v>69700</v>
        <stp/>
        <stp>P</stp>
        <stp>0</stp>
        <stp>STK</stp>
        <stp>N064400</stp>
        <stp>시가</stp>
        <stp/>
        <stp/>
        <tr r="P94" s="1"/>
      </tp>
      <tp>
        <v>21500</v>
        <stp/>
        <stp>P</stp>
        <stp>0</stp>
        <stp>STK</stp>
        <stp>N265520</stp>
        <stp>고가</stp>
        <stp/>
        <stp/>
        <tr r="Q642" s="1"/>
      </tp>
      <tp>
        <v>69800</v>
        <stp/>
        <stp>P</stp>
        <stp>0</stp>
        <stp>STK</stp>
        <stp>N064400</stp>
        <stp>고가</stp>
        <stp/>
        <stp/>
        <tr r="Q94" s="1"/>
      </tp>
      <tp>
        <v>51000</v>
        <stp/>
        <stp>P</stp>
        <stp>0</stp>
        <stp>STK</stp>
        <stp>N079900</stp>
        <stp>시가</stp>
        <stp/>
        <stp/>
        <tr r="P385" s="1"/>
      </tp>
      <tp>
        <v>74500</v>
        <stp/>
        <stp>P</stp>
        <stp>0</stp>
        <stp>STK</stp>
        <stp>N078600</stp>
        <stp>시가</stp>
        <stp/>
        <stp/>
        <tr r="P320" s="1"/>
      </tp>
      <tp>
        <v>57900</v>
        <stp/>
        <stp>P</stp>
        <stp>0</stp>
        <stp>STK</stp>
        <stp>N478340</stp>
        <stp>시가</stp>
        <stp/>
        <stp/>
        <tr r="P425" s="1"/>
      </tp>
      <tp>
        <v>27050</v>
        <stp/>
        <stp>P</stp>
        <stp>0</stp>
        <stp>STK</stp>
        <stp>N074600</stp>
        <stp>저가</stp>
        <stp/>
        <stp/>
        <tr r="R408" s="1"/>
      </tp>
      <tp>
        <v>49550</v>
        <stp/>
        <stp>P</stp>
        <stp>0</stp>
        <stp>STK</stp>
        <stp>N079900</stp>
        <stp>저가</stp>
        <stp/>
        <stp/>
        <tr r="R385" s="1"/>
      </tp>
      <tp>
        <v>57900</v>
        <stp/>
        <stp>P</stp>
        <stp>0</stp>
        <stp>STK</stp>
        <stp>N478340</stp>
        <stp>저가</stp>
        <stp/>
        <stp/>
        <tr r="R425" s="1"/>
      </tp>
      <tp>
        <v>72400</v>
        <stp/>
        <stp>P</stp>
        <stp>0</stp>
        <stp>STK</stp>
        <stp>N078600</stp>
        <stp>저가</stp>
        <stp/>
        <stp/>
        <tr r="R320" s="1"/>
      </tp>
      <tp>
        <v>28500</v>
        <stp/>
        <stp>P</stp>
        <stp>0</stp>
        <stp>STK</stp>
        <stp>N074600</stp>
        <stp>시가</stp>
        <stp/>
        <stp/>
        <tr r="P408" s="1"/>
      </tp>
      <tp>
        <v>28500</v>
        <stp/>
        <stp>P</stp>
        <stp>0</stp>
        <stp>STK</stp>
        <stp>N074600</stp>
        <stp>고가</stp>
        <stp/>
        <stp/>
        <tr r="Q408" s="1"/>
      </tp>
      <tp>
        <v>51500</v>
        <stp/>
        <stp>P</stp>
        <stp>0</stp>
        <stp>STK</stp>
        <stp>N079900</stp>
        <stp>고가</stp>
        <stp/>
        <stp/>
        <tr r="Q385" s="1"/>
      </tp>
      <tp>
        <v>61800</v>
        <stp/>
        <stp>P</stp>
        <stp>0</stp>
        <stp>STK</stp>
        <stp>N478340</stp>
        <stp>고가</stp>
        <stp/>
        <stp/>
        <tr r="Q425" s="1"/>
      </tp>
      <tp>
        <v>77400</v>
        <stp/>
        <stp>P</stp>
        <stp>0</stp>
        <stp>STK</stp>
        <stp>N078600</stp>
        <stp>고가</stp>
        <stp/>
        <stp/>
        <tr r="Q320" s="1"/>
      </tp>
      <tp>
        <v>9120</v>
        <stp/>
        <stp>P</stp>
        <stp>0</stp>
        <stp>STK</stp>
        <stp>009900</stp>
        <stp>현재가</stp>
        <stp/>
        <stp/>
        <tr r="U467" s="1"/>
      </tp>
      <tp>
        <v>203500</v>
        <stp/>
        <stp>P</stp>
        <stp>0</stp>
        <stp>STK</stp>
        <stp>009970</stp>
        <stp>현재가</stp>
        <stp/>
        <stp/>
        <tr r="U176" s="1"/>
      </tp>
      <tp>
        <v>27350</v>
        <stp/>
        <stp>P</stp>
        <stp>0</stp>
        <stp>STK</stp>
        <stp>009830</stp>
        <stp>현재가</stp>
        <stp/>
        <stp/>
        <tr r="U116" s="1"/>
      </tp>
      <tp>
        <v>45950</v>
        <stp/>
        <stp>P</stp>
        <stp>0</stp>
        <stp>STK</stp>
        <stp>009240</stp>
        <stp>현재가</stp>
        <stp/>
        <stp/>
        <tr r="U304" s="1"/>
      </tp>
      <tp>
        <v>289500</v>
        <stp/>
        <stp>P</stp>
        <stp>0</stp>
        <stp>STK</stp>
        <stp>009150</stp>
        <stp>현재가</stp>
        <stp/>
        <stp/>
        <tr r="U42" s="1"/>
      </tp>
      <tp>
        <v>36950</v>
        <stp/>
        <stp>P</stp>
        <stp>0</stp>
        <stp>STK</stp>
        <stp>309710</stp>
        <stp>현재가</stp>
        <stp/>
        <stp/>
        <tr r="U517" s="1"/>
      </tp>
      <tp>
        <v>10300</v>
        <stp/>
        <stp>P</stp>
        <stp>0</stp>
        <stp>STK</stp>
        <stp>009680</stp>
        <stp>현재가</stp>
        <stp/>
        <stp/>
        <tr r="U635" s="1"/>
      </tp>
      <tp>
        <v>20100</v>
        <stp/>
        <stp>P</stp>
        <stp>0</stp>
        <stp>STK</stp>
        <stp>009520</stp>
        <stp>현재가</stp>
        <stp/>
        <stp/>
        <tr r="U366" s="1"/>
      </tp>
      <tp>
        <v>410500</v>
        <stp/>
        <stp>P</stp>
        <stp>0</stp>
        <stp>STK</stp>
        <stp>009540</stp>
        <stp>현재가</stp>
        <stp/>
        <stp/>
        <tr r="U30" s="1"/>
      </tp>
      <tp>
        <v>51500</v>
        <stp/>
        <stp>P</stp>
        <stp>0</stp>
        <stp>STK</stp>
        <stp>009420</stp>
        <stp>현재가</stp>
        <stp/>
        <stp/>
        <tr r="U190" s="1"/>
      </tp>
      <tp>
        <v>57200</v>
        <stp/>
        <stp>P</stp>
        <stp>0</stp>
        <stp>STK</stp>
        <stp>009450</stp>
        <stp>현재가</stp>
        <stp/>
        <stp/>
        <tr r="U351" s="1"/>
      </tp>
      <tp>
        <v>40950</v>
        <stp/>
        <stp>P</stp>
        <stp>0</stp>
        <stp>STK</stp>
        <stp>008930</stp>
        <stp>현재가</stp>
        <stp/>
        <stp/>
        <tr r="U168" s="1"/>
      </tp>
      <tp>
        <v>13050</v>
        <stp/>
        <stp>P</stp>
        <stp>0</stp>
        <stp>STK</stp>
        <stp>108860</stp>
        <stp>현재가</stp>
        <stp/>
        <stp/>
        <tr r="U603" s="1"/>
      </tp>
      <tp>
        <v>28650</v>
        <stp/>
        <stp>P</stp>
        <stp>0</stp>
        <stp>STK</stp>
        <stp>108380</stp>
        <stp>현재가</stp>
        <stp/>
        <stp/>
        <tr r="U672" s="1"/>
      </tp>
      <tp>
        <v>54600</v>
        <stp/>
        <stp>P</stp>
        <stp>0</stp>
        <stp>STK</stp>
        <stp>108320</stp>
        <stp>현재가</stp>
        <stp/>
        <stp/>
        <tr r="U348" s="1"/>
      </tp>
      <tp>
        <v>11090</v>
        <stp/>
        <stp>P</stp>
        <stp>0</stp>
        <stp>STK</stp>
        <stp>008060</stp>
        <stp>현재가</stp>
        <stp/>
        <stp/>
        <tr r="U588" s="1"/>
      </tp>
      <tp>
        <v>27200</v>
        <stp/>
        <stp>P</stp>
        <stp>0</stp>
        <stp>STK</stp>
        <stp>008730</stp>
        <stp>현재가</stp>
        <stp/>
        <stp/>
        <tr r="U400" s="1"/>
      </tp>
      <tp>
        <v>47250</v>
        <stp/>
        <stp>P</stp>
        <stp>0</stp>
        <stp>STK</stp>
        <stp>008770</stp>
        <stp>현재가</stp>
        <stp/>
        <stp/>
        <tr r="U229" s="1"/>
      </tp>
      <tp>
        <v>28800</v>
        <stp/>
        <stp>P</stp>
        <stp>0</stp>
        <stp>STK</stp>
        <stp>108670</stp>
        <stp>현재가</stp>
        <stp/>
        <stp/>
        <tr r="U668" s="1"/>
      </tp>
      <tp>
        <v>21150</v>
        <stp/>
        <stp>P</stp>
        <stp>0</stp>
        <stp>STK</stp>
        <stp>008490</stp>
        <stp>현재가</stp>
        <stp/>
        <stp/>
        <tr r="U689" s="1"/>
      </tp>
      <tp>
        <v>347000</v>
        <stp/>
        <stp>P</stp>
        <stp>0</stp>
        <stp>STK</stp>
        <stp>108490</stp>
        <stp>현재가</stp>
        <stp/>
        <stp/>
        <tr r="U135" s="1"/>
      </tp>
      <tp>
        <v>24650</v>
        <stp/>
        <stp>P</stp>
        <stp>0</stp>
        <stp>STK</stp>
        <stp>308430</stp>
        <stp>현재가</stp>
        <stp/>
        <stp/>
        <tr r="U625" s="1"/>
      </tp>
      <tp>
        <v>157600</v>
        <stp/>
        <stp>P</stp>
        <stp>0</stp>
        <stp>STK</stp>
        <stp>005930</stp>
        <stp>현재가</stp>
        <stp/>
        <stp/>
        <tr r="U9" s="1"/>
      </tp>
      <tp>
        <v>26500</v>
        <stp/>
        <stp>P</stp>
        <stp>0</stp>
        <stp>STK</stp>
        <stp>005940</stp>
        <stp>현재가</stp>
        <stp/>
        <stp/>
        <tr r="U88" s="1"/>
      </tp>
      <tp>
        <v>144200</v>
        <stp/>
        <stp>P</stp>
        <stp>0</stp>
        <stp>STK</stp>
        <stp>005830</stp>
        <stp>현재가</stp>
        <stp/>
        <stp/>
        <tr r="U78" s="1"/>
      </tp>
      <tp>
        <v>40150</v>
        <stp/>
        <stp>P</stp>
        <stp>0</stp>
        <stp>STK</stp>
        <stp>005810</stp>
        <stp>현재가</stp>
        <stp/>
        <stp/>
        <tr r="U449" s="1"/>
      </tp>
      <tp>
        <v>54500</v>
        <stp/>
        <stp>P</stp>
        <stp>0</stp>
        <stp>STK</stp>
        <stp>005850</stp>
        <stp>현재가</stp>
        <stp/>
        <stp/>
        <tr r="U147" s="1"/>
      </tp>
      <tp>
        <v>25300</v>
        <stp/>
        <stp>P</stp>
        <stp>0</stp>
        <stp>STK</stp>
        <stp>105840</stp>
        <stp>현재가</stp>
        <stp/>
        <stp/>
        <tr r="U454" s="1"/>
      </tp>
      <tp>
        <v>495500</v>
        <stp/>
        <stp>P</stp>
        <stp>0</stp>
        <stp>STK</stp>
        <stp>005380</stp>
        <stp>현재가</stp>
        <stp/>
        <stp/>
        <tr r="U11" s="1"/>
      </tp>
      <tp>
        <v>133800</v>
        <stp/>
        <stp>P</stp>
        <stp>0</stp>
        <stp>STK</stp>
        <stp>005300</stp>
        <stp>현재가</stp>
        <stp/>
        <stp/>
        <tr r="U284" s="1"/>
      </tp>
      <tp>
        <v>54000</v>
        <stp/>
        <stp>P</stp>
        <stp>0</stp>
        <stp>STK</stp>
        <stp>005290</stp>
        <stp>현재가</stp>
        <stp/>
        <stp/>
        <tr r="U204" s="1"/>
      </tp>
      <tp>
        <v>15350</v>
        <stp/>
        <stp>P</stp>
        <stp>0</stp>
        <stp>STK</stp>
        <stp>005250</stp>
        <stp>현재가</stp>
        <stp/>
        <stp/>
        <tr r="U392" s="1"/>
      </tp>
      <tp>
        <v>74300</v>
        <stp/>
        <stp>P</stp>
        <stp>0</stp>
        <stp>STK</stp>
        <stp>005180</stp>
        <stp>현재가</stp>
        <stp/>
        <stp/>
        <tr r="U381" s="1"/>
      </tp>
      <tp>
        <v>21800</v>
        <stp/>
        <stp>P</stp>
        <stp>0</stp>
        <stp>STK</stp>
        <stp>005090</stp>
        <stp>현재가</stp>
        <stp/>
        <stp/>
        <tr r="U626" s="1"/>
      </tp>
      <tp>
        <v>52700</v>
        <stp/>
        <stp>P</stp>
        <stp>0</stp>
        <stp>STK</stp>
        <stp>005070</stp>
        <stp>현재가</stp>
        <stp/>
        <stp/>
        <tr r="U255" s="1"/>
      </tp>
      <tp>
        <v>12950</v>
        <stp/>
        <stp>P</stp>
        <stp>0</stp>
        <stp>STK</stp>
        <stp>005710</stp>
        <stp>현재가</stp>
        <stp/>
        <stp/>
        <tr r="U659" s="1"/>
      </tp>
      <tp>
        <v>13780</v>
        <stp/>
        <stp>P</stp>
        <stp>0</stp>
        <stp>STK</stp>
        <stp>005690</stp>
        <stp>현재가</stp>
        <stp/>
        <stp/>
        <tr r="U361" s="1"/>
      </tp>
      <tp>
        <v>14060</v>
        <stp/>
        <stp>P</stp>
        <stp>0</stp>
        <stp>STK</stp>
        <stp>105630</stp>
        <stp>현재가</stp>
        <stp/>
        <stp/>
        <tr r="U444" s="1"/>
      </tp>
      <tp>
        <v>50600</v>
        <stp/>
        <stp>P</stp>
        <stp>0</stp>
        <stp>STK</stp>
        <stp>005610</stp>
        <stp>현재가</stp>
        <stp/>
        <stp/>
        <tr r="U514" s="1"/>
      </tp>
      <tp>
        <v>19130</v>
        <stp/>
        <stp>P</stp>
        <stp>0</stp>
        <stp>STK</stp>
        <stp>005500</stp>
        <stp>현재가</stp>
        <stp/>
        <stp/>
        <tr r="U669" s="1"/>
      </tp>
      <tp>
        <v>137600</v>
        <stp/>
        <stp>P</stp>
        <stp>0</stp>
        <stp>STK</stp>
        <stp>105560</stp>
        <stp>현재가</stp>
        <stp/>
        <stp/>
        <tr r="U19" s="1"/>
      </tp>
      <tp>
        <v>350500</v>
        <stp/>
        <stp>P</stp>
        <stp>0</stp>
        <stp>STK</stp>
        <stp>005490</stp>
        <stp>현재가</stp>
        <stp/>
        <stp/>
        <tr r="U31" s="1"/>
      </tp>
      <tp>
        <v>16920</v>
        <stp/>
        <stp>P</stp>
        <stp>0</stp>
        <stp>STK</stp>
        <stp>005420</stp>
        <stp>현재가</stp>
        <stp/>
        <stp/>
        <tr r="U446" s="1"/>
      </tp>
      <tp>
        <v>9250</v>
        <stp/>
        <stp>P</stp>
        <stp>0</stp>
        <stp>STK</stp>
        <stp>005440</stp>
        <stp>현재가</stp>
        <stp/>
        <stp/>
        <tr r="U268" s="1"/>
      </tp>
      <tp>
        <v>31000</v>
        <stp/>
        <stp>P</stp>
        <stp>0</stp>
        <stp>STK</stp>
        <stp>004990</stp>
        <stp>현재가</stp>
        <stp/>
        <stp/>
        <tr r="U153" s="1"/>
      </tp>
      <tp>
        <v>9720</v>
        <stp/>
        <stp>P</stp>
        <stp>0</stp>
        <stp>STK</stp>
        <stp>004980</stp>
        <stp>현재가</stp>
        <stp/>
        <stp/>
        <tr r="U692" s="1"/>
      </tp>
      <tp>
        <v>39000</v>
        <stp/>
        <stp>P</stp>
        <stp>0</stp>
        <stp>STK</stp>
        <stp>104830</stp>
        <stp>현재가</stp>
        <stp/>
        <stp/>
        <tr r="U507" s="1"/>
      </tp>
      <tp>
        <v>146700</v>
        <stp/>
        <stp>P</stp>
        <stp>0</stp>
        <stp>STK</stp>
        <stp>004800</stp>
        <stp>현재가</stp>
        <stp/>
        <stp/>
        <tr r="U177" s="1"/>
      </tp>
      <tp>
        <v>63000</v>
        <stp/>
        <stp>P</stp>
        <stp>0</stp>
        <stp>STK</stp>
        <stp>204320</stp>
        <stp>현재가</stp>
        <stp/>
        <stp/>
        <tr r="U142" s="1"/>
      </tp>
      <tp>
        <v>404000</v>
        <stp/>
        <stp>P</stp>
        <stp>0</stp>
        <stp>STK</stp>
        <stp>004370</stp>
        <stp>현재가</stp>
        <stp/>
        <stp/>
        <tr r="U182" s="1"/>
      </tp>
      <tp>
        <v>14300</v>
        <stp/>
        <stp>P</stp>
        <stp>0</stp>
        <stp>STK</stp>
        <stp>004360</stp>
        <stp>현재가</stp>
        <stp/>
        <stp/>
        <tr r="U662" s="1"/>
      </tp>
      <tp>
        <v>33250</v>
        <stp/>
        <stp>P</stp>
        <stp>0</stp>
        <stp>STK</stp>
        <stp>304360</stp>
        <stp>현재가</stp>
        <stp/>
        <stp/>
        <tr r="U560" s="1"/>
      </tp>
      <tp>
        <v>23850</v>
        <stp/>
        <stp>P</stp>
        <stp>0</stp>
        <stp>STK</stp>
        <stp>204270</stp>
        <stp>현재가</stp>
        <stp/>
        <stp/>
        <tr r="U297" s="1"/>
      </tp>
      <tp>
        <v>30050</v>
        <stp/>
        <stp>P</stp>
        <stp>0</stp>
        <stp>STK</stp>
        <stp>304100</stp>
        <stp>현재가</stp>
        <stp/>
        <stp/>
        <tr r="U594" s="1"/>
      </tp>
      <tp>
        <v>319500</v>
        <stp/>
        <stp>P</stp>
        <stp>0</stp>
        <stp>STK</stp>
        <stp>004170</stp>
        <stp>현재가</stp>
        <stp/>
        <stp/>
        <tr r="U163" s="1"/>
      </tp>
      <tp>
        <v>30250</v>
        <stp/>
        <stp>P</stp>
        <stp>0</stp>
        <stp>STK</stp>
        <stp>004020</stp>
        <stp>현재가</stp>
        <stp/>
        <stp/>
        <tr r="U125" s="1"/>
      </tp>
      <tp>
        <v>46800</v>
        <stp/>
        <stp>P</stp>
        <stp>0</stp>
        <stp>STK</stp>
        <stp>004000</stp>
        <stp>현재가</stp>
        <stp/>
        <stp/>
        <tr r="U290" s="1"/>
      </tp>
      <tp>
        <v>9330</v>
        <stp/>
        <stp>P</stp>
        <stp>0</stp>
        <stp>STK</stp>
        <stp>104700</stp>
        <stp>현재가</stp>
        <stp/>
        <stp/>
        <tr r="U568" s="1"/>
      </tp>
      <tp>
        <v>76100</v>
        <stp/>
        <stp>P</stp>
        <stp>0</stp>
        <stp>STK</stp>
        <stp>004700</stp>
        <stp>현재가</stp>
        <stp/>
        <stp/>
        <tr r="U500" s="1"/>
      </tp>
      <tp>
        <v>141000</v>
        <stp/>
        <stp>P</stp>
        <stp>0</stp>
        <stp>STK</stp>
        <stp>004690</stp>
        <stp>현재가</stp>
        <stp/>
        <stp/>
        <tr r="U468" s="1"/>
      </tp>
      <tp>
        <v>63200</v>
        <stp/>
        <stp>P</stp>
        <stp>0</stp>
        <stp>STK</stp>
        <stp>004490</stp>
        <stp>현재가</stp>
        <stp/>
        <stp/>
        <tr r="U333" s="1"/>
      </tp>
      <tp>
        <v>1731000</v>
        <stp/>
        <stp>P</stp>
        <stp>0</stp>
        <stp>STK</stp>
        <stp>207940</stp>
        <stp>현재가</stp>
        <stp/>
        <stp/>
        <tr r="U13" s="1"/>
      </tp>
      <tp>
        <v>457000</v>
        <stp/>
        <stp>P</stp>
        <stp>0</stp>
        <stp>STK</stp>
        <stp>307950</stp>
        <stp>현재가</stp>
        <stp/>
        <stp/>
        <tr r="U61" s="1"/>
      </tp>
      <tp>
        <v>69900</v>
        <stp/>
        <stp>P</stp>
        <stp>0</stp>
        <stp>STK</stp>
        <stp>007810</stp>
        <stp>현재가</stp>
        <stp/>
        <stp/>
        <tr r="U253" s="1"/>
      </tp>
      <tp>
        <v>25100</v>
        <stp/>
        <stp>P</stp>
        <stp>0</stp>
        <stp>STK</stp>
        <stp>007390</stp>
        <stp>현재가</stp>
        <stp/>
        <stp/>
        <tr r="U275" s="1"/>
      </tp>
      <tp>
        <v>385500</v>
        <stp/>
        <stp>P</stp>
        <stp>0</stp>
        <stp>STK</stp>
        <stp>007310</stp>
        <stp>현재가</stp>
        <stp/>
        <stp/>
        <tr r="U247" s="1"/>
      </tp>
      <tp>
        <v>24950</v>
        <stp/>
        <stp>P</stp>
        <stp>0</stp>
        <stp>STK</stp>
        <stp>007340</stp>
        <stp>현재가</stp>
        <stp/>
        <stp/>
        <tr r="U254" s="1"/>
      </tp>
      <tp>
        <v>58600</v>
        <stp/>
        <stp>P</stp>
        <stp>0</stp>
        <stp>STK</stp>
        <stp>007160</stp>
        <stp>현재가</stp>
        <stp/>
        <stp/>
        <tr r="U652" s="1"/>
      </tp>
      <tp>
        <v>22300</v>
        <stp/>
        <stp>P</stp>
        <stp>0</stp>
        <stp>STK</stp>
        <stp>007070</stp>
        <stp>현재가</stp>
        <stp/>
        <stp/>
        <tr r="U235" s="1"/>
      </tp>
      <tp>
        <v>20400</v>
        <stp/>
        <stp>P</stp>
        <stp>0</stp>
        <stp>STK</stp>
        <stp>007700</stp>
        <stp>현재가</stp>
        <stp/>
        <stp/>
        <tr r="U365" s="1"/>
      </tp>
      <tp>
        <v>35850</v>
        <stp/>
        <stp>P</stp>
        <stp>0</stp>
        <stp>STK</stp>
        <stp>007690</stp>
        <stp>현재가</stp>
        <stp/>
        <stp/>
        <tr r="U589" s="1"/>
      </tp>
      <tp>
        <v>115200</v>
        <stp/>
        <stp>P</stp>
        <stp>0</stp>
        <stp>STK</stp>
        <stp>007660</stp>
        <stp>현재가</stp>
        <stp/>
        <stp/>
        <tr r="U89" s="1"/>
      </tp>
      <tp>
        <v>50300</v>
        <stp/>
        <stp>P</stp>
        <stp>0</stp>
        <stp>STK</stp>
        <stp>107640</stp>
        <stp>현재가</stp>
        <stp/>
        <stp/>
        <tr r="U527" s="1"/>
      </tp>
      <tp>
        <v>42150</v>
        <stp/>
        <stp>P</stp>
        <stp>0</stp>
        <stp>STK</stp>
        <stp>006800</stp>
        <stp>현재가</stp>
        <stp/>
        <stp/>
        <tr r="U51" s="1"/>
      </tp>
      <tp>
        <v>18620</v>
        <stp/>
        <stp>P</stp>
        <stp>0</stp>
        <stp>STK</stp>
        <stp>006360</stp>
        <stp>현재가</stp>
        <stp/>
        <stp/>
        <tr r="U243" s="1"/>
      </tp>
      <tp>
        <v>162900</v>
        <stp/>
        <stp>P</stp>
        <stp>0</stp>
        <stp>STK</stp>
        <stp>006280</stp>
        <stp>현재가</stp>
        <stp/>
        <stp/>
        <tr r="U232" s="1"/>
      </tp>
      <tp>
        <v>117500</v>
        <stp/>
        <stp>P</stp>
        <stp>0</stp>
        <stp>STK</stp>
        <stp>306200</stp>
        <stp>현재가</stp>
        <stp/>
        <stp/>
        <tr r="U592" s="1"/>
      </tp>
      <tp>
        <v>14210</v>
        <stp/>
        <stp>P</stp>
        <stp>0</stp>
        <stp>STK</stp>
        <stp>006220</stp>
        <stp>현재가</stp>
        <stp/>
        <stp/>
        <tr r="U515" s="1"/>
      </tp>
      <tp>
        <v>214000</v>
        <stp/>
        <stp>P</stp>
        <stp>0</stp>
        <stp>STK</stp>
        <stp>006260</stp>
        <stp>현재가</stp>
        <stp/>
        <stp/>
        <tr r="U92" s="1"/>
      </tp>
      <tp>
        <v>56500</v>
        <stp/>
        <stp>P</stp>
        <stp>0</stp>
        <stp>STK</stp>
        <stp>006120</stp>
        <stp>현재가</stp>
        <stp/>
        <stp/>
        <tr r="U294" s="1"/>
      </tp>
      <tp>
        <v>31900</v>
        <stp/>
        <stp>P</stp>
        <stp>0</stp>
        <stp>STK</stp>
        <stp>006110</stp>
        <stp>현재가</stp>
        <stp/>
        <stp/>
        <tr r="U571" s="1"/>
      </tp>
      <tp>
        <v>41150</v>
        <stp/>
        <stp>P</stp>
        <stp>0</stp>
        <stp>STK</stp>
        <stp>006040</stp>
        <stp>현재가</stp>
        <stp/>
        <stp/>
        <tr r="U230" s="1"/>
      </tp>
      <tp>
        <v>18220</v>
        <stp/>
        <stp>P</stp>
        <stp>0</stp>
        <stp>STK</stp>
        <stp>006730</stp>
        <stp>현재가</stp>
        <stp/>
        <stp/>
        <tr r="U326" s="1"/>
      </tp>
      <tp>
        <v>12680</v>
        <stp/>
        <stp>P</stp>
        <stp>0</stp>
        <stp>STK</stp>
        <stp>206650</stp>
        <stp>현재가</stp>
        <stp/>
        <stp/>
        <tr r="U534" s="1"/>
      </tp>
      <tp>
        <v>12810</v>
        <stp/>
        <stp>P</stp>
        <stp>0</stp>
        <stp>STK</stp>
        <stp>206640</stp>
        <stp>현재가</stp>
        <stp/>
        <stp/>
        <tr r="U632" s="1"/>
      </tp>
      <tp>
        <v>154200</v>
        <stp/>
        <stp>P</stp>
        <stp>0</stp>
        <stp>STK</stp>
        <stp>006650</stp>
        <stp>현재가</stp>
        <stp/>
        <stp/>
        <tr r="U309" s="1"/>
      </tp>
      <tp>
        <v>384000</v>
        <stp/>
        <stp>P</stp>
        <stp>0</stp>
        <stp>STK</stp>
        <stp>006400</stp>
        <stp>현재가</stp>
        <stp/>
        <stp/>
        <tr r="U34" s="1"/>
      </tp>
      <tp>
        <v>42500</v>
        <stp/>
        <stp>P</stp>
        <stp>0</stp>
        <stp>STK</stp>
        <stp>101930</stp>
        <stp>현재가</stp>
        <stp/>
        <stp/>
        <tr r="U525" s="1"/>
      </tp>
      <tp>
        <v>23700</v>
        <stp/>
        <stp>P</stp>
        <stp>0</stp>
        <stp>STK</stp>
        <stp>001940</stp>
        <stp>현재가</stp>
        <stp/>
        <stp/>
        <tr r="U554" s="1"/>
      </tp>
      <tp>
        <v>31550</v>
        <stp/>
        <stp>P</stp>
        <stp>0</stp>
        <stp>STK</stp>
        <stp>001820</stp>
        <stp>현재가</stp>
        <stp/>
        <stp/>
        <tr r="U598" s="1"/>
      </tp>
      <tp>
        <v>20850</v>
        <stp/>
        <stp>P</stp>
        <stp>0</stp>
        <stp>STK</stp>
        <stp>001800</stp>
        <stp>현재가</stp>
        <stp/>
        <stp/>
        <tr r="U270" s="1"/>
      </tp>
      <tp>
        <v>22900</v>
        <stp/>
        <stp>P</stp>
        <stp>0</stp>
        <stp>STK</stp>
        <stp>101360</stp>
        <stp>현재가</stp>
        <stp/>
        <stp/>
        <tr r="U600" s="1"/>
      </tp>
      <tp>
        <v>73200</v>
        <stp/>
        <stp>P</stp>
        <stp>0</stp>
        <stp>STK</stp>
        <stp>001270</stp>
        <stp>현재가</stp>
        <stp/>
        <stp/>
        <tr r="U415" s="1"/>
      </tp>
      <tp>
        <v>143700</v>
        <stp/>
        <stp>P</stp>
        <stp>0</stp>
        <stp>STK</stp>
        <stp>001130</stp>
        <stp>현재가</stp>
        <stp/>
        <stp/>
        <tr r="U683" s="1"/>
      </tp>
      <tp>
        <v>37750</v>
        <stp/>
        <stp>P</stp>
        <stp>0</stp>
        <stp>STK</stp>
        <stp>001120</stp>
        <stp>현재가</stp>
        <stp/>
        <stp/>
        <tr r="U260" s="1"/>
      </tp>
      <tp>
        <v>25300</v>
        <stp/>
        <stp>P</stp>
        <stp>0</stp>
        <stp>STK</stp>
        <stp>101160</stp>
        <stp>현재가</stp>
        <stp/>
        <stp/>
        <tr r="U561" s="1"/>
      </tp>
      <tp>
        <v>30900</v>
        <stp/>
        <stp>P</stp>
        <stp>0</stp>
        <stp>STK</stp>
        <stp>001060</stp>
        <stp>현재가</stp>
        <stp/>
        <stp/>
        <tr r="U410" s="1"/>
      </tp>
      <tp>
        <v>222500</v>
        <stp/>
        <stp>P</stp>
        <stp>0</stp>
        <stp>STK</stp>
        <stp>001040</stp>
        <stp>현재가</stp>
        <stp/>
        <stp/>
        <tr r="U105" s="1"/>
      </tp>
      <tp>
        <v>175400</v>
        <stp/>
        <stp>P</stp>
        <stp>0</stp>
        <stp>STK</stp>
        <stp>001720</stp>
        <stp>현재가</stp>
        <stp/>
        <stp/>
        <tr r="U184" s="1"/>
      </tp>
      <tp>
        <v>7230</v>
        <stp/>
        <stp>P</stp>
        <stp>0</stp>
        <stp>STK</stp>
        <stp>101730</stp>
        <stp>현재가</stp>
        <stp/>
        <stp/>
        <tr r="U475" s="1"/>
      </tp>
      <tp>
        <v>19900</v>
        <stp/>
        <stp>P</stp>
        <stp>0</stp>
        <stp>STK</stp>
        <stp>001750</stp>
        <stp>현재가</stp>
        <stp/>
        <stp/>
        <tr r="U685" s="1"/>
      </tp>
      <tp>
        <v>21600</v>
        <stp/>
        <stp>P</stp>
        <stp>0</stp>
        <stp>STK</stp>
        <stp>001680</stp>
        <stp>현재가</stp>
        <stp/>
        <stp/>
        <tr r="U374" s="1"/>
      </tp>
      <tp>
        <v>49500</v>
        <stp/>
        <stp>P</stp>
        <stp>0</stp>
        <stp>STK</stp>
        <stp>001630</stp>
        <stp>현재가</stp>
        <stp/>
        <stp/>
        <tr r="U684" s="1"/>
      </tp>
      <tp>
        <v>19860</v>
        <stp/>
        <stp>P</stp>
        <stp>0</stp>
        <stp>STK</stp>
        <stp>001530</stp>
        <stp>현재가</stp>
        <stp/>
        <stp/>
        <tr r="U549" s="1"/>
      </tp>
      <tp>
        <v>9270</v>
        <stp/>
        <stp>P</stp>
        <stp>0</stp>
        <stp>STK</stp>
        <stp>001500</stp>
        <stp>현재가</stp>
        <stp/>
        <stp/>
        <tr r="U462" s="1"/>
      </tp>
      <tp>
        <v>88800</v>
        <stp/>
        <stp>P</stp>
        <stp>0</stp>
        <stp>STK</stp>
        <stp>101490</stp>
        <stp>현재가</stp>
        <stp/>
        <stp/>
        <tr r="U257" s="1"/>
      </tp>
      <tp>
        <v>73300</v>
        <stp/>
        <stp>P</stp>
        <stp>0</stp>
        <stp>STK</stp>
        <stp>001430</stp>
        <stp>현재가</stp>
        <stp/>
        <stp/>
        <tr r="U166" s="1"/>
      </tp>
      <tp>
        <v>42050</v>
        <stp/>
        <stp>P</stp>
        <stp>0</stp>
        <stp>STK</stp>
        <stp>001460</stp>
        <stp>현재가</stp>
        <stp/>
        <stp/>
        <tr r="U660" s="1"/>
      </tp>
      <tp>
        <v>28000</v>
        <stp/>
        <stp>P</stp>
        <stp>0</stp>
        <stp>STK</stp>
        <stp>001450</stp>
        <stp>현재가</stp>
        <stp/>
        <stp/>
        <tr r="U183" s="1"/>
      </tp>
      <tp>
        <v>28200</v>
        <stp/>
        <stp>P</stp>
        <stp>0</stp>
        <stp>STK</stp>
        <stp>001440</stp>
        <stp>현재가</stp>
        <stp/>
        <stp/>
        <tr r="U110" s="1"/>
      </tp>
      <tp>
        <v>110800</v>
        <stp/>
        <stp>P</stp>
        <stp>0</stp>
        <stp>STK</stp>
        <stp>000990</stp>
        <stp>현재가</stp>
        <stp/>
        <stp/>
        <tr r="U128" s="1"/>
      </tp>
      <tp>
        <v>52800</v>
        <stp/>
        <stp>P</stp>
        <stp>0</stp>
        <stp>STK</stp>
        <stp>0009K0</stp>
        <stp>현재가</stp>
        <stp/>
        <stp/>
        <tr r="U146" s="1"/>
      </tp>
      <tp>
        <v>15190</v>
        <stp/>
        <stp>P</stp>
        <stp>0</stp>
        <stp>STK</stp>
        <stp>200880</stp>
        <stp>현재가</stp>
        <stp/>
        <stp/>
        <tr r="U506" s="1"/>
      </tp>
      <tp>
        <v>113400</v>
        <stp/>
        <stp>P</stp>
        <stp>0</stp>
        <stp>STK</stp>
        <stp>000880</stp>
        <stp>현재가</stp>
        <stp/>
        <stp/>
        <tr r="U79" s="1"/>
      </tp>
      <tp>
        <v>493500</v>
        <stp/>
        <stp>P</stp>
        <stp>0</stp>
        <stp>STK</stp>
        <stp>000810</stp>
        <stp>현재가</stp>
        <stp/>
        <stp/>
        <tr r="U38" s="1"/>
      </tp>
      <tp>
        <v>42100</v>
        <stp/>
        <stp>P</stp>
        <stp>0</stp>
        <stp>STK</stp>
        <stp>100840</stp>
        <stp>현재가</stp>
        <stp/>
        <stp/>
        <tr r="U350" s="1"/>
      </tp>
      <tp>
        <v>32600</v>
        <stp/>
        <stp>P</stp>
        <stp>0</stp>
        <stp>STK</stp>
        <stp>0008Z0</stp>
        <stp>현재가</stp>
        <stp/>
        <stp/>
        <tr r="U613" s="1"/>
      </tp>
      <tp>
        <v>21000</v>
        <stp/>
        <stp>P</stp>
        <stp>0</stp>
        <stp>STK</stp>
        <stp>000320</stp>
        <stp>현재가</stp>
        <stp/>
        <stp/>
        <tr r="U657" s="1"/>
      </tp>
      <tp>
        <v>42950</v>
        <stp/>
        <stp>P</stp>
        <stp>0</stp>
        <stp>STK</stp>
        <stp>000210</stp>
        <stp>현재가</stp>
        <stp/>
        <stp/>
        <tr r="U368" s="1"/>
      </tp>
      <tp>
        <v>155400</v>
        <stp/>
        <stp>P</stp>
        <stp>0</stp>
        <stp>STK</stp>
        <stp>000270</stp>
        <stp>현재가</stp>
        <stp/>
        <stp/>
        <tr r="U14" s="1"/>
      </tp>
      <tp>
        <v>478000</v>
        <stp/>
        <stp>P</stp>
        <stp>0</stp>
        <stp>STK</stp>
        <stp>000250</stp>
        <stp>현재가</stp>
        <stp/>
        <stp/>
        <tr r="U100" s="1"/>
      </tp>
      <tp>
        <v>26700</v>
        <stp/>
        <stp>P</stp>
        <stp>0</stp>
        <stp>STK</stp>
        <stp>000240</stp>
        <stp>현재가</stp>
        <stp/>
        <stp/>
        <tr r="U174" s="1"/>
      </tp>
      <tp>
        <v>102400</v>
        <stp/>
        <stp>P</stp>
        <stp>0</stp>
        <stp>STK</stp>
        <stp>000120</stp>
        <stp>현재가</stp>
        <stp/>
        <stp/>
        <tr r="U197" s="1"/>
      </tp>
      <tp>
        <v>14450</v>
        <stp/>
        <stp>P</stp>
        <stp>0</stp>
        <stp>STK</stp>
        <stp>200130</stp>
        <stp>현재가</stp>
        <stp/>
        <stp/>
        <tr r="U565" s="1"/>
      </tp>
      <tp>
        <v>106500</v>
        <stp/>
        <stp>P</stp>
        <stp>0</stp>
        <stp>STK</stp>
        <stp>000100</stp>
        <stp>현재가</stp>
        <stp/>
        <stp/>
        <tr r="U87" s="1"/>
      </tp>
      <tp>
        <v>848000</v>
        <stp/>
        <stp>P</stp>
        <stp>0</stp>
        <stp>STK</stp>
        <stp>000150</stp>
        <stp>현재가</stp>
        <stp/>
        <stp/>
        <tr r="U64" s="1"/>
      </tp>
      <tp>
        <v>15750</v>
        <stp/>
        <stp>P</stp>
        <stp>0</stp>
        <stp>STK</stp>
        <stp>300080</stp>
        <stp>현재가</stp>
        <stp/>
        <stp/>
        <tr r="U665" s="1"/>
      </tp>
      <tp>
        <v>17550</v>
        <stp/>
        <stp>P</stp>
        <stp>0</stp>
        <stp>STK</stp>
        <stp>000080</stp>
        <stp>현재가</stp>
        <stp/>
        <stp/>
        <tr r="U277" s="1"/>
      </tp>
      <tp>
        <v>17780</v>
        <stp/>
        <stp>P</stp>
        <stp>0</stp>
        <stp>STK</stp>
        <stp>100090</stp>
        <stp>현재가</stp>
        <stp/>
        <stp/>
        <tr r="U285" s="1"/>
      </tp>
      <tp>
        <v>60300</v>
        <stp/>
        <stp>P</stp>
        <stp>0</stp>
        <stp>STK</stp>
        <stp>000070</stp>
        <stp>현재가</stp>
        <stp/>
        <stp/>
        <tr r="U505" s="1"/>
      </tp>
      <tp>
        <v>17810</v>
        <stp/>
        <stp>P</stp>
        <stp>0</stp>
        <stp>STK</stp>
        <stp>100790</stp>
        <stp>현재가</stp>
        <stp/>
        <stp/>
        <tr r="U393" s="1"/>
      </tp>
      <tp>
        <v>37650</v>
        <stp/>
        <stp>P</stp>
        <stp>0</stp>
        <stp>STK</stp>
        <stp>200710</stp>
        <stp>현재가</stp>
        <stp/>
        <stp/>
        <tr r="U494" s="1"/>
      </tp>
      <tp>
        <v>102700</v>
        <stp/>
        <stp>P</stp>
        <stp>0</stp>
        <stp>STK</stp>
        <stp>000720</stp>
        <stp>현재가</stp>
        <stp/>
        <stp/>
        <tr r="U68" s="1"/>
      </tp>
      <tp>
        <v>16940</v>
        <stp/>
        <stp>P</stp>
        <stp>0</stp>
        <stp>STK</stp>
        <stp>300720</stp>
        <stp>현재가</stp>
        <stp/>
        <stp/>
        <tr r="U282" s="1"/>
      </tp>
      <tp>
        <v>44450</v>
        <stp/>
        <stp>P</stp>
        <stp>0</stp>
        <stp>STK</stp>
        <stp>0007C0</stp>
        <stp>현재가</stp>
        <stp/>
        <stp/>
        <tr r="U688" s="1"/>
      </tp>
      <tp>
        <v>59700</v>
        <stp/>
        <stp>P</stp>
        <stp>0</stp>
        <stp>STK</stp>
        <stp>000670</stp>
        <stp>현재가</stp>
        <stp/>
        <stp/>
        <tr r="U324" s="1"/>
      </tp>
      <tp>
        <v>879000</v>
        <stp/>
        <stp>P</stp>
        <stp>0</stp>
        <stp>STK</stp>
        <stp>000660</stp>
        <stp>현재가</stp>
        <stp/>
        <stp/>
        <tr r="U10" s="1"/>
      </tp>
      <tp>
        <v>42900</v>
        <stp/>
        <stp>P</stp>
        <stp>0</stp>
        <stp>STK</stp>
        <stp>200670</stp>
        <stp>현재가</stp>
        <stp/>
        <stp/>
        <tr r="U510" s="1"/>
      </tp>
      <tp>
        <v>107400</v>
        <stp/>
        <stp>P</stp>
        <stp>0</stp>
        <stp>STK</stp>
        <stp>000640</stp>
        <stp>현재가</stp>
        <stp/>
        <stp/>
        <tr r="U397" s="1"/>
      </tp>
      <tp>
        <v>84400</v>
        <stp/>
        <stp>P</stp>
        <stp>0</stp>
        <stp>STK</stp>
        <stp>000500</stp>
        <stp>현재가</stp>
        <stp/>
        <stp/>
        <tr r="U252" s="1"/>
      </tp>
      <tp>
        <v>9810</v>
        <stp/>
        <stp>P</stp>
        <stp>0</stp>
        <stp>STK</stp>
        <stp>000490</stp>
        <stp>현재가</stp>
        <stp/>
        <stp/>
        <tr r="U631" s="1"/>
      </tp>
      <tp>
        <v>47100</v>
        <stp/>
        <stp>P</stp>
        <stp>0</stp>
        <stp>STK</stp>
        <stp>003920</stp>
        <stp>현재가</stp>
        <stp/>
        <stp/>
        <tr r="U620" s="1"/>
      </tp>
      <tp>
        <v>35900</v>
        <stp/>
        <stp>P</stp>
        <stp>0</stp>
        <stp>STK</stp>
        <stp>003960</stp>
        <stp>현재가</stp>
        <stp/>
        <stp/>
        <tr r="U601" s="1"/>
      </tp>
      <tp>
        <v>45200</v>
        <stp/>
        <stp>P</stp>
        <stp>0</stp>
        <stp>STK</stp>
        <stp>403870</stp>
        <stp>현재가</stp>
        <stp/>
        <stp/>
        <tr r="U160" s="1"/>
      </tp>
      <tp>
        <v>23000</v>
        <stp/>
        <stp>P</stp>
        <stp>0</stp>
        <stp>STK</stp>
        <stp>403850</stp>
        <stp>현재가</stp>
        <stp/>
        <stp/>
        <tr r="U581" s="1"/>
      </tp>
      <tp>
        <v>9140</v>
        <stp/>
        <stp>P</stp>
        <stp>0</stp>
        <stp>STK</stp>
        <stp>003850</stp>
        <stp>현재가</stp>
        <stp/>
        <stp/>
        <tr r="U369" s="1"/>
      </tp>
      <tp>
        <v>14630</v>
        <stp/>
        <stp>P</stp>
        <stp>0</stp>
        <stp>STK</stp>
        <stp>003380</stp>
        <stp>현재가</stp>
        <stp/>
        <stp/>
        <tr r="U279" s="1"/>
      </tp>
      <tp>
        <v>15650</v>
        <stp/>
        <stp>P</stp>
        <stp>0</stp>
        <stp>STK</stp>
        <stp>003300</stp>
        <stp>현재가</stp>
        <stp/>
        <stp/>
        <tr r="U492" s="1"/>
      </tp>
      <tp>
        <v>1149000</v>
        <stp/>
        <stp>P</stp>
        <stp>0</stp>
        <stp>STK</stp>
        <stp>003230</stp>
        <stp>현재가</stp>
        <stp/>
        <stp/>
        <tr r="U80" s="1"/>
      </tp>
      <tp>
        <v>11390</v>
        <stp/>
        <stp>P</stp>
        <stp>0</stp>
        <stp>STK</stp>
        <stp>003220</stp>
        <stp>현재가</stp>
        <stp/>
        <stp/>
        <tr r="U670" s="1"/>
      </tp>
      <tp>
        <v>13450</v>
        <stp/>
        <stp>P</stp>
        <stp>0</stp>
        <stp>STK</stp>
        <stp>003200</stp>
        <stp>현재가</stp>
        <stp/>
        <stp/>
        <tr r="U621" s="1"/>
      </tp>
      <tp>
        <v>929000</v>
        <stp/>
        <stp>P</stp>
        <stp>0</stp>
        <stp>STK</stp>
        <stp>003240</stp>
        <stp>현재가</stp>
        <stp/>
        <stp/>
        <tr r="U344" s="1"/>
      </tp>
      <tp>
        <v>23750</v>
        <stp/>
        <stp>P</stp>
        <stp>0</stp>
        <stp>STK</stp>
        <stp>003120</stp>
        <stp>현재가</stp>
        <stp/>
        <stp/>
        <tr r="U633" s="1"/>
      </tp>
      <tp>
        <v>33450</v>
        <stp/>
        <stp>P</stp>
        <stp>0</stp>
        <stp>STK</stp>
        <stp>003160</stp>
        <stp>현재가</stp>
        <stp/>
        <stp/>
        <tr r="U345" s="1"/>
      </tp>
      <tp>
        <v>126800</v>
        <stp/>
        <stp>P</stp>
        <stp>0</stp>
        <stp>STK</stp>
        <stp>103140</stp>
        <stp>현재가</stp>
        <stp/>
        <stp/>
        <tr r="U144" s="1"/>
      </tp>
      <tp>
        <v>23600</v>
        <stp/>
        <stp>P</stp>
        <stp>0</stp>
        <stp>STK</stp>
        <stp>003090</stp>
        <stp>현재가</stp>
        <stp/>
        <stp/>
        <tr r="U272" s="1"/>
      </tp>
      <tp>
        <v>133200</v>
        <stp/>
        <stp>P</stp>
        <stp>0</stp>
        <stp>STK</stp>
        <stp>003030</stp>
        <stp>현재가</stp>
        <stp/>
        <stp/>
        <tr r="U469" s="1"/>
      </tp>
      <tp>
        <v>11880</v>
        <stp/>
        <stp>P</stp>
        <stp>0</stp>
        <stp>STK</stp>
        <stp>003690</stp>
        <stp>현재가</stp>
        <stp/>
        <stp/>
        <tr r="U199" s="1"/>
      </tp>
      <tp>
        <v>231000</v>
        <stp/>
        <stp>P</stp>
        <stp>0</stp>
        <stp>STK</stp>
        <stp>003670</stp>
        <stp>현재가</stp>
        <stp/>
        <stp/>
        <tr r="U49" s="1"/>
      </tp>
      <tp>
        <v>64800</v>
        <stp/>
        <stp>P</stp>
        <stp>0</stp>
        <stp>STK</stp>
        <stp>103590</stp>
        <stp>현재가</stp>
        <stp/>
        <stp/>
        <tr r="U157" s="1"/>
      </tp>
      <tp>
        <v>11940</v>
        <stp/>
        <stp>P</stp>
        <stp>0</stp>
        <stp>STK</stp>
        <stp>403550</stp>
        <stp>현재가</stp>
        <stp/>
        <stp/>
        <tr r="U540" s="1"/>
      </tp>
      <tp>
        <v>50800</v>
        <stp/>
        <stp>P</stp>
        <stp>0</stp>
        <stp>STK</stp>
        <stp>003570</stp>
        <stp>현재가</stp>
        <stp/>
        <stp/>
        <tr r="U237" s="1"/>
      </tp>
      <tp>
        <v>90100</v>
        <stp/>
        <stp>P</stp>
        <stp>0</stp>
        <stp>STK</stp>
        <stp>003550</stp>
        <stp>현재가</stp>
        <stp/>
        <stp/>
        <tr r="U65" s="1"/>
      </tp>
      <tp>
        <v>30200</v>
        <stp/>
        <stp>P</stp>
        <stp>0</stp>
        <stp>STK</stp>
        <stp>003540</stp>
        <stp>현재가</stp>
        <stp/>
        <stp/>
        <tr r="U262" s="1"/>
      </tp>
      <tp>
        <v>22950</v>
        <stp/>
        <stp>P</stp>
        <stp>0</stp>
        <stp>STK</stp>
        <stp>003490</stp>
        <stp>현재가</stp>
        <stp/>
        <stp/>
        <tr r="U82" s="1"/>
      </tp>
      <tp>
        <v>430500</v>
        <stp/>
        <stp>P</stp>
        <stp>0</stp>
        <stp>STK</stp>
        <stp>002960</stp>
        <stp>현재가</stp>
        <stp/>
        <stp/>
        <tr r="U445" s="1"/>
      </tp>
      <tp>
        <v>65600</v>
        <stp/>
        <stp>P</stp>
        <stp>0</stp>
        <stp>STK</stp>
        <stp>102940</stp>
        <stp>현재가</stp>
        <stp/>
        <stp/>
        <tr r="U427" s="1"/>
      </tp>
      <tp>
        <v>17140</v>
        <stp/>
        <stp>P</stp>
        <stp>0</stp>
        <stp>STK</stp>
        <stp>002810</stp>
        <stp>현재가</stp>
        <stp/>
        <stp/>
        <tr r="U619" s="1"/>
      </tp>
      <tp>
        <v>137900</v>
        <stp/>
        <stp>P</stp>
        <stp>0</stp>
        <stp>STK</stp>
        <stp>002840</stp>
        <stp>현재가</stp>
        <stp/>
        <stp/>
        <tr r="U395" s="1"/>
      </tp>
      <tp>
        <v>488500</v>
        <stp/>
        <stp>P</stp>
        <stp>0</stp>
        <stp>STK</stp>
        <stp>002380</stp>
        <stp>현재가</stp>
        <stp/>
        <stp/>
        <tr r="U130" s="1"/>
      </tp>
      <tp>
        <v>19970</v>
        <stp/>
        <stp>P</stp>
        <stp>0</stp>
        <stp>STK</stp>
        <stp>002320</stp>
        <stp>현재가</stp>
        <stp/>
        <stp/>
        <tr r="U622" s="1"/>
      </tp>
      <tp>
        <v>543000</v>
        <stp/>
        <stp>P</stp>
        <stp>0</stp>
        <stp>STK</stp>
        <stp>402340</stp>
        <stp>현재가</stp>
        <stp/>
        <stp/>
        <tr r="U18" s="1"/>
      </tp>
      <tp>
        <v>21400</v>
        <stp/>
        <stp>P</stp>
        <stp>0</stp>
        <stp>STK</stp>
        <stp>002240</stp>
        <stp>현재가</stp>
        <stp/>
        <stp/>
        <tr r="U429" s="1"/>
      </tp>
      <tp>
        <v>282000</v>
        <stp/>
        <stp>P</stp>
        <stp>0</stp>
        <stp>STK</stp>
        <stp>002030</stp>
        <stp>현재가</stp>
        <stp/>
        <stp/>
        <tr r="U433" s="1"/>
      </tp>
      <tp>
        <v>59800</v>
        <stp/>
        <stp>P</stp>
        <stp>0</stp>
        <stp>STK</stp>
        <stp>002020</stp>
        <stp>현재가</stp>
        <stp/>
        <stp/>
        <tr r="U443" s="1"/>
      </tp>
      <tp>
        <v>22350</v>
        <stp/>
        <stp>P</stp>
        <stp>0</stp>
        <stp>STK</stp>
        <stp>402030</stp>
        <stp>현재가</stp>
        <stp/>
        <stp/>
        <tr r="U644" s="1"/>
      </tp>
      <tp>
        <v>28450</v>
        <stp/>
        <stp>P</stp>
        <stp>0</stp>
        <stp>STK</stp>
        <stp>002790</stp>
        <stp>현재가</stp>
        <stp/>
        <stp/>
        <tr r="U210" s="1"/>
      </tp>
      <tp>
        <v>17110</v>
        <stp/>
        <stp>P</stp>
        <stp>0</stp>
        <stp>STK</stp>
        <stp>002710</stp>
        <stp>현재가</stp>
        <stp/>
        <stp/>
        <tr r="U570" s="1"/>
      </tp>
      <tp>
        <v>57000</v>
        <stp/>
        <stp>P</stp>
        <stp>0</stp>
        <stp>STK</stp>
        <stp>102710</stp>
        <stp>현재가</stp>
        <stp/>
        <stp/>
        <tr r="U401" s="1"/>
      </tp>
      <tp>
        <v>49800</v>
        <stp/>
        <stp>P</stp>
        <stp>0</stp>
        <stp>STK</stp>
        <stp>302440</stp>
        <stp>현재가</stp>
        <stp/>
        <stp/>
        <tr r="U134" s="1"/>
      </tp>
      <tp>
        <v>50700</v>
        <stp/>
        <stp>P</stp>
        <stp>0</stp>
        <stp>STK</stp>
        <stp>N089030</stp>
        <stp>시가</stp>
        <stp/>
        <stp/>
        <tr r="P250" s="1"/>
      </tp>
      <tp>
        <v>8540</v>
        <stp/>
        <stp>P</stp>
        <stp>0</stp>
        <stp>STK</stp>
        <stp>N383800</stp>
        <stp>저가</stp>
        <stp/>
        <stp/>
        <tr r="R420" s="1"/>
      </tp>
      <tp>
        <v>30300</v>
        <stp/>
        <stp>P</stp>
        <stp>0</stp>
        <stp>STK</stp>
        <stp>N382900</stp>
        <stp>저가</stp>
        <stp/>
        <stp/>
        <tr r="R654" s="1"/>
      </tp>
      <tp>
        <v>25000</v>
        <stp/>
        <stp>P</stp>
        <stp>0</stp>
        <stp>STK</stp>
        <stp>N481070</stp>
        <stp>저가</stp>
        <stp/>
        <stp/>
        <tr r="R591" s="1"/>
      </tp>
      <tp>
        <v>141800</v>
        <stp/>
        <stp>P</stp>
        <stp>0</stp>
        <stp>STK</stp>
        <stp>N484870</stp>
        <stp>저가</stp>
        <stp/>
        <stp/>
        <tr r="R259" s="1"/>
      </tp>
      <tp>
        <v>26500</v>
        <stp/>
        <stp>P</stp>
        <stp>0</stp>
        <stp>STK</stp>
        <stp>N481070</stp>
        <stp>시가</stp>
        <stp/>
        <stp/>
        <tr r="P591" s="1"/>
      </tp>
      <tp>
        <v>8740</v>
        <stp/>
        <stp>P</stp>
        <stp>0</stp>
        <stp>STK</stp>
        <stp>N383800</stp>
        <stp>시가</stp>
        <stp/>
        <stp/>
        <tr r="P420" s="1"/>
      </tp>
      <tp>
        <v>47750</v>
        <stp/>
        <stp>P</stp>
        <stp>0</stp>
        <stp>STK</stp>
        <stp>N089030</stp>
        <stp>저가</stp>
        <stp/>
        <stp/>
        <tr r="R250" s="1"/>
      </tp>
      <tp>
        <v>31250</v>
        <stp/>
        <stp>P</stp>
        <stp>0</stp>
        <stp>STK</stp>
        <stp>N382900</stp>
        <stp>시가</stp>
        <stp/>
        <stp/>
        <tr r="P654" s="1"/>
      </tp>
      <tp>
        <v>143000</v>
        <stp/>
        <stp>P</stp>
        <stp>0</stp>
        <stp>STK</stp>
        <stp>N484870</stp>
        <stp>시가</stp>
        <stp/>
        <stp/>
        <tr r="P259" s="1"/>
      </tp>
      <tp>
        <v>146300</v>
        <stp/>
        <stp>P</stp>
        <stp>0</stp>
        <stp>STK</stp>
        <stp>N484870</stp>
        <stp>고가</stp>
        <stp/>
        <stp/>
        <tr r="Q259" s="1"/>
      </tp>
      <tp>
        <v>8740</v>
        <stp/>
        <stp>P</stp>
        <stp>0</stp>
        <stp>STK</stp>
        <stp>N383800</stp>
        <stp>고가</stp>
        <stp/>
        <stp/>
        <tr r="Q420" s="1"/>
      </tp>
      <tp>
        <v>31350</v>
        <stp/>
        <stp>P</stp>
        <stp>0</stp>
        <stp>STK</stp>
        <stp>N382900</stp>
        <stp>고가</stp>
        <stp/>
        <stp/>
        <tr r="Q654" s="1"/>
      </tp>
      <tp>
        <v>28300</v>
        <stp/>
        <stp>P</stp>
        <stp>0</stp>
        <stp>STK</stp>
        <stp>N481070</stp>
        <stp>고가</stp>
        <stp/>
        <stp/>
        <tr r="Q591" s="1"/>
      </tp>
      <tp>
        <v>50700</v>
        <stp/>
        <stp>P</stp>
        <stp>0</stp>
        <stp>STK</stp>
        <stp>N089030</stp>
        <stp>고가</stp>
        <stp/>
        <stp/>
        <tr r="Q250" s="1"/>
      </tp>
      <tp>
        <v>197100</v>
        <stp/>
        <stp>P</stp>
        <stp>0</stp>
        <stp>STK</stp>
        <stp>N192820</stp>
        <stp>저가</stp>
        <stp/>
        <stp/>
        <tr r="R208" s="1"/>
      </tp>
      <tp>
        <v>75500</v>
        <stp/>
        <stp>P</stp>
        <stp>0</stp>
        <stp>STK</stp>
        <stp>N092230</stp>
        <stp>저가</stp>
        <stp/>
        <stp/>
        <tr r="R618" s="1"/>
      </tp>
      <tp>
        <v>18510</v>
        <stp/>
        <stp>P</stp>
        <stp>0</stp>
        <stp>STK</stp>
        <stp>N092730</stp>
        <stp>저가</stp>
        <stp/>
        <stp/>
        <tr r="R648" s="1"/>
      </tp>
      <tp>
        <v>134600</v>
        <stp/>
        <stp>P</stp>
        <stp>0</stp>
        <stp>STK</stp>
        <stp>N090430</stp>
        <stp>저가</stp>
        <stp/>
        <stp/>
        <tr r="R93" s="1"/>
      </tp>
      <tp>
        <v>24400</v>
        <stp/>
        <stp>P</stp>
        <stp>0</stp>
        <stp>STK</stp>
        <stp>N097230</stp>
        <stp>저가</stp>
        <stp/>
        <stp/>
        <tr r="R198" s="1"/>
      </tp>
      <tp>
        <v>28000</v>
        <stp/>
        <stp>P</stp>
        <stp>0</stp>
        <stp>STK</stp>
        <stp>N096530</stp>
        <stp>저가</stp>
        <stp/>
        <stp/>
        <tr r="R278" s="1"/>
      </tp>
      <tp>
        <v>82800</v>
        <stp/>
        <stp>P</stp>
        <stp>0</stp>
        <stp>STK</stp>
        <stp>N295310</stp>
        <stp>저가</stp>
        <stp/>
        <stp/>
        <tr r="R308" s="1"/>
      </tp>
      <tp>
        <v>15330</v>
        <stp/>
        <stp>P</stp>
        <stp>0</stp>
        <stp>STK</stp>
        <stp>N394800</stp>
        <stp>저가</stp>
        <stp/>
        <stp/>
        <tr r="R498" s="1"/>
      </tp>
      <tp>
        <v>138200</v>
        <stp/>
        <stp>P</stp>
        <stp>0</stp>
        <stp>STK</stp>
        <stp>N090430</stp>
        <stp>시가</stp>
        <stp/>
        <stp/>
        <tr r="P93" s="1"/>
      </tp>
      <tp>
        <v>18690</v>
        <stp/>
        <stp>P</stp>
        <stp>0</stp>
        <stp>STK</stp>
        <stp>N092730</stp>
        <stp>시가</stp>
        <stp/>
        <stp/>
        <tr r="P648" s="1"/>
      </tp>
      <tp>
        <v>76300</v>
        <stp/>
        <stp>P</stp>
        <stp>0</stp>
        <stp>STK</stp>
        <stp>N092230</stp>
        <stp>시가</stp>
        <stp/>
        <stp/>
        <tr r="P618" s="1"/>
      </tp>
      <tp>
        <v>202500</v>
        <stp/>
        <stp>P</stp>
        <stp>0</stp>
        <stp>STK</stp>
        <stp>N192820</stp>
        <stp>시가</stp>
        <stp/>
        <stp/>
        <tr r="P208" s="1"/>
      </tp>
      <tp>
        <v>87500</v>
        <stp/>
        <stp>P</stp>
        <stp>0</stp>
        <stp>STK</stp>
        <stp>N295310</stp>
        <stp>시가</stp>
        <stp/>
        <stp/>
        <tr r="P308" s="1"/>
      </tp>
      <tp>
        <v>15330</v>
        <stp/>
        <stp>P</stp>
        <stp>0</stp>
        <stp>STK</stp>
        <stp>N394800</stp>
        <stp>시가</stp>
        <stp/>
        <stp/>
        <tr r="P498" s="1"/>
      </tp>
      <tp>
        <v>25200</v>
        <stp/>
        <stp>P</stp>
        <stp>0</stp>
        <stp>STK</stp>
        <stp>N097230</stp>
        <stp>시가</stp>
        <stp/>
        <stp/>
        <tr r="P198" s="1"/>
      </tp>
      <tp>
        <v>28000</v>
        <stp/>
        <stp>P</stp>
        <stp>0</stp>
        <stp>STK</stp>
        <stp>N096530</stp>
        <stp>시가</stp>
        <stp/>
        <stp/>
        <tr r="P278" s="1"/>
      </tp>
      <tp>
        <v>25300</v>
        <stp/>
        <stp>P</stp>
        <stp>0</stp>
        <stp>STK</stp>
        <stp>N097230</stp>
        <stp>고가</stp>
        <stp/>
        <stp/>
        <tr r="Q198" s="1"/>
      </tp>
      <tp>
        <v>30550</v>
        <stp/>
        <stp>P</stp>
        <stp>0</stp>
        <stp>STK</stp>
        <stp>N096530</stp>
        <stp>고가</stp>
        <stp/>
        <stp/>
        <tr r="Q278" s="1"/>
      </tp>
      <tp>
        <v>89500</v>
        <stp/>
        <stp>P</stp>
        <stp>0</stp>
        <stp>STK</stp>
        <stp>N295310</stp>
        <stp>고가</stp>
        <stp/>
        <stp/>
        <tr r="Q308" s="1"/>
      </tp>
      <tp>
        <v>17850</v>
        <stp/>
        <stp>P</stp>
        <stp>0</stp>
        <stp>STK</stp>
        <stp>N394800</stp>
        <stp>고가</stp>
        <stp/>
        <stp/>
        <tr r="Q498" s="1"/>
      </tp>
      <tp>
        <v>202500</v>
        <stp/>
        <stp>P</stp>
        <stp>0</stp>
        <stp>STK</stp>
        <stp>N192820</stp>
        <stp>고가</stp>
        <stp/>
        <stp/>
        <tr r="Q208" s="1"/>
      </tp>
      <tp>
        <v>76300</v>
        <stp/>
        <stp>P</stp>
        <stp>0</stp>
        <stp>STK</stp>
        <stp>N092230</stp>
        <stp>고가</stp>
        <stp/>
        <stp/>
        <tr r="Q618" s="1"/>
      </tp>
      <tp>
        <v>19160</v>
        <stp/>
        <stp>P</stp>
        <stp>0</stp>
        <stp>STK</stp>
        <stp>N092730</stp>
        <stp>고가</stp>
        <stp/>
        <stp/>
        <tr r="Q648" s="1"/>
      </tp>
      <tp>
        <v>138200</v>
        <stp/>
        <stp>P</stp>
        <stp>0</stp>
        <stp>STK</stp>
        <stp>N090430</stp>
        <stp>고가</stp>
        <stp/>
        <stp/>
        <tr r="Q93" s="1"/>
      </tp>
      <tp>
        <v>28000</v>
        <stp/>
        <stp>P</stp>
        <stp>0</stp>
        <stp>STK</stp>
        <stp>N009830</stp>
        <stp>시가</stp>
        <stp/>
        <stp/>
        <tr r="P116" s="1"/>
      </tp>
      <tp>
        <v>43250</v>
        <stp/>
        <stp>P</stp>
        <stp>0</stp>
        <stp>STK</stp>
        <stp>N403870</stp>
        <stp>저가</stp>
        <stp/>
        <stp/>
        <tr r="R160" s="1"/>
      </tp>
      <tp>
        <v>132400</v>
        <stp/>
        <stp>P</stp>
        <stp>0</stp>
        <stp>STK</stp>
        <stp>N003030</stp>
        <stp>저가</stp>
        <stp/>
        <stp/>
        <tr r="R469" s="1"/>
      </tp>
      <tp>
        <v>1140000</v>
        <stp/>
        <stp>P</stp>
        <stp>0</stp>
        <stp>STK</stp>
        <stp>N003230</stp>
        <stp>저가</stp>
        <stp/>
        <stp/>
        <tr r="R80" s="1"/>
      </tp>
      <tp>
        <v>27150</v>
        <stp/>
        <stp>P</stp>
        <stp>0</stp>
        <stp>STK</stp>
        <stp>N008730</stp>
        <stp>시가</stp>
        <stp/>
        <stp/>
        <tr r="P400" s="1"/>
      </tp>
      <tp>
        <v>54700</v>
        <stp/>
        <stp>P</stp>
        <stp>0</stp>
        <stp>STK</stp>
        <stp>N108320</stp>
        <stp>시가</stp>
        <stp/>
        <stp/>
        <tr r="P348" s="1"/>
      </tp>
      <tp>
        <v>41900</v>
        <stp/>
        <stp>P</stp>
        <stp>0</stp>
        <stp>STK</stp>
        <stp>N008930</stp>
        <stp>시가</stp>
        <stp/>
        <stp/>
        <tr r="P168" s="1"/>
      </tp>
      <tp>
        <v>283000</v>
        <stp/>
        <stp>P</stp>
        <stp>0</stp>
        <stp>STK</stp>
        <stp>N002030</stp>
        <stp>저가</stp>
        <stp/>
        <stp/>
        <tr r="R433" s="1"/>
      </tp>
      <tp>
        <v>143000</v>
        <stp/>
        <stp>P</stp>
        <stp>0</stp>
        <stp>STK</stp>
        <stp>N001130</stp>
        <stp>저가</stp>
        <stp/>
        <stp/>
        <tr r="R683" s="1"/>
      </tp>
      <tp>
        <v>19710</v>
        <stp/>
        <stp>P</stp>
        <stp>0</stp>
        <stp>STK</stp>
        <stp>N001530</stp>
        <stp>저가</stp>
        <stp/>
        <stp/>
        <tr r="R549" s="1"/>
      </tp>
      <tp>
        <v>69000</v>
        <stp/>
        <stp>P</stp>
        <stp>0</stp>
        <stp>STK</stp>
        <stp>N001430</stp>
        <stp>저가</stp>
        <stp/>
        <stp/>
        <tr r="R166" s="1"/>
      </tp>
      <tp>
        <v>49400</v>
        <stp/>
        <stp>P</stp>
        <stp>0</stp>
        <stp>STK</stp>
        <stp>N001630</stp>
        <stp>저가</stp>
        <stp/>
        <stp/>
        <tr r="R684" s="1"/>
      </tp>
      <tp>
        <v>35400</v>
        <stp/>
        <stp>P</stp>
        <stp>0</stp>
        <stp>STK</stp>
        <stp>N200710</stp>
        <stp>저가</stp>
        <stp/>
        <stp/>
        <tr r="R494" s="1"/>
      </tp>
      <tp>
        <v>116700</v>
        <stp/>
        <stp>P</stp>
        <stp>0</stp>
        <stp>STK</stp>
        <stp>N306200</stp>
        <stp>저가</stp>
        <stp/>
        <stp/>
        <tr r="R592" s="1"/>
      </tp>
      <tp>
        <v>17490</v>
        <stp/>
        <stp>P</stp>
        <stp>0</stp>
        <stp>STK</stp>
        <stp>N006730</stp>
        <stp>저가</stp>
        <stp/>
        <stp/>
        <tr r="R326" s="1"/>
      </tp>
      <tp>
        <v>155200</v>
        <stp/>
        <stp>P</stp>
        <stp>0</stp>
        <stp>STK</stp>
        <stp>N005930</stp>
        <stp>저가</stp>
        <stp/>
        <stp/>
        <tr r="R9" s="1"/>
      </tp>
      <tp>
        <v>140300</v>
        <stp/>
        <stp>P</stp>
        <stp>0</stp>
        <stp>STK</stp>
        <stp>N005830</stp>
        <stp>저가</stp>
        <stp/>
        <stp/>
        <tr r="R78" s="1"/>
      </tp>
      <tp>
        <v>29550</v>
        <stp/>
        <stp>P</stp>
        <stp>0</stp>
        <stp>STK</stp>
        <stp>N304100</stp>
        <stp>저가</stp>
        <stp/>
        <stp/>
        <tr r="R594" s="1"/>
      </tp>
      <tp>
        <v>19920</v>
        <stp/>
        <stp>P</stp>
        <stp>0</stp>
        <stp>STK</stp>
        <stp>N001530</stp>
        <stp>시가</stp>
        <stp/>
        <stp/>
        <tr r="P549" s="1"/>
      </tp>
      <tp>
        <v>71800</v>
        <stp/>
        <stp>P</stp>
        <stp>0</stp>
        <stp>STK</stp>
        <stp>N001430</stp>
        <stp>시가</stp>
        <stp/>
        <stp/>
        <tr r="P166" s="1"/>
      </tp>
      <tp>
        <v>49900</v>
        <stp/>
        <stp>P</stp>
        <stp>0</stp>
        <stp>STK</stp>
        <stp>N001630</stp>
        <stp>시가</stp>
        <stp/>
        <stp/>
        <tr r="P684" s="1"/>
      </tp>
      <tp>
        <v>144000</v>
        <stp/>
        <stp>P</stp>
        <stp>0</stp>
        <stp>STK</stp>
        <stp>N001130</stp>
        <stp>시가</stp>
        <stp/>
        <stp/>
        <tr r="P683" s="1"/>
      </tp>
      <tp>
        <v>37000</v>
        <stp/>
        <stp>P</stp>
        <stp>0</stp>
        <stp>STK</stp>
        <stp>N200710</stp>
        <stp>시가</stp>
        <stp/>
        <stp/>
        <tr r="P494" s="1"/>
      </tp>
      <tp>
        <v>132400</v>
        <stp/>
        <stp>P</stp>
        <stp>0</stp>
        <stp>STK</stp>
        <stp>N003030</stp>
        <stp>시가</stp>
        <stp/>
        <stp/>
        <tr r="P469" s="1"/>
      </tp>
      <tp>
        <v>1179000</v>
        <stp/>
        <stp>P</stp>
        <stp>0</stp>
        <stp>STK</stp>
        <stp>N003230</stp>
        <stp>시가</stp>
        <stp/>
        <stp/>
        <tr r="P80" s="1"/>
      </tp>
      <tp>
        <v>46000</v>
        <stp/>
        <stp>P</stp>
        <stp>0</stp>
        <stp>STK</stp>
        <stp>N403870</stp>
        <stp>시가</stp>
        <stp/>
        <stp/>
        <tr r="P160" s="1"/>
      </tp>
      <tp>
        <v>27250</v>
        <stp/>
        <stp>P</stp>
        <stp>0</stp>
        <stp>STK</stp>
        <stp>N009830</stp>
        <stp>저가</stp>
        <stp/>
        <stp/>
        <tr r="R116" s="1"/>
      </tp>
      <tp>
        <v>283000</v>
        <stp/>
        <stp>P</stp>
        <stp>0</stp>
        <stp>STK</stp>
        <stp>N002030</stp>
        <stp>시가</stp>
        <stp/>
        <stp/>
        <tr r="P433" s="1"/>
      </tp>
      <tp>
        <v>40850</v>
        <stp/>
        <stp>P</stp>
        <stp>0</stp>
        <stp>STK</stp>
        <stp>N008930</stp>
        <stp>저가</stp>
        <stp/>
        <stp/>
        <tr r="R168" s="1"/>
      </tp>
      <tp>
        <v>53400</v>
        <stp/>
        <stp>P</stp>
        <stp>0</stp>
        <stp>STK</stp>
        <stp>N108320</stp>
        <stp>저가</stp>
        <stp/>
        <stp/>
        <tr r="R348" s="1"/>
      </tp>
      <tp>
        <v>26650</v>
        <stp/>
        <stp>P</stp>
        <stp>0</stp>
        <stp>STK</stp>
        <stp>N008730</stp>
        <stp>저가</stp>
        <stp/>
        <stp/>
        <tr r="R400" s="1"/>
      </tp>
      <tp>
        <v>158000</v>
        <stp/>
        <stp>P</stp>
        <stp>0</stp>
        <stp>STK</stp>
        <stp>N005930</stp>
        <stp>시가</stp>
        <stp/>
        <stp/>
        <tr r="P9" s="1"/>
      </tp>
      <tp>
        <v>142900</v>
        <stp/>
        <stp>P</stp>
        <stp>0</stp>
        <stp>STK</stp>
        <stp>N005830</stp>
        <stp>시가</stp>
        <stp/>
        <stp/>
        <tr r="P78" s="1"/>
      </tp>
      <tp>
        <v>31950</v>
        <stp/>
        <stp>P</stp>
        <stp>0</stp>
        <stp>STK</stp>
        <stp>N304100</stp>
        <stp>시가</stp>
        <stp/>
        <stp/>
        <tr r="P594" s="1"/>
      </tp>
      <tp>
        <v>17620</v>
        <stp/>
        <stp>P</stp>
        <stp>0</stp>
        <stp>STK</stp>
        <stp>N006730</stp>
        <stp>시가</stp>
        <stp/>
        <stp/>
        <tr r="P326" s="1"/>
      </tp>
      <tp>
        <v>120000</v>
        <stp/>
        <stp>P</stp>
        <stp>0</stp>
        <stp>STK</stp>
        <stp>N306200</stp>
        <stp>시가</stp>
        <stp/>
        <stp/>
        <tr r="P592" s="1"/>
      </tp>
      <tp>
        <v>120000</v>
        <stp/>
        <stp>P</stp>
        <stp>0</stp>
        <stp>STK</stp>
        <stp>N306200</stp>
        <stp>고가</stp>
        <stp/>
        <stp/>
        <tr r="Q592" s="1"/>
      </tp>
      <tp>
        <v>19720</v>
        <stp/>
        <stp>P</stp>
        <stp>0</stp>
        <stp>STK</stp>
        <stp>N006730</stp>
        <stp>고가</stp>
        <stp/>
        <stp/>
        <tr r="Q326" s="1"/>
      </tp>
      <tp>
        <v>158900</v>
        <stp/>
        <stp>P</stp>
        <stp>0</stp>
        <stp>STK</stp>
        <stp>N005930</stp>
        <stp>고가</stp>
        <stp/>
        <stp/>
        <tr r="Q9" s="1"/>
      </tp>
      <tp>
        <v>146400</v>
        <stp/>
        <stp>P</stp>
        <stp>0</stp>
        <stp>STK</stp>
        <stp>N005830</stp>
        <stp>고가</stp>
        <stp/>
        <stp/>
        <tr r="Q78" s="1"/>
      </tp>
      <tp>
        <v>32500</v>
        <stp/>
        <stp>P</stp>
        <stp>0</stp>
        <stp>STK</stp>
        <stp>N304100</stp>
        <stp>고가</stp>
        <stp/>
        <stp/>
        <tr r="Q594" s="1"/>
      </tp>
      <tp>
        <v>46000</v>
        <stp/>
        <stp>P</stp>
        <stp>0</stp>
        <stp>STK</stp>
        <stp>N403870</stp>
        <stp>고가</stp>
        <stp/>
        <stp/>
        <tr r="Q160" s="1"/>
      </tp>
      <tp>
        <v>135400</v>
        <stp/>
        <stp>P</stp>
        <stp>0</stp>
        <stp>STK</stp>
        <stp>N003030</stp>
        <stp>고가</stp>
        <stp/>
        <stp/>
        <tr r="Q469" s="1"/>
      </tp>
      <tp>
        <v>1179000</v>
        <stp/>
        <stp>P</stp>
        <stp>0</stp>
        <stp>STK</stp>
        <stp>N003230</stp>
        <stp>고가</stp>
        <stp/>
        <stp/>
        <tr r="Q80" s="1"/>
      </tp>
      <tp>
        <v>287500</v>
        <stp/>
        <stp>P</stp>
        <stp>0</stp>
        <stp>STK</stp>
        <stp>N002030</stp>
        <stp>고가</stp>
        <stp/>
        <stp/>
        <tr r="Q433" s="1"/>
      </tp>
      <tp>
        <v>144000</v>
        <stp/>
        <stp>P</stp>
        <stp>0</stp>
        <stp>STK</stp>
        <stp>N001130</stp>
        <stp>고가</stp>
        <stp/>
        <stp/>
        <tr r="Q683" s="1"/>
      </tp>
      <tp>
        <v>20100</v>
        <stp/>
        <stp>P</stp>
        <stp>0</stp>
        <stp>STK</stp>
        <stp>N001530</stp>
        <stp>고가</stp>
        <stp/>
        <stp/>
        <tr r="Q549" s="1"/>
      </tp>
      <tp>
        <v>73300</v>
        <stp/>
        <stp>P</stp>
        <stp>0</stp>
        <stp>STK</stp>
        <stp>N001430</stp>
        <stp>고가</stp>
        <stp/>
        <stp/>
        <tr r="Q166" s="1"/>
      </tp>
      <tp>
        <v>49900</v>
        <stp/>
        <stp>P</stp>
        <stp>0</stp>
        <stp>STK</stp>
        <stp>N001630</stp>
        <stp>고가</stp>
        <stp/>
        <stp/>
        <tr r="Q684" s="1"/>
      </tp>
      <tp>
        <v>37600</v>
        <stp/>
        <stp>P</stp>
        <stp>0</stp>
        <stp>STK</stp>
        <stp>N200710</stp>
        <stp>고가</stp>
        <stp/>
        <stp/>
        <tr r="Q494" s="1"/>
      </tp>
      <tp>
        <v>28000</v>
        <stp/>
        <stp>P</stp>
        <stp>0</stp>
        <stp>STK</stp>
        <stp>N009830</stp>
        <stp>고가</stp>
        <stp/>
        <stp/>
        <tr r="Q116" s="1"/>
      </tp>
      <tp>
        <v>41900</v>
        <stp/>
        <stp>P</stp>
        <stp>0</stp>
        <stp>STK</stp>
        <stp>N008930</stp>
        <stp>고가</stp>
        <stp/>
        <stp/>
        <tr r="Q168" s="1"/>
      </tp>
      <tp>
        <v>54700</v>
        <stp/>
        <stp>P</stp>
        <stp>0</stp>
        <stp>STK</stp>
        <stp>N108320</stp>
        <stp>고가</stp>
        <stp/>
        <stp/>
        <tr r="Q348" s="1"/>
      </tp>
      <tp>
        <v>27200</v>
        <stp/>
        <stp>P</stp>
        <stp>0</stp>
        <stp>STK</stp>
        <stp>N008730</stp>
        <stp>고가</stp>
        <stp/>
        <stp/>
        <tr r="Q400" s="1"/>
      </tp>
      <tp>
        <v>32600</v>
        <stp/>
        <stp>P</stp>
        <stp>0</stp>
        <stp>STK</stp>
        <stp>N013030</stp>
        <stp>저가</stp>
        <stp/>
        <stp/>
        <tr r="R558" s="1"/>
      </tp>
      <tp>
        <v>47550</v>
        <stp/>
        <stp>P</stp>
        <stp>0</stp>
        <stp>STK</stp>
        <stp>N218410</stp>
        <stp>시가</stp>
        <stp/>
        <stp/>
        <tr r="P327" s="1"/>
      </tp>
      <tp>
        <v>435000</v>
        <stp/>
        <stp>P</stp>
        <stp>0</stp>
        <stp>STK</stp>
        <stp>N012330</stp>
        <stp>저가</stp>
        <stp/>
        <stp/>
        <tr r="R22" s="1"/>
      </tp>
      <tp>
        <v>18620</v>
        <stp/>
        <stp>P</stp>
        <stp>0</stp>
        <stp>STK</stp>
        <stp>N012630</stp>
        <stp>저가</stp>
        <stp/>
        <stp/>
        <tr r="R312" s="1"/>
      </tp>
      <tp>
        <v>1652000</v>
        <stp/>
        <stp>P</stp>
        <stp>0</stp>
        <stp>STK</stp>
        <stp>N010130</stp>
        <stp>저가</stp>
        <stp/>
        <stp/>
        <tr r="R28" s="1"/>
      </tp>
      <tp>
        <v>77500</v>
        <stp/>
        <stp>P</stp>
        <stp>0</stp>
        <stp>STK</stp>
        <stp>N014830</stp>
        <stp>저가</stp>
        <stp/>
        <stp/>
        <tr r="R487" s="1"/>
      </tp>
      <tp>
        <v>1800000</v>
        <stp/>
        <stp>P</stp>
        <stp>0</stp>
        <stp>STK</stp>
        <stp>N010130</stp>
        <stp>시가</stp>
        <stp/>
        <stp/>
        <tr r="P28" s="1"/>
      </tp>
      <tp>
        <v>33600</v>
        <stp/>
        <stp>P</stp>
        <stp>0</stp>
        <stp>STK</stp>
        <stp>N013030</stp>
        <stp>시가</stp>
        <stp/>
        <stp/>
        <tr r="P558" s="1"/>
      </tp>
      <tp>
        <v>19010</v>
        <stp/>
        <stp>P</stp>
        <stp>0</stp>
        <stp>STK</stp>
        <stp>N012630</stp>
        <stp>시가</stp>
        <stp/>
        <stp/>
        <tr r="P312" s="1"/>
      </tp>
      <tp>
        <v>447500</v>
        <stp/>
        <stp>P</stp>
        <stp>0</stp>
        <stp>STK</stp>
        <stp>N012330</stp>
        <stp>시가</stp>
        <stp/>
        <stp/>
        <tr r="P22" s="1"/>
      </tp>
      <tp>
        <v>45300</v>
        <stp/>
        <stp>P</stp>
        <stp>0</stp>
        <stp>STK</stp>
        <stp>N218410</stp>
        <stp>저가</stp>
        <stp/>
        <stp/>
        <tr r="R327" s="1"/>
      </tp>
      <tp>
        <v>78500</v>
        <stp/>
        <stp>P</stp>
        <stp>0</stp>
        <stp>STK</stp>
        <stp>N014830</stp>
        <stp>시가</stp>
        <stp/>
        <stp/>
        <tr r="P487" s="1"/>
      </tp>
      <tp>
        <v>78600</v>
        <stp/>
        <stp>P</stp>
        <stp>0</stp>
        <stp>STK</stp>
        <stp>N014830</stp>
        <stp>고가</stp>
        <stp/>
        <stp/>
        <tr r="Q487" s="1"/>
      </tp>
      <tp>
        <v>33650</v>
        <stp/>
        <stp>P</stp>
        <stp>0</stp>
        <stp>STK</stp>
        <stp>N013030</stp>
        <stp>고가</stp>
        <stp/>
        <stp/>
        <tr r="Q558" s="1"/>
      </tp>
      <tp>
        <v>454500</v>
        <stp/>
        <stp>P</stp>
        <stp>0</stp>
        <stp>STK</stp>
        <stp>N012330</stp>
        <stp>고가</stp>
        <stp/>
        <stp/>
        <tr r="Q22" s="1"/>
      </tp>
      <tp>
        <v>19010</v>
        <stp/>
        <stp>P</stp>
        <stp>0</stp>
        <stp>STK</stp>
        <stp>N012630</stp>
        <stp>고가</stp>
        <stp/>
        <stp/>
        <tr r="Q312" s="1"/>
      </tp>
      <tp>
        <v>1800000</v>
        <stp/>
        <stp>P</stp>
        <stp>0</stp>
        <stp>STK</stp>
        <stp>N010130</stp>
        <stp>고가</stp>
        <stp/>
        <stp/>
        <tr r="Q28" s="1"/>
      </tp>
      <tp>
        <v>48700</v>
        <stp/>
        <stp>P</stp>
        <stp>0</stp>
        <stp>STK</stp>
        <stp>N218410</stp>
        <stp>고가</stp>
        <stp/>
        <stp/>
        <tr r="Q327" s="1"/>
      </tp>
      <tp>
        <v>47300</v>
        <stp/>
        <stp>P</stp>
        <stp>0</stp>
        <stp>STK</stp>
        <stp>N029530</stp>
        <stp>시가</stp>
        <stp/>
        <stp/>
        <tr r="P502" s="1"/>
      </tp>
      <tp>
        <v>83700</v>
        <stp/>
        <stp>P</stp>
        <stp>0</stp>
        <stp>STK</stp>
        <stp>N023530</stp>
        <stp>저가</stp>
        <stp/>
        <stp/>
        <tr r="R203" s="1"/>
      </tp>
      <tp>
        <v>51800</v>
        <stp/>
        <stp>P</stp>
        <stp>0</stp>
        <stp>STK</stp>
        <stp>N322000</stp>
        <stp>저가</stp>
        <stp/>
        <stp/>
        <tr r="R423" s="1"/>
      </tp>
      <tp>
        <v>51400</v>
        <stp/>
        <stp>P</stp>
        <stp>0</stp>
        <stp>STK</stp>
        <stp>N420770</stp>
        <stp>저가</stp>
        <stp/>
        <stp/>
        <tr r="R387" s="1"/>
      </tp>
      <tp>
        <v>19980</v>
        <stp/>
        <stp>P</stp>
        <stp>0</stp>
        <stp>STK</stp>
        <stp>N127120</stp>
        <stp>저가</stp>
        <stp/>
        <stp/>
        <tr r="R405" s="1"/>
      </tp>
      <tp>
        <v>24100</v>
        <stp/>
        <stp>P</stp>
        <stp>0</stp>
        <stp>STK</stp>
        <stp>N126720</stp>
        <stp>저가</stp>
        <stp/>
        <stp/>
        <tr r="R547" s="1"/>
      </tp>
      <tp>
        <v>10500</v>
        <stp/>
        <stp>P</stp>
        <stp>0</stp>
        <stp>STK</stp>
        <stp>N424870</stp>
        <stp>저가</stp>
        <stp/>
        <stp/>
        <tr r="R356" s="1"/>
      </tp>
      <tp>
        <v>53900</v>
        <stp/>
        <stp>P</stp>
        <stp>0</stp>
        <stp>STK</stp>
        <stp>N420770</stp>
        <stp>시가</stp>
        <stp/>
        <stp/>
        <tr r="P387" s="1"/>
      </tp>
      <tp>
        <v>84000</v>
        <stp/>
        <stp>P</stp>
        <stp>0</stp>
        <stp>STK</stp>
        <stp>N023530</stp>
        <stp>시가</stp>
        <stp/>
        <stp/>
        <tr r="P203" s="1"/>
      </tp>
      <tp>
        <v>47300</v>
        <stp/>
        <stp>P</stp>
        <stp>0</stp>
        <stp>STK</stp>
        <stp>N029530</stp>
        <stp>저가</stp>
        <stp/>
        <stp/>
        <tr r="R502" s="1"/>
      </tp>
      <tp>
        <v>53300</v>
        <stp/>
        <stp>P</stp>
        <stp>0</stp>
        <stp>STK</stp>
        <stp>N322000</stp>
        <stp>시가</stp>
        <stp/>
        <stp/>
        <tr r="P423" s="1"/>
      </tp>
      <tp>
        <v>10870</v>
        <stp/>
        <stp>P</stp>
        <stp>0</stp>
        <stp>STK</stp>
        <stp>N424870</stp>
        <stp>시가</stp>
        <stp/>
        <stp/>
        <tr r="P356" s="1"/>
      </tp>
      <tp>
        <v>20850</v>
        <stp/>
        <stp>P</stp>
        <stp>0</stp>
        <stp>STK</stp>
        <stp>N127120</stp>
        <stp>시가</stp>
        <stp/>
        <stp/>
        <tr r="P405" s="1"/>
      </tp>
      <tp>
        <v>24800</v>
        <stp/>
        <stp>P</stp>
        <stp>0</stp>
        <stp>STK</stp>
        <stp>N126720</stp>
        <stp>시가</stp>
        <stp/>
        <stp/>
        <tr r="P547" s="1"/>
      </tp>
      <tp>
        <v>21500</v>
        <stp/>
        <stp>P</stp>
        <stp>0</stp>
        <stp>STK</stp>
        <stp>N127120</stp>
        <stp>고가</stp>
        <stp/>
        <stp/>
        <tr r="Q405" s="1"/>
      </tp>
      <tp>
        <v>24800</v>
        <stp/>
        <stp>P</stp>
        <stp>0</stp>
        <stp>STK</stp>
        <stp>N126720</stp>
        <stp>고가</stp>
        <stp/>
        <stp/>
        <tr r="Q547" s="1"/>
      </tp>
      <tp>
        <v>10870</v>
        <stp/>
        <stp>P</stp>
        <stp>0</stp>
        <stp>STK</stp>
        <stp>N424870</stp>
        <stp>고가</stp>
        <stp/>
        <stp/>
        <tr r="Q356" s="1"/>
      </tp>
      <tp>
        <v>85800</v>
        <stp/>
        <stp>P</stp>
        <stp>0</stp>
        <stp>STK</stp>
        <stp>N023530</stp>
        <stp>고가</stp>
        <stp/>
        <stp/>
        <tr r="Q203" s="1"/>
      </tp>
      <tp>
        <v>53300</v>
        <stp/>
        <stp>P</stp>
        <stp>0</stp>
        <stp>STK</stp>
        <stp>N322000</stp>
        <stp>고가</stp>
        <stp/>
        <stp/>
        <tr r="Q423" s="1"/>
      </tp>
      <tp>
        <v>54300</v>
        <stp/>
        <stp>P</stp>
        <stp>0</stp>
        <stp>STK</stp>
        <stp>N420770</stp>
        <stp>고가</stp>
        <stp/>
        <stp/>
        <tr r="Q387" s="1"/>
      </tp>
      <tp>
        <v>54900</v>
        <stp/>
        <stp>P</stp>
        <stp>0</stp>
        <stp>STK</stp>
        <stp>N029530</stp>
        <stp>고가</stp>
        <stp/>
        <stp/>
        <tr r="Q502" s="1"/>
      </tp>
      <tp>
        <v>46500</v>
        <stp/>
        <stp>P</stp>
        <stp>0</stp>
        <stp>STK</stp>
        <stp>N039130</stp>
        <stp>시가</stp>
        <stp/>
        <stp/>
        <tr r="P388" s="1"/>
      </tp>
      <tp>
        <v>367000</v>
        <stp/>
        <stp>P</stp>
        <stp>0</stp>
        <stp>STK</stp>
        <stp>N039030</stp>
        <stp>시가</stp>
        <stp/>
        <stp/>
        <tr r="P139" s="1"/>
      </tp>
      <tp>
        <v>183700</v>
        <stp/>
        <stp>P</stp>
        <stp>0</stp>
        <stp>STK</stp>
        <stp>N032830</stp>
        <stp>저가</stp>
        <stp/>
        <stp/>
        <tr r="R27" s="1"/>
      </tp>
      <tp>
        <v>11860</v>
        <stp/>
        <stp>P</stp>
        <stp>0</stp>
        <stp>STK</stp>
        <stp>N031430</stp>
        <stp>저가</stp>
        <stp/>
        <stp/>
        <tr r="R550" s="1"/>
      </tp>
      <tp>
        <v>40400</v>
        <stp/>
        <stp>P</stp>
        <stp>0</stp>
        <stp>STK</stp>
        <stp>N030530</stp>
        <stp>저가</stp>
        <stp/>
        <stp/>
        <tr r="R149" s="1"/>
      </tp>
      <tp>
        <v>40800</v>
        <stp/>
        <stp>P</stp>
        <stp>0</stp>
        <stp>STK</stp>
        <stp>N036930</stp>
        <stp>저가</stp>
        <stp/>
        <stp/>
        <tr r="R251" s="1"/>
      </tp>
      <tp>
        <v>55400</v>
        <stp/>
        <stp>P</stp>
        <stp>0</stp>
        <stp>STK</stp>
        <stp>N036830</stp>
        <stp>저가</stp>
        <stp/>
        <stp/>
        <tr r="R352" s="1"/>
      </tp>
      <tp>
        <v>52800</v>
        <stp/>
        <stp>P</stp>
        <stp>0</stp>
        <stp>STK</stp>
        <stp>N036530</stp>
        <stp>저가</stp>
        <stp/>
        <stp/>
        <tr r="R328" s="1"/>
      </tp>
      <tp>
        <v>17650</v>
        <stp/>
        <stp>P</stp>
        <stp>0</stp>
        <stp>STK</stp>
        <stp>N034230</stp>
        <stp>저가</stp>
        <stp/>
        <stp/>
        <tr r="R245" s="1"/>
      </tp>
      <tp>
        <v>317500</v>
        <stp/>
        <stp>P</stp>
        <stp>0</stp>
        <stp>STK</stp>
        <stp>N034730</stp>
        <stp>저가</stp>
        <stp/>
        <stp/>
        <tr r="R41" s="1"/>
      </tp>
      <tp>
        <v>12850</v>
        <stp/>
        <stp>P</stp>
        <stp>0</stp>
        <stp>STK</stp>
        <stp>N031430</stp>
        <stp>시가</stp>
        <stp/>
        <stp/>
        <tr r="P550" s="1"/>
      </tp>
      <tp>
        <v>41850</v>
        <stp/>
        <stp>P</stp>
        <stp>0</stp>
        <stp>STK</stp>
        <stp>N030530</stp>
        <stp>시가</stp>
        <stp/>
        <stp/>
        <tr r="P149" s="1"/>
      </tp>
      <tp>
        <v>45550</v>
        <stp/>
        <stp>P</stp>
        <stp>0</stp>
        <stp>STK</stp>
        <stp>N039130</stp>
        <stp>저가</stp>
        <stp/>
        <stp/>
        <tr r="R388" s="1"/>
      </tp>
      <tp>
        <v>355500</v>
        <stp/>
        <stp>P</stp>
        <stp>0</stp>
        <stp>STK</stp>
        <stp>N039030</stp>
        <stp>저가</stp>
        <stp/>
        <stp/>
        <tr r="R139" s="1"/>
      </tp>
      <tp>
        <v>187000</v>
        <stp/>
        <stp>P</stp>
        <stp>0</stp>
        <stp>STK</stp>
        <stp>N032830</stp>
        <stp>시가</stp>
        <stp/>
        <stp/>
        <tr r="P27" s="1"/>
      </tp>
      <tp>
        <v>330000</v>
        <stp/>
        <stp>P</stp>
        <stp>0</stp>
        <stp>STK</stp>
        <stp>N034730</stp>
        <stp>시가</stp>
        <stp/>
        <stp/>
        <tr r="P41" s="1"/>
      </tp>
      <tp>
        <v>17740</v>
        <stp/>
        <stp>P</stp>
        <stp>0</stp>
        <stp>STK</stp>
        <stp>N034230</stp>
        <stp>시가</stp>
        <stp/>
        <stp/>
        <tr r="P245" s="1"/>
      </tp>
      <tp>
        <v>55000</v>
        <stp/>
        <stp>P</stp>
        <stp>0</stp>
        <stp>STK</stp>
        <stp>N036530</stp>
        <stp>시가</stp>
        <stp/>
        <stp/>
        <tr r="P328" s="1"/>
      </tp>
      <tp>
        <v>40800</v>
        <stp/>
        <stp>P</stp>
        <stp>0</stp>
        <stp>STK</stp>
        <stp>N036930</stp>
        <stp>시가</stp>
        <stp/>
        <stp/>
        <tr r="P251" s="1"/>
      </tp>
      <tp>
        <v>57600</v>
        <stp/>
        <stp>P</stp>
        <stp>0</stp>
        <stp>STK</stp>
        <stp>N036830</stp>
        <stp>시가</stp>
        <stp/>
        <stp/>
        <tr r="P352" s="1"/>
      </tp>
      <tp>
        <v>43500</v>
        <stp/>
        <stp>P</stp>
        <stp>0</stp>
        <stp>STK</stp>
        <stp>N036930</stp>
        <stp>고가</stp>
        <stp/>
        <stp/>
        <tr r="Q251" s="1"/>
      </tp>
      <tp>
        <v>57900</v>
        <stp/>
        <stp>P</stp>
        <stp>0</stp>
        <stp>STK</stp>
        <stp>N036830</stp>
        <stp>고가</stp>
        <stp/>
        <stp/>
        <tr r="Q352" s="1"/>
      </tp>
      <tp>
        <v>55000</v>
        <stp/>
        <stp>P</stp>
        <stp>0</stp>
        <stp>STK</stp>
        <stp>N036530</stp>
        <stp>고가</stp>
        <stp/>
        <stp/>
        <tr r="Q328" s="1"/>
      </tp>
      <tp>
        <v>18350</v>
        <stp/>
        <stp>P</stp>
        <stp>0</stp>
        <stp>STK</stp>
        <stp>N034230</stp>
        <stp>고가</stp>
        <stp/>
        <stp/>
        <tr r="Q245" s="1"/>
      </tp>
      <tp>
        <v>330000</v>
        <stp/>
        <stp>P</stp>
        <stp>0</stp>
        <stp>STK</stp>
        <stp>N034730</stp>
        <stp>고가</stp>
        <stp/>
        <stp/>
        <tr r="Q41" s="1"/>
      </tp>
      <tp>
        <v>187000</v>
        <stp/>
        <stp>P</stp>
        <stp>0</stp>
        <stp>STK</stp>
        <stp>N032830</stp>
        <stp>고가</stp>
        <stp/>
        <stp/>
        <tr r="Q27" s="1"/>
      </tp>
      <tp>
        <v>12850</v>
        <stp/>
        <stp>P</stp>
        <stp>0</stp>
        <stp>STK</stp>
        <stp>N031430</stp>
        <stp>고가</stp>
        <stp/>
        <stp/>
        <tr r="Q550" s="1"/>
      </tp>
      <tp>
        <v>42350</v>
        <stp/>
        <stp>P</stp>
        <stp>0</stp>
        <stp>STK</stp>
        <stp>N030530</stp>
        <stp>고가</stp>
        <stp/>
        <stp/>
        <tr r="Q149" s="1"/>
      </tp>
      <tp>
        <v>46850</v>
        <stp/>
        <stp>P</stp>
        <stp>0</stp>
        <stp>STK</stp>
        <stp>N039130</stp>
        <stp>고가</stp>
        <stp/>
        <stp/>
        <tr r="Q388" s="1"/>
      </tp>
      <tp>
        <v>367000</v>
        <stp/>
        <stp>P</stp>
        <stp>0</stp>
        <stp>STK</stp>
        <stp>N039030</stp>
        <stp>고가</stp>
        <stp/>
        <stp/>
        <tr r="Q139" s="1"/>
      </tp>
      <tp>
        <v>31150</v>
        <stp/>
        <stp>P</stp>
        <stp>0</stp>
        <stp>STK</stp>
        <stp>N041830</stp>
        <stp>저가</stp>
        <stp/>
        <stp/>
        <tr r="R546" s="1"/>
      </tp>
      <tp>
        <v>9150</v>
        <stp/>
        <stp>P</stp>
        <stp>0</stp>
        <stp>STK</stp>
        <stp>N441270</stp>
        <stp>저가</stp>
        <stp/>
        <stp/>
        <tr r="R572" s="1"/>
      </tp>
      <tp>
        <v>91000</v>
        <stp/>
        <stp>P</stp>
        <stp>0</stp>
        <stp>STK</stp>
        <stp>N241710</stp>
        <stp>저가</stp>
        <stp/>
        <stp/>
        <tr r="R360" s="1"/>
      </tp>
      <tp>
        <v>0</v>
        <stp/>
        <stp>P</stp>
        <stp>0</stp>
        <stp>STK</stp>
        <stp>N240810</stp>
        <stp>저가</stp>
        <stp/>
        <stp/>
        <tr r="R133" s="1"/>
      </tp>
      <tp>
        <v>265000</v>
        <stp/>
        <stp>P</stp>
        <stp>0</stp>
        <stp>STK</stp>
        <stp>N145020</stp>
        <stp>저가</stp>
        <stp/>
        <stp/>
        <tr r="R161" s="1"/>
      </tp>
      <tp>
        <v>46800</v>
        <stp/>
        <stp>P</stp>
        <stp>0</stp>
        <stp>STK</stp>
        <stp>N145720</stp>
        <stp>저가</stp>
        <stp/>
        <stp/>
        <tr r="R470" s="1"/>
      </tp>
      <tp>
        <v>94700</v>
        <stp/>
        <stp>P</stp>
        <stp>0</stp>
        <stp>STK</stp>
        <stp>N241710</stp>
        <stp>시가</stp>
        <stp/>
        <stp/>
        <tr r="P360" s="1"/>
      </tp>
      <tp>
        <v>9510</v>
        <stp/>
        <stp>P</stp>
        <stp>0</stp>
        <stp>STK</stp>
        <stp>N441270</stp>
        <stp>시가</stp>
        <stp/>
        <stp/>
        <tr r="P572" s="1"/>
      </tp>
      <tp>
        <v>32750</v>
        <stp/>
        <stp>P</stp>
        <stp>0</stp>
        <stp>STK</stp>
        <stp>N041830</stp>
        <stp>시가</stp>
        <stp/>
        <stp/>
        <tr r="P546" s="1"/>
      </tp>
      <tp>
        <v>0</v>
        <stp/>
        <stp>P</stp>
        <stp>0</stp>
        <stp>STK</stp>
        <stp>N240810</stp>
        <stp>시가</stp>
        <stp/>
        <stp/>
        <tr r="P133" s="1"/>
      </tp>
      <tp>
        <v>48100</v>
        <stp/>
        <stp>P</stp>
        <stp>0</stp>
        <stp>STK</stp>
        <stp>N145720</stp>
        <stp>시가</stp>
        <stp/>
        <stp/>
        <tr r="P470" s="1"/>
      </tp>
      <tp>
        <v>276500</v>
        <stp/>
        <stp>P</stp>
        <stp>0</stp>
        <stp>STK</stp>
        <stp>N145020</stp>
        <stp>시가</stp>
        <stp/>
        <stp/>
        <tr r="P161" s="1"/>
      </tp>
      <tp>
        <v>277500</v>
        <stp/>
        <stp>P</stp>
        <stp>0</stp>
        <stp>STK</stp>
        <stp>N145020</stp>
        <stp>고가</stp>
        <stp/>
        <stp/>
        <tr r="Q161" s="1"/>
      </tp>
      <tp>
        <v>48100</v>
        <stp/>
        <stp>P</stp>
        <stp>0</stp>
        <stp>STK</stp>
        <stp>N145720</stp>
        <stp>고가</stp>
        <stp/>
        <stp/>
        <tr r="Q470" s="1"/>
      </tp>
      <tp>
        <v>32750</v>
        <stp/>
        <stp>P</stp>
        <stp>0</stp>
        <stp>STK</stp>
        <stp>N041830</stp>
        <stp>고가</stp>
        <stp/>
        <stp/>
        <tr r="Q546" s="1"/>
      </tp>
      <tp>
        <v>9510</v>
        <stp/>
        <stp>P</stp>
        <stp>0</stp>
        <stp>STK</stp>
        <stp>N441270</stp>
        <stp>고가</stp>
        <stp/>
        <stp/>
        <tr r="Q572" s="1"/>
      </tp>
      <tp>
        <v>94700</v>
        <stp/>
        <stp>P</stp>
        <stp>0</stp>
        <stp>STK</stp>
        <stp>N241710</stp>
        <stp>고가</stp>
        <stp/>
        <stp/>
        <tr r="Q360" s="1"/>
      </tp>
      <tp>
        <v>0</v>
        <stp/>
        <stp>P</stp>
        <stp>0</stp>
        <stp>STK</stp>
        <stp>N240810</stp>
        <stp>고가</stp>
        <stp/>
        <stp/>
        <tr r="Q133" s="1"/>
      </tp>
      <tp>
        <v>15520</v>
        <stp/>
        <stp>P</stp>
        <stp>0</stp>
        <stp>STK</stp>
        <stp>N053030</stp>
        <stp>저가</stp>
        <stp/>
        <stp/>
        <tr r="R509" s="1"/>
      </tp>
      <tp>
        <v>60600</v>
        <stp/>
        <stp>P</stp>
        <stp>0</stp>
        <stp>STK</stp>
        <stp>N353200</stp>
        <stp>저가</stp>
        <stp/>
        <stp/>
        <tr r="R179" s="1"/>
      </tp>
      <tp>
        <v>0</v>
        <stp/>
        <stp>P</stp>
        <stp>0</stp>
        <stp>STK</stp>
        <stp>N458870</stp>
        <stp>시가</stp>
        <stp/>
        <stp/>
        <tr r="P224" s="1"/>
      </tp>
      <tp>
        <v>16170</v>
        <stp/>
        <stp>P</stp>
        <stp>0</stp>
        <stp>STK</stp>
        <stp>N053030</stp>
        <stp>시가</stp>
        <stp/>
        <stp/>
        <tr r="P509" s="1"/>
      </tp>
      <tp>
        <v>62500</v>
        <stp/>
        <stp>P</stp>
        <stp>0</stp>
        <stp>STK</stp>
        <stp>N353200</stp>
        <stp>시가</stp>
        <stp/>
        <stp/>
        <tr r="P179" s="1"/>
      </tp>
      <tp>
        <v>0</v>
        <stp/>
        <stp>P</stp>
        <stp>0</stp>
        <stp>STK</stp>
        <stp>N458870</stp>
        <stp>저가</stp>
        <stp/>
        <stp/>
        <tr r="R224" s="1"/>
      </tp>
      <tp>
        <v>16290</v>
        <stp/>
        <stp>P</stp>
        <stp>0</stp>
        <stp>STK</stp>
        <stp>N053030</stp>
        <stp>고가</stp>
        <stp/>
        <stp/>
        <tr r="Q509" s="1"/>
      </tp>
      <tp>
        <v>63400</v>
        <stp/>
        <stp>P</stp>
        <stp>0</stp>
        <stp>STK</stp>
        <stp>N353200</stp>
        <stp>고가</stp>
        <stp/>
        <stp/>
        <tr r="Q179" s="1"/>
      </tp>
      <tp>
        <v>0</v>
        <stp/>
        <stp>P</stp>
        <stp>0</stp>
        <stp>STK</stp>
        <stp>N458870</stp>
        <stp>고가</stp>
        <stp/>
        <stp/>
        <tr r="Q224" s="1"/>
      </tp>
      <tp>
        <v>33400</v>
        <stp/>
        <stp>P</stp>
        <stp>0</stp>
        <stp>STK</stp>
        <stp>N462870</stp>
        <stp>저가</stp>
        <stp/>
        <stp/>
        <tr r="R217" s="1"/>
      </tp>
      <tp>
        <v>34550</v>
        <stp/>
        <stp>P</stp>
        <stp>0</stp>
        <stp>STK</stp>
        <stp>N462870</stp>
        <stp>시가</stp>
        <stp/>
        <stp/>
        <tr r="P217" s="1"/>
      </tp>
      <tp>
        <v>34550</v>
        <stp/>
        <stp>P</stp>
        <stp>0</stp>
        <stp>STK</stp>
        <stp>N462870</stp>
        <stp>고가</stp>
        <stp/>
        <stp/>
        <tr r="Q217" s="1"/>
      </tp>
      <tp>
        <v>37750</v>
        <stp/>
        <stp>P</stp>
        <stp>0</stp>
        <stp>STK</stp>
        <stp>N178320</stp>
        <stp>시가</stp>
        <stp/>
        <stp/>
        <tr r="P231" s="1"/>
      </tp>
      <tp>
        <v>68600</v>
        <stp/>
        <stp>P</stp>
        <stp>0</stp>
        <stp>STK</stp>
        <stp>N078930</stp>
        <stp>시가</stp>
        <stp/>
        <stp/>
        <tr r="P104" s="1"/>
      </tp>
      <tp>
        <v>16260</v>
        <stp/>
        <stp>P</stp>
        <stp>0</stp>
        <stp>STK</stp>
        <stp>N178920</stp>
        <stp>시가</stp>
        <stp/>
        <stp/>
        <tr r="P504" s="1"/>
      </tp>
      <tp>
        <v>91000</v>
        <stp/>
        <stp>P</stp>
        <stp>0</stp>
        <stp>STK</stp>
        <stp>N272210</stp>
        <stp>저가</stp>
        <stp/>
        <stp/>
        <tr r="R53" s="1"/>
      </tp>
      <tp>
        <v>697000</v>
        <stp/>
        <stp>P</stp>
        <stp>0</stp>
        <stp>STK</stp>
        <stp>N277810</stp>
        <stp>저가</stp>
        <stp/>
        <stp/>
        <tr r="R74" s="1"/>
      </tp>
      <tp>
        <v>61800</v>
        <stp/>
        <stp>P</stp>
        <stp>0</stp>
        <stp>STK</stp>
        <stp>N377300</stp>
        <stp>저가</stp>
        <stp/>
        <stp/>
        <tr r="R95" s="1"/>
      </tp>
      <tp>
        <v>57500</v>
        <stp/>
        <stp>P</stp>
        <stp>0</stp>
        <stp>STK</stp>
        <stp>N376900</stp>
        <stp>저가</stp>
        <stp/>
        <stp/>
        <tr r="R313" s="1"/>
      </tp>
      <tp>
        <v>34000</v>
        <stp/>
        <stp>P</stp>
        <stp>0</stp>
        <stp>STK</stp>
        <stp>N376300</stp>
        <stp>저가</stp>
        <stp/>
        <stp/>
        <tr r="R367" s="1"/>
      </tp>
      <tp>
        <v>43250</v>
        <stp/>
        <stp>P</stp>
        <stp>0</stp>
        <stp>STK</stp>
        <stp>N375500</stp>
        <stp>저가</stp>
        <stp/>
        <stp/>
        <tr r="R238" s="1"/>
      </tp>
      <tp>
        <v>91300</v>
        <stp/>
        <stp>P</stp>
        <stp>0</stp>
        <stp>STK</stp>
        <stp>N272210</stp>
        <stp>시가</stp>
        <stp/>
        <stp/>
        <tr r="P53" s="1"/>
      </tp>
      <tp>
        <v>66200</v>
        <stp/>
        <stp>P</stp>
        <stp>0</stp>
        <stp>STK</stp>
        <stp>N078930</stp>
        <stp>저가</stp>
        <stp/>
        <stp/>
        <tr r="R104" s="1"/>
      </tp>
      <tp>
        <v>15850</v>
        <stp/>
        <stp>P</stp>
        <stp>0</stp>
        <stp>STK</stp>
        <stp>N178920</stp>
        <stp>저가</stp>
        <stp/>
        <stp/>
        <tr r="R504" s="1"/>
      </tp>
      <tp>
        <v>35600</v>
        <stp/>
        <stp>P</stp>
        <stp>0</stp>
        <stp>STK</stp>
        <stp>N178320</stp>
        <stp>저가</stp>
        <stp/>
        <stp/>
        <tr r="R231" s="1"/>
      </tp>
      <tp>
        <v>44300</v>
        <stp/>
        <stp>P</stp>
        <stp>0</stp>
        <stp>STK</stp>
        <stp>N375500</stp>
        <stp>시가</stp>
        <stp/>
        <stp/>
        <tr r="P238" s="1"/>
      </tp>
      <tp>
        <v>64300</v>
        <stp/>
        <stp>P</stp>
        <stp>0</stp>
        <stp>STK</stp>
        <stp>N377300</stp>
        <stp>시가</stp>
        <stp/>
        <stp/>
        <tr r="P95" s="1"/>
      </tp>
      <tp>
        <v>715000</v>
        <stp/>
        <stp>P</stp>
        <stp>0</stp>
        <stp>STK</stp>
        <stp>N277810</stp>
        <stp>시가</stp>
        <stp/>
        <stp/>
        <tr r="P74" s="1"/>
      </tp>
      <tp>
        <v>36100</v>
        <stp/>
        <stp>P</stp>
        <stp>0</stp>
        <stp>STK</stp>
        <stp>N376300</stp>
        <stp>시가</stp>
        <stp/>
        <stp/>
        <tr r="P367" s="1"/>
      </tp>
      <tp>
        <v>60400</v>
        <stp/>
        <stp>P</stp>
        <stp>0</stp>
        <stp>STK</stp>
        <stp>N376900</stp>
        <stp>시가</stp>
        <stp/>
        <stp/>
        <tr r="P313" s="1"/>
      </tp>
      <tp>
        <v>755000</v>
        <stp/>
        <stp>P</stp>
        <stp>0</stp>
        <stp>STK</stp>
        <stp>N277810</stp>
        <stp>고가</stp>
        <stp/>
        <stp/>
        <tr r="Q74" s="1"/>
      </tp>
      <tp>
        <v>66900</v>
        <stp/>
        <stp>P</stp>
        <stp>0</stp>
        <stp>STK</stp>
        <stp>N377300</stp>
        <stp>고가</stp>
        <stp/>
        <stp/>
        <tr r="Q95" s="1"/>
      </tp>
      <tp>
        <v>62600</v>
        <stp/>
        <stp>P</stp>
        <stp>0</stp>
        <stp>STK</stp>
        <stp>N376900</stp>
        <stp>고가</stp>
        <stp/>
        <stp/>
        <tr r="Q313" s="1"/>
      </tp>
      <tp>
        <v>36850</v>
        <stp/>
        <stp>P</stp>
        <stp>0</stp>
        <stp>STK</stp>
        <stp>N376300</stp>
        <stp>고가</stp>
        <stp/>
        <stp/>
        <tr r="Q367" s="1"/>
      </tp>
      <tp>
        <v>44300</v>
        <stp/>
        <stp>P</stp>
        <stp>0</stp>
        <stp>STK</stp>
        <stp>N375500</stp>
        <stp>고가</stp>
        <stp/>
        <stp/>
        <tr r="Q238" s="1"/>
      </tp>
      <tp>
        <v>97900</v>
        <stp/>
        <stp>P</stp>
        <stp>0</stp>
        <stp>STK</stp>
        <stp>N272210</stp>
        <stp>고가</stp>
        <stp/>
        <stp/>
        <tr r="Q53" s="1"/>
      </tp>
      <tp>
        <v>69000</v>
        <stp/>
        <stp>P</stp>
        <stp>0</stp>
        <stp>STK</stp>
        <stp>N078930</stp>
        <stp>고가</stp>
        <stp/>
        <stp/>
        <tr r="Q104" s="1"/>
      </tp>
      <tp>
        <v>16650</v>
        <stp/>
        <stp>P</stp>
        <stp>0</stp>
        <stp>STK</stp>
        <stp>N178920</stp>
        <stp>고가</stp>
        <stp/>
        <stp/>
        <tr r="Q504" s="1"/>
      </tp>
      <tp>
        <v>38000</v>
        <stp/>
        <stp>P</stp>
        <stp>0</stp>
        <stp>STK</stp>
        <stp>N178320</stp>
        <stp>고가</stp>
        <stp/>
        <stp/>
        <tr r="Q231" s="1"/>
      </tp>
      <tp>
        <v>15860</v>
        <stp/>
        <stp>P</stp>
        <stp>0</stp>
        <stp>STK</stp>
        <stp>039840</stp>
        <stp>현재가</stp>
        <stp/>
        <stp/>
        <tr r="U696" s="1"/>
      </tp>
      <tp>
        <v>66400</v>
        <stp/>
        <stp>P</stp>
        <stp>0</stp>
        <stp>STK</stp>
        <stp>439260</stp>
        <stp>현재가</stp>
        <stp/>
        <stp/>
        <tr r="U172" s="1"/>
      </tp>
      <tp>
        <v>54700</v>
        <stp/>
        <stp>P</stp>
        <stp>0</stp>
        <stp>STK</stp>
        <stp>039200</stp>
        <stp>현재가</stp>
        <stp/>
        <stp/>
        <tr r="U239" s="1"/>
      </tp>
      <tp>
        <v>45750</v>
        <stp/>
        <stp>P</stp>
        <stp>0</stp>
        <stp>STK</stp>
        <stp>039130</stp>
        <stp>현재가</stp>
        <stp/>
        <stp/>
        <tr r="U388" s="1"/>
      </tp>
      <tp>
        <v>15630</v>
        <stp/>
        <stp>P</stp>
        <stp>0</stp>
        <stp>STK</stp>
        <stp>139130</stp>
        <stp>현재가</stp>
        <stp/>
        <stp/>
        <tr r="U196" s="1"/>
      </tp>
      <tp>
        <v>14140</v>
        <stp/>
        <stp>P</stp>
        <stp>0</stp>
        <stp>STK</stp>
        <stp>439090</stp>
        <stp>현재가</stp>
        <stp/>
        <stp/>
        <tr r="U695" s="1"/>
      </tp>
      <tp>
        <v>369000</v>
        <stp/>
        <stp>P</stp>
        <stp>0</stp>
        <stp>STK</stp>
        <stp>039030</stp>
        <stp>현재가</stp>
        <stp/>
        <stp/>
        <tr r="U139" s="1"/>
      </tp>
      <tp>
        <v>435000</v>
        <stp/>
        <stp>P</stp>
        <stp>0</stp>
        <stp>STK</stp>
        <stp>039490</stp>
        <stp>현재가</stp>
        <stp/>
        <stp/>
        <tr r="U85" s="1"/>
      </tp>
      <tp>
        <v>89800</v>
        <stp/>
        <stp>P</stp>
        <stp>0</stp>
        <stp>STK</stp>
        <stp>139480</stp>
        <stp>현재가</stp>
        <stp/>
        <stp/>
        <tr r="U194" s="1"/>
      </tp>
      <tp>
        <v>36300</v>
        <stp/>
        <stp>P</stp>
        <stp>0</stp>
        <stp>STK</stp>
        <stp>039440</stp>
        <stp>현재가</stp>
        <stp/>
        <stp/>
        <tr r="U497" s="1"/>
      </tp>
      <tp>
        <v>16870</v>
        <stp/>
        <stp>P</stp>
        <stp>0</stp>
        <stp>STK</stp>
        <stp>138930</stp>
        <stp>현재가</stp>
        <stp/>
        <stp/>
        <tr r="U115" s="1"/>
      </tp>
      <tp>
        <v>23700</v>
        <stp/>
        <stp>P</stp>
        <stp>0</stp>
        <stp>STK</stp>
        <stp>338840</stp>
        <stp>현재가</stp>
        <stp/>
        <stp/>
        <tr r="U583" s="1"/>
      </tp>
      <tp>
        <v>20750</v>
        <stp/>
        <stp>P</stp>
        <stp>0</stp>
        <stp>STK</stp>
        <stp>338220</stp>
        <stp>현재가</stp>
        <stp/>
        <stp/>
        <tr r="U646" s="1"/>
      </tp>
      <tp>
        <v>120700</v>
        <stp/>
        <stp>P</stp>
        <stp>0</stp>
        <stp>STK</stp>
        <stp>138040</stp>
        <stp>현재가</stp>
        <stp/>
        <stp/>
        <tr r="U47" s="1"/>
      </tp>
      <tp>
        <v>34650</v>
        <stp/>
        <stp>P</stp>
        <stp>0</stp>
        <stp>STK</stp>
        <stp>138610</stp>
        <stp>현재가</stp>
        <stp/>
        <stp/>
        <tr r="U548" s="1"/>
      </tp>
      <tp>
        <v>9640</v>
        <stp/>
        <stp>P</stp>
        <stp>0</stp>
        <stp>STK</stp>
        <stp>138490</stp>
        <stp>현재가</stp>
        <stp/>
        <stp/>
        <tr r="U611" s="1"/>
      </tp>
      <tp>
        <v>71600</v>
        <stp/>
        <stp>P</stp>
        <stp>0</stp>
        <stp>STK</stp>
        <stp>035900</stp>
        <stp>현재가</stp>
        <stp/>
        <stp/>
        <tr r="U188" s="1"/>
      </tp>
      <tp>
        <v>17260</v>
        <stp/>
        <stp>P</stp>
        <stp>0</stp>
        <stp>STK</stp>
        <stp>035250</stp>
        <stp>현재가</stp>
        <stp/>
        <stp/>
        <tr r="U131" s="1"/>
      </tp>
      <tp>
        <v>12700</v>
        <stp/>
        <stp>P</stp>
        <stp>0</stp>
        <stp>STK</stp>
        <stp>035150</stp>
        <stp>현재가</stp>
        <stp/>
        <stp/>
        <tr r="U666" s="1"/>
      </tp>
      <tp>
        <v>60000</v>
        <stp/>
        <stp>P</stp>
        <stp>0</stp>
        <stp>STK</stp>
        <stp>035720</stp>
        <stp>현재가</stp>
        <stp/>
        <stp/>
        <tr r="U35" s="1"/>
      </tp>
      <tp>
        <v>71000</v>
        <stp/>
        <stp>P</stp>
        <stp>0</stp>
        <stp>STK</stp>
        <stp>035760</stp>
        <stp>현재가</stp>
        <stp/>
        <stp/>
        <tr r="U263" s="1"/>
      </tp>
      <tp>
        <v>11600</v>
        <stp/>
        <stp>P</stp>
        <stp>0</stp>
        <stp>STK</stp>
        <stp>035600</stp>
        <stp>현재가</stp>
        <stp/>
        <stp/>
        <tr r="U655" s="1"/>
      </tp>
      <tp>
        <v>274500</v>
        <stp/>
        <stp>P</stp>
        <stp>0</stp>
        <stp>STK</stp>
        <stp>035420</stp>
        <stp>현재가</stp>
        <stp/>
        <stp/>
        <tr r="U26" s="1"/>
      </tp>
      <tp>
        <v>96600</v>
        <stp/>
        <stp>P</stp>
        <stp>0</stp>
        <stp>STK</stp>
        <stp>034950</stp>
        <stp>현재가</stp>
        <stp/>
        <stp/>
        <tr r="U511" s="1"/>
      </tp>
      <tp>
        <v>13670</v>
        <stp/>
        <stp>P</stp>
        <stp>0</stp>
        <stp>STK</stp>
        <stp>034310</stp>
        <stp>현재가</stp>
        <stp/>
        <stp/>
        <tr r="U491" s="1"/>
      </tp>
      <tp>
        <v>17660</v>
        <stp/>
        <stp>P</stp>
        <stp>0</stp>
        <stp>STK</stp>
        <stp>034230</stp>
        <stp>현재가</stp>
        <stp/>
        <stp/>
        <tr r="U245" s="1"/>
      </tp>
      <tp>
        <v>11460</v>
        <stp/>
        <stp>P</stp>
        <stp>0</stp>
        <stp>STK</stp>
        <stp>034220</stp>
        <stp>현재가</stp>
        <stp/>
        <stp/>
        <tr r="U102" s="1"/>
      </tp>
      <tp>
        <v>18430</v>
        <stp/>
        <stp>P</stp>
        <stp>0</stp>
        <stp>STK</stp>
        <stp>034120</stp>
        <stp>현재가</stp>
        <stp/>
        <stp/>
        <tr r="U584" s="1"/>
      </tp>
      <tp>
        <v>89200</v>
        <stp/>
        <stp>P</stp>
        <stp>0</stp>
        <stp>STK</stp>
        <stp>034020</stp>
        <stp>현재가</stp>
        <stp/>
        <stp/>
        <tr r="U17" s="1"/>
      </tp>
      <tp>
        <v>321500</v>
        <stp/>
        <stp>P</stp>
        <stp>0</stp>
        <stp>STK</stp>
        <stp>034730</stp>
        <stp>현재가</stp>
        <stp/>
        <stp/>
        <tr r="U41" s="1"/>
      </tp>
      <tp>
        <v>13230</v>
        <stp/>
        <stp>P</stp>
        <stp>0</stp>
        <stp>STK</stp>
        <stp>237880</stp>
        <stp>현재가</stp>
        <stp/>
        <stp/>
        <tr r="U693" s="1"/>
      </tp>
      <tp>
        <v>9050</v>
        <stp/>
        <stp>P</stp>
        <stp>0</stp>
        <stp>STK</stp>
        <stp>137310</stp>
        <stp>현재가</stp>
        <stp/>
        <stp/>
        <tr r="U315" s="1"/>
      </tp>
      <tp>
        <v>31150</v>
        <stp/>
        <stp>P</stp>
        <stp>0</stp>
        <stp>STK</stp>
        <stp>037710</stp>
        <stp>현재가</stp>
        <stp/>
        <stp/>
        <tr r="U676" s="1"/>
      </tp>
      <tp>
        <v>65500</v>
        <stp/>
        <stp>P</stp>
        <stp>0</stp>
        <stp>STK</stp>
        <stp>437730</stp>
        <stp>현재가</stp>
        <stp/>
        <stp/>
        <tr r="U195" s="1"/>
      </tp>
      <tp>
        <v>156000</v>
        <stp/>
        <stp>P</stp>
        <stp>0</stp>
        <stp>STK</stp>
        <stp>237690</stp>
        <stp>현재가</stp>
        <stp/>
        <stp/>
        <tr r="U185" s="1"/>
      </tp>
      <tp>
        <v>56400</v>
        <stp/>
        <stp>P</stp>
        <stp>0</stp>
        <stp>STK</stp>
        <stp>137400</stp>
        <stp>현재가</stp>
        <stp/>
        <stp/>
        <tr r="U325" s="1"/>
      </tp>
      <tp>
        <v>42700</v>
        <stp/>
        <stp>P</stp>
        <stp>0</stp>
        <stp>STK</stp>
        <stp>036930</stp>
        <stp>현재가</stp>
        <stp/>
        <stp/>
        <tr r="U251" s="1"/>
      </tp>
      <tp>
        <v>14060</v>
        <stp/>
        <stp>P</stp>
        <stp>0</stp>
        <stp>STK</stp>
        <stp>036890</stp>
        <stp>현재가</stp>
        <stp/>
        <stp/>
        <tr r="U624" s="1"/>
      </tp>
      <tp>
        <v>55600</v>
        <stp/>
        <stp>P</stp>
        <stp>0</stp>
        <stp>STK</stp>
        <stp>036830</stp>
        <stp>현재가</stp>
        <stp/>
        <stp/>
        <tr r="U352" s="1"/>
      </tp>
      <tp>
        <v>45500</v>
        <stp/>
        <stp>P</stp>
        <stp>0</stp>
        <stp>STK</stp>
        <stp>036810</stp>
        <stp>현재가</stp>
        <stp/>
        <stp/>
        <tr r="U382" s="1"/>
      </tp>
      <tp>
        <v>24050</v>
        <stp/>
        <stp>P</stp>
        <stp>0</stp>
        <stp>STK</stp>
        <stp>036800</stp>
        <stp>현재가</stp>
        <stp/>
        <stp/>
        <tr r="U691" s="1"/>
      </tp>
      <tp>
        <v>7960</v>
        <stp/>
        <stp>P</stp>
        <stp>0</stp>
        <stp>STK</stp>
        <stp>336370</stp>
        <stp>현재가</stp>
        <stp/>
        <stp/>
        <tr r="U460" s="1"/>
      </tp>
      <tp>
        <v>43450</v>
        <stp/>
        <stp>P</stp>
        <stp>0</stp>
        <stp>STK</stp>
        <stp>236200</stp>
        <stp>현재가</stp>
        <stp/>
        <stp/>
        <tr r="U667" s="1"/>
      </tp>
      <tp>
        <v>11190</v>
        <stp/>
        <stp>P</stp>
        <stp>0</stp>
        <stp>STK</stp>
        <stp>036200</stp>
        <stp>현재가</stp>
        <stp/>
        <stp/>
        <tr r="U629" s="1"/>
      </tp>
      <tp>
        <v>33250</v>
        <stp/>
        <stp>P</stp>
        <stp>0</stp>
        <stp>STK</stp>
        <stp>336260</stp>
        <stp>현재가</stp>
        <stp/>
        <stp/>
        <tr r="U186" s="1"/>
      </tp>
      <tp>
        <v>6600</v>
        <stp/>
        <stp>P</stp>
        <stp>0</stp>
        <stp>STK</stp>
        <stp>036620</stp>
        <stp>현재가</stp>
        <stp/>
        <stp/>
        <tr r="U481" s="1"/>
      </tp>
      <tp>
        <v>53500</v>
        <stp/>
        <stp>P</stp>
        <stp>0</stp>
        <stp>STK</stp>
        <stp>036530</stp>
        <stp>현재가</stp>
        <stp/>
        <stp/>
        <tr r="U328" s="1"/>
      </tp>
      <tp>
        <v>225500</v>
        <stp/>
        <stp>P</stp>
        <stp>0</stp>
        <stp>STK</stp>
        <stp>036570</stp>
        <stp>현재가</stp>
        <stp/>
        <stp/>
        <tr r="U114" s="1"/>
      </tp>
      <tp>
        <v>7480</v>
        <stp/>
        <stp>P</stp>
        <stp>0</stp>
        <stp>STK</stp>
        <stp>036540</stp>
        <stp>현재가</stp>
        <stp/>
        <stp/>
        <tr r="U334" s="1"/>
      </tp>
      <tp>
        <v>9850</v>
        <stp/>
        <stp>P</stp>
        <stp>0</stp>
        <stp>STK</stp>
        <stp>336570</stp>
        <stp>현재가</stp>
        <stp/>
        <stp/>
        <tr r="U375" s="1"/>
      </tp>
      <tp>
        <v>39700</v>
        <stp/>
        <stp>P</stp>
        <stp>0</stp>
        <stp>STK</stp>
        <stp>036460</stp>
        <stp>현재가</stp>
        <stp/>
        <stp/>
        <tr r="U137" s="1"/>
      </tp>
      <tp>
        <v>78900</v>
        <stp/>
        <stp>P</stp>
        <stp>0</stp>
        <stp>STK</stp>
        <stp>031980</stp>
        <stp>현재가</stp>
        <stp/>
        <stp/>
        <tr r="U261" s="1"/>
      </tp>
      <tp>
        <v>66100</v>
        <stp/>
        <stp>P</stp>
        <stp>0</stp>
        <stp>STK</stp>
        <stp>131970</stp>
        <stp>현재가</stp>
        <stp/>
        <stp/>
        <tr r="U311" s="1"/>
      </tp>
      <tp>
        <v>80000</v>
        <stp/>
        <stp>P</stp>
        <stp>0</stp>
        <stp>STK</stp>
        <stp>131290</stp>
        <stp>현재가</stp>
        <stp/>
        <stp/>
        <tr r="U346" s="1"/>
      </tp>
      <tp>
        <v>49700</v>
        <stp/>
        <stp>P</stp>
        <stp>0</stp>
        <stp>STK</stp>
        <stp>031210</stp>
        <stp>현재가</stp>
        <stp/>
        <stp/>
        <tr r="U143" s="1"/>
      </tp>
      <tp>
        <v>11940</v>
        <stp/>
        <stp>P</stp>
        <stp>0</stp>
        <stp>STK</stp>
        <stp>031430</stp>
        <stp>현재가</stp>
        <stp/>
        <stp/>
        <tr r="U550" s="1"/>
      </tp>
      <tp>
        <v>15890</v>
        <stp/>
        <stp>P</stp>
        <stp>0</stp>
        <stp>STK</stp>
        <stp>230360</stp>
        <stp>현재가</stp>
        <stp/>
        <stp/>
        <tr r="U485" s="1"/>
      </tp>
      <tp>
        <v>56900</v>
        <stp/>
        <stp>P</stp>
        <stp>0</stp>
        <stp>STK</stp>
        <stp>030200</stp>
        <stp>현재가</stp>
        <stp/>
        <stp/>
        <tr r="U62" s="1"/>
      </tp>
      <tp>
        <v>17210</v>
        <stp/>
        <stp>P</stp>
        <stp>0</stp>
        <stp>STK</stp>
        <stp>030190</stp>
        <stp>현재가</stp>
        <stp/>
        <stp/>
        <tr r="U317" s="1"/>
      </tp>
      <tp>
        <v>21550</v>
        <stp/>
        <stp>P</stp>
        <stp>0</stp>
        <stp>STK</stp>
        <stp>030000</stp>
        <stp>현재가</stp>
        <stp/>
        <stp/>
        <tr r="U187" s="1"/>
      </tp>
      <tp>
        <v>11740</v>
        <stp/>
        <stp>P</stp>
        <stp>0</stp>
        <stp>STK</stp>
        <stp>030610</stp>
        <stp>현재가</stp>
        <stp/>
        <stp/>
        <tr r="U289" s="1"/>
      </tp>
      <tp>
        <v>13330</v>
        <stp/>
        <stp>P</stp>
        <stp>0</stp>
        <stp>STK</stp>
        <stp>130660</stp>
        <stp>현재가</stp>
        <stp/>
        <stp/>
        <tr r="U521" s="1"/>
      </tp>
      <tp>
        <v>41850</v>
        <stp/>
        <stp>P</stp>
        <stp>0</stp>
        <stp>STK</stp>
        <stp>030530</stp>
        <stp>현재가</stp>
        <stp/>
        <stp/>
        <tr r="U149" s="1"/>
      </tp>
      <tp>
        <v>25200</v>
        <stp/>
        <stp>P</stp>
        <stp>0</stp>
        <stp>STK</stp>
        <stp>030520</stp>
        <stp>현재가</stp>
        <stp/>
        <stp/>
        <tr r="U457" s="1"/>
      </tp>
      <tp>
        <v>18860</v>
        <stp/>
        <stp>P</stp>
        <stp>0</stp>
        <stp>STK</stp>
        <stp>033270</stp>
        <stp>현재가</stp>
        <stp/>
        <stp/>
        <tr r="U628" s="1"/>
      </tp>
      <tp>
        <v>30850</v>
        <stp/>
        <stp>P</stp>
        <stp>0</stp>
        <stp>STK</stp>
        <stp>033240</stp>
        <stp>현재가</stp>
        <stp/>
        <stp/>
        <tr r="U464" s="1"/>
      </tp>
      <tp>
        <v>46600</v>
        <stp/>
        <stp>P</stp>
        <stp>0</stp>
        <stp>STK</stp>
        <stp>033100</stp>
        <stp>현재가</stp>
        <stp/>
        <stp/>
        <tr r="U406" s="1"/>
      </tp>
      <tp>
        <v>153300</v>
        <stp/>
        <stp>P</stp>
        <stp>0</stp>
        <stp>STK</stp>
        <stp>033780</stp>
        <stp>현재가</stp>
        <stp/>
        <stp/>
        <tr r="U52" s="1"/>
      </tp>
      <tp>
        <v>18450</v>
        <stp/>
        <stp>P</stp>
        <stp>0</stp>
        <stp>STK</stp>
        <stp>033640</stp>
        <stp>현재가</stp>
        <stp/>
        <stp/>
        <tr r="U564" s="1"/>
      </tp>
      <tp>
        <v>27450</v>
        <stp/>
        <stp>P</stp>
        <stp>0</stp>
        <stp>STK</stp>
        <stp>033500</stp>
        <stp>현재가</stp>
        <stp/>
        <stp/>
        <tr r="U347" s="1"/>
      </tp>
      <tp>
        <v>185200</v>
        <stp/>
        <stp>P</stp>
        <stp>0</stp>
        <stp>STK</stp>
        <stp>032830</stp>
        <stp>현재가</stp>
        <stp/>
        <stp/>
        <tr r="U27" s="1"/>
      </tp>
      <tp>
        <v>25050</v>
        <stp/>
        <stp>P</stp>
        <stp>0</stp>
        <stp>STK</stp>
        <stp>032350</stp>
        <stp>현재가</stp>
        <stp/>
        <stp/>
        <tr r="U226" s="1"/>
      </tp>
      <tp>
        <v>26700</v>
        <stp/>
        <stp>P</stp>
        <stp>0</stp>
        <stp>STK</stp>
        <stp>032190</stp>
        <stp>현재가</stp>
        <stp/>
        <stp/>
        <tr r="U390" s="1"/>
      </tp>
      <tp>
        <v>19190</v>
        <stp/>
        <stp>P</stp>
        <stp>0</stp>
        <stp>STK</stp>
        <stp>232140</stp>
        <stp>현재가</stp>
        <stp/>
        <stp/>
        <tr r="U283" s="1"/>
      </tp>
      <tp>
        <v>15950</v>
        <stp/>
        <stp>P</stp>
        <stp>0</stp>
        <stp>STK</stp>
        <stp>032640</stp>
        <stp>현재가</stp>
        <stp/>
        <stp/>
        <tr r="U99" s="1"/>
      </tp>
      <tp>
        <v>18740</v>
        <stp/>
        <stp>P</stp>
        <stp>0</stp>
        <stp>STK</stp>
        <stp>032500</stp>
        <stp>현재가</stp>
        <stp/>
        <stp/>
        <tr r="U416" s="1"/>
      </tp>
      <tp>
        <v>40500</v>
        <stp/>
        <stp>P</stp>
        <stp>0</stp>
        <stp>STK</stp>
        <stp>N383310</stp>
        <stp>저가</stp>
        <stp/>
        <stp/>
        <tr r="R479" s="1"/>
      </tp>
      <tp>
        <v>128300</v>
        <stp/>
        <stp>P</stp>
        <stp>0</stp>
        <stp>STK</stp>
        <stp>N388210</stp>
        <stp>시가</stp>
        <stp/>
        <stp/>
        <tr r="P305" s="1"/>
      </tp>
      <tp>
        <v>20350</v>
        <stp/>
        <stp>P</stp>
        <stp>0</stp>
        <stp>STK</stp>
        <stp>N082920</stp>
        <stp>저가</stp>
        <stp/>
        <stp/>
        <tr r="R331" s="1"/>
      </tp>
      <tp>
        <v>41100</v>
        <stp/>
        <stp>P</stp>
        <stp>0</stp>
        <stp>STK</stp>
        <stp>N080220</stp>
        <stp>저가</stp>
        <stp/>
        <stp/>
        <tr r="R307" s="1"/>
      </tp>
      <tp>
        <v>160000</v>
        <stp/>
        <stp>P</stp>
        <stp>0</stp>
        <stp>STK</stp>
        <stp>N086520</stp>
        <stp>저가</stp>
        <stp/>
        <stp/>
        <tr r="R67" s="1"/>
      </tp>
      <tp>
        <v>9210</v>
        <stp/>
        <stp>P</stp>
        <stp>0</stp>
        <stp>STK</stp>
        <stp>N085620</stp>
        <stp>저가</stp>
        <stp/>
        <stp/>
        <tr r="R244" s="1"/>
      </tp>
      <tp>
        <v>42100</v>
        <stp/>
        <stp>P</stp>
        <stp>0</stp>
        <stp>STK</stp>
        <stp>N080220</stp>
        <stp>시가</stp>
        <stp/>
        <stp/>
        <tr r="P307" s="1"/>
      </tp>
      <tp>
        <v>41900</v>
        <stp/>
        <stp>P</stp>
        <stp>0</stp>
        <stp>STK</stp>
        <stp>N383310</stp>
        <stp>시가</stp>
        <stp/>
        <stp/>
        <tr r="P479" s="1"/>
      </tp>
      <tp>
        <v>21050</v>
        <stp/>
        <stp>P</stp>
        <stp>0</stp>
        <stp>STK</stp>
        <stp>N082920</stp>
        <stp>시가</stp>
        <stp/>
        <stp/>
        <tr r="P331" s="1"/>
      </tp>
      <tp>
        <v>125100</v>
        <stp/>
        <stp>P</stp>
        <stp>0</stp>
        <stp>STK</stp>
        <stp>N388210</stp>
        <stp>저가</stp>
        <stp/>
        <stp/>
        <tr r="R305" s="1"/>
      </tp>
      <tp>
        <v>9310</v>
        <stp/>
        <stp>P</stp>
        <stp>0</stp>
        <stp>STK</stp>
        <stp>N085620</stp>
        <stp>시가</stp>
        <stp/>
        <stp/>
        <tr r="P244" s="1"/>
      </tp>
      <tp>
        <v>164500</v>
        <stp/>
        <stp>P</stp>
        <stp>0</stp>
        <stp>STK</stp>
        <stp>N086520</stp>
        <stp>시가</stp>
        <stp/>
        <stp/>
        <tr r="P67" s="1"/>
      </tp>
      <tp>
        <v>171900</v>
        <stp/>
        <stp>P</stp>
        <stp>0</stp>
        <stp>STK</stp>
        <stp>N086520</stp>
        <stp>고가</stp>
        <stp/>
        <stp/>
        <tr r="Q67" s="1"/>
      </tp>
      <tp>
        <v>9530</v>
        <stp/>
        <stp>P</stp>
        <stp>0</stp>
        <stp>STK</stp>
        <stp>N085620</stp>
        <stp>고가</stp>
        <stp/>
        <stp/>
        <tr r="Q244" s="1"/>
      </tp>
      <tp>
        <v>45200</v>
        <stp/>
        <stp>P</stp>
        <stp>0</stp>
        <stp>STK</stp>
        <stp>N383310</stp>
        <stp>고가</stp>
        <stp/>
        <stp/>
        <tr r="Q479" s="1"/>
      </tp>
      <tp>
        <v>21100</v>
        <stp/>
        <stp>P</stp>
        <stp>0</stp>
        <stp>STK</stp>
        <stp>N082920</stp>
        <stp>고가</stp>
        <stp/>
        <stp/>
        <tr r="Q331" s="1"/>
      </tp>
      <tp>
        <v>43850</v>
        <stp/>
        <stp>P</stp>
        <stp>0</stp>
        <stp>STK</stp>
        <stp>N080220</stp>
        <stp>고가</stp>
        <stp/>
        <stp/>
        <tr r="Q307" s="1"/>
      </tp>
      <tp>
        <v>131500</v>
        <stp/>
        <stp>P</stp>
        <stp>0</stp>
        <stp>STK</stp>
        <stp>N388210</stp>
        <stp>고가</stp>
        <stp/>
        <stp/>
        <tr r="Q305" s="1"/>
      </tp>
      <tp>
        <v>35250</v>
        <stp/>
        <stp>P</stp>
        <stp>0</stp>
        <stp>STK</stp>
        <stp>N199430</stp>
        <stp>시가</stp>
        <stp/>
        <stp/>
        <tr r="P488" s="1"/>
      </tp>
      <tp>
        <v>129200</v>
        <stp/>
        <stp>P</stp>
        <stp>0</stp>
        <stp>STK</stp>
        <stp>N093320</stp>
        <stp>저가</stp>
        <stp/>
        <stp/>
        <tr r="R432" s="1"/>
      </tp>
      <tp>
        <v>22850</v>
        <stp/>
        <stp>P</stp>
        <stp>0</stp>
        <stp>STK</stp>
        <stp>N093520</stp>
        <stp>저가</stp>
        <stp/>
        <stp/>
        <tr r="R630" s="1"/>
      </tp>
      <tp>
        <v>29400</v>
        <stp/>
        <stp>P</stp>
        <stp>0</stp>
        <stp>STK</stp>
        <stp>N097520</stp>
        <stp>저가</stp>
        <stp/>
        <stp/>
        <tr r="R450" s="1"/>
      </tp>
      <tp>
        <v>23400</v>
        <stp/>
        <stp>P</stp>
        <stp>0</stp>
        <stp>STK</stp>
        <stp>N093520</stp>
        <stp>시가</stp>
        <stp/>
        <stp/>
        <tr r="P630" s="1"/>
      </tp>
      <tp>
        <v>132700</v>
        <stp/>
        <stp>P</stp>
        <stp>0</stp>
        <stp>STK</stp>
        <stp>N093320</stp>
        <stp>시가</stp>
        <stp/>
        <stp/>
        <tr r="P432" s="1"/>
      </tp>
      <tp>
        <v>33100</v>
        <stp/>
        <stp>P</stp>
        <stp>0</stp>
        <stp>STK</stp>
        <stp>N199430</stp>
        <stp>저가</stp>
        <stp/>
        <stp/>
        <tr r="R488" s="1"/>
      </tp>
      <tp>
        <v>30050</v>
        <stp/>
        <stp>P</stp>
        <stp>0</stp>
        <stp>STK</stp>
        <stp>N097520</stp>
        <stp>시가</stp>
        <stp/>
        <stp/>
        <tr r="P450" s="1"/>
      </tp>
      <tp>
        <v>30450</v>
        <stp/>
        <stp>P</stp>
        <stp>0</stp>
        <stp>STK</stp>
        <stp>N097520</stp>
        <stp>고가</stp>
        <stp/>
        <stp/>
        <tr r="Q450" s="1"/>
      </tp>
      <tp>
        <v>136000</v>
        <stp/>
        <stp>P</stp>
        <stp>0</stp>
        <stp>STK</stp>
        <stp>N093320</stp>
        <stp>고가</stp>
        <stp/>
        <stp/>
        <tr r="Q432" s="1"/>
      </tp>
      <tp>
        <v>23650</v>
        <stp/>
        <stp>P</stp>
        <stp>0</stp>
        <stp>STK</stp>
        <stp>N093520</stp>
        <stp>고가</stp>
        <stp/>
        <stp/>
        <tr r="Q630" s="1"/>
      </tp>
      <tp>
        <v>35850</v>
        <stp/>
        <stp>P</stp>
        <stp>0</stp>
        <stp>STK</stp>
        <stp>N199430</stp>
        <stp>고가</stp>
        <stp/>
        <stp/>
        <tr r="Q488" s="1"/>
      </tp>
      <tp>
        <v>19840</v>
        <stp/>
        <stp>P</stp>
        <stp>0</stp>
        <stp>STK</stp>
        <stp>N009520</stp>
        <stp>시가</stp>
        <stp/>
        <stp/>
        <tr r="P366" s="1"/>
      </tp>
      <tp>
        <v>51000</v>
        <stp/>
        <stp>P</stp>
        <stp>0</stp>
        <stp>STK</stp>
        <stp>N009420</stp>
        <stp>시가</stp>
        <stp/>
        <stp/>
        <tr r="P190" s="1"/>
      </tp>
      <tp>
        <v>37350</v>
        <stp/>
        <stp>P</stp>
        <stp>0</stp>
        <stp>STK</stp>
        <stp>N309710</stp>
        <stp>시가</stp>
        <stp/>
        <stp/>
        <tr r="P517" s="1"/>
      </tp>
      <tp>
        <v>47000</v>
        <stp/>
        <stp>P</stp>
        <stp>0</stp>
        <stp>STK</stp>
        <stp>N003920</stp>
        <stp>저가</stp>
        <stp/>
        <stp/>
        <tr r="R620" s="1"/>
      </tp>
      <tp>
        <v>22000</v>
        <stp/>
        <stp>P</stp>
        <stp>0</stp>
        <stp>STK</stp>
        <stp>N003120</stp>
        <stp>저가</stp>
        <stp/>
        <stp/>
        <tr r="R633" s="1"/>
      </tp>
      <tp>
        <v>11340</v>
        <stp/>
        <stp>P</stp>
        <stp>0</stp>
        <stp>STK</stp>
        <stp>N003220</stp>
        <stp>저가</stp>
        <stp/>
        <stp/>
        <tr r="R670" s="1"/>
      </tp>
      <tp>
        <v>57800</v>
        <stp/>
        <stp>P</stp>
        <stp>0</stp>
        <stp>STK</stp>
        <stp>N002020</stp>
        <stp>저가</stp>
        <stp/>
        <stp/>
        <tr r="R443" s="1"/>
      </tp>
      <tp>
        <v>19820</v>
        <stp/>
        <stp>P</stp>
        <stp>0</stp>
        <stp>STK</stp>
        <stp>N002320</stp>
        <stp>저가</stp>
        <stp/>
        <stp/>
        <tr r="R622" s="1"/>
      </tp>
      <tp>
        <v>42500</v>
        <stp/>
        <stp>P</stp>
        <stp>0</stp>
        <stp>STK</stp>
        <stp>N101930</stp>
        <stp>저가</stp>
        <stp/>
        <stp/>
        <tr r="R525" s="1"/>
      </tp>
      <tp>
        <v>30800</v>
        <stp/>
        <stp>P</stp>
        <stp>0</stp>
        <stp>STK</stp>
        <stp>N001820</stp>
        <stp>저가</stp>
        <stp/>
        <stp/>
        <tr r="R598" s="1"/>
      </tp>
      <tp>
        <v>36750</v>
        <stp/>
        <stp>P</stp>
        <stp>0</stp>
        <stp>STK</stp>
        <stp>N001120</stp>
        <stp>저가</stp>
        <stp/>
        <stp/>
        <tr r="R260" s="1"/>
      </tp>
      <tp>
        <v>170100</v>
        <stp/>
        <stp>P</stp>
        <stp>0</stp>
        <stp>STK</stp>
        <stp>N001720</stp>
        <stp>저가</stp>
        <stp/>
        <stp/>
        <tr r="R184" s="1"/>
      </tp>
      <tp>
        <v>6810</v>
        <stp/>
        <stp>P</stp>
        <stp>0</stp>
        <stp>STK</stp>
        <stp>N101730</stp>
        <stp>저가</stp>
        <stp/>
        <stp/>
        <tr r="R475" s="1"/>
      </tp>
      <tp>
        <v>102100</v>
        <stp/>
        <stp>P</stp>
        <stp>0</stp>
        <stp>STK</stp>
        <stp>N000120</stp>
        <stp>저가</stp>
        <stp/>
        <stp/>
        <tr r="R197" s="1"/>
      </tp>
      <tp>
        <v>20550</v>
        <stp/>
        <stp>P</stp>
        <stp>0</stp>
        <stp>STK</stp>
        <stp>N000320</stp>
        <stp>저가</stp>
        <stp/>
        <stp/>
        <tr r="R657" s="1"/>
      </tp>
      <tp>
        <v>98500</v>
        <stp/>
        <stp>P</stp>
        <stp>0</stp>
        <stp>STK</stp>
        <stp>N000720</stp>
        <stp>저가</stp>
        <stp/>
        <stp/>
        <tr r="R68" s="1"/>
      </tp>
      <tp>
        <v>56000</v>
        <stp/>
        <stp>P</stp>
        <stp>0</stp>
        <stp>STK</stp>
        <stp>N006120</stp>
        <stp>저가</stp>
        <stp/>
        <stp/>
        <tr r="R294" s="1"/>
      </tp>
      <tp>
        <v>13780</v>
        <stp/>
        <stp>P</stp>
        <stp>0</stp>
        <stp>STK</stp>
        <stp>N006220</stp>
        <stp>저가</stp>
        <stp/>
        <stp/>
        <tr r="R515" s="1"/>
      </tp>
      <tp>
        <v>15900</v>
        <stp/>
        <stp>P</stp>
        <stp>0</stp>
        <stp>STK</stp>
        <stp>N005420</stp>
        <stp>저가</stp>
        <stp/>
        <stp/>
        <tr r="R446" s="1"/>
      </tp>
      <tp>
        <v>13800</v>
        <stp/>
        <stp>P</stp>
        <stp>0</stp>
        <stp>STK</stp>
        <stp>N105630</stp>
        <stp>저가</stp>
        <stp/>
        <stp/>
        <tr r="R444" s="1"/>
      </tp>
      <tp>
        <v>38050</v>
        <stp/>
        <stp>P</stp>
        <stp>0</stp>
        <stp>STK</stp>
        <stp>N104830</stp>
        <stp>저가</stp>
        <stp/>
        <stp/>
        <tr r="R507" s="1"/>
      </tp>
      <tp>
        <v>29700</v>
        <stp/>
        <stp>P</stp>
        <stp>0</stp>
        <stp>STK</stp>
        <stp>N004020</stp>
        <stp>저가</stp>
        <stp/>
        <stp/>
        <tr r="R125" s="1"/>
      </tp>
      <tp>
        <v>176500</v>
        <stp/>
        <stp>P</stp>
        <stp>0</stp>
        <stp>STK</stp>
        <stp>N001720</stp>
        <stp>시가</stp>
        <stp/>
        <stp/>
        <tr r="P184" s="1"/>
      </tp>
      <tp>
        <v>7820</v>
        <stp/>
        <stp>P</stp>
        <stp>0</stp>
        <stp>STK</stp>
        <stp>N101730</stp>
        <stp>시가</stp>
        <stp/>
        <stp/>
        <tr r="P475" s="1"/>
      </tp>
      <tp>
        <v>38000</v>
        <stp/>
        <stp>P</stp>
        <stp>0</stp>
        <stp>STK</stp>
        <stp>N001120</stp>
        <stp>시가</stp>
        <stp/>
        <stp/>
        <tr r="P260" s="1"/>
      </tp>
      <tp>
        <v>42950</v>
        <stp/>
        <stp>P</stp>
        <stp>0</stp>
        <stp>STK</stp>
        <stp>N101930</stp>
        <stp>시가</stp>
        <stp/>
        <stp/>
        <tr r="P525" s="1"/>
      </tp>
      <tp>
        <v>31500</v>
        <stp/>
        <stp>P</stp>
        <stp>0</stp>
        <stp>STK</stp>
        <stp>N001820</stp>
        <stp>시가</stp>
        <stp/>
        <stp/>
        <tr r="P598" s="1"/>
      </tp>
      <tp>
        <v>101500</v>
        <stp/>
        <stp>P</stp>
        <stp>0</stp>
        <stp>STK</stp>
        <stp>N000720</stp>
        <stp>시가</stp>
        <stp/>
        <stp/>
        <tr r="P68" s="1"/>
      </tp>
      <tp>
        <v>104000</v>
        <stp/>
        <stp>P</stp>
        <stp>0</stp>
        <stp>STK</stp>
        <stp>N000120</stp>
        <stp>시가</stp>
        <stp/>
        <stp/>
        <tr r="P197" s="1"/>
      </tp>
      <tp>
        <v>20950</v>
        <stp/>
        <stp>P</stp>
        <stp>0</stp>
        <stp>STK</stp>
        <stp>N000320</stp>
        <stp>시가</stp>
        <stp/>
        <stp/>
        <tr r="P657" s="1"/>
      </tp>
      <tp>
        <v>22000</v>
        <stp/>
        <stp>P</stp>
        <stp>0</stp>
        <stp>STK</stp>
        <stp>N003120</stp>
        <stp>시가</stp>
        <stp/>
        <stp/>
        <tr r="P633" s="1"/>
      </tp>
      <tp>
        <v>11650</v>
        <stp/>
        <stp>P</stp>
        <stp>0</stp>
        <stp>STK</stp>
        <stp>N003220</stp>
        <stp>시가</stp>
        <stp/>
        <stp/>
        <tr r="P670" s="1"/>
      </tp>
      <tp>
        <v>48000</v>
        <stp/>
        <stp>P</stp>
        <stp>0</stp>
        <stp>STK</stp>
        <stp>N003920</stp>
        <stp>시가</stp>
        <stp/>
        <stp/>
        <tr r="P620" s="1"/>
      </tp>
      <tp>
        <v>19140</v>
        <stp/>
        <stp>P</stp>
        <stp>0</stp>
        <stp>STK</stp>
        <stp>N009520</stp>
        <stp>저가</stp>
        <stp/>
        <stp/>
        <tr r="R366" s="1"/>
      </tp>
      <tp>
        <v>49650</v>
        <stp/>
        <stp>P</stp>
        <stp>0</stp>
        <stp>STK</stp>
        <stp>N009420</stp>
        <stp>저가</stp>
        <stp/>
        <stp/>
        <tr r="R190" s="1"/>
      </tp>
      <tp>
        <v>35400</v>
        <stp/>
        <stp>P</stp>
        <stp>0</stp>
        <stp>STK</stp>
        <stp>N309710</stp>
        <stp>저가</stp>
        <stp/>
        <stp/>
        <tr r="R517" s="1"/>
      </tp>
      <tp>
        <v>58200</v>
        <stp/>
        <stp>P</stp>
        <stp>0</stp>
        <stp>STK</stp>
        <stp>N002020</stp>
        <stp>시가</stp>
        <stp/>
        <stp/>
        <tr r="P443" s="1"/>
      </tp>
      <tp>
        <v>20000</v>
        <stp/>
        <stp>P</stp>
        <stp>0</stp>
        <stp>STK</stp>
        <stp>N002320</stp>
        <stp>시가</stp>
        <stp/>
        <stp/>
        <tr r="P622" s="1"/>
      </tp>
      <tp>
        <v>15900</v>
        <stp/>
        <stp>P</stp>
        <stp>0</stp>
        <stp>STK</stp>
        <stp>N005420</stp>
        <stp>시가</stp>
        <stp/>
        <stp/>
        <tr r="P446" s="1"/>
      </tp>
      <tp>
        <v>13900</v>
        <stp/>
        <stp>P</stp>
        <stp>0</stp>
        <stp>STK</stp>
        <stp>N105630</stp>
        <stp>시가</stp>
        <stp/>
        <stp/>
        <tr r="P444" s="1"/>
      </tp>
      <tp>
        <v>31300</v>
        <stp/>
        <stp>P</stp>
        <stp>0</stp>
        <stp>STK</stp>
        <stp>N004020</stp>
        <stp>시가</stp>
        <stp/>
        <stp/>
        <tr r="P125" s="1"/>
      </tp>
      <tp>
        <v>39800</v>
        <stp/>
        <stp>P</stp>
        <stp>0</stp>
        <stp>STK</stp>
        <stp>N104830</stp>
        <stp>시가</stp>
        <stp/>
        <stp/>
        <tr r="P507" s="1"/>
      </tp>
      <tp>
        <v>57500</v>
        <stp/>
        <stp>P</stp>
        <stp>0</stp>
        <stp>STK</stp>
        <stp>N006120</stp>
        <stp>시가</stp>
        <stp/>
        <stp/>
        <tr r="P294" s="1"/>
      </tp>
      <tp>
        <v>14070</v>
        <stp/>
        <stp>P</stp>
        <stp>0</stp>
        <stp>STK</stp>
        <stp>N006220</stp>
        <stp>시가</stp>
        <stp/>
        <stp/>
        <tr r="P515" s="1"/>
      </tp>
      <tp>
        <v>57900</v>
        <stp/>
        <stp>P</stp>
        <stp>0</stp>
        <stp>STK</stp>
        <stp>N006120</stp>
        <stp>고가</stp>
        <stp/>
        <stp/>
        <tr r="Q294" s="1"/>
      </tp>
      <tp>
        <v>14800</v>
        <stp/>
        <stp>P</stp>
        <stp>0</stp>
        <stp>STK</stp>
        <stp>N006220</stp>
        <stp>고가</stp>
        <stp/>
        <stp/>
        <tr r="Q515" s="1"/>
      </tp>
      <tp>
        <v>16890</v>
        <stp/>
        <stp>P</stp>
        <stp>0</stp>
        <stp>STK</stp>
        <stp>N005420</stp>
        <stp>고가</stp>
        <stp/>
        <stp/>
        <tr r="Q446" s="1"/>
      </tp>
      <tp>
        <v>14180</v>
        <stp/>
        <stp>P</stp>
        <stp>0</stp>
        <stp>STK</stp>
        <stp>N105630</stp>
        <stp>고가</stp>
        <stp/>
        <stp/>
        <tr r="Q444" s="1"/>
      </tp>
      <tp>
        <v>39800</v>
        <stp/>
        <stp>P</stp>
        <stp>0</stp>
        <stp>STK</stp>
        <stp>N104830</stp>
        <stp>고가</stp>
        <stp/>
        <stp/>
        <tr r="Q507" s="1"/>
      </tp>
      <tp>
        <v>31300</v>
        <stp/>
        <stp>P</stp>
        <stp>0</stp>
        <stp>STK</stp>
        <stp>N004020</stp>
        <stp>고가</stp>
        <stp/>
        <stp/>
        <tr r="Q125" s="1"/>
      </tp>
      <tp>
        <v>48000</v>
        <stp/>
        <stp>P</stp>
        <stp>0</stp>
        <stp>STK</stp>
        <stp>N003920</stp>
        <stp>고가</stp>
        <stp/>
        <stp/>
        <tr r="Q620" s="1"/>
      </tp>
      <tp>
        <v>28450</v>
        <stp/>
        <stp>P</stp>
        <stp>0</stp>
        <stp>STK</stp>
        <stp>N003120</stp>
        <stp>고가</stp>
        <stp/>
        <stp/>
        <tr r="Q633" s="1"/>
      </tp>
      <tp>
        <v>11850</v>
        <stp/>
        <stp>P</stp>
        <stp>0</stp>
        <stp>STK</stp>
        <stp>N003220</stp>
        <stp>고가</stp>
        <stp/>
        <stp/>
        <tr r="Q670" s="1"/>
      </tp>
      <tp>
        <v>60400</v>
        <stp/>
        <stp>P</stp>
        <stp>0</stp>
        <stp>STK</stp>
        <stp>N002020</stp>
        <stp>고가</stp>
        <stp/>
        <stp/>
        <tr r="Q443" s="1"/>
      </tp>
      <tp>
        <v>20150</v>
        <stp/>
        <stp>P</stp>
        <stp>0</stp>
        <stp>STK</stp>
        <stp>N002320</stp>
        <stp>고가</stp>
        <stp/>
        <stp/>
        <tr r="Q622" s="1"/>
      </tp>
      <tp>
        <v>44850</v>
        <stp/>
        <stp>P</stp>
        <stp>0</stp>
        <stp>STK</stp>
        <stp>N101930</stp>
        <stp>고가</stp>
        <stp/>
        <stp/>
        <tr r="Q525" s="1"/>
      </tp>
      <tp>
        <v>31700</v>
        <stp/>
        <stp>P</stp>
        <stp>0</stp>
        <stp>STK</stp>
        <stp>N001820</stp>
        <stp>고가</stp>
        <stp/>
        <stp/>
        <tr r="Q598" s="1"/>
      </tp>
      <tp>
        <v>38000</v>
        <stp/>
        <stp>P</stp>
        <stp>0</stp>
        <stp>STK</stp>
        <stp>N001120</stp>
        <stp>고가</stp>
        <stp/>
        <stp/>
        <tr r="Q260" s="1"/>
      </tp>
      <tp>
        <v>189800</v>
        <stp/>
        <stp>P</stp>
        <stp>0</stp>
        <stp>STK</stp>
        <stp>N001720</stp>
        <stp>고가</stp>
        <stp/>
        <stp/>
        <tr r="Q184" s="1"/>
      </tp>
      <tp>
        <v>7820</v>
        <stp/>
        <stp>P</stp>
        <stp>0</stp>
        <stp>STK</stp>
        <stp>N101730</stp>
        <stp>고가</stp>
        <stp/>
        <stp/>
        <tr r="Q475" s="1"/>
      </tp>
      <tp>
        <v>104000</v>
        <stp/>
        <stp>P</stp>
        <stp>0</stp>
        <stp>STK</stp>
        <stp>N000120</stp>
        <stp>고가</stp>
        <stp/>
        <stp/>
        <tr r="Q197" s="1"/>
      </tp>
      <tp>
        <v>21400</v>
        <stp/>
        <stp>P</stp>
        <stp>0</stp>
        <stp>STK</stp>
        <stp>N000320</stp>
        <stp>고가</stp>
        <stp/>
        <stp/>
        <tr r="Q657" s="1"/>
      </tp>
      <tp>
        <v>101900</v>
        <stp/>
        <stp>P</stp>
        <stp>0</stp>
        <stp>STK</stp>
        <stp>N000720</stp>
        <stp>고가</stp>
        <stp/>
        <stp/>
        <tr r="Q68" s="1"/>
      </tp>
      <tp>
        <v>20100</v>
        <stp/>
        <stp>P</stp>
        <stp>0</stp>
        <stp>STK</stp>
        <stp>N009520</stp>
        <stp>고가</stp>
        <stp/>
        <stp/>
        <tr r="Q366" s="1"/>
      </tp>
      <tp>
        <v>52000</v>
        <stp/>
        <stp>P</stp>
        <stp>0</stp>
        <stp>STK</stp>
        <stp>N009420</stp>
        <stp>고가</stp>
        <stp/>
        <stp/>
        <tr r="Q190" s="1"/>
      </tp>
      <tp>
        <v>37350</v>
        <stp/>
        <stp>P</stp>
        <stp>0</stp>
        <stp>STK</stp>
        <stp>N309710</stp>
        <stp>고가</stp>
        <stp/>
        <stp/>
        <tr r="Q517" s="1"/>
      </tp>
      <tp>
        <v>535000</v>
        <stp/>
        <stp>P</stp>
        <stp>0</stp>
        <stp>STK</stp>
        <stp>N010120</stp>
        <stp>저가</stp>
        <stp/>
        <stp/>
        <tr r="R58" s="1"/>
      </tp>
      <tp>
        <v>209500</v>
        <stp/>
        <stp>P</stp>
        <stp>0</stp>
        <stp>STK</stp>
        <stp>N310210</stp>
        <stp>저가</stp>
        <stp/>
        <stp/>
        <tr r="R148" s="1"/>
      </tp>
      <tp>
        <v>23050</v>
        <stp/>
        <stp>P</stp>
        <stp>0</stp>
        <stp>STK</stp>
        <stp>N117730</stp>
        <stp>저가</stp>
        <stp/>
        <stp/>
        <tr r="R414" s="1"/>
      </tp>
      <tp>
        <v>59000</v>
        <stp/>
        <stp>P</stp>
        <stp>0</stp>
        <stp>STK</stp>
        <stp>N215000</stp>
        <stp>저가</stp>
        <stp/>
        <stp/>
        <tr r="R595" s="1"/>
      </tp>
      <tp>
        <v>44700</v>
        <stp/>
        <stp>P</stp>
        <stp>0</stp>
        <stp>STK</stp>
        <stp>N215200</stp>
        <stp>저가</stp>
        <stp/>
        <stp/>
        <tr r="R538" s="1"/>
      </tp>
      <tp>
        <v>27750</v>
        <stp/>
        <stp>P</stp>
        <stp>0</stp>
        <stp>STK</stp>
        <stp>N014820</stp>
        <stp>저가</stp>
        <stp/>
        <stp/>
        <tr r="R384" s="1"/>
      </tp>
      <tp>
        <v>31100</v>
        <stp/>
        <stp>P</stp>
        <stp>0</stp>
        <stp>STK</stp>
        <stp>N014620</stp>
        <stp>저가</stp>
        <stp/>
        <stp/>
        <tr r="R364" s="1"/>
      </tp>
      <tp>
        <v>558000</v>
        <stp/>
        <stp>P</stp>
        <stp>0</stp>
        <stp>STK</stp>
        <stp>N010120</stp>
        <stp>시가</stp>
        <stp/>
        <stp/>
        <tr r="P58" s="1"/>
      </tp>
      <tp>
        <v>217000</v>
        <stp/>
        <stp>P</stp>
        <stp>0</stp>
        <stp>STK</stp>
        <stp>N310210</stp>
        <stp>시가</stp>
        <stp/>
        <stp/>
        <tr r="P148" s="1"/>
      </tp>
      <tp>
        <v>61500</v>
        <stp/>
        <stp>P</stp>
        <stp>0</stp>
        <stp>STK</stp>
        <stp>N215000</stp>
        <stp>시가</stp>
        <stp/>
        <stp/>
        <tr r="P595" s="1"/>
      </tp>
      <tp>
        <v>46250</v>
        <stp/>
        <stp>P</stp>
        <stp>0</stp>
        <stp>STK</stp>
        <stp>N215200</stp>
        <stp>시가</stp>
        <stp/>
        <stp/>
        <tr r="P538" s="1"/>
      </tp>
      <tp>
        <v>32100</v>
        <stp/>
        <stp>P</stp>
        <stp>0</stp>
        <stp>STK</stp>
        <stp>N014620</stp>
        <stp>시가</stp>
        <stp/>
        <stp/>
        <tr r="P364" s="1"/>
      </tp>
      <tp>
        <v>28400</v>
        <stp/>
        <stp>P</stp>
        <stp>0</stp>
        <stp>STK</stp>
        <stp>N014820</stp>
        <stp>시가</stp>
        <stp/>
        <stp/>
        <tr r="P384" s="1"/>
      </tp>
      <tp>
        <v>24250</v>
        <stp/>
        <stp>P</stp>
        <stp>0</stp>
        <stp>STK</stp>
        <stp>N117730</stp>
        <stp>시가</stp>
        <stp/>
        <stp/>
        <tr r="P414" s="1"/>
      </tp>
      <tp>
        <v>24500</v>
        <stp/>
        <stp>P</stp>
        <stp>0</stp>
        <stp>STK</stp>
        <stp>N117730</stp>
        <stp>고가</stp>
        <stp/>
        <stp/>
        <tr r="Q414" s="1"/>
      </tp>
      <tp>
        <v>61500</v>
        <stp/>
        <stp>P</stp>
        <stp>0</stp>
        <stp>STK</stp>
        <stp>N215000</stp>
        <stp>고가</stp>
        <stp/>
        <stp/>
        <tr r="Q595" s="1"/>
      </tp>
      <tp>
        <v>46250</v>
        <stp/>
        <stp>P</stp>
        <stp>0</stp>
        <stp>STK</stp>
        <stp>N215200</stp>
        <stp>고가</stp>
        <stp/>
        <stp/>
        <tr r="Q538" s="1"/>
      </tp>
      <tp>
        <v>28650</v>
        <stp/>
        <stp>P</stp>
        <stp>0</stp>
        <stp>STK</stp>
        <stp>N014820</stp>
        <stp>고가</stp>
        <stp/>
        <stp/>
        <tr r="Q384" s="1"/>
      </tp>
      <tp>
        <v>32700</v>
        <stp/>
        <stp>P</stp>
        <stp>0</stp>
        <stp>STK</stp>
        <stp>N014620</stp>
        <stp>고가</stp>
        <stp/>
        <stp/>
        <tr r="Q364" s="1"/>
      </tp>
      <tp>
        <v>562000</v>
        <stp/>
        <stp>P</stp>
        <stp>0</stp>
        <stp>STK</stp>
        <stp>N010120</stp>
        <stp>고가</stp>
        <stp/>
        <stp/>
        <tr r="Q58" s="1"/>
      </tp>
      <tp>
        <v>220000</v>
        <stp/>
        <stp>P</stp>
        <stp>0</stp>
        <stp>STK</stp>
        <stp>N310210</stp>
        <stp>고가</stp>
        <stp/>
        <stp/>
        <tr r="Q148" s="1"/>
      </tp>
      <tp>
        <v>22500</v>
        <stp/>
        <stp>P</stp>
        <stp>0</stp>
        <stp>STK</stp>
        <stp>N323410</stp>
        <stp>저가</stp>
        <stp/>
        <stp/>
        <tr r="R75" s="1"/>
      </tp>
      <tp>
        <v>58000</v>
        <stp/>
        <stp>P</stp>
        <stp>0</stp>
        <stp>STK</stp>
        <stp>N222800</stp>
        <stp>저가</stp>
        <stp/>
        <stp/>
        <tr r="R223" s="1"/>
      </tp>
      <tp>
        <v>24150</v>
        <stp/>
        <stp>P</stp>
        <stp>0</stp>
        <stp>STK</stp>
        <stp>N220100</stp>
        <stp>저가</stp>
        <stp/>
        <stp/>
        <tr r="R461" s="1"/>
      </tp>
      <tp>
        <v>7370</v>
        <stp/>
        <stp>P</stp>
        <stp>0</stp>
        <stp>STK</stp>
        <stp>N025320</stp>
        <stp>저가</stp>
        <stp/>
        <stp/>
        <tr r="R476" s="1"/>
      </tp>
      <tp>
        <v>9700</v>
        <stp/>
        <stp>P</stp>
        <stp>0</stp>
        <stp>STK</stp>
        <stp>N024720</stp>
        <stp>저가</stp>
        <stp/>
        <stp/>
        <tr r="R605" s="1"/>
      </tp>
      <tp>
        <v>24850</v>
        <stp/>
        <stp>P</stp>
        <stp>0</stp>
        <stp>STK</stp>
        <stp>N220100</stp>
        <stp>시가</stp>
        <stp/>
        <stp/>
        <tr r="P461" s="1"/>
      </tp>
      <tp>
        <v>22700</v>
        <stp/>
        <stp>P</stp>
        <stp>0</stp>
        <stp>STK</stp>
        <stp>N323410</stp>
        <stp>시가</stp>
        <stp/>
        <stp/>
        <tr r="P75" s="1"/>
      </tp>
      <tp>
        <v>60500</v>
        <stp/>
        <stp>P</stp>
        <stp>0</stp>
        <stp>STK</stp>
        <stp>N222800</stp>
        <stp>시가</stp>
        <stp/>
        <stp/>
        <tr r="P223" s="1"/>
      </tp>
      <tp>
        <v>7660</v>
        <stp/>
        <stp>P</stp>
        <stp>0</stp>
        <stp>STK</stp>
        <stp>N025320</stp>
        <stp>시가</stp>
        <stp/>
        <stp/>
        <tr r="P476" s="1"/>
      </tp>
      <tp>
        <v>10070</v>
        <stp/>
        <stp>P</stp>
        <stp>0</stp>
        <stp>STK</stp>
        <stp>N024720</stp>
        <stp>시가</stp>
        <stp/>
        <stp/>
        <tr r="P605" s="1"/>
      </tp>
      <tp>
        <v>7790</v>
        <stp/>
        <stp>P</stp>
        <stp>0</stp>
        <stp>STK</stp>
        <stp>N025320</stp>
        <stp>고가</stp>
        <stp/>
        <stp/>
        <tr r="Q476" s="1"/>
      </tp>
      <tp>
        <v>10070</v>
        <stp/>
        <stp>P</stp>
        <stp>0</stp>
        <stp>STK</stp>
        <stp>N024720</stp>
        <stp>고가</stp>
        <stp/>
        <stp/>
        <tr r="Q605" s="1"/>
      </tp>
      <tp>
        <v>23050</v>
        <stp/>
        <stp>P</stp>
        <stp>0</stp>
        <stp>STK</stp>
        <stp>N323410</stp>
        <stp>고가</stp>
        <stp/>
        <stp/>
        <tr r="Q75" s="1"/>
      </tp>
      <tp>
        <v>63000</v>
        <stp/>
        <stp>P</stp>
        <stp>0</stp>
        <stp>STK</stp>
        <stp>N222800</stp>
        <stp>고가</stp>
        <stp/>
        <stp/>
        <tr r="Q223" s="1"/>
      </tp>
      <tp>
        <v>26350</v>
        <stp/>
        <stp>P</stp>
        <stp>0</stp>
        <stp>STK</stp>
        <stp>N220100</stp>
        <stp>고가</stp>
        <stp/>
        <stp/>
        <tr r="Q461" s="1"/>
      </tp>
      <tp>
        <v>15440</v>
        <stp/>
        <stp>P</stp>
        <stp>0</stp>
        <stp>STK</stp>
        <stp>N139130</stp>
        <stp>시가</stp>
        <stp/>
        <stp/>
        <tr r="P196" s="1"/>
      </tp>
      <tp>
        <v>68000</v>
        <stp/>
        <stp>P</stp>
        <stp>0</stp>
        <stp>STK</stp>
        <stp>N439260</stp>
        <stp>시가</stp>
        <stp/>
        <stp/>
        <tr r="P172" s="1"/>
      </tp>
      <tp>
        <v>16600</v>
        <stp/>
        <stp>P</stp>
        <stp>0</stp>
        <stp>STK</stp>
        <stp>N138930</stp>
        <stp>시가</stp>
        <stp/>
        <stp/>
        <tr r="P115" s="1"/>
      </tp>
      <tp>
        <v>24750</v>
        <stp/>
        <stp>P</stp>
        <stp>0</stp>
        <stp>STK</stp>
        <stp>N030520</stp>
        <stp>저가</stp>
        <stp/>
        <stp/>
        <tr r="R457" s="1"/>
      </tp>
      <tp>
        <v>42350</v>
        <stp/>
        <stp>P</stp>
        <stp>0</stp>
        <stp>STK</stp>
        <stp>N236200</stp>
        <stp>저가</stp>
        <stp/>
        <stp/>
        <tr r="R667" s="1"/>
      </tp>
      <tp>
        <v>6580</v>
        <stp/>
        <stp>P</stp>
        <stp>0</stp>
        <stp>STK</stp>
        <stp>N036620</stp>
        <stp>저가</stp>
        <stp/>
        <stp/>
        <tr r="R481" s="1"/>
      </tp>
      <tp>
        <v>266000</v>
        <stp/>
        <stp>P</stp>
        <stp>0</stp>
        <stp>STK</stp>
        <stp>N035420</stp>
        <stp>저가</stp>
        <stp/>
        <stp/>
        <tr r="R26" s="1"/>
      </tp>
      <tp>
        <v>59800</v>
        <stp/>
        <stp>P</stp>
        <stp>0</stp>
        <stp>STK</stp>
        <stp>N035720</stp>
        <stp>저가</stp>
        <stp/>
        <stp/>
        <tr r="R35" s="1"/>
      </tp>
      <tp>
        <v>18470</v>
        <stp/>
        <stp>P</stp>
        <stp>0</stp>
        <stp>STK</stp>
        <stp>N034120</stp>
        <stp>저가</stp>
        <stp/>
        <stp/>
        <tr r="R584" s="1"/>
      </tp>
      <tp>
        <v>87000</v>
        <stp/>
        <stp>P</stp>
        <stp>0</stp>
        <stp>STK</stp>
        <stp>N034020</stp>
        <stp>저가</stp>
        <stp/>
        <stp/>
        <tr r="R17" s="1"/>
      </tp>
      <tp>
        <v>11390</v>
        <stp/>
        <stp>P</stp>
        <stp>0</stp>
        <stp>STK</stp>
        <stp>N034220</stp>
        <stp>저가</stp>
        <stp/>
        <stp/>
        <tr r="R102" s="1"/>
      </tp>
      <tp>
        <v>25350</v>
        <stp/>
        <stp>P</stp>
        <stp>0</stp>
        <stp>STK</stp>
        <stp>N030520</stp>
        <stp>시가</stp>
        <stp/>
        <stp/>
        <tr r="P457" s="1"/>
      </tp>
      <tp>
        <v>15350</v>
        <stp/>
        <stp>P</stp>
        <stp>0</stp>
        <stp>STK</stp>
        <stp>N139130</stp>
        <stp>저가</stp>
        <stp/>
        <stp/>
        <tr r="R196" s="1"/>
      </tp>
      <tp>
        <v>65100</v>
        <stp/>
        <stp>P</stp>
        <stp>0</stp>
        <stp>STK</stp>
        <stp>N439260</stp>
        <stp>저가</stp>
        <stp/>
        <stp/>
        <tr r="R172" s="1"/>
      </tp>
      <tp>
        <v>16440</v>
        <stp/>
        <stp>P</stp>
        <stp>0</stp>
        <stp>STK</stp>
        <stp>N138930</stp>
        <stp>저가</stp>
        <stp/>
        <stp/>
        <tr r="R115" s="1"/>
      </tp>
      <tp>
        <v>269500</v>
        <stp/>
        <stp>P</stp>
        <stp>0</stp>
        <stp>STK</stp>
        <stp>N035420</stp>
        <stp>시가</stp>
        <stp/>
        <stp/>
        <tr r="P26" s="1"/>
      </tp>
      <tp>
        <v>61100</v>
        <stp/>
        <stp>P</stp>
        <stp>0</stp>
        <stp>STK</stp>
        <stp>N035720</stp>
        <stp>시가</stp>
        <stp/>
        <stp/>
        <tr r="P35" s="1"/>
      </tp>
      <tp>
        <v>18600</v>
        <stp/>
        <stp>P</stp>
        <stp>0</stp>
        <stp>STK</stp>
        <stp>N034120</stp>
        <stp>시가</stp>
        <stp/>
        <stp/>
        <tr r="P584" s="1"/>
      </tp>
      <tp>
        <v>90200</v>
        <stp/>
        <stp>P</stp>
        <stp>0</stp>
        <stp>STK</stp>
        <stp>N034020</stp>
        <stp>시가</stp>
        <stp/>
        <stp/>
        <tr r="P17" s="1"/>
      </tp>
      <tp>
        <v>11590</v>
        <stp/>
        <stp>P</stp>
        <stp>0</stp>
        <stp>STK</stp>
        <stp>N034220</stp>
        <stp>시가</stp>
        <stp/>
        <stp/>
        <tr r="P102" s="1"/>
      </tp>
      <tp>
        <v>6940</v>
        <stp/>
        <stp>P</stp>
        <stp>0</stp>
        <stp>STK</stp>
        <stp>N036620</stp>
        <stp>시가</stp>
        <stp/>
        <stp/>
        <tr r="P481" s="1"/>
      </tp>
      <tp>
        <v>44800</v>
        <stp/>
        <stp>P</stp>
        <stp>0</stp>
        <stp>STK</stp>
        <stp>N236200</stp>
        <stp>시가</stp>
        <stp/>
        <stp/>
        <tr r="P667" s="1"/>
      </tp>
      <tp>
        <v>44800</v>
        <stp/>
        <stp>P</stp>
        <stp>0</stp>
        <stp>STK</stp>
        <stp>N236200</stp>
        <stp>고가</stp>
        <stp/>
        <stp/>
        <tr r="Q667" s="1"/>
      </tp>
      <tp>
        <v>7140</v>
        <stp/>
        <stp>P</stp>
        <stp>0</stp>
        <stp>STK</stp>
        <stp>N036620</stp>
        <stp>고가</stp>
        <stp/>
        <stp/>
        <tr r="Q481" s="1"/>
      </tp>
      <tp>
        <v>277000</v>
        <stp/>
        <stp>P</stp>
        <stp>0</stp>
        <stp>STK</stp>
        <stp>N035420</stp>
        <stp>고가</stp>
        <stp/>
        <stp/>
        <tr r="Q26" s="1"/>
      </tp>
      <tp>
        <v>61200</v>
        <stp/>
        <stp>P</stp>
        <stp>0</stp>
        <stp>STK</stp>
        <stp>N035720</stp>
        <stp>고가</stp>
        <stp/>
        <stp/>
        <tr r="Q35" s="1"/>
      </tp>
      <tp>
        <v>18600</v>
        <stp/>
        <stp>P</stp>
        <stp>0</stp>
        <stp>STK</stp>
        <stp>N034120</stp>
        <stp>고가</stp>
        <stp/>
        <stp/>
        <tr r="Q584" s="1"/>
      </tp>
      <tp>
        <v>90400</v>
        <stp/>
        <stp>P</stp>
        <stp>0</stp>
        <stp>STK</stp>
        <stp>N034020</stp>
        <stp>고가</stp>
        <stp/>
        <stp/>
        <tr r="Q17" s="1"/>
      </tp>
      <tp>
        <v>11670</v>
        <stp/>
        <stp>P</stp>
        <stp>0</stp>
        <stp>STK</stp>
        <stp>N034220</stp>
        <stp>고가</stp>
        <stp/>
        <stp/>
        <tr r="Q102" s="1"/>
      </tp>
      <tp>
        <v>25500</v>
        <stp/>
        <stp>P</stp>
        <stp>0</stp>
        <stp>STK</stp>
        <stp>N030520</stp>
        <stp>고가</stp>
        <stp/>
        <stp/>
        <tr r="Q457" s="1"/>
      </tp>
      <tp>
        <v>15690</v>
        <stp/>
        <stp>P</stp>
        <stp>0</stp>
        <stp>STK</stp>
        <stp>N139130</stp>
        <stp>고가</stp>
        <stp/>
        <stp/>
        <tr r="Q196" s="1"/>
      </tp>
      <tp>
        <v>68900</v>
        <stp/>
        <stp>P</stp>
        <stp>0</stp>
        <stp>STK</stp>
        <stp>N439260</stp>
        <stp>고가</stp>
        <stp/>
        <stp/>
        <tr r="Q172" s="1"/>
      </tp>
      <tp>
        <v>16900</v>
        <stp/>
        <stp>P</stp>
        <stp>0</stp>
        <stp>STK</stp>
        <stp>N138930</stp>
        <stp>고가</stp>
        <stp/>
        <stp/>
        <tr r="Q115" s="1"/>
      </tp>
      <tp>
        <v>179600</v>
        <stp/>
        <stp>P</stp>
        <stp>0</stp>
        <stp>STK</stp>
        <stp>N443060</stp>
        <stp>저가</stp>
        <stp/>
        <stp/>
        <tr r="R86" s="1"/>
      </tp>
      <tp>
        <v>96300</v>
        <stp/>
        <stp>P</stp>
        <stp>0</stp>
        <stp>STK</stp>
        <stp>N348210</stp>
        <stp>시가</stp>
        <stp/>
        <stp/>
        <tr r="P363" s="1"/>
      </tp>
      <tp>
        <v>37300</v>
        <stp/>
        <stp>P</stp>
        <stp>0</stp>
        <stp>STK</stp>
        <stp>N042520</stp>
        <stp>저가</stp>
        <stp/>
        <stp/>
        <tr r="R607" s="1"/>
      </tp>
      <tp>
        <v>16480</v>
        <stp/>
        <stp>P</stp>
        <stp>0</stp>
        <stp>STK</stp>
        <stp>N047920</stp>
        <stp>저가</stp>
        <stp/>
        <stp/>
        <tr r="R451" s="1"/>
      </tp>
      <tp>
        <v>181900</v>
        <stp/>
        <stp>P</stp>
        <stp>0</stp>
        <stp>STK</stp>
        <stp>N443060</stp>
        <stp>시가</stp>
        <stp/>
        <stp/>
        <tr r="P86" s="1"/>
      </tp>
      <tp>
        <v>39750</v>
        <stp/>
        <stp>P</stp>
        <stp>0</stp>
        <stp>STK</stp>
        <stp>N042520</stp>
        <stp>시가</stp>
        <stp/>
        <stp/>
        <tr r="P607" s="1"/>
      </tp>
      <tp>
        <v>92100</v>
        <stp/>
        <stp>P</stp>
        <stp>0</stp>
        <stp>STK</stp>
        <stp>N348210</stp>
        <stp>저가</stp>
        <stp/>
        <stp/>
        <tr r="R363" s="1"/>
      </tp>
      <tp>
        <v>16480</v>
        <stp/>
        <stp>P</stp>
        <stp>0</stp>
        <stp>STK</stp>
        <stp>N047920</stp>
        <stp>시가</stp>
        <stp/>
        <stp/>
        <tr r="P451" s="1"/>
      </tp>
      <tp>
        <v>17020</v>
        <stp/>
        <stp>P</stp>
        <stp>0</stp>
        <stp>STK</stp>
        <stp>N047920</stp>
        <stp>고가</stp>
        <stp/>
        <stp/>
        <tr r="Q451" s="1"/>
      </tp>
      <tp>
        <v>183400</v>
        <stp/>
        <stp>P</stp>
        <stp>0</stp>
        <stp>STK</stp>
        <stp>N443060</stp>
        <stp>고가</stp>
        <stp/>
        <stp/>
        <tr r="Q86" s="1"/>
      </tp>
      <tp>
        <v>41000</v>
        <stp/>
        <stp>P</stp>
        <stp>0</stp>
        <stp>STK</stp>
        <stp>N042520</stp>
        <stp>고가</stp>
        <stp/>
        <stp/>
        <tr r="Q607" s="1"/>
      </tp>
      <tp>
        <v>97300</v>
        <stp/>
        <stp>P</stp>
        <stp>0</stp>
        <stp>STK</stp>
        <stp>N348210</stp>
        <stp>고가</stp>
        <stp/>
        <stp/>
        <tr r="Q363" s="1"/>
      </tp>
      <tp>
        <v>73300</v>
        <stp/>
        <stp>P</stp>
        <stp>0</stp>
        <stp>STK</stp>
        <stp>N456160</stp>
        <stp>저가</stp>
        <stp/>
        <stp/>
        <tr r="R281" s="1"/>
      </tp>
      <tp>
        <v>76900</v>
        <stp/>
        <stp>P</stp>
        <stp>0</stp>
        <stp>STK</stp>
        <stp>N456160</stp>
        <stp>시가</stp>
        <stp/>
        <stp/>
        <tr r="P281" s="1"/>
      </tp>
      <tp>
        <v>78200</v>
        <stp/>
        <stp>P</stp>
        <stp>0</stp>
        <stp>STK</stp>
        <stp>N456160</stp>
        <stp>고가</stp>
        <stp/>
        <stp/>
        <tr r="Q281" s="1"/>
      </tp>
      <tp>
        <v>168700</v>
        <stp/>
        <stp>P</stp>
        <stp>0</stp>
        <stp>STK</stp>
        <stp>N069620</stp>
        <stp>시가</stp>
        <stp/>
        <stp/>
        <tr r="P220" s="1"/>
      </tp>
      <tp>
        <v>26450</v>
        <stp/>
        <stp>P</stp>
        <stp>0</stp>
        <stp>STK</stp>
        <stp>N361610</stp>
        <stp>저가</stp>
        <stp/>
        <stp/>
        <tr r="R214" s="1"/>
      </tp>
      <tp>
        <v>8400</v>
        <stp/>
        <stp>P</stp>
        <stp>0</stp>
        <stp>STK</stp>
        <stp>N460860</stp>
        <stp>저가</stp>
        <stp/>
        <stp/>
        <tr r="R536" s="1"/>
      </tp>
      <tp>
        <v>18330</v>
        <stp/>
        <stp>P</stp>
        <stp>0</stp>
        <stp>STK</stp>
        <stp>N060720</stp>
        <stp>저가</stp>
        <stp/>
        <stp/>
        <tr r="R573" s="1"/>
      </tp>
      <tp>
        <v>11310</v>
        <stp/>
        <stp>P</stp>
        <stp>0</stp>
        <stp>STK</stp>
        <stp>N064820</stp>
        <stp>저가</stp>
        <stp/>
        <stp/>
        <tr r="R551" s="1"/>
      </tp>
      <tp>
        <v>27050</v>
        <stp/>
        <stp>P</stp>
        <stp>0</stp>
        <stp>STK</stp>
        <stp>N361610</stp>
        <stp>시가</stp>
        <stp/>
        <stp/>
        <tr r="P214" s="1"/>
      </tp>
      <tp>
        <v>18980</v>
        <stp/>
        <stp>P</stp>
        <stp>0</stp>
        <stp>STK</stp>
        <stp>N060720</stp>
        <stp>시가</stp>
        <stp/>
        <stp/>
        <tr r="P573" s="1"/>
      </tp>
      <tp>
        <v>8840</v>
        <stp/>
        <stp>P</stp>
        <stp>0</stp>
        <stp>STK</stp>
        <stp>N460860</stp>
        <stp>시가</stp>
        <stp/>
        <stp/>
        <tr r="P536" s="1"/>
      </tp>
      <tp>
        <v>164800</v>
        <stp/>
        <stp>P</stp>
        <stp>0</stp>
        <stp>STK</stp>
        <stp>N069620</stp>
        <stp>저가</stp>
        <stp/>
        <stp/>
        <tr r="R220" s="1"/>
      </tp>
      <tp>
        <v>11810</v>
        <stp/>
        <stp>P</stp>
        <stp>0</stp>
        <stp>STK</stp>
        <stp>N064820</stp>
        <stp>시가</stp>
        <stp/>
        <stp/>
        <tr r="P551" s="1"/>
      </tp>
      <tp>
        <v>11810</v>
        <stp/>
        <stp>P</stp>
        <stp>0</stp>
        <stp>STK</stp>
        <stp>N064820</stp>
        <stp>고가</stp>
        <stp/>
        <stp/>
        <tr r="Q551" s="1"/>
      </tp>
      <tp>
        <v>27300</v>
        <stp/>
        <stp>P</stp>
        <stp>0</stp>
        <stp>STK</stp>
        <stp>N361610</stp>
        <stp>고가</stp>
        <stp/>
        <stp/>
        <tr r="Q214" s="1"/>
      </tp>
      <tp>
        <v>8840</v>
        <stp/>
        <stp>P</stp>
        <stp>0</stp>
        <stp>STK</stp>
        <stp>N460860</stp>
        <stp>고가</stp>
        <stp/>
        <stp/>
        <tr r="Q536" s="1"/>
      </tp>
      <tp>
        <v>19200</v>
        <stp/>
        <stp>P</stp>
        <stp>0</stp>
        <stp>STK</stp>
        <stp>N060720</stp>
        <stp>고가</stp>
        <stp/>
        <stp/>
        <tr r="Q573" s="1"/>
      </tp>
      <tp>
        <v>168800</v>
        <stp/>
        <stp>P</stp>
        <stp>0</stp>
        <stp>STK</stp>
        <stp>N069620</stp>
        <stp>고가</stp>
        <stp/>
        <stp/>
        <tr r="Q220" s="1"/>
      </tp>
      <tp>
        <v>10500</v>
        <stp/>
        <stp>P</stp>
        <stp>0</stp>
        <stp>STK</stp>
        <stp>N078520</stp>
        <stp>시가</stp>
        <stp/>
        <stp/>
        <tr r="P673" s="1"/>
      </tp>
      <tp>
        <v>98800</v>
        <stp/>
        <stp>P</stp>
        <stp>0</stp>
        <stp>STK</stp>
        <stp>N071320</stp>
        <stp>저가</stp>
        <stp/>
        <stp/>
        <tr r="R274" s="1"/>
      </tp>
      <tp>
        <v>17790</v>
        <stp/>
        <stp>P</stp>
        <stp>0</stp>
        <stp>STK</stp>
        <stp>N476060</stp>
        <stp>저가</stp>
        <stp/>
        <stp/>
        <tr r="R343" s="1"/>
      </tp>
      <tp>
        <v>44500</v>
        <stp/>
        <stp>P</stp>
        <stp>0</stp>
        <stp>STK</stp>
        <stp>N475960</stp>
        <stp>저가</stp>
        <stp/>
        <stp/>
        <tr r="R431" s="1"/>
      </tp>
      <tp>
        <v>24850</v>
        <stp/>
        <stp>P</stp>
        <stp>0</stp>
        <stp>STK</stp>
        <stp>N175330</stp>
        <stp>저가</stp>
        <stp/>
        <stp/>
        <tr r="R121" s="1"/>
      </tp>
      <tp>
        <v>23850</v>
        <stp/>
        <stp>P</stp>
        <stp>0</stp>
        <stp>STK</stp>
        <stp>N475560</stp>
        <stp>저가</stp>
        <stp/>
        <stp/>
        <tr r="R574" s="1"/>
      </tp>
      <tp>
        <v>100100</v>
        <stp/>
        <stp>P</stp>
        <stp>0</stp>
        <stp>STK</stp>
        <stp>N071320</stp>
        <stp>시가</stp>
        <stp/>
        <stp/>
        <tr r="P274" s="1"/>
      </tp>
      <tp>
        <v>10250</v>
        <stp/>
        <stp>P</stp>
        <stp>0</stp>
        <stp>STK</stp>
        <stp>N078520</stp>
        <stp>저가</stp>
        <stp/>
        <stp/>
        <tr r="R673" s="1"/>
      </tp>
      <tp>
        <v>24200</v>
        <stp/>
        <stp>P</stp>
        <stp>0</stp>
        <stp>STK</stp>
        <stp>N475560</stp>
        <stp>시가</stp>
        <stp/>
        <stp/>
        <tr r="P574" s="1"/>
      </tp>
      <tp>
        <v>25150</v>
        <stp/>
        <stp>P</stp>
        <stp>0</stp>
        <stp>STK</stp>
        <stp>N175330</stp>
        <stp>시가</stp>
        <stp/>
        <stp/>
        <tr r="P121" s="1"/>
      </tp>
      <tp>
        <v>45700</v>
        <stp/>
        <stp>P</stp>
        <stp>0</stp>
        <stp>STK</stp>
        <stp>N475960</stp>
        <stp>시가</stp>
        <stp/>
        <stp/>
        <tr r="P431" s="1"/>
      </tp>
      <tp>
        <v>18240</v>
        <stp/>
        <stp>P</stp>
        <stp>0</stp>
        <stp>STK</stp>
        <stp>N476060</stp>
        <stp>시가</stp>
        <stp/>
        <stp/>
        <tr r="P343" s="1"/>
      </tp>
      <tp>
        <v>18370</v>
        <stp/>
        <stp>P</stp>
        <stp>0</stp>
        <stp>STK</stp>
        <stp>N476060</stp>
        <stp>고가</stp>
        <stp/>
        <stp/>
        <tr r="Q343" s="1"/>
      </tp>
      <tp>
        <v>47350</v>
        <stp/>
        <stp>P</stp>
        <stp>0</stp>
        <stp>STK</stp>
        <stp>N475960</stp>
        <stp>고가</stp>
        <stp/>
        <stp/>
        <tr r="Q431" s="1"/>
      </tp>
      <tp>
        <v>25650</v>
        <stp/>
        <stp>P</stp>
        <stp>0</stp>
        <stp>STK</stp>
        <stp>N175330</stp>
        <stp>고가</stp>
        <stp/>
        <stp/>
        <tr r="Q121" s="1"/>
      </tp>
      <tp>
        <v>24200</v>
        <stp/>
        <stp>P</stp>
        <stp>0</stp>
        <stp>STK</stp>
        <stp>N475560</stp>
        <stp>고가</stp>
        <stp/>
        <stp/>
        <tr r="Q574" s="1"/>
      </tp>
      <tp>
        <v>100700</v>
        <stp/>
        <stp>P</stp>
        <stp>0</stp>
        <stp>STK</stp>
        <stp>N071320</stp>
        <stp>고가</stp>
        <stp/>
        <stp/>
        <tr r="Q274" s="1"/>
      </tp>
      <tp>
        <v>10650</v>
        <stp/>
        <stp>P</stp>
        <stp>0</stp>
        <stp>STK</stp>
        <stp>N078520</stp>
        <stp>고가</stp>
        <stp/>
        <stp/>
        <tr r="Q673" s="1"/>
      </tp>
      <tp>
        <v>568000</v>
        <stp/>
        <stp>P</stp>
        <stp>0</stp>
        <stp>STK</stp>
        <stp>329180</stp>
        <stp>현재가</stp>
        <stp/>
        <stp/>
        <tr r="U16" s="1"/>
      </tp>
      <tp>
        <v>56600</v>
        <stp/>
        <stp>P</stp>
        <stp>0</stp>
        <stp>STK</stp>
        <stp>029780</stp>
        <stp>현재가</stp>
        <stp/>
        <stp/>
        <tr r="U101" s="1"/>
      </tp>
      <tp>
        <v>40250</v>
        <stp/>
        <stp>P</stp>
        <stp>0</stp>
        <stp>STK</stp>
        <stp>229640</stp>
        <stp>현재가</stp>
        <stp/>
        <stp/>
        <tr r="U292" s="1"/>
      </tp>
      <tp>
        <v>54900</v>
        <stp/>
        <stp>P</stp>
        <stp>0</stp>
        <stp>STK</stp>
        <stp>029530</stp>
        <stp>현재가</stp>
        <stp/>
        <stp/>
        <tr r="U502" s="1"/>
      </tp>
      <tp>
        <v>32600</v>
        <stp/>
        <stp>P</stp>
        <stp>0</stp>
        <stp>STK</stp>
        <stp>029460</stp>
        <stp>현재가</stp>
        <stp/>
        <stp/>
        <tr r="U557" s="1"/>
      </tp>
      <tp>
        <v>477000</v>
        <stp/>
        <stp>P</stp>
        <stp>0</stp>
        <stp>STK</stp>
        <stp>128940</stp>
        <stp>현재가</stp>
        <stp/>
        <stp/>
        <tr r="U109" s="1"/>
      </tp>
      <tp>
        <v>56300</v>
        <stp/>
        <stp>P</stp>
        <stp>0</stp>
        <stp>STK</stp>
        <stp>028300</stp>
        <stp>현재가</stp>
        <stp/>
        <stp/>
        <tr r="U96" s="1"/>
      </tp>
      <tp>
        <v>300500</v>
        <stp/>
        <stp>P</stp>
        <stp>0</stp>
        <stp>STK</stp>
        <stp>028260</stp>
        <stp>현재가</stp>
        <stp/>
        <stp/>
        <tr r="U20" s="1"/>
      </tp>
      <tp>
        <v>38100</v>
        <stp/>
        <stp>P</stp>
        <stp>0</stp>
        <stp>STK</stp>
        <stp>328130</stp>
        <stp>현재가</stp>
        <stp/>
        <stp/>
        <tr r="U298" s="1"/>
      </tp>
      <tp>
        <v>31250</v>
        <stp/>
        <stp>P</stp>
        <stp>0</stp>
        <stp>STK</stp>
        <stp>028050</stp>
        <stp>현재가</stp>
        <stp/>
        <stp/>
        <tr r="U113" s="1"/>
      </tp>
      <tp>
        <v>23150</v>
        <stp/>
        <stp>P</stp>
        <stp>0</stp>
        <stp>STK</stp>
        <stp>228760</stp>
        <stp>현재가</stp>
        <stp/>
        <stp/>
        <tr r="U452" s="1"/>
      </tp>
      <tp>
        <v>4720</v>
        <stp/>
        <stp>P</stp>
        <stp>0</stp>
        <stp>STK</stp>
        <stp>028670</stp>
        <stp>현재가</stp>
        <stp/>
        <stp/>
        <tr r="U191" s="1"/>
      </tp>
      <tp>
        <v>8100</v>
        <stp/>
        <stp>P</stp>
        <stp>0</stp>
        <stp>STK</stp>
        <stp>025980</stp>
        <stp>현재가</stp>
        <stp/>
        <stp/>
        <tr r="U376" s="1"/>
      </tp>
      <tp>
        <v>10630</v>
        <stp/>
        <stp>P</stp>
        <stp>0</stp>
        <stp>STK</stp>
        <stp>025900</stp>
        <stp>현재가</stp>
        <stp/>
        <stp/>
        <tr r="U530" s="1"/>
      </tp>
      <tp>
        <v>7780</v>
        <stp/>
        <stp>P</stp>
        <stp>0</stp>
        <stp>STK</stp>
        <stp>025320</stp>
        <stp>현재가</stp>
        <stp/>
        <stp/>
        <tr r="U476" s="1"/>
      </tp>
      <tp>
        <v>7870</v>
        <stp/>
        <stp>P</stp>
        <stp>0</stp>
        <stp>STK</stp>
        <stp>025770</stp>
        <stp>현재가</stp>
        <stp/>
        <stp/>
        <tr r="U636" s="1"/>
      </tp>
      <tp>
        <v>12860</v>
        <stp/>
        <stp>P</stp>
        <stp>0</stp>
        <stp>STK</stp>
        <stp>225570</stp>
        <stp>현재가</stp>
        <stp/>
        <stp/>
        <tr r="U357" s="1"/>
      </tp>
      <tp>
        <v>73700</v>
        <stp/>
        <stp>P</stp>
        <stp>0</stp>
        <stp>STK</stp>
        <stp>025540</stp>
        <stp>현재가</stp>
        <stp/>
        <stp/>
        <tr r="U355" s="1"/>
      </tp>
      <tp>
        <v>24850</v>
        <stp/>
        <stp>P</stp>
        <stp>0</stp>
        <stp>STK</stp>
        <stp>125490</stp>
        <stp>현재가</stp>
        <stp/>
        <stp/>
        <tr r="U377" s="1"/>
      </tp>
      <tp>
        <v>37100</v>
        <stp/>
        <stp>P</stp>
        <stp>0</stp>
        <stp>STK</stp>
        <stp>425420</stp>
        <stp>현재가</stp>
        <stp/>
        <stp/>
        <tr r="U535" s="1"/>
      </tp>
      <tp>
        <v>10760</v>
        <stp/>
        <stp>P</stp>
        <stp>0</stp>
        <stp>STK</stp>
        <stp>424870</stp>
        <stp>현재가</stp>
        <stp/>
        <stp/>
        <tr r="U356" s="1"/>
      </tp>
      <tp>
        <v>22200</v>
        <stp/>
        <stp>P</stp>
        <stp>0</stp>
        <stp>STK</stp>
        <stp>024110</stp>
        <stp>현재가</stp>
        <stp/>
        <stp/>
        <tr r="U55" s="1"/>
      </tp>
      <tp>
        <v>9970</v>
        <stp/>
        <stp>P</stp>
        <stp>0</stp>
        <stp>STK</stp>
        <stp>024720</stp>
        <stp>현재가</stp>
        <stp/>
        <stp/>
        <tr r="U605" s="1"/>
      </tp>
      <tp>
        <v>21000</v>
        <stp/>
        <stp>P</stp>
        <stp>0</stp>
        <stp>STK</stp>
        <stp>127120</stp>
        <stp>현재가</stp>
        <stp/>
        <stp/>
        <tr r="U405" s="1"/>
      </tp>
      <tp>
        <v>138800</v>
        <stp/>
        <stp>P</stp>
        <stp>0</stp>
        <stp>STK</stp>
        <stp>226950</stp>
        <stp>현재가</stp>
        <stp/>
        <stp/>
        <tr r="U189" s="1"/>
      </tp>
      <tp>
        <v>25650</v>
        <stp/>
        <stp>P</stp>
        <stp>0</stp>
        <stp>STK</stp>
        <stp>026960</stp>
        <stp>현재가</stp>
        <stp/>
        <stp/>
        <tr r="U175" s="1"/>
      </tp>
      <tp>
        <v>11540</v>
        <stp/>
        <stp>P</stp>
        <stp>0</stp>
        <stp>STK</stp>
        <stp>026890</stp>
        <stp>현재가</stp>
        <stp/>
        <stp/>
        <tr r="U533" s="1"/>
      </tp>
      <tp>
        <v>11360</v>
        <stp/>
        <stp>P</stp>
        <stp>0</stp>
        <stp>STK</stp>
        <stp>226320</stp>
        <stp>현재가</stp>
        <stp/>
        <stp/>
        <tr r="U679" s="1"/>
      </tp>
      <tp>
        <v>98600</v>
        <stp/>
        <stp>P</stp>
        <stp>0</stp>
        <stp>STK</stp>
        <stp>126340</stp>
        <stp>현재가</stp>
        <stp/>
        <stp/>
        <tr r="U434" s="1"/>
      </tp>
      <tp>
        <v>115500</v>
        <stp/>
        <stp>P</stp>
        <stp>0</stp>
        <stp>STK</stp>
        <stp>326030</stp>
        <stp>현재가</stp>
        <stp/>
        <stp/>
        <tr r="U81" s="1"/>
      </tp>
      <tp>
        <v>24200</v>
        <stp/>
        <stp>P</stp>
        <stp>0</stp>
        <stp>STK</stp>
        <stp>126720</stp>
        <stp>현재가</stp>
        <stp/>
        <stp/>
        <tr r="U547" s="1"/>
      </tp>
      <tp>
        <v>81600</v>
        <stp/>
        <stp>P</stp>
        <stp>0</stp>
        <stp>STK</stp>
        <stp>021240</stp>
        <stp>현재가</stp>
        <stp/>
        <stp/>
        <tr r="U106" s="1"/>
      </tp>
      <tp>
        <v>71900</v>
        <stp/>
        <stp>P</stp>
        <stp>0</stp>
        <stp>STK</stp>
        <stp>121600</stp>
        <stp>현재가</stp>
        <stp/>
        <stp/>
        <tr r="U419" s="1"/>
      </tp>
      <tp>
        <v>25650</v>
        <stp/>
        <stp>P</stp>
        <stp>0</stp>
        <stp>STK</stp>
        <stp>220100</stp>
        <stp>현재가</stp>
        <stp/>
        <stp/>
        <tr r="U461" s="1"/>
      </tp>
      <tp>
        <v>51900</v>
        <stp/>
        <stp>P</stp>
        <stp>0</stp>
        <stp>STK</stp>
        <stp>120110</stp>
        <stp>현재가</stp>
        <stp/>
        <stp/>
        <tr r="U280" s="1"/>
      </tp>
      <tp>
        <v>39200</v>
        <stp/>
        <stp>P</stp>
        <stp>0</stp>
        <stp>STK</stp>
        <stp>020150</stp>
        <stp>현재가</stp>
        <stp/>
        <stp/>
        <tr r="U228" s="1"/>
      </tp>
      <tp>
        <v>18670</v>
        <stp/>
        <stp>P</stp>
        <stp>0</stp>
        <stp>STK</stp>
        <stp>020000</stp>
        <stp>현재가</stp>
        <stp/>
        <stp/>
        <tr r="U587" s="1"/>
      </tp>
      <tp>
        <v>54200</v>
        <stp/>
        <stp>P</stp>
        <stp>0</stp>
        <stp>STK</stp>
        <stp>420770</stp>
        <stp>현재가</stp>
        <stp/>
        <stp/>
        <tr r="U387" s="1"/>
      </tp>
      <tp>
        <v>7560</v>
        <stp/>
        <stp>P</stp>
        <stp>0</stp>
        <stp>STK</stp>
        <stp>020560</stp>
        <stp>현재가</stp>
        <stp/>
        <stp/>
        <tr r="U246" s="1"/>
      </tp>
      <tp>
        <v>73700</v>
        <stp/>
        <stp>P</stp>
        <stp>0</stp>
        <stp>STK</stp>
        <stp>323280</stp>
        <stp>현재가</stp>
        <stp/>
        <stp/>
        <tr r="U258" s="1"/>
      </tp>
      <tp>
        <v>27350</v>
        <stp/>
        <stp>P</stp>
        <stp>0</stp>
        <stp>STK</stp>
        <stp>023160</stp>
        <stp>현재가</stp>
        <stp/>
        <stp/>
        <tr r="U389" s="1"/>
      </tp>
      <tp>
        <v>50600</v>
        <stp/>
        <stp>P</stp>
        <stp>0</stp>
        <stp>STK</stp>
        <stp>023590</stp>
        <stp>현재가</stp>
        <stp/>
        <stp/>
        <tr r="U225" s="1"/>
      </tp>
      <tp>
        <v>84500</v>
        <stp/>
        <stp>P</stp>
        <stp>0</stp>
        <stp>STK</stp>
        <stp>023530</stp>
        <stp>현재가</stp>
        <stp/>
        <stp/>
        <tr r="U203" s="1"/>
      </tp>
      <tp>
        <v>22600</v>
        <stp/>
        <stp>P</stp>
        <stp>0</stp>
        <stp>STK</stp>
        <stp>323410</stp>
        <stp>현재가</stp>
        <stp/>
        <stp/>
        <tr r="U75" s="1"/>
      </tp>
      <tp>
        <v>62100</v>
        <stp/>
        <stp>P</stp>
        <stp>0</stp>
        <stp>STK</stp>
        <stp>222800</stp>
        <stp>현재가</stp>
        <stp/>
        <stp/>
        <tr r="U223" s="1"/>
      </tp>
      <tp>
        <v>72800</v>
        <stp/>
        <stp>P</stp>
        <stp>0</stp>
        <stp>STK</stp>
        <stp>122870</stp>
        <stp>현재가</stp>
        <stp/>
        <stp/>
        <tr r="U273" s="1"/>
      </tp>
      <tp>
        <v>38250</v>
        <stp/>
        <stp>P</stp>
        <stp>0</stp>
        <stp>STK</stp>
        <stp>022100</stp>
        <stp>현재가</stp>
        <stp/>
        <stp/>
        <tr r="U98" s="1"/>
      </tp>
      <tp>
        <v>13620</v>
        <stp/>
        <stp>P</stp>
        <stp>0</stp>
        <stp>STK</stp>
        <stp>222080</stp>
        <stp>현재가</stp>
        <stp/>
        <stp/>
        <tr r="U441" s="1"/>
      </tp>
      <tp>
        <v>52200</v>
        <stp/>
        <stp>P</stp>
        <stp>0</stp>
        <stp>STK</stp>
        <stp>322000</stp>
        <stp>현재가</stp>
        <stp/>
        <stp/>
        <tr r="U423" s="1"/>
      </tp>
      <tp>
        <v>22500</v>
        <stp/>
        <stp>P</stp>
        <stp>0</stp>
        <stp>STK</stp>
        <stp>122640</stp>
        <stp>현재가</stp>
        <stp/>
        <stp/>
        <tr r="U544" s="1"/>
      </tp>
      <tp>
        <v>14297</v>
        <stp/>
        <stp>P</stp>
        <stp>0</stp>
        <stp>STK</stp>
        <stp>286940</stp>
        <stp>누적거래량</stp>
        <stp/>
        <stp/>
        <tr r="V596" s="1"/>
      </tp>
      <tp>
        <v>6824</v>
        <stp/>
        <stp>P</stp>
        <stp>0</stp>
        <stp>STK</stp>
        <stp>026960</stp>
        <stp>누적거래량</stp>
        <stp/>
        <stp/>
        <tr r="V175" s="1"/>
      </tp>
      <tp>
        <v>46093</v>
        <stp/>
        <stp>P</stp>
        <stp>0</stp>
        <stp>STK</stp>
        <stp>131970</stp>
        <stp>누적거래량</stp>
        <stp/>
        <stp/>
        <tr r="V311" s="1"/>
      </tp>
      <tp>
        <v>270</v>
        <stp/>
        <stp>P</stp>
        <stp>0</stp>
        <stp>STK</stp>
        <stp>002960</stp>
        <stp>누적거래량</stp>
        <stp/>
        <stp/>
        <tr r="V445" s="1"/>
      </tp>
      <tp>
        <v>1370</v>
        <stp/>
        <stp>P</stp>
        <stp>0</stp>
        <stp>STK</stp>
        <stp>003960</stp>
        <stp>누적거래량</stp>
        <stp/>
        <stp/>
        <tr r="V601" s="1"/>
      </tp>
      <tp>
        <v>3884</v>
        <stp/>
        <stp>P</stp>
        <stp>0</stp>
        <stp>STK</stp>
        <stp>207940</stp>
        <stp>누적거래량</stp>
        <stp/>
        <stp/>
        <tr r="V13" s="1"/>
      </tp>
      <tp>
        <v>17745</v>
        <stp/>
        <stp>P</stp>
        <stp>0</stp>
        <stp>STK</stp>
        <stp>307950</stp>
        <stp>누적거래량</stp>
        <stp/>
        <stp/>
        <tr r="V61" s="1"/>
      </tp>
      <tp>
        <v>26729</v>
        <stp/>
        <stp>P</stp>
        <stp>0</stp>
        <stp>STK</stp>
        <stp>017960</stp>
        <stp>누적거래량</stp>
        <stp/>
        <stp/>
        <tr r="V221" s="1"/>
      </tp>
      <tp>
        <v>8168</v>
        <stp/>
        <stp>P</stp>
        <stp>0</stp>
        <stp>STK</stp>
        <stp>064960</stp>
        <stp>누적거래량</stp>
        <stp/>
        <stp/>
        <tr r="V302" s="1"/>
      </tp>
      <tp>
        <v>7634</v>
        <stp/>
        <stp>P</stp>
        <stp>0</stp>
        <stp>STK</stp>
        <stp>069960</stp>
        <stp>누적거래량</stp>
        <stp/>
        <stp/>
        <tr r="V206" s="1"/>
      </tp>
      <tp>
        <v>8059</v>
        <stp/>
        <stp>P</stp>
        <stp>0</stp>
        <stp>STK</stp>
        <stp>271940</stp>
        <stp>누적거래량</stp>
        <stp/>
        <stp/>
        <tr r="V484" s="1"/>
      </tp>
      <tp>
        <v>67526</v>
        <stp/>
        <stp>P</stp>
        <stp>0</stp>
        <stp>STK</stp>
        <stp>089970</stp>
        <stp>누적거래량</stp>
        <stp/>
        <stp/>
        <tr r="V409" s="1"/>
      </tp>
      <tp>
        <v>46155</v>
        <stp/>
        <stp>P</stp>
        <stp>0</stp>
        <stp>STK</stp>
        <stp>226950</stp>
        <stp>누적거래량</stp>
        <stp/>
        <stp/>
        <tr r="V189" s="1"/>
      </tp>
      <tp>
        <v>752</v>
        <stp/>
        <stp>P</stp>
        <stp>0</stp>
        <stp>STK</stp>
        <stp>009970</stp>
        <stp>누적거래량</stp>
        <stp/>
        <stp/>
        <tr r="V176" s="1"/>
      </tp>
      <tp>
        <v>14762</v>
        <stp/>
        <stp>P</stp>
        <stp>0</stp>
        <stp>STK</stp>
        <stp>460930</stp>
        <stp>누적거래량</stp>
        <stp/>
        <stp/>
        <tr r="V399" s="1"/>
      </tp>
      <tp>
        <v>95536</v>
        <stp/>
        <stp>P</stp>
        <stp>0</stp>
        <stp>STK</stp>
        <stp>066970</stp>
        <stp>누적거래량</stp>
        <stp/>
        <stp/>
        <tr r="V118" s="1"/>
      </tp>
      <tp>
        <v>22801</v>
        <stp/>
        <stp>P</stp>
        <stp>0</stp>
        <stp>STK</stp>
        <stp>071970</stp>
        <stp>누적거래량</stp>
        <stp/>
        <stp/>
        <tr r="V151" s="1"/>
      </tp>
      <tp>
        <v>18297</v>
        <stp/>
        <stp>P</stp>
        <stp>0</stp>
        <stp>STK</stp>
        <stp>077970</stp>
        <stp>누적거래량</stp>
        <stp/>
        <stp/>
        <tr r="V249" s="1"/>
      </tp>
      <tp>
        <v>14121</v>
        <stp/>
        <stp>P</stp>
        <stp>0</stp>
        <stp>STK</stp>
        <stp>058970</stp>
        <stp>누적거래량</stp>
        <stp/>
        <stp/>
        <tr r="V512" s="1"/>
      </tp>
      <tp>
        <v>2820</v>
        <stp/>
        <stp>P</stp>
        <stp>0</stp>
        <stp>STK</stp>
        <stp>381970</stp>
        <stp>누적거래량</stp>
        <stp/>
        <stp/>
        <tr r="V379" s="1"/>
      </tp>
      <tp>
        <v>767</v>
        <stp/>
        <stp>P</stp>
        <stp>0</stp>
        <stp>STK</stp>
        <stp>001940</stp>
        <stp>누적거래량</stp>
        <stp/>
        <stp/>
        <tr r="V554" s="1"/>
      </tp>
      <tp>
        <v>97715</v>
        <stp/>
        <stp>P</stp>
        <stp>0</stp>
        <stp>STK</stp>
        <stp>005940</stp>
        <stp>누적거래량</stp>
        <stp/>
        <stp/>
        <tr r="V88" s="1"/>
      </tp>
      <tp>
        <v>24561</v>
        <stp/>
        <stp>P</stp>
        <stp>0</stp>
        <stp>STK</stp>
        <stp>014940</stp>
        <stp>누적거래량</stp>
        <stp/>
        <stp/>
        <tr r="V553" s="1"/>
      </tp>
      <tp>
        <v>1006</v>
        <stp/>
        <stp>P</stp>
        <stp>0</stp>
        <stp>STK</stp>
        <stp>017940</stp>
        <stp>누적거래량</stp>
        <stp/>
        <stp/>
        <tr r="V447" s="1"/>
      </tp>
      <tp>
        <v>1528</v>
        <stp/>
        <stp>P</stp>
        <stp>0</stp>
        <stp>STK</stp>
        <stp>079940</stp>
        <stp>누적거래량</stp>
        <stp/>
        <stp/>
        <tr r="V520" s="1"/>
      </tp>
      <tp>
        <v>12122</v>
        <stp/>
        <stp>P</stp>
        <stp>0</stp>
        <stp>STK</stp>
        <stp>448900</stp>
        <stp>누적거래량</stp>
        <stp/>
        <stp/>
        <tr r="V489" s="1"/>
      </tp>
      <tp>
        <v>22524</v>
        <stp/>
        <stp>P</stp>
        <stp>0</stp>
        <stp>STK</stp>
        <stp>455900</stp>
        <stp>누적거래량</stp>
        <stp/>
        <stp/>
        <tr r="V418" s="1"/>
      </tp>
      <tp>
        <v>8981</v>
        <stp/>
        <stp>P</stp>
        <stp>0</stp>
        <stp>STK</stp>
        <stp>259960</stp>
        <stp>누적거래량</stp>
        <stp/>
        <stp/>
        <tr r="V70" s="1"/>
      </tp>
      <tp>
        <v>37936</v>
        <stp/>
        <stp>P</stp>
        <stp>0</stp>
        <stp>STK</stp>
        <stp>195940</stp>
        <stp>누적거래량</stp>
        <stp/>
        <stp/>
        <tr r="V265" s="1"/>
      </tp>
      <tp>
        <v>5161</v>
        <stp/>
        <stp>P</stp>
        <stp>0</stp>
        <stp>STK</stp>
        <stp>097950</stp>
        <stp>누적거래량</stp>
        <stp/>
        <stp/>
        <tr r="V150" s="1"/>
      </tp>
      <tp>
        <v>5666</v>
        <stp/>
        <stp>P</stp>
        <stp>0</stp>
        <stp>STK</stp>
        <stp>128940</stp>
        <stp>누적거래량</stp>
        <stp/>
        <stp/>
        <tr r="V109" s="1"/>
      </tp>
      <tp>
        <v>79</v>
        <stp/>
        <stp>P</stp>
        <stp>0</stp>
        <stp>STK</stp>
        <stp>034950</stp>
        <stp>누적거래량</stp>
        <stp/>
        <stp/>
        <tr r="V511" s="1"/>
      </tp>
      <tp>
        <v>9005</v>
        <stp/>
        <stp>P</stp>
        <stp>0</stp>
        <stp>STK</stp>
        <stp>102940</stp>
        <stp>누적거래량</stp>
        <stp/>
        <stp/>
        <tr r="V427" s="1"/>
      </tp>
      <tp>
        <v>24960</v>
        <stp/>
        <stp>P</stp>
        <stp>0</stp>
        <stp>STK</stp>
        <stp>010950</stp>
        <stp>누적거래량</stp>
        <stp/>
        <stp/>
        <tr r="V72" s="1"/>
      </tp>
      <tp>
        <v>7351</v>
        <stp/>
        <stp>P</stp>
        <stp>0</stp>
        <stp>STK</stp>
        <stp>251970</stp>
        <stp>누적거래량</stp>
        <stp/>
        <stp/>
        <tr r="V396" s="1"/>
      </tp>
      <tp>
        <v>7206</v>
        <stp/>
        <stp>P</stp>
        <stp>0</stp>
        <stp>STK</stp>
        <stp>054950</stp>
        <stp>누적거래량</stp>
        <stp/>
        <stp/>
        <tr r="V617" s="1"/>
      </tp>
      <tp>
        <v>99118</v>
        <stp/>
        <stp>P</stp>
        <stp>0</stp>
        <stp>STK</stp>
        <stp>454910</stp>
        <stp>누적거래량</stp>
        <stp/>
        <stp/>
        <tr r="V90" s="1"/>
      </tp>
      <tp>
        <v>32336</v>
        <stp/>
        <stp>P</stp>
        <stp>0</stp>
        <stp>STK</stp>
        <stp>082920</stp>
        <stp>누적거래량</stp>
        <stp/>
        <stp/>
        <tr r="V331" s="1"/>
      </tp>
      <tp>
        <v>59436</v>
        <stp/>
        <stp>P</stp>
        <stp>0</stp>
        <stp>STK</stp>
        <stp>138930</stp>
        <stp>누적거래량</stp>
        <stp/>
        <stp/>
        <tr r="V115" s="1"/>
      </tp>
      <tp>
        <v>449</v>
        <stp/>
        <stp>P</stp>
        <stp>0</stp>
        <stp>STK</stp>
        <stp>101930</stp>
        <stp>누적거래량</stp>
        <stp/>
        <stp/>
        <tr r="V525" s="1"/>
      </tp>
      <tp>
        <v>1922</v>
        <stp/>
        <stp>P</stp>
        <stp>0</stp>
        <stp>STK</stp>
        <stp>003920</stp>
        <stp>누적거래량</stp>
        <stp/>
        <stp/>
        <tr r="V620" s="1"/>
      </tp>
      <tp>
        <v>27866</v>
        <stp/>
        <stp>P</stp>
        <stp>0</stp>
        <stp>STK</stp>
        <stp>475960</stp>
        <stp>누적거래량</stp>
        <stp/>
        <stp/>
        <tr r="V431" s="1"/>
      </tp>
      <tp>
        <v>41210</v>
        <stp/>
        <stp>P</stp>
        <stp>0</stp>
        <stp>STK</stp>
        <stp>047920</stp>
        <stp>누적거래량</stp>
        <stp/>
        <stp/>
        <tr r="V451" s="1"/>
      </tp>
      <tp>
        <v>3888</v>
        <stp/>
        <stp>P</stp>
        <stp>0</stp>
        <stp>STK</stp>
        <stp>382900</stp>
        <stp>누적거래량</stp>
        <stp/>
        <stp/>
        <tr r="V654" s="1"/>
      </tp>
      <tp>
        <v>248808</v>
        <stp/>
        <stp>P</stp>
        <stp>0</stp>
        <stp>STK</stp>
        <stp>036930</stp>
        <stp>누적거래량</stp>
        <stp/>
        <stp/>
        <tr r="V251" s="1"/>
      </tp>
      <tp>
        <v>4885512</v>
        <stp/>
        <stp>P</stp>
        <stp>0</stp>
        <stp>STK</stp>
        <stp>005930</stp>
        <stp>누적거래량</stp>
        <stp/>
        <stp/>
        <tr r="V9" s="1"/>
      </tp>
      <tp>
        <v>11350</v>
        <stp/>
        <stp>P</stp>
        <stp>0</stp>
        <stp>STK</stp>
        <stp>008930</stp>
        <stp>누적거래량</stp>
        <stp/>
        <stp/>
        <tr r="V168" s="1"/>
      </tp>
      <tp>
        <v>93825</v>
        <stp/>
        <stp>P</stp>
        <stp>0</stp>
        <stp>STK</stp>
        <stp>376900</stp>
        <stp>누적거래량</stp>
        <stp/>
        <stp/>
        <tr r="V313" s="1"/>
      </tp>
      <tp>
        <v>20142</v>
        <stp/>
        <stp>P</stp>
        <stp>0</stp>
        <stp>STK</stp>
        <stp>078930</stp>
        <stp>누적거래량</stp>
        <stp/>
        <stp/>
        <tr r="V104" s="1"/>
      </tp>
      <tp>
        <v>12350</v>
        <stp/>
        <stp>P</stp>
        <stp>0</stp>
        <stp>STK</stp>
        <stp>178920</stp>
        <stp>누적거래량</stp>
        <stp/>
        <stp/>
        <tr r="V504" s="1"/>
      </tp>
      <tp>
        <v>11432</v>
        <stp/>
        <stp>P</stp>
        <stp>0</stp>
        <stp>STK</stp>
        <stp>086900</stp>
        <stp>누적거래량</stp>
        <stp/>
        <stp/>
        <tr r="V341" s="1"/>
      </tp>
      <tp>
        <v>23620</v>
        <stp/>
        <stp>P</stp>
        <stp>0</stp>
        <stp>STK</stp>
        <stp>025900</stp>
        <stp>누적거래량</stp>
        <stp/>
        <stp/>
        <tr r="V530" s="1"/>
      </tp>
      <tp>
        <v>68912</v>
        <stp/>
        <stp>P</stp>
        <stp>0</stp>
        <stp>STK</stp>
        <stp>035900</stp>
        <stp>누적거래량</stp>
        <stp/>
        <stp/>
        <tr r="V188" s="1"/>
      </tp>
      <tp>
        <v>19305</v>
        <stp/>
        <stp>P</stp>
        <stp>0</stp>
        <stp>STK</stp>
        <stp>009900</stp>
        <stp>누적거래량</stp>
        <stp/>
        <stp/>
        <tr r="V467" s="1"/>
      </tp>
      <tp>
        <v>15516</v>
        <stp/>
        <stp>P</stp>
        <stp>0</stp>
        <stp>STK</stp>
        <stp>314930</stp>
        <stp>누적거래량</stp>
        <stp/>
        <stp/>
        <tr r="V576" s="1"/>
      </tp>
      <tp>
        <v>9804</v>
        <stp/>
        <stp>P</stp>
        <stp>0</stp>
        <stp>STK</stp>
        <stp>079900</stp>
        <stp>누적거래량</stp>
        <stp/>
        <stp/>
        <tr r="V385" s="1"/>
      </tp>
      <tp>
        <v>6028</v>
        <stp/>
        <stp>P</stp>
        <stp>0</stp>
        <stp>STK</stp>
        <stp>051900</stp>
        <stp>누적거래량</stp>
        <stp/>
        <stp/>
        <tr r="V127" s="1"/>
      </tp>
      <tp>
        <v>2528</v>
        <stp/>
        <stp>P</stp>
        <stp>0</stp>
        <stp>STK</stp>
        <stp>170900</stp>
        <stp>누적거래량</stp>
        <stp/>
        <stp/>
        <tr r="V499" s="1"/>
      </tp>
      <tp>
        <v>12878</v>
        <stp/>
        <stp>P</stp>
        <stp>0</stp>
        <stp>STK</stp>
        <stp>179900</stp>
        <stp>누적거래량</stp>
        <stp/>
        <stp/>
        <tr r="V528" s="1"/>
      </tp>
      <tp>
        <v>81949</v>
        <stp/>
        <stp>P</stp>
        <stp>0</stp>
        <stp>STK</stp>
        <stp>450950</stp>
        <stp>누적거래량</stp>
        <stp/>
        <stp/>
        <tr r="V501" s="1"/>
      </tp>
      <tp>
        <v>44908</v>
        <stp/>
        <stp>P</stp>
        <stp>0</stp>
        <stp>STK</stp>
        <stp>051910</stp>
        <stp>누적거래량</stp>
        <stp/>
        <stp/>
        <tr r="V36" s="1"/>
      </tp>
      <tp>
        <v>11851</v>
        <stp/>
        <stp>P</stp>
        <stp>0</stp>
        <stp>STK</stp>
        <stp>473980</stp>
        <stp>누적거래량</stp>
        <stp/>
        <stp/>
        <tr r="V649" s="1"/>
      </tp>
      <tp>
        <v>36633</v>
        <stp/>
        <stp>P</stp>
        <stp>0</stp>
        <stp>STK</stp>
        <stp>486990</stp>
        <stp>누적거래량</stp>
        <stp/>
        <stp/>
        <tr r="V318" s="1"/>
      </tp>
      <tp>
        <v>214</v>
        <stp/>
        <stp>P</stp>
        <stp>0</stp>
        <stp>STK</stp>
        <stp>267980</stp>
        <stp>누적거래량</stp>
        <stp/>
        <stp/>
        <tr r="V658" s="1"/>
      </tp>
      <tp>
        <v>7354</v>
        <stp/>
        <stp>P</stp>
        <stp>0</stp>
        <stp>STK</stp>
        <stp>089980</stp>
        <stp>누적거래량</stp>
        <stp/>
        <stp/>
        <tr r="V681" s="1"/>
      </tp>
      <tp>
        <v>112286</v>
        <stp/>
        <stp>P</stp>
        <stp>0</stp>
        <stp>STK</stp>
        <stp>025980</stp>
        <stp>누적거래량</stp>
        <stp/>
        <stp/>
        <tr r="V376" s="1"/>
      </tp>
      <tp>
        <v>41180</v>
        <stp/>
        <stp>P</stp>
        <stp>0</stp>
        <stp>STK</stp>
        <stp>031980</stp>
        <stp>누적거래량</stp>
        <stp/>
        <stp/>
        <tr r="V261" s="1"/>
      </tp>
      <tp>
        <v>15696</v>
        <stp/>
        <stp>P</stp>
        <stp>0</stp>
        <stp>STK</stp>
        <stp>004980</stp>
        <stp>누적거래량</stp>
        <stp/>
        <stp/>
        <tr r="V692" s="1"/>
      </tp>
      <tp>
        <v>44552</v>
        <stp/>
        <stp>P</stp>
        <stp>0</stp>
        <stp>STK</stp>
        <stp>110990</stp>
        <stp>누적거래량</stp>
        <stp/>
        <stp/>
        <tr r="V586" s="1"/>
      </tp>
      <tp>
        <v>5638</v>
        <stp/>
        <stp>P</stp>
        <stp>0</stp>
        <stp>STK</stp>
        <stp>060980</stp>
        <stp>누적거래량</stp>
        <stp/>
        <stp/>
        <tr r="V508" s="1"/>
      </tp>
      <tp>
        <v>472</v>
        <stp/>
        <stp>P</stp>
        <stp>0</stp>
        <stp>STK</stp>
        <stp>145990</stp>
        <stp>누적거래량</stp>
        <stp/>
        <stp/>
        <tr r="V495" s="1"/>
      </tp>
      <tp>
        <v>100722</v>
        <stp/>
        <stp>P</stp>
        <stp>0</stp>
        <stp>STK</stp>
        <stp>000990</stp>
        <stp>누적거래량</stp>
        <stp/>
        <stp/>
        <tr r="V128" s="1"/>
      </tp>
      <tp>
        <v>11651</v>
        <stp/>
        <stp>P</stp>
        <stp>0</stp>
        <stp>STK</stp>
        <stp>004990</stp>
        <stp>누적거래량</stp>
        <stp/>
        <stp/>
        <tr r="V153" s="1"/>
      </tp>
      <tp>
        <v>26861</v>
        <stp/>
        <stp>P</stp>
        <stp>0</stp>
        <stp>STK</stp>
        <stp>0009K0</stp>
        <stp>누적거래량</stp>
        <stp/>
        <stp/>
        <tr r="V146" s="1"/>
      </tp>
      <tp>
        <v>10727</v>
        <stp/>
        <stp>P</stp>
        <stp>0</stp>
        <stp>STK</stp>
        <stp>287840</stp>
        <stp>누적거래량</stp>
        <stp/>
        <stp/>
        <tr r="V383" s="1"/>
      </tp>
      <tp>
        <v>3499</v>
        <stp/>
        <stp>P</stp>
        <stp>0</stp>
        <stp>STK</stp>
        <stp>089860</stp>
        <stp>누적거래량</stp>
        <stp/>
        <stp/>
        <tr r="V300" s="1"/>
      </tp>
      <tp>
        <v>35359</v>
        <stp/>
        <stp>P</stp>
        <stp>0</stp>
        <stp>STK</stp>
        <stp>195870</stp>
        <stp>누적거래량</stp>
        <stp/>
        <stp/>
        <tr r="V335" s="1"/>
      </tp>
      <tp>
        <v>32915</v>
        <stp/>
        <stp>P</stp>
        <stp>0</stp>
        <stp>STK</stp>
        <stp>122870</stp>
        <stp>누적거래량</stp>
        <stp/>
        <stp/>
        <tr r="V273" s="1"/>
      </tp>
      <tp>
        <v>8482</v>
        <stp/>
        <stp>P</stp>
        <stp>0</stp>
        <stp>STK</stp>
        <stp>017860</stp>
        <stp>누적거래량</stp>
        <stp/>
        <stp/>
        <tr r="V597" s="1"/>
      </tp>
      <tp>
        <v>79657</v>
        <stp/>
        <stp>P</stp>
        <stp>0</stp>
        <stp>STK</stp>
        <stp>347850</stp>
        <stp>누적거래량</stp>
        <stp/>
        <stp/>
        <tr r="V141" s="1"/>
      </tp>
      <tp>
        <v>19811</v>
        <stp/>
        <stp>P</stp>
        <stp>0</stp>
        <stp>STK</stp>
        <stp>338840</stp>
        <stp>누적거래량</stp>
        <stp/>
        <stp/>
        <tr r="V583" s="1"/>
      </tp>
      <tp>
        <v>57211</v>
        <stp/>
        <stp>P</stp>
        <stp>0</stp>
        <stp>STK</stp>
        <stp>108860</stp>
        <stp>누적거래량</stp>
        <stp/>
        <stp/>
        <tr r="V603" s="1"/>
      </tp>
      <tp>
        <v>26595</v>
        <stp/>
        <stp>P</stp>
        <stp>0</stp>
        <stp>STK</stp>
        <stp>475830</stp>
        <stp>누적거래량</stp>
        <stp/>
        <stp/>
        <tr r="V200" s="1"/>
      </tp>
      <tp>
        <v>24967</v>
        <stp/>
        <stp>P</stp>
        <stp>0</stp>
        <stp>STK</stp>
        <stp>476830</stp>
        <stp>누적거래량</stp>
        <stp/>
        <stp/>
        <tr r="V212" s="1"/>
      </tp>
      <tp>
        <v>7087</v>
        <stp/>
        <stp>P</stp>
        <stp>0</stp>
        <stp>STK</stp>
        <stp>140860</stp>
        <stp>누적거래량</stp>
        <stp/>
        <stp/>
        <tr r="V241" s="1"/>
      </tp>
      <tp>
        <v>1513</v>
        <stp/>
        <stp>P</stp>
        <stp>0</stp>
        <stp>STK</stp>
        <stp>039840</stp>
        <stp>누적거래량</stp>
        <stp/>
        <stp/>
        <tr r="V696" s="1"/>
      </tp>
      <tp>
        <v>859</v>
        <stp/>
        <stp>P</stp>
        <stp>0</stp>
        <stp>STK</stp>
        <stp>002840</stp>
        <stp>누적거래량</stp>
        <stp/>
        <stp/>
        <tr r="V395" s="1"/>
      </tp>
      <tp>
        <v>53730</v>
        <stp/>
        <stp>P</stp>
        <stp>0</stp>
        <stp>STK</stp>
        <stp>119850</stp>
        <stp>누적거래량</stp>
        <stp/>
        <stp/>
        <tr r="V435" s="1"/>
      </tp>
      <tp>
        <v>13037</v>
        <stp/>
        <stp>P</stp>
        <stp>0</stp>
        <stp>STK</stp>
        <stp>084850</stp>
        <stp>누적거래량</stp>
        <stp/>
        <stp/>
        <tr r="V698" s="1"/>
      </tp>
      <tp>
        <v>43783</v>
        <stp/>
        <stp>P</stp>
        <stp>0</stp>
        <stp>STK</stp>
        <stp>484810</stp>
        <stp>누적거래량</stp>
        <stp/>
        <stp/>
        <tr r="V562" s="1"/>
      </tp>
      <tp>
        <v>11919</v>
        <stp/>
        <stp>P</stp>
        <stp>0</stp>
        <stp>STK</stp>
        <stp>294870</stp>
        <stp>누적거래량</stp>
        <stp/>
        <stp/>
        <tr r="V267" s="1"/>
      </tp>
      <tp>
        <v>22175</v>
        <stp/>
        <stp>P</stp>
        <stp>0</stp>
        <stp>STK</stp>
        <stp>100840</stp>
        <stp>누적거래량</stp>
        <stp/>
        <stp/>
        <tr r="V350" s="1"/>
      </tp>
      <tp>
        <v>15194</v>
        <stp/>
        <stp>P</stp>
        <stp>0</stp>
        <stp>STK</stp>
        <stp>003850</stp>
        <stp>누적거래량</stp>
        <stp/>
        <stp/>
        <tr r="V369" s="1"/>
      </tp>
      <tp>
        <v>25418</v>
        <stp/>
        <stp>P</stp>
        <stp>0</stp>
        <stp>STK</stp>
        <stp>005850</stp>
        <stp>누적거래량</stp>
        <stp/>
        <stp/>
        <tr r="V147" s="1"/>
      </tp>
      <tp>
        <v>57669</v>
        <stp/>
        <stp>P</stp>
        <stp>0</stp>
        <stp>STK</stp>
        <stp>105840</stp>
        <stp>누적거래량</stp>
        <stp/>
        <stp/>
        <tr r="V454" s="1"/>
      </tp>
      <tp>
        <v>8296</v>
        <stp/>
        <stp>P</stp>
        <stp>0</stp>
        <stp>STK</stp>
        <stp>114840</stp>
        <stp>누적거래량</stp>
        <stp/>
        <stp/>
        <tr r="V664" s="1"/>
      </tp>
      <tp>
        <v>49311</v>
        <stp/>
        <stp>P</stp>
        <stp>0</stp>
        <stp>STK</stp>
        <stp>356860</stp>
        <stp>누적거래량</stp>
        <stp/>
        <stp/>
        <tr r="V456" s="1"/>
      </tp>
      <tp>
        <v>322363</v>
        <stp/>
        <stp>P</stp>
        <stp>0</stp>
        <stp>STK</stp>
        <stp>222800</stp>
        <stp>누적거래량</stp>
        <stp/>
        <stp/>
        <tr r="V223" s="1"/>
      </tp>
      <tp>
        <v>6336</v>
        <stp/>
        <stp>P</stp>
        <stp>0</stp>
        <stp>STK</stp>
        <stp>001820</stp>
        <stp>누적거래량</stp>
        <stp/>
        <stp/>
        <tr r="V598" s="1"/>
      </tp>
      <tp>
        <v>8047</v>
        <stp/>
        <stp>P</stp>
        <stp>0</stp>
        <stp>STK</stp>
        <stp>104830</stp>
        <stp>누적거래량</stp>
        <stp/>
        <stp/>
        <tr r="V507" s="1"/>
      </tp>
      <tp>
        <v>4472</v>
        <stp/>
        <stp>P</stp>
        <stp>0</stp>
        <stp>STK</stp>
        <stp>014820</stp>
        <stp>누적거래량</stp>
        <stp/>
        <stp/>
        <tr r="V384" s="1"/>
      </tp>
      <tp>
        <v>67459</v>
        <stp/>
        <stp>P</stp>
        <stp>0</stp>
        <stp>STK</stp>
        <stp>460860</stp>
        <stp>누적거래량</stp>
        <stp/>
        <stp/>
        <tr r="V536" s="1"/>
      </tp>
      <tp>
        <v>11156</v>
        <stp/>
        <stp>P</stp>
        <stp>0</stp>
        <stp>STK</stp>
        <stp>064820</stp>
        <stp>누적거래량</stp>
        <stp/>
        <stp/>
        <tr r="V551" s="1"/>
      </tp>
      <tp>
        <v>20656</v>
        <stp/>
        <stp>P</stp>
        <stp>0</stp>
        <stp>STK</stp>
        <stp>383800</stp>
        <stp>누적거래량</stp>
        <stp/>
        <stp/>
        <tr r="V420" s="1"/>
      </tp>
      <tp>
        <v>6707</v>
        <stp/>
        <stp>P</stp>
        <stp>0</stp>
        <stp>STK</stp>
        <stp>484870</stp>
        <stp>누적거래량</stp>
        <stp/>
        <stp/>
        <tr r="V259" s="1"/>
      </tp>
      <tp>
        <v>8377</v>
        <stp/>
        <stp>P</stp>
        <stp>0</stp>
        <stp>STK</stp>
        <stp>192820</stp>
        <stp>누적거래량</stp>
        <stp/>
        <stp/>
        <tr r="V208" s="1"/>
      </tp>
      <tp>
        <v>515534</v>
        <stp/>
        <stp>P</stp>
        <stp>0</stp>
        <stp>STK</stp>
        <stp>394800</stp>
        <stp>누적거래량</stp>
        <stp/>
        <stp/>
        <tr r="V498" s="1"/>
      </tp>
      <tp>
        <v>56200</v>
        <stp/>
        <stp>P</stp>
        <stp>0</stp>
        <stp>STK</stp>
        <stp>424870</stp>
        <stp>누적거래량</stp>
        <stp/>
        <stp/>
        <tr r="V356" s="1"/>
      </tp>
      <tp>
        <v>18189</v>
        <stp/>
        <stp>P</stp>
        <stp>0</stp>
        <stp>STK</stp>
        <stp>032830</stp>
        <stp>누적거래량</stp>
        <stp/>
        <stp/>
        <tr r="V27" s="1"/>
      </tp>
      <tp>
        <v>13640</v>
        <stp/>
        <stp>P</stp>
        <stp>0</stp>
        <stp>STK</stp>
        <stp>036830</stp>
        <stp>누적거래량</stp>
        <stp/>
        <stp/>
        <tr r="V352" s="1"/>
      </tp>
      <tp>
        <v>315821</v>
        <stp/>
        <stp>P</stp>
        <stp>0</stp>
        <stp>STK</stp>
        <stp>403870</stp>
        <stp>누적거래량</stp>
        <stp/>
        <stp/>
        <tr r="V160" s="1"/>
      </tp>
      <tp>
        <v>16629</v>
        <stp/>
        <stp>P</stp>
        <stp>0</stp>
        <stp>STK</stp>
        <stp>005830</stp>
        <stp>누적거래량</stp>
        <stp/>
        <stp/>
        <tr r="V78" s="1"/>
      </tp>
      <tp>
        <v>92023</v>
        <stp/>
        <stp>P</stp>
        <stp>0</stp>
        <stp>STK</stp>
        <stp>009830</stp>
        <stp>누적거래량</stp>
        <stp/>
        <stp/>
        <tr r="V116" s="1"/>
      </tp>
      <tp>
        <v>2114</v>
        <stp/>
        <stp>P</stp>
        <stp>0</stp>
        <stp>STK</stp>
        <stp>014830</stp>
        <stp>누적거래량</stp>
        <stp/>
        <stp/>
        <tr r="V487" s="1"/>
      </tp>
      <tp>
        <v>46091</v>
        <stp/>
        <stp>P</stp>
        <stp>0</stp>
        <stp>STK</stp>
        <stp>462870</stp>
        <stp>누적거래량</stp>
        <stp/>
        <stp/>
        <tr r="V217" s="1"/>
      </tp>
      <tp>
        <v>60274</v>
        <stp/>
        <stp>P</stp>
        <stp>0</stp>
        <stp>STK</stp>
        <stp>277810</stp>
        <stp>누적거래량</stp>
        <stp/>
        <stp/>
        <tr r="V74" s="1"/>
      </tp>
      <tp>
        <v>173772</v>
        <stp/>
        <stp>P</stp>
        <stp>0</stp>
        <stp>STK</stp>
        <stp>240810</stp>
        <stp>누적거래량</stp>
        <stp/>
        <stp/>
        <tr r="V133" s="1"/>
      </tp>
      <tp>
        <v>1165</v>
        <stp/>
        <stp>P</stp>
        <stp>0</stp>
        <stp>STK</stp>
        <stp>041830</stp>
        <stp>누적거래량</stp>
        <stp/>
        <stp/>
        <tr r="V546" s="1"/>
      </tp>
      <tp>
        <v>6171</v>
        <stp/>
        <stp>P</stp>
        <stp>0</stp>
        <stp>STK</stp>
        <stp>458870</stp>
        <stp>누적거래량</stp>
        <stp/>
        <stp/>
        <tr r="V224" s="1"/>
      </tp>
      <tp>
        <v>19413</v>
        <stp/>
        <stp>P</stp>
        <stp>0</stp>
        <stp>STK</stp>
        <stp>281820</stp>
        <stp>누적거래량</stp>
        <stp/>
        <stp/>
        <tr r="V353" s="1"/>
      </tp>
      <tp>
        <v>696</v>
        <stp/>
        <stp>P</stp>
        <stp>0</stp>
        <stp>STK</stp>
        <stp>036800</stp>
        <stp>누적거래량</stp>
        <stp/>
        <stp/>
        <tr r="V691" s="1"/>
      </tp>
      <tp>
        <v>11883</v>
        <stp/>
        <stp>P</stp>
        <stp>0</stp>
        <stp>STK</stp>
        <stp>001800</stp>
        <stp>누적거래량</stp>
        <stp/>
        <stp/>
        <tr r="V270" s="1"/>
      </tp>
      <tp>
        <v>3307</v>
        <stp/>
        <stp>P</stp>
        <stp>0</stp>
        <stp>STK</stp>
        <stp>004800</stp>
        <stp>누적거래량</stp>
        <stp/>
        <stp/>
        <tr r="V177" s="1"/>
      </tp>
      <tp>
        <v>762933</v>
        <stp/>
        <stp>P</stp>
        <stp>0</stp>
        <stp>STK</stp>
        <stp>006800</stp>
        <stp>누적거래량</stp>
        <stp/>
        <stp/>
        <tr r="V51" s="1"/>
      </tp>
      <tp>
        <v>37712</v>
        <stp/>
        <stp>P</stp>
        <stp>0</stp>
        <stp>STK</stp>
        <stp>114810</stp>
        <stp>누적거래량</stp>
        <stp/>
        <stp/>
        <tr r="V606" s="1"/>
      </tp>
      <tp>
        <v>15</v>
        <stp/>
        <stp>P</stp>
        <stp>0</stp>
        <stp>STK</stp>
        <stp>016800</stp>
        <stp>누적거래량</stp>
        <stp/>
        <stp/>
        <tr r="V478" s="1"/>
      </tp>
      <tp>
        <v>62502</v>
        <stp/>
        <stp>P</stp>
        <stp>0</stp>
        <stp>STK</stp>
        <stp>017800</stp>
        <stp>누적거래량</stp>
        <stp/>
        <stp/>
        <tr r="V140" s="1"/>
      </tp>
      <tp>
        <v>9689</v>
        <stp/>
        <stp>P</stp>
        <stp>0</stp>
        <stp>STK</stp>
        <stp>053800</stp>
        <stp>누적거래량</stp>
        <stp/>
        <stp/>
        <tr r="V404" s="1"/>
      </tp>
      <tp>
        <v>7292</v>
        <stp/>
        <stp>P</stp>
        <stp>0</stp>
        <stp>STK</stp>
        <stp>199800</stp>
        <stp>누적거래량</stp>
        <stp/>
        <stp/>
        <tr r="V474" s="1"/>
      </tp>
      <tp>
        <v>49957</v>
        <stp/>
        <stp>P</stp>
        <stp>0</stp>
        <stp>STK</stp>
        <stp>036810</stp>
        <stp>누적거래량</stp>
        <stp/>
        <stp/>
        <tr r="V382" s="1"/>
      </tp>
      <tp>
        <v>6472</v>
        <stp/>
        <stp>P</stp>
        <stp>0</stp>
        <stp>STK</stp>
        <stp>000810</stp>
        <stp>누적거래량</stp>
        <stp/>
        <stp/>
        <tr r="V38" s="1"/>
      </tp>
      <tp>
        <v>278</v>
        <stp/>
        <stp>P</stp>
        <stp>0</stp>
        <stp>STK</stp>
        <stp>002810</stp>
        <stp>누적거래량</stp>
        <stp/>
        <stp/>
        <tr r="V619" s="1"/>
      </tp>
      <tp>
        <v>11286</v>
        <stp/>
        <stp>P</stp>
        <stp>0</stp>
        <stp>STK</stp>
        <stp>403850</stp>
        <stp>누적거래량</stp>
        <stp/>
        <stp/>
        <tr r="V581" s="1"/>
      </tp>
      <tp>
        <v>1934</v>
        <stp/>
        <stp>P</stp>
        <stp>0</stp>
        <stp>STK</stp>
        <stp>005810</stp>
        <stp>누적거래량</stp>
        <stp/>
        <stp/>
        <tr r="V449" s="1"/>
      </tp>
      <tp>
        <v>62698</v>
        <stp/>
        <stp>P</stp>
        <stp>0</stp>
        <stp>STK</stp>
        <stp>007810</stp>
        <stp>누적거래량</stp>
        <stp/>
        <stp/>
        <tr r="V253" s="1"/>
      </tp>
      <tp>
        <v>4527</v>
        <stp/>
        <stp>P</stp>
        <stp>0</stp>
        <stp>STK</stp>
        <stp>017810</stp>
        <stp>누적거래량</stp>
        <stp/>
        <stp/>
        <tr r="V482" s="1"/>
      </tp>
      <tp>
        <v>7135</v>
        <stp/>
        <stp>P</stp>
        <stp>0</stp>
        <stp>STK</stp>
        <stp>472850</stp>
        <stp>누적거래량</stp>
        <stp/>
        <stp/>
        <tr r="V640" s="1"/>
      </tp>
      <tp>
        <v>3904</v>
        <stp/>
        <stp>P</stp>
        <stp>0</stp>
        <stp>STK</stp>
        <stp>344820</stp>
        <stp>누적거래량</stp>
        <stp/>
        <stp/>
        <tr r="V519" s="1"/>
      </tp>
      <tp>
        <v>84607</v>
        <stp/>
        <stp>P</stp>
        <stp>0</stp>
        <stp>STK</stp>
        <stp>047810</stp>
        <stp>누적거래량</stp>
        <stp/>
        <stp/>
        <tr r="V56" s="1"/>
      </tp>
      <tp>
        <v>24168</v>
        <stp/>
        <stp>P</stp>
        <stp>0</stp>
        <stp>STK</stp>
        <stp>352820</stp>
        <stp>누적거래량</stp>
        <stp/>
        <stp/>
        <tr r="V59" s="1"/>
      </tp>
      <tp>
        <v>4898</v>
        <stp/>
        <stp>P</stp>
        <stp>0</stp>
        <stp>STK</stp>
        <stp>237880</stp>
        <stp>누적거래량</stp>
        <stp/>
        <stp/>
        <tr r="V693" s="1"/>
      </tp>
      <tp>
        <v>26802</v>
        <stp/>
        <stp>P</stp>
        <stp>0</stp>
        <stp>STK</stp>
        <stp>200880</stp>
        <stp>누적거래량</stp>
        <stp/>
        <stp/>
        <tr r="V506" s="1"/>
      </tp>
      <tp>
        <v>22454</v>
        <stp/>
        <stp>P</stp>
        <stp>0</stp>
        <stp>STK</stp>
        <stp>000880</stp>
        <stp>누적거래량</stp>
        <stp/>
        <stp/>
        <tr r="V79" s="1"/>
      </tp>
      <tp>
        <v>904877</v>
        <stp/>
        <stp>P</stp>
        <stp>0</stp>
        <stp>STK</stp>
        <stp>018880</stp>
        <stp>누적거래량</stp>
        <stp/>
        <stp/>
        <tr r="V145" s="1"/>
      </tp>
      <tp>
        <v>24798</v>
        <stp/>
        <stp>P</stp>
        <stp>0</stp>
        <stp>STK</stp>
        <stp>161890</stp>
        <stp>누적거래량</stp>
        <stp/>
        <stp/>
        <tr r="V248" s="1"/>
      </tp>
      <tp>
        <v>27678</v>
        <stp/>
        <stp>P</stp>
        <stp>0</stp>
        <stp>STK</stp>
        <stp>089890</stp>
        <stp>누적거래량</stp>
        <stp/>
        <stp/>
        <tr r="V523" s="1"/>
      </tp>
      <tp>
        <v>7700</v>
        <stp/>
        <stp>P</stp>
        <stp>0</stp>
        <stp>STK</stp>
        <stp>026890</stp>
        <stp>누적거래량</stp>
        <stp/>
        <stp/>
        <tr r="V533" s="1"/>
      </tp>
      <tp>
        <v>6815</v>
        <stp/>
        <stp>P</stp>
        <stp>0</stp>
        <stp>STK</stp>
        <stp>036890</stp>
        <stp>누적거래량</stp>
        <stp/>
        <stp/>
        <tr r="V624" s="1"/>
      </tp>
      <tp>
        <v>9586</v>
        <stp/>
        <stp>P</stp>
        <stp>0</stp>
        <stp>STK</stp>
        <stp>013890</stp>
        <stp>누적거래량</stp>
        <stp/>
        <stp/>
        <tr r="V656" s="1"/>
      </tp>
      <tp>
        <v>74045</v>
        <stp/>
        <stp>P</stp>
        <stp>0</stp>
        <stp>STK</stp>
        <stp>046890</stp>
        <stp>누적거래량</stp>
        <stp/>
        <stp/>
        <tr r="V579" s="1"/>
      </tp>
      <tp>
        <v>173053</v>
        <stp/>
        <stp>P</stp>
        <stp>0</stp>
        <stp>STK</stp>
        <stp>050890</stp>
        <stp>누적거래량</stp>
        <stp/>
        <stp/>
        <tr r="V496" s="1"/>
      </tp>
      <tp>
        <v>5372</v>
        <stp/>
        <stp>P</stp>
        <stp>0</stp>
        <stp>STK</stp>
        <stp>0008Z0</stp>
        <stp>누적거래량</stp>
        <stp/>
        <stp/>
        <tr r="V613" s="1"/>
      </tp>
      <tp>
        <v>690168</v>
        <stp/>
        <stp>P</stp>
        <stp>0</stp>
        <stp>STK</stp>
        <stp>380550</stp>
        <stp>누적거래량</stp>
        <stp/>
        <stp/>
        <tr r="V663" s="1"/>
      </tp>
      <tp>
        <v>16508</v>
        <stp/>
        <stp>P</stp>
        <stp>0</stp>
        <stp>STK</stp>
        <stp>020560</stp>
        <stp>누적거래량</stp>
        <stp/>
        <stp/>
        <tr r="V246" s="1"/>
      </tp>
      <tp>
        <v>238946</v>
        <stp/>
        <stp>P</stp>
        <stp>0</stp>
        <stp>STK</stp>
        <stp>247540</stp>
        <stp>누적거래량</stp>
        <stp/>
        <stp/>
        <tr r="V57" s="1"/>
      </tp>
      <tp>
        <v>3965</v>
        <stp/>
        <stp>P</stp>
        <stp>0</stp>
        <stp>STK</stp>
        <stp>357550</stp>
        <stp>누적거래량</stp>
        <stp/>
        <stp/>
        <tr r="V612" s="1"/>
      </tp>
      <tp>
        <v>14933</v>
        <stp/>
        <stp>P</stp>
        <stp>0</stp>
        <stp>STK</stp>
        <stp>036570</stp>
        <stp>누적거래량</stp>
        <stp/>
        <stp/>
        <tr r="V114" s="1"/>
      </tp>
      <tp>
        <v>11110</v>
        <stp/>
        <stp>P</stp>
        <stp>0</stp>
        <stp>STK</stp>
        <stp>003570</stp>
        <stp>누적거래량</stp>
        <stp/>
        <stp/>
        <tr r="V237" s="1"/>
      </tp>
      <tp>
        <v>154001</v>
        <stp/>
        <stp>P</stp>
        <stp>0</stp>
        <stp>STK</stp>
        <stp>105560</stp>
        <stp>누적거래량</stp>
        <stp/>
        <stp/>
        <tr r="V19" s="1"/>
      </tp>
      <tp>
        <v>13356</v>
        <stp/>
        <stp>P</stp>
        <stp>0</stp>
        <stp>STK</stp>
        <stp>419530</stp>
        <stp>누적거래량</stp>
        <stp/>
        <stp/>
        <tr r="V580" s="1"/>
      </tp>
      <tp>
        <v>123998</v>
        <stp/>
        <stp>P</stp>
        <stp>0</stp>
        <stp>STK</stp>
        <stp>066570</stp>
        <stp>누적거래량</stp>
        <stp/>
        <stp/>
        <tr r="V48" s="1"/>
      </tp>
      <tp>
        <v>17338</v>
        <stp/>
        <stp>P</stp>
        <stp>0</stp>
        <stp>STK</stp>
        <stp>468530</stp>
        <stp>누적거래량</stp>
        <stp/>
        <stp/>
        <tr r="V340" s="1"/>
      </tp>
      <tp>
        <v>3759</v>
        <stp/>
        <stp>P</stp>
        <stp>0</stp>
        <stp>STK</stp>
        <stp>025540</stp>
        <stp>누적거래량</stp>
        <stp/>
        <stp/>
        <tr r="V355" s="1"/>
      </tp>
      <tp>
        <v>1065650</v>
        <stp/>
        <stp>P</stp>
        <stp>0</stp>
        <stp>STK</stp>
        <stp>036540</stp>
        <stp>누적거래량</stp>
        <stp/>
        <stp/>
        <tr r="V334" s="1"/>
      </tp>
      <tp>
        <v>227715</v>
        <stp/>
        <stp>P</stp>
        <stp>0</stp>
        <stp>STK</stp>
        <stp>336570</stp>
        <stp>누적거래량</stp>
        <stp/>
        <stp/>
        <tr r="V375" s="1"/>
      </tp>
      <tp>
        <v>24859</v>
        <stp/>
        <stp>P</stp>
        <stp>0</stp>
        <stp>STK</stp>
        <stp>003540</stp>
        <stp>누적거래량</stp>
        <stp/>
        <stp/>
        <tr r="V262" s="1"/>
      </tp>
      <tp>
        <v>13338</v>
        <stp/>
        <stp>P</stp>
        <stp>0</stp>
        <stp>STK</stp>
        <stp>009540</stp>
        <stp>누적거래량</stp>
        <stp/>
        <stp/>
        <tr r="V30" s="1"/>
      </tp>
      <tp>
        <v>12370</v>
        <stp/>
        <stp>P</stp>
        <stp>0</stp>
        <stp>STK</stp>
        <stp>271560</stp>
        <stp>누적거래량</stp>
        <stp/>
        <stp/>
        <tr r="V117" s="1"/>
      </tp>
      <tp>
        <v>7053</v>
        <stp/>
        <stp>P</stp>
        <stp>0</stp>
        <stp>STK</stp>
        <stp>340570</stp>
        <stp>누적거래량</stp>
        <stp/>
        <stp/>
        <tr r="V575" s="1"/>
      </tp>
      <tp>
        <v>27621</v>
        <stp/>
        <stp>P</stp>
        <stp>0</stp>
        <stp>STK</stp>
        <stp>241560</stp>
        <stp>누적거래량</stp>
        <stp/>
        <stp/>
        <tr r="V103" s="1"/>
      </tp>
      <tp>
        <v>92011</v>
        <stp/>
        <stp>P</stp>
        <stp>0</stp>
        <stp>STK</stp>
        <stp>358570</stp>
        <stp>누적거래량</stp>
        <stp/>
        <stp/>
        <tr r="V339" s="1"/>
      </tp>
      <tp>
        <v>16607</v>
        <stp/>
        <stp>P</stp>
        <stp>0</stp>
        <stp>STK</stp>
        <stp>294570</stp>
        <stp>누적거래량</stp>
        <stp/>
        <stp/>
        <tr r="V650" s="1"/>
      </tp>
      <tp>
        <v>36599</v>
        <stp/>
        <stp>P</stp>
        <stp>0</stp>
        <stp>STK</stp>
        <stp>225570</stp>
        <stp>누적거래량</stp>
        <stp/>
        <stp/>
        <tr r="V357" s="1"/>
      </tp>
      <tp>
        <v>18414</v>
        <stp/>
        <stp>P</stp>
        <stp>0</stp>
        <stp>STK</stp>
        <stp>003550</stp>
        <stp>누적거래량</stp>
        <stp/>
        <stp/>
        <tr r="V65" s="1"/>
      </tp>
      <tp>
        <v>13374</v>
        <stp/>
        <stp>P</stp>
        <stp>0</stp>
        <stp>STK</stp>
        <stp>064550</stp>
        <stp>누적거래량</stp>
        <stp/>
        <stp/>
        <tr r="V616" s="1"/>
      </tp>
      <tp>
        <v>18910</v>
        <stp/>
        <stp>P</stp>
        <stp>0</stp>
        <stp>STK</stp>
        <stp>079550</stp>
        <stp>누적거래량</stp>
        <stp/>
        <stp/>
        <tr r="V69" s="1"/>
      </tp>
      <tp>
        <v>142026</v>
        <stp/>
        <stp>P</stp>
        <stp>0</stp>
        <stp>STK</stp>
        <stp>055550</stp>
        <stp>누적거래량</stp>
        <stp/>
        <stp/>
        <tr r="V25" s="1"/>
      </tp>
      <tp>
        <v>35977</v>
        <stp/>
        <stp>P</stp>
        <stp>0</stp>
        <stp>STK</stp>
        <stp>459510</stp>
        <stp>누적거래량</stp>
        <stp/>
        <stp/>
        <tr r="V493" s="1"/>
      </tp>
      <tp>
        <v>1059981</v>
        <stp/>
        <stp>P</stp>
        <stp>0</stp>
        <stp>STK</stp>
        <stp>086520</stp>
        <stp>누적거래량</stp>
        <stp/>
        <stp/>
        <tr r="V67" s="1"/>
      </tp>
      <tp>
        <v>3989</v>
        <stp/>
        <stp>P</stp>
        <stp>0</stp>
        <stp>STK</stp>
        <stp>093520</stp>
        <stp>누적거래량</stp>
        <stp/>
        <stp/>
        <tr r="V630" s="1"/>
      </tp>
      <tp>
        <v>9386</v>
        <stp/>
        <stp>P</stp>
        <stp>0</stp>
        <stp>STK</stp>
        <stp>097520</stp>
        <stp>누적거래량</stp>
        <stp/>
        <stp/>
        <tr r="V450" s="1"/>
      </tp>
      <tp>
        <v>27815</v>
        <stp/>
        <stp>P</stp>
        <stp>0</stp>
        <stp>STK</stp>
        <stp>030520</stp>
        <stp>누적거래량</stp>
        <stp/>
        <stp/>
        <tr r="V457" s="1"/>
      </tp>
      <tp>
        <v>98064</v>
        <stp/>
        <stp>P</stp>
        <stp>0</stp>
        <stp>STK</stp>
        <stp>009520</stp>
        <stp>누적거래량</stp>
        <stp/>
        <stp/>
        <tr r="V366" s="1"/>
      </tp>
      <tp>
        <v>2263</v>
        <stp/>
        <stp>P</stp>
        <stp>0</stp>
        <stp>STK</stp>
        <stp>475560</stp>
        <stp>누적거래량</stp>
        <stp/>
        <stp/>
        <tr r="V574" s="1"/>
      </tp>
      <tp>
        <v>6446</v>
        <stp/>
        <stp>P</stp>
        <stp>0</stp>
        <stp>STK</stp>
        <stp>078520</stp>
        <stp>누적거래량</stp>
        <stp/>
        <stp/>
        <tr r="V673" s="1"/>
      </tp>
      <tp>
        <v>129164</v>
        <stp/>
        <stp>P</stp>
        <stp>0</stp>
        <stp>STK</stp>
        <stp>042520</stp>
        <stp>누적거래량</stp>
        <stp/>
        <stp/>
        <tr r="V607" s="1"/>
      </tp>
      <tp>
        <v>139878</v>
        <stp/>
        <stp>P</stp>
        <stp>0</stp>
        <stp>STK</stp>
        <stp>096530</stp>
        <stp>누적거래량</stp>
        <stp/>
        <stp/>
        <tr r="V278" s="1"/>
      </tp>
      <tp>
        <v>12419</v>
        <stp/>
        <stp>P</stp>
        <stp>0</stp>
        <stp>STK</stp>
        <stp>023530</stp>
        <stp>누적거래량</stp>
        <stp/>
        <stp/>
        <tr r="V203" s="1"/>
      </tp>
      <tp>
        <v>16312</v>
        <stp/>
        <stp>P</stp>
        <stp>0</stp>
        <stp>STK</stp>
        <stp>029530</stp>
        <stp>누적거래량</stp>
        <stp/>
        <stp/>
        <tr r="V502" s="1"/>
      </tp>
      <tp>
        <v>155338</v>
        <stp/>
        <stp>P</stp>
        <stp>0</stp>
        <stp>STK</stp>
        <stp>030530</stp>
        <stp>누적거래량</stp>
        <stp/>
        <stp/>
        <tr r="V149" s="1"/>
      </tp>
      <tp>
        <v>3919</v>
        <stp/>
        <stp>P</stp>
        <stp>0</stp>
        <stp>STK</stp>
        <stp>036530</stp>
        <stp>누적거래량</stp>
        <stp/>
        <stp/>
        <tr r="V328" s="1"/>
      </tp>
      <tp>
        <v>9916</v>
        <stp/>
        <stp>P</stp>
        <stp>0</stp>
        <stp>STK</stp>
        <stp>001530</stp>
        <stp>누적거래량</stp>
        <stp/>
        <stp/>
        <tr r="V549" s="1"/>
      </tp>
      <tp>
        <v>41916</v>
        <stp/>
        <stp>P</stp>
        <stp>0</stp>
        <stp>STK</stp>
        <stp>375500</stp>
        <stp>누적거래량</stp>
        <stp/>
        <stp/>
        <tr r="V238" s="1"/>
      </tp>
      <tp>
        <v>39187</v>
        <stp/>
        <stp>P</stp>
        <stp>0</stp>
        <stp>STK</stp>
        <stp>190510</stp>
        <stp>누적거래량</stp>
        <stp/>
        <stp/>
        <tr r="V582" s="1"/>
      </tp>
      <tp>
        <v>47309</v>
        <stp/>
        <stp>P</stp>
        <stp>0</stp>
        <stp>STK</stp>
        <stp>095500</stp>
        <stp>누적거래량</stp>
        <stp/>
        <stp/>
        <tr r="V599" s="1"/>
      </tp>
      <tp>
        <v>60062</v>
        <stp/>
        <stp>P</stp>
        <stp>0</stp>
        <stp>STK</stp>
        <stp>032500</stp>
        <stp>누적거래량</stp>
        <stp/>
        <stp/>
        <tr r="V416" s="1"/>
      </tp>
      <tp>
        <v>25081</v>
        <stp/>
        <stp>P</stp>
        <stp>0</stp>
        <stp>STK</stp>
        <stp>033500</stp>
        <stp>누적거래량</stp>
        <stp/>
        <stp/>
        <tr r="V347" s="1"/>
      </tp>
      <tp>
        <v>9126</v>
        <stp/>
        <stp>P</stp>
        <stp>0</stp>
        <stp>STK</stp>
        <stp>000500</stp>
        <stp>누적거래량</stp>
        <stp/>
        <stp/>
        <tr r="V252" s="1"/>
      </tp>
      <tp>
        <v>34243</v>
        <stp/>
        <stp>P</stp>
        <stp>0</stp>
        <stp>STK</stp>
        <stp>001500</stp>
        <stp>누적거래량</stp>
        <stp/>
        <stp/>
        <tr r="V462" s="1"/>
      </tp>
      <tp>
        <v>1483</v>
        <stp/>
        <stp>P</stp>
        <stp>0</stp>
        <stp>STK</stp>
        <stp>005500</stp>
        <stp>누적거래량</stp>
        <stp/>
        <stp/>
        <tr r="V669" s="1"/>
      </tp>
      <tp>
        <v>108028</v>
        <stp/>
        <stp>P</stp>
        <stp>0</stp>
        <stp>STK</stp>
        <stp>011500</stp>
        <stp>누적거래량</stp>
        <stp/>
        <stp/>
        <tr r="V634" s="1"/>
      </tp>
      <tp>
        <v>15987</v>
        <stp/>
        <stp>P</stp>
        <stp>0</stp>
        <stp>STK</stp>
        <stp>265520</stp>
        <stp>누적거래량</stp>
        <stp/>
        <stp/>
        <tr r="V642" s="1"/>
      </tp>
      <tp>
        <v>5178</v>
        <stp/>
        <stp>P</stp>
        <stp>0</stp>
        <stp>STK</stp>
        <stp>144510</stp>
        <stp>누적거래량</stp>
        <stp/>
        <stp/>
        <tr r="V578" s="1"/>
      </tp>
      <tp>
        <v>1400</v>
        <stp/>
        <stp>P</stp>
        <stp>0</stp>
        <stp>STK</stp>
        <stp>051500</stp>
        <stp>누적거래량</stp>
        <stp/>
        <stp/>
        <tr r="V608" s="1"/>
      </tp>
      <tp>
        <v>765</v>
        <stp/>
        <stp>P</stp>
        <stp>0</stp>
        <stp>STK</stp>
        <stp>403550</stp>
        <stp>누적거래량</stp>
        <stp/>
        <stp/>
        <tr r="V540" s="1"/>
      </tp>
      <tp>
        <v>18098</v>
        <stp/>
        <stp>P</stp>
        <stp>0</stp>
        <stp>STK</stp>
        <stp>012510</stp>
        <stp>누적거래량</stp>
        <stp/>
        <stp/>
        <tr r="V158" s="1"/>
      </tp>
      <tp>
        <v>15329</v>
        <stp/>
        <stp>P</stp>
        <stp>0</stp>
        <stp>STK</stp>
        <stp>041510</stp>
        <stp>누적거래량</stp>
        <stp/>
        <stp/>
        <tr r="V180" s="1"/>
      </tp>
      <tp>
        <v>24632</v>
        <stp/>
        <stp>P</stp>
        <stp>0</stp>
        <stp>STK</stp>
        <stp>484590</stp>
        <stp>누적거래량</stp>
        <stp/>
        <stp/>
        <tr r="V453" s="1"/>
      </tp>
      <tp>
        <v>18046</v>
        <stp/>
        <stp>P</stp>
        <stp>0</stp>
        <stp>STK</stp>
        <stp>217590</stp>
        <stp>누적거래량</stp>
        <stp/>
        <stp/>
        <tr r="V545" s="1"/>
      </tp>
      <tp>
        <v>163219</v>
        <stp/>
        <stp>P</stp>
        <stp>0</stp>
        <stp>STK</stp>
        <stp>253590</stp>
        <stp>누적거래량</stp>
        <stp/>
        <stp/>
        <tr r="V477" s="1"/>
      </tp>
      <tp>
        <v>61109</v>
        <stp/>
        <stp>P</stp>
        <stp>0</stp>
        <stp>STK</stp>
        <stp>103590</stp>
        <stp>누적거래량</stp>
        <stp/>
        <stp/>
        <tr r="V157" s="1"/>
      </tp>
      <tp>
        <v>39512</v>
        <stp/>
        <stp>P</stp>
        <stp>0</stp>
        <stp>STK</stp>
        <stp>075580</stp>
        <stp>누적거래량</stp>
        <stp/>
        <stp/>
        <tr r="V299" s="1"/>
      </tp>
      <tp>
        <v>12997</v>
        <stp/>
        <stp>P</stp>
        <stp>0</stp>
        <stp>STK</stp>
        <stp>023590</stp>
        <stp>누적거래량</stp>
        <stp/>
        <stp/>
        <tr r="V225" s="1"/>
      </tp>
      <tp>
        <v>1121</v>
        <stp/>
        <stp>P</stp>
        <stp>0</stp>
        <stp>STK</stp>
        <stp>016590</stp>
        <stp>누적거래량</stp>
        <stp/>
        <stp/>
        <tr r="V465" s="1"/>
      </tp>
      <tp>
        <v>152964</v>
        <stp/>
        <stp>P</stp>
        <stp>0</stp>
        <stp>STK</stp>
        <stp>161580</stp>
        <stp>누적거래량</stp>
        <stp/>
        <stp/>
        <tr r="V314" s="1"/>
      </tp>
      <tp>
        <v>22574</v>
        <stp/>
        <stp>P</stp>
        <stp>0</stp>
        <stp>STK</stp>
        <stp>090460</stp>
        <stp>누적거래량</stp>
        <stp/>
        <stp/>
        <tr r="V458" s="1"/>
      </tp>
      <tp>
        <v>5134</v>
        <stp/>
        <stp>P</stp>
        <stp>0</stp>
        <stp>STK</stp>
        <stp>092460</stp>
        <stp>누적거래량</stp>
        <stp/>
        <stp/>
        <tr r="V643" s="1"/>
      </tp>
      <tp>
        <v>552988</v>
        <stp/>
        <stp>P</stp>
        <stp>0</stp>
        <stp>STK</stp>
        <stp>098460</stp>
        <stp>누적거래량</stp>
        <stp/>
        <stp/>
        <tr r="V205" s="1"/>
      </tp>
      <tp>
        <v>11550</v>
        <stp/>
        <stp>P</stp>
        <stp>0</stp>
        <stp>STK</stp>
        <stp>425420</stp>
        <stp>누적거래량</stp>
        <stp/>
        <stp/>
        <tr r="V535" s="1"/>
      </tp>
      <tp>
        <v>7963</v>
        <stp/>
        <stp>P</stp>
        <stp>0</stp>
        <stp>STK</stp>
        <stp>029460</stp>
        <stp>누적거래량</stp>
        <stp/>
        <stp/>
        <tr r="V557" s="1"/>
      </tp>
      <tp>
        <v>18077</v>
        <stp/>
        <stp>P</stp>
        <stp>0</stp>
        <stp>STK</stp>
        <stp>036460</stp>
        <stp>누적거래량</stp>
        <stp/>
        <stp/>
        <tr r="V137" s="1"/>
      </tp>
      <tp>
        <v>645</v>
        <stp/>
        <stp>P</stp>
        <stp>0</stp>
        <stp>STK</stp>
        <stp>001460</stp>
        <stp>누적거래량</stp>
        <stp/>
        <stp/>
        <tr r="V660" s="1"/>
      </tp>
      <tp>
        <v>4156</v>
        <stp/>
        <stp>P</stp>
        <stp>0</stp>
        <stp>STK</stp>
        <stp>317450</stp>
        <stp>누적거래량</stp>
        <stp/>
        <stp/>
        <tr r="V342" s="1"/>
      </tp>
      <tp>
        <v>17661</v>
        <stp/>
        <stp>P</stp>
        <stp>0</stp>
        <stp>STK</stp>
        <stp>302440</stp>
        <stp>누적거래량</stp>
        <stp/>
        <stp/>
        <tr r="V134" s="1"/>
      </tp>
      <tp>
        <v>45821</v>
        <stp/>
        <stp>P</stp>
        <stp>0</stp>
        <stp>STK</stp>
        <stp>214450</stp>
        <stp>누적거래량</stp>
        <stp/>
        <stp/>
        <tr r="V120" s="1"/>
      </tp>
      <tp>
        <v>9087</v>
        <stp/>
        <stp>P</stp>
        <stp>0</stp>
        <stp>STK</stp>
        <stp>452430</stp>
        <stp>누적거래량</stp>
        <stp/>
        <stp/>
        <tr r="V661" s="1"/>
      </tp>
      <tp>
        <v>17584</v>
        <stp/>
        <stp>P</stp>
        <stp>0</stp>
        <stp>STK</stp>
        <stp>253450</stp>
        <stp>누적거래량</stp>
        <stp/>
        <stp/>
        <tr r="V264" s="1"/>
      </tp>
      <tp>
        <v>313552</v>
        <stp/>
        <stp>P</stp>
        <stp>0</stp>
        <stp>STK</stp>
        <stp>058470</stp>
        <stp>누적거래량</stp>
        <stp/>
        <stp/>
        <tr r="V112" s="1"/>
      </tp>
      <tp>
        <v>12001</v>
        <stp/>
        <stp>P</stp>
        <stp>0</stp>
        <stp>STK</stp>
        <stp>389470</stp>
        <stp>누적거래량</stp>
        <stp/>
        <stp/>
        <tr r="V329" s="1"/>
      </tp>
      <tp>
        <v>45566</v>
        <stp/>
        <stp>P</stp>
        <stp>0</stp>
        <stp>STK</stp>
        <stp>039440</stp>
        <stp>누적거래량</stp>
        <stp/>
        <stp/>
        <tr r="V497" s="1"/>
      </tp>
      <tp>
        <v>788986</v>
        <stp/>
        <stp>P</stp>
        <stp>0</stp>
        <stp>STK</stp>
        <stp>001440</stp>
        <stp>누적거래량</stp>
        <stp/>
        <stp/>
        <tr r="V110" s="1"/>
      </tp>
      <tp>
        <v>13575</v>
        <stp/>
        <stp>P</stp>
        <stp>0</stp>
        <stp>STK</stp>
        <stp>005440</stp>
        <stp>누적거래량</stp>
        <stp/>
        <stp/>
        <tr r="V268" s="1"/>
      </tp>
      <tp>
        <v>75579</v>
        <stp/>
        <stp>P</stp>
        <stp>0</stp>
        <stp>STK</stp>
        <stp>475400</stp>
        <stp>누적거래량</stp>
        <stp/>
        <stp/>
        <tr r="V463" s="1"/>
      </tp>
      <tp>
        <v>36570</v>
        <stp/>
        <stp>P</stp>
        <stp>0</stp>
        <stp>STK</stp>
        <stp>083450</stp>
        <stp>누적거래량</stp>
        <stp/>
        <stp/>
        <tr r="V480" s="1"/>
      </tp>
      <tp>
        <v>28538</v>
        <stp/>
        <stp>P</stp>
        <stp>0</stp>
        <stp>STK</stp>
        <stp>086450</stp>
        <stp>누적거래량</stp>
        <stp/>
        <stp/>
        <tr r="V371" s="1"/>
      </tp>
      <tp>
        <v>48389</v>
        <stp/>
        <stp>P</stp>
        <stp>0</stp>
        <stp>STK</stp>
        <stp>001450</stp>
        <stp>누적거래량</stp>
        <stp/>
        <stp/>
        <tr r="V183" s="1"/>
      </tp>
      <tp>
        <v>2728</v>
        <stp/>
        <stp>P</stp>
        <stp>0</stp>
        <stp>STK</stp>
        <stp>009450</stp>
        <stp>누적거래량</stp>
        <stp/>
        <stp/>
        <tr r="V351" s="1"/>
      </tp>
      <tp>
        <v>33051</v>
        <stp/>
        <stp>P</stp>
        <stp>0</stp>
        <stp>STK</stp>
        <stp>012450</stp>
        <stp>누적거래량</stp>
        <stp/>
        <stp/>
        <tr r="V15" s="1"/>
      </tp>
      <tp>
        <v>122980</v>
        <stp/>
        <stp>P</stp>
        <stp>0</stp>
        <stp>STK</stp>
        <stp>278470</stp>
        <stp>누적거래량</stp>
        <stp/>
        <stp/>
        <tr r="V77" s="1"/>
      </tp>
      <tp>
        <v>23540</v>
        <stp/>
        <stp>P</stp>
        <stp>0</stp>
        <stp>STK</stp>
        <stp>199430</stp>
        <stp>누적거래량</stp>
        <stp/>
        <stp/>
        <tr r="V488" s="1"/>
      </tp>
      <tp>
        <v>152403</v>
        <stp/>
        <stp>P</stp>
        <stp>0</stp>
        <stp>STK</stp>
        <stp>323410</stp>
        <stp>누적거래량</stp>
        <stp/>
        <stp/>
        <tr r="V75" s="1"/>
      </tp>
      <tp>
        <v>206819</v>
        <stp/>
        <stp>P</stp>
        <stp>0</stp>
        <stp>STK</stp>
        <stp>035420</stp>
        <stp>누적거래량</stp>
        <stp/>
        <stp/>
        <tr r="V26" s="1"/>
      </tp>
      <tp>
        <v>50719</v>
        <stp/>
        <stp>P</stp>
        <stp>0</stp>
        <stp>STK</stp>
        <stp>005420</stp>
        <stp>누적거래량</stp>
        <stp/>
        <stp/>
        <tr r="V446" s="1"/>
      </tp>
      <tp>
        <v>46857</v>
        <stp/>
        <stp>P</stp>
        <stp>0</stp>
        <stp>STK</stp>
        <stp>009420</stp>
        <stp>누적거래량</stp>
        <stp/>
        <stp/>
        <tr r="V190" s="1"/>
      </tp>
      <tp>
        <v>25056</v>
        <stp/>
        <stp>P</stp>
        <stp>0</stp>
        <stp>STK</stp>
        <stp>090430</stp>
        <stp>누적거래량</stp>
        <stp/>
        <stp/>
        <tr r="V93" s="1"/>
      </tp>
      <tp>
        <v>7049</v>
        <stp/>
        <stp>P</stp>
        <stp>0</stp>
        <stp>STK</stp>
        <stp>031430</stp>
        <stp>누적거래량</stp>
        <stp/>
        <stp/>
        <tr r="V550" s="1"/>
      </tp>
      <tp>
        <v>37114</v>
        <stp/>
        <stp>P</stp>
        <stp>0</stp>
        <stp>STK</stp>
        <stp>001430</stp>
        <stp>누적거래량</stp>
        <stp/>
        <stp/>
        <tr r="V166" s="1"/>
      </tp>
      <tp>
        <v>60958</v>
        <stp/>
        <stp>P</stp>
        <stp>0</stp>
        <stp>STK</stp>
        <stp>218410</stp>
        <stp>누적거래량</stp>
        <stp/>
        <stp/>
        <tr r="V327" s="1"/>
      </tp>
      <tp>
        <v>132620</v>
        <stp/>
        <stp>P</stp>
        <stp>0</stp>
        <stp>STK</stp>
        <stp>006400</stp>
        <stp>누적거래량</stp>
        <stp/>
        <stp/>
        <tr r="V34" s="1"/>
      </tp>
      <tp>
        <v>34797</v>
        <stp/>
        <stp>P</stp>
        <stp>0</stp>
        <stp>STK</stp>
        <stp>308430</stp>
        <stp>누적거래량</stp>
        <stp/>
        <stp/>
        <tr r="V625" s="1"/>
      </tp>
      <tp>
        <v>21462</v>
        <stp/>
        <stp>P</stp>
        <stp>0</stp>
        <stp>STK</stp>
        <stp>213420</stp>
        <stp>누적거래량</stp>
        <stp/>
        <stp/>
        <tr r="V338" s="1"/>
      </tp>
      <tp>
        <v>122291</v>
        <stp/>
        <stp>P</stp>
        <stp>0</stp>
        <stp>STK</stp>
        <stp>064400</stp>
        <stp>누적거래량</stp>
        <stp/>
        <stp/>
        <tr r="V94" s="1"/>
      </tp>
      <tp>
        <v>45125</v>
        <stp/>
        <stp>P</stp>
        <stp>0</stp>
        <stp>STK</stp>
        <stp>140410</stp>
        <stp>누적거래량</stp>
        <stp/>
        <stp/>
        <tr r="V154" s="1"/>
      </tp>
      <tp>
        <v>41819</v>
        <stp/>
        <stp>P</stp>
        <stp>0</stp>
        <stp>STK</stp>
        <stp>249420</stp>
        <stp>누적거래량</stp>
        <stp/>
        <stp/>
        <tr r="V288" s="1"/>
      </tp>
      <tp>
        <v>20805</v>
        <stp/>
        <stp>P</stp>
        <stp>0</stp>
        <stp>STK</stp>
        <stp>052400</stp>
        <stp>누적거래량</stp>
        <stp/>
        <stp/>
        <tr r="V421" s="1"/>
      </tp>
      <tp>
        <v>4506</v>
        <stp/>
        <stp>P</stp>
        <stp>0</stp>
        <stp>STK</stp>
        <stp>192400</stp>
        <stp>누적거래량</stp>
        <stp/>
        <stp/>
        <tr r="V323" s="1"/>
      </tp>
      <tp>
        <v>132553</v>
        <stp/>
        <stp>P</stp>
        <stp>0</stp>
        <stp>STK</stp>
        <stp>137400</stp>
        <stp>누적거래량</stp>
        <stp/>
        <stp/>
        <tr r="V325" s="1"/>
      </tp>
      <tp>
        <v>7334</v>
        <stp/>
        <stp>P</stp>
        <stp>0</stp>
        <stp>STK</stp>
        <stp>214430</stp>
        <stp>누적거래량</stp>
        <stp/>
        <stp/>
        <tr r="V417" s="1"/>
      </tp>
      <tp>
        <v>136271</v>
        <stp/>
        <stp>P</stp>
        <stp>0</stp>
        <stp>STK</stp>
        <stp>048410</stp>
        <stp>누적거래량</stp>
        <stp/>
        <stp/>
        <tr r="V455" s="1"/>
      </tp>
      <tp>
        <v>84490</v>
        <stp/>
        <stp>P</stp>
        <stp>0</stp>
        <stp>STK</stp>
        <stp>293490</stp>
        <stp>누적거래량</stp>
        <stp/>
        <stp/>
        <tr r="V276" s="1"/>
      </tp>
      <tp>
        <v>5036</v>
        <stp/>
        <stp>P</stp>
        <stp>0</stp>
        <stp>STK</stp>
        <stp>352480</stp>
        <stp>누적거래량</stp>
        <stp/>
        <stp/>
        <tr r="V531" s="1"/>
      </tp>
      <tp>
        <v>303553</v>
        <stp/>
        <stp>P</stp>
        <stp>0</stp>
        <stp>STK</stp>
        <stp>094480</stp>
        <stp>누적거래량</stp>
        <stp/>
        <stp/>
        <tr r="V567" s="1"/>
      </tp>
      <tp>
        <v>1517888</v>
        <stp/>
        <stp>P</stp>
        <stp>0</stp>
        <stp>STK</stp>
        <stp>125490</stp>
        <stp>누적거래량</stp>
        <stp/>
        <stp/>
        <tr r="V377" s="1"/>
      </tp>
      <tp>
        <v>9516</v>
        <stp/>
        <stp>P</stp>
        <stp>0</stp>
        <stp>STK</stp>
        <stp>138490</stp>
        <stp>누적거래량</stp>
        <stp/>
        <stp/>
        <tr r="V611" s="1"/>
      </tp>
      <tp>
        <v>67232</v>
        <stp/>
        <stp>P</stp>
        <stp>0</stp>
        <stp>STK</stp>
        <stp>101490</stp>
        <stp>누적거래량</stp>
        <stp/>
        <stp/>
        <tr r="V257" s="1"/>
      </tp>
      <tp>
        <v>84570</v>
        <stp/>
        <stp>P</stp>
        <stp>0</stp>
        <stp>STK</stp>
        <stp>108490</stp>
        <stp>누적거래량</stp>
        <stp/>
        <stp/>
        <tr r="V135" s="1"/>
      </tp>
      <tp>
        <v>15943</v>
        <stp/>
        <stp>P</stp>
        <stp>0</stp>
        <stp>STK</stp>
        <stp>194480</stp>
        <stp>누적거래량</stp>
        <stp/>
        <stp/>
        <tr r="V537" s="1"/>
      </tp>
      <tp>
        <v>14374</v>
        <stp/>
        <stp>P</stp>
        <stp>0</stp>
        <stp>STK</stp>
        <stp>039490</stp>
        <stp>누적거래량</stp>
        <stp/>
        <stp/>
        <tr r="V85" s="1"/>
      </tp>
      <tp>
        <v>12323</v>
        <stp/>
        <stp>P</stp>
        <stp>0</stp>
        <stp>STK</stp>
        <stp>139480</stp>
        <stp>누적거래량</stp>
        <stp/>
        <stp/>
        <tr r="V194" s="1"/>
      </tp>
      <tp>
        <v>9930</v>
        <stp/>
        <stp>P</stp>
        <stp>0</stp>
        <stp>STK</stp>
        <stp>000490</stp>
        <stp>누적거래량</stp>
        <stp/>
        <stp/>
        <tr r="V631" s="1"/>
      </tp>
      <tp>
        <v>231094</v>
        <stp/>
        <stp>P</stp>
        <stp>0</stp>
        <stp>STK</stp>
        <stp>003490</stp>
        <stp>누적거래량</stp>
        <stp/>
        <stp/>
        <tr r="V82" s="1"/>
      </tp>
      <tp>
        <v>5541</v>
        <stp/>
        <stp>P</stp>
        <stp>0</stp>
        <stp>STK</stp>
        <stp>004490</stp>
        <stp>누적거래량</stp>
        <stp/>
        <stp/>
        <tr r="V333" s="1"/>
      </tp>
      <tp>
        <v>74278</v>
        <stp/>
        <stp>P</stp>
        <stp>0</stp>
        <stp>STK</stp>
        <stp>005490</stp>
        <stp>누적거래량</stp>
        <stp/>
        <stp/>
        <tr r="V31" s="1"/>
      </tp>
      <tp>
        <v>1460</v>
        <stp/>
        <stp>P</stp>
        <stp>0</stp>
        <stp>STK</stp>
        <stp>008490</stp>
        <stp>누적거래량</stp>
        <stp/>
        <stp/>
        <tr r="V689" s="1"/>
      </tp>
      <tp>
        <v>17385</v>
        <stp/>
        <stp>P</stp>
        <stp>0</stp>
        <stp>STK</stp>
        <stp>044490</stp>
        <stp>누적거래량</stp>
        <stp/>
        <stp/>
        <tr r="V394" s="1"/>
      </tp>
      <tp>
        <v>231123</v>
        <stp/>
        <stp>P</stp>
        <stp>0</stp>
        <stp>STK</stp>
        <stp>281740</stp>
        <stp>누적거래량</stp>
        <stp/>
        <stp/>
        <tr r="V291" s="1"/>
      </tp>
      <tp>
        <v>441</v>
        <stp/>
        <stp>P</stp>
        <stp>0</stp>
        <stp>STK</stp>
        <stp>284740</stp>
        <stp>누적거래량</stp>
        <stp/>
        <stp/>
        <tr r="V473" s="1"/>
      </tp>
      <tp>
        <v>13111</v>
        <stp/>
        <stp>P</stp>
        <stp>0</stp>
        <stp>STK</stp>
        <stp>035760</stp>
        <stp>누적거래량</stp>
        <stp/>
        <stp/>
        <tr r="V263" s="1"/>
      </tp>
      <tp>
        <v>2395</v>
        <stp/>
        <stp>P</stp>
        <stp>0</stp>
        <stp>STK</stp>
        <stp>011760</stp>
        <stp>누적거래량</stp>
        <stp/>
        <stp/>
        <tr r="V639" s="1"/>
      </tp>
      <tp>
        <v>12854</v>
        <stp/>
        <stp>P</stp>
        <stp>0</stp>
        <stp>STK</stp>
        <stp>111770</stp>
        <stp>누적거래량</stp>
        <stp/>
        <stp/>
        <tr r="V138" s="1"/>
      </tp>
      <tp>
        <v>296023</v>
        <stp/>
        <stp>P</stp>
        <stp>0</stp>
        <stp>STK</stp>
        <stp>015760</stp>
        <stp>누적거래량</stp>
        <stp/>
        <stp/>
        <tr r="V24" s="1"/>
      </tp>
      <tp>
        <v>17232</v>
        <stp/>
        <stp>P</stp>
        <stp>0</stp>
        <stp>STK</stp>
        <stp>064760</stp>
        <stp>누적거래량</stp>
        <stp/>
        <stp/>
        <tr r="V218" s="1"/>
      </tp>
      <tp>
        <v>37053</v>
        <stp/>
        <stp>P</stp>
        <stp>0</stp>
        <stp>STK</stp>
        <stp>068760</stp>
        <stp>누적거래량</stp>
        <stp/>
        <stp/>
        <tr r="V171" s="1"/>
      </tp>
      <tp>
        <v>63969</v>
        <stp/>
        <stp>P</stp>
        <stp>0</stp>
        <stp>STK</stp>
        <stp>096770</stp>
        <stp>누적거래량</stp>
        <stp/>
        <stp/>
        <tr r="V50" s="1"/>
      </tp>
      <tp>
        <v>3063</v>
        <stp/>
        <stp>P</stp>
        <stp>0</stp>
        <stp>STK</stp>
        <stp>025770</stp>
        <stp>누적거래량</stp>
        <stp/>
        <stp/>
        <tr r="V636" s="1"/>
      </tp>
      <tp>
        <v>30537</v>
        <stp/>
        <stp>P</stp>
        <stp>0</stp>
        <stp>STK</stp>
        <stp>437730</stp>
        <stp>누적거래량</stp>
        <stp/>
        <stp/>
        <tr r="V195" s="1"/>
      </tp>
      <tp>
        <v>77238</v>
        <stp/>
        <stp>P</stp>
        <stp>0</stp>
        <stp>STK</stp>
        <stp>008770</stp>
        <stp>누적거래량</stp>
        <stp/>
        <stp/>
        <tr r="V229" s="1"/>
      </tp>
      <tp>
        <v>72406</v>
        <stp/>
        <stp>P</stp>
        <stp>0</stp>
        <stp>STK</stp>
        <stp>263750</stp>
        <stp>누적거래량</stp>
        <stp/>
        <stp/>
        <tr r="V165" s="1"/>
      </tp>
      <tp>
        <v>55034</v>
        <stp/>
        <stp>P</stp>
        <stp>0</stp>
        <stp>STK</stp>
        <stp>082740</stp>
        <stp>누적거래량</stp>
        <stp/>
        <stp/>
        <tr r="V119" s="1"/>
      </tp>
      <tp>
        <v>2595</v>
        <stp/>
        <stp>P</stp>
        <stp>0</stp>
        <stp>STK</stp>
        <stp>185750</stp>
        <stp>누적거래량</stp>
        <stp/>
        <stp/>
        <tr r="V293" s="1"/>
      </tp>
      <tp>
        <v>25867</v>
        <stp/>
        <stp>P</stp>
        <stp>0</stp>
        <stp>STK</stp>
        <stp>228760</stp>
        <stp>누적거래량</stp>
        <stp/>
        <stp/>
        <tr r="V452" s="1"/>
      </tp>
      <tp>
        <v>28005</v>
        <stp/>
        <stp>P</stp>
        <stp>0</stp>
        <stp>STK</stp>
        <stp>176750</stp>
        <stp>누적거래량</stp>
        <stp/>
        <stp/>
        <tr r="V678" s="1"/>
      </tp>
      <tp>
        <v>1850</v>
        <stp/>
        <stp>P</stp>
        <stp>0</stp>
        <stp>STK</stp>
        <stp>001750</stp>
        <stp>누적거래량</stp>
        <stp/>
        <stp/>
        <tr r="V685" s="1"/>
      </tp>
      <tp>
        <v>10023</v>
        <stp/>
        <stp>P</stp>
        <stp>0</stp>
        <stp>STK</stp>
        <stp>012750</stp>
        <stp>누적거래량</stp>
        <stp/>
        <stp/>
        <tr r="V156" s="1"/>
      </tp>
      <tp>
        <v>127347</v>
        <stp/>
        <stp>P</stp>
        <stp>0</stp>
        <stp>STK</stp>
        <stp>015750</stp>
        <stp>누적거래량</stp>
        <stp/>
        <stp/>
        <tr r="V407" s="1"/>
      </tp>
      <tp>
        <v>8840</v>
        <stp/>
        <stp>P</stp>
        <stp>0</stp>
        <stp>STK</stp>
        <stp>241770</stp>
        <stp>누적거래량</stp>
        <stp/>
        <stp/>
        <tr r="V686" s="1"/>
      </tp>
      <tp>
        <v>9709</v>
        <stp/>
        <stp>P</stp>
        <stp>0</stp>
        <stp>STK</stp>
        <stp>024720</stp>
        <stp>누적거래량</stp>
        <stp/>
        <stp/>
        <tr r="V605" s="1"/>
      </tp>
      <tp>
        <v>306027</v>
        <stp/>
        <stp>P</stp>
        <stp>0</stp>
        <stp>STK</stp>
        <stp>035720</stp>
        <stp>누적거래량</stp>
        <stp/>
        <stp/>
        <tr r="V35" s="1"/>
      </tp>
      <tp>
        <v>184592</v>
        <stp/>
        <stp>P</stp>
        <stp>0</stp>
        <stp>STK</stp>
        <stp>000720</stp>
        <stp>누적거래량</stp>
        <stp/>
        <stp/>
        <tr r="V68" s="1"/>
      </tp>
      <tp>
        <v>8991</v>
        <stp/>
        <stp>P</stp>
        <stp>0</stp>
        <stp>STK</stp>
        <stp>001720</stp>
        <stp>누적거래량</stp>
        <stp/>
        <stp/>
        <tr r="V184" s="1"/>
      </tp>
      <tp>
        <v>47647</v>
        <stp/>
        <stp>P</stp>
        <stp>0</stp>
        <stp>STK</stp>
        <stp>101730</stp>
        <stp>누적거래량</stp>
        <stp/>
        <stp/>
        <tr r="V475" s="1"/>
      </tp>
      <tp>
        <v>36248</v>
        <stp/>
        <stp>P</stp>
        <stp>0</stp>
        <stp>STK</stp>
        <stp>309710</stp>
        <stp>누적거래량</stp>
        <stp/>
        <stp/>
        <tr r="V517" s="1"/>
      </tp>
      <tp>
        <v>87534</v>
        <stp/>
        <stp>P</stp>
        <stp>0</stp>
        <stp>STK</stp>
        <stp>117730</stp>
        <stp>누적거래량</stp>
        <stp/>
        <stp/>
        <tr r="V414" s="1"/>
      </tp>
      <tp>
        <v>151905</v>
        <stp/>
        <stp>P</stp>
        <stp>0</stp>
        <stp>STK</stp>
        <stp>060720</stp>
        <stp>누적거래량</stp>
        <stp/>
        <stp/>
        <tr r="V573" s="1"/>
      </tp>
      <tp>
        <v>16042</v>
        <stp/>
        <stp>P</stp>
        <stp>0</stp>
        <stp>STK</stp>
        <stp>092730</stp>
        <stp>누적거래량</stp>
        <stp/>
        <stp/>
        <tr r="V648" s="1"/>
      </tp>
      <tp>
        <v>5933</v>
        <stp/>
        <stp>P</stp>
        <stp>0</stp>
        <stp>STK</stp>
        <stp>420770</stp>
        <stp>누적거래량</stp>
        <stp/>
        <stp/>
        <tr r="V387" s="1"/>
      </tp>
      <tp>
        <v>7599</v>
        <stp/>
        <stp>P</stp>
        <stp>0</stp>
        <stp>STK</stp>
        <stp>126720</stp>
        <stp>누적거래량</stp>
        <stp/>
        <stp/>
        <tr r="V547" s="1"/>
      </tp>
      <tp>
        <v>18608</v>
        <stp/>
        <stp>P</stp>
        <stp>0</stp>
        <stp>STK</stp>
        <stp>034730</stp>
        <stp>누적거래량</stp>
        <stp/>
        <stp/>
        <tr r="V41" s="1"/>
      </tp>
      <tp>
        <v>44125</v>
        <stp/>
        <stp>P</stp>
        <stp>0</stp>
        <stp>STK</stp>
        <stp>200710</stp>
        <stp>누적거래량</stp>
        <stp/>
        <stp/>
        <tr r="V494" s="1"/>
      </tp>
      <tp>
        <v>531899</v>
        <stp/>
        <stp>P</stp>
        <stp>0</stp>
        <stp>STK</stp>
        <stp>006730</stp>
        <stp>누적거래량</stp>
        <stp/>
        <stp/>
        <tr r="V326" s="1"/>
      </tp>
      <tp>
        <v>5041</v>
        <stp/>
        <stp>P</stp>
        <stp>0</stp>
        <stp>STK</stp>
        <stp>008730</stp>
        <stp>누적거래량</stp>
        <stp/>
        <stp/>
        <tr r="V400" s="1"/>
      </tp>
      <tp>
        <v>19255</v>
        <stp/>
        <stp>P</stp>
        <stp>0</stp>
        <stp>STK</stp>
        <stp>241710</stp>
        <stp>누적거래량</stp>
        <stp/>
        <stp/>
        <tr r="V360" s="1"/>
      </tp>
      <tp>
        <v>2284</v>
        <stp/>
        <stp>P</stp>
        <stp>0</stp>
        <stp>STK</stp>
        <stp>145720</stp>
        <stp>누적거래량</stp>
        <stp/>
        <stp/>
        <tr r="V470" s="1"/>
      </tp>
      <tp>
        <v>3974</v>
        <stp/>
        <stp>P</stp>
        <stp>0</stp>
        <stp>STK</stp>
        <stp>181710</stp>
        <stp>누적거래량</stp>
        <stp/>
        <stp/>
        <tr r="V319" s="1"/>
      </tp>
      <tp>
        <v>9559</v>
        <stp/>
        <stp>P</stp>
        <stp>0</stp>
        <stp>STK</stp>
        <stp>102710</stp>
        <stp>누적거래량</stp>
        <stp/>
        <stp/>
        <tr r="V401" s="1"/>
      </tp>
      <tp>
        <v>8360</v>
        <stp/>
        <stp>P</stp>
        <stp>0</stp>
        <stp>STK</stp>
        <stp>004700</stp>
        <stp>누적거래량</stp>
        <stp/>
        <stp/>
        <tr r="V500" s="1"/>
      </tp>
      <tp>
        <v>1107</v>
        <stp/>
        <stp>P</stp>
        <stp>0</stp>
        <stp>STK</stp>
        <stp>007700</stp>
        <stp>누적거래량</stp>
        <stp/>
        <stp/>
        <tr r="V365" s="1"/>
      </tp>
      <tp>
        <v>264593</v>
        <stp/>
        <stp>P</stp>
        <stp>0</stp>
        <stp>STK</stp>
        <stp>042700</stp>
        <stp>누적거래량</stp>
        <stp/>
        <stp/>
        <tr r="V54" s="1"/>
      </tp>
      <tp>
        <v>87454</v>
        <stp/>
        <stp>P</stp>
        <stp>0</stp>
        <stp>STK</stp>
        <stp>257720</stp>
        <stp>누적거래량</stp>
        <stp/>
        <stp/>
        <tr r="V159" s="1"/>
      </tp>
      <tp>
        <v>56735</v>
        <stp/>
        <stp>P</stp>
        <stp>0</stp>
        <stp>STK</stp>
        <stp>388720</stp>
        <stp>누적거래량</stp>
        <stp/>
        <stp/>
        <tr r="V286" s="1"/>
      </tp>
      <tp>
        <v>10540</v>
        <stp/>
        <stp>P</stp>
        <stp>0</stp>
        <stp>STK</stp>
        <stp>194700</stp>
        <stp>누적거래량</stp>
        <stp/>
        <stp/>
        <tr r="V671" s="1"/>
      </tp>
      <tp>
        <v>29975</v>
        <stp/>
        <stp>P</stp>
        <stp>0</stp>
        <stp>STK</stp>
        <stp>399720</stp>
        <stp>누적거래량</stp>
        <stp/>
        <stp/>
        <tr r="V386" s="1"/>
      </tp>
      <tp>
        <v>2015</v>
        <stp/>
        <stp>P</stp>
        <stp>0</stp>
        <stp>STK</stp>
        <stp>037710</stp>
        <stp>누적거래량</stp>
        <stp/>
        <stp/>
        <tr r="V676" s="1"/>
      </tp>
      <tp>
        <v>4191</v>
        <stp/>
        <stp>P</stp>
        <stp>0</stp>
        <stp>STK</stp>
        <stp>300720</stp>
        <stp>누적거래량</stp>
        <stp/>
        <stp/>
        <tr r="V282" s="1"/>
      </tp>
      <tp>
        <v>28965</v>
        <stp/>
        <stp>P</stp>
        <stp>0</stp>
        <stp>STK</stp>
        <stp>002710</stp>
        <stp>누적거래량</stp>
        <stp/>
        <stp/>
        <tr r="V570" s="1"/>
      </tp>
      <tp>
        <v>2646</v>
        <stp/>
        <stp>P</stp>
        <stp>0</stp>
        <stp>STK</stp>
        <stp>104700</stp>
        <stp>누적거래량</stp>
        <stp/>
        <stp/>
        <tr r="V568" s="1"/>
      </tp>
      <tp>
        <v>4321</v>
        <stp/>
        <stp>P</stp>
        <stp>0</stp>
        <stp>STK</stp>
        <stp>005710</stp>
        <stp>누적거래량</stp>
        <stp/>
        <stp/>
        <tr r="V659" s="1"/>
      </tp>
      <tp>
        <v>412</v>
        <stp/>
        <stp>P</stp>
        <stp>0</stp>
        <stp>STK</stp>
        <stp>072710</stp>
        <stp>누적거래량</stp>
        <stp/>
        <stp/>
        <tr r="V539" s="1"/>
      </tp>
      <tp>
        <v>136589</v>
        <stp/>
        <stp>P</stp>
        <stp>0</stp>
        <stp>STK</stp>
        <stp>489790</stp>
        <stp>누적거래량</stp>
        <stp/>
        <stp/>
        <tr r="V173" s="1"/>
      </tp>
      <tp>
        <v>13591</v>
        <stp/>
        <stp>P</stp>
        <stp>0</stp>
        <stp>STK</stp>
        <stp>499790</stp>
        <stp>누적거래량</stp>
        <stp/>
        <stp/>
        <tr r="V362" s="1"/>
      </tp>
      <tp>
        <v>19583</v>
        <stp/>
        <stp>P</stp>
        <stp>0</stp>
        <stp>STK</stp>
        <stp>357780</stp>
        <stp>누적거래량</stp>
        <stp/>
        <stp/>
        <tr r="V170" s="1"/>
      </tp>
      <tp>
        <v>3585</v>
        <stp/>
        <stp>P</stp>
        <stp>0</stp>
        <stp>STK</stp>
        <stp>029780</stp>
        <stp>누적거래량</stp>
        <stp/>
        <stp/>
        <tr r="V101" s="1"/>
      </tp>
      <tp>
        <v>30433</v>
        <stp/>
        <stp>P</stp>
        <stp>0</stp>
        <stp>STK</stp>
        <stp>033780</stp>
        <stp>누적거래량</stp>
        <stp/>
        <stp/>
        <tr r="V52" s="1"/>
      </tp>
      <tp>
        <v>441420</v>
        <stp/>
        <stp>P</stp>
        <stp>0</stp>
        <stp>STK</stp>
        <stp>100790</stp>
        <stp>누적거래량</stp>
        <stp/>
        <stp/>
        <tr r="V393" s="1"/>
      </tp>
      <tp>
        <v>17128</v>
        <stp/>
        <stp>P</stp>
        <stp>0</stp>
        <stp>STK</stp>
        <stp>010780</stp>
        <stp>누적거래량</stp>
        <stp/>
        <stp/>
        <tr r="V398" s="1"/>
      </tp>
      <tp>
        <v>6436</v>
        <stp/>
        <stp>P</stp>
        <stp>0</stp>
        <stp>STK</stp>
        <stp>011780</stp>
        <stp>누적거래량</stp>
        <stp/>
        <stp/>
        <tr r="V136" s="1"/>
      </tp>
      <tp>
        <v>209637</v>
        <stp/>
        <stp>P</stp>
        <stp>0</stp>
        <stp>STK</stp>
        <stp>086790</stp>
        <stp>누적거래량</stp>
        <stp/>
        <stp/>
        <tr r="V32" s="1"/>
      </tp>
      <tp>
        <v>18472</v>
        <stp/>
        <stp>P</stp>
        <stp>0</stp>
        <stp>STK</stp>
        <stp>092790</stp>
        <stp>누적거래량</stp>
        <stp/>
        <stp/>
        <tr r="V610" s="1"/>
      </tp>
      <tp>
        <v>7176</v>
        <stp/>
        <stp>P</stp>
        <stp>0</stp>
        <stp>STK</stp>
        <stp>002790</stp>
        <stp>누적거래량</stp>
        <stp/>
        <stp/>
        <tr r="V210" s="1"/>
      </tp>
      <tp>
        <v>52563</v>
        <stp/>
        <stp>P</stp>
        <stp>0</stp>
        <stp>STK</stp>
        <stp>011790</stp>
        <stp>누적거래량</stp>
        <stp/>
        <stp/>
        <tr r="V126" s="1"/>
      </tp>
      <tp>
        <v>199261</v>
        <stp/>
        <stp>P</stp>
        <stp>0</stp>
        <stp>STK</stp>
        <stp>0007C0</stp>
        <stp>누적거래량</stp>
        <stp/>
        <stp/>
        <tr r="V688" s="1"/>
      </tp>
      <tp>
        <v>5057</v>
        <stp/>
        <stp>P</stp>
        <stp>0</stp>
        <stp>STK</stp>
        <stp>081660</stp>
        <stp>누적거래량</stp>
        <stp/>
        <stp/>
        <tr r="V192" s="1"/>
      </tp>
      <tp>
        <v>182885</v>
        <stp/>
        <stp>P</stp>
        <stp>0</stp>
        <stp>STK</stp>
        <stp>085660</stp>
        <stp>누적거래량</stp>
        <stp/>
        <stp/>
        <tr r="V271" s="1"/>
      </tp>
      <tp>
        <v>6932</v>
        <stp/>
        <stp>P</stp>
        <stp>0</stp>
        <stp>STK</stp>
        <stp>389650</stp>
        <stp>누적거래량</stp>
        <stp/>
        <stp/>
        <tr r="V430" s="1"/>
      </tp>
      <tp>
        <v>35173</v>
        <stp/>
        <stp>P</stp>
        <stp>0</stp>
        <stp>STK</stp>
        <stp>095660</stp>
        <stp>누적거래량</stp>
        <stp/>
        <stp/>
        <tr r="V448" s="1"/>
      </tp>
      <tp>
        <v>17427</v>
        <stp/>
        <stp>P</stp>
        <stp>0</stp>
        <stp>STK</stp>
        <stp>229640</stp>
        <stp>누적거래량</stp>
        <stp/>
        <stp/>
        <tr r="V292" s="1"/>
      </tp>
      <tp>
        <v>989440</v>
        <stp/>
        <stp>P</stp>
        <stp>0</stp>
        <stp>STK</stp>
        <stp>000660</stp>
        <stp>누적거래량</stp>
        <stp/>
        <stp/>
        <tr r="V10" s="1"/>
      </tp>
      <tp>
        <v>7004</v>
        <stp/>
        <stp>P</stp>
        <stp>0</stp>
        <stp>STK</stp>
        <stp>206640</stp>
        <stp>누적거래량</stp>
        <stp/>
        <stp/>
        <tr r="V632" s="1"/>
      </tp>
      <tp>
        <v>117445</v>
        <stp/>
        <stp>P</stp>
        <stp>0</stp>
        <stp>STK</stp>
        <stp>007660</stp>
        <stp>누적거래량</stp>
        <stp/>
        <stp/>
        <tr r="V89" s="1"/>
      </tp>
      <tp>
        <v>1212</v>
        <stp/>
        <stp>P</stp>
        <stp>0</stp>
        <stp>STK</stp>
        <stp>108670</stp>
        <stp>누적거래량</stp>
        <stp/>
        <stp/>
        <tr r="V668" s="1"/>
      </tp>
      <tp>
        <v>1166</v>
        <stp/>
        <stp>P</stp>
        <stp>0</stp>
        <stp>STK</stp>
        <stp>065660</stp>
        <stp>누적거래량</stp>
        <stp/>
        <stp/>
        <tr r="V556" s="1"/>
      </tp>
      <tp>
        <v>302786</v>
        <stp/>
        <stp>P</stp>
        <stp>0</stp>
        <stp>STK</stp>
        <stp>042660</stp>
        <stp>누적거래량</stp>
        <stp/>
        <stp/>
        <tr r="V23" s="1"/>
      </tp>
      <tp>
        <v>108335</v>
        <stp/>
        <stp>P</stp>
        <stp>0</stp>
        <stp>STK</stp>
        <stp>290650</stp>
        <stp>누적거래량</stp>
        <stp/>
        <stp/>
        <tr r="V269" s="1"/>
      </tp>
      <tp>
        <v>293954</v>
        <stp/>
        <stp>P</stp>
        <stp>0</stp>
        <stp>STK</stp>
        <stp>028670</stp>
        <stp>누적거래량</stp>
        <stp/>
        <stp/>
        <tr r="V191" s="1"/>
      </tp>
      <tp>
        <v>47210</v>
        <stp/>
        <stp>P</stp>
        <stp>0</stp>
        <stp>STK</stp>
        <stp>130660</stp>
        <stp>누적거래량</stp>
        <stp/>
        <stp/>
        <tr r="V521" s="1"/>
      </tp>
      <tp>
        <v>7307</v>
        <stp/>
        <stp>P</stp>
        <stp>0</stp>
        <stp>STK</stp>
        <stp>000670</stp>
        <stp>누적거래량</stp>
        <stp/>
        <stp/>
        <tr r="V324" s="1"/>
      </tp>
      <tp>
        <v>139497</v>
        <stp/>
        <stp>P</stp>
        <stp>0</stp>
        <stp>STK</stp>
        <stp>003670</stp>
        <stp>누적거래량</stp>
        <stp/>
        <stp/>
        <tr r="V49" s="1"/>
      </tp>
      <tp>
        <v>50481</v>
        <stp/>
        <stp>P</stp>
        <stp>0</stp>
        <stp>STK</stp>
        <stp>206650</stp>
        <stp>누적거래량</stp>
        <stp/>
        <stp/>
        <tr r="V534" s="1"/>
      </tp>
      <tp>
        <v>139774</v>
        <stp/>
        <stp>P</stp>
        <stp>0</stp>
        <stp>STK</stp>
        <stp>017670</stp>
        <stp>누적거래량</stp>
        <stp/>
        <stp/>
        <tr r="V66" s="1"/>
      </tp>
      <tp>
        <v>744</v>
        <stp/>
        <stp>P</stp>
        <stp>0</stp>
        <stp>STK</stp>
        <stp>018670</stp>
        <stp>누적거래량</stp>
        <stp/>
        <stp/>
        <tr r="V209" s="1"/>
      </tp>
      <tp>
        <v>49386</v>
        <stp/>
        <stp>P</stp>
        <stp>0</stp>
        <stp>STK</stp>
        <stp>032640</stp>
        <stp>누적거래량</stp>
        <stp/>
        <stp/>
        <tr r="V99" s="1"/>
      </tp>
      <tp>
        <v>28031</v>
        <stp/>
        <stp>P</stp>
        <stp>0</stp>
        <stp>STK</stp>
        <stp>033640</stp>
        <stp>누적거래량</stp>
        <stp/>
        <stp/>
        <tr r="V564" s="1"/>
      </tp>
      <tp>
        <v>489</v>
        <stp/>
        <stp>P</stp>
        <stp>0</stp>
        <stp>STK</stp>
        <stp>000640</stp>
        <stp>누적거래량</stp>
        <stp/>
        <stp/>
        <tr r="V397" s="1"/>
      </tp>
      <tp>
        <v>15956</v>
        <stp/>
        <stp>P</stp>
        <stp>0</stp>
        <stp>STK</stp>
        <stp>270660</stp>
        <stp>누적거래량</stp>
        <stp/>
        <stp/>
        <tr r="V542" s="1"/>
      </tp>
      <tp>
        <v>6377</v>
        <stp/>
        <stp>P</stp>
        <stp>0</stp>
        <stp>STK</stp>
        <stp>180640</stp>
        <stp>누적거래량</stp>
        <stp/>
        <stp/>
        <tr r="V83" s="1"/>
      </tp>
      <tp>
        <v>85785</v>
        <stp/>
        <stp>P</stp>
        <stp>0</stp>
        <stp>STK</stp>
        <stp>083650</stp>
        <stp>누적거래량</stp>
        <stp/>
        <stp/>
        <tr r="V215" s="1"/>
      </tp>
      <tp>
        <v>116883</v>
        <stp/>
        <stp>P</stp>
        <stp>0</stp>
        <stp>STK</stp>
        <stp>122640</stp>
        <stp>누적거래량</stp>
        <stp/>
        <stp/>
        <tr r="V544" s="1"/>
      </tp>
      <tp>
        <v>10161</v>
        <stp/>
        <stp>P</stp>
        <stp>0</stp>
        <stp>STK</stp>
        <stp>200670</stp>
        <stp>누적거래량</stp>
        <stp/>
        <stp/>
        <tr r="V510" s="1"/>
      </tp>
      <tp>
        <v>1566</v>
        <stp/>
        <stp>P</stp>
        <stp>0</stp>
        <stp>STK</stp>
        <stp>006650</stp>
        <stp>누적거래량</stp>
        <stp/>
        <stp/>
        <tr r="V309" s="1"/>
      </tp>
      <tp>
        <v>25782</v>
        <stp/>
        <stp>P</stp>
        <stp>0</stp>
        <stp>STK</stp>
        <stp>107640</stp>
        <stp>누적거래량</stp>
        <stp/>
        <stp/>
        <tr r="V527" s="1"/>
      </tp>
      <tp>
        <v>62500</v>
        <stp/>
        <stp>P</stp>
        <stp>0</stp>
        <stp>STK</stp>
        <stp>319660</stp>
        <stp>누적거래량</stp>
        <stp/>
        <stp/>
        <tr r="V287" s="1"/>
      </tp>
      <tp>
        <v>8725</v>
        <stp/>
        <stp>P</stp>
        <stp>0</stp>
        <stp>STK</stp>
        <stp>469610</stp>
        <stp>누적거래량</stp>
        <stp/>
        <stp/>
        <tr r="V699" s="1"/>
      </tp>
      <tp>
        <v>3935</v>
        <stp/>
        <stp>P</stp>
        <stp>0</stp>
        <stp>STK</stp>
        <stp>085620</stp>
        <stp>누적거래량</stp>
        <stp/>
        <stp/>
        <tr r="V244" s="1"/>
      </tp>
      <tp>
        <v>90879</v>
        <stp/>
        <stp>P</stp>
        <stp>0</stp>
        <stp>STK</stp>
        <stp>036620</stp>
        <stp>누적거래량</stp>
        <stp/>
        <stp/>
        <tr r="V481" s="1"/>
      </tp>
      <tp>
        <v>10367</v>
        <stp/>
        <stp>P</stp>
        <stp>0</stp>
        <stp>STK</stp>
        <stp>105630</stp>
        <stp>누적거래량</stp>
        <stp/>
        <stp/>
        <tr r="V444" s="1"/>
      </tp>
      <tp>
        <v>15815</v>
        <stp/>
        <stp>P</stp>
        <stp>0</stp>
        <stp>STK</stp>
        <stp>014620</stp>
        <stp>누적거래량</stp>
        <stp/>
        <stp/>
        <tr r="V364" s="1"/>
      </tp>
      <tp>
        <v>22272</v>
        <stp/>
        <stp>P</stp>
        <stp>0</stp>
        <stp>STK</stp>
        <stp>361610</stp>
        <stp>누적거래량</stp>
        <stp/>
        <stp/>
        <tr r="V214" s="1"/>
      </tp>
      <tp>
        <v>2109</v>
        <stp/>
        <stp>P</stp>
        <stp>0</stp>
        <stp>STK</stp>
        <stp>069620</stp>
        <stp>누적거래량</stp>
        <stp/>
        <stp/>
        <tr r="V220" s="1"/>
      </tp>
      <tp>
        <v>269</v>
        <stp/>
        <stp>P</stp>
        <stp>0</stp>
        <stp>STK</stp>
        <stp>001630</stp>
        <stp>누적거래량</stp>
        <stp/>
        <stp/>
        <tr r="V684" s="1"/>
      </tp>
      <tp>
        <v>9293</v>
        <stp/>
        <stp>P</stp>
        <stp>0</stp>
        <stp>STK</stp>
        <stp>012630</stp>
        <stp>누적거래량</stp>
        <stp/>
        <stp/>
        <tr r="V312" s="1"/>
      </tp>
      <tp>
        <v>36522</v>
        <stp/>
        <stp>P</stp>
        <stp>0</stp>
        <stp>STK</stp>
        <stp>035600</stp>
        <stp>누적거래량</stp>
        <stp/>
        <stp/>
        <tr r="V655" s="1"/>
      </tp>
      <tp>
        <v>11868</v>
        <stp/>
        <stp>P</stp>
        <stp>0</stp>
        <stp>STK</stp>
        <stp>138610</stp>
        <stp>누적거래량</stp>
        <stp/>
        <stp/>
        <tr r="V548" s="1"/>
      </tp>
      <tp>
        <v>22933</v>
        <stp/>
        <stp>P</stp>
        <stp>0</stp>
        <stp>STK</stp>
        <stp>112610</stp>
        <stp>누적거래량</stp>
        <stp/>
        <stp/>
        <tr r="V240" s="1"/>
      </tp>
      <tp>
        <v>59726</v>
        <stp/>
        <stp>P</stp>
        <stp>0</stp>
        <stp>STK</stp>
        <stp>074600</stp>
        <stp>누적거래량</stp>
        <stp/>
        <stp/>
        <tr r="V408" s="1"/>
      </tp>
      <tp>
        <v>44128</v>
        <stp/>
        <stp>P</stp>
        <stp>0</stp>
        <stp>STK</stp>
        <stp>078600</stp>
        <stp>누적거래량</stp>
        <stp/>
        <stp/>
        <tr r="V320" s="1"/>
      </tp>
      <tp>
        <v>14360</v>
        <stp/>
        <stp>P</stp>
        <stp>0</stp>
        <stp>STK</stp>
        <stp>051600</stp>
        <stp>누적거래량</stp>
        <stp/>
        <stp/>
        <tr r="V169" s="1"/>
      </tp>
      <tp>
        <v>21059</v>
        <stp/>
        <stp>P</stp>
        <stp>0</stp>
        <stp>STK</stp>
        <stp>483650</stp>
        <stp>누적거래량</stp>
        <stp/>
        <stp/>
        <tr r="V236" s="1"/>
      </tp>
      <tp>
        <v>65377</v>
        <stp/>
        <stp>P</stp>
        <stp>0</stp>
        <stp>STK</stp>
        <stp>095610</stp>
        <stp>누적거래량</stp>
        <stp/>
        <stp/>
        <tr r="V322" s="1"/>
      </tp>
      <tp>
        <v>44010</v>
        <stp/>
        <stp>P</stp>
        <stp>0</stp>
        <stp>STK</stp>
        <stp>121600</stp>
        <stp>누적거래량</stp>
        <stp/>
        <stp/>
        <tr r="V419" s="1"/>
      </tp>
      <tp>
        <v>12375</v>
        <stp/>
        <stp>P</stp>
        <stp>0</stp>
        <stp>STK</stp>
        <stp>030610</stp>
        <stp>누적거래량</stp>
        <stp/>
        <stp/>
        <tr r="V289" s="1"/>
      </tp>
      <tp>
        <v>734</v>
        <stp/>
        <stp>P</stp>
        <stp>0</stp>
        <stp>STK</stp>
        <stp>005610</stp>
        <stp>누적거래량</stp>
        <stp/>
        <stp/>
        <tr r="V514" s="1"/>
      </tp>
      <tp>
        <v>9394</v>
        <stp/>
        <stp>P</stp>
        <stp>0</stp>
        <stp>STK</stp>
        <stp>016610</stp>
        <stp>누적거래량</stp>
        <stp/>
        <stp/>
        <tr r="V486" s="1"/>
      </tp>
      <tp>
        <v>80160</v>
        <stp/>
        <stp>P</stp>
        <stp>0</stp>
        <stp>STK</stp>
        <stp>053610</stp>
        <stp>누적거래량</stp>
        <stp/>
        <stp/>
        <tr r="V541" s="1"/>
      </tp>
      <tp>
        <v>163929</v>
        <stp/>
        <stp>P</stp>
        <stp>0</stp>
        <stp>STK</stp>
        <stp>058610</stp>
        <stp>누적거래량</stp>
        <stp/>
        <stp/>
        <tr r="V181" s="1"/>
      </tp>
      <tp>
        <v>15696</v>
        <stp/>
        <stp>P</stp>
        <stp>0</stp>
        <stp>STK</stp>
        <stp>445680</stp>
        <stp>누적거래량</stp>
        <stp/>
        <stp/>
        <tr r="V207" s="1"/>
      </tp>
      <tp>
        <v>31425</v>
        <stp/>
        <stp>P</stp>
        <stp>0</stp>
        <stp>STK</stp>
        <stp>237690</stp>
        <stp>누적거래량</stp>
        <stp/>
        <stp/>
        <tr r="V185" s="1"/>
      </tp>
      <tp>
        <v>26501</v>
        <stp/>
        <stp>P</stp>
        <stp>0</stp>
        <stp>STK</stp>
        <stp>356680</stp>
        <stp>누적거래량</stp>
        <stp/>
        <stp/>
        <tr r="V697" s="1"/>
      </tp>
      <tp>
        <v>6313</v>
        <stp/>
        <stp>P</stp>
        <stp>0</stp>
        <stp>STK</stp>
        <stp>001680</stp>
        <stp>누적거래량</stp>
        <stp/>
        <stp/>
        <tr r="V374" s="1"/>
      </tp>
      <tp>
        <v>2370</v>
        <stp/>
        <stp>P</stp>
        <stp>0</stp>
        <stp>STK</stp>
        <stp>009680</stp>
        <stp>누적거래량</stp>
        <stp/>
        <stp/>
        <tr r="V635" s="1"/>
      </tp>
      <tp>
        <v>7529</v>
        <stp/>
        <stp>P</stp>
        <stp>0</stp>
        <stp>STK</stp>
        <stp>014680</stp>
        <stp>누적거래량</stp>
        <stp/>
        <stp/>
        <tr r="V155" s="1"/>
      </tp>
      <tp>
        <v>3773</v>
        <stp/>
        <stp>P</stp>
        <stp>0</stp>
        <stp>STK</stp>
        <stp>065680</stp>
        <stp>누적거래량</stp>
        <stp/>
        <stp/>
        <tr r="V638" s="1"/>
      </tp>
      <tp>
        <v>26456</v>
        <stp/>
        <stp>P</stp>
        <stp>0</stp>
        <stp>STK</stp>
        <stp>084690</stp>
        <stp>누적거래량</stp>
        <stp/>
        <stp/>
        <tr r="V590" s="1"/>
      </tp>
      <tp>
        <v>66478</v>
        <stp/>
        <stp>P</stp>
        <stp>0</stp>
        <stp>STK</stp>
        <stp>003690</stp>
        <stp>누적거래량</stp>
        <stp/>
        <stp/>
        <tr r="V199" s="1"/>
      </tp>
      <tp>
        <v>3008</v>
        <stp/>
        <stp>P</stp>
        <stp>0</stp>
        <stp>STK</stp>
        <stp>004690</stp>
        <stp>누적거래량</stp>
        <stp/>
        <stp/>
        <tr r="V468" s="1"/>
      </tp>
      <tp>
        <v>75603</v>
        <stp/>
        <stp>P</stp>
        <stp>0</stp>
        <stp>STK</stp>
        <stp>005690</stp>
        <stp>누적거래량</stp>
        <stp/>
        <stp/>
        <tr r="V361" s="1"/>
      </tp>
      <tp>
        <v>1609</v>
        <stp/>
        <stp>P</stp>
        <stp>0</stp>
        <stp>STK</stp>
        <stp>007690</stp>
        <stp>누적거래량</stp>
        <stp/>
        <stp/>
        <tr r="V589" s="1"/>
      </tp>
      <tp>
        <v>22873</v>
        <stp/>
        <stp>P</stp>
        <stp>0</stp>
        <stp>STK</stp>
        <stp>010690</stp>
        <stp>누적거래량</stp>
        <stp/>
        <stp/>
        <tr r="V563" s="1"/>
      </tp>
      <tp>
        <v>29675</v>
        <stp/>
        <stp>P</stp>
        <stp>0</stp>
        <stp>STK</stp>
        <stp>052690</stp>
        <stp>누적거래량</stp>
        <stp/>
        <stp/>
        <tr r="V107" s="1"/>
      </tp>
      <tp>
        <v>13211</v>
        <stp/>
        <stp>P</stp>
        <stp>0</stp>
        <stp>STK</stp>
        <stp>0126Z0</stp>
        <stp>누적거래량</stp>
        <stp/>
        <stp/>
        <tr r="V60" s="1"/>
      </tp>
      <tp>
        <v>4357</v>
        <stp/>
        <stp>P</stp>
        <stp>0</stp>
        <stp>STK</stp>
        <stp>484120</stp>
        <stp>누적거래량</stp>
        <stp/>
        <stp/>
        <tr r="V674" s="1"/>
      </tp>
      <tp>
        <v>18119</v>
        <stp/>
        <stp>P</stp>
        <stp>0</stp>
        <stp>STK</stp>
        <stp>494120</stp>
        <stp>누적거래량</stp>
        <stp/>
        <stp/>
        <tr r="V529" s="1"/>
      </tp>
      <tp>
        <v>84583</v>
        <stp/>
        <stp>P</stp>
        <stp>0</stp>
        <stp>STK</stp>
        <stp>196170</stp>
        <stp>누적거래량</stp>
        <stp/>
        <stp/>
        <tr r="V45" s="1"/>
      </tp>
      <tp>
        <v>15920</v>
        <stp/>
        <stp>P</stp>
        <stp>0</stp>
        <stp>STK</stp>
        <stp>023160</stp>
        <stp>누적거래량</stp>
        <stp/>
        <stp/>
        <tr r="V389" s="1"/>
      </tp>
      <tp>
        <v>112807</v>
        <stp/>
        <stp>P</stp>
        <stp>0</stp>
        <stp>STK</stp>
        <stp>232140</stp>
        <stp>누적거래량</stp>
        <stp/>
        <stp/>
        <tr r="V283" s="1"/>
      </tp>
      <tp>
        <v>86776</v>
        <stp/>
        <stp>P</stp>
        <stp>0</stp>
        <stp>STK</stp>
        <stp>003160</stp>
        <stp>누적거래량</stp>
        <stp/>
        <stp/>
        <tr r="V345" s="1"/>
      </tp>
      <tp>
        <v>703</v>
        <stp/>
        <stp>P</stp>
        <stp>0</stp>
        <stp>STK</stp>
        <stp>007160</stp>
        <stp>누적거래량</stp>
        <stp/>
        <stp/>
        <tr r="V652" s="1"/>
      </tp>
      <tp>
        <v>13433</v>
        <stp/>
        <stp>P</stp>
        <stp>0</stp>
        <stp>STK</stp>
        <stp>067160</stp>
        <stp>누적거래량</stp>
        <stp/>
        <stp/>
        <tr r="V373" s="1"/>
      </tp>
      <tp>
        <v>46813</v>
        <stp/>
        <stp>P</stp>
        <stp>0</stp>
        <stp>STK</stp>
        <stp>078160</stp>
        <stp>누적거래량</stp>
        <stp/>
        <stp/>
        <tr r="V438" s="1"/>
      </tp>
      <tp>
        <v>32752</v>
        <stp/>
        <stp>P</stp>
        <stp>0</stp>
        <stp>STK</stp>
        <stp>094170</stp>
        <stp>누적거래량</stp>
        <stp/>
        <stp/>
        <tr r="V439" s="1"/>
      </tp>
      <tp>
        <v>26075</v>
        <stp/>
        <stp>P</stp>
        <stp>0</stp>
        <stp>STK</stp>
        <stp>101160</stp>
        <stp>누적거래량</stp>
        <stp/>
        <stp/>
        <tr r="V561" s="1"/>
      </tp>
      <tp>
        <v>4883</v>
        <stp/>
        <stp>P</stp>
        <stp>0</stp>
        <stp>STK</stp>
        <stp>004170</stp>
        <stp>누적거래량</stp>
        <stp/>
        <stp/>
        <tr r="V163" s="1"/>
      </tp>
      <tp>
        <v>15961</v>
        <stp/>
        <stp>P</stp>
        <stp>0</stp>
        <stp>STK</stp>
        <stp>011170</stp>
        <stp>누적거래량</stp>
        <stp/>
        <stp/>
        <tr r="V152" s="1"/>
      </tp>
      <tp>
        <v>47516</v>
        <stp/>
        <stp>P</stp>
        <stp>0</stp>
        <stp>STK</stp>
        <stp>214150</stp>
        <stp>누적거래량</stp>
        <stp/>
        <stp/>
        <tr r="V132" s="1"/>
      </tp>
      <tp>
        <v>176512</v>
        <stp/>
        <stp>P</stp>
        <stp>0</stp>
        <stp>STK</stp>
        <stp>316140</stp>
        <stp>누적거래량</stp>
        <stp/>
        <stp/>
        <tr r="V43" s="1"/>
      </tp>
      <tp>
        <v>13830</v>
        <stp/>
        <stp>P</stp>
        <stp>0</stp>
        <stp>STK</stp>
        <stp>019170</stp>
        <stp>누적거래량</stp>
        <stp/>
        <stp/>
        <tr r="V411" s="1"/>
      </tp>
      <tp>
        <v>899943</v>
        <stp/>
        <stp>P</stp>
        <stp>0</stp>
        <stp>STK</stp>
        <stp>010140</stp>
        <stp>누적거래량</stp>
        <stp/>
        <stp/>
        <tr r="V33" s="1"/>
      </tp>
      <tp>
        <v>128452</v>
        <stp/>
        <stp>P</stp>
        <stp>0</stp>
        <stp>STK</stp>
        <stp>466100</stp>
        <stp>누적거래량</stp>
        <stp/>
        <stp/>
        <tr r="V219" s="1"/>
      </tp>
      <tp>
        <v>5102</v>
        <stp/>
        <stp>P</stp>
        <stp>0</stp>
        <stp>STK</stp>
        <stp>372170</stp>
        <stp>누적거래량</stp>
        <stp/>
        <stp/>
        <tr r="V680" s="1"/>
      </tp>
      <tp>
        <v>44145</v>
        <stp/>
        <stp>P</stp>
        <stp>0</stp>
        <stp>STK</stp>
        <stp>020150</stp>
        <stp>누적거래량</stp>
        <stp/>
        <stp/>
        <tr r="V228" s="1"/>
      </tp>
      <tp>
        <v>706</v>
        <stp/>
        <stp>P</stp>
        <stp>0</stp>
        <stp>STK</stp>
        <stp>035150</stp>
        <stp>누적거래량</stp>
        <stp/>
        <stp/>
        <tr r="V666" s="1"/>
      </tp>
      <tp>
        <v>7633</v>
        <stp/>
        <stp>P</stp>
        <stp>0</stp>
        <stp>STK</stp>
        <stp>000150</stp>
        <stp>누적거래량</stp>
        <stp/>
        <stp/>
        <tr r="V64" s="1"/>
      </tp>
      <tp>
        <v>76598</v>
        <stp/>
        <stp>P</stp>
        <stp>0</stp>
        <stp>STK</stp>
        <stp>103140</stp>
        <stp>누적거래량</stp>
        <stp/>
        <stp/>
        <tr r="V144" s="1"/>
      </tp>
      <tp>
        <v>154060</v>
        <stp/>
        <stp>P</stp>
        <stp>0</stp>
        <stp>STK</stp>
        <stp>009150</stp>
        <stp>누적거래량</stp>
        <stp/>
        <stp/>
        <tr r="V42" s="1"/>
      </tp>
      <tp>
        <v>1943</v>
        <stp/>
        <stp>P</stp>
        <stp>0</stp>
        <stp>STK</stp>
        <stp>043150</stp>
        <stp>누적거래량</stp>
        <stp/>
        <stp/>
        <tr r="V645" s="1"/>
      </tp>
      <tp>
        <v>77834</v>
        <stp/>
        <stp>P</stp>
        <stp>0</stp>
        <stp>STK</stp>
        <stp>220100</stp>
        <stp>누적거래량</stp>
        <stp/>
        <stp/>
        <tr r="V461" s="1"/>
      </tp>
      <tp>
        <v>940</v>
        <stp/>
        <stp>P</stp>
        <stp>0</stp>
        <stp>STK</stp>
        <stp>034120</stp>
        <stp>누적거래량</stp>
        <stp/>
        <stp/>
        <tr r="V584" s="1"/>
      </tp>
      <tp>
        <v>29529</v>
        <stp/>
        <stp>P</stp>
        <stp>0</stp>
        <stp>STK</stp>
        <stp>139130</stp>
        <stp>누적거래량</stp>
        <stp/>
        <stp/>
        <tr r="V196" s="1"/>
      </tp>
      <tp>
        <v>3604</v>
        <stp/>
        <stp>P</stp>
        <stp>0</stp>
        <stp>STK</stp>
        <stp>000120</stp>
        <stp>누적거래량</stp>
        <stp/>
        <stp/>
        <tr r="V197" s="1"/>
      </tp>
      <tp>
        <v>12987</v>
        <stp/>
        <stp>P</stp>
        <stp>0</stp>
        <stp>STK</stp>
        <stp>001120</stp>
        <stp>누적거래량</stp>
        <stp/>
        <stp/>
        <tr r="V260" s="1"/>
      </tp>
      <tp>
        <v>43709</v>
        <stp/>
        <stp>P</stp>
        <stp>0</stp>
        <stp>STK</stp>
        <stp>003120</stp>
        <stp>누적거래량</stp>
        <stp/>
        <stp/>
        <tr r="V633" s="1"/>
      </tp>
      <tp>
        <v>3348</v>
        <stp/>
        <stp>P</stp>
        <stp>0</stp>
        <stp>STK</stp>
        <stp>006120</stp>
        <stp>누적거래량</stp>
        <stp/>
        <stp/>
        <tr r="V294" s="1"/>
      </tp>
      <tp>
        <v>25329</v>
        <stp/>
        <stp>P</stp>
        <stp>0</stp>
        <stp>STK</stp>
        <stp>010120</stp>
        <stp>누적거래량</stp>
        <stp/>
        <stp/>
        <tr r="V58" s="1"/>
      </tp>
      <tp>
        <v>60862</v>
        <stp/>
        <stp>P</stp>
        <stp>0</stp>
        <stp>STK</stp>
        <stp>456160</stp>
        <stp>누적거래량</stp>
        <stp/>
        <stp/>
        <tr r="V281" s="1"/>
      </tp>
      <tp>
        <v>26895</v>
        <stp/>
        <stp>P</stp>
        <stp>0</stp>
        <stp>STK</stp>
        <stp>127120</stp>
        <stp>누적거래량</stp>
        <stp/>
        <stp/>
        <tr r="V405" s="1"/>
      </tp>
      <tp>
        <v>5585</v>
        <stp/>
        <stp>P</stp>
        <stp>0</stp>
        <stp>STK</stp>
        <stp>039130</stp>
        <stp>누적거래량</stp>
        <stp/>
        <stp/>
        <tr r="V388" s="1"/>
      </tp>
      <tp>
        <v>146</v>
        <stp/>
        <stp>P</stp>
        <stp>0</stp>
        <stp>STK</stp>
        <stp>001130</stp>
        <stp>누적거래량</stp>
        <stp/>
        <stp/>
        <tr r="V683" s="1"/>
      </tp>
      <tp>
        <v>21027</v>
        <stp/>
        <stp>P</stp>
        <stp>0</stp>
        <stp>STK</stp>
        <stp>304100</stp>
        <stp>누적거래량</stp>
        <stp/>
        <stp/>
        <tr r="V594" s="1"/>
      </tp>
      <tp>
        <v>17092</v>
        <stp/>
        <stp>P</stp>
        <stp>0</stp>
        <stp>STK</stp>
        <stp>010130</stp>
        <stp>누적거래량</stp>
        <stp/>
        <stp/>
        <tr r="V28" s="1"/>
      </tp>
      <tp>
        <v>53900</v>
        <stp/>
        <stp>P</stp>
        <stp>0</stp>
        <stp>STK</stp>
        <stp>120110</stp>
        <stp>누적거래량</stp>
        <stp/>
        <stp/>
        <tr r="V280" s="1"/>
      </tp>
      <tp>
        <v>117239</v>
        <stp/>
        <stp>P</stp>
        <stp>0</stp>
        <stp>STK</stp>
        <stp>022100</stp>
        <stp>누적거래량</stp>
        <stp/>
        <stp/>
        <tr r="V98" s="1"/>
      </tp>
      <tp>
        <v>291416</v>
        <stp/>
        <stp>P</stp>
        <stp>0</stp>
        <stp>STK</stp>
        <stp>328130</stp>
        <stp>누적거래량</stp>
        <stp/>
        <stp/>
        <tr r="V298" s="1"/>
      </tp>
      <tp>
        <v>97727</v>
        <stp/>
        <stp>P</stp>
        <stp>0</stp>
        <stp>STK</stp>
        <stp>033100</stp>
        <stp>누적거래량</stp>
        <stp/>
        <stp/>
        <tr r="V406" s="1"/>
      </tp>
      <tp>
        <v>32323</v>
        <stp/>
        <stp>P</stp>
        <stp>0</stp>
        <stp>STK</stp>
        <stp>000100</stp>
        <stp>누적거래량</stp>
        <stp/>
        <stp/>
        <tr r="V87" s="1"/>
      </tp>
      <tp>
        <v>17404</v>
        <stp/>
        <stp>P</stp>
        <stp>0</stp>
        <stp>STK</stp>
        <stp>045100</stp>
        <stp>누적거래량</stp>
        <stp/>
        <stp/>
        <tr r="V503" s="1"/>
      </tp>
      <tp>
        <v>4681</v>
        <stp/>
        <stp>P</stp>
        <stp>0</stp>
        <stp>STK</stp>
        <stp>084110</stp>
        <stp>누적거래량</stp>
        <stp/>
        <stp/>
        <tr r="V426" s="1"/>
      </tp>
      <tp>
        <v>6481</v>
        <stp/>
        <stp>P</stp>
        <stp>0</stp>
        <stp>STK</stp>
        <stp>285130</stp>
        <stp>누적거래량</stp>
        <stp/>
        <stp/>
        <tr r="V295" s="1"/>
      </tp>
      <tp>
        <v>142918</v>
        <stp/>
        <stp>P</stp>
        <stp>0</stp>
        <stp>STK</stp>
        <stp>024110</stp>
        <stp>누적거래량</stp>
        <stp/>
        <stp/>
        <tr r="V55" s="1"/>
      </tp>
      <tp>
        <v>11543</v>
        <stp/>
        <stp>P</stp>
        <stp>0</stp>
        <stp>STK</stp>
        <stp>200130</stp>
        <stp>누적거래량</stp>
        <stp/>
        <stp/>
        <tr r="V565" s="1"/>
      </tp>
      <tp>
        <v>41746</v>
        <stp/>
        <stp>P</stp>
        <stp>0</stp>
        <stp>STK</stp>
        <stp>006110</stp>
        <stp>누적거래량</stp>
        <stp/>
        <stp/>
        <tr r="V571" s="1"/>
      </tp>
      <tp>
        <v>21655</v>
        <stp/>
        <stp>P</stp>
        <stp>0</stp>
        <stp>STK</stp>
        <stp>475150</stp>
        <stp>누적거래량</stp>
        <stp/>
        <stp/>
        <tr r="V402" s="1"/>
      </tp>
      <tp>
        <v>29323</v>
        <stp/>
        <stp>P</stp>
        <stp>0</stp>
        <stp>STK</stp>
        <stp>416180</stp>
        <stp>누적거래량</stp>
        <stp/>
        <stp/>
        <tr r="V637" s="1"/>
      </tp>
      <tp>
        <v>161729</v>
        <stp/>
        <stp>P</stp>
        <stp>0</stp>
        <stp>STK</stp>
        <stp>457190</stp>
        <stp>누적거래량</stp>
        <stp/>
        <stp/>
        <tr r="V162" s="1"/>
      </tp>
      <tp>
        <v>20608</v>
        <stp/>
        <stp>P</stp>
        <stp>0</stp>
        <stp>STK</stp>
        <stp>329180</stp>
        <stp>누적거래량</stp>
        <stp/>
        <stp/>
        <tr r="V16" s="1"/>
      </tp>
      <tp>
        <v>5609</v>
        <stp/>
        <stp>P</stp>
        <stp>0</stp>
        <stp>STK</stp>
        <stp>183190</stp>
        <stp>누적거래량</stp>
        <stp/>
        <stp/>
        <tr r="V516" s="1"/>
      </tp>
      <tp>
        <v>3374</v>
        <stp/>
        <stp>P</stp>
        <stp>0</stp>
        <stp>STK</stp>
        <stp>005180</stp>
        <stp>누적거래량</stp>
        <stp/>
        <stp/>
        <tr r="V381" s="1"/>
      </tp>
      <tp>
        <v>43082</v>
        <stp/>
        <stp>P</stp>
        <stp>0</stp>
        <stp>STK</stp>
        <stp>114190</stp>
        <stp>누적거래량</stp>
        <stp/>
        <stp/>
        <tr r="V566" s="1"/>
      </tp>
      <tp>
        <v>34077</v>
        <stp/>
        <stp>P</stp>
        <stp>0</stp>
        <stp>STK</stp>
        <stp>160190</stp>
        <stp>누적거래량</stp>
        <stp/>
        <stp/>
        <tr r="V193" s="1"/>
      </tp>
      <tp>
        <v>25713</v>
        <stp/>
        <stp>P</stp>
        <stp>0</stp>
        <stp>STK</stp>
        <stp>099190</stp>
        <stp>누적거래량</stp>
        <stp/>
        <stp/>
        <tr r="V532" s="1"/>
      </tp>
      <tp>
        <v>1518</v>
        <stp/>
        <stp>P</stp>
        <stp>0</stp>
        <stp>STK</stp>
        <stp>030190</stp>
        <stp>누적거래량</stp>
        <stp/>
        <stp/>
        <tr r="V317" s="1"/>
      </tp>
      <tp>
        <v>20235</v>
        <stp/>
        <stp>P</stp>
        <stp>0</stp>
        <stp>STK</stp>
        <stp>032190</stp>
        <stp>누적거래량</stp>
        <stp/>
        <stp/>
        <tr r="V390" s="1"/>
      </tp>
      <tp>
        <v>150462</v>
        <stp/>
        <stp>P</stp>
        <stp>0</stp>
        <stp>STK</stp>
        <stp>041190</stp>
        <stp>누적거래량</stp>
        <stp/>
        <stp/>
        <tr r="V428" s="1"/>
      </tp>
      <tp>
        <v>19198</v>
        <stp/>
        <stp>P</stp>
        <stp>0</stp>
        <stp>STK</stp>
        <stp>056190</stp>
        <stp>누적거래량</stp>
        <stp/>
        <stp/>
        <tr r="V330" s="1"/>
      </tp>
      <tp>
        <v>20431</v>
        <stp/>
        <stp>P</stp>
        <stp>0</stp>
        <stp>STK</stp>
        <stp>298040</stp>
        <stp>누적거래량</stp>
        <stp/>
        <stp/>
        <tr r="V40" s="1"/>
      </tp>
      <tp>
        <v>11449</v>
        <stp/>
        <stp>P</stp>
        <stp>0</stp>
        <stp>STK</stp>
        <stp>001060</stp>
        <stp>누적거래량</stp>
        <stp/>
        <stp/>
        <tr r="V410" s="1"/>
      </tp>
      <tp>
        <v>13121</v>
        <stp/>
        <stp>P</stp>
        <stp>0</stp>
        <stp>STK</stp>
        <stp>008060</stp>
        <stp>누적거래량</stp>
        <stp/>
        <stp/>
        <tr r="V588" s="1"/>
      </tp>
      <tp>
        <v>9724</v>
        <stp/>
        <stp>P</stp>
        <stp>0</stp>
        <stp>STK</stp>
        <stp>010060</stp>
        <stp>누적거래량</stp>
        <stp/>
        <stp/>
        <tr r="V202" s="1"/>
      </tp>
      <tp>
        <v>7180</v>
        <stp/>
        <stp>P</stp>
        <stp>0</stp>
        <stp>STK</stp>
        <stp>098070</stp>
        <stp>누적거래량</stp>
        <stp/>
        <stp/>
        <tr r="V513" s="1"/>
      </tp>
      <tp>
        <v>3452</v>
        <stp/>
        <stp>P</stp>
        <stp>0</stp>
        <stp>STK</stp>
        <stp>298050</stp>
        <stp>누적거래량</stp>
        <stp/>
        <stp/>
        <tr r="V321" s="1"/>
      </tp>
      <tp>
        <v>800</v>
        <stp/>
        <stp>P</stp>
        <stp>0</stp>
        <stp>STK</stp>
        <stp>000070</stp>
        <stp>누적거래량</stp>
        <stp/>
        <stp/>
        <tr r="V505" s="1"/>
      </tp>
      <tp>
        <v>5516</v>
        <stp/>
        <stp>P</stp>
        <stp>0</stp>
        <stp>STK</stp>
        <stp>402030</stp>
        <stp>누적거래량</stp>
        <stp/>
        <stp/>
        <tr r="V644" s="1"/>
      </tp>
      <tp>
        <v>68637</v>
        <stp/>
        <stp>P</stp>
        <stp>0</stp>
        <stp>STK</stp>
        <stp>005070</stp>
        <stp>누적거래량</stp>
        <stp/>
        <stp/>
        <tr r="V255" s="1"/>
      </tp>
      <tp>
        <v>9965</v>
        <stp/>
        <stp>P</stp>
        <stp>0</stp>
        <stp>STK</stp>
        <stp>007070</stp>
        <stp>누적거래량</stp>
        <stp/>
        <stp/>
        <tr r="V235" s="1"/>
      </tp>
      <tp>
        <v>20188</v>
        <stp/>
        <stp>P</stp>
        <stp>0</stp>
        <stp>STK</stp>
        <stp>011070</stp>
        <stp>누적거래량</stp>
        <stp/>
        <stp/>
        <tr r="V97" s="1"/>
      </tp>
      <tp>
        <v>46270</v>
        <stp/>
        <stp>P</stp>
        <stp>0</stp>
        <stp>STK</stp>
        <stp>211050</stp>
        <stp>누적거래량</stp>
        <stp/>
        <stp/>
        <tr r="V424" s="1"/>
      </tp>
      <tp>
        <v>25741</v>
        <stp/>
        <stp>P</stp>
        <stp>0</stp>
        <stp>STK</stp>
        <stp>049070</stp>
        <stp>누적거래량</stp>
        <stp/>
        <stp/>
        <tr r="V522" s="1"/>
      </tp>
      <tp>
        <v>21143</v>
        <stp/>
        <stp>P</stp>
        <stp>0</stp>
        <stp>STK</stp>
        <stp>001040</stp>
        <stp>누적거래량</stp>
        <stp/>
        <stp/>
        <tr r="V105" s="1"/>
      </tp>
      <tp>
        <v>3122</v>
        <stp/>
        <stp>P</stp>
        <stp>0</stp>
        <stp>STK</stp>
        <stp>006040</stp>
        <stp>누적거래량</stp>
        <stp/>
        <stp/>
        <tr r="V230" s="1"/>
      </tp>
      <tp>
        <v>29212</v>
        <stp/>
        <stp>P</stp>
        <stp>0</stp>
        <stp>STK</stp>
        <stp>062040</stp>
        <stp>누적거래량</stp>
        <stp/>
        <stp/>
        <tr r="V122" s="1"/>
      </tp>
      <tp>
        <v>376512</v>
        <stp/>
        <stp>P</stp>
        <stp>0</stp>
        <stp>STK</stp>
        <stp>047040</stp>
        <stp>누적거래량</stp>
        <stp/>
        <stp/>
        <tr r="V211" s="1"/>
      </tp>
      <tp>
        <v>4161</v>
        <stp/>
        <stp>P</stp>
        <stp>0</stp>
        <stp>STK</stp>
        <stp>093050</stp>
        <stp>누적거래량</stp>
        <stp/>
        <stp/>
        <tr r="V471" s="1"/>
      </tp>
      <tp>
        <v>294635</v>
        <stp/>
        <stp>P</stp>
        <stp>0</stp>
        <stp>STK</stp>
        <stp>028050</stp>
        <stp>누적거래량</stp>
        <stp/>
        <stp/>
        <tr r="V113" s="1"/>
      </tp>
      <tp>
        <v>78194</v>
        <stp/>
        <stp>P</stp>
        <stp>0</stp>
        <stp>STK</stp>
        <stp>138040</stp>
        <stp>누적거래량</stp>
        <stp/>
        <stp/>
        <tr r="V47" s="1"/>
      </tp>
      <tp>
        <v>54795</v>
        <stp/>
        <stp>P</stp>
        <stp>0</stp>
        <stp>STK</stp>
        <stp>112040</stp>
        <stp>누적거래량</stp>
        <stp/>
        <stp/>
        <tr r="V337" s="1"/>
      </tp>
      <tp>
        <v>25388</v>
        <stp/>
        <stp>P</stp>
        <stp>0</stp>
        <stp>STK</stp>
        <stp>071050</stp>
        <stp>누적거래량</stp>
        <stp/>
        <stp/>
        <tr r="V73" s="1"/>
      </tp>
      <tp>
        <v>1399</v>
        <stp/>
        <stp>P</stp>
        <stp>0</stp>
        <stp>STK</stp>
        <stp>243070</stp>
        <stp>누적거래량</stp>
        <stp/>
        <stp/>
        <tr r="V614" s="1"/>
      </tp>
      <tp>
        <v>49579</v>
        <stp/>
        <stp>P</stp>
        <stp>0</stp>
        <stp>STK</stp>
        <stp>047050</stp>
        <stp>누적거래량</stp>
        <stp/>
        <stp/>
        <tr r="V71" s="1"/>
      </tp>
      <tp>
        <v>6877</v>
        <stp/>
        <stp>P</stp>
        <stp>0</stp>
        <stp>STK</stp>
        <stp>248070</stp>
        <stp>누적거래량</stp>
        <stp/>
        <stp/>
        <tr r="V380" s="1"/>
      </tp>
      <tp>
        <v>384</v>
        <stp/>
        <stp>P</stp>
        <stp>0</stp>
        <stp>STK</stp>
        <stp>057050</stp>
        <stp>누적거래량</stp>
        <stp/>
        <stp/>
        <tr r="V413" s="1"/>
      </tp>
      <tp>
        <v>760963</v>
        <stp/>
        <stp>P</stp>
        <stp>0</stp>
        <stp>STK</stp>
        <stp>034020</stp>
        <stp>누적거래량</stp>
        <stp/>
        <stp/>
        <tr r="V17" s="1"/>
      </tp>
      <tp>
        <v>10474</v>
        <stp/>
        <stp>P</stp>
        <stp>0</stp>
        <stp>STK</stp>
        <stp>002020</stp>
        <stp>누적거래량</stp>
        <stp/>
        <stp/>
        <tr r="V443" s="1"/>
      </tp>
      <tp>
        <v>196814</v>
        <stp/>
        <stp>P</stp>
        <stp>0</stp>
        <stp>STK</stp>
        <stp>004020</stp>
        <stp>누적거래량</stp>
        <stp/>
        <stp/>
        <tr r="V125" s="1"/>
      </tp>
      <tp>
        <v>4578</v>
        <stp/>
        <stp>P</stp>
        <stp>0</stp>
        <stp>STK</stp>
        <stp>215000</stp>
        <stp>누적거래량</stp>
        <stp/>
        <stp/>
        <tr r="V595" s="1"/>
      </tp>
      <tp>
        <v>245671</v>
        <stp/>
        <stp>P</stp>
        <stp>0</stp>
        <stp>STK</stp>
        <stp>476060</stp>
        <stp>누적거래량</stp>
        <stp/>
        <stp/>
        <tr r="V343" s="1"/>
      </tp>
      <tp>
        <v>12719</v>
        <stp/>
        <stp>P</stp>
        <stp>0</stp>
        <stp>STK</stp>
        <stp>443060</stp>
        <stp>누적거래량</stp>
        <stp/>
        <stp/>
        <tr r="V86" s="1"/>
      </tp>
      <tp>
        <v>1714</v>
        <stp/>
        <stp>P</stp>
        <stp>0</stp>
        <stp>STK</stp>
        <stp>481070</stp>
        <stp>누적거래량</stp>
        <stp/>
        <stp/>
        <tr r="V591" s="1"/>
      </tp>
      <tp>
        <v>154481</v>
        <stp/>
        <stp>P</stp>
        <stp>0</stp>
        <stp>STK</stp>
        <stp>089030</stp>
        <stp>누적거래량</stp>
        <stp/>
        <stp/>
        <tr r="V250" s="1"/>
      </tp>
      <tp>
        <v>7852</v>
        <stp/>
        <stp>P</stp>
        <stp>0</stp>
        <stp>STK</stp>
        <stp>322000</stp>
        <stp>누적거래량</stp>
        <stp/>
        <stp/>
        <tr r="V423" s="1"/>
      </tp>
      <tp>
        <v>24140</v>
        <stp/>
        <stp>P</stp>
        <stp>0</stp>
        <stp>STK</stp>
        <stp>039030</stp>
        <stp>누적거래량</stp>
        <stp/>
        <stp/>
        <tr r="V139" s="1"/>
      </tp>
      <tp>
        <v>158</v>
        <stp/>
        <stp>P</stp>
        <stp>0</stp>
        <stp>STK</stp>
        <stp>002030</stp>
        <stp>누적거래량</stp>
        <stp/>
        <stp/>
        <tr r="V433" s="1"/>
      </tp>
      <tp>
        <v>1200</v>
        <stp/>
        <stp>P</stp>
        <stp>0</stp>
        <stp>STK</stp>
        <stp>003030</stp>
        <stp>누적거래량</stp>
        <stp/>
        <stp/>
        <tr r="V469" s="1"/>
      </tp>
      <tp>
        <v>4380</v>
        <stp/>
        <stp>P</stp>
        <stp>0</stp>
        <stp>STK</stp>
        <stp>013030</stp>
        <stp>누적거래량</stp>
        <stp/>
        <stp/>
        <tr r="V558" s="1"/>
      </tp>
      <tp>
        <v>9853</v>
        <stp/>
        <stp>P</stp>
        <stp>0</stp>
        <stp>STK</stp>
        <stp>145020</stp>
        <stp>누적거래량</stp>
        <stp/>
        <stp/>
        <tr r="V161" s="1"/>
      </tp>
      <tp>
        <v>42305</v>
        <stp/>
        <stp>P</stp>
        <stp>0</stp>
        <stp>STK</stp>
        <stp>053030</stp>
        <stp>누적거래량</stp>
        <stp/>
        <stp/>
        <tr r="V509" s="1"/>
      </tp>
      <tp>
        <v>204237</v>
        <stp/>
        <stp>P</stp>
        <stp>0</stp>
        <stp>STK</stp>
        <stp>397030</stp>
        <stp>누적거래량</stp>
        <stp/>
        <stp/>
        <tr r="V296" s="1"/>
      </tp>
      <tp>
        <v>5448</v>
        <stp/>
        <stp>P</stp>
        <stp>0</stp>
        <stp>STK</stp>
        <stp>298020</stp>
        <stp>누적거래량</stp>
        <stp/>
        <stp/>
        <tr r="V234" s="1"/>
      </tp>
      <tp>
        <v>15771</v>
        <stp/>
        <stp>P</stp>
        <stp>0</stp>
        <stp>STK</stp>
        <stp>020000</stp>
        <stp>누적거래량</stp>
        <stp/>
        <stp/>
        <tr r="V587" s="1"/>
      </tp>
      <tp>
        <v>20066</v>
        <stp/>
        <stp>P</stp>
        <stp>0</stp>
        <stp>STK</stp>
        <stp>326030</stp>
        <stp>누적거래량</stp>
        <stp/>
        <stp/>
        <tr r="V81" s="1"/>
      </tp>
      <tp>
        <v>16983</v>
        <stp/>
        <stp>P</stp>
        <stp>0</stp>
        <stp>STK</stp>
        <stp>030000</stp>
        <stp>누적거래량</stp>
        <stp/>
        <stp/>
        <tr r="V187" s="1"/>
      </tp>
      <tp>
        <v>5609</v>
        <stp/>
        <stp>P</stp>
        <stp>0</stp>
        <stp>STK</stp>
        <stp>004000</stp>
        <stp>누적거래량</stp>
        <stp/>
        <stp/>
        <tr r="V290" s="1"/>
      </tp>
      <tp>
        <v>23928</v>
        <stp/>
        <stp>P</stp>
        <stp>0</stp>
        <stp>STK</stp>
        <stp>042000</stp>
        <stp>누적거래량</stp>
        <stp/>
        <stp/>
        <tr r="V370" s="1"/>
      </tp>
      <tp>
        <v>2590</v>
        <stp/>
        <stp>P</stp>
        <stp>0</stp>
        <stp>STK</stp>
        <stp>456040</stp>
        <stp>누적거래량</stp>
        <stp/>
        <stp/>
        <tr r="V412" s="1"/>
      </tp>
      <tp>
        <v>999</v>
        <stp/>
        <stp>P</stp>
        <stp>0</stp>
        <stp>STK</stp>
        <stp>084010</stp>
        <stp>누적거래량</stp>
        <stp/>
        <stp/>
        <tr r="V687" s="1"/>
      </tp>
      <tp>
        <v>31478</v>
        <stp/>
        <stp>P</stp>
        <stp>0</stp>
        <stp>STK</stp>
        <stp>087010</stp>
        <stp>누적거래량</stp>
        <stp/>
        <stp/>
        <tr r="V111" s="1"/>
      </tp>
      <tp>
        <v>77488</v>
        <stp/>
        <stp>P</stp>
        <stp>0</stp>
        <stp>STK</stp>
        <stp>089010</stp>
        <stp>누적거래량</stp>
        <stp/>
        <stp/>
        <tr r="V466" s="1"/>
      </tp>
      <tp>
        <v>6515</v>
        <stp/>
        <stp>P</stp>
        <stp>0</stp>
        <stp>STK</stp>
        <stp>299030</stp>
        <stp>누적거래량</stp>
        <stp/>
        <stp/>
        <tr r="V694" s="1"/>
      </tp>
      <tp>
        <v>221530</v>
        <stp/>
        <stp>P</stp>
        <stp>0</stp>
        <stp>STK</stp>
        <stp>161000</stp>
        <stp>누적거래량</stp>
        <stp/>
        <stp/>
        <tr r="V524" s="1"/>
      </tp>
      <tp>
        <v>104760</v>
        <stp/>
        <stp>P</stp>
        <stp>0</stp>
        <stp>STK</stp>
        <stp>450080</stp>
        <stp>누적거래량</stp>
        <stp/>
        <stp/>
        <tr r="V124" s="1"/>
      </tp>
      <tp>
        <v>3370</v>
        <stp/>
        <stp>P</stp>
        <stp>0</stp>
        <stp>STK</stp>
        <stp>439090</stp>
        <stp>누적거래량</stp>
        <stp/>
        <stp/>
        <tr r="V695" s="1"/>
      </tp>
      <tp>
        <v>14192</v>
        <stp/>
        <stp>P</stp>
        <stp>0</stp>
        <stp>STK</stp>
        <stp>445090</stp>
        <stp>누적거래량</stp>
        <stp/>
        <stp/>
        <tr r="V609" s="1"/>
      </tp>
      <tp>
        <v>881751</v>
        <stp/>
        <stp>P</stp>
        <stp>0</stp>
        <stp>STK</stp>
        <stp>222080</stp>
        <stp>누적거래량</stp>
        <stp/>
        <stp/>
        <tr r="V441" s="1"/>
      </tp>
      <tp>
        <v>28144</v>
        <stp/>
        <stp>P</stp>
        <stp>0</stp>
        <stp>STK</stp>
        <stp>300080</stp>
        <stp>누적거래량</stp>
        <stp/>
        <stp/>
        <tr r="V665" s="1"/>
      </tp>
      <tp>
        <v>16363</v>
        <stp/>
        <stp>P</stp>
        <stp>0</stp>
        <stp>STK</stp>
        <stp>000080</stp>
        <stp>누적거래량</stp>
        <stp/>
        <stp/>
        <tr r="V277" s="1"/>
      </tp>
      <tp>
        <v>64877</v>
        <stp/>
        <stp>P</stp>
        <stp>0</stp>
        <stp>STK</stp>
        <stp>100090</stp>
        <stp>누적거래량</stp>
        <stp/>
        <stp/>
        <tr r="V285" s="1"/>
      </tp>
      <tp>
        <v>14599</v>
        <stp/>
        <stp>P</stp>
        <stp>0</stp>
        <stp>STK</stp>
        <stp>114090</stp>
        <stp>누적거래량</stp>
        <stp/>
        <stp/>
        <tr r="V354" s="1"/>
      </tp>
      <tp>
        <v>38009</v>
        <stp/>
        <stp>P</stp>
        <stp>0</stp>
        <stp>STK</stp>
        <stp>166090</stp>
        <stp>누적거래량</stp>
        <stp/>
        <stp/>
        <tr r="V303" s="1"/>
      </tp>
      <tp>
        <v>20340</v>
        <stp/>
        <stp>P</stp>
        <stp>0</stp>
        <stp>STK</stp>
        <stp>067080</stp>
        <stp>누적거래량</stp>
        <stp/>
        <stp/>
        <tr r="V623" s="1"/>
      </tp>
      <tp>
        <v>42515</v>
        <stp/>
        <stp>P</stp>
        <stp>0</stp>
        <stp>STK</stp>
        <stp>069080</stp>
        <stp>누적거래량</stp>
        <stp/>
        <stp/>
        <tr r="V526" s="1"/>
      </tp>
      <tp>
        <v>48312</v>
        <stp/>
        <stp>P</stp>
        <stp>0</stp>
        <stp>STK</stp>
        <stp>171090</stp>
        <stp>누적거래량</stp>
        <stp/>
        <stp/>
        <tr r="V459" s="1"/>
      </tp>
      <tp>
        <v>1518</v>
        <stp/>
        <stp>P</stp>
        <stp>0</stp>
        <stp>STK</stp>
        <stp>192080</stp>
        <stp>누적거래량</stp>
        <stp/>
        <stp/>
        <tr r="V301" s="1"/>
      </tp>
      <tp>
        <v>11770</v>
        <stp/>
        <stp>P</stp>
        <stp>0</stp>
        <stp>STK</stp>
        <stp>003090</stp>
        <stp>누적거래량</stp>
        <stp/>
        <stp/>
        <tr r="V272" s="1"/>
      </tp>
      <tp>
        <v>2119</v>
        <stp/>
        <stp>P</stp>
        <stp>0</stp>
        <stp>STK</stp>
        <stp>005090</stp>
        <stp>누적거래량</stp>
        <stp/>
        <stp/>
        <tr r="V626" s="1"/>
      </tp>
      <tp>
        <v>4413</v>
        <stp/>
        <stp>P</stp>
        <stp>0</stp>
        <stp>STK</stp>
        <stp>061090</stp>
        <stp>누적거래량</stp>
        <stp/>
        <stp/>
        <tr r="V682" s="1"/>
      </tp>
      <tp>
        <v>73466</v>
        <stp/>
        <stp>P</stp>
        <stp>0</stp>
        <stp>STK</stp>
        <stp>141080</stp>
        <stp>누적거래량</stp>
        <stp/>
        <stp/>
        <tr r="V108" s="1"/>
      </tp>
      <tp>
        <v>69924</v>
        <stp/>
        <stp>P</stp>
        <stp>0</stp>
        <stp>STK</stp>
        <stp>059090</stp>
        <stp>누적거래량</stp>
        <stp/>
        <stp/>
        <tr r="V518" s="1"/>
      </tp>
      <tp>
        <v>15084</v>
        <stp/>
        <stp>P</stp>
        <stp>0</stp>
        <stp>STK</stp>
        <stp>0120G0</stp>
        <stp>누적거래량</stp>
        <stp/>
        <stp/>
        <tr r="V436" s="1"/>
      </tp>
      <tp>
        <v>24176</v>
        <stp/>
        <stp>P</stp>
        <stp>0</stp>
        <stp>STK</stp>
        <stp>090360</stp>
        <stp>누적거래량</stp>
        <stp/>
        <stp/>
        <tr r="V332" s="1"/>
      </tp>
      <tp>
        <v>28419</v>
        <stp/>
        <stp>P</stp>
        <stp>0</stp>
        <stp>STK</stp>
        <stp>094360</stp>
        <stp>누적거래량</stp>
        <stp/>
        <stp/>
        <tr r="V559" s="1"/>
      </tp>
      <tp>
        <v>90192</v>
        <stp/>
        <stp>P</stp>
        <stp>0</stp>
        <stp>STK</stp>
        <stp>194370</stp>
        <stp>누적거래량</stp>
        <stp/>
        <stp/>
        <tr r="V602" s="1"/>
      </tp>
      <tp>
        <v>3828</v>
        <stp/>
        <stp>P</stp>
        <stp>0</stp>
        <stp>STK</stp>
        <stp>004360</stp>
        <stp>누적거래량</stp>
        <stp/>
        <stp/>
        <tr r="V662" s="1"/>
      </tp>
      <tp>
        <v>35599</v>
        <stp/>
        <stp>P</stp>
        <stp>0</stp>
        <stp>STK</stp>
        <stp>006360</stp>
        <stp>누적거래량</stp>
        <stp/>
        <stp/>
        <tr r="V243" s="1"/>
      </tp>
      <tp>
        <v>738</v>
        <stp/>
        <stp>P</stp>
        <stp>0</stp>
        <stp>STK</stp>
        <stp>015360</stp>
        <stp>누적거래량</stp>
        <stp/>
        <stp/>
        <tr r="V552" s="1"/>
      </tp>
      <tp>
        <v>34034</v>
        <stp/>
        <stp>P</stp>
        <stp>0</stp>
        <stp>STK</stp>
        <stp>016360</stp>
        <stp>누적거래량</stp>
        <stp/>
        <stp/>
        <tr r="V91" s="1"/>
      </tp>
      <tp>
        <v>2693</v>
        <stp/>
        <stp>P</stp>
        <stp>0</stp>
        <stp>STK</stp>
        <stp>051360</stp>
        <stp>누적거래량</stp>
        <stp/>
        <stp/>
        <tr r="V675" s="1"/>
      </tp>
      <tp>
        <v>48819</v>
        <stp/>
        <stp>P</stp>
        <stp>0</stp>
        <stp>STK</stp>
        <stp>084370</stp>
        <stp>누적거래량</stp>
        <stp/>
        <stp/>
        <tr r="V222" s="1"/>
      </tp>
      <tp>
        <v>74156</v>
        <stp/>
        <stp>P</stp>
        <stp>0</stp>
        <stp>STK</stp>
        <stp>093370</stp>
        <stp>누적거래량</stp>
        <stp/>
        <stp/>
        <tr r="V358" s="1"/>
      </tp>
      <tp>
        <v>35435</v>
        <stp/>
        <stp>P</stp>
        <stp>0</stp>
        <stp>STK</stp>
        <stp>101360</stp>
        <stp>누적거래량</stp>
        <stp/>
        <stp/>
        <tr r="V600" s="1"/>
      </tp>
      <tp>
        <v>2001</v>
        <stp/>
        <stp>P</stp>
        <stp>0</stp>
        <stp>STK</stp>
        <stp>004370</stp>
        <stp>누적거래량</stp>
        <stp/>
        <stp/>
        <tr r="V182" s="1"/>
      </tp>
      <tp>
        <v>41876</v>
        <stp/>
        <stp>P</stp>
        <stp>0</stp>
        <stp>STK</stp>
        <stp>060370</stp>
        <stp>누적거래량</stp>
        <stp/>
        <stp/>
        <tr r="V256" s="1"/>
      </tp>
      <tp>
        <v>18777</v>
        <stp/>
        <stp>P</stp>
        <stp>0</stp>
        <stp>STK</stp>
        <stp>365340</stp>
        <stp>누적거래량</stp>
        <stp/>
        <stp/>
        <tr r="V422" s="1"/>
      </tp>
      <tp>
        <v>20300</v>
        <stp/>
        <stp>P</stp>
        <stp>0</stp>
        <stp>STK</stp>
        <stp>168360</stp>
        <stp>누적거래량</stp>
        <stp/>
        <stp/>
        <tr r="V585" s="1"/>
      </tp>
      <tp>
        <v>32377</v>
        <stp/>
        <stp>P</stp>
        <stp>0</stp>
        <stp>STK</stp>
        <stp>378340</stp>
        <stp>누적거래량</stp>
        <stp/>
        <stp/>
        <tr r="V651" s="1"/>
      </tp>
      <tp>
        <v>120278</v>
        <stp/>
        <stp>P</stp>
        <stp>0</stp>
        <stp>STK</stp>
        <stp>079370</stp>
        <stp>누적거래량</stp>
        <stp/>
        <stp/>
        <tr r="V490" s="1"/>
      </tp>
      <tp>
        <v>12474</v>
        <stp/>
        <stp>P</stp>
        <stp>0</stp>
        <stp>STK</stp>
        <stp>043370</stp>
        <stp>누적거래량</stp>
        <stp/>
        <stp/>
        <tr r="V653" s="1"/>
      </tp>
      <tp>
        <v>1334</v>
        <stp/>
        <stp>P</stp>
        <stp>0</stp>
        <stp>STK</stp>
        <stp>280360</stp>
        <stp>누적거래량</stp>
        <stp/>
        <stp/>
        <tr r="V310" s="1"/>
      </tp>
      <tp>
        <v>21286</v>
        <stp/>
        <stp>P</stp>
        <stp>0</stp>
        <stp>STK</stp>
        <stp>095340</stp>
        <stp>누적거래량</stp>
        <stp/>
        <stp/>
        <tr r="V201" s="1"/>
      </tp>
      <tp>
        <v>9568</v>
        <stp/>
        <stp>P</stp>
        <stp>0</stp>
        <stp>STK</stp>
        <stp>230360</stp>
        <stp>누적거래량</stp>
        <stp/>
        <stp/>
        <tr r="V485" s="1"/>
      </tp>
      <tp>
        <v>36228</v>
        <stp/>
        <stp>P</stp>
        <stp>0</stp>
        <stp>STK</stp>
        <stp>336370</stp>
        <stp>누적거래량</stp>
        <stp/>
        <stp/>
        <tr r="V460" s="1"/>
      </tp>
      <tp>
        <v>8203</v>
        <stp/>
        <stp>P</stp>
        <stp>0</stp>
        <stp>STK</stp>
        <stp>007340</stp>
        <stp>누적거래량</stp>
        <stp/>
        <stp/>
        <tr r="V254" s="1"/>
      </tp>
      <tp>
        <v>18935</v>
        <stp/>
        <stp>P</stp>
        <stp>0</stp>
        <stp>STK</stp>
        <stp>078340</stp>
        <stp>누적거래량</stp>
        <stp/>
        <stp/>
        <tr r="V543" s="1"/>
      </tp>
      <tp>
        <v>95665</v>
        <stp/>
        <stp>P</stp>
        <stp>0</stp>
        <stp>STK</stp>
        <stp>348370</stp>
        <stp>누적거래량</stp>
        <stp/>
        <stp/>
        <tr r="V266" s="1"/>
      </tp>
      <tp>
        <v>233419</v>
        <stp/>
        <stp>P</stp>
        <stp>0</stp>
        <stp>STK</stp>
        <stp>088350</stp>
        <stp>누적거래량</stp>
        <stp/>
        <stp/>
        <tr r="V164" s="1"/>
      </tp>
      <tp>
        <v>13583</v>
        <stp/>
        <stp>P</stp>
        <stp>0</stp>
        <stp>STK</stp>
        <stp>126340</stp>
        <stp>누적거래량</stp>
        <stp/>
        <stp/>
        <tr r="V434" s="1"/>
      </tp>
      <tp>
        <v>70656</v>
        <stp/>
        <stp>P</stp>
        <stp>0</stp>
        <stp>STK</stp>
        <stp>032350</stp>
        <stp>누적거래량</stp>
        <stp/>
        <stp/>
        <tr r="V226" s="1"/>
      </tp>
      <tp>
        <v>5883</v>
        <stp/>
        <stp>P</stp>
        <stp>0</stp>
        <stp>STK</stp>
        <stp>304360</stp>
        <stp>누적거래량</stp>
        <stp/>
        <stp/>
        <tr r="V560" s="1"/>
      </tp>
      <tp>
        <v>81560</v>
        <stp/>
        <stp>P</stp>
        <stp>0</stp>
        <stp>STK</stp>
        <stp>214370</stp>
        <stp>누적거래량</stp>
        <stp/>
        <stp/>
        <tr r="V129" s="1"/>
      </tp>
      <tp>
        <v>188385</v>
        <stp/>
        <stp>P</stp>
        <stp>0</stp>
        <stp>STK</stp>
        <stp>064350</stp>
        <stp>누적거래량</stp>
        <stp/>
        <stp/>
        <tr r="V37" s="1"/>
      </tp>
      <tp>
        <v>59048</v>
        <stp/>
        <stp>P</stp>
        <stp>0</stp>
        <stp>STK</stp>
        <stp>065350</stp>
        <stp>누적거래량</stp>
        <stp/>
        <stp/>
        <tr r="V242" s="1"/>
      </tp>
      <tp>
        <v>27080</v>
        <stp/>
        <stp>P</stp>
        <stp>0</stp>
        <stp>STK</stp>
        <stp>078350</stp>
        <stp>누적거래량</stp>
        <stp/>
        <stp/>
        <tr r="V569" s="1"/>
      </tp>
      <tp>
        <v>173551</v>
        <stp/>
        <stp>P</stp>
        <stp>0</stp>
        <stp>STK</stp>
        <stp>383310</stp>
        <stp>누적거래량</stp>
        <stp/>
        <stp/>
        <tr r="V479" s="1"/>
      </tp>
      <tp>
        <v>1351</v>
        <stp/>
        <stp>P</stp>
        <stp>0</stp>
        <stp>STK</stp>
        <stp>093320</stp>
        <stp>누적거래량</stp>
        <stp/>
        <stp/>
        <tr r="V432" s="1"/>
      </tp>
      <tp>
        <v>172583</v>
        <stp/>
        <stp>P</stp>
        <stp>0</stp>
        <stp>STK</stp>
        <stp>025320</stp>
        <stp>누적거래량</stp>
        <stp/>
        <stp/>
        <tr r="V476" s="1"/>
      </tp>
      <tp>
        <v>1716</v>
        <stp/>
        <stp>P</stp>
        <stp>0</stp>
        <stp>STK</stp>
        <stp>000320</stp>
        <stp>누적거래량</stp>
        <stp/>
        <stp/>
        <tr r="V657" s="1"/>
      </tp>
      <tp>
        <v>1594</v>
        <stp/>
        <stp>P</stp>
        <stp>0</stp>
        <stp>STK</stp>
        <stp>002320</stp>
        <stp>누적거래량</stp>
        <stp/>
        <stp/>
        <tr r="V622" s="1"/>
      </tp>
      <tp>
        <v>1483</v>
        <stp/>
        <stp>P</stp>
        <stp>0</stp>
        <stp>STK</stp>
        <stp>071320</stp>
        <stp>누적거래량</stp>
        <stp/>
        <stp/>
        <tr r="V274" s="1"/>
      </tp>
      <tp>
        <v>39400</v>
        <stp/>
        <stp>P</stp>
        <stp>0</stp>
        <stp>STK</stp>
        <stp>175330</stp>
        <stp>누적거래량</stp>
        <stp/>
        <stp/>
        <tr r="V121" s="1"/>
      </tp>
      <tp>
        <v>54513</v>
        <stp/>
        <stp>P</stp>
        <stp>0</stp>
        <stp>STK</stp>
        <stp>295310</stp>
        <stp>누적거래량</stp>
        <stp/>
        <stp/>
        <tr r="V308" s="1"/>
      </tp>
      <tp>
        <v>11703</v>
        <stp/>
        <stp>P</stp>
        <stp>0</stp>
        <stp>STK</stp>
        <stp>108320</stp>
        <stp>누적거래량</stp>
        <stp/>
        <stp/>
        <tr r="V348" s="1"/>
      </tp>
      <tp>
        <v>52808</v>
        <stp/>
        <stp>P</stp>
        <stp>0</stp>
        <stp>STK</stp>
        <stp>012330</stp>
        <stp>누적거래량</stp>
        <stp/>
        <stp/>
        <tr r="V22" s="1"/>
      </tp>
      <tp>
        <v>13667</v>
        <stp/>
        <stp>P</stp>
        <stp>0</stp>
        <stp>STK</stp>
        <stp>376300</stp>
        <stp>누적거래량</stp>
        <stp/>
        <stp/>
        <tr r="V367" s="1"/>
      </tp>
      <tp>
        <v>240544</v>
        <stp/>
        <stp>P</stp>
        <stp>0</stp>
        <stp>STK</stp>
        <stp>377300</stp>
        <stp>누적거래량</stp>
        <stp/>
        <stp/>
        <tr r="V95" s="1"/>
      </tp>
      <tp>
        <v>128857</v>
        <stp/>
        <stp>P</stp>
        <stp>0</stp>
        <stp>STK</stp>
        <stp>178320</stp>
        <stp>누적거래량</stp>
        <stp/>
        <stp/>
        <tr r="V231" s="1"/>
      </tp>
      <tp>
        <v>721</v>
        <stp/>
        <stp>P</stp>
        <stp>0</stp>
        <stp>STK</stp>
        <stp>226320</stp>
        <stp>누적거래량</stp>
        <stp/>
        <stp/>
        <tr r="V679" s="1"/>
      </tp>
      <tp>
        <v>218931</v>
        <stp/>
        <stp>P</stp>
        <stp>0</stp>
        <stp>STK</stp>
        <stp>028300</stp>
        <stp>누적거래량</stp>
        <stp/>
        <stp/>
        <tr r="V96" s="1"/>
      </tp>
      <tp>
        <v>31976</v>
        <stp/>
        <stp>P</stp>
        <stp>0</stp>
        <stp>STK</stp>
        <stp>137310</stp>
        <stp>누적거래량</stp>
        <stp/>
        <stp/>
        <tr r="V315" s="1"/>
      </tp>
      <tp>
        <v>109331</v>
        <stp/>
        <stp>P</stp>
        <stp>0</stp>
        <stp>STK</stp>
        <stp>402340</stp>
        <stp>누적거래량</stp>
        <stp/>
        <stp/>
        <tr r="V18" s="1"/>
      </tp>
      <tp>
        <v>1559</v>
        <stp/>
        <stp>P</stp>
        <stp>0</stp>
        <stp>STK</stp>
        <stp>003300</stp>
        <stp>누적거래량</stp>
        <stp/>
        <stp/>
        <tr r="V492" s="1"/>
      </tp>
      <tp>
        <v>65790</v>
        <stp/>
        <stp>P</stp>
        <stp>0</stp>
        <stp>STK</stp>
        <stp>204320</stp>
        <stp>누적거래량</stp>
        <stp/>
        <stp/>
        <tr r="V142" s="1"/>
      </tp>
      <tp>
        <v>970</v>
        <stp/>
        <stp>P</stp>
        <stp>0</stp>
        <stp>STK</stp>
        <stp>005300</stp>
        <stp>누적거래량</stp>
        <stp/>
        <stp/>
        <tr r="V284" s="1"/>
      </tp>
      <tp>
        <v>6675</v>
        <stp/>
        <stp>P</stp>
        <stp>0</stp>
        <stp>STK</stp>
        <stp>214320</stp>
        <stp>누적거래량</stp>
        <stp/>
        <stp/>
        <tr r="V378" s="1"/>
      </tp>
      <tp>
        <v>23436</v>
        <stp/>
        <stp>P</stp>
        <stp>0</stp>
        <stp>STK</stp>
        <stp>317330</stp>
        <stp>누적거래량</stp>
        <stp/>
        <stp/>
        <tr r="V577" s="1"/>
      </tp>
      <tp>
        <v>133583</v>
        <stp/>
        <stp>P</stp>
        <stp>0</stp>
        <stp>STK</stp>
        <stp>478340</stp>
        <stp>누적거래량</stp>
        <stp/>
        <stp/>
        <tr r="V425" s="1"/>
      </tp>
      <tp>
        <v>4030</v>
        <stp/>
        <stp>P</stp>
        <stp>0</stp>
        <stp>STK</stp>
        <stp>453340</stp>
        <stp>누적거래량</stp>
        <stp/>
        <stp/>
        <tr r="V483" s="1"/>
      </tp>
      <tp>
        <v>1555</v>
        <stp/>
        <stp>P</stp>
        <stp>0</stp>
        <stp>STK</stp>
        <stp>282330</stp>
        <stp>누적거래량</stp>
        <stp/>
        <stp/>
        <tr r="V213" s="1"/>
      </tp>
      <tp>
        <v>13815</v>
        <stp/>
        <stp>P</stp>
        <stp>0</stp>
        <stp>STK</stp>
        <stp>183300</stp>
        <stp>누적거래량</stp>
        <stp/>
        <stp/>
        <tr r="V306" s="1"/>
      </tp>
      <tp>
        <v>37886</v>
        <stp/>
        <stp>P</stp>
        <stp>0</stp>
        <stp>STK</stp>
        <stp>189300</stp>
        <stp>누적거래량</stp>
        <stp/>
        <stp/>
        <tr r="V359" s="1"/>
      </tp>
      <tp>
        <v>3425</v>
        <stp/>
        <stp>P</stp>
        <stp>0</stp>
        <stp>STK</stp>
        <stp>034310</stp>
        <stp>누적거래량</stp>
        <stp/>
        <stp/>
        <tr r="V491" s="1"/>
      </tp>
      <tp>
        <v>334</v>
        <stp/>
        <stp>P</stp>
        <stp>0</stp>
        <stp>STK</stp>
        <stp>007310</stp>
        <stp>누적거래량</stp>
        <stp/>
        <stp/>
        <tr r="V247" s="1"/>
      </tp>
      <tp>
        <v>1404</v>
        <stp/>
        <stp>P</stp>
        <stp>0</stp>
        <stp>STK</stp>
        <stp>018310</stp>
        <stp>누적거래량</stp>
        <stp/>
        <stp/>
        <tr r="V647" s="1"/>
      </tp>
      <tp>
        <v>249928</v>
        <stp/>
        <stp>P</stp>
        <stp>0</stp>
        <stp>STK</stp>
        <stp>067310</stp>
        <stp>누적거래량</stp>
        <stp/>
        <stp/>
        <tr r="V233" s="1"/>
      </tp>
      <tp>
        <v>6552</v>
        <stp/>
        <stp>P</stp>
        <stp>0</stp>
        <stp>STK</stp>
        <stp>372320</stp>
        <stp>누적거래량</stp>
        <stp/>
        <stp/>
        <tr r="V403" s="1"/>
      </tp>
      <tp>
        <v>287329</v>
        <stp/>
        <stp>P</stp>
        <stp>0</stp>
        <stp>STK</stp>
        <stp>298380</stp>
        <stp>누적거래량</stp>
        <stp/>
        <stp/>
        <tr r="V76" s="1"/>
      </tp>
      <tp>
        <v>2635</v>
        <stp/>
        <stp>P</stp>
        <stp>0</stp>
        <stp>STK</stp>
        <stp>002380</stp>
        <stp>누적거래량</stp>
        <stp/>
        <stp/>
        <tr r="V130" s="1"/>
      </tp>
      <tp>
        <v>995462</v>
        <stp/>
        <stp>P</stp>
        <stp>0</stp>
        <stp>STK</stp>
        <stp>003380</stp>
        <stp>누적거래량</stp>
        <stp/>
        <stp/>
        <tr r="V279" s="1"/>
      </tp>
      <tp>
        <v>264730</v>
        <stp/>
        <stp>P</stp>
        <stp>0</stp>
        <stp>STK</stp>
        <stp>005380</stp>
        <stp>누적거래량</stp>
        <stp/>
        <stp/>
        <tr r="V11" s="1"/>
      </tp>
      <tp>
        <v>18837</v>
        <stp/>
        <stp>P</stp>
        <stp>0</stp>
        <stp>STK</stp>
        <stp>161390</stp>
        <stp>누적거래량</stp>
        <stp/>
        <stp/>
        <tr r="V84" s="1"/>
      </tp>
      <tp>
        <v>21777</v>
        <stp/>
        <stp>P</stp>
        <stp>0</stp>
        <stp>STK</stp>
        <stp>086390</stp>
        <stp>누적거래량</stp>
        <stp/>
        <stp/>
        <tr r="V677" s="1"/>
      </tp>
      <tp>
        <v>124184</v>
        <stp/>
        <stp>P</stp>
        <stp>0</stp>
        <stp>STK</stp>
        <stp>007390</stp>
        <stp>누적거래량</stp>
        <stp/>
        <stp/>
        <tr r="V275" s="1"/>
      </tp>
      <tp>
        <v>5422</v>
        <stp/>
        <stp>P</stp>
        <stp>0</stp>
        <stp>STK</stp>
        <stp>108380</stp>
        <stp>누적거래량</stp>
        <stp/>
        <stp/>
        <tr r="V672" s="1"/>
      </tp>
      <tp>
        <v>761</v>
        <stp/>
        <stp>P</stp>
        <stp>0</stp>
        <stp>STK</stp>
        <stp>017390</stp>
        <stp>누적거래량</stp>
        <stp/>
        <stp/>
        <tr r="V604" s="1"/>
      </tp>
      <tp>
        <v>26409</v>
        <stp/>
        <stp>P</stp>
        <stp>0</stp>
        <stp>STK</stp>
        <stp>028260</stp>
        <stp>누적거래량</stp>
        <stp/>
        <stp/>
        <tr r="V20" s="1"/>
      </tp>
      <tp>
        <v>52037</v>
        <stp/>
        <stp>P</stp>
        <stp>0</stp>
        <stp>STK</stp>
        <stp>006260</stp>
        <stp>누적거래량</stp>
        <stp/>
        <stp/>
        <tr r="V92" s="1"/>
      </tp>
      <tp>
        <v>17979</v>
        <stp/>
        <stp>P</stp>
        <stp>0</stp>
        <stp>STK</stp>
        <stp>018260</stp>
        <stp>누적거래량</stp>
        <stp/>
        <stp/>
        <tr r="V63" s="1"/>
      </tp>
      <tp>
        <v>4759</v>
        <stp/>
        <stp>P</stp>
        <stp>0</stp>
        <stp>STK</stp>
        <stp>069260</stp>
        <stp>누적거래량</stp>
        <stp/>
        <stp/>
        <tr r="V372" s="1"/>
      </tp>
      <tp>
        <v>91063</v>
        <stp/>
        <stp>P</stp>
        <stp>0</stp>
        <stp>STK</stp>
        <stp>082270</stp>
        <stp>누적거래량</stp>
        <stp/>
        <stp/>
        <tr r="V316" s="1"/>
      </tp>
      <tp>
        <v>1163</v>
        <stp/>
        <stp>P</stp>
        <stp>0</stp>
        <stp>STK</stp>
        <stp>033270</stp>
        <stp>누적거래량</stp>
        <stp/>
        <stp/>
        <tr r="V628" s="1"/>
      </tp>
      <tp>
        <v>160074</v>
        <stp/>
        <stp>P</stp>
        <stp>0</stp>
        <stp>STK</stp>
        <stp>000270</stp>
        <stp>누적거래량</stp>
        <stp/>
        <stp/>
        <tr r="V14" s="1"/>
      </tp>
      <tp>
        <v>9354</v>
        <stp/>
        <stp>P</stp>
        <stp>0</stp>
        <stp>STK</stp>
        <stp>001270</stp>
        <stp>누적거래량</stp>
        <stp/>
        <stp/>
        <tr r="V415" s="1"/>
      </tp>
      <tp>
        <v>9595</v>
        <stp/>
        <stp>P</stp>
        <stp>0</stp>
        <stp>STK</stp>
        <stp>267250</stp>
        <stp>누적거래량</stp>
        <stp/>
        <stp/>
        <tr r="V44" s="1"/>
      </tp>
      <tp>
        <v>64534</v>
        <stp/>
        <stp>P</stp>
        <stp>0</stp>
        <stp>STK</stp>
        <stp>068270</stp>
        <stp>누적거래량</stp>
        <stp/>
        <stp/>
        <tr r="V21" s="1"/>
      </tp>
      <tp>
        <v>13191</v>
        <stp/>
        <stp>P</stp>
        <stp>0</stp>
        <stp>STK</stp>
        <stp>021240</stp>
        <stp>누적거래량</stp>
        <stp/>
        <stp/>
        <tr r="V106" s="1"/>
      </tp>
      <tp>
        <v>120076</v>
        <stp/>
        <stp>P</stp>
        <stp>0</stp>
        <stp>STK</stp>
        <stp>033240</stp>
        <stp>누적거래량</stp>
        <stp/>
        <stp/>
        <tr r="V464" s="1"/>
      </tp>
      <tp>
        <v>3762</v>
        <stp/>
        <stp>P</stp>
        <stp>0</stp>
        <stp>STK</stp>
        <stp>000240</stp>
        <stp>누적거래량</stp>
        <stp/>
        <stp/>
        <tr r="V174" s="1"/>
      </tp>
      <tp>
        <v>1454</v>
        <stp/>
        <stp>P</stp>
        <stp>0</stp>
        <stp>STK</stp>
        <stp>002240</stp>
        <stp>누적거래량</stp>
        <stp/>
        <stp/>
        <tr r="V429" s="1"/>
      </tp>
      <tp>
        <v>2880</v>
        <stp/>
        <stp>P</stp>
        <stp>0</stp>
        <stp>STK</stp>
        <stp>003240</stp>
        <stp>누적거래량</stp>
        <stp/>
        <stp/>
        <tr r="V344" s="1"/>
      </tp>
      <tp>
        <v>2950</v>
        <stp/>
        <stp>P</stp>
        <stp>0</stp>
        <stp>STK</stp>
        <stp>009240</stp>
        <stp>누적거래량</stp>
        <stp/>
        <stp/>
        <tr r="V304" s="1"/>
      </tp>
      <tp>
        <v>288317</v>
        <stp/>
        <stp>P</stp>
        <stp>0</stp>
        <stp>STK</stp>
        <stp>417200</stp>
        <stp>누적거래량</stp>
        <stp/>
        <stp/>
        <tr r="V336" s="1"/>
      </tp>
      <tp>
        <v>24869</v>
        <stp/>
        <stp>P</stp>
        <stp>0</stp>
        <stp>STK</stp>
        <stp>267260</stp>
        <stp>누적거래량</stp>
        <stp/>
        <stp/>
        <tr r="V29" s="1"/>
      </tp>
      <tp>
        <v>45593</v>
        <stp/>
        <stp>P</stp>
        <stp>0</stp>
        <stp>STK</stp>
        <stp>073240</stp>
        <stp>누적거래량</stp>
        <stp/>
        <stp/>
        <tr r="V227" s="1"/>
      </tp>
      <tp>
        <v>4487</v>
        <stp/>
        <stp>P</stp>
        <stp>0</stp>
        <stp>STK</stp>
        <stp>376270</stp>
        <stp>누적거래량</stp>
        <stp/>
        <stp/>
        <tr r="V555" s="1"/>
      </tp>
      <tp>
        <v>4349</v>
        <stp/>
        <stp>P</stp>
        <stp>0</stp>
        <stp>STK</stp>
        <stp>389260</stp>
        <stp>누적거래량</stp>
        <stp/>
        <stp/>
        <tr r="V615" s="1"/>
      </tp>
      <tp>
        <v>48585</v>
        <stp/>
        <stp>P</stp>
        <stp>0</stp>
        <stp>STK</stp>
        <stp>035250</stp>
        <stp>누적거래량</stp>
        <stp/>
        <stp/>
        <tr r="V131" s="1"/>
      </tp>
      <tp>
        <v>43714</v>
        <stp/>
        <stp>P</stp>
        <stp>0</stp>
        <stp>STK</stp>
        <stp>336260</stp>
        <stp>누적거래량</stp>
        <stp/>
        <stp/>
        <tr r="V186" s="1"/>
      </tp>
      <tp>
        <v>40418</v>
        <stp/>
        <stp>P</stp>
        <stp>0</stp>
        <stp>STK</stp>
        <stp>000250</stp>
        <stp>누적거래량</stp>
        <stp/>
        <stp/>
        <tr r="V100" s="1"/>
      </tp>
      <tp>
        <v>63481</v>
        <stp/>
        <stp>P</stp>
        <stp>0</stp>
        <stp>STK</stp>
        <stp>204270</stp>
        <stp>누적거래량</stp>
        <stp/>
        <stp/>
        <tr r="V297" s="1"/>
      </tp>
      <tp>
        <v>3921</v>
        <stp/>
        <stp>P</stp>
        <stp>0</stp>
        <stp>STK</stp>
        <stp>005250</stp>
        <stp>누적거래량</stp>
        <stp/>
        <stp/>
        <tr r="V392" s="1"/>
      </tp>
      <tp>
        <v>1185</v>
        <stp/>
        <stp>P</stp>
        <stp>0</stp>
        <stp>STK</stp>
        <stp>018250</stp>
        <stp>누적거래량</stp>
        <stp/>
        <stp/>
        <tr r="V593" s="1"/>
      </tp>
      <tp>
        <v>635428</v>
        <stp/>
        <stp>P</stp>
        <stp>0</stp>
        <stp>STK</stp>
        <stp>060250</stp>
        <stp>누적거래량</stp>
        <stp/>
        <stp/>
        <tr r="V440" s="1"/>
      </tp>
      <tp>
        <v>35879</v>
        <stp/>
        <stp>P</stp>
        <stp>0</stp>
        <stp>STK</stp>
        <stp>267270</stp>
        <stp>누적거래량</stp>
        <stp/>
        <stp/>
        <tr r="V216" s="1"/>
      </tp>
      <tp>
        <v>17801</v>
        <stp/>
        <stp>P</stp>
        <stp>0</stp>
        <stp>STK</stp>
        <stp>251270</stp>
        <stp>누적거래량</stp>
        <stp/>
        <stp/>
        <tr r="V123" s="1"/>
      </tp>
      <tp>
        <v>527331</v>
        <stp/>
        <stp>P</stp>
        <stp>0</stp>
        <stp>STK</stp>
        <stp>080220</stp>
        <stp>누적거래량</stp>
        <stp/>
        <stp/>
        <tr r="V307" s="1"/>
      </tp>
      <tp>
        <v>15168</v>
        <stp/>
        <stp>P</stp>
        <stp>0</stp>
        <stp>STK</stp>
        <stp>388210</stp>
        <stp>누적거래량</stp>
        <stp/>
        <stp/>
        <tr r="V305" s="1"/>
      </tp>
      <tp>
        <v>212275</v>
        <stp/>
        <stp>P</stp>
        <stp>0</stp>
        <stp>STK</stp>
        <stp>034220</stp>
        <stp>누적거래량</stp>
        <stp/>
        <stp/>
        <tr r="V102" s="1"/>
      </tp>
      <tp>
        <v>9721</v>
        <stp/>
        <stp>P</stp>
        <stp>0</stp>
        <stp>STK</stp>
        <stp>236200</stp>
        <stp>누적거래량</stp>
        <stp/>
        <stp/>
        <tr r="V667" s="1"/>
      </tp>
      <tp>
        <v>248219</v>
        <stp/>
        <stp>P</stp>
        <stp>0</stp>
        <stp>STK</stp>
        <stp>439260</stp>
        <stp>누적거래량</stp>
        <stp/>
        <stp/>
        <tr r="V172" s="1"/>
      </tp>
      <tp>
        <v>4898</v>
        <stp/>
        <stp>P</stp>
        <stp>0</stp>
        <stp>STK</stp>
        <stp>003220</stp>
        <stp>누적거래량</stp>
        <stp/>
        <stp/>
        <tr r="V670" s="1"/>
      </tp>
      <tp>
        <v>159204</v>
        <stp/>
        <stp>P</stp>
        <stp>0</stp>
        <stp>STK</stp>
        <stp>006220</stp>
        <stp>누적거래량</stp>
        <stp/>
        <stp/>
        <tr r="V515" s="1"/>
      </tp>
      <tp>
        <v>15922</v>
        <stp/>
        <stp>P</stp>
        <stp>0</stp>
        <stp>STK</stp>
        <stp>310210</stp>
        <stp>누적거래량</stp>
        <stp/>
        <stp/>
        <tr r="V148" s="1"/>
      </tp>
      <tp>
        <v>5188</v>
        <stp/>
        <stp>P</stp>
        <stp>0</stp>
        <stp>STK</stp>
        <stp>215200</stp>
        <stp>누적거래량</stp>
        <stp/>
        <stp/>
        <tr r="V538" s="1"/>
      </tp>
      <tp>
        <v>10689</v>
        <stp/>
        <stp>P</stp>
        <stp>0</stp>
        <stp>STK</stp>
        <stp>348210</stp>
        <stp>누적거래량</stp>
        <stp/>
        <stp/>
        <tr r="V363" s="1"/>
      </tp>
      <tp>
        <v>151</v>
        <stp/>
        <stp>P</stp>
        <stp>0</stp>
        <stp>STK</stp>
        <stp>092230</stp>
        <stp>누적거래량</stp>
        <stp/>
        <stp/>
        <tr r="V618" s="1"/>
      </tp>
      <tp>
        <v>59057</v>
        <stp/>
        <stp>P</stp>
        <stp>0</stp>
        <stp>STK</stp>
        <stp>097230</stp>
        <stp>누적거래량</stp>
        <stp/>
        <stp/>
        <tr r="V198" s="1"/>
      </tp>
      <tp>
        <v>94867</v>
        <stp/>
        <stp>P</stp>
        <stp>0</stp>
        <stp>STK</stp>
        <stp>034230</stp>
        <stp>누적거래량</stp>
        <stp/>
        <stp/>
        <tr r="V245" s="1"/>
      </tp>
      <tp>
        <v>9061</v>
        <stp/>
        <stp>P</stp>
        <stp>0</stp>
        <stp>STK</stp>
        <stp>003230</stp>
        <stp>누적거래량</stp>
        <stp/>
        <stp/>
        <tr r="V80" s="1"/>
      </tp>
      <tp>
        <v>1456</v>
        <stp/>
        <stp>P</stp>
        <stp>0</stp>
        <stp>STK</stp>
        <stp>306200</stp>
        <stp>누적거래량</stp>
        <stp/>
        <stp/>
        <tr r="V592" s="1"/>
      </tp>
      <tp>
        <v>526845</v>
        <stp/>
        <stp>P</stp>
        <stp>0</stp>
        <stp>STK</stp>
        <stp>272210</stp>
        <stp>누적거래량</stp>
        <stp/>
        <stp/>
        <tr r="V53" s="1"/>
      </tp>
      <tp>
        <v>19799</v>
        <stp/>
        <stp>P</stp>
        <stp>0</stp>
        <stp>STK</stp>
        <stp>441270</stp>
        <stp>누적거래량</stp>
        <stp/>
        <stp/>
        <tr r="V572" s="1"/>
      </tp>
      <tp>
        <v>207186</v>
        <stp/>
        <stp>P</stp>
        <stp>0</stp>
        <stp>STK</stp>
        <stp>353200</stp>
        <stp>누적거래량</stp>
        <stp/>
        <stp/>
        <tr r="V179" s="1"/>
      </tp>
      <tp>
        <v>38604</v>
        <stp/>
        <stp>P</stp>
        <stp>0</stp>
        <stp>STK</stp>
        <stp>030200</stp>
        <stp>누적거래량</stp>
        <stp/>
        <stp/>
        <tr r="V62" s="1"/>
      </tp>
      <tp>
        <v>61971</v>
        <stp/>
        <stp>P</stp>
        <stp>0</stp>
        <stp>STK</stp>
        <stp>036200</stp>
        <stp>누적거래량</stp>
        <stp/>
        <stp/>
        <tr r="V629" s="1"/>
      </tp>
      <tp>
        <v>43033</v>
        <stp/>
        <stp>P</stp>
        <stp>0</stp>
        <stp>STK</stp>
        <stp>039200</stp>
        <stp>누적거래량</stp>
        <stp/>
        <stp/>
        <tr r="V239" s="1"/>
      </tp>
      <tp>
        <v>4469</v>
        <stp/>
        <stp>P</stp>
        <stp>0</stp>
        <stp>STK</stp>
        <stp>003200</stp>
        <stp>누적거래량</stp>
        <stp/>
        <stp/>
        <tr r="V621" s="1"/>
      </tp>
      <tp>
        <v>251491</v>
        <stp/>
        <stp>P</stp>
        <stp>0</stp>
        <stp>STK</stp>
        <stp>011200</stp>
        <stp>누적거래량</stp>
        <stp/>
        <stp/>
        <tr r="V46" s="1"/>
      </tp>
      <tp>
        <v>5120</v>
        <stp/>
        <stp>P</stp>
        <stp>0</stp>
        <stp>STK</stp>
        <stp>383220</stp>
        <stp>누적거래량</stp>
        <stp/>
        <stp/>
        <tr r="V178" s="1"/>
      </tp>
      <tp>
        <v>2042</v>
        <stp/>
        <stp>P</stp>
        <stp>0</stp>
        <stp>STK</stp>
        <stp>031210</stp>
        <stp>누적거래량</stp>
        <stp/>
        <stp/>
        <tr r="V143" s="1"/>
      </tp>
      <tp>
        <v>16071</v>
        <stp/>
        <stp>P</stp>
        <stp>0</stp>
        <stp>STK</stp>
        <stp>338220</stp>
        <stp>누적거래량</stp>
        <stp/>
        <stp/>
        <tr r="V646" s="1"/>
      </tp>
      <tp>
        <v>30501</v>
        <stp/>
        <stp>P</stp>
        <stp>0</stp>
        <stp>STK</stp>
        <stp>000210</stp>
        <stp>누적거래량</stp>
        <stp/>
        <stp/>
        <tr r="V368" s="1"/>
      </tp>
      <tp>
        <v>26647</v>
        <stp/>
        <stp>P</stp>
        <stp>0</stp>
        <stp>STK</stp>
        <stp>011210</stp>
        <stp>누적거래량</stp>
        <stp/>
        <stp/>
        <tr r="V167" s="1"/>
      </tp>
      <tp>
        <v>44414</v>
        <stp/>
        <stp>P</stp>
        <stp>0</stp>
        <stp>STK</stp>
        <stp>373220</stp>
        <stp>누적거래량</stp>
        <stp/>
        <stp/>
        <tr r="V12" s="1"/>
      </tp>
      <tp>
        <v>19758</v>
        <stp/>
        <stp>P</stp>
        <stp>0</stp>
        <stp>STK</stp>
        <stp>488280</stp>
        <stp>누적거래량</stp>
        <stp/>
        <stp/>
        <tr r="V690" s="1"/>
      </tp>
      <tp>
        <v>2981</v>
        <stp/>
        <stp>P</stp>
        <stp>0</stp>
        <stp>STK</stp>
        <stp>448280</stp>
        <stp>누적거래량</stp>
        <stp/>
        <stp/>
        <tr r="V641" s="1"/>
      </tp>
      <tp>
        <v>655</v>
        <stp/>
        <stp>P</stp>
        <stp>0</stp>
        <stp>STK</stp>
        <stp>268280</stp>
        <stp>누적거래량</stp>
        <stp/>
        <stp/>
        <tr r="V391" s="1"/>
      </tp>
      <tp>
        <v>15830</v>
        <stp/>
        <stp>P</stp>
        <stp>0</stp>
        <stp>STK</stp>
        <stp>278280</stp>
        <stp>누적거래량</stp>
        <stp/>
        <stp/>
        <tr r="V437" s="1"/>
      </tp>
      <tp>
        <v>51459</v>
        <stp/>
        <stp>P</stp>
        <stp>0</stp>
        <stp>STK</stp>
        <stp>394280</stp>
        <stp>누적거래량</stp>
        <stp/>
        <stp/>
        <tr r="V627" s="1"/>
      </tp>
      <tp>
        <v>69592</v>
        <stp/>
        <stp>P</stp>
        <stp>0</stp>
        <stp>STK</stp>
        <stp>323280</stp>
        <stp>누적거래량</stp>
        <stp/>
        <stp/>
        <tr r="V258" s="1"/>
      </tp>
      <tp>
        <v>69594</v>
        <stp/>
        <stp>P</stp>
        <stp>0</stp>
        <stp>STK</stp>
        <stp>272290</stp>
        <stp>누적거래량</stp>
        <stp/>
        <stp/>
        <tr r="V472" s="1"/>
      </tp>
      <tp>
        <v>70071</v>
        <stp/>
        <stp>P</stp>
        <stp>0</stp>
        <stp>STK</stp>
        <stp>086280</stp>
        <stp>누적거래량</stp>
        <stp/>
        <stp/>
        <tr r="V39" s="1"/>
      </tp>
      <tp>
        <v>11864</v>
        <stp/>
        <stp>P</stp>
        <stp>0</stp>
        <stp>STK</stp>
        <stp>131290</stp>
        <stp>누적거래량</stp>
        <stp/>
        <stp/>
        <tr r="V346" s="1"/>
      </tp>
      <tp>
        <v>2062</v>
        <stp/>
        <stp>P</stp>
        <stp>0</stp>
        <stp>STK</stp>
        <stp>006280</stp>
        <stp>누적거래량</stp>
        <stp/>
        <stp/>
        <tr r="V232" s="1"/>
      </tp>
      <tp>
        <v>856088</v>
        <stp/>
        <stp>P</stp>
        <stp>0</stp>
        <stp>STK</stp>
        <stp>060280</stp>
        <stp>누적거래량</stp>
        <stp/>
        <stp/>
        <tr r="V349" s="1"/>
      </tp>
      <tp>
        <v>197683</v>
        <stp/>
        <stp>P</stp>
        <stp>0</stp>
        <stp>STK</stp>
        <stp>005290</stp>
        <stp>누적거래량</stp>
        <stp/>
        <stp/>
        <tr r="V204" s="1"/>
      </tp>
      <tp>
        <v>62745</v>
        <stp/>
        <stp>P</stp>
        <stp>0</stp>
        <stp>STK</stp>
        <stp>018290</stp>
        <stp>누적거래량</stp>
        <stp/>
        <stp/>
        <tr r="V442" s="1"/>
      </tp>
      <tp>
        <v>0.56999999999999995</v>
        <stp/>
        <stp>P</stp>
        <stp>0</stp>
        <stp>STK</stp>
        <stp>N088350</stp>
        <stp>등락률</stp>
        <stp/>
        <stp/>
        <tr r="L164" s="1"/>
      </tp>
      <tp>
        <v>1.97</v>
        <stp/>
        <stp>P</stp>
        <stp>0</stp>
        <stp>STK</stp>
        <stp>N488280</stp>
        <stp>등락률</stp>
        <stp/>
        <stp/>
        <tr r="L690" s="1"/>
      </tp>
      <tp>
        <v>-3.53</v>
        <stp/>
        <stp>P</stp>
        <stp>0</stp>
        <stp>STK</stp>
        <stp>N388210</stp>
        <stp>등락률</stp>
        <stp/>
        <stp/>
        <tr r="L305" s="1"/>
      </tp>
      <tp>
        <v>-0.65</v>
        <stp/>
        <stp>P</stp>
        <stp>0</stp>
        <stp>STK</stp>
        <stp>N388720</stp>
        <stp>등락률</stp>
        <stp/>
        <stp/>
        <tr r="L286" s="1"/>
      </tp>
      <tp>
        <v>-0.95</v>
        <stp/>
        <stp>P</stp>
        <stp>0</stp>
        <stp>STK</stp>
        <stp>N189300</stp>
        <stp>등락률</stp>
        <stp/>
        <stp/>
        <tr r="L359" s="1"/>
      </tp>
      <tp>
        <v>-3.07</v>
        <stp/>
        <stp>P</stp>
        <stp>0</stp>
        <stp>STK</stp>
        <stp>N389260</stp>
        <stp>등락률</stp>
        <stp/>
        <stp/>
        <tr r="L615" s="1"/>
      </tp>
      <tp>
        <v>2.98</v>
        <stp/>
        <stp>P</stp>
        <stp>0</stp>
        <stp>STK</stp>
        <stp>N089010</stp>
        <stp>등락률</stp>
        <stp/>
        <stp/>
        <tr r="L466" s="1"/>
      </tp>
      <tp>
        <v>0.4</v>
        <stp/>
        <stp>P</stp>
        <stp>0</stp>
        <stp>STK</stp>
        <stp>N089030</stp>
        <stp>등락률</stp>
        <stp/>
        <stp/>
        <tr r="L250" s="1"/>
      </tp>
      <tp>
        <v>-3.24</v>
        <stp/>
        <stp>P</stp>
        <stp>0</stp>
        <stp>STK</stp>
        <stp>N489790</stp>
        <stp>등락률</stp>
        <stp/>
        <stp/>
        <tr r="L173" s="1"/>
      </tp>
      <tp>
        <v>-1.19</v>
        <stp/>
        <stp>P</stp>
        <stp>0</stp>
        <stp>STK</stp>
        <stp>N389650</stp>
        <stp>등락률</stp>
        <stp/>
        <stp/>
        <tr r="L430" s="1"/>
      </tp>
      <tp>
        <v>1.49</v>
        <stp/>
        <stp>P</stp>
        <stp>0</stp>
        <stp>STK</stp>
        <stp>N389470</stp>
        <stp>등락률</stp>
        <stp/>
        <stp/>
        <tr r="L329" s="1"/>
      </tp>
      <tp>
        <v>-2.74</v>
        <stp/>
        <stp>P</stp>
        <stp>0</stp>
        <stp>STK</stp>
        <stp>N089980</stp>
        <stp>등락률</stp>
        <stp/>
        <stp/>
        <tr r="L681" s="1"/>
      </tp>
      <tp>
        <v>-4.49</v>
        <stp/>
        <stp>P</stp>
        <stp>0</stp>
        <stp>STK</stp>
        <stp>N089970</stp>
        <stp>등락률</stp>
        <stp/>
        <stp/>
        <tr r="L409" s="1"/>
      </tp>
      <tp>
        <v>-6.32</v>
        <stp/>
        <stp>P</stp>
        <stp>0</stp>
        <stp>STK</stp>
        <stp>N089890</stp>
        <stp>등락률</stp>
        <stp/>
        <stp/>
        <tr r="L523" s="1"/>
      </tp>
      <tp>
        <v>-1.3</v>
        <stp/>
        <stp>P</stp>
        <stp>0</stp>
        <stp>STK</stp>
        <stp>N089860</stp>
        <stp>등락률</stp>
        <stp/>
        <stp/>
        <tr r="L300" s="1"/>
      </tp>
      <tp>
        <v>7.0000000000000007E-2</v>
        <stp/>
        <stp>P</stp>
        <stp>0</stp>
        <stp>STK</stp>
        <stp>N086390</stp>
        <stp>등락률</stp>
        <stp/>
        <stp/>
        <tr r="L677" s="1"/>
      </tp>
      <tp>
        <v>2.0699999999999998</v>
        <stp/>
        <stp>P</stp>
        <stp>0</stp>
        <stp>STK</stp>
        <stp>N086280</stp>
        <stp>등락률</stp>
        <stp/>
        <stp/>
        <tr r="L39" s="1"/>
      </tp>
      <tp>
        <v>4.9000000000000004</v>
        <stp/>
        <stp>P</stp>
        <stp>0</stp>
        <stp>STK</stp>
        <stp>N086790</stp>
        <stp>등락률</stp>
        <stp/>
        <stp/>
        <tr r="L32" s="1"/>
      </tp>
      <tp>
        <v>5.85</v>
        <stp/>
        <stp>P</stp>
        <stp>0</stp>
        <stp>STK</stp>
        <stp>N086520</stp>
        <stp>등락률</stp>
        <stp/>
        <stp/>
        <tr r="L67" s="1"/>
      </tp>
      <tp>
        <v>-1.86</v>
        <stp/>
        <stp>P</stp>
        <stp>0</stp>
        <stp>STK</stp>
        <stp>N086450</stp>
        <stp>등락률</stp>
        <stp/>
        <stp/>
        <tr r="L371" s="1"/>
      </tp>
      <tp>
        <v>-2.78</v>
        <stp/>
        <stp>P</stp>
        <stp>0</stp>
        <stp>STK</stp>
        <stp>N486990</stp>
        <stp>등락률</stp>
        <stp/>
        <stp/>
        <tr r="L318" s="1"/>
      </tp>
      <tp>
        <v>-2.0099999999999998</v>
        <stp/>
        <stp>P</stp>
        <stp>0</stp>
        <stp>STK</stp>
        <stp>N086900</stp>
        <stp>등락률</stp>
        <stp/>
        <stp/>
        <tr r="L341" s="1"/>
      </tp>
      <tp>
        <v>5.19</v>
        <stp/>
        <stp>P</stp>
        <stp>0</stp>
        <stp>STK</stp>
        <stp>N286940</stp>
        <stp>등락률</stp>
        <stp/>
        <stp/>
        <tr r="L596" s="1"/>
      </tp>
      <tp>
        <v>0.65</v>
        <stp/>
        <stp>P</stp>
        <stp>0</stp>
        <stp>STK</stp>
        <stp>N087010</stp>
        <stp>등락률</stp>
        <stp/>
        <stp/>
        <tr r="L111" s="1"/>
      </tp>
      <tp>
        <v>-0.9</v>
        <stp/>
        <stp>P</stp>
        <stp>0</stp>
        <stp>STK</stp>
        <stp>N287840</stp>
        <stp>등락률</stp>
        <stp/>
        <stp/>
        <tr r="L383" s="1"/>
      </tp>
      <tp>
        <v>-3.78</v>
        <stp/>
        <stp>P</stp>
        <stp>0</stp>
        <stp>STK</stp>
        <stp>N084370</stp>
        <stp>등락률</stp>
        <stp/>
        <stp/>
        <tr r="L222" s="1"/>
      </tp>
      <tp>
        <v>1.18</v>
        <stp/>
        <stp>P</stp>
        <stp>0</stp>
        <stp>STK</stp>
        <stp>N084110</stp>
        <stp>등락률</stp>
        <stp/>
        <stp/>
        <tr r="L426" s="1"/>
      </tp>
      <tp>
        <v>-1.04</v>
        <stp/>
        <stp>P</stp>
        <stp>0</stp>
        <stp>STK</stp>
        <stp>N484120</stp>
        <stp>등락률</stp>
        <stp/>
        <stp/>
        <tr r="L674" s="1"/>
      </tp>
      <tp>
        <v>-1.53</v>
        <stp/>
        <stp>P</stp>
        <stp>0</stp>
        <stp>STK</stp>
        <stp>N084010</stp>
        <stp>등락률</stp>
        <stp/>
        <stp/>
        <tr r="L687" s="1"/>
      </tp>
      <tp>
        <v>-1.91</v>
        <stp/>
        <stp>P</stp>
        <stp>0</stp>
        <stp>STK</stp>
        <stp>N284740</stp>
        <stp>등락률</stp>
        <stp/>
        <stp/>
        <tr r="L473" s="1"/>
      </tp>
      <tp>
        <v>1.34</v>
        <stp/>
        <stp>P</stp>
        <stp>0</stp>
        <stp>STK</stp>
        <stp>N084690</stp>
        <stp>등락률</stp>
        <stp/>
        <stp/>
        <tr r="L590" s="1"/>
      </tp>
      <tp>
        <v>-1.97</v>
        <stp/>
        <stp>P</stp>
        <stp>0</stp>
        <stp>STK</stp>
        <stp>N484590</stp>
        <stp>등락률</stp>
        <stp/>
        <stp/>
        <tr r="L453" s="1"/>
      </tp>
      <tp>
        <v>2.85</v>
        <stp/>
        <stp>P</stp>
        <stp>0</stp>
        <stp>STK</stp>
        <stp>N484870</stp>
        <stp>등락률</stp>
        <stp/>
        <stp/>
        <tr r="L259" s="1"/>
      </tp>
      <tp>
        <v>-5.29</v>
        <stp/>
        <stp>P</stp>
        <stp>0</stp>
        <stp>STK</stp>
        <stp>N084850</stp>
        <stp>등락률</stp>
        <stp/>
        <stp/>
        <tr r="L698" s="1"/>
      </tp>
      <tp>
        <v>3.04</v>
        <stp/>
        <stp>P</stp>
        <stp>0</stp>
        <stp>STK</stp>
        <stp>N484810</stp>
        <stp>등락률</stp>
        <stp/>
        <stp/>
        <tr r="L562" s="1"/>
      </tp>
      <tp>
        <v>-1.93</v>
        <stp/>
        <stp>P</stp>
        <stp>0</stp>
        <stp>STK</stp>
        <stp>N285130</stp>
        <stp>등락률</stp>
        <stp/>
        <stp/>
        <tr r="L295" s="1"/>
      </tp>
      <tp>
        <v>-1.05</v>
        <stp/>
        <stp>P</stp>
        <stp>0</stp>
        <stp>STK</stp>
        <stp>N185750</stp>
        <stp>등락률</stp>
        <stp/>
        <stp/>
        <tr r="L293" s="1"/>
      </tp>
      <tp>
        <v>-0.11</v>
        <stp/>
        <stp>P</stp>
        <stp>0</stp>
        <stp>STK</stp>
        <stp>N085620</stp>
        <stp>등락률</stp>
        <stp/>
        <stp/>
        <tr r="L244" s="1"/>
      </tp>
      <tp>
        <v>-1.37</v>
        <stp/>
        <stp>P</stp>
        <stp>0</stp>
        <stp>STK</stp>
        <stp>N085660</stp>
        <stp>등락률</stp>
        <stp/>
        <stp/>
        <tr r="L271" s="1"/>
      </tp>
      <tp>
        <v>-1.57</v>
        <stp/>
        <stp>P</stp>
        <stp>0</stp>
        <stp>STK</stp>
        <stp>N282330</stp>
        <stp>등락률</stp>
        <stp/>
        <stp/>
        <tr r="L213" s="1"/>
      </tp>
      <tp>
        <v>-7.78</v>
        <stp/>
        <stp>P</stp>
        <stp>0</stp>
        <stp>STK</stp>
        <stp>N082270</stp>
        <stp>등락률</stp>
        <stp/>
        <stp/>
        <tr r="L316" s="1"/>
      </tp>
      <tp>
        <v>-0.55000000000000004</v>
        <stp/>
        <stp>P</stp>
        <stp>0</stp>
        <stp>STK</stp>
        <stp>N082740</stp>
        <stp>등락률</stp>
        <stp/>
        <stp/>
        <tr r="L119" s="1"/>
      </tp>
      <tp>
        <v>-1.28</v>
        <stp/>
        <stp>P</stp>
        <stp>0</stp>
        <stp>STK</stp>
        <stp>N382900</stp>
        <stp>등락률</stp>
        <stp/>
        <stp/>
        <tr r="L654" s="1"/>
      </tp>
      <tp>
        <v>0.48</v>
        <stp/>
        <stp>P</stp>
        <stp>0</stp>
        <stp>STK</stp>
        <stp>N082920</stp>
        <stp>등락률</stp>
        <stp/>
        <stp/>
        <tr r="L331" s="1"/>
      </tp>
      <tp>
        <v>-3.47</v>
        <stp/>
        <stp>P</stp>
        <stp>0</stp>
        <stp>STK</stp>
        <stp>N183300</stp>
        <stp>등락률</stp>
        <stp/>
        <stp/>
        <tr r="L306" s="1"/>
      </tp>
      <tp>
        <v>3.74</v>
        <stp/>
        <stp>P</stp>
        <stp>0</stp>
        <stp>STK</stp>
        <stp>N383310</stp>
        <stp>등락률</stp>
        <stp/>
        <stp/>
        <tr r="L479" s="1"/>
      </tp>
      <tp>
        <v>-0.14000000000000001</v>
        <stp/>
        <stp>P</stp>
        <stp>0</stp>
        <stp>STK</stp>
        <stp>N383220</stp>
        <stp>등락률</stp>
        <stp/>
        <stp/>
        <tr r="L178" s="1"/>
      </tp>
      <tp>
        <v>-0.4</v>
        <stp/>
        <stp>P</stp>
        <stp>0</stp>
        <stp>STK</stp>
        <stp>N183190</stp>
        <stp>등락률</stp>
        <stp/>
        <stp/>
        <tr r="L516" s="1"/>
      </tp>
      <tp>
        <v>-0.43</v>
        <stp/>
        <stp>P</stp>
        <stp>0</stp>
        <stp>STK</stp>
        <stp>N483650</stp>
        <stp>등락률</stp>
        <stp/>
        <stp/>
        <tr r="L236" s="1"/>
      </tp>
      <tp>
        <v>-1.25</v>
        <stp/>
        <stp>P</stp>
        <stp>0</stp>
        <stp>STK</stp>
        <stp>N083650</stp>
        <stp>등락률</stp>
        <stp/>
        <stp/>
        <tr r="L215" s="1"/>
      </tp>
      <tp>
        <v>-2.4</v>
        <stp/>
        <stp>P</stp>
        <stp>0</stp>
        <stp>STK</stp>
        <stp>N083450</stp>
        <stp>등락률</stp>
        <stp/>
        <stp/>
        <tr r="L480" s="1"/>
      </tp>
      <tp>
        <v>-1.61</v>
        <stp/>
        <stp>P</stp>
        <stp>0</stp>
        <stp>STK</stp>
        <stp>N383800</stp>
        <stp>등락률</stp>
        <stp/>
        <stp/>
        <tr r="L420" s="1"/>
      </tp>
      <tp>
        <v>1.89</v>
        <stp/>
        <stp>P</stp>
        <stp>0</stp>
        <stp>STK</stp>
        <stp>N280360</stp>
        <stp>등락률</stp>
        <stp/>
        <stp/>
        <tr r="L310" s="1"/>
      </tp>
      <tp>
        <v>-3.93</v>
        <stp/>
        <stp>P</stp>
        <stp>0</stp>
        <stp>STK</stp>
        <stp>N080220</stp>
        <stp>등락률</stp>
        <stp/>
        <stp/>
        <tr r="L307" s="1"/>
      </tp>
      <tp>
        <v>-1.68</v>
        <stp/>
        <stp>P</stp>
        <stp>0</stp>
        <stp>STK</stp>
        <stp>N180640</stp>
        <stp>등락률</stp>
        <stp/>
        <stp/>
        <tr r="L83" s="1"/>
      </tp>
      <tp>
        <v>13.81</v>
        <stp/>
        <stp>P</stp>
        <stp>0</stp>
        <stp>STK</stp>
        <stp>N380550</stp>
        <stp>등락률</stp>
        <stp/>
        <stp/>
        <tr r="L663" s="1"/>
      </tp>
      <tp>
        <v>0.36</v>
        <stp/>
        <stp>P</stp>
        <stp>0</stp>
        <stp>STK</stp>
        <stp>N481070</stp>
        <stp>등락률</stp>
        <stp/>
        <stp/>
        <tr r="L591" s="1"/>
      </tp>
      <tp>
        <v>-2.48</v>
        <stp/>
        <stp>P</stp>
        <stp>0</stp>
        <stp>STK</stp>
        <stp>N181710</stp>
        <stp>등락률</stp>
        <stp/>
        <stp/>
        <tr r="L319" s="1"/>
      </tp>
      <tp>
        <v>2.4300000000000002</v>
        <stp/>
        <stp>P</stp>
        <stp>0</stp>
        <stp>STK</stp>
        <stp>N281740</stp>
        <stp>등락률</stp>
        <stp/>
        <stp/>
        <tr r="L291" s="1"/>
      </tp>
      <tp>
        <v>-1.28</v>
        <stp/>
        <stp>P</stp>
        <stp>0</stp>
        <stp>STK</stp>
        <stp>N081660</stp>
        <stp>등락률</stp>
        <stp/>
        <stp/>
        <tr r="L192" s="1"/>
      </tp>
      <tp>
        <v>-0.57999999999999996</v>
        <stp/>
        <stp>P</stp>
        <stp>0</stp>
        <stp>STK</stp>
        <stp>N381970</stp>
        <stp>등락률</stp>
        <stp/>
        <stp/>
        <tr r="L379" s="1"/>
      </tp>
      <tp>
        <v>-2.75</v>
        <stp/>
        <stp>P</stp>
        <stp>0</stp>
        <stp>STK</stp>
        <stp>N281820</stp>
        <stp>등락률</stp>
        <stp/>
        <stp/>
        <tr r="L353" s="1"/>
      </tp>
      <tp>
        <v>1.67</v>
        <stp/>
        <stp>P</stp>
        <stp>0</stp>
        <stp>STK</stp>
        <stp>N298380</stp>
        <stp>등락률</stp>
        <stp/>
        <stp/>
        <tr r="L76" s="1"/>
      </tp>
      <tp>
        <v>-2.78</v>
        <stp/>
        <stp>P</stp>
        <stp>0</stp>
        <stp>STK</stp>
        <stp>N298020</stp>
        <stp>등락률</stp>
        <stp/>
        <stp/>
        <tr r="L234" s="1"/>
      </tp>
      <tp>
        <v>-2.21</v>
        <stp/>
        <stp>P</stp>
        <stp>0</stp>
        <stp>STK</stp>
        <stp>N098070</stp>
        <stp>등락률</stp>
        <stp/>
        <stp/>
        <tr r="L513" s="1"/>
      </tp>
      <tp>
        <v>-1.9</v>
        <stp/>
        <stp>P</stp>
        <stp>0</stp>
        <stp>STK</stp>
        <stp>N298050</stp>
        <stp>등락률</stp>
        <stp/>
        <stp/>
        <tr r="L321" s="1"/>
      </tp>
      <tp>
        <v>-7.68</v>
        <stp/>
        <stp>P</stp>
        <stp>0</stp>
        <stp>STK</stp>
        <stp>N298040</stp>
        <stp>등락률</stp>
        <stp/>
        <stp/>
        <tr r="L40" s="1"/>
      </tp>
      <tp>
        <v>1.93</v>
        <stp/>
        <stp>P</stp>
        <stp>0</stp>
        <stp>STK</stp>
        <stp>N098460</stp>
        <stp>등락률</stp>
        <stp/>
        <stp/>
        <tr r="L205" s="1"/>
      </tp>
      <tp>
        <v>1.4</v>
        <stp/>
        <stp>P</stp>
        <stp>0</stp>
        <stp>STK</stp>
        <stp>N099190</stp>
        <stp>등락률</stp>
        <stp/>
        <stp/>
        <tr r="L532" s="1"/>
      </tp>
      <tp>
        <v>-1.57</v>
        <stp/>
        <stp>P</stp>
        <stp>0</stp>
        <stp>STK</stp>
        <stp>N299030</stp>
        <stp>등락률</stp>
        <stp/>
        <stp/>
        <tr r="L694" s="1"/>
      </tp>
      <tp>
        <v>-1.56</v>
        <stp/>
        <stp>P</stp>
        <stp>0</stp>
        <stp>STK</stp>
        <stp>N499790</stp>
        <stp>등락률</stp>
        <stp/>
        <stp/>
        <tr r="L362" s="1"/>
      </tp>
      <tp>
        <v>-4.41</v>
        <stp/>
        <stp>P</stp>
        <stp>0</stp>
        <stp>STK</stp>
        <stp>N399720</stp>
        <stp>등락률</stp>
        <stp/>
        <stp/>
        <tr r="L386" s="1"/>
      </tp>
      <tp>
        <v>-2.84</v>
        <stp/>
        <stp>P</stp>
        <stp>0</stp>
        <stp>STK</stp>
        <stp>N199430</stp>
        <stp>등락률</stp>
        <stp/>
        <stp/>
        <tr r="L488" s="1"/>
      </tp>
      <tp>
        <v>1.32</v>
        <stp/>
        <stp>P</stp>
        <stp>0</stp>
        <stp>STK</stp>
        <stp>N199800</stp>
        <stp>등락률</stp>
        <stp/>
        <stp/>
        <tr r="L474" s="1"/>
      </tp>
      <tp>
        <v>-3.15</v>
        <stp/>
        <stp>P</stp>
        <stp>0</stp>
        <stp>STK</stp>
        <stp>N196170</stp>
        <stp>등락률</stp>
        <stp/>
        <stp/>
        <tr r="L45" s="1"/>
      </tp>
      <tp>
        <v>-0.45</v>
        <stp/>
        <stp>P</stp>
        <stp>0</stp>
        <stp>STK</stp>
        <stp>N096770</stp>
        <stp>등락률</stp>
        <stp/>
        <stp/>
        <tr r="L50" s="1"/>
      </tp>
      <tp>
        <v>-0.52</v>
        <stp/>
        <stp>P</stp>
        <stp>0</stp>
        <stp>STK</stp>
        <stp>N096530</stp>
        <stp>등락률</stp>
        <stp/>
        <stp/>
        <tr r="L278" s="1"/>
      </tp>
      <tp>
        <v>-1.98</v>
        <stp/>
        <stp>P</stp>
        <stp>0</stp>
        <stp>STK</stp>
        <stp>N097230</stp>
        <stp>등락률</stp>
        <stp/>
        <stp/>
        <tr r="L198" s="1"/>
      </tp>
      <tp>
        <v>6</v>
        <stp/>
        <stp>P</stp>
        <stp>0</stp>
        <stp>STK</stp>
        <stp>N397030</stp>
        <stp>등락률</stp>
        <stp/>
        <stp/>
        <tr r="L296" s="1"/>
      </tp>
      <tp>
        <v>-2.46</v>
        <stp/>
        <stp>P</stp>
        <stp>0</stp>
        <stp>STK</stp>
        <stp>N097520</stp>
        <stp>등락률</stp>
        <stp/>
        <stp/>
        <tr r="L450" s="1"/>
      </tp>
      <tp>
        <v>-0.7</v>
        <stp/>
        <stp>P</stp>
        <stp>0</stp>
        <stp>STK</stp>
        <stp>N097950</stp>
        <stp>등락률</stp>
        <stp/>
        <stp/>
        <tr r="L150" s="1"/>
      </tp>
      <tp>
        <v>-2.61</v>
        <stp/>
        <stp>P</stp>
        <stp>0</stp>
        <stp>STK</stp>
        <stp>N094360</stp>
        <stp>등락률</stp>
        <stp/>
        <stp/>
        <tr r="L559" s="1"/>
      </tp>
      <tp>
        <v>4.58</v>
        <stp/>
        <stp>P</stp>
        <stp>0</stp>
        <stp>STK</stp>
        <stp>N194370</stp>
        <stp>등락률</stp>
        <stp/>
        <stp/>
        <tr r="L602" s="1"/>
      </tp>
      <tp>
        <v>-5.47</v>
        <stp/>
        <stp>P</stp>
        <stp>0</stp>
        <stp>STK</stp>
        <stp>N394280</stp>
        <stp>등락률</stp>
        <stp/>
        <stp/>
        <tr r="L627" s="1"/>
      </tp>
      <tp>
        <v>1.1599999999999999</v>
        <stp/>
        <stp>P</stp>
        <stp>0</stp>
        <stp>STK</stp>
        <stp>N094170</stp>
        <stp>등락률</stp>
        <stp/>
        <stp/>
        <tr r="L439" s="1"/>
      </tp>
      <tp>
        <v>-6.28</v>
        <stp/>
        <stp>P</stp>
        <stp>0</stp>
        <stp>STK</stp>
        <stp>N494120</stp>
        <stp>등락률</stp>
        <stp/>
        <stp/>
        <tr r="L529" s="1"/>
      </tp>
      <tp>
        <v>-1.07</v>
        <stp/>
        <stp>P</stp>
        <stp>0</stp>
        <stp>STK</stp>
        <stp>N194700</stp>
        <stp>등락률</stp>
        <stp/>
        <stp/>
        <tr r="L671" s="1"/>
      </tp>
      <tp>
        <v>0.6</v>
        <stp/>
        <stp>P</stp>
        <stp>0</stp>
        <stp>STK</stp>
        <stp>N294570</stp>
        <stp>등락률</stp>
        <stp/>
        <stp/>
        <tr r="L650" s="1"/>
      </tp>
      <tp>
        <v>-4.29</v>
        <stp/>
        <stp>P</stp>
        <stp>0</stp>
        <stp>STK</stp>
        <stp>N194480</stp>
        <stp>등락률</stp>
        <stp/>
        <stp/>
        <tr r="L537" s="1"/>
      </tp>
      <tp>
        <v>2.71</v>
        <stp/>
        <stp>P</stp>
        <stp>0</stp>
        <stp>STK</stp>
        <stp>N094480</stp>
        <stp>등락률</stp>
        <stp/>
        <stp/>
        <tr r="L567" s="1"/>
      </tp>
      <tp>
        <v>4.17</v>
        <stp/>
        <stp>P</stp>
        <stp>0</stp>
        <stp>STK</stp>
        <stp>N394800</stp>
        <stp>등락률</stp>
        <stp/>
        <stp/>
        <tr r="L498" s="1"/>
      </tp>
      <tp>
        <v>-1.21</v>
        <stp/>
        <stp>P</stp>
        <stp>0</stp>
        <stp>STK</stp>
        <stp>N294870</stp>
        <stp>등락률</stp>
        <stp/>
        <stp/>
        <tr r="L267" s="1"/>
      </tp>
      <tp>
        <v>1.37</v>
        <stp/>
        <stp>P</stp>
        <stp>0</stp>
        <stp>STK</stp>
        <stp>N295310</stp>
        <stp>등락률</stp>
        <stp/>
        <stp/>
        <tr r="L308" s="1"/>
      </tp>
      <tp>
        <v>-2.46</v>
        <stp/>
        <stp>P</stp>
        <stp>0</stp>
        <stp>STK</stp>
        <stp>N095340</stp>
        <stp>등락률</stp>
        <stp/>
        <stp/>
        <tr r="L201" s="1"/>
      </tp>
      <tp>
        <v>-1.1100000000000001</v>
        <stp/>
        <stp>P</stp>
        <stp>0</stp>
        <stp>STK</stp>
        <stp>N095610</stp>
        <stp>등락률</stp>
        <stp/>
        <stp/>
        <tr r="L322" s="1"/>
      </tp>
      <tp>
        <v>-1.48</v>
        <stp/>
        <stp>P</stp>
        <stp>0</stp>
        <stp>STK</stp>
        <stp>N095660</stp>
        <stp>등락률</stp>
        <stp/>
        <stp/>
        <tr r="L448" s="1"/>
      </tp>
      <tp>
        <v>-1.01</v>
        <stp/>
        <stp>P</stp>
        <stp>0</stp>
        <stp>STK</stp>
        <stp>N095500</stp>
        <stp>등락률</stp>
        <stp/>
        <stp/>
        <tr r="L599" s="1"/>
      </tp>
      <tp>
        <v>0.18</v>
        <stp/>
        <stp>P</stp>
        <stp>0</stp>
        <stp>STK</stp>
        <stp>N195940</stp>
        <stp>등락률</stp>
        <stp/>
        <stp/>
        <tr r="L265" s="1"/>
      </tp>
      <tp>
        <v>0.16</v>
        <stp/>
        <stp>P</stp>
        <stp>0</stp>
        <stp>STK</stp>
        <stp>N195870</stp>
        <stp>등락률</stp>
        <stp/>
        <stp/>
        <tr r="L335" s="1"/>
      </tp>
      <tp>
        <v>-0.39</v>
        <stp/>
        <stp>P</stp>
        <stp>0</stp>
        <stp>STK</stp>
        <stp>N092230</stp>
        <stp>등락률</stp>
        <stp/>
        <stp/>
        <tr r="L618" s="1"/>
      </tp>
      <tp>
        <v>-2.2400000000000002</v>
        <stp/>
        <stp>P</stp>
        <stp>0</stp>
        <stp>STK</stp>
        <stp>N192080</stp>
        <stp>등락률</stp>
        <stp/>
        <stp/>
        <tr r="L301" s="1"/>
      </tp>
      <tp>
        <v>-2.4900000000000002</v>
        <stp/>
        <stp>P</stp>
        <stp>0</stp>
        <stp>STK</stp>
        <stp>N092790</stp>
        <stp>등락률</stp>
        <stp/>
        <stp/>
        <tr r="L610" s="1"/>
      </tp>
      <tp>
        <v>1.98</v>
        <stp/>
        <stp>P</stp>
        <stp>0</stp>
        <stp>STK</stp>
        <stp>N092730</stp>
        <stp>등락률</stp>
        <stp/>
        <stp/>
        <tr r="L648" s="1"/>
      </tp>
      <tp>
        <v>0.18</v>
        <stp/>
        <stp>P</stp>
        <stp>0</stp>
        <stp>STK</stp>
        <stp>N192400</stp>
        <stp>등락률</stp>
        <stp/>
        <stp/>
        <tr r="L323" s="1"/>
      </tp>
      <tp>
        <v>-1</v>
        <stp/>
        <stp>P</stp>
        <stp>0</stp>
        <stp>STK</stp>
        <stp>N092460</stp>
        <stp>등락률</stp>
        <stp/>
        <stp/>
        <tr r="L643" s="1"/>
      </tp>
      <tp>
        <v>-1.88</v>
        <stp/>
        <stp>P</stp>
        <stp>0</stp>
        <stp>STK</stp>
        <stp>N192820</stp>
        <stp>등락률</stp>
        <stp/>
        <stp/>
        <tr r="L208" s="1"/>
      </tp>
      <tp>
        <v>2.1</v>
        <stp/>
        <stp>P</stp>
        <stp>0</stp>
        <stp>STK</stp>
        <stp>N093320</stp>
        <stp>등락률</stp>
        <stp/>
        <stp/>
        <tr r="L432" s="1"/>
      </tp>
      <tp>
        <v>-1.65</v>
        <stp/>
        <stp>P</stp>
        <stp>0</stp>
        <stp>STK</stp>
        <stp>N093370</stp>
        <stp>등락률</stp>
        <stp/>
        <stp/>
        <tr r="L358" s="1"/>
      </tp>
      <tp>
        <v>-1.19</v>
        <stp/>
        <stp>P</stp>
        <stp>0</stp>
        <stp>STK</stp>
        <stp>N093050</stp>
        <stp>등락률</stp>
        <stp/>
        <stp/>
        <tr r="L471" s="1"/>
      </tp>
      <tp>
        <v>-2.5099999999999998</v>
        <stp/>
        <stp>P</stp>
        <stp>0</stp>
        <stp>STK</stp>
        <stp>N093520</stp>
        <stp>등락률</stp>
        <stp/>
        <stp/>
        <tr r="L630" s="1"/>
      </tp>
      <tp>
        <v>-6.31</v>
        <stp/>
        <stp>P</stp>
        <stp>0</stp>
        <stp>STK</stp>
        <stp>N293490</stp>
        <stp>등락률</stp>
        <stp/>
        <stp/>
        <tr r="L276" s="1"/>
      </tp>
      <tp>
        <v>0.79</v>
        <stp/>
        <stp>P</stp>
        <stp>0</stp>
        <stp>STK</stp>
        <stp>N090360</stp>
        <stp>등락률</stp>
        <stp/>
        <stp/>
        <tr r="L332" s="1"/>
      </tp>
      <tp>
        <v>-4.01</v>
        <stp/>
        <stp>P</stp>
        <stp>0</stp>
        <stp>STK</stp>
        <stp>N290650</stp>
        <stp>등락률</stp>
        <stp/>
        <stp/>
        <tr r="L269" s="1"/>
      </tp>
      <tp>
        <v>-4.41</v>
        <stp/>
        <stp>P</stp>
        <stp>0</stp>
        <stp>STK</stp>
        <stp>N190510</stp>
        <stp>등락률</stp>
        <stp/>
        <stp/>
        <tr r="L582" s="1"/>
      </tp>
      <tp>
        <v>-1.01</v>
        <stp/>
        <stp>P</stp>
        <stp>0</stp>
        <stp>STK</stp>
        <stp>N090430</stp>
        <stp>등락률</stp>
        <stp/>
        <stp/>
        <tr r="L93" s="1"/>
      </tp>
      <tp>
        <v>-1.53</v>
        <stp/>
        <stp>P</stp>
        <stp>0</stp>
        <stp>STK</stp>
        <stp>N090460</stp>
        <stp>등락률</stp>
        <stp/>
        <stp/>
        <tr r="L458" s="1"/>
      </tp>
      <tp>
        <v>-2.2200000000000002</v>
        <stp/>
        <stp>P</stp>
        <stp>0</stp>
        <stp>STK</stp>
        <stp>N108380</stp>
        <stp>등락률</stp>
        <stp/>
        <stp/>
        <tr r="L672" s="1"/>
      </tp>
      <tp>
        <v>-0.37</v>
        <stp/>
        <stp>P</stp>
        <stp>0</stp>
        <stp>STK</stp>
        <stp>N108320</stp>
        <stp>등락률</stp>
        <stp/>
        <stp/>
        <tr r="L348" s="1"/>
      </tp>
      <tp>
        <v>1</v>
        <stp/>
        <stp>P</stp>
        <stp>0</stp>
        <stp>STK</stp>
        <stp>N008060</stp>
        <stp>등락률</stp>
        <stp/>
        <stp/>
        <tr r="L588" s="1"/>
      </tp>
      <tp>
        <v>0</v>
        <stp/>
        <stp>P</stp>
        <stp>0</stp>
        <stp>STK</stp>
        <stp>N008730</stp>
        <stp>등락률</stp>
        <stp/>
        <stp/>
        <tr r="L400" s="1"/>
      </tp>
      <tp>
        <v>1.41</v>
        <stp/>
        <stp>P</stp>
        <stp>0</stp>
        <stp>STK</stp>
        <stp>N008770</stp>
        <stp>등락률</stp>
        <stp/>
        <stp/>
        <tr r="L229" s="1"/>
      </tp>
      <tp>
        <v>-1.03</v>
        <stp/>
        <stp>P</stp>
        <stp>0</stp>
        <stp>STK</stp>
        <stp>N108670</stp>
        <stp>등락률</stp>
        <stp/>
        <stp/>
        <tr r="L668" s="1"/>
      </tp>
      <tp>
        <v>-2.31</v>
        <stp/>
        <stp>P</stp>
        <stp>0</stp>
        <stp>STK</stp>
        <stp>N008490</stp>
        <stp>등락률</stp>
        <stp/>
        <stp/>
        <tr r="L689" s="1"/>
      </tp>
      <tp>
        <v>3.25</v>
        <stp/>
        <stp>P</stp>
        <stp>0</stp>
        <stp>STK</stp>
        <stp>N108490</stp>
        <stp>등락률</stp>
        <stp/>
        <stp/>
        <tr r="L135" s="1"/>
      </tp>
      <tp>
        <v>-4.3</v>
        <stp/>
        <stp>P</stp>
        <stp>0</stp>
        <stp>STK</stp>
        <stp>N308430</stp>
        <stp>등락률</stp>
        <stp/>
        <stp/>
        <tr r="L625" s="1"/>
      </tp>
      <tp>
        <v>-3.76</v>
        <stp/>
        <stp>P</stp>
        <stp>0</stp>
        <stp>STK</stp>
        <stp>N008930</stp>
        <stp>등락률</stp>
        <stp/>
        <stp/>
        <tr r="L168" s="1"/>
      </tp>
      <tp>
        <v>-1.96</v>
        <stp/>
        <stp>P</stp>
        <stp>0</stp>
        <stp>STK</stp>
        <stp>N108860</stp>
        <stp>등락률</stp>
        <stp/>
        <stp/>
        <tr r="L603" s="1"/>
      </tp>
      <tp>
        <v>-1.5</v>
        <stp/>
        <stp>P</stp>
        <stp>0</stp>
        <stp>STK</stp>
        <stp>N009240</stp>
        <stp>등락률</stp>
        <stp/>
        <stp/>
        <tr r="L304" s="1"/>
      </tp>
      <tp>
        <v>3.58</v>
        <stp/>
        <stp>P</stp>
        <stp>0</stp>
        <stp>STK</stp>
        <stp>N009150</stp>
        <stp>등락률</stp>
        <stp/>
        <stp/>
        <tr r="L42" s="1"/>
      </tp>
      <tp>
        <v>4.83</v>
        <stp/>
        <stp>P</stp>
        <stp>0</stp>
        <stp>STK</stp>
        <stp>N309710</stp>
        <stp>등락률</stp>
        <stp/>
        <stp/>
        <tr r="L517" s="1"/>
      </tp>
      <tp>
        <v>-1.06</v>
        <stp/>
        <stp>P</stp>
        <stp>0</stp>
        <stp>STK</stp>
        <stp>N009680</stp>
        <stp>등락률</stp>
        <stp/>
        <stp/>
        <tr r="L635" s="1"/>
      </tp>
      <tp>
        <v>1.01</v>
        <stp/>
        <stp>P</stp>
        <stp>0</stp>
        <stp>STK</stp>
        <stp>N009520</stp>
        <stp>등락률</stp>
        <stp/>
        <stp/>
        <tr r="L366" s="1"/>
      </tp>
      <tp>
        <v>-0.24</v>
        <stp/>
        <stp>P</stp>
        <stp>0</stp>
        <stp>STK</stp>
        <stp>N009540</stp>
        <stp>등락률</stp>
        <stp/>
        <stp/>
        <tr r="L30" s="1"/>
      </tp>
      <tp>
        <v>0</v>
        <stp/>
        <stp>P</stp>
        <stp>0</stp>
        <stp>STK</stp>
        <stp>N009420</stp>
        <stp>등락률</stp>
        <stp/>
        <stp/>
        <tr r="L190" s="1"/>
      </tp>
      <tp>
        <v>-1.21</v>
        <stp/>
        <stp>P</stp>
        <stp>0</stp>
        <stp>STK</stp>
        <stp>N009450</stp>
        <stp>등락률</stp>
        <stp/>
        <stp/>
        <tr r="L351" s="1"/>
      </tp>
      <tp>
        <v>-0.33</v>
        <stp/>
        <stp>P</stp>
        <stp>0</stp>
        <stp>STK</stp>
        <stp>N009900</stp>
        <stp>등락률</stp>
        <stp/>
        <stp/>
        <tr r="L467" s="1"/>
      </tp>
      <tp>
        <v>-1.45</v>
        <stp/>
        <stp>P</stp>
        <stp>0</stp>
        <stp>STK</stp>
        <stp>N009970</stp>
        <stp>등락률</stp>
        <stp/>
        <stp/>
        <tr r="L176" s="1"/>
      </tp>
      <tp>
        <v>-0.9</v>
        <stp/>
        <stp>P</stp>
        <stp>0</stp>
        <stp>STK</stp>
        <stp>N009830</stp>
        <stp>등락률</stp>
        <stp/>
        <stp/>
        <tr r="L116" s="1"/>
      </tp>
      <tp>
        <v>-0.75</v>
        <stp/>
        <stp>P</stp>
        <stp>0</stp>
        <stp>STK</stp>
        <stp>N006360</stp>
        <stp>등락률</stp>
        <stp/>
        <stp/>
        <tr r="L243" s="1"/>
      </tp>
      <tp>
        <v>-1.33</v>
        <stp/>
        <stp>P</stp>
        <stp>0</stp>
        <stp>STK</stp>
        <stp>N006280</stp>
        <stp>등락률</stp>
        <stp/>
        <stp/>
        <tr r="L232" s="1"/>
      </tp>
      <tp>
        <v>-2.73</v>
        <stp/>
        <stp>P</stp>
        <stp>0</stp>
        <stp>STK</stp>
        <stp>N306200</stp>
        <stp>등락률</stp>
        <stp/>
        <stp/>
        <tr r="L592" s="1"/>
      </tp>
      <tp>
        <v>0.28000000000000003</v>
        <stp/>
        <stp>P</stp>
        <stp>0</stp>
        <stp>STK</stp>
        <stp>N006220</stp>
        <stp>등락률</stp>
        <stp/>
        <stp/>
        <tr r="L515" s="1"/>
      </tp>
      <tp>
        <v>-6.99</v>
        <stp/>
        <stp>P</stp>
        <stp>0</stp>
        <stp>STK</stp>
        <stp>N006260</stp>
        <stp>등락률</stp>
        <stp/>
        <stp/>
        <tr r="L92" s="1"/>
      </tp>
      <tp>
        <v>-7.02</v>
        <stp/>
        <stp>P</stp>
        <stp>0</stp>
        <stp>STK</stp>
        <stp>N006110</stp>
        <stp>등락률</stp>
        <stp/>
        <stp/>
        <tr r="L571" s="1"/>
      </tp>
      <tp>
        <v>-3.28</v>
        <stp/>
        <stp>P</stp>
        <stp>0</stp>
        <stp>STK</stp>
        <stp>N006120</stp>
        <stp>등락률</stp>
        <stp/>
        <stp/>
        <tr r="L294" s="1"/>
      </tp>
      <tp>
        <v>-1.2</v>
        <stp/>
        <stp>P</stp>
        <stp>0</stp>
        <stp>STK</stp>
        <stp>N006040</stp>
        <stp>등락률</stp>
        <stp/>
        <stp/>
        <tr r="L230" s="1"/>
      </tp>
      <tp>
        <v>3.52</v>
        <stp/>
        <stp>P</stp>
        <stp>0</stp>
        <stp>STK</stp>
        <stp>N006730</stp>
        <stp>등락률</stp>
        <stp/>
        <stp/>
        <tr r="L326" s="1"/>
      </tp>
      <tp>
        <v>-1.47</v>
        <stp/>
        <stp>P</stp>
        <stp>0</stp>
        <stp>STK</stp>
        <stp>N006650</stp>
        <stp>등락률</stp>
        <stp/>
        <stp/>
        <tr r="L309" s="1"/>
      </tp>
      <tp>
        <v>1.28</v>
        <stp/>
        <stp>P</stp>
        <stp>0</stp>
        <stp>STK</stp>
        <stp>N206650</stp>
        <stp>등락률</stp>
        <stp/>
        <stp/>
        <tr r="L534" s="1"/>
      </tp>
      <tp>
        <v>-1.69</v>
        <stp/>
        <stp>P</stp>
        <stp>0</stp>
        <stp>STK</stp>
        <stp>N206640</stp>
        <stp>등락률</stp>
        <stp/>
        <stp/>
        <tr r="L632" s="1"/>
      </tp>
      <tp>
        <v>-1.54</v>
        <stp/>
        <stp>P</stp>
        <stp>0</stp>
        <stp>STK</stp>
        <stp>N006400</stp>
        <stp>등락률</stp>
        <stp/>
        <stp/>
        <tr r="L34" s="1"/>
      </tp>
      <tp>
        <v>-1.4</v>
        <stp/>
        <stp>P</stp>
        <stp>0</stp>
        <stp>STK</stp>
        <stp>N006800</stp>
        <stp>등락률</stp>
        <stp/>
        <stp/>
        <tr r="L51" s="1"/>
      </tp>
      <tp>
        <v>-1.58</v>
        <stp/>
        <stp>P</stp>
        <stp>0</stp>
        <stp>STK</stp>
        <stp>N007390</stp>
        <stp>등락률</stp>
        <stp/>
        <stp/>
        <tr r="L275" s="1"/>
      </tp>
      <tp>
        <v>-0.39</v>
        <stp/>
        <stp>P</stp>
        <stp>0</stp>
        <stp>STK</stp>
        <stp>N007310</stp>
        <stp>등락률</stp>
        <stp/>
        <stp/>
        <tr r="L247" s="1"/>
      </tp>
      <tp>
        <v>-0.8</v>
        <stp/>
        <stp>P</stp>
        <stp>0</stp>
        <stp>STK</stp>
        <stp>N007340</stp>
        <stp>등락률</stp>
        <stp/>
        <stp/>
        <tr r="L254" s="1"/>
      </tp>
      <tp>
        <v>0.17</v>
        <stp/>
        <stp>P</stp>
        <stp>0</stp>
        <stp>STK</stp>
        <stp>N007160</stp>
        <stp>등락률</stp>
        <stp/>
        <stp/>
        <tr r="L652" s="1"/>
      </tp>
      <tp>
        <v>0.68</v>
        <stp/>
        <stp>P</stp>
        <stp>0</stp>
        <stp>STK</stp>
        <stp>N007070</stp>
        <stp>등락률</stp>
        <stp/>
        <stp/>
        <tr r="L235" s="1"/>
      </tp>
      <tp>
        <v>-2.16</v>
        <stp/>
        <stp>P</stp>
        <stp>0</stp>
        <stp>STK</stp>
        <stp>N007700</stp>
        <stp>등락률</stp>
        <stp/>
        <stp/>
        <tr r="L365" s="1"/>
      </tp>
      <tp>
        <v>-1.77</v>
        <stp/>
        <stp>P</stp>
        <stp>0</stp>
        <stp>STK</stp>
        <stp>N007690</stp>
        <stp>등락률</stp>
        <stp/>
        <stp/>
        <tr r="L589" s="1"/>
      </tp>
      <tp>
        <v>-2.52</v>
        <stp/>
        <stp>P</stp>
        <stp>0</stp>
        <stp>STK</stp>
        <stp>N107640</stp>
        <stp>등락률</stp>
        <stp/>
        <stp/>
        <tr r="L527" s="1"/>
      </tp>
      <tp>
        <v>-1.87</v>
        <stp/>
        <stp>P</stp>
        <stp>0</stp>
        <stp>STK</stp>
        <stp>N007660</stp>
        <stp>등락률</stp>
        <stp/>
        <stp/>
        <tr r="L89" s="1"/>
      </tp>
      <tp>
        <v>-0.8</v>
        <stp/>
        <stp>P</stp>
        <stp>0</stp>
        <stp>STK</stp>
        <stp>N207940</stp>
        <stp>등락률</stp>
        <stp/>
        <stp/>
        <tr r="L13" s="1"/>
      </tp>
      <tp>
        <v>-1.3</v>
        <stp/>
        <stp>P</stp>
        <stp>0</stp>
        <stp>STK</stp>
        <stp>N307950</stp>
        <stp>등락률</stp>
        <stp/>
        <stp/>
        <tr r="L61" s="1"/>
      </tp>
      <tp>
        <v>0</v>
        <stp/>
        <stp>P</stp>
        <stp>0</stp>
        <stp>STK</stp>
        <stp>N007810</stp>
        <stp>등락률</stp>
        <stp/>
        <stp/>
        <tr r="L253" s="1"/>
      </tp>
      <tp>
        <v>-1.1000000000000001</v>
        <stp/>
        <stp>P</stp>
        <stp>0</stp>
        <stp>STK</stp>
        <stp>N204320</stp>
        <stp>등락률</stp>
        <stp/>
        <stp/>
        <tr r="L142" s="1"/>
      </tp>
      <tp>
        <v>-3.34</v>
        <stp/>
        <stp>P</stp>
        <stp>0</stp>
        <stp>STK</stp>
        <stp>N304360</stp>
        <stp>등락률</stp>
        <stp/>
        <stp/>
        <tr r="L560" s="1"/>
      </tp>
      <tp>
        <v>-0.86</v>
        <stp/>
        <stp>P</stp>
        <stp>0</stp>
        <stp>STK</stp>
        <stp>N004370</stp>
        <stp>등락률</stp>
        <stp/>
        <stp/>
        <tr r="L182" s="1"/>
      </tp>
      <tp>
        <v>-1.93</v>
        <stp/>
        <stp>P</stp>
        <stp>0</stp>
        <stp>STK</stp>
        <stp>N004360</stp>
        <stp>등락률</stp>
        <stp/>
        <stp/>
        <tr r="L662" s="1"/>
      </tp>
      <tp>
        <v>-2.87</v>
        <stp/>
        <stp>P</stp>
        <stp>0</stp>
        <stp>STK</stp>
        <stp>N204270</stp>
        <stp>등락률</stp>
        <stp/>
        <stp/>
        <tr r="L297" s="1"/>
      </tp>
      <tp>
        <v>-3.38</v>
        <stp/>
        <stp>P</stp>
        <stp>0</stp>
        <stp>STK</stp>
        <stp>N304100</stp>
        <stp>등락률</stp>
        <stp/>
        <stp/>
        <tr r="L594" s="1"/>
      </tp>
      <tp>
        <v>-0.63</v>
        <stp/>
        <stp>P</stp>
        <stp>0</stp>
        <stp>STK</stp>
        <stp>N004170</stp>
        <stp>등락률</stp>
        <stp/>
        <stp/>
        <tr r="L163" s="1"/>
      </tp>
      <tp>
        <v>-1.58</v>
        <stp/>
        <stp>P</stp>
        <stp>0</stp>
        <stp>STK</stp>
        <stp>N004000</stp>
        <stp>등락률</stp>
        <stp/>
        <stp/>
        <tr r="L290" s="1"/>
      </tp>
      <tp>
        <v>-3.04</v>
        <stp/>
        <stp>P</stp>
        <stp>0</stp>
        <stp>STK</stp>
        <stp>N004020</stp>
        <stp>등락률</stp>
        <stp/>
        <stp/>
        <tr r="L125" s="1"/>
      </tp>
      <tp>
        <v>-0.53</v>
        <stp/>
        <stp>P</stp>
        <stp>0</stp>
        <stp>STK</stp>
        <stp>N104700</stp>
        <stp>등락률</stp>
        <stp/>
        <stp/>
        <tr r="L568" s="1"/>
      </tp>
      <tp>
        <v>8.49</v>
        <stp/>
        <stp>P</stp>
        <stp>0</stp>
        <stp>STK</stp>
        <stp>N004700</stp>
        <stp>등락률</stp>
        <stp/>
        <stp/>
        <tr r="L500" s="1"/>
      </tp>
      <tp>
        <v>-1.53</v>
        <stp/>
        <stp>P</stp>
        <stp>0</stp>
        <stp>STK</stp>
        <stp>N004690</stp>
        <stp>등락률</stp>
        <stp/>
        <stp/>
        <tr r="L468" s="1"/>
      </tp>
      <tp>
        <v>-1.25</v>
        <stp/>
        <stp>P</stp>
        <stp>0</stp>
        <stp>STK</stp>
        <stp>N004490</stp>
        <stp>등락률</stp>
        <stp/>
        <stp/>
        <tr r="L333" s="1"/>
      </tp>
      <tp>
        <v>-1.27</v>
        <stp/>
        <stp>P</stp>
        <stp>0</stp>
        <stp>STK</stp>
        <stp>N004990</stp>
        <stp>등락률</stp>
        <stp/>
        <stp/>
        <tr r="L153" s="1"/>
      </tp>
      <tp>
        <v>-1.22</v>
        <stp/>
        <stp>P</stp>
        <stp>0</stp>
        <stp>STK</stp>
        <stp>N004980</stp>
        <stp>등락률</stp>
        <stp/>
        <stp/>
        <tr r="L692" s="1"/>
      </tp>
      <tp>
        <v>-3.99</v>
        <stp/>
        <stp>P</stp>
        <stp>0</stp>
        <stp>STK</stp>
        <stp>N004800</stp>
        <stp>등락률</stp>
        <stp/>
        <stp/>
        <tr r="L177" s="1"/>
      </tp>
      <tp>
        <v>-2.74</v>
        <stp/>
        <stp>P</stp>
        <stp>0</stp>
        <stp>STK</stp>
        <stp>N104830</stp>
        <stp>등락률</stp>
        <stp/>
        <stp/>
        <tr r="L507" s="1"/>
      </tp>
      <tp>
        <v>-1.2</v>
        <stp/>
        <stp>P</stp>
        <stp>0</stp>
        <stp>STK</stp>
        <stp>N005380</stp>
        <stp>등락률</stp>
        <stp/>
        <stp/>
        <tr r="L11" s="1"/>
      </tp>
      <tp>
        <v>0.15</v>
        <stp/>
        <stp>P</stp>
        <stp>0</stp>
        <stp>STK</stp>
        <stp>N005300</stp>
        <stp>등락률</stp>
        <stp/>
        <stp/>
        <tr r="L284" s="1"/>
      </tp>
      <tp>
        <v>-3.93</v>
        <stp/>
        <stp>P</stp>
        <stp>0</stp>
        <stp>STK</stp>
        <stp>N005290</stp>
        <stp>등락률</stp>
        <stp/>
        <stp/>
        <tr r="L204" s="1"/>
      </tp>
      <tp>
        <v>-2.11</v>
        <stp/>
        <stp>P</stp>
        <stp>0</stp>
        <stp>STK</stp>
        <stp>N005250</stp>
        <stp>등락률</stp>
        <stp/>
        <stp/>
        <tr r="L392" s="1"/>
      </tp>
      <tp>
        <v>-0.8</v>
        <stp/>
        <stp>P</stp>
        <stp>0</stp>
        <stp>STK</stp>
        <stp>N005180</stp>
        <stp>등락률</stp>
        <stp/>
        <stp/>
        <tr r="L381" s="1"/>
      </tp>
      <tp>
        <v>-0.69</v>
        <stp/>
        <stp>P</stp>
        <stp>0</stp>
        <stp>STK</stp>
        <stp>N005090</stp>
        <stp>등락률</stp>
        <stp/>
        <stp/>
        <tr r="L626" s="1"/>
      </tp>
      <tp>
        <v>3.33</v>
        <stp/>
        <stp>P</stp>
        <stp>0</stp>
        <stp>STK</stp>
        <stp>N005070</stp>
        <stp>등락률</stp>
        <stp/>
        <stp/>
        <tr r="L255" s="1"/>
      </tp>
      <tp>
        <v>-0.39</v>
        <stp/>
        <stp>P</stp>
        <stp>0</stp>
        <stp>STK</stp>
        <stp>N005710</stp>
        <stp>등락률</stp>
        <stp/>
        <stp/>
        <tr r="L659" s="1"/>
      </tp>
      <tp>
        <v>-2.13</v>
        <stp/>
        <stp>P</stp>
        <stp>0</stp>
        <stp>STK</stp>
        <stp>N005690</stp>
        <stp>등락률</stp>
        <stp/>
        <stp/>
        <tr r="L361" s="1"/>
      </tp>
      <tp>
        <v>0.2</v>
        <stp/>
        <stp>P</stp>
        <stp>0</stp>
        <stp>STK</stp>
        <stp>N005610</stp>
        <stp>등락률</stp>
        <stp/>
        <stp/>
        <tr r="L514" s="1"/>
      </tp>
      <tp>
        <v>1</v>
        <stp/>
        <stp>P</stp>
        <stp>0</stp>
        <stp>STK</stp>
        <stp>N105630</stp>
        <stp>등락률</stp>
        <stp/>
        <stp/>
        <tr r="L444" s="1"/>
      </tp>
      <tp>
        <v>-1.04</v>
        <stp/>
        <stp>P</stp>
        <stp>0</stp>
        <stp>STK</stp>
        <stp>N005500</stp>
        <stp>등락률</stp>
        <stp/>
        <stp/>
        <tr r="L669" s="1"/>
      </tp>
      <tp>
        <v>1.78</v>
        <stp/>
        <stp>P</stp>
        <stp>0</stp>
        <stp>STK</stp>
        <stp>N105560</stp>
        <stp>등락률</stp>
        <stp/>
        <stp/>
        <tr r="L19" s="1"/>
      </tp>
      <tp>
        <v>0.36</v>
        <stp/>
        <stp>P</stp>
        <stp>0</stp>
        <stp>STK</stp>
        <stp>N005490</stp>
        <stp>등락률</stp>
        <stp/>
        <stp/>
        <tr r="L31" s="1"/>
      </tp>
      <tp>
        <v>1.62</v>
        <stp/>
        <stp>P</stp>
        <stp>0</stp>
        <stp>STK</stp>
        <stp>N005420</stp>
        <stp>등락률</stp>
        <stp/>
        <stp/>
        <tr r="L446" s="1"/>
      </tp>
      <tp>
        <v>-0.32</v>
        <stp/>
        <stp>P</stp>
        <stp>0</stp>
        <stp>STK</stp>
        <stp>N005440</stp>
        <stp>등락률</stp>
        <stp/>
        <stp/>
        <tr r="L268" s="1"/>
      </tp>
      <tp>
        <v>-1.99</v>
        <stp/>
        <stp>P</stp>
        <stp>0</stp>
        <stp>STK</stp>
        <stp>N005930</stp>
        <stp>등락률</stp>
        <stp/>
        <stp/>
        <tr r="L9" s="1"/>
      </tp>
      <tp>
        <v>-2.2200000000000002</v>
        <stp/>
        <stp>P</stp>
        <stp>0</stp>
        <stp>STK</stp>
        <stp>N005940</stp>
        <stp>등락률</stp>
        <stp/>
        <stp/>
        <tr r="L88" s="1"/>
      </tp>
      <tp>
        <v>-2.9</v>
        <stp/>
        <stp>P</stp>
        <stp>0</stp>
        <stp>STK</stp>
        <stp>N005810</stp>
        <stp>등락률</stp>
        <stp/>
        <stp/>
        <tr r="L449" s="1"/>
      </tp>
      <tp>
        <v>1.54</v>
        <stp/>
        <stp>P</stp>
        <stp>0</stp>
        <stp>STK</stp>
        <stp>N005830</stp>
        <stp>등락률</stp>
        <stp/>
        <stp/>
        <tr r="L78" s="1"/>
      </tp>
      <tp>
        <v>-1.08</v>
        <stp/>
        <stp>P</stp>
        <stp>0</stp>
        <stp>STK</stp>
        <stp>N005850</stp>
        <stp>등락률</stp>
        <stp/>
        <stp/>
        <tr r="L147" s="1"/>
      </tp>
      <tp>
        <v>-3.25</v>
        <stp/>
        <stp>P</stp>
        <stp>0</stp>
        <stp>STK</stp>
        <stp>N105840</stp>
        <stp>등락률</stp>
        <stp/>
        <stp/>
        <tr r="L454" s="1"/>
      </tp>
      <tp>
        <v>0</v>
        <stp/>
        <stp>P</stp>
        <stp>0</stp>
        <stp>STK</stp>
        <stp>N002380</stp>
        <stp>등락률</stp>
        <stp/>
        <stp/>
        <tr r="L130" s="1"/>
      </tp>
      <tp>
        <v>-5.09</v>
        <stp/>
        <stp>P</stp>
        <stp>0</stp>
        <stp>STK</stp>
        <stp>N402340</stp>
        <stp>등락률</stp>
        <stp/>
        <stp/>
        <tr r="L18" s="1"/>
      </tp>
      <tp>
        <v>-0.2</v>
        <stp/>
        <stp>P</stp>
        <stp>0</stp>
        <stp>STK</stp>
        <stp>N002320</stp>
        <stp>등락률</stp>
        <stp/>
        <stp/>
        <tr r="L622" s="1"/>
      </tp>
      <tp>
        <v>-1.39</v>
        <stp/>
        <stp>P</stp>
        <stp>0</stp>
        <stp>STK</stp>
        <stp>N002240</stp>
        <stp>등락률</stp>
        <stp/>
        <stp/>
        <tr r="L429" s="1"/>
      </tp>
      <tp>
        <v>-1.73</v>
        <stp/>
        <stp>P</stp>
        <stp>0</stp>
        <stp>STK</stp>
        <stp>N002030</stp>
        <stp>등락률</stp>
        <stp/>
        <stp/>
        <tr r="L433" s="1"/>
      </tp>
      <tp>
        <v>-0.99</v>
        <stp/>
        <stp>P</stp>
        <stp>0</stp>
        <stp>STK</stp>
        <stp>N002020</stp>
        <stp>등락률</stp>
        <stp/>
        <stp/>
        <tr r="L443" s="1"/>
      </tp>
      <tp>
        <v>-3.03</v>
        <stp/>
        <stp>P</stp>
        <stp>0</stp>
        <stp>STK</stp>
        <stp>N402030</stp>
        <stp>등락률</stp>
        <stp/>
        <stp/>
        <tr r="L644" s="1"/>
      </tp>
      <tp>
        <v>-1.22</v>
        <stp/>
        <stp>P</stp>
        <stp>0</stp>
        <stp>STK</stp>
        <stp>N002790</stp>
        <stp>등락률</stp>
        <stp/>
        <stp/>
        <tr r="L210" s="1"/>
      </tp>
      <tp>
        <v>-0.88</v>
        <stp/>
        <stp>P</stp>
        <stp>0</stp>
        <stp>STK</stp>
        <stp>N002710</stp>
        <stp>등락률</stp>
        <stp/>
        <stp/>
        <tr r="L570" s="1"/>
      </tp>
      <tp>
        <v>-3.57</v>
        <stp/>
        <stp>P</stp>
        <stp>0</stp>
        <stp>STK</stp>
        <stp>N102710</stp>
        <stp>등락률</stp>
        <stp/>
        <stp/>
        <tr r="L401" s="1"/>
      </tp>
      <tp>
        <v>-1.48</v>
        <stp/>
        <stp>P</stp>
        <stp>0</stp>
        <stp>STK</stp>
        <stp>N302440</stp>
        <stp>등락률</stp>
        <stp/>
        <stp/>
        <tr r="L134" s="1"/>
      </tp>
      <tp>
        <v>1.23</v>
        <stp/>
        <stp>P</stp>
        <stp>0</stp>
        <stp>STK</stp>
        <stp>N102940</stp>
        <stp>등락률</stp>
        <stp/>
        <stp/>
        <tr r="L427" s="1"/>
      </tp>
      <tp>
        <v>-1.1499999999999999</v>
        <stp/>
        <stp>P</stp>
        <stp>0</stp>
        <stp>STK</stp>
        <stp>N002960</stp>
        <stp>등락률</stp>
        <stp/>
        <stp/>
        <tr r="L445" s="1"/>
      </tp>
      <tp>
        <v>-1.1499999999999999</v>
        <stp/>
        <stp>P</stp>
        <stp>0</stp>
        <stp>STK</stp>
        <stp>N002810</stp>
        <stp>등락률</stp>
        <stp/>
        <stp/>
        <tr r="L619" s="1"/>
      </tp>
      <tp>
        <v>0.57999999999999996</v>
        <stp/>
        <stp>P</stp>
        <stp>0</stp>
        <stp>STK</stp>
        <stp>N002840</stp>
        <stp>등락률</stp>
        <stp/>
        <stp/>
        <tr r="L395" s="1"/>
      </tp>
      <tp>
        <v>1.53</v>
        <stp/>
        <stp>P</stp>
        <stp>0</stp>
        <stp>STK</stp>
        <stp>N003380</stp>
        <stp>등락률</stp>
        <stp/>
        <stp/>
        <tr r="L279" s="1"/>
      </tp>
      <tp>
        <v>0.38</v>
        <stp/>
        <stp>P</stp>
        <stp>0</stp>
        <stp>STK</stp>
        <stp>N003300</stp>
        <stp>등락률</stp>
        <stp/>
        <stp/>
        <tr r="L492" s="1"/>
      </tp>
      <tp>
        <v>1.75</v>
        <stp/>
        <stp>P</stp>
        <stp>0</stp>
        <stp>STK</stp>
        <stp>N003200</stp>
        <stp>등락률</stp>
        <stp/>
        <stp/>
        <tr r="L621" s="1"/>
      </tp>
      <tp>
        <v>-1.86</v>
        <stp/>
        <stp>P</stp>
        <stp>0</stp>
        <stp>STK</stp>
        <stp>N003230</stp>
        <stp>등락률</stp>
        <stp/>
        <stp/>
        <tr r="L80" s="1"/>
      </tp>
      <tp>
        <v>-1.99</v>
        <stp/>
        <stp>P</stp>
        <stp>0</stp>
        <stp>STK</stp>
        <stp>N003220</stp>
        <stp>등락률</stp>
        <stp/>
        <stp/>
        <tr r="L670" s="1"/>
      </tp>
      <tp>
        <v>6.53</v>
        <stp/>
        <stp>P</stp>
        <stp>0</stp>
        <stp>STK</stp>
        <stp>N003240</stp>
        <stp>등락률</stp>
        <stp/>
        <stp/>
        <tr r="L344" s="1"/>
      </tp>
      <tp>
        <v>9.36</v>
        <stp/>
        <stp>P</stp>
        <stp>0</stp>
        <stp>STK</stp>
        <stp>N003120</stp>
        <stp>등락률</stp>
        <stp/>
        <stp/>
        <tr r="L633" s="1"/>
      </tp>
      <tp>
        <v>-3.28</v>
        <stp/>
        <stp>P</stp>
        <stp>0</stp>
        <stp>STK</stp>
        <stp>N103140</stp>
        <stp>등락률</stp>
        <stp/>
        <stp/>
        <tr r="L144" s="1"/>
      </tp>
      <tp>
        <v>-3.48</v>
        <stp/>
        <stp>P</stp>
        <stp>0</stp>
        <stp>STK</stp>
        <stp>N003160</stp>
        <stp>등락률</stp>
        <stp/>
        <stp/>
        <tr r="L345" s="1"/>
      </tp>
      <tp>
        <v>-1.46</v>
        <stp/>
        <stp>P</stp>
        <stp>0</stp>
        <stp>STK</stp>
        <stp>N003090</stp>
        <stp>등락률</stp>
        <stp/>
        <stp/>
        <tr r="L272" s="1"/>
      </tp>
      <tp>
        <v>-1.99</v>
        <stp/>
        <stp>P</stp>
        <stp>0</stp>
        <stp>STK</stp>
        <stp>N003030</stp>
        <stp>등락률</stp>
        <stp/>
        <stp/>
        <tr r="L469" s="1"/>
      </tp>
      <tp>
        <v>1.02</v>
        <stp/>
        <stp>P</stp>
        <stp>0</stp>
        <stp>STK</stp>
        <stp>N003690</stp>
        <stp>등락률</stp>
        <stp/>
        <stp/>
        <tr r="L199" s="1"/>
      </tp>
      <tp>
        <v>3.13</v>
        <stp/>
        <stp>P</stp>
        <stp>0</stp>
        <stp>STK</stp>
        <stp>N003670</stp>
        <stp>등락률</stp>
        <stp/>
        <stp/>
        <tr r="L49" s="1"/>
      </tp>
      <tp>
        <v>-3.28</v>
        <stp/>
        <stp>P</stp>
        <stp>0</stp>
        <stp>STK</stp>
        <stp>N103590</stp>
        <stp>등락률</stp>
        <stp/>
        <stp/>
        <tr r="L157" s="1"/>
      </tp>
      <tp>
        <v>0</v>
        <stp/>
        <stp>P</stp>
        <stp>0</stp>
        <stp>STK</stp>
        <stp>N403550</stp>
        <stp>등락률</stp>
        <stp/>
        <stp/>
        <tr r="L540" s="1"/>
      </tp>
      <tp>
        <v>-1.85</v>
        <stp/>
        <stp>P</stp>
        <stp>0</stp>
        <stp>STK</stp>
        <stp>N003550</stp>
        <stp>등락률</stp>
        <stp/>
        <stp/>
        <tr r="L65" s="1"/>
      </tp>
      <tp>
        <v>-3.19</v>
        <stp/>
        <stp>P</stp>
        <stp>0</stp>
        <stp>STK</stp>
        <stp>N003540</stp>
        <stp>등락률</stp>
        <stp/>
        <stp/>
        <tr r="L262" s="1"/>
      </tp>
      <tp>
        <v>3.53</v>
        <stp/>
        <stp>P</stp>
        <stp>0</stp>
        <stp>STK</stp>
        <stp>N003570</stp>
        <stp>등락률</stp>
        <stp/>
        <stp/>
        <tr r="L237" s="1"/>
      </tp>
      <tp>
        <v>-1.29</v>
        <stp/>
        <stp>P</stp>
        <stp>0</stp>
        <stp>STK</stp>
        <stp>N003490</stp>
        <stp>등락률</stp>
        <stp/>
        <stp/>
        <tr r="L82" s="1"/>
      </tp>
      <tp>
        <v>-1.57</v>
        <stp/>
        <stp>P</stp>
        <stp>0</stp>
        <stp>STK</stp>
        <stp>N003920</stp>
        <stp>등락률</stp>
        <stp/>
        <stp/>
        <tr r="L620" s="1"/>
      </tp>
      <tp>
        <v>-1.51</v>
        <stp/>
        <stp>P</stp>
        <stp>0</stp>
        <stp>STK</stp>
        <stp>N003960</stp>
        <stp>등락률</stp>
        <stp/>
        <stp/>
        <tr r="L601" s="1"/>
      </tp>
      <tp>
        <v>-2.13</v>
        <stp/>
        <stp>P</stp>
        <stp>0</stp>
        <stp>STK</stp>
        <stp>N403850</stp>
        <stp>등락률</stp>
        <stp/>
        <stp/>
        <tr r="L581" s="1"/>
      </tp>
      <tp>
        <v>-2.8</v>
        <stp/>
        <stp>P</stp>
        <stp>0</stp>
        <stp>STK</stp>
        <stp>N403870</stp>
        <stp>등락률</stp>
        <stp/>
        <stp/>
        <tr r="L160" s="1"/>
      </tp>
      <tp>
        <v>-1.3</v>
        <stp/>
        <stp>P</stp>
        <stp>0</stp>
        <stp>STK</stp>
        <stp>N003850</stp>
        <stp>등락률</stp>
        <stp/>
        <stp/>
        <tr r="L369" s="1"/>
      </tp>
      <tp>
        <v>-0.71</v>
        <stp/>
        <stp>P</stp>
        <stp>0</stp>
        <stp>STK</stp>
        <stp>N000320</stp>
        <stp>등락률</stp>
        <stp/>
        <stp/>
        <tr r="L657" s="1"/>
      </tp>
      <tp>
        <v>3.49</v>
        <stp/>
        <stp>P</stp>
        <stp>0</stp>
        <stp>STK</stp>
        <stp>N000210</stp>
        <stp>등락률</stp>
        <stp/>
        <stp/>
        <tr r="L368" s="1"/>
      </tp>
      <tp>
        <v>-0.52</v>
        <stp/>
        <stp>P</stp>
        <stp>0</stp>
        <stp>STK</stp>
        <stp>N000250</stp>
        <stp>등락률</stp>
        <stp/>
        <stp/>
        <tr r="L100" s="1"/>
      </tp>
      <tp>
        <v>-1.3</v>
        <stp/>
        <stp>P</stp>
        <stp>0</stp>
        <stp>STK</stp>
        <stp>N000240</stp>
        <stp>등락률</stp>
        <stp/>
        <stp/>
        <tr r="L174" s="1"/>
      </tp>
      <tp>
        <v>1.77</v>
        <stp/>
        <stp>P</stp>
        <stp>0</stp>
        <stp>STK</stp>
        <stp>N000270</stp>
        <stp>등락률</stp>
        <stp/>
        <stp/>
        <tr r="L14" s="1"/>
      </tp>
      <tp>
        <v>-3.68</v>
        <stp/>
        <stp>P</stp>
        <stp>0</stp>
        <stp>STK</stp>
        <stp>N200130</stp>
        <stp>등락률</stp>
        <stp/>
        <stp/>
        <tr r="L565" s="1"/>
      </tp>
      <tp>
        <v>-1.48</v>
        <stp/>
        <stp>P</stp>
        <stp>0</stp>
        <stp>STK</stp>
        <stp>N000100</stp>
        <stp>등락률</stp>
        <stp/>
        <stp/>
        <tr r="L87" s="1"/>
      </tp>
      <tp>
        <v>-1.35</v>
        <stp/>
        <stp>P</stp>
        <stp>0</stp>
        <stp>STK</stp>
        <stp>N000120</stp>
        <stp>등락률</stp>
        <stp/>
        <stp/>
        <tr r="L197" s="1"/>
      </tp>
      <tp>
        <v>-0.35</v>
        <stp/>
        <stp>P</stp>
        <stp>0</stp>
        <stp>STK</stp>
        <stp>N000150</stp>
        <stp>등락률</stp>
        <stp/>
        <stp/>
        <tr r="L64" s="1"/>
      </tp>
      <tp>
        <v>-0.34</v>
        <stp/>
        <stp>P</stp>
        <stp>0</stp>
        <stp>STK</stp>
        <stp>N000080</stp>
        <stp>등락률</stp>
        <stp/>
        <stp/>
        <tr r="L277" s="1"/>
      </tp>
      <tp>
        <v>-5.37</v>
        <stp/>
        <stp>P</stp>
        <stp>0</stp>
        <stp>STK</stp>
        <stp>N100090</stp>
        <stp>등락률</stp>
        <stp/>
        <stp/>
        <tr r="L285" s="1"/>
      </tp>
      <tp>
        <v>-3.25</v>
        <stp/>
        <stp>P</stp>
        <stp>0</stp>
        <stp>STK</stp>
        <stp>N300080</stp>
        <stp>등락률</stp>
        <stp/>
        <stp/>
        <tr r="L665" s="1"/>
      </tp>
      <tp>
        <v>-0.82</v>
        <stp/>
        <stp>P</stp>
        <stp>0</stp>
        <stp>STK</stp>
        <stp>N000070</stp>
        <stp>등락률</stp>
        <stp/>
        <stp/>
        <tr r="L505" s="1"/>
      </tp>
      <tp>
        <v>1.08</v>
        <stp/>
        <stp>P</stp>
        <stp>0</stp>
        <stp>STK</stp>
        <stp>N100790</stp>
        <stp>등락률</stp>
        <stp/>
        <stp/>
        <tr r="L393" s="1"/>
      </tp>
      <tp>
        <v>-0.99</v>
        <stp/>
        <stp>P</stp>
        <stp>0</stp>
        <stp>STK</stp>
        <stp>N300720</stp>
        <stp>등락률</stp>
        <stp/>
        <stp/>
        <tr r="L282" s="1"/>
      </tp>
      <tp>
        <v>-1.83</v>
        <stp/>
        <stp>P</stp>
        <stp>0</stp>
        <stp>STK</stp>
        <stp>N200710</stp>
        <stp>등락률</stp>
        <stp/>
        <stp/>
        <tr r="L494" s="1"/>
      </tp>
      <tp>
        <v>-0.97</v>
        <stp/>
        <stp>P</stp>
        <stp>0</stp>
        <stp>STK</stp>
        <stp>N000720</stp>
        <stp>등락률</stp>
        <stp/>
        <stp/>
        <tr r="L68" s="1"/>
      </tp>
      <tp>
        <v>14.43</v>
        <stp/>
        <stp>P</stp>
        <stp>0</stp>
        <stp>STK</stp>
        <stp>N0007C0</stp>
        <stp>등락률</stp>
        <stp/>
        <stp/>
        <tr r="L688" s="1"/>
      </tp>
      <tp>
        <v>-1.94</v>
        <stp/>
        <stp>P</stp>
        <stp>0</stp>
        <stp>STK</stp>
        <stp>N200670</stp>
        <stp>등락률</stp>
        <stp/>
        <stp/>
        <tr r="L510" s="1"/>
      </tp>
      <tp>
        <v>-1.56</v>
        <stp/>
        <stp>P</stp>
        <stp>0</stp>
        <stp>STK</stp>
        <stp>N000640</stp>
        <stp>등락률</stp>
        <stp/>
        <stp/>
        <tr r="L397" s="1"/>
      </tp>
      <tp>
        <v>-9.09</v>
        <stp/>
        <stp>P</stp>
        <stp>0</stp>
        <stp>STK</stp>
        <stp>N000670</stp>
        <stp>등락률</stp>
        <stp/>
        <stp/>
        <tr r="L324" s="1"/>
      </tp>
      <tp>
        <v>-3.63</v>
        <stp/>
        <stp>P</stp>
        <stp>0</stp>
        <stp>STK</stp>
        <stp>N000660</stp>
        <stp>등락률</stp>
        <stp/>
        <stp/>
        <tr r="L10" s="1"/>
      </tp>
      <tp>
        <v>-3.65</v>
        <stp/>
        <stp>P</stp>
        <stp>0</stp>
        <stp>STK</stp>
        <stp>N000500</stp>
        <stp>등락률</stp>
        <stp/>
        <stp/>
        <tr r="L252" s="1"/>
      </tp>
      <tp>
        <v>-0.71</v>
        <stp/>
        <stp>P</stp>
        <stp>0</stp>
        <stp>STK</stp>
        <stp>N000490</stp>
        <stp>등락률</stp>
        <stp/>
        <stp/>
        <tr r="L631" s="1"/>
      </tp>
      <tp>
        <v>4.7300000000000004</v>
        <stp/>
        <stp>P</stp>
        <stp>0</stp>
        <stp>STK</stp>
        <stp>N000990</stp>
        <stp>등락률</stp>
        <stp/>
        <stp/>
        <tr r="L128" s="1"/>
      </tp>
      <tp>
        <v>-3.49</v>
        <stp/>
        <stp>P</stp>
        <stp>0</stp>
        <stp>STK</stp>
        <stp>N0009K0</stp>
        <stp>등락률</stp>
        <stp/>
        <stp/>
        <tr r="L146" s="1"/>
      </tp>
      <tp>
        <v>0.09</v>
        <stp/>
        <stp>P</stp>
        <stp>0</stp>
        <stp>STK</stp>
        <stp>N000880</stp>
        <stp>등락률</stp>
        <stp/>
        <stp/>
        <tr r="L79" s="1"/>
      </tp>
      <tp>
        <v>0.93</v>
        <stp/>
        <stp>P</stp>
        <stp>0</stp>
        <stp>STK</stp>
        <stp>N200880</stp>
        <stp>등락률</stp>
        <stp/>
        <stp/>
        <tr r="L506" s="1"/>
      </tp>
      <tp>
        <v>-1.8</v>
        <stp/>
        <stp>P</stp>
        <stp>0</stp>
        <stp>STK</stp>
        <stp>N000810</stp>
        <stp>등락률</stp>
        <stp/>
        <stp/>
        <tr r="L38" s="1"/>
      </tp>
      <tp>
        <v>-0.36</v>
        <stp/>
        <stp>P</stp>
        <stp>0</stp>
        <stp>STK</stp>
        <stp>N100840</stp>
        <stp>등락률</stp>
        <stp/>
        <stp/>
        <tr r="L350" s="1"/>
      </tp>
      <tp>
        <v>-3.26</v>
        <stp/>
        <stp>P</stp>
        <stp>0</stp>
        <stp>STK</stp>
        <stp>N0008Z0</stp>
        <stp>등락률</stp>
        <stp/>
        <stp/>
        <tr r="L613" s="1"/>
      </tp>
      <tp>
        <v>-1.31</v>
        <stp/>
        <stp>P</stp>
        <stp>0</stp>
        <stp>STK</stp>
        <stp>N101360</stp>
        <stp>등락률</stp>
        <stp/>
        <stp/>
        <tr r="L600" s="1"/>
      </tp>
      <tp>
        <v>1.67</v>
        <stp/>
        <stp>P</stp>
        <stp>0</stp>
        <stp>STK</stp>
        <stp>N001270</stp>
        <stp>등락률</stp>
        <stp/>
        <stp/>
        <tr r="L415" s="1"/>
      </tp>
      <tp>
        <v>-0.69</v>
        <stp/>
        <stp>P</stp>
        <stp>0</stp>
        <stp>STK</stp>
        <stp>N001130</stp>
        <stp>등락률</stp>
        <stp/>
        <stp/>
        <tr r="L683" s="1"/>
      </tp>
      <tp>
        <v>-1.57</v>
        <stp/>
        <stp>P</stp>
        <stp>0</stp>
        <stp>STK</stp>
        <stp>N001120</stp>
        <stp>등락률</stp>
        <stp/>
        <stp/>
        <tr r="L260" s="1"/>
      </tp>
      <tp>
        <v>-1.93</v>
        <stp/>
        <stp>P</stp>
        <stp>0</stp>
        <stp>STK</stp>
        <stp>N101160</stp>
        <stp>등락률</stp>
        <stp/>
        <stp/>
        <tr r="L561" s="1"/>
      </tp>
      <tp>
        <v>2.2999999999999998</v>
        <stp/>
        <stp>P</stp>
        <stp>0</stp>
        <stp>STK</stp>
        <stp>N001040</stp>
        <stp>등락률</stp>
        <stp/>
        <stp/>
        <tr r="L105" s="1"/>
      </tp>
      <tp>
        <v>-0.48</v>
        <stp/>
        <stp>P</stp>
        <stp>0</stp>
        <stp>STK</stp>
        <stp>N001060</stp>
        <stp>등락률</stp>
        <stp/>
        <stp/>
        <tr r="L410" s="1"/>
      </tp>
      <tp>
        <v>-1.3</v>
        <stp/>
        <stp>P</stp>
        <stp>0</stp>
        <stp>STK</stp>
        <stp>N001720</stp>
        <stp>등락률</stp>
        <stp/>
        <stp/>
        <tr r="L184" s="1"/>
      </tp>
      <tp>
        <v>-7.6</v>
        <stp/>
        <stp>P</stp>
        <stp>0</stp>
        <stp>STK</stp>
        <stp>N101730</stp>
        <stp>등락률</stp>
        <stp/>
        <stp/>
        <tr r="L475" s="1"/>
      </tp>
      <tp>
        <v>-2.89</v>
        <stp/>
        <stp>P</stp>
        <stp>0</stp>
        <stp>STK</stp>
        <stp>N001750</stp>
        <stp>등락률</stp>
        <stp/>
        <stp/>
        <tr r="L685" s="1"/>
      </tp>
      <tp>
        <v>-0.23</v>
        <stp/>
        <stp>P</stp>
        <stp>0</stp>
        <stp>STK</stp>
        <stp>N001680</stp>
        <stp>등락률</stp>
        <stp/>
        <stp/>
        <tr r="L374" s="1"/>
      </tp>
      <tp>
        <v>-0.7</v>
        <stp/>
        <stp>P</stp>
        <stp>0</stp>
        <stp>STK</stp>
        <stp>N001630</stp>
        <stp>등락률</stp>
        <stp/>
        <stp/>
        <tr r="L684" s="1"/>
      </tp>
      <tp>
        <v>-2.63</v>
        <stp/>
        <stp>P</stp>
        <stp>0</stp>
        <stp>STK</stp>
        <stp>N001500</stp>
        <stp>등락률</stp>
        <stp/>
        <stp/>
        <tr r="L462" s="1"/>
      </tp>
      <tp>
        <v>-1</v>
        <stp/>
        <stp>P</stp>
        <stp>0</stp>
        <stp>STK</stp>
        <stp>N001530</stp>
        <stp>등락률</stp>
        <stp/>
        <stp/>
        <tr r="L549" s="1"/>
      </tp>
      <tp>
        <v>-3.08</v>
        <stp/>
        <stp>P</stp>
        <stp>0</stp>
        <stp>STK</stp>
        <stp>N101490</stp>
        <stp>등락률</stp>
        <stp/>
        <stp/>
        <tr r="L257" s="1"/>
      </tp>
      <tp>
        <v>-0.14000000000000001</v>
        <stp/>
        <stp>P</stp>
        <stp>0</stp>
        <stp>STK</stp>
        <stp>N001430</stp>
        <stp>등락률</stp>
        <stp/>
        <stp/>
        <tr r="L166" s="1"/>
      </tp>
      <tp>
        <v>-0.71</v>
        <stp/>
        <stp>P</stp>
        <stp>0</stp>
        <stp>STK</stp>
        <stp>N001450</stp>
        <stp>등락률</stp>
        <stp/>
        <stp/>
        <tr r="L183" s="1"/>
      </tp>
      <tp>
        <v>-4.08</v>
        <stp/>
        <stp>P</stp>
        <stp>0</stp>
        <stp>STK</stp>
        <stp>N001440</stp>
        <stp>등락률</stp>
        <stp/>
        <stp/>
        <tr r="L110" s="1"/>
      </tp>
      <tp>
        <v>0.96</v>
        <stp/>
        <stp>P</stp>
        <stp>0</stp>
        <stp>STK</stp>
        <stp>N001460</stp>
        <stp>등락률</stp>
        <stp/>
        <stp/>
        <tr r="L660" s="1"/>
      </tp>
      <tp>
        <v>-1.05</v>
        <stp/>
        <stp>P</stp>
        <stp>0</stp>
        <stp>STK</stp>
        <stp>N101930</stp>
        <stp>등락률</stp>
        <stp/>
        <stp/>
        <tr r="L525" s="1"/>
      </tp>
      <tp>
        <v>-1.87</v>
        <stp/>
        <stp>P</stp>
        <stp>0</stp>
        <stp>STK</stp>
        <stp>N001940</stp>
        <stp>등락률</stp>
        <stp/>
        <stp/>
        <tr r="L554" s="1"/>
      </tp>
      <tp>
        <v>-0.48</v>
        <stp/>
        <stp>P</stp>
        <stp>0</stp>
        <stp>STK</stp>
        <stp>N001800</stp>
        <stp>등락률</stp>
        <stp/>
        <stp/>
        <tr r="L270" s="1"/>
      </tp>
      <tp>
        <v>0.32</v>
        <stp/>
        <stp>P</stp>
        <stp>0</stp>
        <stp>STK</stp>
        <stp>N001820</stp>
        <stp>등락률</stp>
        <stp/>
        <stp/>
        <tr r="L598" s="1"/>
      </tp>
      <tp>
        <v>-1.32</v>
        <stp/>
        <stp>P</stp>
        <stp>0</stp>
        <stp>STK</stp>
        <stp>N018310</stp>
        <stp>등락률</stp>
        <stp/>
        <stp/>
        <tr r="L647" s="1"/>
      </tp>
      <tp>
        <v>1.7</v>
        <stp/>
        <stp>P</stp>
        <stp>0</stp>
        <stp>STK</stp>
        <stp>N018290</stp>
        <stp>등락률</stp>
        <stp/>
        <stp/>
        <tr r="L442" s="1"/>
      </tp>
      <tp>
        <v>-1.03</v>
        <stp/>
        <stp>P</stp>
        <stp>0</stp>
        <stp>STK</stp>
        <stp>N018250</stp>
        <stp>등락률</stp>
        <stp/>
        <stp/>
        <tr r="L593" s="1"/>
      </tp>
      <tp>
        <v>-1.79</v>
        <stp/>
        <stp>P</stp>
        <stp>0</stp>
        <stp>STK</stp>
        <stp>N018260</stp>
        <stp>등락률</stp>
        <stp/>
        <stp/>
        <tr r="L63" s="1"/>
      </tp>
      <tp>
        <v>-2.15</v>
        <stp/>
        <stp>P</stp>
        <stp>0</stp>
        <stp>STK</stp>
        <stp>N018670</stp>
        <stp>등락률</stp>
        <stp/>
        <stp/>
        <tr r="L209" s="1"/>
      </tp>
      <tp>
        <v>1.36</v>
        <stp/>
        <stp>P</stp>
        <stp>0</stp>
        <stp>STK</stp>
        <stp>N218410</stp>
        <stp>등락률</stp>
        <stp/>
        <stp/>
        <tr r="L327" s="1"/>
      </tp>
      <tp>
        <v>-0.31</v>
        <stp/>
        <stp>P</stp>
        <stp>0</stp>
        <stp>STK</stp>
        <stp>N018880</stp>
        <stp>등락률</stp>
        <stp/>
        <stp/>
        <tr r="L145" s="1"/>
      </tp>
      <tp>
        <v>-0.77</v>
        <stp/>
        <stp>P</stp>
        <stp>0</stp>
        <stp>STK</stp>
        <stp>N019170</stp>
        <stp>등락률</stp>
        <stp/>
        <stp/>
        <tr r="L411" s="1"/>
      </tp>
      <tp>
        <v>0.49</v>
        <stp/>
        <stp>P</stp>
        <stp>0</stp>
        <stp>STK</stp>
        <stp>N319660</stp>
        <stp>등락률</stp>
        <stp/>
        <stp/>
        <tr r="L287" s="1"/>
      </tp>
      <tp>
        <v>-1.48</v>
        <stp/>
        <stp>P</stp>
        <stp>0</stp>
        <stp>STK</stp>
        <stp>N419530</stp>
        <stp>등락률</stp>
        <stp/>
        <stp/>
        <tr r="L580" s="1"/>
      </tp>
      <tp>
        <v>-1.37</v>
        <stp/>
        <stp>P</stp>
        <stp>0</stp>
        <stp>STK</stp>
        <stp>N119850</stp>
        <stp>등락률</stp>
        <stp/>
        <stp/>
        <tr r="L435" s="1"/>
      </tp>
      <tp>
        <v>-1.99</v>
        <stp/>
        <stp>P</stp>
        <stp>0</stp>
        <stp>STK</stp>
        <stp>N016360</stp>
        <stp>등락률</stp>
        <stp/>
        <stp/>
        <tr r="L91" s="1"/>
      </tp>
      <tp>
        <v>0.38</v>
        <stp/>
        <stp>P</stp>
        <stp>0</stp>
        <stp>STK</stp>
        <stp>N416180</stp>
        <stp>등락률</stp>
        <stp/>
        <stp/>
        <tr r="L637" s="1"/>
      </tp>
      <tp>
        <v>0.33</v>
        <stp/>
        <stp>P</stp>
        <stp>0</stp>
        <stp>STK</stp>
        <stp>N316140</stp>
        <stp>등락률</stp>
        <stp/>
        <stp/>
        <tr r="L43" s="1"/>
      </tp>
      <tp>
        <v>-1.99</v>
        <stp/>
        <stp>P</stp>
        <stp>0</stp>
        <stp>STK</stp>
        <stp>N016610</stp>
        <stp>등락률</stp>
        <stp/>
        <stp/>
        <tr r="L486" s="1"/>
      </tp>
      <tp>
        <v>3.47</v>
        <stp/>
        <stp>P</stp>
        <stp>0</stp>
        <stp>STK</stp>
        <stp>N016590</stp>
        <stp>등락률</stp>
        <stp/>
        <stp/>
        <tr r="L465" s="1"/>
      </tp>
      <tp>
        <v>1.42</v>
        <stp/>
        <stp>P</stp>
        <stp>0</stp>
        <stp>STK</stp>
        <stp>N016800</stp>
        <stp>등락률</stp>
        <stp/>
        <stp/>
        <tr r="L478" s="1"/>
      </tp>
      <tp>
        <v>-1.66</v>
        <stp/>
        <stp>P</stp>
        <stp>0</stp>
        <stp>STK</stp>
        <stp>N017390</stp>
        <stp>등락률</stp>
        <stp/>
        <stp/>
        <tr r="L604" s="1"/>
      </tp>
      <tp>
        <v>0.05</v>
        <stp/>
        <stp>P</stp>
        <stp>0</stp>
        <stp>STK</stp>
        <stp>N317330</stp>
        <stp>등락률</stp>
        <stp/>
        <stp/>
        <tr r="L577" s="1"/>
      </tp>
      <tp>
        <v>0.63</v>
        <stp/>
        <stp>P</stp>
        <stp>0</stp>
        <stp>STK</stp>
        <stp>N417200</stp>
        <stp>등락률</stp>
        <stp/>
        <stp/>
        <tr r="L336" s="1"/>
      </tp>
      <tp>
        <v>0.62</v>
        <stp/>
        <stp>P</stp>
        <stp>0</stp>
        <stp>STK</stp>
        <stp>N117730</stp>
        <stp>등락률</stp>
        <stp/>
        <stp/>
        <tr r="L414" s="1"/>
      </tp>
      <tp>
        <v>-1.86</v>
        <stp/>
        <stp>P</stp>
        <stp>0</stp>
        <stp>STK</stp>
        <stp>N017670</stp>
        <stp>등락률</stp>
        <stp/>
        <stp/>
        <tr r="L66" s="1"/>
      </tp>
      <tp>
        <v>-1.19</v>
        <stp/>
        <stp>P</stp>
        <stp>0</stp>
        <stp>STK</stp>
        <stp>N217590</stp>
        <stp>등락률</stp>
        <stp/>
        <stp/>
        <tr r="L545" s="1"/>
      </tp>
      <tp>
        <v>-1.44</v>
        <stp/>
        <stp>P</stp>
        <stp>0</stp>
        <stp>STK</stp>
        <stp>N317450</stp>
        <stp>등락률</stp>
        <stp/>
        <stp/>
        <tr r="L342" s="1"/>
      </tp>
      <tp>
        <v>-1.69</v>
        <stp/>
        <stp>P</stp>
        <stp>0</stp>
        <stp>STK</stp>
        <stp>N017940</stp>
        <stp>등락률</stp>
        <stp/>
        <stp/>
        <tr r="L447" s="1"/>
      </tp>
      <tp>
        <v>-2.81</v>
        <stp/>
        <stp>P</stp>
        <stp>0</stp>
        <stp>STK</stp>
        <stp>N017960</stp>
        <stp>등락률</stp>
        <stp/>
        <stp/>
        <tr r="L221" s="1"/>
      </tp>
      <tp>
        <v>-1.07</v>
        <stp/>
        <stp>P</stp>
        <stp>0</stp>
        <stp>STK</stp>
        <stp>N017810</stp>
        <stp>등락률</stp>
        <stp/>
        <stp/>
        <tr r="L482" s="1"/>
      </tp>
      <tp>
        <v>2.12</v>
        <stp/>
        <stp>P</stp>
        <stp>0</stp>
        <stp>STK</stp>
        <stp>N017800</stp>
        <stp>등락률</stp>
        <stp/>
        <stp/>
        <tr r="L140" s="1"/>
      </tp>
      <tp>
        <v>-1.94</v>
        <stp/>
        <stp>P</stp>
        <stp>0</stp>
        <stp>STK</stp>
        <stp>N017860</stp>
        <stp>등락률</stp>
        <stp/>
        <stp/>
        <tr r="L597" s="1"/>
      </tp>
      <tp>
        <v>-0.84</v>
        <stp/>
        <stp>P</stp>
        <stp>0</stp>
        <stp>STK</stp>
        <stp>N214320</stp>
        <stp>등락률</stp>
        <stp/>
        <stp/>
        <tr r="L378" s="1"/>
      </tp>
      <tp>
        <v>0</v>
        <stp/>
        <stp>P</stp>
        <stp>0</stp>
        <stp>STK</stp>
        <stp>N214370</stp>
        <stp>등락률</stp>
        <stp/>
        <stp/>
        <tr r="L129" s="1"/>
      </tp>
      <tp>
        <v>-1.66</v>
        <stp/>
        <stp>P</stp>
        <stp>0</stp>
        <stp>STK</stp>
        <stp>N114190</stp>
        <stp>등락률</stp>
        <stp/>
        <stp/>
        <tr r="L566" s="1"/>
      </tp>
      <tp>
        <v>0.94</v>
        <stp/>
        <stp>P</stp>
        <stp>0</stp>
        <stp>STK</stp>
        <stp>N214150</stp>
        <stp>등락률</stp>
        <stp/>
        <stp/>
        <tr r="L132" s="1"/>
      </tp>
      <tp>
        <v>-0.31</v>
        <stp/>
        <stp>P</stp>
        <stp>0</stp>
        <stp>STK</stp>
        <stp>N114090</stp>
        <stp>등락률</stp>
        <stp/>
        <stp/>
        <tr r="L354" s="1"/>
      </tp>
      <tp>
        <v>0.53</v>
        <stp/>
        <stp>P</stp>
        <stp>0</stp>
        <stp>STK</stp>
        <stp>N014680</stp>
        <stp>등락률</stp>
        <stp/>
        <stp/>
        <tr r="L155" s="1"/>
      </tp>
      <tp>
        <v>-3.98</v>
        <stp/>
        <stp>P</stp>
        <stp>0</stp>
        <stp>STK</stp>
        <stp>N014620</stp>
        <stp>등락률</stp>
        <stp/>
        <stp/>
        <tr r="L364" s="1"/>
      </tp>
      <tp>
        <v>-2.69</v>
        <stp/>
        <stp>P</stp>
        <stp>0</stp>
        <stp>STK</stp>
        <stp>N214430</stp>
        <stp>등락률</stp>
        <stp/>
        <stp/>
        <tr r="L417" s="1"/>
      </tp>
      <tp>
        <v>-2.3199999999999998</v>
        <stp/>
        <stp>P</stp>
        <stp>0</stp>
        <stp>STK</stp>
        <stp>N214450</stp>
        <stp>등락률</stp>
        <stp/>
        <stp/>
        <tr r="L120" s="1"/>
      </tp>
      <tp>
        <v>-3.49</v>
        <stp/>
        <stp>P</stp>
        <stp>0</stp>
        <stp>STK</stp>
        <stp>N314930</stp>
        <stp>등락률</stp>
        <stp/>
        <stp/>
        <tr r="L576" s="1"/>
      </tp>
      <tp>
        <v>-2.0299999999999998</v>
        <stp/>
        <stp>P</stp>
        <stp>0</stp>
        <stp>STK</stp>
        <stp>N014940</stp>
        <stp>등락률</stp>
        <stp/>
        <stp/>
        <tr r="L553" s="1"/>
      </tp>
      <tp>
        <v>1.06</v>
        <stp/>
        <stp>P</stp>
        <stp>0</stp>
        <stp>STK</stp>
        <stp>N114810</stp>
        <stp>등락률</stp>
        <stp/>
        <stp/>
        <tr r="L606" s="1"/>
      </tp>
      <tp>
        <v>-3</v>
        <stp/>
        <stp>P</stp>
        <stp>0</stp>
        <stp>STK</stp>
        <stp>N014830</stp>
        <stp>등락률</stp>
        <stp/>
        <stp/>
        <tr r="L487" s="1"/>
      </tp>
      <tp>
        <v>2.33</v>
        <stp/>
        <stp>P</stp>
        <stp>0</stp>
        <stp>STK</stp>
        <stp>N014820</stp>
        <stp>등락률</stp>
        <stp/>
        <stp/>
        <tr r="L384" s="1"/>
      </tp>
      <tp>
        <v>-1.6</v>
        <stp/>
        <stp>P</stp>
        <stp>0</stp>
        <stp>STK</stp>
        <stp>N114840</stp>
        <stp>등락률</stp>
        <stp/>
        <stp/>
        <tr r="L664" s="1"/>
      </tp>
      <tp>
        <v>-1.28</v>
        <stp/>
        <stp>P</stp>
        <stp>0</stp>
        <stp>STK</stp>
        <stp>N015360</stp>
        <stp>등락률</stp>
        <stp/>
        <stp/>
        <tr r="L552" s="1"/>
      </tp>
      <tp>
        <v>-3.97</v>
        <stp/>
        <stp>P</stp>
        <stp>0</stp>
        <stp>STK</stp>
        <stp>N215200</stp>
        <stp>등락률</stp>
        <stp/>
        <stp/>
        <tr r="L538" s="1"/>
      </tp>
      <tp>
        <v>-2.14</v>
        <stp/>
        <stp>P</stp>
        <stp>0</stp>
        <stp>STK</stp>
        <stp>N215000</stp>
        <stp>등락률</stp>
        <stp/>
        <stp/>
        <tr r="L595" s="1"/>
      </tp>
      <tp>
        <v>-1.63</v>
        <stp/>
        <stp>P</stp>
        <stp>0</stp>
        <stp>STK</stp>
        <stp>N015750</stp>
        <stp>등락률</stp>
        <stp/>
        <stp/>
        <tr r="L407" s="1"/>
      </tp>
      <tp>
        <v>-0.17</v>
        <stp/>
        <stp>P</stp>
        <stp>0</stp>
        <stp>STK</stp>
        <stp>N015760</stp>
        <stp>등락률</stp>
        <stp/>
        <stp/>
        <tr r="L24" s="1"/>
      </tp>
      <tp>
        <v>1</v>
        <stp/>
        <stp>P</stp>
        <stp>0</stp>
        <stp>STK</stp>
        <stp>N012330</stp>
        <stp>등락률</stp>
        <stp/>
        <stp/>
        <tr r="L22" s="1"/>
      </tp>
      <tp>
        <v>-4.59</v>
        <stp/>
        <stp>P</stp>
        <stp>0</stp>
        <stp>STK</stp>
        <stp>N112040</stp>
        <stp>등락률</stp>
        <stp/>
        <stp/>
        <tr r="L337" s="1"/>
      </tp>
      <tp>
        <v>-5.65</v>
        <stp/>
        <stp>P</stp>
        <stp>0</stp>
        <stp>STK</stp>
        <stp>N0120G0</stp>
        <stp>등락률</stp>
        <stp/>
        <stp/>
        <tr r="L436" s="1"/>
      </tp>
      <tp>
        <v>3.14</v>
        <stp/>
        <stp>P</stp>
        <stp>0</stp>
        <stp>STK</stp>
        <stp>N012750</stp>
        <stp>등락률</stp>
        <stp/>
        <stp/>
        <tr r="L156" s="1"/>
      </tp>
      <tp>
        <v>-1.48</v>
        <stp/>
        <stp>P</stp>
        <stp>0</stp>
        <stp>STK</stp>
        <stp>N112610</stp>
        <stp>등락률</stp>
        <stp/>
        <stp/>
        <tr r="L240" s="1"/>
      </tp>
      <tp>
        <v>-0.16</v>
        <stp/>
        <stp>P</stp>
        <stp>0</stp>
        <stp>STK</stp>
        <stp>N012630</stp>
        <stp>등락률</stp>
        <stp/>
        <stp/>
        <tr r="L312" s="1"/>
      </tp>
      <tp>
        <v>-0.17</v>
        <stp/>
        <stp>P</stp>
        <stp>0</stp>
        <stp>STK</stp>
        <stp>N0126Z0</stp>
        <stp>등락률</stp>
        <stp/>
        <stp/>
        <tr r="L60" s="1"/>
      </tp>
      <tp>
        <v>-3.29</v>
        <stp/>
        <stp>P</stp>
        <stp>0</stp>
        <stp>STK</stp>
        <stp>N012510</stp>
        <stp>등락률</stp>
        <stp/>
        <stp/>
        <tr r="L158" s="1"/>
      </tp>
      <tp>
        <v>2.69</v>
        <stp/>
        <stp>P</stp>
        <stp>0</stp>
        <stp>STK</stp>
        <stp>N012450</stp>
        <stp>등락률</stp>
        <stp/>
        <stp/>
        <tr r="L15" s="1"/>
      </tp>
      <tp>
        <v>-3.12</v>
        <stp/>
        <stp>P</stp>
        <stp>0</stp>
        <stp>STK</stp>
        <stp>N013030</stp>
        <stp>등락률</stp>
        <stp/>
        <stp/>
        <tr r="L558" s="1"/>
      </tp>
      <tp>
        <v>-2.69</v>
        <stp/>
        <stp>P</stp>
        <stp>0</stp>
        <stp>STK</stp>
        <stp>N213420</stp>
        <stp>등락률</stp>
        <stp/>
        <stp/>
        <tr r="L338" s="1"/>
      </tp>
      <tp>
        <v>-3.26</v>
        <stp/>
        <stp>P</stp>
        <stp>0</stp>
        <stp>STK</stp>
        <stp>N013890</stp>
        <stp>등락률</stp>
        <stp/>
        <stp/>
        <tr r="L656" s="1"/>
      </tp>
      <tp>
        <v>-2.46</v>
        <stp/>
        <stp>P</stp>
        <stp>0</stp>
        <stp>STK</stp>
        <stp>N310210</stp>
        <stp>등락률</stp>
        <stp/>
        <stp/>
        <tr r="L148" s="1"/>
      </tp>
      <tp>
        <v>-10.3</v>
        <stp/>
        <stp>P</stp>
        <stp>0</stp>
        <stp>STK</stp>
        <stp>N010130</stp>
        <stp>등락률</stp>
        <stp/>
        <stp/>
        <tr r="L28" s="1"/>
      </tp>
      <tp>
        <v>-3.36</v>
        <stp/>
        <stp>P</stp>
        <stp>0</stp>
        <stp>STK</stp>
        <stp>N010120</stp>
        <stp>등락률</stp>
        <stp/>
        <stp/>
        <tr r="L58" s="1"/>
      </tp>
      <tp>
        <v>-3.74</v>
        <stp/>
        <stp>P</stp>
        <stp>0</stp>
        <stp>STK</stp>
        <stp>N010140</stp>
        <stp>등락률</stp>
        <stp/>
        <stp/>
        <tr r="L33" s="1"/>
      </tp>
      <tp>
        <v>-1.91</v>
        <stp/>
        <stp>P</stp>
        <stp>0</stp>
        <stp>STK</stp>
        <stp>N010060</stp>
        <stp>등락률</stp>
        <stp/>
        <stp/>
        <tr r="L202" s="1"/>
      </tp>
      <tp>
        <v>1.06</v>
        <stp/>
        <stp>P</stp>
        <stp>0</stp>
        <stp>STK</stp>
        <stp>N010780</stp>
        <stp>등락률</stp>
        <stp/>
        <stp/>
        <tr r="L398" s="1"/>
      </tp>
      <tp>
        <v>-2.2599999999999998</v>
        <stp/>
        <stp>P</stp>
        <stp>0</stp>
        <stp>STK</stp>
        <stp>N010690</stp>
        <stp>등락률</stp>
        <stp/>
        <stp/>
        <tr r="L563" s="1"/>
      </tp>
      <tp>
        <v>2.0499999999999998</v>
        <stp/>
        <stp>P</stp>
        <stp>0</stp>
        <stp>STK</stp>
        <stp>N110990</stp>
        <stp>등락률</stp>
        <stp/>
        <stp/>
        <tr r="L586" s="1"/>
      </tp>
      <tp>
        <v>-3.21</v>
        <stp/>
        <stp>P</stp>
        <stp>0</stp>
        <stp>STK</stp>
        <stp>N010950</stp>
        <stp>등락률</stp>
        <stp/>
        <stp/>
        <tr r="L72" s="1"/>
      </tp>
      <tp>
        <v>-0.82</v>
        <stp/>
        <stp>P</stp>
        <stp>0</stp>
        <stp>STK</stp>
        <stp>N011210</stp>
        <stp>등락률</stp>
        <stp/>
        <stp/>
        <tr r="L167" s="1"/>
      </tp>
      <tp>
        <v>-0.95</v>
        <stp/>
        <stp>P</stp>
        <stp>0</stp>
        <stp>STK</stp>
        <stp>N011200</stp>
        <stp>등락률</stp>
        <stp/>
        <stp/>
        <tr r="L46" s="1"/>
      </tp>
      <tp>
        <v>-3.24</v>
        <stp/>
        <stp>P</stp>
        <stp>0</stp>
        <stp>STK</stp>
        <stp>N011170</stp>
        <stp>등락률</stp>
        <stp/>
        <stp/>
        <tr r="L152" s="1"/>
      </tp>
      <tp>
        <v>-1.84</v>
        <stp/>
        <stp>P</stp>
        <stp>0</stp>
        <stp>STK</stp>
        <stp>N011070</stp>
        <stp>등락률</stp>
        <stp/>
        <stp/>
        <tr r="L97" s="1"/>
      </tp>
      <tp>
        <v>-5.68</v>
        <stp/>
        <stp>P</stp>
        <stp>0</stp>
        <stp>STK</stp>
        <stp>N211050</stp>
        <stp>등락률</stp>
        <stp/>
        <stp/>
        <tr r="L424" s="1"/>
      </tp>
      <tp>
        <v>2.48</v>
        <stp/>
        <stp>P</stp>
        <stp>0</stp>
        <stp>STK</stp>
        <stp>N011790</stp>
        <stp>등락률</stp>
        <stp/>
        <stp/>
        <tr r="L126" s="1"/>
      </tp>
      <tp>
        <v>-0.42</v>
        <stp/>
        <stp>P</stp>
        <stp>0</stp>
        <stp>STK</stp>
        <stp>N011780</stp>
        <stp>등락률</stp>
        <stp/>
        <stp/>
        <tr r="L136" s="1"/>
      </tp>
      <tp>
        <v>-1.1000000000000001</v>
        <stp/>
        <stp>P</stp>
        <stp>0</stp>
        <stp>STK</stp>
        <stp>N011760</stp>
        <stp>등락률</stp>
        <stp/>
        <stp/>
        <tr r="L639" s="1"/>
      </tp>
      <tp>
        <v>-3.96</v>
        <stp/>
        <stp>P</stp>
        <stp>0</stp>
        <stp>STK</stp>
        <stp>N111770</stp>
        <stp>등락률</stp>
        <stp/>
        <stp/>
        <tr r="L138" s="1"/>
      </tp>
      <tp>
        <v>2.12</v>
        <stp/>
        <stp>P</stp>
        <stp>0</stp>
        <stp>STK</stp>
        <stp>N011500</stp>
        <stp>등락률</stp>
        <stp/>
        <stp/>
        <tr r="L634" s="1"/>
      </tp>
      <tp>
        <v>1.44</v>
        <stp/>
        <stp>P</stp>
        <stp>0</stp>
        <stp>STK</stp>
        <stp>N028300</stp>
        <stp>등락률</stp>
        <stp/>
        <stp/>
        <tr r="L96" s="1"/>
      </tp>
      <tp>
        <v>-0.5</v>
        <stp/>
        <stp>P</stp>
        <stp>0</stp>
        <stp>STK</stp>
        <stp>N028260</stp>
        <stp>등락률</stp>
        <stp/>
        <stp/>
        <tr r="L20" s="1"/>
      </tp>
      <tp>
        <v>-5.22</v>
        <stp/>
        <stp>P</stp>
        <stp>0</stp>
        <stp>STK</stp>
        <stp>N328130</stp>
        <stp>등락률</stp>
        <stp/>
        <stp/>
        <tr r="L298" s="1"/>
      </tp>
      <tp>
        <v>2.11</v>
        <stp/>
        <stp>P</stp>
        <stp>0</stp>
        <stp>STK</stp>
        <stp>N028050</stp>
        <stp>등락률</stp>
        <stp/>
        <stp/>
        <tr r="L113" s="1"/>
      </tp>
      <tp>
        <v>-3.14</v>
        <stp/>
        <stp>P</stp>
        <stp>0</stp>
        <stp>STK</stp>
        <stp>N228760</stp>
        <stp>등락률</stp>
        <stp/>
        <stp/>
        <tr r="L452" s="1"/>
      </tp>
      <tp>
        <v>0.64</v>
        <stp/>
        <stp>P</stp>
        <stp>0</stp>
        <stp>STK</stp>
        <stp>N028670</stp>
        <stp>등락률</stp>
        <stp/>
        <stp/>
        <tr r="L191" s="1"/>
      </tp>
      <tp>
        <v>-1.65</v>
        <stp/>
        <stp>P</stp>
        <stp>0</stp>
        <stp>STK</stp>
        <stp>N128940</stp>
        <stp>등락률</stp>
        <stp/>
        <stp/>
        <tr r="L109" s="1"/>
      </tp>
      <tp>
        <v>-1.22</v>
        <stp/>
        <stp>P</stp>
        <stp>0</stp>
        <stp>STK</stp>
        <stp>N329180</stp>
        <stp>등락률</stp>
        <stp/>
        <stp/>
        <tr r="L16" s="1"/>
      </tp>
      <tp>
        <v>-0.35</v>
        <stp/>
        <stp>P</stp>
        <stp>0</stp>
        <stp>STK</stp>
        <stp>N029780</stp>
        <stp>등락률</stp>
        <stp/>
        <stp/>
        <tr r="L101" s="1"/>
      </tp>
      <tp>
        <v>-1.45</v>
        <stp/>
        <stp>P</stp>
        <stp>0</stp>
        <stp>STK</stp>
        <stp>N229640</stp>
        <stp>등락률</stp>
        <stp/>
        <stp/>
        <tr r="L292" s="1"/>
      </tp>
      <tp>
        <v>16.100000000000001</v>
        <stp/>
        <stp>P</stp>
        <stp>0</stp>
        <stp>STK</stp>
        <stp>N029530</stp>
        <stp>등락률</stp>
        <stp/>
        <stp/>
        <tr r="L502" s="1"/>
      </tp>
      <tp>
        <v>-2.39</v>
        <stp/>
        <stp>P</stp>
        <stp>0</stp>
        <stp>STK</stp>
        <stp>N029460</stp>
        <stp>등락률</stp>
        <stp/>
        <stp/>
        <tr r="L557" s="1"/>
      </tp>
      <tp>
        <v>-0.61</v>
        <stp/>
        <stp>P</stp>
        <stp>0</stp>
        <stp>STK</stp>
        <stp>N226320</stp>
        <stp>등락률</stp>
        <stp/>
        <stp/>
        <tr r="L679" s="1"/>
      </tp>
      <tp>
        <v>3.68</v>
        <stp/>
        <stp>P</stp>
        <stp>0</stp>
        <stp>STK</stp>
        <stp>N126340</stp>
        <stp>등락률</stp>
        <stp/>
        <stp/>
        <tr r="L434" s="1"/>
      </tp>
      <tp>
        <v>-2.12</v>
        <stp/>
        <stp>P</stp>
        <stp>0</stp>
        <stp>STK</stp>
        <stp>N326030</stp>
        <stp>등락률</stp>
        <stp/>
        <stp/>
        <tr r="L81" s="1"/>
      </tp>
      <tp>
        <v>-2.41</v>
        <stp/>
        <stp>P</stp>
        <stp>0</stp>
        <stp>STK</stp>
        <stp>N126720</stp>
        <stp>등락률</stp>
        <stp/>
        <stp/>
        <tr r="L547" s="1"/>
      </tp>
      <tp>
        <v>1.23</v>
        <stp/>
        <stp>P</stp>
        <stp>0</stp>
        <stp>STK</stp>
        <stp>N226950</stp>
        <stp>등락률</stp>
        <stp/>
        <stp/>
        <tr r="L189" s="1"/>
      </tp>
      <tp>
        <v>-1.1499999999999999</v>
        <stp/>
        <stp>P</stp>
        <stp>0</stp>
        <stp>STK</stp>
        <stp>N026960</stp>
        <stp>등락률</stp>
        <stp/>
        <stp/>
        <tr r="L175" s="1"/>
      </tp>
      <tp>
        <v>-1.1100000000000001</v>
        <stp/>
        <stp>P</stp>
        <stp>0</stp>
        <stp>STK</stp>
        <stp>N026890</stp>
        <stp>등락률</stp>
        <stp/>
        <stp/>
        <tr r="L533" s="1"/>
      </tp>
      <tp>
        <v>2.64</v>
        <stp/>
        <stp>P</stp>
        <stp>0</stp>
        <stp>STK</stp>
        <stp>N127120</stp>
        <stp>등락률</stp>
        <stp/>
        <stp/>
        <tr r="L405" s="1"/>
      </tp>
      <tp>
        <v>0</v>
        <stp/>
        <stp>P</stp>
        <stp>0</stp>
        <stp>STK</stp>
        <stp>N024110</stp>
        <stp>등락률</stp>
        <stp/>
        <stp/>
        <tr r="L55" s="1"/>
      </tp>
      <tp>
        <v>-1.29</v>
        <stp/>
        <stp>P</stp>
        <stp>0</stp>
        <stp>STK</stp>
        <stp>N024720</stp>
        <stp>등락률</stp>
        <stp/>
        <stp/>
        <tr r="L605" s="1"/>
      </tp>
      <tp>
        <v>-1.1000000000000001</v>
        <stp/>
        <stp>P</stp>
        <stp>0</stp>
        <stp>STK</stp>
        <stp>N424870</stp>
        <stp>등락률</stp>
        <stp/>
        <stp/>
        <tr r="L356" s="1"/>
      </tp>
      <tp>
        <v>1.31</v>
        <stp/>
        <stp>P</stp>
        <stp>0</stp>
        <stp>STK</stp>
        <stp>N025320</stp>
        <stp>등락률</stp>
        <stp/>
        <stp/>
        <tr r="L476" s="1"/>
      </tp>
      <tp>
        <v>-2.23</v>
        <stp/>
        <stp>P</stp>
        <stp>0</stp>
        <stp>STK</stp>
        <stp>N025770</stp>
        <stp>등락률</stp>
        <stp/>
        <stp/>
        <tr r="L636" s="1"/>
      </tp>
      <tp>
        <v>-2.72</v>
        <stp/>
        <stp>P</stp>
        <stp>0</stp>
        <stp>STK</stp>
        <stp>N225570</stp>
        <stp>등락률</stp>
        <stp/>
        <stp/>
        <tr r="L357" s="1"/>
      </tp>
      <tp>
        <v>-1.34</v>
        <stp/>
        <stp>P</stp>
        <stp>0</stp>
        <stp>STK</stp>
        <stp>N025540</stp>
        <stp>등락률</stp>
        <stp/>
        <stp/>
        <tr r="L355" s="1"/>
      </tp>
      <tp>
        <v>3.54</v>
        <stp/>
        <stp>P</stp>
        <stp>0</stp>
        <stp>STK</stp>
        <stp>N125490</stp>
        <stp>등락률</stp>
        <stp/>
        <stp/>
        <tr r="L377" s="1"/>
      </tp>
      <tp>
        <v>-3.49</v>
        <stp/>
        <stp>P</stp>
        <stp>0</stp>
        <stp>STK</stp>
        <stp>N425420</stp>
        <stp>등락률</stp>
        <stp/>
        <stp/>
        <tr r="L535" s="1"/>
      </tp>
      <tp>
        <v>-3.57</v>
        <stp/>
        <stp>P</stp>
        <stp>0</stp>
        <stp>STK</stp>
        <stp>N025980</stp>
        <stp>등락률</stp>
        <stp/>
        <stp/>
        <tr r="L376" s="1"/>
      </tp>
      <tp>
        <v>-2.14</v>
        <stp/>
        <stp>P</stp>
        <stp>0</stp>
        <stp>STK</stp>
        <stp>N025900</stp>
        <stp>등락률</stp>
        <stp/>
        <stp/>
        <tr r="L530" s="1"/>
      </tp>
      <tp>
        <v>-1.03</v>
        <stp/>
        <stp>P</stp>
        <stp>0</stp>
        <stp>STK</stp>
        <stp>N022100</stp>
        <stp>등락률</stp>
        <stp/>
        <stp/>
        <tr r="L98" s="1"/>
      </tp>
      <tp>
        <v>2.87</v>
        <stp/>
        <stp>P</stp>
        <stp>0</stp>
        <stp>STK</stp>
        <stp>N222080</stp>
        <stp>등락률</stp>
        <stp/>
        <stp/>
        <tr r="L441" s="1"/>
      </tp>
      <tp>
        <v>-1.69</v>
        <stp/>
        <stp>P</stp>
        <stp>0</stp>
        <stp>STK</stp>
        <stp>N322000</stp>
        <stp>등락률</stp>
        <stp/>
        <stp/>
        <tr r="L423" s="1"/>
      </tp>
      <tp>
        <v>3.92</v>
        <stp/>
        <stp>P</stp>
        <stp>0</stp>
        <stp>STK</stp>
        <stp>N122640</stp>
        <stp>등락률</stp>
        <stp/>
        <stp/>
        <tr r="L544" s="1"/>
      </tp>
      <tp>
        <v>2.81</v>
        <stp/>
        <stp>P</stp>
        <stp>0</stp>
        <stp>STK</stp>
        <stp>N222800</stp>
        <stp>등락률</stp>
        <stp/>
        <stp/>
        <tr r="L223" s="1"/>
      </tp>
      <tp>
        <v>-3.21</v>
        <stp/>
        <stp>P</stp>
        <stp>0</stp>
        <stp>STK</stp>
        <stp>N122870</stp>
        <stp>등락률</stp>
        <stp/>
        <stp/>
        <tr r="L273" s="1"/>
      </tp>
      <tp>
        <v>-0.54</v>
        <stp/>
        <stp>P</stp>
        <stp>0</stp>
        <stp>STK</stp>
        <stp>N323280</stp>
        <stp>등락률</stp>
        <stp/>
        <stp/>
        <tr r="L258" s="1"/>
      </tp>
      <tp>
        <v>-4.21</v>
        <stp/>
        <stp>P</stp>
        <stp>0</stp>
        <stp>STK</stp>
        <stp>N023160</stp>
        <stp>등락률</stp>
        <stp/>
        <stp/>
        <tr r="L389" s="1"/>
      </tp>
      <tp>
        <v>-5.08</v>
        <stp/>
        <stp>P</stp>
        <stp>0</stp>
        <stp>STK</stp>
        <stp>N023590</stp>
        <stp>등락률</stp>
        <stp/>
        <stp/>
        <tr r="L225" s="1"/>
      </tp>
      <tp>
        <v>0.6</v>
        <stp/>
        <stp>P</stp>
        <stp>0</stp>
        <stp>STK</stp>
        <stp>N023530</stp>
        <stp>등락률</stp>
        <stp/>
        <stp/>
        <tr r="L203" s="1"/>
      </tp>
      <tp>
        <v>-1.53</v>
        <stp/>
        <stp>P</stp>
        <stp>0</stp>
        <stp>STK</stp>
        <stp>N323410</stp>
        <stp>등락률</stp>
        <stp/>
        <stp/>
        <tr r="L75" s="1"/>
      </tp>
      <tp>
        <v>-6.18</v>
        <stp/>
        <stp>P</stp>
        <stp>0</stp>
        <stp>STK</stp>
        <stp>N120110</stp>
        <stp>등락률</stp>
        <stp/>
        <stp/>
        <tr r="L280" s="1"/>
      </tp>
      <tp>
        <v>3.02</v>
        <stp/>
        <stp>P</stp>
        <stp>0</stp>
        <stp>STK</stp>
        <stp>N220100</stp>
        <stp>등락률</stp>
        <stp/>
        <stp/>
        <tr r="L461" s="1"/>
      </tp>
      <tp>
        <v>0.9</v>
        <stp/>
        <stp>P</stp>
        <stp>0</stp>
        <stp>STK</stp>
        <stp>N020150</stp>
        <stp>등락률</stp>
        <stp/>
        <stp/>
        <tr r="L228" s="1"/>
      </tp>
      <tp>
        <v>0.48</v>
        <stp/>
        <stp>P</stp>
        <stp>0</stp>
        <stp>STK</stp>
        <stp>N020000</stp>
        <stp>등락률</stp>
        <stp/>
        <stp/>
        <tr r="L587" s="1"/>
      </tp>
      <tp>
        <v>-0.37</v>
        <stp/>
        <stp>P</stp>
        <stp>0</stp>
        <stp>STK</stp>
        <stp>N420770</stp>
        <stp>등락률</stp>
        <stp/>
        <stp/>
        <tr r="L387" s="1"/>
      </tp>
      <tp>
        <v>-1.05</v>
        <stp/>
        <stp>P</stp>
        <stp>0</stp>
        <stp>STK</stp>
        <stp>N020560</stp>
        <stp>등락률</stp>
        <stp/>
        <stp/>
        <tr r="L246" s="1"/>
      </tp>
      <tp>
        <v>-2.2799999999999998</v>
        <stp/>
        <stp>P</stp>
        <stp>0</stp>
        <stp>STK</stp>
        <stp>N021240</stp>
        <stp>등락률</stp>
        <stp/>
        <stp/>
        <tr r="L106" s="1"/>
      </tp>
      <tp>
        <v>4.05</v>
        <stp/>
        <stp>P</stp>
        <stp>0</stp>
        <stp>STK</stp>
        <stp>N121600</stp>
        <stp>등락률</stp>
        <stp/>
        <stp/>
        <tr r="L419" s="1"/>
      </tp>
      <tp>
        <v>-3.49</v>
        <stp/>
        <stp>P</stp>
        <stp>0</stp>
        <stp>STK</stp>
        <stp>N338220</stp>
        <stp>등락률</stp>
        <stp/>
        <stp/>
        <tr r="L646" s="1"/>
      </tp>
      <tp>
        <v>3.43</v>
        <stp/>
        <stp>P</stp>
        <stp>0</stp>
        <stp>STK</stp>
        <stp>N138040</stp>
        <stp>등락률</stp>
        <stp/>
        <stp/>
        <tr r="L47" s="1"/>
      </tp>
      <tp>
        <v>-2.94</v>
        <stp/>
        <stp>P</stp>
        <stp>0</stp>
        <stp>STK</stp>
        <stp>N138610</stp>
        <stp>등락률</stp>
        <stp/>
        <stp/>
        <tr r="L548" s="1"/>
      </tp>
      <tp>
        <v>-5.84</v>
        <stp/>
        <stp>P</stp>
        <stp>0</stp>
        <stp>STK</stp>
        <stp>N138490</stp>
        <stp>등락률</stp>
        <stp/>
        <stp/>
        <tr r="L611" s="1"/>
      </tp>
      <tp>
        <v>1.51</v>
        <stp/>
        <stp>P</stp>
        <stp>0</stp>
        <stp>STK</stp>
        <stp>N138930</stp>
        <stp>등락률</stp>
        <stp/>
        <stp/>
        <tr r="L115" s="1"/>
      </tp>
      <tp>
        <v>0.63</v>
        <stp/>
        <stp>P</stp>
        <stp>0</stp>
        <stp>STK</stp>
        <stp>N338840</stp>
        <stp>등락률</stp>
        <stp/>
        <stp/>
        <tr r="L583" s="1"/>
      </tp>
      <tp>
        <v>-2.34</v>
        <stp/>
        <stp>P</stp>
        <stp>0</stp>
        <stp>STK</stp>
        <stp>N039200</stp>
        <stp>등락률</stp>
        <stp/>
        <stp/>
        <tr r="L239" s="1"/>
      </tp>
      <tp>
        <v>-4.5999999999999996</v>
        <stp/>
        <stp>P</stp>
        <stp>0</stp>
        <stp>STK</stp>
        <stp>N439260</stp>
        <stp>등락률</stp>
        <stp/>
        <stp/>
        <tr r="L172" s="1"/>
      </tp>
      <tp>
        <v>-1.3</v>
        <stp/>
        <stp>P</stp>
        <stp>0</stp>
        <stp>STK</stp>
        <stp>N039130</stp>
        <stp>등락률</stp>
        <stp/>
        <stp/>
        <tr r="L388" s="1"/>
      </tp>
      <tp>
        <v>0.84</v>
        <stp/>
        <stp>P</stp>
        <stp>0</stp>
        <stp>STK</stp>
        <stp>N139130</stp>
        <stp>등락률</stp>
        <stp/>
        <stp/>
        <tr r="L196" s="1"/>
      </tp>
      <tp>
        <v>-1.88</v>
        <stp/>
        <stp>P</stp>
        <stp>0</stp>
        <stp>STK</stp>
        <stp>N439090</stp>
        <stp>등락률</stp>
        <stp/>
        <stp/>
        <tr r="L695" s="1"/>
      </tp>
      <tp>
        <v>-2.66</v>
        <stp/>
        <stp>P</stp>
        <stp>0</stp>
        <stp>STK</stp>
        <stp>N039030</stp>
        <stp>등락률</stp>
        <stp/>
        <stp/>
        <tr r="L139" s="1"/>
      </tp>
      <tp>
        <v>-2.48</v>
        <stp/>
        <stp>P</stp>
        <stp>0</stp>
        <stp>STK</stp>
        <stp>N039490</stp>
        <stp>등락률</stp>
        <stp/>
        <stp/>
        <tr r="L85" s="1"/>
      </tp>
      <tp>
        <v>-1.43</v>
        <stp/>
        <stp>P</stp>
        <stp>0</stp>
        <stp>STK</stp>
        <stp>N139480</stp>
        <stp>등락률</stp>
        <stp/>
        <stp/>
        <tr r="L194" s="1"/>
      </tp>
      <tp>
        <v>-4.08</v>
        <stp/>
        <stp>P</stp>
        <stp>0</stp>
        <stp>STK</stp>
        <stp>N039440</stp>
        <stp>등락률</stp>
        <stp/>
        <stp/>
        <tr r="L497" s="1"/>
      </tp>
      <tp>
        <v>-0.25</v>
        <stp/>
        <stp>P</stp>
        <stp>0</stp>
        <stp>STK</stp>
        <stp>N039840</stp>
        <stp>등락률</stp>
        <stp/>
        <stp/>
        <tr r="L696" s="1"/>
      </tp>
      <tp>
        <v>-2.33</v>
        <stp/>
        <stp>P</stp>
        <stp>0</stp>
        <stp>STK</stp>
        <stp>N336370</stp>
        <stp>등락률</stp>
        <stp/>
        <stp/>
        <tr r="L460" s="1"/>
      </tp>
      <tp>
        <v>-2.79</v>
        <stp/>
        <stp>P</stp>
        <stp>0</stp>
        <stp>STK</stp>
        <stp>N036200</stp>
        <stp>등락률</stp>
        <stp/>
        <stp/>
        <tr r="L629" s="1"/>
      </tp>
      <tp>
        <v>-0.8</v>
        <stp/>
        <stp>P</stp>
        <stp>0</stp>
        <stp>STK</stp>
        <stp>N236200</stp>
        <stp>등락률</stp>
        <stp/>
        <stp/>
        <tr r="L667" s="1"/>
      </tp>
      <tp>
        <v>-2.06</v>
        <stp/>
        <stp>P</stp>
        <stp>0</stp>
        <stp>STK</stp>
        <stp>N336260</stp>
        <stp>등락률</stp>
        <stp/>
        <stp/>
        <tr r="L186" s="1"/>
      </tp>
      <tp>
        <v>-4.76</v>
        <stp/>
        <stp>P</stp>
        <stp>0</stp>
        <stp>STK</stp>
        <stp>N036620</stp>
        <stp>등락률</stp>
        <stp/>
        <stp/>
        <tr r="L481" s="1"/>
      </tp>
      <tp>
        <v>-1.47</v>
        <stp/>
        <stp>P</stp>
        <stp>0</stp>
        <stp>STK</stp>
        <stp>N036530</stp>
        <stp>등락률</stp>
        <stp/>
        <stp/>
        <tr r="L328" s="1"/>
      </tp>
      <tp>
        <v>-4.72</v>
        <stp/>
        <stp>P</stp>
        <stp>0</stp>
        <stp>STK</stp>
        <stp>N036540</stp>
        <stp>등락률</stp>
        <stp/>
        <stp/>
        <tr r="L334" s="1"/>
      </tp>
      <tp>
        <v>-4.3099999999999996</v>
        <stp/>
        <stp>P</stp>
        <stp>0</stp>
        <stp>STK</stp>
        <stp>N336570</stp>
        <stp>등락률</stp>
        <stp/>
        <stp/>
        <tr r="L375" s="1"/>
      </tp>
      <tp>
        <v>-3.62</v>
        <stp/>
        <stp>P</stp>
        <stp>0</stp>
        <stp>STK</stp>
        <stp>N036570</stp>
        <stp>등락률</stp>
        <stp/>
        <stp/>
        <tr r="L114" s="1"/>
      </tp>
      <tp>
        <v>-1.25</v>
        <stp/>
        <stp>P</stp>
        <stp>0</stp>
        <stp>STK</stp>
        <stp>N036460</stp>
        <stp>등락률</stp>
        <stp/>
        <stp/>
        <tr r="L137" s="1"/>
      </tp>
      <tp>
        <v>3.26</v>
        <stp/>
        <stp>P</stp>
        <stp>0</stp>
        <stp>STK</stp>
        <stp>N036930</stp>
        <stp>등락률</stp>
        <stp/>
        <stp/>
        <tr r="L251" s="1"/>
      </tp>
      <tp>
        <v>-1.95</v>
        <stp/>
        <stp>P</stp>
        <stp>0</stp>
        <stp>STK</stp>
        <stp>N036890</stp>
        <stp>등락률</stp>
        <stp/>
        <stp/>
        <tr r="L624" s="1"/>
      </tp>
      <tp>
        <v>-3.62</v>
        <stp/>
        <stp>P</stp>
        <stp>0</stp>
        <stp>STK</stp>
        <stp>N036810</stp>
        <stp>등락률</stp>
        <stp/>
        <stp/>
        <tr r="L382" s="1"/>
      </tp>
      <tp>
        <v>-1.64</v>
        <stp/>
        <stp>P</stp>
        <stp>0</stp>
        <stp>STK</stp>
        <stp>N036800</stp>
        <stp>등락률</stp>
        <stp/>
        <stp/>
        <tr r="L691" s="1"/>
      </tp>
      <tp>
        <v>-5.43</v>
        <stp/>
        <stp>P</stp>
        <stp>0</stp>
        <stp>STK</stp>
        <stp>N036830</stp>
        <stp>등락률</stp>
        <stp/>
        <stp/>
        <tr r="L352" s="1"/>
      </tp>
      <tp>
        <v>0.22</v>
        <stp/>
        <stp>P</stp>
        <stp>0</stp>
        <stp>STK</stp>
        <stp>N137310</stp>
        <stp>등락률</stp>
        <stp/>
        <stp/>
        <tr r="L315" s="1"/>
      </tp>
      <tp>
        <v>-0.32</v>
        <stp/>
        <stp>P</stp>
        <stp>0</stp>
        <stp>STK</stp>
        <stp>N037710</stp>
        <stp>등락률</stp>
        <stp/>
        <stp/>
        <tr r="L676" s="1"/>
      </tp>
      <tp>
        <v>-2.2400000000000002</v>
        <stp/>
        <stp>P</stp>
        <stp>0</stp>
        <stp>STK</stp>
        <stp>N437730</stp>
        <stp>등락률</stp>
        <stp/>
        <stp/>
        <tr r="L195" s="1"/>
      </tp>
      <tp>
        <v>-3.01</v>
        <stp/>
        <stp>P</stp>
        <stp>0</stp>
        <stp>STK</stp>
        <stp>N237690</stp>
        <stp>등락률</stp>
        <stp/>
        <stp/>
        <tr r="L185" s="1"/>
      </tp>
      <tp>
        <v>6.43</v>
        <stp/>
        <stp>P</stp>
        <stp>0</stp>
        <stp>STK</stp>
        <stp>N137400</stp>
        <stp>등락률</stp>
        <stp/>
        <stp/>
        <tr r="L325" s="1"/>
      </tp>
      <tp>
        <v>-0.75</v>
        <stp/>
        <stp>P</stp>
        <stp>0</stp>
        <stp>STK</stp>
        <stp>N237880</stp>
        <stp>등락률</stp>
        <stp/>
        <stp/>
        <tr r="L693" s="1"/>
      </tp>
      <tp>
        <v>-1.94</v>
        <stp/>
        <stp>P</stp>
        <stp>0</stp>
        <stp>STK</stp>
        <stp>N034310</stp>
        <stp>등락률</stp>
        <stp/>
        <stp/>
        <tr r="L491" s="1"/>
      </tp>
      <tp>
        <v>-0.51</v>
        <stp/>
        <stp>P</stp>
        <stp>0</stp>
        <stp>STK</stp>
        <stp>N034230</stp>
        <stp>등락률</stp>
        <stp/>
        <stp/>
        <tr r="L245" s="1"/>
      </tp>
      <tp>
        <v>-1.97</v>
        <stp/>
        <stp>P</stp>
        <stp>0</stp>
        <stp>STK</stp>
        <stp>N034220</stp>
        <stp>등락률</stp>
        <stp/>
        <stp/>
        <tr r="L102" s="1"/>
      </tp>
      <tp>
        <v>-0.54</v>
        <stp/>
        <stp>P</stp>
        <stp>0</stp>
        <stp>STK</stp>
        <stp>N034120</stp>
        <stp>등락률</stp>
        <stp/>
        <stp/>
        <tr r="L584" s="1"/>
      </tp>
      <tp>
        <v>-1.55</v>
        <stp/>
        <stp>P</stp>
        <stp>0</stp>
        <stp>STK</stp>
        <stp>N034020</stp>
        <stp>등락률</stp>
        <stp/>
        <stp/>
        <tr r="L17" s="1"/>
      </tp>
      <tp>
        <v>-3.6</v>
        <stp/>
        <stp>P</stp>
        <stp>0</stp>
        <stp>STK</stp>
        <stp>N034730</stp>
        <stp>등락률</stp>
        <stp/>
        <stp/>
        <tr r="L41" s="1"/>
      </tp>
      <tp>
        <v>-0.62</v>
        <stp/>
        <stp>P</stp>
        <stp>0</stp>
        <stp>STK</stp>
        <stp>N034950</stp>
        <stp>등락률</stp>
        <stp/>
        <stp/>
        <tr r="L511" s="1"/>
      </tp>
      <tp>
        <v>-1.0900000000000001</v>
        <stp/>
        <stp>P</stp>
        <stp>0</stp>
        <stp>STK</stp>
        <stp>N035250</stp>
        <stp>등락률</stp>
        <stp/>
        <stp/>
        <tr r="L131" s="1"/>
      </tp>
      <tp>
        <v>-0.55000000000000004</v>
        <stp/>
        <stp>P</stp>
        <stp>0</stp>
        <stp>STK</stp>
        <stp>N035150</stp>
        <stp>등락률</stp>
        <stp/>
        <stp/>
        <tr r="L666" s="1"/>
      </tp>
      <tp>
        <v>-2.2799999999999998</v>
        <stp/>
        <stp>P</stp>
        <stp>0</stp>
        <stp>STK</stp>
        <stp>N035720</stp>
        <stp>등락률</stp>
        <stp/>
        <stp/>
        <tr r="L35" s="1"/>
      </tp>
      <tp>
        <v>-4.8099999999999996</v>
        <stp/>
        <stp>P</stp>
        <stp>0</stp>
        <stp>STK</stp>
        <stp>N035760</stp>
        <stp>등락률</stp>
        <stp/>
        <stp/>
        <tr r="L263" s="1"/>
      </tp>
      <tp>
        <v>-0.17</v>
        <stp/>
        <stp>P</stp>
        <stp>0</stp>
        <stp>STK</stp>
        <stp>N035600</stp>
        <stp>등락률</stp>
        <stp/>
        <stp/>
        <tr r="L655" s="1"/>
      </tp>
      <tp>
        <v>-0.27</v>
        <stp/>
        <stp>P</stp>
        <stp>0</stp>
        <stp>STK</stp>
        <stp>N035420</stp>
        <stp>등락률</stp>
        <stp/>
        <stp/>
        <tr r="L26" s="1"/>
      </tp>
      <tp>
        <v>-3.12</v>
        <stp/>
        <stp>P</stp>
        <stp>0</stp>
        <stp>STK</stp>
        <stp>N035900</stp>
        <stp>등락률</stp>
        <stp/>
        <stp/>
        <tr r="L188" s="1"/>
      </tp>
      <tp>
        <v>-0.4</v>
        <stp/>
        <stp>P</stp>
        <stp>0</stp>
        <stp>STK</stp>
        <stp>N032350</stp>
        <stp>등락률</stp>
        <stp/>
        <stp/>
        <tr r="L226" s="1"/>
      </tp>
      <tp>
        <v>-4.6399999999999997</v>
        <stp/>
        <stp>P</stp>
        <stp>0</stp>
        <stp>STK</stp>
        <stp>N032190</stp>
        <stp>등락률</stp>
        <stp/>
        <stp/>
        <tr r="L390" s="1"/>
      </tp>
      <tp>
        <v>-2.38</v>
        <stp/>
        <stp>P</stp>
        <stp>0</stp>
        <stp>STK</stp>
        <stp>N232140</stp>
        <stp>등락률</stp>
        <stp/>
        <stp/>
        <tr r="L283" s="1"/>
      </tp>
      <tp>
        <v>-0.31</v>
        <stp/>
        <stp>P</stp>
        <stp>0</stp>
        <stp>STK</stp>
        <stp>N032640</stp>
        <stp>등락률</stp>
        <stp/>
        <stp/>
        <tr r="L99" s="1"/>
      </tp>
      <tp>
        <v>-0.95</v>
        <stp/>
        <stp>P</stp>
        <stp>0</stp>
        <stp>STK</stp>
        <stp>N032500</stp>
        <stp>등락률</stp>
        <stp/>
        <stp/>
        <tr r="L416" s="1"/>
      </tp>
      <tp>
        <v>-2.34</v>
        <stp/>
        <stp>P</stp>
        <stp>0</stp>
        <stp>STK</stp>
        <stp>N032830</stp>
        <stp>등락률</stp>
        <stp/>
        <stp/>
        <tr r="L27" s="1"/>
      </tp>
      <tp>
        <v>2.33</v>
        <stp/>
        <stp>P</stp>
        <stp>0</stp>
        <stp>STK</stp>
        <stp>N033240</stp>
        <stp>등락률</stp>
        <stp/>
        <stp/>
        <tr r="L464" s="1"/>
      </tp>
      <tp>
        <v>-0.94</v>
        <stp/>
        <stp>P</stp>
        <stp>0</stp>
        <stp>STK</stp>
        <stp>N033270</stp>
        <stp>등락률</stp>
        <stp/>
        <stp/>
        <tr r="L628" s="1"/>
      </tp>
      <tp>
        <v>-4.5</v>
        <stp/>
        <stp>P</stp>
        <stp>0</stp>
        <stp>STK</stp>
        <stp>N033100</stp>
        <stp>등락률</stp>
        <stp/>
        <stp/>
        <tr r="L406" s="1"/>
      </tp>
      <tp>
        <v>-0.45</v>
        <stp/>
        <stp>P</stp>
        <stp>0</stp>
        <stp>STK</stp>
        <stp>N033780</stp>
        <stp>등락률</stp>
        <stp/>
        <stp/>
        <tr r="L52" s="1"/>
      </tp>
      <tp>
        <v>-3.6</v>
        <stp/>
        <stp>P</stp>
        <stp>0</stp>
        <stp>STK</stp>
        <stp>N033640</stp>
        <stp>등락률</stp>
        <stp/>
        <stp/>
        <tr r="L564" s="1"/>
      </tp>
      <tp>
        <v>-3.17</v>
        <stp/>
        <stp>P</stp>
        <stp>0</stp>
        <stp>STK</stp>
        <stp>N033500</stp>
        <stp>등락률</stp>
        <stp/>
        <stp/>
        <tr r="L347" s="1"/>
      </tp>
      <tp>
        <v>0.06</v>
        <stp/>
        <stp>P</stp>
        <stp>0</stp>
        <stp>STK</stp>
        <stp>N230360</stp>
        <stp>등락률</stp>
        <stp/>
        <stp/>
        <tr r="L485" s="1"/>
      </tp>
      <tp>
        <v>-0.35</v>
        <stp/>
        <stp>P</stp>
        <stp>0</stp>
        <stp>STK</stp>
        <stp>N030200</stp>
        <stp>등락률</stp>
        <stp/>
        <stp/>
        <tr r="L62" s="1"/>
      </tp>
      <tp>
        <v>-2.08</v>
        <stp/>
        <stp>P</stp>
        <stp>0</stp>
        <stp>STK</stp>
        <stp>N030190</stp>
        <stp>등락률</stp>
        <stp/>
        <stp/>
        <tr r="L317" s="1"/>
      </tp>
      <tp>
        <v>-1.82</v>
        <stp/>
        <stp>P</stp>
        <stp>0</stp>
        <stp>STK</stp>
        <stp>N030000</stp>
        <stp>등락률</stp>
        <stp/>
        <stp/>
        <tr r="L187" s="1"/>
      </tp>
      <tp>
        <v>-1.93</v>
        <stp/>
        <stp>P</stp>
        <stp>0</stp>
        <stp>STK</stp>
        <stp>N030610</stp>
        <stp>등락률</stp>
        <stp/>
        <stp/>
        <tr r="L289" s="1"/>
      </tp>
      <tp>
        <v>-2.77</v>
        <stp/>
        <stp>P</stp>
        <stp>0</stp>
        <stp>STK</stp>
        <stp>N130660</stp>
        <stp>등락률</stp>
        <stp/>
        <stp/>
        <tr r="L521" s="1"/>
      </tp>
      <tp>
        <v>-1.06</v>
        <stp/>
        <stp>P</stp>
        <stp>0</stp>
        <stp>STK</stp>
        <stp>N030530</stp>
        <stp>등락률</stp>
        <stp/>
        <stp/>
        <tr r="L149" s="1"/>
      </tp>
      <tp>
        <v>-2.7</v>
        <stp/>
        <stp>P</stp>
        <stp>0</stp>
        <stp>STK</stp>
        <stp>N030520</stp>
        <stp>등락률</stp>
        <stp/>
        <stp/>
        <tr r="L457" s="1"/>
      </tp>
      <tp>
        <v>1.53</v>
        <stp/>
        <stp>P</stp>
        <stp>0</stp>
        <stp>STK</stp>
        <stp>N131290</stp>
        <stp>등락률</stp>
        <stp/>
        <stp/>
        <tr r="L346" s="1"/>
      </tp>
      <tp>
        <v>-0.4</v>
        <stp/>
        <stp>P</stp>
        <stp>0</stp>
        <stp>STK</stp>
        <stp>N031210</stp>
        <stp>등락률</stp>
        <stp/>
        <stp/>
        <tr r="L143" s="1"/>
      </tp>
      <tp>
        <v>-1.72</v>
        <stp/>
        <stp>P</stp>
        <stp>0</stp>
        <stp>STK</stp>
        <stp>N031430</stp>
        <stp>등락률</stp>
        <stp/>
        <stp/>
        <tr r="L550" s="1"/>
      </tp>
      <tp>
        <v>-0.13</v>
        <stp/>
        <stp>P</stp>
        <stp>0</stp>
        <stp>STK</stp>
        <stp>N031980</stp>
        <stp>등락률</stp>
        <stp/>
        <stp/>
        <tr r="L261" s="1"/>
      </tp>
      <tp>
        <v>-2.95</v>
        <stp/>
        <stp>P</stp>
        <stp>0</stp>
        <stp>STK</stp>
        <stp>N131970</stp>
        <stp>등락률</stp>
        <stp/>
        <stp/>
        <tr r="L311" s="1"/>
      </tp>
      <tp>
        <v>-2.19</v>
        <stp/>
        <stp>P</stp>
        <stp>0</stp>
        <stp>STK</stp>
        <stp>N348370</stp>
        <stp>등락률</stp>
        <stp/>
        <stp/>
        <tr r="L266" s="1"/>
      </tp>
      <tp>
        <v>-1.19</v>
        <stp/>
        <stp>P</stp>
        <stp>0</stp>
        <stp>STK</stp>
        <stp>N448280</stp>
        <stp>등락률</stp>
        <stp/>
        <stp/>
        <tr r="L641" s="1"/>
      </tp>
      <tp>
        <v>-4.57</v>
        <stp/>
        <stp>P</stp>
        <stp>0</stp>
        <stp>STK</stp>
        <stp>N348210</stp>
        <stp>등락률</stp>
        <stp/>
        <stp/>
        <tr r="L363" s="1"/>
      </tp>
      <tp>
        <v>-1.39</v>
        <stp/>
        <stp>P</stp>
        <stp>0</stp>
        <stp>STK</stp>
        <stp>N248070</stp>
        <stp>등락률</stp>
        <stp/>
        <stp/>
        <tr r="L380" s="1"/>
      </tp>
      <tp>
        <v>0</v>
        <stp/>
        <stp>P</stp>
        <stp>0</stp>
        <stp>STK</stp>
        <stp>N048410</stp>
        <stp>등락률</stp>
        <stp/>
        <stp/>
        <tr r="L455" s="1"/>
      </tp>
      <tp>
        <v>-3.71</v>
        <stp/>
        <stp>P</stp>
        <stp>0</stp>
        <stp>STK</stp>
        <stp>N448900</stp>
        <stp>등락률</stp>
        <stp/>
        <stp/>
        <tr r="L489" s="1"/>
      </tp>
      <tp>
        <v>-1.1299999999999999</v>
        <stp/>
        <stp>P</stp>
        <stp>0</stp>
        <stp>STK</stp>
        <stp>N049070</stp>
        <stp>등락률</stp>
        <stp/>
        <stp/>
        <tr r="L522" s="1"/>
      </tp>
      <tp>
        <v>-1.71</v>
        <stp/>
        <stp>P</stp>
        <stp>0</stp>
        <stp>STK</stp>
        <stp>N249420</stp>
        <stp>등락률</stp>
        <stp/>
        <stp/>
        <tr r="L288" s="1"/>
      </tp>
      <tp>
        <v>-4.25</v>
        <stp/>
        <stp>P</stp>
        <stp>0</stp>
        <stp>STK</stp>
        <stp>N046890</stp>
        <stp>등락률</stp>
        <stp/>
        <stp/>
        <tr r="L579" s="1"/>
      </tp>
      <tp>
        <v>-0.32</v>
        <stp/>
        <stp>P</stp>
        <stp>0</stp>
        <stp>STK</stp>
        <stp>N047050</stp>
        <stp>등락률</stp>
        <stp/>
        <stp/>
        <tr r="L71" s="1"/>
      </tp>
      <tp>
        <v>-3.22</v>
        <stp/>
        <stp>P</stp>
        <stp>0</stp>
        <stp>STK</stp>
        <stp>N047040</stp>
        <stp>등락률</stp>
        <stp/>
        <stp/>
        <tr r="L211" s="1"/>
      </tp>
      <tp>
        <v>0.43</v>
        <stp/>
        <stp>P</stp>
        <stp>0</stp>
        <stp>STK</stp>
        <stp>N247540</stp>
        <stp>등락률</stp>
        <stp/>
        <stp/>
        <tr r="L57" s="1"/>
      </tp>
      <tp>
        <v>0.66</v>
        <stp/>
        <stp>P</stp>
        <stp>0</stp>
        <stp>STK</stp>
        <stp>N047920</stp>
        <stp>등락률</stp>
        <stp/>
        <stp/>
        <tr r="L451" s="1"/>
      </tp>
      <tp>
        <v>-0.18</v>
        <stp/>
        <stp>P</stp>
        <stp>0</stp>
        <stp>STK</stp>
        <stp>N047810</stp>
        <stp>등락률</stp>
        <stp/>
        <stp/>
        <tr r="L56" s="1"/>
      </tp>
      <tp>
        <v>-1.06</v>
        <stp/>
        <stp>P</stp>
        <stp>0</stp>
        <stp>STK</stp>
        <stp>N347850</stp>
        <stp>등락률</stp>
        <stp/>
        <stp/>
        <tr r="L141" s="1"/>
      </tp>
      <tp>
        <v>-3.54</v>
        <stp/>
        <stp>P</stp>
        <stp>0</stp>
        <stp>STK</stp>
        <stp>N144510</stp>
        <stp>등락률</stp>
        <stp/>
        <stp/>
        <tr r="L578" s="1"/>
      </tp>
      <tp>
        <v>-2.61</v>
        <stp/>
        <stp>P</stp>
        <stp>0</stp>
        <stp>STK</stp>
        <stp>N044490</stp>
        <stp>등락률</stp>
        <stp/>
        <stp/>
        <tr r="L394" s="1"/>
      </tp>
      <tp>
        <v>-1.1200000000000001</v>
        <stp/>
        <stp>P</stp>
        <stp>0</stp>
        <stp>STK</stp>
        <stp>N344820</stp>
        <stp>등락률</stp>
        <stp/>
        <stp/>
        <tr r="L519" s="1"/>
      </tp>
      <tp>
        <v>-1.1100000000000001</v>
        <stp/>
        <stp>P</stp>
        <stp>0</stp>
        <stp>STK</stp>
        <stp>N045100</stp>
        <stp>등락률</stp>
        <stp/>
        <stp/>
        <tr r="L503" s="1"/>
      </tp>
      <tp>
        <v>-1.89</v>
        <stp/>
        <stp>P</stp>
        <stp>0</stp>
        <stp>STK</stp>
        <stp>N445090</stp>
        <stp>등락률</stp>
        <stp/>
        <stp/>
        <tr r="L609" s="1"/>
      </tp>
      <tp>
        <v>0.36</v>
        <stp/>
        <stp>P</stp>
        <stp>0</stp>
        <stp>STK</stp>
        <stp>N145020</stp>
        <stp>등락률</stp>
        <stp/>
        <stp/>
        <tr r="L161" s="1"/>
      </tp>
      <tp>
        <v>-2.7</v>
        <stp/>
        <stp>P</stp>
        <stp>0</stp>
        <stp>STK</stp>
        <stp>N145720</stp>
        <stp>등락률</stp>
        <stp/>
        <stp/>
        <tr r="L470" s="1"/>
      </tp>
      <tp>
        <v>3.82</v>
        <stp/>
        <stp>P</stp>
        <stp>0</stp>
        <stp>STK</stp>
        <stp>N445680</stp>
        <stp>등락률</stp>
        <stp/>
        <stp/>
        <tr r="L207" s="1"/>
      </tp>
      <tp>
        <v>-1.1599999999999999</v>
        <stp/>
        <stp>P</stp>
        <stp>0</stp>
        <stp>STK</stp>
        <stp>N145990</stp>
        <stp>등락률</stp>
        <stp/>
        <stp/>
        <tr r="L495" s="1"/>
      </tp>
      <tp>
        <v>-3.29</v>
        <stp/>
        <stp>P</stp>
        <stp>0</stp>
        <stp>STK</stp>
        <stp>N042000</stp>
        <stp>등락률</stp>
        <stp/>
        <stp/>
        <tr r="L370" s="1"/>
      </tp>
      <tp>
        <v>-5.21</v>
        <stp/>
        <stp>P</stp>
        <stp>0</stp>
        <stp>STK</stp>
        <stp>N042700</stp>
        <stp>등락률</stp>
        <stp/>
        <stp/>
        <tr r="L54" s="1"/>
      </tp>
      <tp>
        <v>1.1599999999999999</v>
        <stp/>
        <stp>P</stp>
        <stp>0</stp>
        <stp>STK</stp>
        <stp>N042660</stp>
        <stp>등락률</stp>
        <stp/>
        <stp/>
        <tr r="L23" s="1"/>
      </tp>
      <tp>
        <v>1.01</v>
        <stp/>
        <stp>P</stp>
        <stp>0</stp>
        <stp>STK</stp>
        <stp>N042520</stp>
        <stp>등락률</stp>
        <stp/>
        <stp/>
        <tr r="L607" s="1"/>
      </tp>
      <tp>
        <v>0.17</v>
        <stp/>
        <stp>P</stp>
        <stp>0</stp>
        <stp>STK</stp>
        <stp>N043370</stp>
        <stp>등락률</stp>
        <stp/>
        <stp/>
        <tr r="L653" s="1"/>
      </tp>
      <tp>
        <v>-2.1800000000000002</v>
        <stp/>
        <stp>P</stp>
        <stp>0</stp>
        <stp>STK</stp>
        <stp>N043150</stp>
        <stp>등락률</stp>
        <stp/>
        <stp/>
        <tr r="L645" s="1"/>
      </tp>
      <tp>
        <v>-0.76</v>
        <stp/>
        <stp>P</stp>
        <stp>0</stp>
        <stp>STK</stp>
        <stp>N443060</stp>
        <stp>등락률</stp>
        <stp/>
        <stp/>
        <tr r="L86" s="1"/>
      </tp>
      <tp>
        <v>-0.18</v>
        <stp/>
        <stp>P</stp>
        <stp>0</stp>
        <stp>STK</stp>
        <stp>N243070</stp>
        <stp>등락률</stp>
        <stp/>
        <stp/>
        <tr r="L614" s="1"/>
      </tp>
      <tp>
        <v>2</v>
        <stp/>
        <stp>P</stp>
        <stp>0</stp>
        <stp>STK</stp>
        <stp>N340570</stp>
        <stp>등락률</stp>
        <stp/>
        <stp/>
        <tr r="L575" s="1"/>
      </tp>
      <tp>
        <v>-6.79</v>
        <stp/>
        <stp>P</stp>
        <stp>0</stp>
        <stp>STK</stp>
        <stp>N140410</stp>
        <stp>등락률</stp>
        <stp/>
        <stp/>
        <tr r="L154" s="1"/>
      </tp>
      <tp>
        <v>0</v>
        <stp/>
        <stp>P</stp>
        <stp>0</stp>
        <stp>STK</stp>
        <stp>N240810</stp>
        <stp>등락률</stp>
        <stp/>
        <stp/>
        <tr r="L133" s="1"/>
      </tp>
      <tp>
        <v>-4.28</v>
        <stp/>
        <stp>P</stp>
        <stp>0</stp>
        <stp>STK</stp>
        <stp>N140860</stp>
        <stp>등락률</stp>
        <stp/>
        <stp/>
        <tr r="L241" s="1"/>
      </tp>
      <tp>
        <v>-1.79</v>
        <stp/>
        <stp>P</stp>
        <stp>0</stp>
        <stp>STK</stp>
        <stp>N441270</stp>
        <stp>등락률</stp>
        <stp/>
        <stp/>
        <tr r="L572" s="1"/>
      </tp>
      <tp>
        <v>-4.9400000000000004</v>
        <stp/>
        <stp>P</stp>
        <stp>0</stp>
        <stp>STK</stp>
        <stp>N041190</stp>
        <stp>등락률</stp>
        <stp/>
        <stp/>
        <tr r="L428" s="1"/>
      </tp>
      <tp>
        <v>-1.67</v>
        <stp/>
        <stp>P</stp>
        <stp>0</stp>
        <stp>STK</stp>
        <stp>N141080</stp>
        <stp>등락률</stp>
        <stp/>
        <stp/>
        <tr r="L108" s="1"/>
      </tp>
      <tp>
        <v>-2.59</v>
        <stp/>
        <stp>P</stp>
        <stp>0</stp>
        <stp>STK</stp>
        <stp>N241710</stp>
        <stp>등락률</stp>
        <stp/>
        <stp/>
        <tr r="L360" s="1"/>
      </tp>
      <tp>
        <v>-2.16</v>
        <stp/>
        <stp>P</stp>
        <stp>0</stp>
        <stp>STK</stp>
        <stp>N241770</stp>
        <stp>등락률</stp>
        <stp/>
        <stp/>
        <tr r="L686" s="1"/>
      </tp>
      <tp>
        <v>-3.28</v>
        <stp/>
        <stp>P</stp>
        <stp>0</stp>
        <stp>STK</stp>
        <stp>N041510</stp>
        <stp>등락률</stp>
        <stp/>
        <stp/>
        <tr r="L180" s="1"/>
      </tp>
      <tp>
        <v>1.02</v>
        <stp/>
        <stp>P</stp>
        <stp>0</stp>
        <stp>STK</stp>
        <stp>N241560</stp>
        <stp>등락률</stp>
        <stp/>
        <stp/>
        <tr r="L103" s="1"/>
      </tp>
      <tp>
        <v>-2.2999999999999998</v>
        <stp/>
        <stp>P</stp>
        <stp>0</stp>
        <stp>STK</stp>
        <stp>N041830</stp>
        <stp>등락률</stp>
        <stp/>
        <stp/>
        <tr r="L546" s="1"/>
      </tp>
      <tp>
        <v>4.29</v>
        <stp/>
        <stp>P</stp>
        <stp>0</stp>
        <stp>STK</stp>
        <stp>N058610</stp>
        <stp>등락률</stp>
        <stp/>
        <stp/>
        <tr r="L181" s="1"/>
      </tp>
      <tp>
        <v>-5.25</v>
        <stp/>
        <stp>P</stp>
        <stp>0</stp>
        <stp>STK</stp>
        <stp>N358570</stp>
        <stp>등락률</stp>
        <stp/>
        <stp/>
        <tr r="L339" s="1"/>
      </tp>
      <tp>
        <v>-5.57</v>
        <stp/>
        <stp>P</stp>
        <stp>0</stp>
        <stp>STK</stp>
        <stp>N058470</stp>
        <stp>등락률</stp>
        <stp/>
        <stp/>
        <tr r="L112" s="1"/>
      </tp>
      <tp>
        <v>-4.2699999999999996</v>
        <stp/>
        <stp>P</stp>
        <stp>0</stp>
        <stp>STK</stp>
        <stp>N058970</stp>
        <stp>등락률</stp>
        <stp/>
        <stp/>
        <tr r="L512" s="1"/>
      </tp>
      <tp>
        <v>0</v>
        <stp/>
        <stp>P</stp>
        <stp>0</stp>
        <stp>STK</stp>
        <stp>N458870</stp>
        <stp>등락률</stp>
        <stp/>
        <stp/>
        <tr r="L224" s="1"/>
      </tp>
      <tp>
        <v>-1.8</v>
        <stp/>
        <stp>P</stp>
        <stp>0</stp>
        <stp>STK</stp>
        <stp>N059090</stp>
        <stp>등락률</stp>
        <stp/>
        <stp/>
        <tr r="L518" s="1"/>
      </tp>
      <tp>
        <v>1.45</v>
        <stp/>
        <stp>P</stp>
        <stp>0</stp>
        <stp>STK</stp>
        <stp>N459510</stp>
        <stp>등락률</stp>
        <stp/>
        <stp/>
        <tr r="L493" s="1"/>
      </tp>
      <tp>
        <v>-2.17</v>
        <stp/>
        <stp>P</stp>
        <stp>0</stp>
        <stp>STK</stp>
        <stp>N259960</stp>
        <stp>등락률</stp>
        <stp/>
        <stp/>
        <tr r="L70" s="1"/>
      </tp>
      <tp>
        <v>-1.78</v>
        <stp/>
        <stp>P</stp>
        <stp>0</stp>
        <stp>STK</stp>
        <stp>N056190</stp>
        <stp>등락률</stp>
        <stp/>
        <stp/>
        <tr r="L330" s="1"/>
      </tp>
      <tp>
        <v>0.26</v>
        <stp/>
        <stp>P</stp>
        <stp>0</stp>
        <stp>STK</stp>
        <stp>N456160</stp>
        <stp>등락률</stp>
        <stp/>
        <stp/>
        <tr r="L281" s="1"/>
      </tp>
      <tp>
        <v>-0.42</v>
        <stp/>
        <stp>P</stp>
        <stp>0</stp>
        <stp>STK</stp>
        <stp>N456040</stp>
        <stp>등락률</stp>
        <stp/>
        <stp/>
        <tr r="L412" s="1"/>
      </tp>
      <tp>
        <v>-2.96</v>
        <stp/>
        <stp>P</stp>
        <stp>0</stp>
        <stp>STK</stp>
        <stp>N356680</stp>
        <stp>등락률</stp>
        <stp/>
        <stp/>
        <tr r="L697" s="1"/>
      </tp>
      <tp>
        <v>3.69</v>
        <stp/>
        <stp>P</stp>
        <stp>0</stp>
        <stp>STK</stp>
        <stp>N356860</stp>
        <stp>등락률</stp>
        <stp/>
        <stp/>
        <tr r="L456" s="1"/>
      </tp>
      <tp>
        <v>5.26</v>
        <stp/>
        <stp>P</stp>
        <stp>0</stp>
        <stp>STK</stp>
        <stp>N457190</stp>
        <stp>등락률</stp>
        <stp/>
        <stp/>
        <tr r="L162" s="1"/>
      </tp>
      <tp>
        <v>-0.86</v>
        <stp/>
        <stp>P</stp>
        <stp>0</stp>
        <stp>STK</stp>
        <stp>N057050</stp>
        <stp>등락률</stp>
        <stp/>
        <stp/>
        <tr r="L413" s="1"/>
      </tp>
      <tp>
        <v>-8.6999999999999993</v>
        <stp/>
        <stp>P</stp>
        <stp>0</stp>
        <stp>STK</stp>
        <stp>N357780</stp>
        <stp>등락률</stp>
        <stp/>
        <stp/>
        <tr r="L170" s="1"/>
      </tp>
      <tp>
        <v>-0.75</v>
        <stp/>
        <stp>P</stp>
        <stp>0</stp>
        <stp>STK</stp>
        <stp>N257720</stp>
        <stp>등락률</stp>
        <stp/>
        <stp/>
        <tr r="L159" s="1"/>
      </tp>
      <tp>
        <v>-4.2699999999999996</v>
        <stp/>
        <stp>P</stp>
        <stp>0</stp>
        <stp>STK</stp>
        <stp>N357550</stp>
        <stp>등락률</stp>
        <stp/>
        <stp/>
        <tr r="L612" s="1"/>
      </tp>
      <tp>
        <v>-1.58</v>
        <stp/>
        <stp>P</stp>
        <stp>0</stp>
        <stp>STK</stp>
        <stp>N054950</stp>
        <stp>등락률</stp>
        <stp/>
        <stp/>
        <tr r="L617" s="1"/>
      </tp>
      <tp>
        <v>0.26</v>
        <stp/>
        <stp>P</stp>
        <stp>0</stp>
        <stp>STK</stp>
        <stp>N454910</stp>
        <stp>등락률</stp>
        <stp/>
        <stp/>
        <tr r="L90" s="1"/>
      </tp>
      <tp>
        <v>0.71</v>
        <stp/>
        <stp>P</stp>
        <stp>0</stp>
        <stp>STK</stp>
        <stp>N055550</stp>
        <stp>등락률</stp>
        <stp/>
        <stp/>
        <tr r="L25" s="1"/>
      </tp>
      <tp>
        <v>-1.34</v>
        <stp/>
        <stp>P</stp>
        <stp>0</stp>
        <stp>STK</stp>
        <stp>N455900</stp>
        <stp>등락률</stp>
        <stp/>
        <stp/>
        <tr r="L418" s="1"/>
      </tp>
      <tp>
        <v>-1.9</v>
        <stp/>
        <stp>P</stp>
        <stp>0</stp>
        <stp>STK</stp>
        <stp>N052690</stp>
        <stp>등락률</stp>
        <stp/>
        <stp/>
        <tr r="L107" s="1"/>
      </tp>
      <tp>
        <v>-3.02</v>
        <stp/>
        <stp>P</stp>
        <stp>0</stp>
        <stp>STK</stp>
        <stp>N352480</stp>
        <stp>등락률</stp>
        <stp/>
        <stp/>
        <tr r="L531" s="1"/>
      </tp>
      <tp>
        <v>-4.3899999999999997</v>
        <stp/>
        <stp>P</stp>
        <stp>0</stp>
        <stp>STK</stp>
        <stp>N052400</stp>
        <stp>등락률</stp>
        <stp/>
        <stp/>
        <tr r="L421" s="1"/>
      </tp>
      <tp>
        <v>-1.8</v>
        <stp/>
        <stp>P</stp>
        <stp>0</stp>
        <stp>STK</stp>
        <stp>N452430</stp>
        <stp>등락률</stp>
        <stp/>
        <stp/>
        <tr r="L661" s="1"/>
      </tp>
      <tp>
        <v>-1.74</v>
        <stp/>
        <stp>P</stp>
        <stp>0</stp>
        <stp>STK</stp>
        <stp>N352820</stp>
        <stp>등락률</stp>
        <stp/>
        <stp/>
        <tr r="L59" s="1"/>
      </tp>
      <tp>
        <v>-0.13</v>
        <stp/>
        <stp>P</stp>
        <stp>0</stp>
        <stp>STK</stp>
        <stp>N453340</stp>
        <stp>등락률</stp>
        <stp/>
        <stp/>
        <tr r="L483" s="1"/>
      </tp>
      <tp>
        <v>-0.79</v>
        <stp/>
        <stp>P</stp>
        <stp>0</stp>
        <stp>STK</stp>
        <stp>N353200</stp>
        <stp>등락률</stp>
        <stp/>
        <stp/>
        <tr r="L179" s="1"/>
      </tp>
      <tp>
        <v>-2.02</v>
        <stp/>
        <stp>P</stp>
        <stp>0</stp>
        <stp>STK</stp>
        <stp>N053030</stp>
        <stp>등락률</stp>
        <stp/>
        <stp/>
        <tr r="L509" s="1"/>
      </tp>
      <tp>
        <v>4.51</v>
        <stp/>
        <stp>P</stp>
        <stp>0</stp>
        <stp>STK</stp>
        <stp>N053610</stp>
        <stp>등락률</stp>
        <stp/>
        <stp/>
        <tr r="L541" s="1"/>
      </tp>
      <tp>
        <v>-0.64</v>
        <stp/>
        <stp>P</stp>
        <stp>0</stp>
        <stp>STK</stp>
        <stp>N253590</stp>
        <stp>등락률</stp>
        <stp/>
        <stp/>
        <tr r="L477" s="1"/>
      </tp>
      <tp>
        <v>-4.16</v>
        <stp/>
        <stp>P</stp>
        <stp>0</stp>
        <stp>STK</stp>
        <stp>N253450</stp>
        <stp>등락률</stp>
        <stp/>
        <stp/>
        <tr r="L264" s="1"/>
      </tp>
      <tp>
        <v>-2.5499999999999998</v>
        <stp/>
        <stp>P</stp>
        <stp>0</stp>
        <stp>STK</stp>
        <stp>N053800</stp>
        <stp>등락률</stp>
        <stp/>
        <stp/>
        <tr r="L404" s="1"/>
      </tp>
      <tp>
        <v>2.37</v>
        <stp/>
        <stp>P</stp>
        <stp>0</stp>
        <stp>STK</stp>
        <stp>N450080</stp>
        <stp>등락률</stp>
        <stp/>
        <stp/>
        <tr r="L124" s="1"/>
      </tp>
      <tp>
        <v>4.05</v>
        <stp/>
        <stp>P</stp>
        <stp>0</stp>
        <stp>STK</stp>
        <stp>N450950</stp>
        <stp>등락률</stp>
        <stp/>
        <stp/>
        <tr r="L501" s="1"/>
      </tp>
      <tp>
        <v>-0.82</v>
        <stp/>
        <stp>P</stp>
        <stp>0</stp>
        <stp>STK</stp>
        <stp>N050890</stp>
        <stp>등락률</stp>
        <stp/>
        <stp/>
        <tr r="L496" s="1"/>
      </tp>
      <tp>
        <v>-1.79</v>
        <stp/>
        <stp>P</stp>
        <stp>0</stp>
        <stp>STK</stp>
        <stp>N051360</stp>
        <stp>등락률</stp>
        <stp/>
        <stp/>
        <tr r="L675" s="1"/>
      </tp>
      <tp>
        <v>-1.89</v>
        <stp/>
        <stp>P</stp>
        <stp>0</stp>
        <stp>STK</stp>
        <stp>N251270</stp>
        <stp>등락률</stp>
        <stp/>
        <stp/>
        <tr r="L123" s="1"/>
      </tp>
      <tp>
        <v>-1.07</v>
        <stp/>
        <stp>P</stp>
        <stp>0</stp>
        <stp>STK</stp>
        <stp>N051600</stp>
        <stp>등락률</stp>
        <stp/>
        <stp/>
        <tr r="L169" s="1"/>
      </tp>
      <tp>
        <v>0.18</v>
        <stp/>
        <stp>P</stp>
        <stp>0</stp>
        <stp>STK</stp>
        <stp>N051500</stp>
        <stp>등락률</stp>
        <stp/>
        <stp/>
        <tr r="L608" s="1"/>
      </tp>
      <tp>
        <v>-0.16</v>
        <stp/>
        <stp>P</stp>
        <stp>0</stp>
        <stp>STK</stp>
        <stp>N051910</stp>
        <stp>등락률</stp>
        <stp/>
        <stp/>
        <tr r="L36" s="1"/>
      </tp>
      <tp>
        <v>-1.33</v>
        <stp/>
        <stp>P</stp>
        <stp>0</stp>
        <stp>STK</stp>
        <stp>N051900</stp>
        <stp>등락률</stp>
        <stp/>
        <stp/>
        <tr r="L127" s="1"/>
      </tp>
      <tp>
        <v>-3.96</v>
        <stp/>
        <stp>P</stp>
        <stp>0</stp>
        <stp>STK</stp>
        <stp>N251970</stp>
        <stp>등락률</stp>
        <stp/>
        <stp/>
        <tr r="L396" s="1"/>
      </tp>
      <tp>
        <v>0.21</v>
        <stp/>
        <stp>P</stp>
        <stp>0</stp>
        <stp>STK</stp>
        <stp>N168360</stp>
        <stp>등락률</stp>
        <stp/>
        <stp/>
        <tr r="L585" s="1"/>
      </tp>
      <tp>
        <v>-1.33</v>
        <stp/>
        <stp>P</stp>
        <stp>0</stp>
        <stp>STK</stp>
        <stp>N268280</stp>
        <stp>등락률</stp>
        <stp/>
        <stp/>
        <tr r="L391" s="1"/>
      </tp>
      <tp>
        <v>-0.95</v>
        <stp/>
        <stp>P</stp>
        <stp>0</stp>
        <stp>STK</stp>
        <stp>N068270</stp>
        <stp>등락률</stp>
        <stp/>
        <stp/>
        <tr r="L21" s="1"/>
      </tp>
      <tp>
        <v>-3.28</v>
        <stp/>
        <stp>P</stp>
        <stp>0</stp>
        <stp>STK</stp>
        <stp>N068760</stp>
        <stp>등락률</stp>
        <stp/>
        <stp/>
        <tr r="L171" s="1"/>
      </tp>
      <tp>
        <v>-0.76</v>
        <stp/>
        <stp>P</stp>
        <stp>0</stp>
        <stp>STK</stp>
        <stp>N468530</stp>
        <stp>등락률</stp>
        <stp/>
        <stp/>
        <tr r="L340" s="1"/>
      </tp>
      <tp>
        <v>-0.45</v>
        <stp/>
        <stp>P</stp>
        <stp>0</stp>
        <stp>STK</stp>
        <stp>N069260</stp>
        <stp>등락률</stp>
        <stp/>
        <stp/>
        <tr r="L372" s="1"/>
      </tp>
      <tp>
        <v>-8.7200000000000006</v>
        <stp/>
        <stp>P</stp>
        <stp>0</stp>
        <stp>STK</stp>
        <stp>N069080</stp>
        <stp>등락률</stp>
        <stp/>
        <stp/>
        <tr r="L526" s="1"/>
      </tp>
      <tp>
        <v>-2.4300000000000002</v>
        <stp/>
        <stp>P</stp>
        <stp>0</stp>
        <stp>STK</stp>
        <stp>N069620</stp>
        <stp>등락률</stp>
        <stp/>
        <stp/>
        <tr r="L220" s="1"/>
      </tp>
      <tp>
        <v>-3.01</v>
        <stp/>
        <stp>P</stp>
        <stp>0</stp>
        <stp>STK</stp>
        <stp>N469610</stp>
        <stp>등락률</stp>
        <stp/>
        <stp/>
        <tr r="L699" s="1"/>
      </tp>
      <tp>
        <v>1.07</v>
        <stp/>
        <stp>P</stp>
        <stp>0</stp>
        <stp>STK</stp>
        <stp>N069960</stp>
        <stp>등락률</stp>
        <stp/>
        <stp/>
        <tr r="L206" s="1"/>
      </tp>
      <tp>
        <v>2.97</v>
        <stp/>
        <stp>P</stp>
        <stp>0</stp>
        <stp>STK</stp>
        <stp>N466100</stp>
        <stp>등락률</stp>
        <stp/>
        <stp/>
        <tr r="L219" s="1"/>
      </tp>
      <tp>
        <v>-4.4800000000000004</v>
        <stp/>
        <stp>P</stp>
        <stp>0</stp>
        <stp>STK</stp>
        <stp>N166090</stp>
        <stp>등락률</stp>
        <stp/>
        <stp/>
        <tr r="L303" s="1"/>
      </tp>
      <tp>
        <v>0</v>
        <stp/>
        <stp>P</stp>
        <stp>0</stp>
        <stp>STK</stp>
        <stp>N066570</stp>
        <stp>등락률</stp>
        <stp/>
        <stp/>
        <tr r="L48" s="1"/>
      </tp>
      <tp>
        <v>3.88</v>
        <stp/>
        <stp>P</stp>
        <stp>0</stp>
        <stp>STK</stp>
        <stp>N066970</stp>
        <stp>등락률</stp>
        <stp/>
        <stp/>
        <tr r="L118" s="1"/>
      </tp>
      <tp>
        <v>0.4</v>
        <stp/>
        <stp>P</stp>
        <stp>0</stp>
        <stp>STK</stp>
        <stp>N067310</stp>
        <stp>등락률</stp>
        <stp/>
        <stp/>
        <tr r="L233" s="1"/>
      </tp>
      <tp>
        <v>-0.28000000000000003</v>
        <stp/>
        <stp>P</stp>
        <stp>0</stp>
        <stp>STK</stp>
        <stp>N267270</stp>
        <stp>등락률</stp>
        <stp/>
        <stp/>
        <tr r="L216" s="1"/>
      </tp>
      <tp>
        <v>-3.04</v>
        <stp/>
        <stp>P</stp>
        <stp>0</stp>
        <stp>STK</stp>
        <stp>N267260</stp>
        <stp>등락률</stp>
        <stp/>
        <stp/>
        <tr r="L29" s="1"/>
      </tp>
      <tp>
        <v>-1.71</v>
        <stp/>
        <stp>P</stp>
        <stp>0</stp>
        <stp>STK</stp>
        <stp>N267250</stp>
        <stp>등락률</stp>
        <stp/>
        <stp/>
        <tr r="L44" s="1"/>
      </tp>
      <tp>
        <v>-3.11</v>
        <stp/>
        <stp>P</stp>
        <stp>0</stp>
        <stp>STK</stp>
        <stp>N067160</stp>
        <stp>등락률</stp>
        <stp/>
        <stp/>
        <tr r="L373" s="1"/>
      </tp>
      <tp>
        <v>-2.5099999999999998</v>
        <stp/>
        <stp>P</stp>
        <stp>0</stp>
        <stp>STK</stp>
        <stp>N067080</stp>
        <stp>등락률</stp>
        <stp/>
        <stp/>
        <tr r="L623" s="1"/>
      </tp>
      <tp>
        <v>0</v>
        <stp/>
        <stp>P</stp>
        <stp>0</stp>
        <stp>STK</stp>
        <stp>N267980</stp>
        <stp>등락률</stp>
        <stp/>
        <stp/>
        <tr r="L658" s="1"/>
      </tp>
      <tp>
        <v>0.22</v>
        <stp/>
        <stp>P</stp>
        <stp>0</stp>
        <stp>STK</stp>
        <stp>N064350</stp>
        <stp>등락률</stp>
        <stp/>
        <stp/>
        <tr r="L37" s="1"/>
      </tp>
      <tp>
        <v>-6.72</v>
        <stp/>
        <stp>P</stp>
        <stp>0</stp>
        <stp>STK</stp>
        <stp>N064760</stp>
        <stp>등락률</stp>
        <stp/>
        <stp/>
        <tr r="L218" s="1"/>
      </tp>
      <tp>
        <v>-1.4</v>
        <stp/>
        <stp>P</stp>
        <stp>0</stp>
        <stp>STK</stp>
        <stp>N064550</stp>
        <stp>등락률</stp>
        <stp/>
        <stp/>
        <tr r="L616" s="1"/>
      </tp>
      <tp>
        <v>-0.72</v>
        <stp/>
        <stp>P</stp>
        <stp>0</stp>
        <stp>STK</stp>
        <stp>N064400</stp>
        <stp>등락률</stp>
        <stp/>
        <stp/>
        <tr r="L94" s="1"/>
      </tp>
      <tp>
        <v>-0.71</v>
        <stp/>
        <stp>P</stp>
        <stp>0</stp>
        <stp>STK</stp>
        <stp>N064960</stp>
        <stp>등락률</stp>
        <stp/>
        <stp/>
        <tr r="L302" s="1"/>
      </tp>
      <tp>
        <v>-3.73</v>
        <stp/>
        <stp>P</stp>
        <stp>0</stp>
        <stp>STK</stp>
        <stp>N064820</stp>
        <stp>등락률</stp>
        <stp/>
        <stp/>
        <tr r="L551" s="1"/>
      </tp>
      <tp>
        <v>1.25</v>
        <stp/>
        <stp>P</stp>
        <stp>0</stp>
        <stp>STK</stp>
        <stp>N065350</stp>
        <stp>등락률</stp>
        <stp/>
        <stp/>
        <tr r="L242" s="1"/>
      </tp>
      <tp>
        <v>-3.53</v>
        <stp/>
        <stp>P</stp>
        <stp>0</stp>
        <stp>STK</stp>
        <stp>N365340</stp>
        <stp>등락률</stp>
        <stp/>
        <stp/>
        <tr r="L422" s="1"/>
      </tp>
      <tp>
        <v>0.48</v>
        <stp/>
        <stp>P</stp>
        <stp>0</stp>
        <stp>STK</stp>
        <stp>N065680</stp>
        <stp>등락률</stp>
        <stp/>
        <stp/>
        <tr r="L638" s="1"/>
      </tp>
      <tp>
        <v>-3.62</v>
        <stp/>
        <stp>P</stp>
        <stp>0</stp>
        <stp>STK</stp>
        <stp>N065660</stp>
        <stp>등락률</stp>
        <stp/>
        <stp/>
        <tr r="L556" s="1"/>
      </tp>
      <tp>
        <v>-1.63</v>
        <stp/>
        <stp>P</stp>
        <stp>0</stp>
        <stp>STK</stp>
        <stp>N265520</stp>
        <stp>등락률</stp>
        <stp/>
        <stp/>
        <tr r="L642" s="1"/>
      </tp>
      <tp>
        <v>-2.98</v>
        <stp/>
        <stp>P</stp>
        <stp>0</stp>
        <stp>STK</stp>
        <stp>N062040</stp>
        <stp>등락률</stp>
        <stp/>
        <stp/>
        <tr r="L122" s="1"/>
      </tp>
      <tp>
        <v>-3.74</v>
        <stp/>
        <stp>P</stp>
        <stp>0</stp>
        <stp>STK</stp>
        <stp>N462870</stp>
        <stp>등락률</stp>
        <stp/>
        <stp/>
        <tr r="L217" s="1"/>
      </tp>
      <tp>
        <v>-1.4</v>
        <stp/>
        <stp>P</stp>
        <stp>0</stp>
        <stp>STK</stp>
        <stp>N263750</stp>
        <stp>등락률</stp>
        <stp/>
        <stp/>
        <tr r="L165" s="1"/>
      </tp>
      <tp>
        <v>-2.48</v>
        <stp/>
        <stp>P</stp>
        <stp>0</stp>
        <stp>STK</stp>
        <stp>N060370</stp>
        <stp>등락률</stp>
        <stp/>
        <stp/>
        <tr r="L256" s="1"/>
      </tp>
      <tp>
        <v>8.67</v>
        <stp/>
        <stp>P</stp>
        <stp>0</stp>
        <stp>STK</stp>
        <stp>N060280</stp>
        <stp>등락률</stp>
        <stp/>
        <stp/>
        <tr r="L349" s="1"/>
      </tp>
      <tp>
        <v>1.75</v>
        <stp/>
        <stp>P</stp>
        <stp>0</stp>
        <stp>STK</stp>
        <stp>N060250</stp>
        <stp>등락률</stp>
        <stp/>
        <stp/>
        <tr r="L440" s="1"/>
      </tp>
      <tp>
        <v>-1.54</v>
        <stp/>
        <stp>P</stp>
        <stp>0</stp>
        <stp>STK</stp>
        <stp>N160190</stp>
        <stp>등락률</stp>
        <stp/>
        <stp/>
        <tr r="L193" s="1"/>
      </tp>
      <tp>
        <v>-2.25</v>
        <stp/>
        <stp>P</stp>
        <stp>0</stp>
        <stp>STK</stp>
        <stp>N060720</stp>
        <stp>등락률</stp>
        <stp/>
        <stp/>
        <tr r="L573" s="1"/>
      </tp>
      <tp>
        <v>-0.77</v>
        <stp/>
        <stp>P</stp>
        <stp>0</stp>
        <stp>STK</stp>
        <stp>N060980</stp>
        <stp>등락률</stp>
        <stp/>
        <stp/>
        <tr r="L508" s="1"/>
      </tp>
      <tp>
        <v>-1.4</v>
        <stp/>
        <stp>P</stp>
        <stp>0</stp>
        <stp>STK</stp>
        <stp>N460930</stp>
        <stp>등락률</stp>
        <stp/>
        <stp/>
        <tr r="L399" s="1"/>
      </tp>
      <tp>
        <v>-3.52</v>
        <stp/>
        <stp>P</stp>
        <stp>0</stp>
        <stp>STK</stp>
        <stp>N460860</stp>
        <stp>등락률</stp>
        <stp/>
        <stp/>
        <tr r="L536" s="1"/>
      </tp>
      <tp>
        <v>1.42</v>
        <stp/>
        <stp>P</stp>
        <stp>0</stp>
        <stp>STK</stp>
        <stp>N161390</stp>
        <stp>등락률</stp>
        <stp/>
        <stp/>
        <tr r="L84" s="1"/>
      </tp>
      <tp>
        <v>-2.75</v>
        <stp/>
        <stp>P</stp>
        <stp>0</stp>
        <stp>STK</stp>
        <stp>N061090</stp>
        <stp>등락률</stp>
        <stp/>
        <stp/>
        <tr r="L682" s="1"/>
      </tp>
      <tp>
        <v>7.91</v>
        <stp/>
        <stp>P</stp>
        <stp>0</stp>
        <stp>STK</stp>
        <stp>N161000</stp>
        <stp>등락률</stp>
        <stp/>
        <stp/>
        <tr r="L524" s="1"/>
      </tp>
      <tp>
        <v>-0.18</v>
        <stp/>
        <stp>P</stp>
        <stp>0</stp>
        <stp>STK</stp>
        <stp>N361610</stp>
        <stp>등락률</stp>
        <stp/>
        <stp/>
        <tr r="L214" s="1"/>
      </tp>
      <tp>
        <v>2.9</v>
        <stp/>
        <stp>P</stp>
        <stp>0</stp>
        <stp>STK</stp>
        <stp>N161580</stp>
        <stp>등락률</stp>
        <stp/>
        <stp/>
        <tr r="L314" s="1"/>
      </tp>
      <tp>
        <v>-1.43</v>
        <stp/>
        <stp>P</stp>
        <stp>0</stp>
        <stp>STK</stp>
        <stp>N161890</stp>
        <stp>등락률</stp>
        <stp/>
        <stp/>
        <tr r="L248" s="1"/>
      </tp>
      <tp>
        <v>-0.5</v>
        <stp/>
        <stp>P</stp>
        <stp>0</stp>
        <stp>STK</stp>
        <stp>N478340</stp>
        <stp>등락률</stp>
        <stp/>
        <stp/>
        <tr r="L425" s="1"/>
      </tp>
      <tp>
        <v>-1.44</v>
        <stp/>
        <stp>P</stp>
        <stp>0</stp>
        <stp>STK</stp>
        <stp>N178320</stp>
        <stp>등락률</stp>
        <stp/>
        <stp/>
        <tr r="L231" s="1"/>
      </tp>
      <tp>
        <v>-1.87</v>
        <stp/>
        <stp>P</stp>
        <stp>0</stp>
        <stp>STK</stp>
        <stp>N078350</stp>
        <stp>등락률</stp>
        <stp/>
        <stp/>
        <tr r="L569" s="1"/>
      </tp>
      <tp>
        <v>-2.98</v>
        <stp/>
        <stp>P</stp>
        <stp>0</stp>
        <stp>STK</stp>
        <stp>N078340</stp>
        <stp>등락률</stp>
        <stp/>
        <stp/>
        <tr r="L543" s="1"/>
      </tp>
      <tp>
        <v>-1.29</v>
        <stp/>
        <stp>P</stp>
        <stp>0</stp>
        <stp>STK</stp>
        <stp>N378340</stp>
        <stp>등락률</stp>
        <stp/>
        <stp/>
        <tr r="L651" s="1"/>
      </tp>
      <tp>
        <v>0.51</v>
        <stp/>
        <stp>P</stp>
        <stp>0</stp>
        <stp>STK</stp>
        <stp>N278280</stp>
        <stp>등락률</stp>
        <stp/>
        <stp/>
        <tr r="L437" s="1"/>
      </tp>
      <tp>
        <v>3.12</v>
        <stp/>
        <stp>P</stp>
        <stp>0</stp>
        <stp>STK</stp>
        <stp>N078160</stp>
        <stp>등락률</stp>
        <stp/>
        <stp/>
        <tr r="L438" s="1"/>
      </tp>
      <tp>
        <v>1.98</v>
        <stp/>
        <stp>P</stp>
        <stp>0</stp>
        <stp>STK</stp>
        <stp>N078600</stp>
        <stp>등락률</stp>
        <stp/>
        <stp/>
        <tr r="L320" s="1"/>
      </tp>
      <tp>
        <v>-1.23</v>
        <stp/>
        <stp>P</stp>
        <stp>0</stp>
        <stp>STK</stp>
        <stp>N078520</stp>
        <stp>등락률</stp>
        <stp/>
        <stp/>
        <tr r="L673" s="1"/>
      </tp>
      <tp>
        <v>2.2200000000000002</v>
        <stp/>
        <stp>P</stp>
        <stp>0</stp>
        <stp>STK</stp>
        <stp>N278470</stp>
        <stp>등락률</stp>
        <stp/>
        <stp/>
        <tr r="L77" s="1"/>
      </tp>
      <tp>
        <v>-2.84</v>
        <stp/>
        <stp>P</stp>
        <stp>0</stp>
        <stp>STK</stp>
        <stp>N078930</stp>
        <stp>등락률</stp>
        <stp/>
        <stp/>
        <tr r="L104" s="1"/>
      </tp>
      <tp>
        <v>-0.74</v>
        <stp/>
        <stp>P</stp>
        <stp>0</stp>
        <stp>STK</stp>
        <stp>N178920</stp>
        <stp>등락률</stp>
        <stp/>
        <stp/>
        <tr r="L504" s="1"/>
      </tp>
      <tp>
        <v>1.22</v>
        <stp/>
        <stp>P</stp>
        <stp>0</stp>
        <stp>STK</stp>
        <stp>N079370</stp>
        <stp>등락률</stp>
        <stp/>
        <stp/>
        <tr r="L490" s="1"/>
      </tp>
      <tp>
        <v>-1.45</v>
        <stp/>
        <stp>P</stp>
        <stp>0</stp>
        <stp>STK</stp>
        <stp>N079550</stp>
        <stp>등락률</stp>
        <stp/>
        <stp/>
        <tr r="L69" s="1"/>
      </tp>
      <tp>
        <v>-3.44</v>
        <stp/>
        <stp>P</stp>
        <stp>0</stp>
        <stp>STK</stp>
        <stp>N179900</stp>
        <stp>등락률</stp>
        <stp/>
        <stp/>
        <tr r="L528" s="1"/>
      </tp>
      <tp>
        <v>0.2</v>
        <stp/>
        <stp>P</stp>
        <stp>0</stp>
        <stp>STK</stp>
        <stp>N079900</stp>
        <stp>등락률</stp>
        <stp/>
        <stp/>
        <tr r="L385" s="1"/>
      </tp>
      <tp>
        <v>-2.09</v>
        <stp/>
        <stp>P</stp>
        <stp>0</stp>
        <stp>STK</stp>
        <stp>N079940</stp>
        <stp>등락률</stp>
        <stp/>
        <stp/>
        <tr r="L520" s="1"/>
      </tp>
      <tp>
        <v>-2.52</v>
        <stp/>
        <stp>P</stp>
        <stp>0</stp>
        <stp>STK</stp>
        <stp>N376300</stp>
        <stp>등락률</stp>
        <stp/>
        <stp/>
        <tr r="L367" s="1"/>
      </tp>
      <tp>
        <v>-3.24</v>
        <stp/>
        <stp>P</stp>
        <stp>0</stp>
        <stp>STK</stp>
        <stp>N376270</stp>
        <stp>등락률</stp>
        <stp/>
        <stp/>
        <tr r="L555" s="1"/>
      </tp>
      <tp>
        <v>-0.93</v>
        <stp/>
        <stp>P</stp>
        <stp>0</stp>
        <stp>STK</stp>
        <stp>N476060</stp>
        <stp>등락률</stp>
        <stp/>
        <stp/>
        <tr r="L343" s="1"/>
      </tp>
      <tp>
        <v>3.18</v>
        <stp/>
        <stp>P</stp>
        <stp>0</stp>
        <stp>STK</stp>
        <stp>N176750</stp>
        <stp>등락률</stp>
        <stp/>
        <stp/>
        <tr r="L678" s="1"/>
      </tp>
      <tp>
        <v>1.49</v>
        <stp/>
        <stp>P</stp>
        <stp>0</stp>
        <stp>STK</stp>
        <stp>N376900</stp>
        <stp>등락률</stp>
        <stp/>
        <stp/>
        <tr r="L313" s="1"/>
      </tp>
      <tp>
        <v>-0.2</v>
        <stp/>
        <stp>P</stp>
        <stp>0</stp>
        <stp>STK</stp>
        <stp>N476830</stp>
        <stp>등락률</stp>
        <stp/>
        <stp/>
        <tr r="L212" s="1"/>
      </tp>
      <tp>
        <v>1.58</v>
        <stp/>
        <stp>P</stp>
        <stp>0</stp>
        <stp>STK</stp>
        <stp>N377300</stp>
        <stp>등락률</stp>
        <stp/>
        <stp/>
        <tr r="L95" s="1"/>
      </tp>
      <tp>
        <v>-1.47</v>
        <stp/>
        <stp>P</stp>
        <stp>0</stp>
        <stp>STK</stp>
        <stp>N077970</stp>
        <stp>등락률</stp>
        <stp/>
        <stp/>
        <tr r="L249" s="1"/>
      </tp>
      <tp>
        <v>3.57</v>
        <stp/>
        <stp>P</stp>
        <stp>0</stp>
        <stp>STK</stp>
        <stp>N277810</stp>
        <stp>등락률</stp>
        <stp/>
        <stp/>
        <tr r="L74" s="1"/>
      </tp>
      <tp>
        <v>-2.2799999999999998</v>
        <stp/>
        <stp>P</stp>
        <stp>0</stp>
        <stp>STK</stp>
        <stp>N074600</stp>
        <stp>등락률</stp>
        <stp/>
        <stp/>
        <tr r="L408" s="1"/>
      </tp>
      <tp>
        <v>1.59</v>
        <stp/>
        <stp>P</stp>
        <stp>0</stp>
        <stp>STK</stp>
        <stp>N175330</stp>
        <stp>등락률</stp>
        <stp/>
        <stp/>
        <tr r="L121" s="1"/>
      </tp>
      <tp>
        <v>-2.66</v>
        <stp/>
        <stp>P</stp>
        <stp>0</stp>
        <stp>STK</stp>
        <stp>N475150</stp>
        <stp>등락률</stp>
        <stp/>
        <stp/>
        <tr r="L402" s="1"/>
      </tp>
      <tp>
        <v>-1.81</v>
        <stp/>
        <stp>P</stp>
        <stp>0</stp>
        <stp>STK</stp>
        <stp>N075580</stp>
        <stp>등락률</stp>
        <stp/>
        <stp/>
        <tr r="L299" s="1"/>
      </tp>
      <tp>
        <v>-0.79</v>
        <stp/>
        <stp>P</stp>
        <stp>0</stp>
        <stp>STK</stp>
        <stp>N375500</stp>
        <stp>등락률</stp>
        <stp/>
        <stp/>
        <tr r="L238" s="1"/>
      </tp>
      <tp>
        <v>-1.03</v>
        <stp/>
        <stp>P</stp>
        <stp>0</stp>
        <stp>STK</stp>
        <stp>N475560</stp>
        <stp>등락률</stp>
        <stp/>
        <stp/>
        <tr r="L574" s="1"/>
      </tp>
      <tp>
        <v>4.16</v>
        <stp/>
        <stp>P</stp>
        <stp>0</stp>
        <stp>STK</stp>
        <stp>N475400</stp>
        <stp>등락률</stp>
        <stp/>
        <stp/>
        <tr r="L463" s="1"/>
      </tp>
      <tp>
        <v>3.61</v>
        <stp/>
        <stp>P</stp>
        <stp>0</stp>
        <stp>STK</stp>
        <stp>N475960</stp>
        <stp>등락률</stp>
        <stp/>
        <stp/>
        <tr r="L431" s="1"/>
      </tp>
      <tp>
        <v>-1.33</v>
        <stp/>
        <stp>P</stp>
        <stp>0</stp>
        <stp>STK</stp>
        <stp>N475830</stp>
        <stp>등락률</stp>
        <stp/>
        <stp/>
        <tr r="L200" s="1"/>
      </tp>
      <tp>
        <v>-1.52</v>
        <stp/>
        <stp>P</stp>
        <stp>0</stp>
        <stp>STK</stp>
        <stp>N372320</stp>
        <stp>등락률</stp>
        <stp/>
        <stp/>
        <tr r="L403" s="1"/>
      </tp>
      <tp>
        <v>-1.53</v>
        <stp/>
        <stp>P</stp>
        <stp>0</stp>
        <stp>STK</stp>
        <stp>N272290</stp>
        <stp>등락률</stp>
        <stp/>
        <stp/>
        <tr r="L472" s="1"/>
      </tp>
      <tp>
        <v>3.4</v>
        <stp/>
        <stp>P</stp>
        <stp>0</stp>
        <stp>STK</stp>
        <stp>N272210</stp>
        <stp>등락률</stp>
        <stp/>
        <stp/>
        <tr r="L53" s="1"/>
      </tp>
      <tp>
        <v>-0.55000000000000004</v>
        <stp/>
        <stp>P</stp>
        <stp>0</stp>
        <stp>STK</stp>
        <stp>N372170</stp>
        <stp>등락률</stp>
        <stp/>
        <stp/>
        <tr r="L680" s="1"/>
      </tp>
      <tp>
        <v>-1.24</v>
        <stp/>
        <stp>P</stp>
        <stp>0</stp>
        <stp>STK</stp>
        <stp>N072710</stp>
        <stp>등락률</stp>
        <stp/>
        <stp/>
        <tr r="L539" s="1"/>
      </tp>
      <tp>
        <v>-1.72</v>
        <stp/>
        <stp>P</stp>
        <stp>0</stp>
        <stp>STK</stp>
        <stp>N472850</stp>
        <stp>등락률</stp>
        <stp/>
        <stp/>
        <tr r="L640" s="1"/>
      </tp>
      <tp>
        <v>-0.5</v>
        <stp/>
        <stp>P</stp>
        <stp>0</stp>
        <stp>STK</stp>
        <stp>N373220</stp>
        <stp>등락률</stp>
        <stp/>
        <stp/>
        <tr r="L12" s="1"/>
      </tp>
      <tp>
        <v>-0.66</v>
        <stp/>
        <stp>P</stp>
        <stp>0</stp>
        <stp>STK</stp>
        <stp>N073240</stp>
        <stp>등락률</stp>
        <stp/>
        <stp/>
        <tr r="L227" s="1"/>
      </tp>
      <tp>
        <v>-4.8899999999999997</v>
        <stp/>
        <stp>P</stp>
        <stp>0</stp>
        <stp>STK</stp>
        <stp>N473980</stp>
        <stp>등락률</stp>
        <stp/>
        <stp/>
        <tr r="L649" s="1"/>
      </tp>
      <tp>
        <v>-1.7</v>
        <stp/>
        <stp>P</stp>
        <stp>0</stp>
        <stp>STK</stp>
        <stp>N270660</stp>
        <stp>등락률</stp>
        <stp/>
        <stp/>
        <tr r="L542" s="1"/>
      </tp>
      <tp>
        <v>-1.46</v>
        <stp/>
        <stp>P</stp>
        <stp>0</stp>
        <stp>STK</stp>
        <stp>N170900</stp>
        <stp>등락률</stp>
        <stp/>
        <stp/>
        <tr r="L499" s="1"/>
      </tp>
      <tp>
        <v>-0.6</v>
        <stp/>
        <stp>P</stp>
        <stp>0</stp>
        <stp>STK</stp>
        <stp>N071320</stp>
        <stp>등락률</stp>
        <stp/>
        <stp/>
        <tr r="L274" s="1"/>
      </tp>
      <tp>
        <v>7.17</v>
        <stp/>
        <stp>P</stp>
        <stp>0</stp>
        <stp>STK</stp>
        <stp>N171090</stp>
        <stp>등락률</stp>
        <stp/>
        <stp/>
        <tr r="L459" s="1"/>
      </tp>
      <tp>
        <v>-3.02</v>
        <stp/>
        <stp>P</stp>
        <stp>0</stp>
        <stp>STK</stp>
        <stp>N071050</stp>
        <stp>등락률</stp>
        <stp/>
        <stp/>
        <tr r="L73" s="1"/>
      </tp>
      <tp>
        <v>0.43</v>
        <stp/>
        <stp>P</stp>
        <stp>0</stp>
        <stp>STK</stp>
        <stp>N271560</stp>
        <stp>등락률</stp>
        <stp/>
        <stp/>
        <tr r="L117" s="1"/>
      </tp>
      <tp>
        <v>-1.92</v>
        <stp/>
        <stp>P</stp>
        <stp>0</stp>
        <stp>STK</stp>
        <stp>N071970</stp>
        <stp>등락률</stp>
        <stp/>
        <stp/>
        <tr r="L151" s="1"/>
      </tp>
      <tp>
        <v>-2.54</v>
        <stp/>
        <stp>P</stp>
        <stp>0</stp>
        <stp>STK</stp>
        <stp>N271940</stp>
        <stp>등락률</stp>
        <stp/>
        <stp/>
        <tr r="L484" s="1"/>
      </tp>
      <tp>
        <v>14424843000</v>
        <stp/>
        <stp>P</stp>
        <stp>0</stp>
        <stp>STK</stp>
        <stp>N0126Z0</stp>
        <stp>누적거래대금</stp>
        <stp/>
        <stp/>
        <tr r="N60" s="1"/>
      </tp>
      <tp>
        <v>493518450</v>
        <stp/>
        <stp>P</stp>
        <stp>0</stp>
        <stp>STK</stp>
        <stp>N0008Z0</stp>
        <stp>누적거래대금</stp>
        <stp/>
        <stp/>
        <tr r="N613" s="1"/>
      </tp>
      <tp>
        <v>14843.970971999999</v>
        <stp/>
        <stp>P</stp>
        <stp>0</stp>
        <stp>STK</stp>
        <stp>N200880</stp>
        <stp>가중평균가</stp>
        <stp/>
        <stp/>
        <tr r="O506" s="1"/>
      </tp>
      <tp>
        <v>13175.46875</v>
        <stp/>
        <stp>P</stp>
        <stp>0</stp>
        <stp>STK</stp>
        <stp>N237880</stp>
        <stp>가중평균가</stp>
        <stp/>
        <stp/>
        <tr r="O693" s="1"/>
      </tp>
      <tp>
        <v>25747.778216999999</v>
        <stp/>
        <stp>P</stp>
        <stp>0</stp>
        <stp>STK</stp>
        <stp>N089890</stp>
        <stp>가중평균가</stp>
        <stp/>
        <stp/>
        <tr r="O523" s="1"/>
      </tp>
      <tp>
        <v>7602.1750860000002</v>
        <stp/>
        <stp>P</stp>
        <stp>0</stp>
        <stp>STK</stp>
        <stp>N046890</stp>
        <stp>가중평균가</stp>
        <stp/>
        <stp/>
        <tr r="O579" s="1"/>
      </tp>
      <tp>
        <v>8229.5640440000006</v>
        <stp/>
        <stp>P</stp>
        <stp>0</stp>
        <stp>STK</stp>
        <stp>N050890</stp>
        <stp>가중평균가</stp>
        <stp/>
        <stp/>
        <tr r="O496" s="1"/>
      </tp>
      <tp>
        <v>12326.630569000001</v>
        <stp/>
        <stp>P</stp>
        <stp>0</stp>
        <stp>STK</stp>
        <stp>N013890</stp>
        <stp>가중평균가</stp>
        <stp/>
        <stp/>
        <tr r="O656" s="1"/>
      </tp>
      <tp>
        <v>11463.808692000001</v>
        <stp/>
        <stp>P</stp>
        <stp>0</stp>
        <stp>STK</stp>
        <stp>N026890</stp>
        <stp>가중평균가</stp>
        <stp/>
        <stp/>
        <tr r="O533" s="1"/>
      </tp>
      <tp>
        <v>13991.302991</v>
        <stp/>
        <stp>P</stp>
        <stp>0</stp>
        <stp>STK</stp>
        <stp>N036890</stp>
        <stp>가중평균가</stp>
        <stp/>
        <stp/>
        <tr r="O624" s="1"/>
      </tp>
      <tp>
        <v>68519.745435000004</v>
        <stp/>
        <stp>P</stp>
        <stp>0</stp>
        <stp>STK</stp>
        <stp>N161890</stp>
        <stp>가중평균가</stp>
        <stp/>
        <stp/>
        <tr r="O248" s="1"/>
      </tp>
      <tp>
        <v>112384.417892</v>
        <stp/>
        <stp>P</stp>
        <stp>0</stp>
        <stp>STK</stp>
        <stp>N000880</stp>
        <stp>가중평균가</stp>
        <stp/>
        <stp/>
        <tr r="O79" s="1"/>
      </tp>
      <tp>
        <v>3241.4792240000002</v>
        <stp/>
        <stp>P</stp>
        <stp>0</stp>
        <stp>STK</stp>
        <stp>N018880</stp>
        <stp>가중평균가</stp>
        <stp/>
        <stp/>
        <tr r="O145" s="1"/>
      </tp>
      <tp>
        <v>288124.577544</v>
        <stp/>
        <stp>P</stp>
        <stp>0</stp>
        <stp>STK</stp>
        <stp>N140860</stp>
        <stp>가중평균가</stp>
        <stp/>
        <stp/>
        <tr r="O241" s="1"/>
      </tp>
      <tp>
        <v>108133.716908</v>
        <stp/>
        <stp>P</stp>
        <stp>0</stp>
        <stp>STK</stp>
        <stp>N475830</stp>
        <stp>가중평균가</stp>
        <stp/>
        <stp/>
        <tr r="O200" s="1"/>
      </tp>
      <tp>
        <v>143691.57780699999</v>
        <stp/>
        <stp>P</stp>
        <stp>0</stp>
        <stp>STK</stp>
        <stp>N476830</stp>
        <stp>가중평균가</stp>
        <stp/>
        <stp/>
        <tr r="O212" s="1"/>
      </tp>
      <tp>
        <v>12900.431133</v>
        <stp/>
        <stp>P</stp>
        <stp>0</stp>
        <stp>STK</stp>
        <stp>N108860</stp>
        <stp>가중평균가</stp>
        <stp/>
        <stp/>
        <tr r="O603" s="1"/>
      </tp>
      <tp>
        <v>22726.974934000002</v>
        <stp/>
        <stp>P</stp>
        <stp>0</stp>
        <stp>STK</stp>
        <stp>N338840</stp>
        <stp>가중평균가</stp>
        <stp/>
        <stp/>
        <tr r="O583" s="1"/>
      </tp>
      <tp>
        <v>30521.792359999999</v>
        <stp/>
        <stp>P</stp>
        <stp>0</stp>
        <stp>STK</stp>
        <stp>N089860</stp>
        <stp>가중평균가</stp>
        <stp/>
        <stp/>
        <tr r="O300" s="1"/>
      </tp>
      <tp>
        <v>48655.499639000001</v>
        <stp/>
        <stp>P</stp>
        <stp>0</stp>
        <stp>STK</stp>
        <stp>N287840</stp>
        <stp>가중평균가</stp>
        <stp/>
        <stp/>
        <tr r="O383" s="1"/>
      </tp>
      <tp>
        <v>63218.461383000002</v>
        <stp/>
        <stp>P</stp>
        <stp>0</stp>
        <stp>STK</stp>
        <stp>N195870</stp>
        <stp>가중평균가</stp>
        <stp/>
        <stp/>
        <tr r="O335" s="1"/>
      </tp>
      <tp>
        <v>91697.556888000006</v>
        <stp/>
        <stp>P</stp>
        <stp>0</stp>
        <stp>STK</stp>
        <stp>N347850</stp>
        <stp>가중평균가</stp>
        <stp/>
        <stp/>
        <tr r="O141" s="1"/>
      </tp>
      <tp>
        <v>19280.600068</v>
        <stp/>
        <stp>P</stp>
        <stp>0</stp>
        <stp>STK</stp>
        <stp>N017860</stp>
        <stp>가중평균가</stp>
        <stp/>
        <stp/>
        <tr r="O597" s="1"/>
      </tp>
      <tp>
        <v>72381.039361999996</v>
        <stp/>
        <stp>P</stp>
        <stp>0</stp>
        <stp>STK</stp>
        <stp>N122870</stp>
        <stp>가중평균가</stp>
        <stp/>
        <stp/>
        <tr r="O273" s="1"/>
      </tp>
      <tp>
        <v>10492.820586</v>
        <stp/>
        <stp>P</stp>
        <stp>0</stp>
        <stp>STK</stp>
        <stp>N084850</stp>
        <stp>가중평균가</stp>
        <stp/>
        <stp/>
        <tr r="O698" s="1"/>
      </tp>
      <tp>
        <v>21292.269716999999</v>
        <stp/>
        <stp>P</stp>
        <stp>0</stp>
        <stp>STK</stp>
        <stp>N484810</stp>
        <stp>가중평균가</stp>
        <stp/>
        <stp/>
        <tr r="O562" s="1"/>
      </tp>
      <tp>
        <v>20343.899453000002</v>
        <stp/>
        <stp>P</stp>
        <stp>0</stp>
        <stp>STK</stp>
        <stp>N294870</stp>
        <stp>가중평균가</stp>
        <stp/>
        <stp/>
        <tr r="O267" s="1"/>
      </tp>
      <tp>
        <v>58750.901006</v>
        <stp/>
        <stp>P</stp>
        <stp>0</stp>
        <stp>STK</stp>
        <stp>N356860</stp>
        <stp>가중평균가</stp>
        <stp/>
        <stp/>
        <tr r="O456" s="1"/>
      </tp>
      <tp>
        <v>53365.245231000001</v>
        <stp/>
        <stp>P</stp>
        <stp>0</stp>
        <stp>STK</stp>
        <stp>N005850</stp>
        <stp>가중평균가</stp>
        <stp/>
        <stp/>
        <tr r="O147" s="1"/>
      </tp>
      <tp>
        <v>24923.832666999999</v>
        <stp/>
        <stp>P</stp>
        <stp>0</stp>
        <stp>STK</stp>
        <stp>N105840</stp>
        <stp>가중평균가</stp>
        <stp/>
        <stp/>
        <tr r="O454" s="1"/>
      </tp>
      <tp>
        <v>41278.222909999997</v>
        <stp/>
        <stp>P</stp>
        <stp>0</stp>
        <stp>STK</stp>
        <stp>N100840</stp>
        <stp>가중평균가</stp>
        <stp/>
        <stp/>
        <tr r="O350" s="1"/>
      </tp>
      <tp>
        <v>9167.0669909999997</v>
        <stp/>
        <stp>P</stp>
        <stp>0</stp>
        <stp>STK</stp>
        <stp>N003850</stp>
        <stp>가중평균가</stp>
        <stp/>
        <stp/>
        <tr r="O369" s="1"/>
      </tp>
      <tp>
        <v>14910.305249999999</v>
        <stp/>
        <stp>P</stp>
        <stp>0</stp>
        <stp>STK</stp>
        <stp>N114840</stp>
        <stp>가중평균가</stp>
        <stp/>
        <stp/>
        <tr r="O664" s="1"/>
      </tp>
      <tp>
        <v>139345.45454499999</v>
        <stp/>
        <stp>P</stp>
        <stp>0</stp>
        <stp>STK</stp>
        <stp>N002840</stp>
        <stp>가중평균가</stp>
        <stp/>
        <stp/>
        <tr r="O395" s="1"/>
      </tp>
      <tp>
        <v>35290.810814999997</v>
        <stp/>
        <stp>P</stp>
        <stp>0</stp>
        <stp>STK</stp>
        <stp>N119850</stp>
        <stp>가중평균가</stp>
        <stp/>
        <stp/>
        <tr r="O435" s="1"/>
      </tp>
      <tp>
        <v>15863.290708</v>
        <stp/>
        <stp>P</stp>
        <stp>0</stp>
        <stp>STK</stp>
        <stp>N039840</stp>
        <stp>가중평균가</stp>
        <stp/>
        <stp/>
        <tr r="O696" s="1"/>
      </tp>
      <tp>
        <v>143598.81022499999</v>
        <stp/>
        <stp>P</stp>
        <stp>0</stp>
        <stp>STK</stp>
        <stp>N484870</stp>
        <stp>가중평균가</stp>
        <stp/>
        <stp/>
        <tr r="O259" s="1"/>
      </tp>
      <tp>
        <v>8594.697193</v>
        <stp/>
        <stp>P</stp>
        <stp>0</stp>
        <stp>STK</stp>
        <stp>N383800</stp>
        <stp>가중평균가</stp>
        <stp/>
        <stp/>
        <tr r="O420" s="1"/>
      </tp>
      <tp>
        <v>16874.203748</v>
        <stp/>
        <stp>P</stp>
        <stp>0</stp>
        <stp>STK</stp>
        <stp>N394800</stp>
        <stp>가중평균가</stp>
        <stp/>
        <stp/>
        <tr r="O498" s="1"/>
      </tp>
      <tp>
        <v>198900.83530999999</v>
        <stp/>
        <stp>P</stp>
        <stp>0</stp>
        <stp>STK</stp>
        <stp>N192820</stp>
        <stp>가중평균가</stp>
        <stp/>
        <stp/>
        <tr r="O208" s="1"/>
      </tp>
      <tp>
        <v>0</v>
        <stp/>
        <stp>P</stp>
        <stp>0</stp>
        <stp>STK</stp>
        <stp>N240810</stp>
        <stp>가중평균가</stp>
        <stp/>
        <stp/>
        <tr r="O133" s="1"/>
      </tp>
      <tp>
        <v>31584.944611999999</v>
        <stp/>
        <stp>P</stp>
        <stp>0</stp>
        <stp>STK</stp>
        <stp>N041830</stp>
        <stp>가중평균가</stp>
        <stp/>
        <stp/>
        <tr r="O546" s="1"/>
      </tp>
      <tp>
        <v>0</v>
        <stp/>
        <stp>P</stp>
        <stp>0</stp>
        <stp>STK</stp>
        <stp>N458870</stp>
        <stp>가중평균가</stp>
        <stp/>
        <stp/>
        <tr r="O224" s="1"/>
      </tp>
      <tp>
        <v>33820.298177999997</v>
        <stp/>
        <stp>P</stp>
        <stp>0</stp>
        <stp>STK</stp>
        <stp>N462870</stp>
        <stp>가중평균가</stp>
        <stp/>
        <stp/>
        <tr r="O217" s="1"/>
      </tp>
      <tp>
        <v>715605.07870700001</v>
        <stp/>
        <stp>P</stp>
        <stp>0</stp>
        <stp>STK</stp>
        <stp>N277810</stp>
        <stp>가중평균가</stp>
        <stp/>
        <stp/>
        <tr r="O74" s="1"/>
      </tp>
      <tp>
        <v>27467.409909000002</v>
        <stp/>
        <stp>P</stp>
        <stp>0</stp>
        <stp>STK</stp>
        <stp>N009830</stp>
        <stp>가중평균가</stp>
        <stp/>
        <stp/>
        <tr r="O116" s="1"/>
      </tp>
      <tp>
        <v>142410.05530400001</v>
        <stp/>
        <stp>P</stp>
        <stp>0</stp>
        <stp>STK</stp>
        <stp>N005830</stp>
        <stp>가중평균가</stp>
        <stp/>
        <stp/>
        <tr r="O78" s="1"/>
      </tp>
      <tp>
        <v>44392.247132999997</v>
        <stp/>
        <stp>P</stp>
        <stp>0</stp>
        <stp>STK</stp>
        <stp>N403870</stp>
        <stp>가중평균가</stp>
        <stp/>
        <stp/>
        <tr r="O160" s="1"/>
      </tp>
      <tp>
        <v>78139.309383</v>
        <stp/>
        <stp>P</stp>
        <stp>0</stp>
        <stp>STK</stp>
        <stp>N014830</stp>
        <stp>가중평균가</stp>
        <stp/>
        <stp/>
        <tr r="O487" s="1"/>
      </tp>
      <tp>
        <v>10597.511828999999</v>
        <stp/>
        <stp>P</stp>
        <stp>0</stp>
        <stp>STK</stp>
        <stp>N424870</stp>
        <stp>가중평균가</stp>
        <stp/>
        <stp/>
        <tr r="O356" s="1"/>
      </tp>
      <tp>
        <v>56669.621016999998</v>
        <stp/>
        <stp>P</stp>
        <stp>0</stp>
        <stp>STK</stp>
        <stp>N036830</stp>
        <stp>가중평균가</stp>
        <stp/>
        <stp/>
        <tr r="O352" s="1"/>
      </tp>
      <tp>
        <v>184843.27455900001</v>
        <stp/>
        <stp>P</stp>
        <stp>0</stp>
        <stp>STK</stp>
        <stp>N032830</stp>
        <stp>가중평균가</stp>
        <stp/>
        <stp/>
        <tr r="O27" s="1"/>
      </tp>
      <tp>
        <v>11434.298252000001</v>
        <stp/>
        <stp>P</stp>
        <stp>0</stp>
        <stp>STK</stp>
        <stp>N064820</stp>
        <stp>가중평균가</stp>
        <stp/>
        <stp/>
        <tr r="O551" s="1"/>
      </tp>
      <tp>
        <v>8599.1053439999996</v>
        <stp/>
        <stp>P</stp>
        <stp>0</stp>
        <stp>STK</stp>
        <stp>N460860</stp>
        <stp>가중평균가</stp>
        <stp/>
        <stp/>
        <tr r="O536" s="1"/>
      </tp>
      <tp>
        <v>38483.454489999996</v>
        <stp/>
        <stp>P</stp>
        <stp>0</stp>
        <stp>STK</stp>
        <stp>N104830</stp>
        <stp>가중평균가</stp>
        <stp/>
        <stp/>
        <tr r="O507" s="1"/>
      </tp>
      <tp>
        <v>31050.215265999999</v>
        <stp/>
        <stp>P</stp>
        <stp>0</stp>
        <stp>STK</stp>
        <stp>N001820</stp>
        <stp>가중평균가</stp>
        <stp/>
        <stp/>
        <tr r="O598" s="1"/>
      </tp>
      <tp>
        <v>28221.694817</v>
        <stp/>
        <stp>P</stp>
        <stp>0</stp>
        <stp>STK</stp>
        <stp>N014820</stp>
        <stp>가중평균가</stp>
        <stp/>
        <stp/>
        <tr r="O384" s="1"/>
      </tp>
      <tp>
        <v>60869.772814000004</v>
        <stp/>
        <stp>P</stp>
        <stp>0</stp>
        <stp>STK</stp>
        <stp>N222800</stp>
        <stp>가중평균가</stp>
        <stp/>
        <stp/>
        <tr r="O223" s="1"/>
      </tp>
      <tp>
        <v>60780.166194999998</v>
        <stp/>
        <stp>P</stp>
        <stp>0</stp>
        <stp>STK</stp>
        <stp>N199800</stp>
        <stp>가중평균가</stp>
        <stp/>
        <stp/>
        <tr r="O474" s="1"/>
      </tp>
      <tp>
        <v>26665.739154999999</v>
        <stp/>
        <stp>P</stp>
        <stp>0</stp>
        <stp>STK</stp>
        <stp>N344820</stp>
        <stp>가중평균가</stp>
        <stp/>
        <stp/>
        <tr r="O519" s="1"/>
      </tp>
      <tp>
        <v>165796.114891</v>
        <stp/>
        <stp>P</stp>
        <stp>0</stp>
        <stp>STK</stp>
        <stp>N047810</stp>
        <stp>가중평균가</stp>
        <stp/>
        <stp/>
        <tr r="O56" s="1"/>
      </tp>
      <tp>
        <v>365965.28897699999</v>
        <stp/>
        <stp>P</stp>
        <stp>0</stp>
        <stp>STK</stp>
        <stp>N352820</stp>
        <stp>가중평균가</stp>
        <stp/>
        <stp/>
        <tr r="O59" s="1"/>
      </tp>
      <tp>
        <v>5723.5520070000002</v>
        <stp/>
        <stp>P</stp>
        <stp>0</stp>
        <stp>STK</stp>
        <stp>N472850</stp>
        <stp>가중평균가</stp>
        <stp/>
        <stp/>
        <tr r="O640" s="1"/>
      </tp>
      <tp>
        <v>40377.858080999998</v>
        <stp/>
        <stp>P</stp>
        <stp>0</stp>
        <stp>STK</stp>
        <stp>N005810</stp>
        <stp>가중평균가</stp>
        <stp/>
        <stp/>
        <tr r="O449" s="1"/>
      </tp>
      <tp>
        <v>0</v>
        <stp/>
        <stp>P</stp>
        <stp>0</stp>
        <stp>STK</stp>
        <stp>N007810</stp>
        <stp>가중평균가</stp>
        <stp/>
        <stp/>
        <tr r="O253" s="1"/>
      </tp>
      <tp>
        <v>496139.21282800002</v>
        <stp/>
        <stp>P</stp>
        <stp>0</stp>
        <stp>STK</stp>
        <stp>N000810</stp>
        <stp>가중평균가</stp>
        <stp/>
        <stp/>
        <tr r="O38" s="1"/>
      </tp>
      <tp>
        <v>17271.241891000001</v>
        <stp/>
        <stp>P</stp>
        <stp>0</stp>
        <stp>STK</stp>
        <stp>N002810</stp>
        <stp>가중평균가</stp>
        <stp/>
        <stp/>
        <tr r="O619" s="1"/>
      </tp>
      <tp>
        <v>23152.826344000001</v>
        <stp/>
        <stp>P</stp>
        <stp>0</stp>
        <stp>STK</stp>
        <stp>N403850</stp>
        <stp>가중평균가</stp>
        <stp/>
        <stp/>
        <tr r="O581" s="1"/>
      </tp>
      <tp>
        <v>12969.090328</v>
        <stp/>
        <stp>P</stp>
        <stp>0</stp>
        <stp>STK</stp>
        <stp>N017810</stp>
        <stp>가중평균가</stp>
        <stp/>
        <stp/>
        <tr r="O482" s="1"/>
      </tp>
      <tp>
        <v>44431.798518000003</v>
        <stp/>
        <stp>P</stp>
        <stp>0</stp>
        <stp>STK</stp>
        <stp>N036810</stp>
        <stp>가중평균가</stp>
        <stp/>
        <stp/>
        <tr r="O382" s="1"/>
      </tp>
      <tp>
        <v>45813.261528000003</v>
        <stp/>
        <stp>P</stp>
        <stp>0</stp>
        <stp>STK</stp>
        <stp>N281820</stp>
        <stp>가중평균가</stp>
        <stp/>
        <stp/>
        <tr r="O353" s="1"/>
      </tp>
      <tp>
        <v>65272.113219999999</v>
        <stp/>
        <stp>P</stp>
        <stp>0</stp>
        <stp>STK</stp>
        <stp>N053800</stp>
        <stp>가중평균가</stp>
        <stp/>
        <stp/>
        <tr r="O404" s="1"/>
      </tp>
      <tp>
        <v>146522.09416400001</v>
        <stp/>
        <stp>P</stp>
        <stp>0</stp>
        <stp>STK</stp>
        <stp>N004800</stp>
        <stp>가중평균가</stp>
        <stp/>
        <stp/>
        <tr r="O177" s="1"/>
      </tp>
      <tp>
        <v>43213.771501000003</v>
        <stp/>
        <stp>P</stp>
        <stp>0</stp>
        <stp>STK</stp>
        <stp>N006800</stp>
        <stp>가중평균가</stp>
        <stp/>
        <stp/>
        <tr r="O51" s="1"/>
      </tp>
      <tp>
        <v>20746.355820000001</v>
        <stp/>
        <stp>P</stp>
        <stp>0</stp>
        <stp>STK</stp>
        <stp>N001800</stp>
        <stp>가중평균가</stp>
        <stp/>
        <stp/>
        <tr r="O270" s="1"/>
      </tp>
      <tp>
        <v>14066.980996</v>
        <stp/>
        <stp>P</stp>
        <stp>0</stp>
        <stp>STK</stp>
        <stp>N114810</stp>
        <stp>가중평균가</stp>
        <stp/>
        <stp/>
        <tr r="O606" s="1"/>
      </tp>
      <tp>
        <v>42458.695652000002</v>
        <stp/>
        <stp>P</stp>
        <stp>0</stp>
        <stp>STK</stp>
        <stp>N016800</stp>
        <stp>가중평균가</stp>
        <stp/>
        <stp/>
        <tr r="O478" s="1"/>
      </tp>
      <tp>
        <v>94690.969475000005</v>
        <stp/>
        <stp>P</stp>
        <stp>0</stp>
        <stp>STK</stp>
        <stp>N017800</stp>
        <stp>가중평균가</stp>
        <stp/>
        <stp/>
        <tr r="O140" s="1"/>
      </tp>
      <tp>
        <v>23903.690597000001</v>
        <stp/>
        <stp>P</stp>
        <stp>0</stp>
        <stp>STK</stp>
        <stp>N036800</stp>
        <stp>가중평균가</stp>
        <stp/>
        <stp/>
        <tr r="O691" s="1"/>
      </tp>
      <tp>
        <v>32776.678620999999</v>
        <stp/>
        <stp>P</stp>
        <stp>0</stp>
        <stp>STK</stp>
        <stp>N0008Z0</stp>
        <stp>가중평균가</stp>
        <stp/>
        <stp/>
        <tr r="O613" s="1"/>
      </tp>
      <tp>
        <v>41703.596178</v>
        <stp/>
        <stp>P</stp>
        <stp>0</stp>
        <stp>STK</stp>
        <stp>N486990</stp>
        <stp>가중평균가</stp>
        <stp/>
        <stp/>
        <tr r="O318" s="1"/>
      </tp>
      <tp>
        <v>23430.293165999999</v>
        <stp/>
        <stp>P</stp>
        <stp>0</stp>
        <stp>STK</stp>
        <stp>N473980</stp>
        <stp>가중평균가</stp>
        <stp/>
        <stp/>
        <tr r="O649" s="1"/>
      </tp>
      <tp>
        <v>35342.110655999997</v>
        <stp/>
        <stp>P</stp>
        <stp>0</stp>
        <stp>STK</stp>
        <stp>N267980</stp>
        <stp>가중평균가</stp>
        <stp/>
        <stp/>
        <tr r="O658" s="1"/>
      </tp>
      <tp>
        <v>30879.608388000001</v>
        <stp/>
        <stp>P</stp>
        <stp>0</stp>
        <stp>STK</stp>
        <stp>N004990</stp>
        <stp>가중평균가</stp>
        <stp/>
        <stp/>
        <tr r="O153" s="1"/>
      </tp>
      <tp>
        <v>105382.314031</v>
        <stp/>
        <stp>P</stp>
        <stp>0</stp>
        <stp>STK</stp>
        <stp>N000990</stp>
        <stp>가중평균가</stp>
        <stp/>
        <stp/>
        <tr r="O128" s="1"/>
      </tp>
      <tp>
        <v>17138.572325000001</v>
        <stp/>
        <stp>P</stp>
        <stp>0</stp>
        <stp>STK</stp>
        <stp>N089980</stp>
        <stp>가중평균가</stp>
        <stp/>
        <stp/>
        <tr r="O681" s="1"/>
      </tp>
      <tp>
        <v>46996.920290000002</v>
        <stp/>
        <stp>P</stp>
        <stp>0</stp>
        <stp>STK</stp>
        <stp>N145990</stp>
        <stp>가중평균가</stp>
        <stp/>
        <stp/>
        <tr r="O495" s="1"/>
      </tp>
      <tp>
        <v>44864.804311</v>
        <stp/>
        <stp>P</stp>
        <stp>0</stp>
        <stp>STK</stp>
        <stp>N060980</stp>
        <stp>가중평균가</stp>
        <stp/>
        <stp/>
        <tr r="O508" s="1"/>
      </tp>
      <tp>
        <v>9673.717079</v>
        <stp/>
        <stp>P</stp>
        <stp>0</stp>
        <stp>STK</stp>
        <stp>N004980</stp>
        <stp>가중평균가</stp>
        <stp/>
        <stp/>
        <tr r="O692" s="1"/>
      </tp>
      <tp>
        <v>21933.677485</v>
        <stp/>
        <stp>P</stp>
        <stp>0</stp>
        <stp>STK</stp>
        <stp>N110990</stp>
        <stp>가중평균가</stp>
        <stp/>
        <stp/>
        <tr r="O586" s="1"/>
      </tp>
      <tp>
        <v>8190.836988</v>
        <stp/>
        <stp>P</stp>
        <stp>0</stp>
        <stp>STK</stp>
        <stp>N025980</stp>
        <stp>가중평균가</stp>
        <stp/>
        <stp/>
        <tr r="O376" s="1"/>
      </tp>
      <tp>
        <v>76076.607101999994</v>
        <stp/>
        <stp>P</stp>
        <stp>0</stp>
        <stp>STK</stp>
        <stp>N031980</stp>
        <stp>가중평균가</stp>
        <stp/>
        <stp/>
        <tr r="O261" s="1"/>
      </tp>
      <tp>
        <v>28500.980006999998</v>
        <stp/>
        <stp>P</stp>
        <stp>0</stp>
        <stp>STK</stp>
        <stp>N089970</stp>
        <stp>가중평균가</stp>
        <stp/>
        <stp/>
        <tr r="O409" s="1"/>
      </tp>
      <tp>
        <v>40742.819512000002</v>
        <stp/>
        <stp>P</stp>
        <stp>0</stp>
        <stp>STK</stp>
        <stp>N058970</stp>
        <stp>가중평균가</stp>
        <stp/>
        <stp/>
        <tr r="O512" s="1"/>
      </tp>
      <tp>
        <v>124797.295461</v>
        <stp/>
        <stp>P</stp>
        <stp>0</stp>
        <stp>STK</stp>
        <stp>N066970</stp>
        <stp>가중평균가</stp>
        <stp/>
        <stp/>
        <tr r="O118" s="1"/>
      </tp>
      <tp>
        <v>17663.701842999999</v>
        <stp/>
        <stp>P</stp>
        <stp>0</stp>
        <stp>STK</stp>
        <stp>N460930</stp>
        <stp>가중평균가</stp>
        <stp/>
        <stp/>
        <tr r="O399" s="1"/>
      </tp>
      <tp>
        <v>33392.905283</v>
        <stp/>
        <stp>P</stp>
        <stp>0</stp>
        <stp>STK</stp>
        <stp>N077970</stp>
        <stp>가중평균가</stp>
        <stp/>
        <stp/>
        <tr r="O249" s="1"/>
      </tp>
      <tp>
        <v>86721.572713000001</v>
        <stp/>
        <stp>P</stp>
        <stp>0</stp>
        <stp>STK</stp>
        <stp>N071970</stp>
        <stp>가중평균가</stp>
        <stp/>
        <stp/>
        <tr r="O151" s="1"/>
      </tp>
      <tp>
        <v>206020.27027000001</v>
        <stp/>
        <stp>P</stp>
        <stp>0</stp>
        <stp>STK</stp>
        <stp>N009970</stp>
        <stp>가중평균가</stp>
        <stp/>
        <stp/>
        <tr r="O176" s="1"/>
      </tp>
      <tp>
        <v>134137.993575</v>
        <stp/>
        <stp>P</stp>
        <stp>0</stp>
        <stp>STK</stp>
        <stp>N226950</stp>
        <stp>가중평균가</stp>
        <stp/>
        <stp/>
        <tr r="O189" s="1"/>
      </tp>
      <tp>
        <v>22026.174536999999</v>
        <stp/>
        <stp>P</stp>
        <stp>0</stp>
        <stp>STK</stp>
        <stp>N286940</stp>
        <stp>가중평균가</stp>
        <stp/>
        <stp/>
        <tr r="O596" s="1"/>
      </tp>
      <tp>
        <v>95199.031627999997</v>
        <stp/>
        <stp>P</stp>
        <stp>0</stp>
        <stp>STK</stp>
        <stp>N069960</stp>
        <stp>가중평균가</stp>
        <stp/>
        <stp/>
        <tr r="O206" s="1"/>
      </tp>
      <tp>
        <v>34774.750095000003</v>
        <stp/>
        <stp>P</stp>
        <stp>0</stp>
        <stp>STK</stp>
        <stp>N064960</stp>
        <stp>가중평균가</stp>
        <stp/>
        <stp/>
        <tr r="O302" s="1"/>
      </tp>
      <tp>
        <v>13940.421485999999</v>
        <stp/>
        <stp>P</stp>
        <stp>0</stp>
        <stp>STK</stp>
        <stp>N271940</stp>
        <stp>가중평균가</stp>
        <stp/>
        <stp/>
        <tr r="O484" s="1"/>
      </tp>
      <tp>
        <v>1724163.244867</v>
        <stp/>
        <stp>P</stp>
        <stp>0</stp>
        <stp>STK</stp>
        <stp>N207940</stp>
        <stp>가중평균가</stp>
        <stp/>
        <stp/>
        <tr r="O13" s="1"/>
      </tp>
      <tp>
        <v>447929.12894899998</v>
        <stp/>
        <stp>P</stp>
        <stp>0</stp>
        <stp>STK</stp>
        <stp>N307950</stp>
        <stp>가중평균가</stp>
        <stp/>
        <stp/>
        <tr r="O61" s="1"/>
      </tp>
      <tp>
        <v>431742.04947000003</v>
        <stp/>
        <stp>P</stp>
        <stp>0</stp>
        <stp>STK</stp>
        <stp>N002960</stp>
        <stp>가중평균가</stp>
        <stp/>
        <stp/>
        <tr r="O445" s="1"/>
      </tp>
      <tp>
        <v>36214.857143000001</v>
        <stp/>
        <stp>P</stp>
        <stp>0</stp>
        <stp>STK</stp>
        <stp>N003960</stp>
        <stp>가중평균가</stp>
        <stp/>
        <stp/>
        <tr r="O601" s="1"/>
      </tp>
      <tp>
        <v>33055.941493999999</v>
        <stp/>
        <stp>P</stp>
        <stp>0</stp>
        <stp>STK</stp>
        <stp>N017960</stp>
        <stp>가중평균가</stp>
        <stp/>
        <stp/>
        <tr r="O221" s="1"/>
      </tp>
      <tp>
        <v>25847.921760000001</v>
        <stp/>
        <stp>P</stp>
        <stp>0</stp>
        <stp>STK</stp>
        <stp>N026960</stp>
        <stp>가중평균가</stp>
        <stp/>
        <stp/>
        <tr r="O175" s="1"/>
      </tp>
      <tp>
        <v>64835.294829999999</v>
        <stp/>
        <stp>P</stp>
        <stp>0</stp>
        <stp>STK</stp>
        <stp>N131970</stp>
        <stp>가중평균가</stp>
        <stp/>
        <stp/>
        <tr r="O311" s="1"/>
      </tp>
      <tp>
        <v>54521.84706</v>
        <stp/>
        <stp>P</stp>
        <stp>0</stp>
        <stp>STK</stp>
        <stp>N195940</stp>
        <stp>가중평균가</stp>
        <stp/>
        <stp/>
        <tr r="O265" s="1"/>
      </tp>
      <tp>
        <v>212375.31839</v>
        <stp/>
        <stp>P</stp>
        <stp>0</stp>
        <stp>STK</stp>
        <stp>N097950</stp>
        <stp>가중평균가</stp>
        <stp/>
        <stp/>
        <tr r="O150" s="1"/>
      </tp>
      <tp>
        <v>24899.220176999999</v>
        <stp/>
        <stp>P</stp>
        <stp>0</stp>
        <stp>STK</stp>
        <stp>N054950</stp>
        <stp>가중평균가</stp>
        <stp/>
        <stp/>
        <tr r="O617" s="1"/>
      </tp>
      <tp>
        <v>110323.18924000001</v>
        <stp/>
        <stp>P</stp>
        <stp>0</stp>
        <stp>STK</stp>
        <stp>N454910</stp>
        <stp>가중평균가</stp>
        <stp/>
        <stp/>
        <tr r="O90" s="1"/>
      </tp>
      <tp>
        <v>63127.607914</v>
        <stp/>
        <stp>P</stp>
        <stp>0</stp>
        <stp>STK</stp>
        <stp>N251970</stp>
        <stp>가중평균가</stp>
        <stp/>
        <stp/>
        <tr r="O396" s="1"/>
      </tp>
      <tp>
        <v>64051.975968999999</v>
        <stp/>
        <stp>P</stp>
        <stp>0</stp>
        <stp>STK</stp>
        <stp>N102940</stp>
        <stp>가중평균가</stp>
        <stp/>
        <stp/>
        <tr r="O427" s="1"/>
      </tp>
      <tp>
        <v>103678.079297</v>
        <stp/>
        <stp>P</stp>
        <stp>0</stp>
        <stp>STK</stp>
        <stp>N010950</stp>
        <stp>가중평균가</stp>
        <stp/>
        <stp/>
        <tr r="O72" s="1"/>
      </tp>
      <tp>
        <v>471077.86487200001</v>
        <stp/>
        <stp>P</stp>
        <stp>0</stp>
        <stp>STK</stp>
        <stp>N128940</stp>
        <stp>가중평균가</stp>
        <stp/>
        <stp/>
        <tr r="O109" s="1"/>
      </tp>
      <tp>
        <v>96394.690264999997</v>
        <stp/>
        <stp>P</stp>
        <stp>0</stp>
        <stp>STK</stp>
        <stp>N034950</stp>
        <stp>가중평균가</stp>
        <stp/>
        <stp/>
        <tr r="O511" s="1"/>
      </tp>
      <tp>
        <v>15392.062341000001</v>
        <stp/>
        <stp>P</stp>
        <stp>0</stp>
        <stp>STK</stp>
        <stp>N381970</stp>
        <stp>가중평균가</stp>
        <stp/>
        <stp/>
        <tr r="O379" s="1"/>
      </tp>
      <tp>
        <v>69006.612781999997</v>
        <stp/>
        <stp>P</stp>
        <stp>0</stp>
        <stp>STK</stp>
        <stp>N448900</stp>
        <stp>가중평균가</stp>
        <stp/>
        <stp/>
        <tr r="O489" s="1"/>
      </tp>
      <tp>
        <v>248707.639673</v>
        <stp/>
        <stp>P</stp>
        <stp>0</stp>
        <stp>STK</stp>
        <stp>N259960</stp>
        <stp>가중평균가</stp>
        <stp/>
        <stp/>
        <tr r="O70" s="1"/>
      </tp>
      <tp>
        <v>36066.918591000001</v>
        <stp/>
        <stp>P</stp>
        <stp>0</stp>
        <stp>STK</stp>
        <stp>N455900</stp>
        <stp>가중평균가</stp>
        <stp/>
        <stp/>
        <tr r="O418" s="1"/>
      </tp>
      <tp>
        <v>32971.449925000001</v>
        <stp/>
        <stp>P</stp>
        <stp>0</stp>
        <stp>STK</stp>
        <stp>N079940</stp>
        <stp>가중평균가</stp>
        <stp/>
        <stp/>
        <tr r="O520" s="1"/>
      </tp>
      <tp>
        <v>26627.457965000001</v>
        <stp/>
        <stp>P</stp>
        <stp>0</stp>
        <stp>STK</stp>
        <stp>N005940</stp>
        <stp>가중평균가</stp>
        <stp/>
        <stp/>
        <tr r="O88" s="1"/>
      </tp>
      <tp>
        <v>24113.243874</v>
        <stp/>
        <stp>P</stp>
        <stp>0</stp>
        <stp>STK</stp>
        <stp>N001940</stp>
        <stp>가중평균가</stp>
        <stp/>
        <stp/>
        <tr r="O554" s="1"/>
      </tp>
      <tp>
        <v>8198.1107780000002</v>
        <stp/>
        <stp>P</stp>
        <stp>0</stp>
        <stp>STK</stp>
        <stp>N014940</stp>
        <stp>가중평균가</stp>
        <stp/>
        <stp/>
        <tr r="O553" s="1"/>
      </tp>
      <tp>
        <v>87458.883994000003</v>
        <stp/>
        <stp>P</stp>
        <stp>0</stp>
        <stp>STK</stp>
        <stp>N017940</stp>
        <stp>가중평균가</stp>
        <stp/>
        <stp/>
        <tr r="O447" s="1"/>
      </tp>
      <tp>
        <v>30540.13336</v>
        <stp/>
        <stp>P</stp>
        <stp>0</stp>
        <stp>STK</stp>
        <stp>N382900</stp>
        <stp>가중평균가</stp>
        <stp/>
        <stp/>
        <tr r="O654" s="1"/>
      </tp>
      <tp>
        <v>67448.418239000006</v>
        <stp/>
        <stp>P</stp>
        <stp>0</stp>
        <stp>STK</stp>
        <stp>N078930</stp>
        <stp>가중평균가</stp>
        <stp/>
        <stp/>
        <tr r="O104" s="1"/>
      </tp>
      <tp>
        <v>16218.335131</v>
        <stp/>
        <stp>P</stp>
        <stp>0</stp>
        <stp>STK</stp>
        <stp>N178920</stp>
        <stp>가중평균가</stp>
        <stp/>
        <stp/>
        <tr r="O504" s="1"/>
      </tp>
      <tp>
        <v>59605.260358</v>
        <stp/>
        <stp>P</stp>
        <stp>0</stp>
        <stp>STK</stp>
        <stp>N376900</stp>
        <stp>가중평균가</stp>
        <stp/>
        <stp/>
        <tr r="O313" s="1"/>
      </tp>
      <tp>
        <v>41153.615789000003</v>
        <stp/>
        <stp>P</stp>
        <stp>0</stp>
        <stp>STK</stp>
        <stp>N008930</stp>
        <stp>가중평균가</stp>
        <stp/>
        <stp/>
        <tr r="O168" s="1"/>
      </tp>
      <tp>
        <v>157415.84554800001</v>
        <stp/>
        <stp>P</stp>
        <stp>0</stp>
        <stp>STK</stp>
        <stp>N005930</stp>
        <stp>가중평균가</stp>
        <stp/>
        <stp/>
        <tr r="O9" s="1"/>
      </tp>
      <tp>
        <v>42618.566965999999</v>
        <stp/>
        <stp>P</stp>
        <stp>0</stp>
        <stp>STK</stp>
        <stp>N036930</stp>
        <stp>가중평균가</stp>
        <stp/>
        <stp/>
        <tr r="O251" s="1"/>
      </tp>
      <tp>
        <v>20682.729487000001</v>
        <stp/>
        <stp>P</stp>
        <stp>0</stp>
        <stp>STK</stp>
        <stp>N082920</stp>
        <stp>가중평균가</stp>
        <stp/>
        <stp/>
        <tr r="O331" s="1"/>
      </tp>
      <tp>
        <v>16818.1368</v>
        <stp/>
        <stp>P</stp>
        <stp>0</stp>
        <stp>STK</stp>
        <stp>N047920</stp>
        <stp>가중평균가</stp>
        <stp/>
        <stp/>
        <tr r="O451" s="1"/>
      </tp>
      <tp>
        <v>45555.949099999998</v>
        <stp/>
        <stp>P</stp>
        <stp>0</stp>
        <stp>STK</stp>
        <stp>N475960</stp>
        <stp>가중평균가</stp>
        <stp/>
        <stp/>
        <tr r="O431" s="1"/>
      </tp>
      <tp>
        <v>43826.763668</v>
        <stp/>
        <stp>P</stp>
        <stp>0</stp>
        <stp>STK</stp>
        <stp>N101930</stp>
        <stp>가중평균가</stp>
        <stp/>
        <stp/>
        <tr r="O525" s="1"/>
      </tp>
      <tp>
        <v>47528.432686</v>
        <stp/>
        <stp>P</stp>
        <stp>0</stp>
        <stp>STK</stp>
        <stp>N003920</stp>
        <stp>가중평균가</stp>
        <stp/>
        <stp/>
        <tr r="O620" s="1"/>
      </tp>
      <tp>
        <v>16656.629457999999</v>
        <stp/>
        <stp>P</stp>
        <stp>0</stp>
        <stp>STK</stp>
        <stp>N138930</stp>
        <stp>가중평균가</stp>
        <stp/>
        <stp/>
        <tr r="O115" s="1"/>
      </tp>
      <tp>
        <v>14963.263005000001</v>
        <stp/>
        <stp>P</stp>
        <stp>0</stp>
        <stp>STK</stp>
        <stp>N450950</stp>
        <stp>가중평균가</stp>
        <stp/>
        <stp/>
        <tr r="O501" s="1"/>
      </tp>
      <tp>
        <v>308745.30148800003</v>
        <stp/>
        <stp>P</stp>
        <stp>0</stp>
        <stp>STK</stp>
        <stp>N051910</stp>
        <stp>가중평균가</stp>
        <stp/>
        <stp/>
        <tr r="O36" s="1"/>
      </tp>
      <tp>
        <v>23722.053940000002</v>
        <stp/>
        <stp>P</stp>
        <stp>0</stp>
        <stp>STK</stp>
        <stp>N179900</stp>
        <stp>가중평균가</stp>
        <stp/>
        <stp/>
        <tr r="O528" s="1"/>
      </tp>
      <tp>
        <v>53698.197460000003</v>
        <stp/>
        <stp>P</stp>
        <stp>0</stp>
        <stp>STK</stp>
        <stp>N170900</stp>
        <stp>가중평균가</stp>
        <stp/>
        <stp/>
        <tr r="O499" s="1"/>
      </tp>
      <tp>
        <v>131218.44734000001</v>
        <stp/>
        <stp>P</stp>
        <stp>0</stp>
        <stp>STK</stp>
        <stp>N086900</stp>
        <stp>가중평균가</stp>
        <stp/>
        <stp/>
        <tr r="O341" s="1"/>
      </tp>
      <tp>
        <v>260196.709768</v>
        <stp/>
        <stp>P</stp>
        <stp>0</stp>
        <stp>STK</stp>
        <stp>N051900</stp>
        <stp>가중평균가</stp>
        <stp/>
        <stp/>
        <tr r="O127" s="1"/>
      </tp>
      <tp>
        <v>50357.257125999997</v>
        <stp/>
        <stp>P</stp>
        <stp>0</stp>
        <stp>STK</stp>
        <stp>N079900</stp>
        <stp>가중평균가</stp>
        <stp/>
        <stp/>
        <tr r="O385" s="1"/>
      </tp>
      <tp>
        <v>9090.2012990000003</v>
        <stp/>
        <stp>P</stp>
        <stp>0</stp>
        <stp>STK</stp>
        <stp>N009900</stp>
        <stp>가중평균가</stp>
        <stp/>
        <stp/>
        <tr r="O467" s="1"/>
      </tp>
      <tp>
        <v>13320.309174</v>
        <stp/>
        <stp>P</stp>
        <stp>0</stp>
        <stp>STK</stp>
        <stp>N314930</stp>
        <stp>가중평균가</stp>
        <stp/>
        <stp/>
        <tr r="O576" s="1"/>
      </tp>
      <tp>
        <v>10380.233071000001</v>
        <stp/>
        <stp>P</stp>
        <stp>0</stp>
        <stp>STK</stp>
        <stp>N025900</stp>
        <stp>가중평균가</stp>
        <stp/>
        <stp/>
        <tr r="O530" s="1"/>
      </tp>
      <tp>
        <v>71947.500931999995</v>
        <stp/>
        <stp>P</stp>
        <stp>0</stp>
        <stp>STK</stp>
        <stp>N035900</stp>
        <stp>가중평균가</stp>
        <stp/>
        <stp/>
        <tr r="O188" s="1"/>
      </tp>
      <tp>
        <v>52134.100924999999</v>
        <stp/>
        <stp>P</stp>
        <stp>0</stp>
        <stp>STK</stp>
        <stp>N0009K0</stp>
        <stp>가중평균가</stp>
        <stp/>
        <stp/>
        <tr r="O146" s="1"/>
      </tp>
      <tp>
        <v>16959.899894999999</v>
        <stp/>
        <stp>P</stp>
        <stp>0</stp>
        <stp>STK</stp>
        <stp>N293490</stp>
        <stp>가중평균가</stp>
        <stp/>
        <stp/>
        <tr r="O276" s="1"/>
      </tp>
      <tp>
        <v>36851.642737000002</v>
        <stp/>
        <stp>P</stp>
        <stp>0</stp>
        <stp>STK</stp>
        <stp>N352480</stp>
        <stp>가중평균가</stp>
        <stp/>
        <stp/>
        <tr r="O531" s="1"/>
      </tp>
      <tp>
        <v>36891.881616999999</v>
        <stp/>
        <stp>P</stp>
        <stp>0</stp>
        <stp>STK</stp>
        <stp>N194480</stp>
        <stp>가중평균가</stp>
        <stp/>
        <stp/>
        <tr r="O537" s="1"/>
      </tp>
      <tp>
        <v>29446.944693000001</v>
        <stp/>
        <stp>P</stp>
        <stp>0</stp>
        <stp>STK</stp>
        <stp>N044490</stp>
        <stp>가중평균가</stp>
        <stp/>
        <stp/>
        <tr r="O394" s="1"/>
      </tp>
      <tp>
        <v>21336.987104</v>
        <stp/>
        <stp>P</stp>
        <stp>0</stp>
        <stp>STK</stp>
        <stp>N008490</stp>
        <stp>가중평균가</stp>
        <stp/>
        <stp/>
        <tr r="O689" s="1"/>
      </tp>
      <tp>
        <v>62808.235588000003</v>
        <stp/>
        <stp>P</stp>
        <stp>0</stp>
        <stp>STK</stp>
        <stp>N004490</stp>
        <stp>가중평균가</stp>
        <stp/>
        <stp/>
        <tr r="O333" s="1"/>
      </tp>
      <tp>
        <v>343368.40171000001</v>
        <stp/>
        <stp>P</stp>
        <stp>0</stp>
        <stp>STK</stp>
        <stp>N005490</stp>
        <stp>가중평균가</stp>
        <stp/>
        <stp/>
        <tr r="O31" s="1"/>
      </tp>
      <tp>
        <v>9785.0866870000009</v>
        <stp/>
        <stp>P</stp>
        <stp>0</stp>
        <stp>STK</stp>
        <stp>N000490</stp>
        <stp>가중평균가</stp>
        <stp/>
        <stp/>
        <tr r="O631" s="1"/>
      </tp>
      <tp>
        <v>22909.087738999999</v>
        <stp/>
        <stp>P</stp>
        <stp>0</stp>
        <stp>STK</stp>
        <stp>N003490</stp>
        <stp>가중평균가</stp>
        <stp/>
        <stp/>
        <tr r="O82" s="1"/>
      </tp>
      <tp>
        <v>428288.14788</v>
        <stp/>
        <stp>P</stp>
        <stp>0</stp>
        <stp>STK</stp>
        <stp>N039490</stp>
        <stp>가중평균가</stp>
        <stp/>
        <stp/>
        <tr r="O85" s="1"/>
      </tp>
      <tp>
        <v>90584.892158000002</v>
        <stp/>
        <stp>P</stp>
        <stp>0</stp>
        <stp>STK</stp>
        <stp>N139480</stp>
        <stp>가중평균가</stp>
        <stp/>
        <stp/>
        <tr r="O194" s="1"/>
      </tp>
      <tp>
        <v>11623.34448</v>
        <stp/>
        <stp>P</stp>
        <stp>0</stp>
        <stp>STK</stp>
        <stp>N094480</stp>
        <stp>가중평균가</stp>
        <stp/>
        <stp/>
        <tr r="O567" s="1"/>
      </tp>
      <tp>
        <v>335000.005221</v>
        <stp/>
        <stp>P</stp>
        <stp>0</stp>
        <stp>STK</stp>
        <stp>N108490</stp>
        <stp>가중평균가</stp>
        <stp/>
        <stp/>
        <tr r="O135" s="1"/>
      </tp>
      <tp>
        <v>87360.248586000002</v>
        <stp/>
        <stp>P</stp>
        <stp>0</stp>
        <stp>STK</stp>
        <stp>N101490</stp>
        <stp>가중평균가</stp>
        <stp/>
        <stp/>
        <tr r="O257" s="1"/>
      </tp>
      <tp>
        <v>24192.393339999999</v>
        <stp/>
        <stp>P</stp>
        <stp>0</stp>
        <stp>STK</stp>
        <stp>N125490</stp>
        <stp>가중평균가</stp>
        <stp/>
        <stp/>
        <tr r="O377" s="1"/>
      </tp>
      <tp>
        <v>9620.8829949999999</v>
        <stp/>
        <stp>P</stp>
        <stp>0</stp>
        <stp>STK</stp>
        <stp>N138490</stp>
        <stp>가중평균가</stp>
        <stp/>
        <stp/>
        <tr r="O611" s="1"/>
      </tp>
      <tp>
        <v>100800.095644</v>
        <stp/>
        <stp>P</stp>
        <stp>0</stp>
        <stp>STK</stp>
        <stp>N058470</stp>
        <stp>가중평균가</stp>
        <stp/>
        <stp/>
        <tr r="O112" s="1"/>
      </tp>
      <tp>
        <v>37364.414070999999</v>
        <stp/>
        <stp>P</stp>
        <stp>0</stp>
        <stp>STK</stp>
        <stp>N452430</stp>
        <stp>가중평균가</stp>
        <stp/>
        <stp/>
        <tr r="O661" s="1"/>
      </tp>
      <tp>
        <v>47649.359239999998</v>
        <stp/>
        <stp>P</stp>
        <stp>0</stp>
        <stp>STK</stp>
        <stp>N253450</stp>
        <stp>가중평균가</stp>
        <stp/>
        <stp/>
        <tr r="O264" s="1"/>
      </tp>
      <tp>
        <v>50067.505848000001</v>
        <stp/>
        <stp>P</stp>
        <stp>0</stp>
        <stp>STK</stp>
        <stp>N302440</stp>
        <stp>가중평균가</stp>
        <stp/>
        <stp/>
        <tr r="O134" s="1"/>
      </tp>
      <tp>
        <v>453740.25074300001</v>
        <stp/>
        <stp>P</stp>
        <stp>0</stp>
        <stp>STK</stp>
        <stp>N214450</stp>
        <stp>가중평균가</stp>
        <stp/>
        <stp/>
        <tr r="O120" s="1"/>
      </tp>
      <tp>
        <v>33621.662753999997</v>
        <stp/>
        <stp>P</stp>
        <stp>0</stp>
        <stp>STK</stp>
        <stp>N098460</stp>
        <stp>가중평균가</stp>
        <stp/>
        <stp/>
        <tr r="O205" s="1"/>
      </tp>
      <tp>
        <v>17825.679149</v>
        <stp/>
        <stp>P</stp>
        <stp>0</stp>
        <stp>STK</stp>
        <stp>N090460</stp>
        <stp>가중평균가</stp>
        <stp/>
        <stp/>
        <tr r="O458" s="1"/>
      </tp>
      <tp>
        <v>15825.786521</v>
        <stp/>
        <stp>P</stp>
        <stp>0</stp>
        <stp>STK</stp>
        <stp>N092460</stp>
        <stp>가중평균가</stp>
        <stp/>
        <stp/>
        <tr r="O643" s="1"/>
      </tp>
      <tp>
        <v>41866.666666999998</v>
        <stp/>
        <stp>P</stp>
        <stp>0</stp>
        <stp>STK</stp>
        <stp>N001460</stp>
        <stp>가중평균가</stp>
        <stp/>
        <stp/>
        <tr r="O660" s="1"/>
      </tp>
      <tp>
        <v>62005.937403999997</v>
        <stp/>
        <stp>P</stp>
        <stp>0</stp>
        <stp>STK</stp>
        <stp>N317450</stp>
        <stp>가중평균가</stp>
        <stp/>
        <stp/>
        <tr r="O342" s="1"/>
      </tp>
      <tp>
        <v>32773.360569999997</v>
        <stp/>
        <stp>P</stp>
        <stp>0</stp>
        <stp>STK</stp>
        <stp>N029460</stp>
        <stp>가중평균가</stp>
        <stp/>
        <stp/>
        <tr r="O557" s="1"/>
      </tp>
      <tp>
        <v>37108.751117</v>
        <stp/>
        <stp>P</stp>
        <stp>0</stp>
        <stp>STK</stp>
        <stp>N425420</stp>
        <stp>가중평균가</stp>
        <stp/>
        <stp/>
        <tr r="O535" s="1"/>
      </tp>
      <tp>
        <v>39779.652461999998</v>
        <stp/>
        <stp>P</stp>
        <stp>0</stp>
        <stp>STK</stp>
        <stp>N036460</stp>
        <stp>가중평균가</stp>
        <stp/>
        <stp/>
        <tr r="O137" s="1"/>
      </tp>
      <tp>
        <v>18464.899753000002</v>
        <stp/>
        <stp>P</stp>
        <stp>0</stp>
        <stp>STK</stp>
        <stp>N086450</stp>
        <stp>가중평균가</stp>
        <stp/>
        <stp/>
        <tr r="O371" s="1"/>
      </tp>
      <tp>
        <v>28167.661075</v>
        <stp/>
        <stp>P</stp>
        <stp>0</stp>
        <stp>STK</stp>
        <stp>N083450</stp>
        <stp>가중평균가</stp>
        <stp/>
        <stp/>
        <tr r="O480" s="1"/>
      </tp>
      <tp>
        <v>276054.94628199999</v>
        <stp/>
        <stp>P</stp>
        <stp>0</stp>
        <stp>STK</stp>
        <stp>N278470</stp>
        <stp>가중평균가</stp>
        <stp/>
        <stp/>
        <tr r="O77" s="1"/>
      </tp>
      <tp>
        <v>57529.033251000001</v>
        <stp/>
        <stp>P</stp>
        <stp>0</stp>
        <stp>STK</stp>
        <stp>N009450</stp>
        <stp>가중평균가</stp>
        <stp/>
        <stp/>
        <tr r="O351" s="1"/>
      </tp>
      <tp>
        <v>27898.650046999999</v>
        <stp/>
        <stp>P</stp>
        <stp>0</stp>
        <stp>STK</stp>
        <stp>N001450</stp>
        <stp>가중평균가</stp>
        <stp/>
        <stp/>
        <tr r="O183" s="1"/>
      </tp>
      <tp>
        <v>1324183.222758</v>
        <stp/>
        <stp>P</stp>
        <stp>0</stp>
        <stp>STK</stp>
        <stp>N012450</stp>
        <stp>가중평균가</stp>
        <stp/>
        <stp/>
        <tr r="O15" s="1"/>
      </tp>
      <tp>
        <v>71512.769784000004</v>
        <stp/>
        <stp>P</stp>
        <stp>0</stp>
        <stp>STK</stp>
        <stp>N389470</stp>
        <stp>가중평균가</stp>
        <stp/>
        <stp/>
        <tr r="O329" s="1"/>
      </tp>
      <tp>
        <v>43515.823127000003</v>
        <stp/>
        <stp>P</stp>
        <stp>0</stp>
        <stp>STK</stp>
        <stp>N475400</stp>
        <stp>가중평균가</stp>
        <stp/>
        <stp/>
        <tr r="O463" s="1"/>
      </tp>
      <tp>
        <v>9081.4233100000001</v>
        <stp/>
        <stp>P</stp>
        <stp>0</stp>
        <stp>STK</stp>
        <stp>N005440</stp>
        <stp>가중평균가</stp>
        <stp/>
        <stp/>
        <tr r="O268" s="1"/>
      </tp>
      <tp>
        <v>28460.076529999998</v>
        <stp/>
        <stp>P</stp>
        <stp>0</stp>
        <stp>STK</stp>
        <stp>N001440</stp>
        <stp>가중평균가</stp>
        <stp/>
        <stp/>
        <tr r="O110" s="1"/>
      </tp>
      <tp>
        <v>36275.553540000001</v>
        <stp/>
        <stp>P</stp>
        <stp>0</stp>
        <stp>STK</stp>
        <stp>N039440</stp>
        <stp>가중평균가</stp>
        <stp/>
        <stp/>
        <tr r="O497" s="1"/>
      </tp>
      <tp>
        <v>135566.11777000001</v>
        <stp/>
        <stp>P</stp>
        <stp>0</stp>
        <stp>STK</stp>
        <stp>N090430</stp>
        <stp>가중평균가</stp>
        <stp/>
        <stp/>
        <tr r="O93" s="1"/>
      </tp>
      <tp>
        <v>70409.499244000006</v>
        <stp/>
        <stp>P</stp>
        <stp>0</stp>
        <stp>STK</stp>
        <stp>N001430</stp>
        <stp>가중평균가</stp>
        <stp/>
        <stp/>
        <tr r="O166" s="1"/>
      </tp>
      <tp>
        <v>46148.713493000003</v>
        <stp/>
        <stp>P</stp>
        <stp>0</stp>
        <stp>STK</stp>
        <stp>N218410</stp>
        <stp>가중평균가</stp>
        <stp/>
        <stp/>
        <tr r="O327" s="1"/>
      </tp>
      <tp>
        <v>11964.974913</v>
        <stp/>
        <stp>P</stp>
        <stp>0</stp>
        <stp>STK</stp>
        <stp>N031430</stp>
        <stp>가중평균가</stp>
        <stp/>
        <stp/>
        <tr r="O550" s="1"/>
      </tp>
      <tp>
        <v>33576.131307000003</v>
        <stp/>
        <stp>P</stp>
        <stp>0</stp>
        <stp>STK</stp>
        <stp>N199430</stp>
        <stp>가중평균가</stp>
        <stp/>
        <stp/>
        <tr r="O488" s="1"/>
      </tp>
      <tp>
        <v>50264.294817000002</v>
        <stp/>
        <stp>P</stp>
        <stp>0</stp>
        <stp>STK</stp>
        <stp>N009420</stp>
        <stp>가중평균가</stp>
        <stp/>
        <stp/>
        <tr r="O190" s="1"/>
      </tp>
      <tp>
        <v>16379.447752</v>
        <stp/>
        <stp>P</stp>
        <stp>0</stp>
        <stp>STK</stp>
        <stp>N005420</stp>
        <stp>가중평균가</stp>
        <stp/>
        <stp/>
        <tr r="O446" s="1"/>
      </tp>
      <tp>
        <v>22670.088445000001</v>
        <stp/>
        <stp>P</stp>
        <stp>0</stp>
        <stp>STK</stp>
        <stp>N323410</stp>
        <stp>가중평균가</stp>
        <stp/>
        <stp/>
        <tr r="O75" s="1"/>
      </tp>
      <tp>
        <v>269928.432554</v>
        <stp/>
        <stp>P</stp>
        <stp>0</stp>
        <stp>STK</stp>
        <stp>N035420</stp>
        <stp>가중평균가</stp>
        <stp/>
        <stp/>
        <tr r="O26" s="1"/>
      </tp>
      <tp>
        <v>27140.873016000001</v>
        <stp/>
        <stp>P</stp>
        <stp>0</stp>
        <stp>STK</stp>
        <stp>N192400</stp>
        <stp>가중평균가</stp>
        <stp/>
        <stp/>
        <tr r="O323" s="1"/>
      </tp>
      <tp>
        <v>0</v>
        <stp/>
        <stp>P</stp>
        <stp>0</stp>
        <stp>STK</stp>
        <stp>N048410</stp>
        <stp>가중평균가</stp>
        <stp/>
        <stp/>
        <tr r="O455" s="1"/>
      </tp>
      <tp>
        <v>124789.57705199999</v>
        <stp/>
        <stp>P</stp>
        <stp>0</stp>
        <stp>STK</stp>
        <stp>N214430</stp>
        <stp>가중평균가</stp>
        <stp/>
        <stp/>
        <tr r="O417" s="1"/>
      </tp>
      <tp>
        <v>52894.247598000002</v>
        <stp/>
        <stp>P</stp>
        <stp>0</stp>
        <stp>STK</stp>
        <stp>N137400</stp>
        <stp>가중평균가</stp>
        <stp/>
        <stp/>
        <tr r="O325" s="1"/>
      </tp>
      <tp>
        <v>37073.384289000001</v>
        <stp/>
        <stp>P</stp>
        <stp>0</stp>
        <stp>STK</stp>
        <stp>N249420</stp>
        <stp>가중평균가</stp>
        <stp/>
        <stp/>
        <tr r="O288" s="1"/>
      </tp>
      <tp>
        <v>163211.852124</v>
        <stp/>
        <stp>P</stp>
        <stp>0</stp>
        <stp>STK</stp>
        <stp>N140410</stp>
        <stp>가중평균가</stp>
        <stp/>
        <stp/>
        <tr r="O154" s="1"/>
      </tp>
      <tp>
        <v>59316.655906</v>
        <stp/>
        <stp>P</stp>
        <stp>0</stp>
        <stp>STK</stp>
        <stp>N052400</stp>
        <stp>가중평균가</stp>
        <stp/>
        <stp/>
        <tr r="O421" s="1"/>
      </tp>
      <tp>
        <v>69031.100678000003</v>
        <stp/>
        <stp>P</stp>
        <stp>0</stp>
        <stp>STK</stp>
        <stp>N064400</stp>
        <stp>가중평균가</stp>
        <stp/>
        <stp/>
        <tr r="O94" s="1"/>
      </tp>
      <tp>
        <v>24812.079548000002</v>
        <stp/>
        <stp>P</stp>
        <stp>0</stp>
        <stp>STK</stp>
        <stp>N308430</stp>
        <stp>가중평균가</stp>
        <stp/>
        <stp/>
        <tr r="O625" s="1"/>
      </tp>
      <tp>
        <v>378134.16496099997</v>
        <stp/>
        <stp>P</stp>
        <stp>0</stp>
        <stp>STK</stp>
        <stp>N006400</stp>
        <stp>가중평균가</stp>
        <stp/>
        <stp/>
        <tr r="O34" s="1"/>
      </tp>
      <tp>
        <v>37824.240295000003</v>
        <stp/>
        <stp>P</stp>
        <stp>0</stp>
        <stp>STK</stp>
        <stp>N213420</stp>
        <stp>가중평균가</stp>
        <stp/>
        <stp/>
        <tr r="O338" s="1"/>
      </tp>
      <tp>
        <v>13056.060941</v>
        <stp/>
        <stp>P</stp>
        <stp>0</stp>
        <stp>STK</stp>
        <stp>N484590</stp>
        <stp>가중평균가</stp>
        <stp/>
        <stp/>
        <tr r="O453" s="1"/>
      </tp>
      <tp>
        <v>15759.014493999999</v>
        <stp/>
        <stp>P</stp>
        <stp>0</stp>
        <stp>STK</stp>
        <stp>N253590</stp>
        <stp>가중평균가</stp>
        <stp/>
        <stp/>
        <tr r="O477" s="1"/>
      </tp>
      <tp>
        <v>14824.559775</v>
        <stp/>
        <stp>P</stp>
        <stp>0</stp>
        <stp>STK</stp>
        <stp>N217590</stp>
        <stp>가중평균가</stp>
        <stp/>
        <stp/>
        <tr r="O545" s="1"/>
      </tp>
      <tp>
        <v>56262.299011000003</v>
        <stp/>
        <stp>P</stp>
        <stp>0</stp>
        <stp>STK</stp>
        <stp>N161580</stp>
        <stp>가중평균가</stp>
        <stp/>
        <stp/>
        <tr r="O314" s="1"/>
      </tp>
      <tp>
        <v>12232.222222</v>
        <stp/>
        <stp>P</stp>
        <stp>0</stp>
        <stp>STK</stp>
        <stp>N016590</stp>
        <stp>가중평균가</stp>
        <stp/>
        <stp/>
        <tr r="O465" s="1"/>
      </tp>
      <tp>
        <v>50572.714119999997</v>
        <stp/>
        <stp>P</stp>
        <stp>0</stp>
        <stp>STK</stp>
        <stp>N023590</stp>
        <stp>가중평균가</stp>
        <stp/>
        <stp/>
        <tr r="O225" s="1"/>
      </tp>
      <tp>
        <v>19088.296513000001</v>
        <stp/>
        <stp>P</stp>
        <stp>0</stp>
        <stp>STK</stp>
        <stp>N075580</stp>
        <stp>가중평균가</stp>
        <stp/>
        <stp/>
        <tr r="O299" s="1"/>
      </tp>
      <tp>
        <v>65089.757101000003</v>
        <stp/>
        <stp>P</stp>
        <stp>0</stp>
        <stp>STK</stp>
        <stp>N103590</stp>
        <stp>가중평균가</stp>
        <stp/>
        <stp/>
        <tr r="O157" s="1"/>
      </tp>
      <tp>
        <v>77051.478048000004</v>
        <stp/>
        <stp>P</stp>
        <stp>0</stp>
        <stp>STK</stp>
        <stp>N468530</stp>
        <stp>가중평균가</stp>
        <stp/>
        <stp/>
        <tr r="O340" s="1"/>
      </tp>
      <tp>
        <v>98333.622390000004</v>
        <stp/>
        <stp>P</stp>
        <stp>0</stp>
        <stp>STK</stp>
        <stp>N066570</stp>
        <stp>가중평균가</stp>
        <stp/>
        <stp/>
        <tr r="O48" s="1"/>
      </tp>
      <tp>
        <v>136840.37362299999</v>
        <stp/>
        <stp>P</stp>
        <stp>0</stp>
        <stp>STK</stp>
        <stp>N105560</stp>
        <stp>가중평균가</stp>
        <stp/>
        <stp/>
        <tr r="O19" s="1"/>
      </tp>
      <tp>
        <v>50357.803746999998</v>
        <stp/>
        <stp>P</stp>
        <stp>0</stp>
        <stp>STK</stp>
        <stp>N003570</stp>
        <stp>가중평균가</stp>
        <stp/>
        <stp/>
        <tr r="O237" s="1"/>
      </tp>
      <tp>
        <v>36722.788709</v>
        <stp/>
        <stp>P</stp>
        <stp>0</stp>
        <stp>STK</stp>
        <stp>N419530</stp>
        <stp>가중평균가</stp>
        <stp/>
        <stp/>
        <tr r="O580" s="1"/>
      </tp>
      <tp>
        <v>226268.43091299999</v>
        <stp/>
        <stp>P</stp>
        <stp>0</stp>
        <stp>STK</stp>
        <stp>N036570</stp>
        <stp>가중평균가</stp>
        <stp/>
        <stp/>
        <tr r="O114" s="1"/>
      </tp>
      <tp>
        <v>32907.074388000001</v>
        <stp/>
        <stp>P</stp>
        <stp>0</stp>
        <stp>STK</stp>
        <stp>N380550</stp>
        <stp>가중평균가</stp>
        <stp/>
        <stp/>
        <tr r="O663" s="1"/>
      </tp>
      <tp>
        <v>229853.752118</v>
        <stp/>
        <stp>P</stp>
        <stp>0</stp>
        <stp>STK</stp>
        <stp>N247540</stp>
        <stp>가중평균가</stp>
        <stp/>
        <stp/>
        <tr r="O57" s="1"/>
      </tp>
      <tp>
        <v>56582.988248000001</v>
        <stp/>
        <stp>P</stp>
        <stp>0</stp>
        <stp>STK</stp>
        <stp>N357550</stp>
        <stp>가중평균가</stp>
        <stp/>
        <stp/>
        <tr r="O612" s="1"/>
      </tp>
      <tp>
        <v>7569.42299</v>
        <stp/>
        <stp>P</stp>
        <stp>0</stp>
        <stp>STK</stp>
        <stp>N020560</stp>
        <stp>가중평균가</stp>
        <stp/>
        <stp/>
        <tr r="O246" s="1"/>
      </tp>
      <tp>
        <v>34294.368947000003</v>
        <stp/>
        <stp>P</stp>
        <stp>0</stp>
        <stp>STK</stp>
        <stp>N294570</stp>
        <stp>가중평균가</stp>
        <stp/>
        <stp/>
        <tr r="O650" s="1"/>
      </tp>
      <tp>
        <v>30355.424967999999</v>
        <stp/>
        <stp>P</stp>
        <stp>0</stp>
        <stp>STK</stp>
        <stp>N459510</stp>
        <stp>가중평균가</stp>
        <stp/>
        <stp/>
        <tr r="O493" s="1"/>
      </tp>
      <tp>
        <v>85246.592124999996</v>
        <stp/>
        <stp>P</stp>
        <stp>0</stp>
        <stp>STK</stp>
        <stp>N055550</stp>
        <stp>가중평균가</stp>
        <stp/>
        <stp/>
        <tr r="O25" s="1"/>
      </tp>
      <tp>
        <v>13298.566322999999</v>
        <stp/>
        <stp>P</stp>
        <stp>0</stp>
        <stp>STK</stp>
        <stp>N064550</stp>
        <stp>가중평균가</stp>
        <stp/>
        <stp/>
        <tr r="O616" s="1"/>
      </tp>
      <tp>
        <v>474932.49272699998</v>
        <stp/>
        <stp>P</stp>
        <stp>0</stp>
        <stp>STK</stp>
        <stp>N079550</stp>
        <stp>가중평균가</stp>
        <stp/>
        <stp/>
        <tr r="O69" s="1"/>
      </tp>
      <tp>
        <v>89879.213560999997</v>
        <stp/>
        <stp>P</stp>
        <stp>0</stp>
        <stp>STK</stp>
        <stp>N003550</stp>
        <stp>가중평균가</stp>
        <stp/>
        <stp/>
        <tr r="O65" s="1"/>
      </tp>
      <tp>
        <v>12893.146734</v>
        <stp/>
        <stp>P</stp>
        <stp>0</stp>
        <stp>STK</stp>
        <stp>N225570</stp>
        <stp>가중평균가</stp>
        <stp/>
        <stp/>
        <tr r="O357" s="1"/>
      </tp>
      <tp>
        <v>55149.780613000003</v>
        <stp/>
        <stp>P</stp>
        <stp>0</stp>
        <stp>STK</stp>
        <stp>N340570</stp>
        <stp>가중평균가</stp>
        <stp/>
        <stp/>
        <tr r="O575" s="1"/>
      </tp>
      <tp>
        <v>58359.711882000003</v>
        <stp/>
        <stp>P</stp>
        <stp>0</stp>
        <stp>STK</stp>
        <stp>N241560</stp>
        <stp>가중평균가</stp>
        <stp/>
        <stp/>
        <tr r="O103" s="1"/>
      </tp>
      <tp>
        <v>14977.487342</v>
        <stp/>
        <stp>P</stp>
        <stp>0</stp>
        <stp>STK</stp>
        <stp>N358570</stp>
        <stp>가중평균가</stp>
        <stp/>
        <stp/>
        <tr r="O339" s="1"/>
      </tp>
      <tp>
        <v>116605.631748</v>
        <stp/>
        <stp>P</stp>
        <stp>0</stp>
        <stp>STK</stp>
        <stp>N271560</stp>
        <stp>가중평균가</stp>
        <stp/>
        <stp/>
        <tr r="O117" s="1"/>
      </tp>
      <tp>
        <v>409095.02530799998</v>
        <stp/>
        <stp>P</stp>
        <stp>0</stp>
        <stp>STK</stp>
        <stp>N009540</stp>
        <stp>가중평균가</stp>
        <stp/>
        <stp/>
        <tr r="O30" s="1"/>
      </tp>
      <tp>
        <v>30593.754312000001</v>
        <stp/>
        <stp>P</stp>
        <stp>0</stp>
        <stp>STK</stp>
        <stp>N003540</stp>
        <stp>가중평균가</stp>
        <stp/>
        <stp/>
        <tr r="O262" s="1"/>
      </tp>
      <tp>
        <v>73132.608343</v>
        <stp/>
        <stp>P</stp>
        <stp>0</stp>
        <stp>STK</stp>
        <stp>N025540</stp>
        <stp>가중평균가</stp>
        <stp/>
        <stp/>
        <tr r="O355" s="1"/>
      </tp>
      <tp>
        <v>7552.3209370000004</v>
        <stp/>
        <stp>P</stp>
        <stp>0</stp>
        <stp>STK</stp>
        <stp>N036540</stp>
        <stp>가중평균가</stp>
        <stp/>
        <stp/>
        <tr r="O334" s="1"/>
      </tp>
      <tp>
        <v>9819.5731290000003</v>
        <stp/>
        <stp>P</stp>
        <stp>0</stp>
        <stp>STK</stp>
        <stp>N336570</stp>
        <stp>가중평균가</stp>
        <stp/>
        <stp/>
        <tr r="O375" s="1"/>
      </tp>
      <tp>
        <v>29799.011229</v>
        <stp/>
        <stp>P</stp>
        <stp>0</stp>
        <stp>STK</stp>
        <stp>N096530</stp>
        <stp>가중평균가</stp>
        <stp/>
        <stp/>
        <tr r="O278" s="1"/>
      </tp>
      <tp>
        <v>43486.205804999998</v>
        <stp/>
        <stp>P</stp>
        <stp>0</stp>
        <stp>STK</stp>
        <stp>N375500</stp>
        <stp>가중평균가</stp>
        <stp/>
        <stp/>
        <tr r="O238" s="1"/>
      </tp>
      <tp>
        <v>19880.073516</v>
        <stp/>
        <stp>P</stp>
        <stp>0</stp>
        <stp>STK</stp>
        <stp>N001530</stp>
        <stp>가중평균가</stp>
        <stp/>
        <stp/>
        <tr r="O549" s="1"/>
      </tp>
      <tp>
        <v>49617.655305</v>
        <stp/>
        <stp>P</stp>
        <stp>0</stp>
        <stp>STK</stp>
        <stp>N029530</stp>
        <stp>가중평균가</stp>
        <stp/>
        <stp/>
        <tr r="O502" s="1"/>
      </tp>
      <tp>
        <v>84669.241668999995</v>
        <stp/>
        <stp>P</stp>
        <stp>0</stp>
        <stp>STK</stp>
        <stp>N023530</stp>
        <stp>가중평균가</stp>
        <stp/>
        <stp/>
        <tr r="O203" s="1"/>
      </tp>
      <tp>
        <v>53669.872317000001</v>
        <stp/>
        <stp>P</stp>
        <stp>0</stp>
        <stp>STK</stp>
        <stp>N036530</stp>
        <stp>가중평균가</stp>
        <stp/>
        <stp/>
        <tr r="O328" s="1"/>
      </tp>
      <tp>
        <v>41130.497207</v>
        <stp/>
        <stp>P</stp>
        <stp>0</stp>
        <stp>STK</stp>
        <stp>N030530</stp>
        <stp>가중평균가</stp>
        <stp/>
        <stp/>
        <tr r="O149" s="1"/>
      </tp>
      <tp>
        <v>166110.98529000001</v>
        <stp/>
        <stp>P</stp>
        <stp>0</stp>
        <stp>STK</stp>
        <stp>N086520</stp>
        <stp>가중평균가</stp>
        <stp/>
        <stp/>
        <tr r="O67" s="1"/>
      </tp>
      <tp>
        <v>29749.884628</v>
        <stp/>
        <stp>P</stp>
        <stp>0</stp>
        <stp>STK</stp>
        <stp>N097520</stp>
        <stp>가중평균가</stp>
        <stp/>
        <stp/>
        <tr r="O450" s="1"/>
      </tp>
      <tp>
        <v>23198.575847</v>
        <stp/>
        <stp>P</stp>
        <stp>0</stp>
        <stp>STK</stp>
        <stp>N093520</stp>
        <stp>가중평균가</stp>
        <stp/>
        <stp/>
        <tr r="O630" s="1"/>
      </tp>
      <tp>
        <v>38869.517816</v>
        <stp/>
        <stp>P</stp>
        <stp>0</stp>
        <stp>STK</stp>
        <stp>N042520</stp>
        <stp>가중평균가</stp>
        <stp/>
        <stp/>
        <tr r="O607" s="1"/>
      </tp>
      <tp>
        <v>10502.789538000001</v>
        <stp/>
        <stp>P</stp>
        <stp>0</stp>
        <stp>STK</stp>
        <stp>N078520</stp>
        <stp>가중평균가</stp>
        <stp/>
        <stp/>
        <tr r="O673" s="1"/>
      </tp>
      <tp>
        <v>24021.875</v>
        <stp/>
        <stp>P</stp>
        <stp>0</stp>
        <stp>STK</stp>
        <stp>N475560</stp>
        <stp>가중평균가</stp>
        <stp/>
        <stp/>
        <tr r="O574" s="1"/>
      </tp>
      <tp>
        <v>19501.411775</v>
        <stp/>
        <stp>P</stp>
        <stp>0</stp>
        <stp>STK</stp>
        <stp>N009520</stp>
        <stp>가중평균가</stp>
        <stp/>
        <stp/>
        <tr r="O366" s="1"/>
      </tp>
      <tp>
        <v>25015.397936000001</v>
        <stp/>
        <stp>P</stp>
        <stp>0</stp>
        <stp>STK</stp>
        <stp>N030520</stp>
        <stp>가중평균가</stp>
        <stp/>
        <stp/>
        <tr r="O457" s="1"/>
      </tp>
      <tp>
        <v>111912.41194999999</v>
        <stp/>
        <stp>P</stp>
        <stp>0</stp>
        <stp>STK</stp>
        <stp>N041510</stp>
        <stp>가중평균가</stp>
        <stp/>
        <stp/>
        <tr r="O180" s="1"/>
      </tp>
      <tp>
        <v>11636.277641000001</v>
        <stp/>
        <stp>P</stp>
        <stp>0</stp>
        <stp>STK</stp>
        <stp>N403550</stp>
        <stp>가중평균가</stp>
        <stp/>
        <stp/>
        <tr r="O540" s="1"/>
      </tp>
      <tp>
        <v>94830.361388000005</v>
        <stp/>
        <stp>P</stp>
        <stp>0</stp>
        <stp>STK</stp>
        <stp>N012510</stp>
        <stp>가중평균가</stp>
        <stp/>
        <stp/>
        <tr r="O158" s="1"/>
      </tp>
      <tp>
        <v>11631.118383000001</v>
        <stp/>
        <stp>P</stp>
        <stp>0</stp>
        <stp>STK</stp>
        <stp>N095500</stp>
        <stp>가중평균가</stp>
        <stp/>
        <stp/>
        <tr r="O599" s="1"/>
      </tp>
      <tp>
        <v>24020.003420000001</v>
        <stp/>
        <stp>P</stp>
        <stp>0</stp>
        <stp>STK</stp>
        <stp>N190510</stp>
        <stp>가중평균가</stp>
        <stp/>
        <stp/>
        <tr r="O582" s="1"/>
      </tp>
      <tp>
        <v>25631.113943</v>
        <stp/>
        <stp>P</stp>
        <stp>0</stp>
        <stp>STK</stp>
        <stp>N144510</stp>
        <stp>가중평균가</stp>
        <stp/>
        <stp/>
        <tr r="O578" s="1"/>
      </tp>
      <tp>
        <v>27931.6361</v>
        <stp/>
        <stp>P</stp>
        <stp>0</stp>
        <stp>STK</stp>
        <stp>N051500</stp>
        <stp>가중평균가</stp>
        <stp/>
        <stp/>
        <tr r="O608" s="1"/>
      </tp>
      <tp>
        <v>20872.266327000001</v>
        <stp/>
        <stp>P</stp>
        <stp>0</stp>
        <stp>STK</stp>
        <stp>N265520</stp>
        <stp>가중평균가</stp>
        <stp/>
        <stp/>
        <tr r="O642" s="1"/>
      </tp>
      <tp>
        <v>19097.766798000001</v>
        <stp/>
        <stp>P</stp>
        <stp>0</stp>
        <stp>STK</stp>
        <stp>N005500</stp>
        <stp>가중평균가</stp>
        <stp/>
        <stp/>
        <tr r="O669" s="1"/>
      </tp>
      <tp>
        <v>84524.057539999994</v>
        <stp/>
        <stp>P</stp>
        <stp>0</stp>
        <stp>STK</stp>
        <stp>N000500</stp>
        <stp>가중평균가</stp>
        <stp/>
        <stp/>
        <tr r="O252" s="1"/>
      </tp>
      <tp>
        <v>9332.5056980000008</v>
        <stp/>
        <stp>P</stp>
        <stp>0</stp>
        <stp>STK</stp>
        <stp>N001500</stp>
        <stp>가중평균가</stp>
        <stp/>
        <stp/>
        <tr r="O462" s="1"/>
      </tp>
      <tp>
        <v>25173.973665000001</v>
        <stp/>
        <stp>P</stp>
        <stp>0</stp>
        <stp>STK</stp>
        <stp>N011500</stp>
        <stp>가중평균가</stp>
        <stp/>
        <stp/>
        <tr r="O634" s="1"/>
      </tp>
      <tp>
        <v>18054.529758000001</v>
        <stp/>
        <stp>P</stp>
        <stp>0</stp>
        <stp>STK</stp>
        <stp>N032500</stp>
        <stp>가중평균가</stp>
        <stp/>
        <stp/>
        <tr r="O416" s="1"/>
      </tp>
      <tp>
        <v>27647.117534000001</v>
        <stp/>
        <stp>P</stp>
        <stp>0</stp>
        <stp>STK</stp>
        <stp>N033500</stp>
        <stp>가중평균가</stp>
        <stp/>
        <stp/>
        <tr r="O347" s="1"/>
      </tp>
      <tp>
        <v>119069.53822</v>
        <stp/>
        <stp>P</stp>
        <stp>0</stp>
        <stp>STK</stp>
        <stp>N445680</stp>
        <stp>가중평균가</stp>
        <stp/>
        <stp/>
        <tr r="O207" s="1"/>
      </tp>
      <tp>
        <v>7528.330121</v>
        <stp/>
        <stp>P</stp>
        <stp>0</stp>
        <stp>STK</stp>
        <stp>N356680</stp>
        <stp>가중평균가</stp>
        <stp/>
        <stp/>
        <tr r="O697" s="1"/>
      </tp>
      <tp>
        <v>153559.09388900001</v>
        <stp/>
        <stp>P</stp>
        <stp>0</stp>
        <stp>STK</stp>
        <stp>N237690</stp>
        <stp>가중평균가</stp>
        <stp/>
        <stp/>
        <tr r="O185" s="1"/>
      </tp>
      <tp>
        <v>9885.4998579999992</v>
        <stp/>
        <stp>P</stp>
        <stp>0</stp>
        <stp>STK</stp>
        <stp>N084690</stp>
        <stp>가중평균가</stp>
        <stp/>
        <stp/>
        <tr r="O590" s="1"/>
      </tp>
      <tp>
        <v>126835.595409</v>
        <stp/>
        <stp>P</stp>
        <stp>0</stp>
        <stp>STK</stp>
        <stp>N052690</stp>
        <stp>가중평균가</stp>
        <stp/>
        <stp/>
        <tr r="O107" s="1"/>
      </tp>
      <tp>
        <v>141051.40862</v>
        <stp/>
        <stp>P</stp>
        <stp>0</stp>
        <stp>STK</stp>
        <stp>N004690</stp>
        <stp>가중평균가</stp>
        <stp/>
        <stp/>
        <tr r="O468" s="1"/>
      </tp>
      <tp>
        <v>13641.081037</v>
        <stp/>
        <stp>P</stp>
        <stp>0</stp>
        <stp>STK</stp>
        <stp>N005690</stp>
        <stp>가중평균가</stp>
        <stp/>
        <stp/>
        <tr r="O361" s="1"/>
      </tp>
      <tp>
        <v>36222.146430000001</v>
        <stp/>
        <stp>P</stp>
        <stp>0</stp>
        <stp>STK</stp>
        <stp>N007690</stp>
        <stp>가중평균가</stp>
        <stp/>
        <stp/>
        <tr r="O589" s="1"/>
      </tp>
      <tp>
        <v>11852.01352</v>
        <stp/>
        <stp>P</stp>
        <stp>0</stp>
        <stp>STK</stp>
        <stp>N003690</stp>
        <stp>가중평균가</stp>
        <stp/>
        <stp/>
        <tr r="O199" s="1"/>
      </tp>
      <tp>
        <v>9021.2114070000007</v>
        <stp/>
        <stp>P</stp>
        <stp>0</stp>
        <stp>STK</stp>
        <stp>N010690</stp>
        <stp>가중평균가</stp>
        <stp/>
        <stp/>
        <tr r="O563" s="1"/>
      </tp>
      <tp>
        <v>31789.564749000001</v>
        <stp/>
        <stp>P</stp>
        <stp>0</stp>
        <stp>STK</stp>
        <stp>N065680</stp>
        <stp>가중평균가</stp>
        <stp/>
        <stp/>
        <tr r="O638" s="1"/>
      </tp>
      <tp>
        <v>10295.679819999999</v>
        <stp/>
        <stp>P</stp>
        <stp>0</stp>
        <stp>STK</stp>
        <stp>N009680</stp>
        <stp>가중평균가</stp>
        <stp/>
        <stp/>
        <tr r="O635" s="1"/>
      </tp>
      <tp>
        <v>21526.122469999998</v>
        <stp/>
        <stp>P</stp>
        <stp>0</stp>
        <stp>STK</stp>
        <stp>N001680</stp>
        <stp>가중평균가</stp>
        <stp/>
        <stp/>
        <tr r="O374" s="1"/>
      </tp>
      <tp>
        <v>275208.48440900003</v>
        <stp/>
        <stp>P</stp>
        <stp>0</stp>
        <stp>STK</stp>
        <stp>N014680</stp>
        <stp>가중평균가</stp>
        <stp/>
        <stp/>
        <tr r="O155" s="1"/>
      </tp>
      <tp>
        <v>87092.522075000001</v>
        <stp/>
        <stp>P</stp>
        <stp>0</stp>
        <stp>STK</stp>
        <stp>N290650</stp>
        <stp>가중평균가</stp>
        <stp/>
        <stp/>
        <tr r="O269" s="1"/>
      </tp>
      <tp>
        <v>12818.838100999999</v>
        <stp/>
        <stp>P</stp>
        <stp>0</stp>
        <stp>STK</stp>
        <stp>N206650</stp>
        <stp>가중평균가</stp>
        <stp/>
        <stp/>
        <tr r="O534" s="1"/>
      </tp>
      <tp>
        <v>59992.650377999998</v>
        <stp/>
        <stp>P</stp>
        <stp>0</stp>
        <stp>STK</stp>
        <stp>N000670</stp>
        <stp>가중평균가</stp>
        <stp/>
        <stp/>
        <tr r="O324" s="1"/>
      </tp>
      <tp>
        <v>221038.69055699999</v>
        <stp/>
        <stp>P</stp>
        <stp>0</stp>
        <stp>STK</stp>
        <stp>N003670</stp>
        <stp>가중평균가</stp>
        <stp/>
        <stp/>
        <tr r="O49" s="1"/>
      </tp>
      <tp>
        <v>228742.27150500001</v>
        <stp/>
        <stp>P</stp>
        <stp>0</stp>
        <stp>STK</stp>
        <stp>N018670</stp>
        <stp>가중평균가</stp>
        <stp/>
        <stp/>
        <tr r="O209" s="1"/>
      </tp>
      <tp>
        <v>70802.780958000003</v>
        <stp/>
        <stp>P</stp>
        <stp>0</stp>
        <stp>STK</stp>
        <stp>N017670</stp>
        <stp>가중평균가</stp>
        <stp/>
        <stp/>
        <tr r="O66" s="1"/>
      </tp>
      <tp>
        <v>4639.118117</v>
        <stp/>
        <stp>P</stp>
        <stp>0</stp>
        <stp>STK</stp>
        <stp>N028670</stp>
        <stp>가중평균가</stp>
        <stp/>
        <stp/>
        <tr r="O191" s="1"/>
      </tp>
      <tp>
        <v>13276.699484999999</v>
        <stp/>
        <stp>P</stp>
        <stp>0</stp>
        <stp>STK</stp>
        <stp>N130660</stp>
        <stp>가중평균가</stp>
        <stp/>
        <stp/>
        <tr r="O521" s="1"/>
      </tp>
      <tp>
        <v>73492.504451000001</v>
        <stp/>
        <stp>P</stp>
        <stp>0</stp>
        <stp>STK</stp>
        <stp>N389650</stp>
        <stp>가중평균가</stp>
        <stp/>
        <stp/>
        <tr r="O430" s="1"/>
      </tp>
      <tp>
        <v>20918.501101000002</v>
        <stp/>
        <stp>P</stp>
        <stp>0</stp>
        <stp>STK</stp>
        <stp>N085660</stp>
        <stp>가중평균가</stp>
        <stp/>
        <stp/>
        <tr r="O271" s="1"/>
      </tp>
      <tp>
        <v>46756.246499000001</v>
        <stp/>
        <stp>P</stp>
        <stp>0</stp>
        <stp>STK</stp>
        <stp>N081660</stp>
        <stp>가중평균가</stp>
        <stp/>
        <stp/>
        <tr r="O192" s="1"/>
      </tp>
      <tp>
        <v>29466.999017999999</v>
        <stp/>
        <stp>P</stp>
        <stp>0</stp>
        <stp>STK</stp>
        <stp>N095660</stp>
        <stp>가중평균가</stp>
        <stp/>
        <stp/>
        <tr r="O448" s="1"/>
      </tp>
      <tp>
        <v>138909.509296</v>
        <stp/>
        <stp>P</stp>
        <stp>0</stp>
        <stp>STK</stp>
        <stp>N042660</stp>
        <stp>가중평균가</stp>
        <stp/>
        <stp/>
        <tr r="O23" s="1"/>
      </tp>
      <tp>
        <v>40122.761122999997</v>
        <stp/>
        <stp>P</stp>
        <stp>0</stp>
        <stp>STK</stp>
        <stp>N065660</stp>
        <stp>가중평균가</stp>
        <stp/>
        <stp/>
        <tr r="O556" s="1"/>
      </tp>
      <tp>
        <v>28737.651332000001</v>
        <stp/>
        <stp>P</stp>
        <stp>0</stp>
        <stp>STK</stp>
        <stp>N108670</stp>
        <stp>가중평균가</stp>
        <stp/>
        <stp/>
        <tr r="O668" s="1"/>
      </tp>
      <tp>
        <v>12862.970656</v>
        <stp/>
        <stp>P</stp>
        <stp>0</stp>
        <stp>STK</stp>
        <stp>N206640</stp>
        <stp>가중평균가</stp>
        <stp/>
        <stp/>
        <tr r="O632" s="1"/>
      </tp>
      <tp>
        <v>114393.044513</v>
        <stp/>
        <stp>P</stp>
        <stp>0</stp>
        <stp>STK</stp>
        <stp>N007660</stp>
        <stp>가중평균가</stp>
        <stp/>
        <stp/>
        <tr r="O89" s="1"/>
      </tp>
      <tp>
        <v>879097.61297100002</v>
        <stp/>
        <stp>P</stp>
        <stp>0</stp>
        <stp>STK</stp>
        <stp>N000660</stp>
        <stp>가중평균가</stp>
        <stp/>
        <stp/>
        <tr r="O10" s="1"/>
      </tp>
      <tp>
        <v>39836.604940999998</v>
        <stp/>
        <stp>P</stp>
        <stp>0</stp>
        <stp>STK</stp>
        <stp>N229640</stp>
        <stp>가중평균가</stp>
        <stp/>
        <stp/>
        <tr r="O292" s="1"/>
      </tp>
      <tp>
        <v>111952.551834</v>
        <stp/>
        <stp>P</stp>
        <stp>0</stp>
        <stp>STK</stp>
        <stp>N180640</stp>
        <stp>가중평균가</stp>
        <stp/>
        <stp/>
        <tr r="O83" s="1"/>
      </tp>
      <tp>
        <v>69355.122099999993</v>
        <stp/>
        <stp>P</stp>
        <stp>0</stp>
        <stp>STK</stp>
        <stp>N083650</stp>
        <stp>가중평균가</stp>
        <stp/>
        <stp/>
        <tr r="O215" s="1"/>
      </tp>
      <tp>
        <v>24178.790176999999</v>
        <stp/>
        <stp>P</stp>
        <stp>0</stp>
        <stp>STK</stp>
        <stp>N469610</stp>
        <stp>가중평균가</stp>
        <stp/>
        <stp/>
        <tr r="O699" s="1"/>
      </tp>
      <tp>
        <v>153182.01058199999</v>
        <stp/>
        <stp>P</stp>
        <stp>0</stp>
        <stp>STK</stp>
        <stp>N006650</stp>
        <stp>가중평균가</stp>
        <stp/>
        <stp/>
        <tr r="O309" s="1"/>
      </tp>
      <tp>
        <v>49071.061518000002</v>
        <stp/>
        <stp>P</stp>
        <stp>0</stp>
        <stp>STK</stp>
        <stp>N107640</stp>
        <stp>가중평균가</stp>
        <stp/>
        <stp/>
        <tr r="O527" s="1"/>
      </tp>
      <tp>
        <v>42695.497822999998</v>
        <stp/>
        <stp>P</stp>
        <stp>0</stp>
        <stp>STK</stp>
        <stp>N200670</stp>
        <stp>가중평균가</stp>
        <stp/>
        <stp/>
        <tr r="O510" s="1"/>
      </tp>
      <tp>
        <v>59152.827377000001</v>
        <stp/>
        <stp>P</stp>
        <stp>0</stp>
        <stp>STK</stp>
        <stp>N319660</stp>
        <stp>가중평균가</stp>
        <stp/>
        <stp/>
        <tr r="O287" s="1"/>
      </tp>
      <tp>
        <v>22395.743364999998</v>
        <stp/>
        <stp>P</stp>
        <stp>0</stp>
        <stp>STK</stp>
        <stp>N122640</stp>
        <stp>가중평균가</stp>
        <stp/>
        <stp/>
        <tr r="O544" s="1"/>
      </tp>
      <tp>
        <v>25594.533995000002</v>
        <stp/>
        <stp>P</stp>
        <stp>0</stp>
        <stp>STK</stp>
        <stp>N270660</stp>
        <stp>가중평균가</stp>
        <stp/>
        <stp/>
        <tr r="O542" s="1"/>
      </tp>
      <tp>
        <v>106670.78125</v>
        <stp/>
        <stp>P</stp>
        <stp>0</stp>
        <stp>STK</stp>
        <stp>N000640</stp>
        <stp>가중평균가</stp>
        <stp/>
        <stp/>
        <tr r="O397" s="1"/>
      </tp>
      <tp>
        <v>15905.112453</v>
        <stp/>
        <stp>P</stp>
        <stp>0</stp>
        <stp>STK</stp>
        <stp>N032640</stp>
        <stp>가중평균가</stp>
        <stp/>
        <stp/>
        <tr r="O99" s="1"/>
      </tp>
      <tp>
        <v>18222.609764000001</v>
        <stp/>
        <stp>P</stp>
        <stp>0</stp>
        <stp>STK</stp>
        <stp>N033640</stp>
        <stp>가중평균가</stp>
        <stp/>
        <stp/>
        <tr r="O564" s="1"/>
      </tp>
      <tp>
        <v>49532.824427</v>
        <stp/>
        <stp>P</stp>
        <stp>0</stp>
        <stp>STK</stp>
        <stp>N001630</stp>
        <stp>가중평균가</stp>
        <stp/>
        <stp/>
        <tr r="O684" s="1"/>
      </tp>
      <tp>
        <v>18774.542148</v>
        <stp/>
        <stp>P</stp>
        <stp>0</stp>
        <stp>STK</stp>
        <stp>N012630</stp>
        <stp>가중평균가</stp>
        <stp/>
        <stp/>
        <tr r="O312" s="1"/>
      </tp>
      <tp>
        <v>9369.8036040000006</v>
        <stp/>
        <stp>P</stp>
        <stp>0</stp>
        <stp>STK</stp>
        <stp>N085620</stp>
        <stp>가중평균가</stp>
        <stp/>
        <stp/>
        <tr r="O244" s="1"/>
      </tp>
      <tp>
        <v>166126.11506099999</v>
        <stp/>
        <stp>P</stp>
        <stp>0</stp>
        <stp>STK</stp>
        <stp>N069620</stp>
        <stp>가중평균가</stp>
        <stp/>
        <stp/>
        <tr r="O220" s="1"/>
      </tp>
      <tp>
        <v>26726.135629</v>
        <stp/>
        <stp>P</stp>
        <stp>0</stp>
        <stp>STK</stp>
        <stp>N361610</stp>
        <stp>가중평균가</stp>
        <stp/>
        <stp/>
        <tr r="O214" s="1"/>
      </tp>
      <tp>
        <v>13933.544406000001</v>
        <stp/>
        <stp>P</stp>
        <stp>0</stp>
        <stp>STK</stp>
        <stp>N105630</stp>
        <stp>가중평균가</stp>
        <stp/>
        <stp/>
        <tr r="O444" s="1"/>
      </tp>
      <tp>
        <v>31452.501859</v>
        <stp/>
        <stp>P</stp>
        <stp>0</stp>
        <stp>STK</stp>
        <stp>N014620</stp>
        <stp>가중평균가</stp>
        <stp/>
        <stp/>
        <tr r="O364" s="1"/>
      </tp>
      <tp>
        <v>6894.0078750000002</v>
        <stp/>
        <stp>P</stp>
        <stp>0</stp>
        <stp>STK</stp>
        <stp>N036620</stp>
        <stp>가중평균가</stp>
        <stp/>
        <stp/>
        <tr r="O481" s="1"/>
      </tp>
      <tp>
        <v>158543.93006399999</v>
        <stp/>
        <stp>P</stp>
        <stp>0</stp>
        <stp>STK</stp>
        <stp>N483650</stp>
        <stp>가중평균가</stp>
        <stp/>
        <stp/>
        <tr r="O236" s="1"/>
      </tp>
      <tp>
        <v>69411.581365999999</v>
        <stp/>
        <stp>P</stp>
        <stp>0</stp>
        <stp>STK</stp>
        <stp>N095610</stp>
        <stp>가중평균가</stp>
        <stp/>
        <stp/>
        <tr r="O322" s="1"/>
      </tp>
      <tp>
        <v>151517.95494</v>
        <stp/>
        <stp>P</stp>
        <stp>0</stp>
        <stp>STK</stp>
        <stp>N058610</stp>
        <stp>가중평균가</stp>
        <stp/>
        <stp/>
        <tr r="O181" s="1"/>
      </tp>
      <tp>
        <v>55090.787212000003</v>
        <stp/>
        <stp>P</stp>
        <stp>0</stp>
        <stp>STK</stp>
        <stp>N053610</stp>
        <stp>가중평균가</stp>
        <stp/>
        <stp/>
        <tr r="O541" s="1"/>
      </tp>
      <tp>
        <v>50621.739130000002</v>
        <stp/>
        <stp>P</stp>
        <stp>0</stp>
        <stp>STK</stp>
        <stp>N005610</stp>
        <stp>가중평균가</stp>
        <stp/>
        <stp/>
        <tr r="O514" s="1"/>
      </tp>
      <tp>
        <v>13313.870682000001</v>
        <stp/>
        <stp>P</stp>
        <stp>0</stp>
        <stp>STK</stp>
        <stp>N016610</stp>
        <stp>가중평균가</stp>
        <stp/>
        <stp/>
        <tr r="O486" s="1"/>
      </tp>
      <tp>
        <v>68047.672978000002</v>
        <stp/>
        <stp>P</stp>
        <stp>0</stp>
        <stp>STK</stp>
        <stp>N121600</stp>
        <stp>가중평균가</stp>
        <stp/>
        <stp/>
        <tr r="O419" s="1"/>
      </tp>
      <tp>
        <v>11658.132508999999</v>
        <stp/>
        <stp>P</stp>
        <stp>0</stp>
        <stp>STK</stp>
        <stp>N030610</stp>
        <stp>가중평균가</stp>
        <stp/>
        <stp/>
        <tr r="O289" s="1"/>
      </tp>
      <tp>
        <v>55027.083124999997</v>
        <stp/>
        <stp>P</stp>
        <stp>0</stp>
        <stp>STK</stp>
        <stp>N051600</stp>
        <stp>가중평균가</stp>
        <stp/>
        <stp/>
        <tr r="O169" s="1"/>
      </tp>
      <tp>
        <v>73807.384955000001</v>
        <stp/>
        <stp>P</stp>
        <stp>0</stp>
        <stp>STK</stp>
        <stp>N078600</stp>
        <stp>가중평균가</stp>
        <stp/>
        <stp/>
        <tr r="O320" s="1"/>
      </tp>
      <tp>
        <v>27488.572820000001</v>
        <stp/>
        <stp>P</stp>
        <stp>0</stp>
        <stp>STK</stp>
        <stp>N074600</stp>
        <stp>가중평균가</stp>
        <stp/>
        <stp/>
        <tr r="O408" s="1"/>
      </tp>
      <tp>
        <v>40409.206751999998</v>
        <stp/>
        <stp>P</stp>
        <stp>0</stp>
        <stp>STK</stp>
        <stp>N112610</stp>
        <stp>가중평균가</stp>
        <stp/>
        <stp/>
        <tr r="O240" s="1"/>
      </tp>
      <tp>
        <v>34878.196993999998</v>
        <stp/>
        <stp>P</stp>
        <stp>0</stp>
        <stp>STK</stp>
        <stp>N138610</stp>
        <stp>가중평균가</stp>
        <stp/>
        <stp/>
        <tr r="O548" s="1"/>
      </tp>
      <tp>
        <v>11620.555245</v>
        <stp/>
        <stp>P</stp>
        <stp>0</stp>
        <stp>STK</stp>
        <stp>N035600</stp>
        <stp>가중평균가</stp>
        <stp/>
        <stp/>
        <tr r="O655" s="1"/>
      </tp>
      <tp>
        <v>596783.04579899996</v>
        <stp/>
        <stp>P</stp>
        <stp>0</stp>
        <stp>STK</stp>
        <stp>N0126Z0</stp>
        <stp>가중평균가</stp>
        <stp/>
        <stp/>
        <tr r="O60" s="1"/>
      </tp>
      <tp>
        <v>60079.844222</v>
        <stp/>
        <stp>P</stp>
        <stp>0</stp>
        <stp>STK</stp>
        <stp>N489790</stp>
        <stp>가중평균가</stp>
        <stp/>
        <stp/>
        <tr r="O173" s="1"/>
      </tp>
      <tp>
        <v>50851.91588</v>
        <stp/>
        <stp>P</stp>
        <stp>0</stp>
        <stp>STK</stp>
        <stp>N499790</stp>
        <stp>가중평균가</stp>
        <stp/>
        <stp/>
        <tr r="O362" s="1"/>
      </tp>
      <tp>
        <v>449127.57293099997</v>
        <stp/>
        <stp>P</stp>
        <stp>0</stp>
        <stp>STK</stp>
        <stp>N357780</stp>
        <stp>가중평균가</stp>
        <stp/>
        <stp/>
        <tr r="O170" s="1"/>
      </tp>
      <tp>
        <v>103028.680375</v>
        <stp/>
        <stp>P</stp>
        <stp>0</stp>
        <stp>STK</stp>
        <stp>N086790</stp>
        <stp>가중평균가</stp>
        <stp/>
        <stp/>
        <tr r="O32" s="1"/>
      </tp>
      <tp>
        <v>10961.811983</v>
        <stp/>
        <stp>P</stp>
        <stp>0</stp>
        <stp>STK</stp>
        <stp>N092790</stp>
        <stp>가중평균가</stp>
        <stp/>
        <stp/>
        <tr r="O610" s="1"/>
      </tp>
      <tp>
        <v>28449.110121999998</v>
        <stp/>
        <stp>P</stp>
        <stp>0</stp>
        <stp>STK</stp>
        <stp>N002790</stp>
        <stp>가중평균가</stp>
        <stp/>
        <stp/>
        <tr r="O210" s="1"/>
      </tp>
      <tp>
        <v>115488.474334</v>
        <stp/>
        <stp>P</stp>
        <stp>0</stp>
        <stp>STK</stp>
        <stp>N011790</stp>
        <stp>가중평균가</stp>
        <stp/>
        <stp/>
        <tr r="O126" s="1"/>
      </tp>
      <tp>
        <v>18035.034557999999</v>
        <stp/>
        <stp>P</stp>
        <stp>0</stp>
        <stp>STK</stp>
        <stp>N100790</stp>
        <stp>가중평균가</stp>
        <stp/>
        <stp/>
        <tr r="O393" s="1"/>
      </tp>
      <tp>
        <v>24201.940394000001</v>
        <stp/>
        <stp>P</stp>
        <stp>0</stp>
        <stp>STK</stp>
        <stp>N010780</stp>
        <stp>가중평균가</stp>
        <stp/>
        <stp/>
        <tr r="O398" s="1"/>
      </tp>
      <tp>
        <v>141464.97725</v>
        <stp/>
        <stp>P</stp>
        <stp>0</stp>
        <stp>STK</stp>
        <stp>N011780</stp>
        <stp>가중평균가</stp>
        <stp/>
        <stp/>
        <tr r="O136" s="1"/>
      </tp>
      <tp>
        <v>56176.749380000001</v>
        <stp/>
        <stp>P</stp>
        <stp>0</stp>
        <stp>STK</stp>
        <stp>N029780</stp>
        <stp>가중평균가</stp>
        <stp/>
        <stp/>
        <tr r="O101" s="1"/>
      </tp>
      <tp>
        <v>152547.03947399999</v>
        <stp/>
        <stp>P</stp>
        <stp>0</stp>
        <stp>STK</stp>
        <stp>N033780</stp>
        <stp>가중평균가</stp>
        <stp/>
        <stp/>
        <tr r="O52" s="1"/>
      </tp>
      <tp>
        <v>111076.11605</v>
        <stp/>
        <stp>P</stp>
        <stp>0</stp>
        <stp>STK</stp>
        <stp>N096770</stp>
        <stp>가중평균가</stp>
        <stp/>
        <stp/>
        <tr r="O50" s="1"/>
      </tp>
      <tp>
        <v>56622.505329</v>
        <stp/>
        <stp>P</stp>
        <stp>0</stp>
        <stp>STK</stp>
        <stp>N263750</stp>
        <stp>가중평균가</stp>
        <stp/>
        <stp/>
        <tr r="O165" s="1"/>
      </tp>
      <tp>
        <v>46571.567169000002</v>
        <stp/>
        <stp>P</stp>
        <stp>0</stp>
        <stp>STK</stp>
        <stp>N008770</stp>
        <stp>가중평균가</stp>
        <stp/>
        <stp/>
        <tr r="O229" s="1"/>
      </tp>
      <tp>
        <v>7921.2117029999999</v>
        <stp/>
        <stp>P</stp>
        <stp>0</stp>
        <stp>STK</stp>
        <stp>N025770</stp>
        <stp>가중평균가</stp>
        <stp/>
        <stp/>
        <tr r="O636" s="1"/>
      </tp>
      <tp>
        <v>64747.732535000003</v>
        <stp/>
        <stp>P</stp>
        <stp>0</stp>
        <stp>STK</stp>
        <stp>N437730</stp>
        <stp>가중평균가</stp>
        <stp/>
        <stp/>
        <tr r="O195" s="1"/>
      </tp>
      <tp>
        <v>23127.959697999999</v>
        <stp/>
        <stp>P</stp>
        <stp>0</stp>
        <stp>STK</stp>
        <stp>N284740</stp>
        <stp>가중평균가</stp>
        <stp/>
        <stp/>
        <tr r="O473" s="1"/>
      </tp>
      <tp>
        <v>26620.743048</v>
        <stp/>
        <stp>P</stp>
        <stp>0</stp>
        <stp>STK</stp>
        <stp>N281740</stp>
        <stp>가중평균가</stp>
        <stp/>
        <stp/>
        <tr r="O291" s="1"/>
      </tp>
      <tp>
        <v>70579.135649999997</v>
        <stp/>
        <stp>P</stp>
        <stp>0</stp>
        <stp>STK</stp>
        <stp>N068760</stp>
        <stp>가중평균가</stp>
        <stp/>
        <stp/>
        <tr r="O171" s="1"/>
      </tp>
      <tp>
        <v>223005.93185299999</v>
        <stp/>
        <stp>P</stp>
        <stp>0</stp>
        <stp>STK</stp>
        <stp>N064760</stp>
        <stp>가중평균가</stp>
        <stp/>
        <stp/>
        <tr r="O218" s="1"/>
      </tp>
      <tp>
        <v>57290.313383000001</v>
        <stp/>
        <stp>P</stp>
        <stp>0</stp>
        <stp>STK</stp>
        <stp>N015760</stp>
        <stp>가중평균가</stp>
        <stp/>
        <stp/>
        <tr r="O24" s="1"/>
      </tp>
      <tp>
        <v>22389.5095</v>
        <stp/>
        <stp>P</stp>
        <stp>0</stp>
        <stp>STK</stp>
        <stp>N011760</stp>
        <stp>가중평균가</stp>
        <stp/>
        <stp/>
        <tr r="O639" s="1"/>
      </tp>
      <tp>
        <v>91659.681410000005</v>
        <stp/>
        <stp>P</stp>
        <stp>0</stp>
        <stp>STK</stp>
        <stp>N111770</stp>
        <stp>가중평균가</stp>
        <stp/>
        <stp/>
        <tr r="O138" s="1"/>
      </tp>
      <tp>
        <v>71672.414021999997</v>
        <stp/>
        <stp>P</stp>
        <stp>0</stp>
        <stp>STK</stp>
        <stp>N035760</stp>
        <stp>가중평균가</stp>
        <stp/>
        <stp/>
        <tr r="O263" s="1"/>
      </tp>
      <tp>
        <v>25415.752958000001</v>
        <stp/>
        <stp>P</stp>
        <stp>0</stp>
        <stp>STK</stp>
        <stp>N241770</stp>
        <stp>가중평균가</stp>
        <stp/>
        <stp/>
        <tr r="O686" s="1"/>
      </tp>
      <tp>
        <v>20025.050758000001</v>
        <stp/>
        <stp>P</stp>
        <stp>0</stp>
        <stp>STK</stp>
        <stp>N001750</stp>
        <stp>가중평균가</stp>
        <stp/>
        <stp/>
        <tr r="O685" s="1"/>
      </tp>
      <tp>
        <v>7761.7223409999997</v>
        <stp/>
        <stp>P</stp>
        <stp>0</stp>
        <stp>STK</stp>
        <stp>N015750</stp>
        <stp>가중평균가</stp>
        <stp/>
        <stp/>
        <tr r="O407" s="1"/>
      </tp>
      <tp>
        <v>80811.282894999997</v>
        <stp/>
        <stp>P</stp>
        <stp>0</stp>
        <stp>STK</stp>
        <stp>N012750</stp>
        <stp>가중평균가</stp>
        <stp/>
        <stp/>
        <tr r="O156" s="1"/>
      </tp>
      <tp>
        <v>84820.468936999998</v>
        <stp/>
        <stp>P</stp>
        <stp>0</stp>
        <stp>STK</stp>
        <stp>N185750</stp>
        <stp>가중평균가</stp>
        <stp/>
        <stp/>
        <tr r="O293" s="1"/>
      </tp>
      <tp>
        <v>53568.635125000001</v>
        <stp/>
        <stp>P</stp>
        <stp>0</stp>
        <stp>STK</stp>
        <stp>N082740</stp>
        <stp>가중평균가</stp>
        <stp/>
        <stp/>
        <tr r="O119" s="1"/>
      </tp>
      <tp>
        <v>10199.373428000001</v>
        <stp/>
        <stp>P</stp>
        <stp>0</stp>
        <stp>STK</stp>
        <stp>N176750</stp>
        <stp>가중평균가</stp>
        <stp/>
        <stp/>
        <tr r="O678" s="1"/>
      </tp>
      <tp>
        <v>22909.264131</v>
        <stp/>
        <stp>P</stp>
        <stp>0</stp>
        <stp>STK</stp>
        <stp>N228760</stp>
        <stp>가중평균가</stp>
        <stp/>
        <stp/>
        <tr r="O452" s="1"/>
      </tp>
      <tp>
        <v>18944.540266</v>
        <stp/>
        <stp>P</stp>
        <stp>0</stp>
        <stp>STK</stp>
        <stp>N092730</stp>
        <stp>가중평균가</stp>
        <stp/>
        <stp/>
        <tr r="O648" s="1"/>
      </tp>
      <tp>
        <v>47179.448349999999</v>
        <stp/>
        <stp>P</stp>
        <stp>0</stp>
        <stp>STK</stp>
        <stp>N145720</stp>
        <stp>가중평균가</stp>
        <stp/>
        <stp/>
        <tr r="O470" s="1"/>
      </tp>
      <tp>
        <v>92085.143131999997</v>
        <stp/>
        <stp>P</stp>
        <stp>0</stp>
        <stp>STK</stp>
        <stp>N241710</stp>
        <stp>가중평균가</stp>
        <stp/>
        <stp/>
        <tr r="O360" s="1"/>
      </tp>
      <tp>
        <v>26866.469778999999</v>
        <stp/>
        <stp>P</stp>
        <stp>0</stp>
        <stp>STK</stp>
        <stp>N008730</stp>
        <stp>가중평균가</stp>
        <stp/>
        <stp/>
        <tr r="O400" s="1"/>
      </tp>
      <tp>
        <v>18666.389382000001</v>
        <stp/>
        <stp>P</stp>
        <stp>0</stp>
        <stp>STK</stp>
        <stp>N006730</stp>
        <stp>가중평균가</stp>
        <stp/>
        <stp/>
        <tr r="O326" s="1"/>
      </tp>
      <tp>
        <v>36204.319319000002</v>
        <stp/>
        <stp>P</stp>
        <stp>0</stp>
        <stp>STK</stp>
        <stp>N200710</stp>
        <stp>가중평균가</stp>
        <stp/>
        <stp/>
        <tr r="O494" s="1"/>
      </tp>
      <tp>
        <v>24237.833437000001</v>
        <stp/>
        <stp>P</stp>
        <stp>0</stp>
        <stp>STK</stp>
        <stp>N126720</stp>
        <stp>가중평균가</stp>
        <stp/>
        <stp/>
        <tr r="O547" s="1"/>
      </tp>
      <tp>
        <v>52254.538925000001</v>
        <stp/>
        <stp>P</stp>
        <stp>0</stp>
        <stp>STK</stp>
        <stp>N420770</stp>
        <stp>가중평균가</stp>
        <stp/>
        <stp/>
        <tr r="O387" s="1"/>
      </tp>
      <tp>
        <v>321904.89957399998</v>
        <stp/>
        <stp>P</stp>
        <stp>0</stp>
        <stp>STK</stp>
        <stp>N034730</stp>
        <stp>가중평균가</stp>
        <stp/>
        <stp/>
        <tr r="O41" s="1"/>
      </tp>
      <tp>
        <v>18576.466566999999</v>
        <stp/>
        <stp>P</stp>
        <stp>0</stp>
        <stp>STK</stp>
        <stp>N060720</stp>
        <stp>가중평균가</stp>
        <stp/>
        <stp/>
        <tr r="O573" s="1"/>
      </tp>
      <tp>
        <v>36070.795080999997</v>
        <stp/>
        <stp>P</stp>
        <stp>0</stp>
        <stp>STK</stp>
        <stp>N309710</stp>
        <stp>가중평균가</stp>
        <stp/>
        <stp/>
        <tr r="O517" s="1"/>
      </tp>
      <tp>
        <v>99460.606501999995</v>
        <stp/>
        <stp>P</stp>
        <stp>0</stp>
        <stp>STK</stp>
        <stp>N000720</stp>
        <stp>가중평균가</stp>
        <stp/>
        <stp/>
        <tr r="O68" s="1"/>
      </tp>
      <tp>
        <v>179822.668485</v>
        <stp/>
        <stp>P</stp>
        <stp>0</stp>
        <stp>STK</stp>
        <stp>N001720</stp>
        <stp>가중평균가</stp>
        <stp/>
        <stp/>
        <tr r="O184" s="1"/>
      </tp>
      <tp>
        <v>7360.0624950000001</v>
        <stp/>
        <stp>P</stp>
        <stp>0</stp>
        <stp>STK</stp>
        <stp>N101730</stp>
        <stp>가중평균가</stp>
        <stp/>
        <stp/>
        <tr r="O475" s="1"/>
      </tp>
      <tp>
        <v>23503.368473999999</v>
        <stp/>
        <stp>P</stp>
        <stp>0</stp>
        <stp>STK</stp>
        <stp>N117730</stp>
        <stp>가중평균가</stp>
        <stp/>
        <stp/>
        <tr r="O414" s="1"/>
      </tp>
      <tp>
        <v>9876.1724699999995</v>
        <stp/>
        <stp>P</stp>
        <stp>0</stp>
        <stp>STK</stp>
        <stp>N024720</stp>
        <stp>가중평균가</stp>
        <stp/>
        <stp/>
        <tr r="O605" s="1"/>
      </tp>
      <tp>
        <v>60295.693728999999</v>
        <stp/>
        <stp>P</stp>
        <stp>0</stp>
        <stp>STK</stp>
        <stp>N035720</stp>
        <stp>가중평균가</stp>
        <stp/>
        <stp/>
        <tr r="O35" s="1"/>
      </tp>
      <tp>
        <v>131661.798388</v>
        <stp/>
        <stp>P</stp>
        <stp>0</stp>
        <stp>STK</stp>
        <stp>N388720</stp>
        <stp>가중평균가</stp>
        <stp/>
        <stp/>
        <tr r="O286" s="1"/>
      </tp>
      <tp>
        <v>69394.807088000001</v>
        <stp/>
        <stp>P</stp>
        <stp>0</stp>
        <stp>STK</stp>
        <stp>N399720</stp>
        <stp>가중평균가</stp>
        <stp/>
        <stp/>
        <tr r="O386" s="1"/>
      </tp>
      <tp>
        <v>13904.204603</v>
        <stp/>
        <stp>P</stp>
        <stp>0</stp>
        <stp>STK</stp>
        <stp>N194700</stp>
        <stp>가중평균가</stp>
        <stp/>
        <stp/>
        <tr r="O671" s="1"/>
      </tp>
      <tp>
        <v>87786.703221000003</v>
        <stp/>
        <stp>P</stp>
        <stp>0</stp>
        <stp>STK</stp>
        <stp>N072710</stp>
        <stp>가중평균가</stp>
        <stp/>
        <stp/>
        <tr r="O539" s="1"/>
      </tp>
      <tp>
        <v>9363.9232780000002</v>
        <stp/>
        <stp>P</stp>
        <stp>0</stp>
        <stp>STK</stp>
        <stp>N104700</stp>
        <stp>가중평균가</stp>
        <stp/>
        <stp/>
        <tr r="O568" s="1"/>
      </tp>
      <tp>
        <v>12782.921914</v>
        <stp/>
        <stp>P</stp>
        <stp>0</stp>
        <stp>STK</stp>
        <stp>N005710</stp>
        <stp>가중평균가</stp>
        <stp/>
        <stp/>
        <tr r="O659" s="1"/>
      </tp>
      <tp>
        <v>16944.667997</v>
        <stp/>
        <stp>P</stp>
        <stp>0</stp>
        <stp>STK</stp>
        <stp>N300720</stp>
        <stp>가중평균가</stp>
        <stp/>
        <stp/>
        <tr r="O282" s="1"/>
      </tp>
      <tp>
        <v>16425.716390000001</v>
        <stp/>
        <stp>P</stp>
        <stp>0</stp>
        <stp>STK</stp>
        <stp>N002710</stp>
        <stp>가중평균가</stp>
        <stp/>
        <stp/>
        <tr r="O570" s="1"/>
      </tp>
      <tp>
        <v>31319.447359000002</v>
        <stp/>
        <stp>P</stp>
        <stp>0</stp>
        <stp>STK</stp>
        <stp>N037710</stp>
        <stp>가중평균가</stp>
        <stp/>
        <stp/>
        <tr r="O676" s="1"/>
      </tp>
      <tp>
        <v>31677.191579999999</v>
        <stp/>
        <stp>P</stp>
        <stp>0</stp>
        <stp>STK</stp>
        <stp>N181710</stp>
        <stp>가중평균가</stp>
        <stp/>
        <stp/>
        <tr r="O319" s="1"/>
      </tp>
      <tp>
        <v>200715.91719800001</v>
        <stp/>
        <stp>P</stp>
        <stp>0</stp>
        <stp>STK</stp>
        <stp>N042700</stp>
        <stp>가중평균가</stp>
        <stp/>
        <stp/>
        <tr r="O54" s="1"/>
      </tp>
      <tp>
        <v>52081.111280999998</v>
        <stp/>
        <stp>P</stp>
        <stp>0</stp>
        <stp>STK</stp>
        <stp>N257720</stp>
        <stp>가중평균가</stp>
        <stp/>
        <stp/>
        <tr r="O159" s="1"/>
      </tp>
      <tp>
        <v>80564.736300999997</v>
        <stp/>
        <stp>P</stp>
        <stp>0</stp>
        <stp>STK</stp>
        <stp>N004700</stp>
        <stp>가중평균가</stp>
        <stp/>
        <stp/>
        <tr r="O500" s="1"/>
      </tp>
      <tp>
        <v>20251.389522000001</v>
        <stp/>
        <stp>P</stp>
        <stp>0</stp>
        <stp>STK</stp>
        <stp>N007700</stp>
        <stp>가중평균가</stp>
        <stp/>
        <stp/>
        <tr r="O365" s="1"/>
      </tp>
      <tp>
        <v>55981.343052999997</v>
        <stp/>
        <stp>P</stp>
        <stp>0</stp>
        <stp>STK</stp>
        <stp>N102710</stp>
        <stp>가중평균가</stp>
        <stp/>
        <stp/>
        <tr r="O401" s="1"/>
      </tp>
      <tp>
        <v>46061.641893</v>
        <stp/>
        <stp>P</stp>
        <stp>0</stp>
        <stp>STK</stp>
        <stp>N0007C0</stp>
        <stp>가중평균가</stp>
        <stp/>
        <stp/>
        <tr r="O688" s="1"/>
      </tp>
      <tp>
        <v>30771.887244000001</v>
        <stp/>
        <stp>P</stp>
        <stp>0</stp>
        <stp>STK</stp>
        <stp>N445090</stp>
        <stp>가중평균가</stp>
        <stp/>
        <stp/>
        <tr r="O609" s="1"/>
      </tp>
      <tp>
        <v>14203.222711</v>
        <stp/>
        <stp>P</stp>
        <stp>0</stp>
        <stp>STK</stp>
        <stp>N439090</stp>
        <stp>가중평균가</stp>
        <stp/>
        <stp/>
        <tr r="O695" s="1"/>
      </tp>
      <tp>
        <v>67929.822488999998</v>
        <stp/>
        <stp>P</stp>
        <stp>0</stp>
        <stp>STK</stp>
        <stp>N450080</stp>
        <stp>가중평균가</stp>
        <stp/>
        <stp/>
        <tr r="O124" s="1"/>
      </tp>
      <tp>
        <v>15894.986654</v>
        <stp/>
        <stp>P</stp>
        <stp>0</stp>
        <stp>STK</stp>
        <stp>N300080</stp>
        <stp>가중평균가</stp>
        <stp/>
        <stp/>
        <tr r="O665" s="1"/>
      </tp>
      <tp>
        <v>13796.131557999999</v>
        <stp/>
        <stp>P</stp>
        <stp>0</stp>
        <stp>STK</stp>
        <stp>N222080</stp>
        <stp>가중평균가</stp>
        <stp/>
        <stp/>
        <tr r="O441" s="1"/>
      </tp>
      <tp>
        <v>52805.384615000003</v>
        <stp/>
        <stp>P</stp>
        <stp>0</stp>
        <stp>STK</stp>
        <stp>N192080</stp>
        <stp>가중평균가</stp>
        <stp/>
        <stp/>
        <tr r="O301" s="1"/>
      </tp>
      <tp>
        <v>194469.82342299999</v>
        <stp/>
        <stp>P</stp>
        <stp>0</stp>
        <stp>STK</stp>
        <stp>N141080</stp>
        <stp>가중평균가</stp>
        <stp/>
        <stp/>
        <tr r="O108" s="1"/>
      </tp>
      <tp>
        <v>17204.146444000002</v>
        <stp/>
        <stp>P</stp>
        <stp>0</stp>
        <stp>STK</stp>
        <stp>N059090</stp>
        <stp>가중평균가</stp>
        <stp/>
        <stp/>
        <tr r="O518" s="1"/>
      </tp>
      <tp>
        <v>46117.809718999997</v>
        <stp/>
        <stp>P</stp>
        <stp>0</stp>
        <stp>STK</stp>
        <stp>N061090</stp>
        <stp>가중평균가</stp>
        <stp/>
        <stp/>
        <tr r="O682" s="1"/>
      </tp>
      <tp>
        <v>21785.550458999998</v>
        <stp/>
        <stp>P</stp>
        <stp>0</stp>
        <stp>STK</stp>
        <stp>N005090</stp>
        <stp>가중평균가</stp>
        <stp/>
        <stp/>
        <tr r="O626" s="1"/>
      </tp>
      <tp>
        <v>23741.783337000001</v>
        <stp/>
        <stp>P</stp>
        <stp>0</stp>
        <stp>STK</stp>
        <stp>N003090</stp>
        <stp>가중평균가</stp>
        <stp/>
        <stp/>
        <tr r="O272" s="1"/>
      </tp>
      <tp>
        <v>16013.286291</v>
        <stp/>
        <stp>P</stp>
        <stp>0</stp>
        <stp>STK</stp>
        <stp>N069080</stp>
        <stp>가중평균가</stp>
        <stp/>
        <stp/>
        <tr r="O526" s="1"/>
      </tp>
      <tp>
        <v>62947.703873999999</v>
        <stp/>
        <stp>P</stp>
        <stp>0</stp>
        <stp>STK</stp>
        <stp>N166090</stp>
        <stp>가중평균가</stp>
        <stp/>
        <stp/>
        <tr r="O303" s="1"/>
      </tp>
      <tp>
        <v>16179.387209</v>
        <stp/>
        <stp>P</stp>
        <stp>0</stp>
        <stp>STK</stp>
        <stp>N067080</stp>
        <stp>가중평균가</stp>
        <stp/>
        <stp/>
        <tr r="O623" s="1"/>
      </tp>
      <tp>
        <v>62640.793245000001</v>
        <stp/>
        <stp>P</stp>
        <stp>0</stp>
        <stp>STK</stp>
        <stp>N171090</stp>
        <stp>가중평균가</stp>
        <stp/>
        <stp/>
        <tr r="O459" s="1"/>
      </tp>
      <tp>
        <v>17586.911499000002</v>
        <stp/>
        <stp>P</stp>
        <stp>0</stp>
        <stp>STK</stp>
        <stp>N000080</stp>
        <stp>가중평균가</stp>
        <stp/>
        <stp/>
        <tr r="O277" s="1"/>
      </tp>
      <tp>
        <v>17881.495919000001</v>
        <stp/>
        <stp>P</stp>
        <stp>0</stp>
        <stp>STK</stp>
        <stp>N100090</stp>
        <stp>가중평균가</stp>
        <stp/>
        <stp/>
        <tr r="O285" s="1"/>
      </tp>
      <tp>
        <v>12891.113454</v>
        <stp/>
        <stp>P</stp>
        <stp>0</stp>
        <stp>STK</stp>
        <stp>N114090</stp>
        <stp>가중평균가</stp>
        <stp/>
        <stp/>
        <tr r="O354" s="1"/>
      </tp>
      <tp>
        <v>35377.919283000003</v>
        <stp/>
        <stp>P</stp>
        <stp>0</stp>
        <stp>STK</stp>
        <stp>N098070</stp>
        <stp>가중평균가</stp>
        <stp/>
        <stp/>
        <tr r="O513" s="1"/>
      </tp>
      <tp>
        <v>231087.24243799999</v>
        <stp/>
        <stp>P</stp>
        <stp>0</stp>
        <stp>STK</stp>
        <stp>N298050</stp>
        <stp>가중평균가</stp>
        <stp/>
        <stp/>
        <tr r="O321" s="1"/>
      </tp>
      <tp>
        <v>21469.416322000001</v>
        <stp/>
        <stp>P</stp>
        <stp>0</stp>
        <stp>STK</stp>
        <stp>N049070</stp>
        <stp>가중평균가</stp>
        <stp/>
        <stp/>
        <tr r="O522" s="1"/>
      </tp>
      <tp>
        <v>50518.018087999997</v>
        <stp/>
        <stp>P</stp>
        <stp>0</stp>
        <stp>STK</stp>
        <stp>N005070</stp>
        <stp>가중평균가</stp>
        <stp/>
        <stp/>
        <tr r="O255" s="1"/>
      </tp>
      <tp>
        <v>21952.878715999999</v>
        <stp/>
        <stp>P</stp>
        <stp>0</stp>
        <stp>STK</stp>
        <stp>N007070</stp>
        <stp>가중평균가</stp>
        <stp/>
        <stp/>
        <tr r="O235" s="1"/>
      </tp>
      <tp>
        <v>60163.293051000001</v>
        <stp/>
        <stp>P</stp>
        <stp>0</stp>
        <stp>STK</stp>
        <stp>N000070</stp>
        <stp>가중평균가</stp>
        <stp/>
        <stp/>
        <tr r="O505" s="1"/>
      </tp>
      <tp>
        <v>22231.730232999998</v>
        <stp/>
        <stp>P</stp>
        <stp>0</stp>
        <stp>STK</stp>
        <stp>N402030</stp>
        <stp>가중평균가</stp>
        <stp/>
        <stp/>
        <tr r="O644" s="1"/>
      </tp>
      <tp>
        <v>239716.27033299999</v>
        <stp/>
        <stp>P</stp>
        <stp>0</stp>
        <stp>STK</stp>
        <stp>N011070</stp>
        <stp>가중평균가</stp>
        <stp/>
        <stp/>
        <tr r="O97" s="1"/>
      </tp>
      <tp>
        <v>14834.552804999999</v>
        <stp/>
        <stp>P</stp>
        <stp>0</stp>
        <stp>STK</stp>
        <stp>N211050</stp>
        <stp>가중평균가</stp>
        <stp/>
        <stp/>
        <tr r="O424" s="1"/>
      </tp>
      <tp>
        <v>2457702.7641440001</v>
        <stp/>
        <stp>P</stp>
        <stp>0</stp>
        <stp>STK</stp>
        <stp>N298040</stp>
        <stp>가중평균가</stp>
        <stp/>
        <stp/>
        <tr r="O40" s="1"/>
      </tp>
      <tp>
        <v>10835.071864</v>
        <stp/>
        <stp>P</stp>
        <stp>0</stp>
        <stp>STK</stp>
        <stp>N008060</stp>
        <stp>가중평균가</stp>
        <stp/>
        <stp/>
        <tr r="O588" s="1"/>
      </tp>
      <tp>
        <v>30954.205830999999</v>
        <stp/>
        <stp>P</stp>
        <stp>0</stp>
        <stp>STK</stp>
        <stp>N001060</stp>
        <stp>가중평균가</stp>
        <stp/>
        <stp/>
        <tr r="O410" s="1"/>
      </tp>
      <tp>
        <v>112140.51683399999</v>
        <stp/>
        <stp>P</stp>
        <stp>0</stp>
        <stp>STK</stp>
        <stp>N010060</stp>
        <stp>가중평균가</stp>
        <stp/>
        <stp/>
        <tr r="O202" s="1"/>
      </tp>
      <tp>
        <v>19049.196898999999</v>
        <stp/>
        <stp>P</stp>
        <stp>0</stp>
        <stp>STK</stp>
        <stp>N093050</stp>
        <stp>가중평균가</stp>
        <stp/>
        <stp/>
        <tr r="O471" s="1"/>
      </tp>
      <tp>
        <v>15518.062223000001</v>
        <stp/>
        <stp>P</stp>
        <stp>0</stp>
        <stp>STK</stp>
        <stp>N248070</stp>
        <stp>가중평균가</stp>
        <stp/>
        <stp/>
        <tr r="O380" s="1"/>
      </tp>
      <tp>
        <v>61246.114834</v>
        <stp/>
        <stp>P</stp>
        <stp>0</stp>
        <stp>STK</stp>
        <stp>N047050</stp>
        <stp>가중평균가</stp>
        <stp/>
        <stp/>
        <tr r="O71" s="1"/>
      </tp>
      <tp>
        <v>27556.406029000002</v>
        <stp/>
        <stp>P</stp>
        <stp>0</stp>
        <stp>STK</stp>
        <stp>N243070</stp>
        <stp>가중평균가</stp>
        <stp/>
        <stp/>
        <tr r="O614" s="1"/>
      </tp>
      <tp>
        <v>57001.897533000003</v>
        <stp/>
        <stp>P</stp>
        <stp>0</stp>
        <stp>STK</stp>
        <stp>N057050</stp>
        <stp>가중평균가</stp>
        <stp/>
        <stp/>
        <tr r="O413" s="1"/>
      </tp>
      <tp>
        <v>208292.581817</v>
        <stp/>
        <stp>P</stp>
        <stp>0</stp>
        <stp>STK</stp>
        <stp>N071050</stp>
        <stp>가중평균가</stp>
        <stp/>
        <stp/>
        <tr r="O73" s="1"/>
      </tp>
      <tp>
        <v>31530.458310999999</v>
        <stp/>
        <stp>P</stp>
        <stp>0</stp>
        <stp>STK</stp>
        <stp>N112040</stp>
        <stp>가중평균가</stp>
        <stp/>
        <stp/>
        <tr r="O337" s="1"/>
      </tp>
      <tp>
        <v>30619.561968999998</v>
        <stp/>
        <stp>P</stp>
        <stp>0</stp>
        <stp>STK</stp>
        <stp>N028050</stp>
        <stp>가중평균가</stp>
        <stp/>
        <stp/>
        <tr r="O113" s="1"/>
      </tp>
      <tp>
        <v>117466.833104</v>
        <stp/>
        <stp>P</stp>
        <stp>0</stp>
        <stp>STK</stp>
        <stp>N138040</stp>
        <stp>가중평균가</stp>
        <stp/>
        <stp/>
        <tr r="O47" s="1"/>
      </tp>
      <tp>
        <v>4802.1168109999999</v>
        <stp/>
        <stp>P</stp>
        <stp>0</stp>
        <stp>STK</stp>
        <stp>N047040</stp>
        <stp>가중평균가</stp>
        <stp/>
        <stp/>
        <tr r="O211" s="1"/>
      </tp>
      <tp>
        <v>143025.22213000001</v>
        <stp/>
        <stp>P</stp>
        <stp>0</stp>
        <stp>STK</stp>
        <stp>N062040</stp>
        <stp>가중평균가</stp>
        <stp/>
        <stp/>
        <tr r="O122" s="1"/>
      </tp>
      <tp>
        <v>41200.996971</v>
        <stp/>
        <stp>P</stp>
        <stp>0</stp>
        <stp>STK</stp>
        <stp>N006040</stp>
        <stp>가중평균가</stp>
        <stp/>
        <stp/>
        <tr r="O230" s="1"/>
      </tp>
      <tp>
        <v>215657.722411</v>
        <stp/>
        <stp>P</stp>
        <stp>0</stp>
        <stp>STK</stp>
        <stp>N001040</stp>
        <stp>가중평균가</stp>
        <stp/>
        <stp/>
        <tr r="O105" s="1"/>
      </tp>
      <tp>
        <v>48537.253617000002</v>
        <stp/>
        <stp>P</stp>
        <stp>0</stp>
        <stp>STK</stp>
        <stp>N089030</stp>
        <stp>가중평균가</stp>
        <stp/>
        <stp/>
        <tr r="O250" s="1"/>
      </tp>
      <tp>
        <v>27134.146067000001</v>
        <stp/>
        <stp>P</stp>
        <stp>0</stp>
        <stp>STK</stp>
        <stp>N481070</stp>
        <stp>가중평균가</stp>
        <stp/>
        <stp/>
        <tr r="O591" s="1"/>
      </tp>
      <tp>
        <v>269446.56437899999</v>
        <stp/>
        <stp>P</stp>
        <stp>0</stp>
        <stp>STK</stp>
        <stp>N145020</stp>
        <stp>가중평균가</stp>
        <stp/>
        <stp/>
        <tr r="O161" s="1"/>
      </tp>
      <tp>
        <v>15804.333721000001</v>
        <stp/>
        <stp>P</stp>
        <stp>0</stp>
        <stp>STK</stp>
        <stp>N053030</stp>
        <stp>가중평균가</stp>
        <stp/>
        <stp/>
        <tr r="O509" s="1"/>
      </tp>
      <tp>
        <v>284937.5</v>
        <stp/>
        <stp>P</stp>
        <stp>0</stp>
        <stp>STK</stp>
        <stp>N002030</stp>
        <stp>가중평균가</stp>
        <stp/>
        <stp/>
        <tr r="O433" s="1"/>
      </tp>
      <tp>
        <v>133457.67195799999</v>
        <stp/>
        <stp>P</stp>
        <stp>0</stp>
        <stp>STK</stp>
        <stp>N003030</stp>
        <stp>가중평균가</stp>
        <stp/>
        <stp/>
        <tr r="O469" s="1"/>
      </tp>
      <tp>
        <v>32844.297291000003</v>
        <stp/>
        <stp>P</stp>
        <stp>0</stp>
        <stp>STK</stp>
        <stp>N013030</stp>
        <stp>가중평균가</stp>
        <stp/>
        <stp/>
        <tr r="O558" s="1"/>
      </tp>
      <tp>
        <v>52104.176270000004</v>
        <stp/>
        <stp>P</stp>
        <stp>0</stp>
        <stp>STK</stp>
        <stp>N322000</stp>
        <stp>가중평균가</stp>
        <stp/>
        <stp/>
        <tr r="O423" s="1"/>
      </tp>
      <tp>
        <v>362070.49771800003</v>
        <stp/>
        <stp>P</stp>
        <stp>0</stp>
        <stp>STK</stp>
        <stp>N039030</stp>
        <stp>가중평균가</stp>
        <stp/>
        <stp/>
        <tr r="O139" s="1"/>
      </tp>
      <tp>
        <v>181220.644711</v>
        <stp/>
        <stp>P</stp>
        <stp>0</stp>
        <stp>STK</stp>
        <stp>N443060</stp>
        <stp>가중평균가</stp>
        <stp/>
        <stp/>
        <tr r="O86" s="1"/>
      </tp>
      <tp>
        <v>18002.048626</v>
        <stp/>
        <stp>P</stp>
        <stp>0</stp>
        <stp>STK</stp>
        <stp>N476060</stp>
        <stp>가중평균가</stp>
        <stp/>
        <stp/>
        <tr r="O343" s="1"/>
      </tp>
      <tp>
        <v>30466.221773000001</v>
        <stp/>
        <stp>P</stp>
        <stp>0</stp>
        <stp>STK</stp>
        <stp>N004020</stp>
        <stp>가중평균가</stp>
        <stp/>
        <stp/>
        <tr r="O125" s="1"/>
      </tp>
      <tp>
        <v>58955.684536000001</v>
        <stp/>
        <stp>P</stp>
        <stp>0</stp>
        <stp>STK</stp>
        <stp>N002020</stp>
        <stp>가중평균가</stp>
        <stp/>
        <stp/>
        <tr r="O443" s="1"/>
      </tp>
      <tp>
        <v>59889.132882999998</v>
        <stp/>
        <stp>P</stp>
        <stp>0</stp>
        <stp>STK</stp>
        <stp>N215000</stp>
        <stp>가중평균가</stp>
        <stp/>
        <stp/>
        <tr r="O595" s="1"/>
      </tp>
      <tp>
        <v>88095.043269000002</v>
        <stp/>
        <stp>P</stp>
        <stp>0</stp>
        <stp>STK</stp>
        <stp>N034020</stp>
        <stp>가중평균가</stp>
        <stp/>
        <stp/>
        <tr r="O17" s="1"/>
      </tp>
      <tp>
        <v>35477.218387000001</v>
        <stp/>
        <stp>P</stp>
        <stp>0</stp>
        <stp>STK</stp>
        <stp>N089010</stp>
        <stp>가중평균가</stp>
        <stp/>
        <stp/>
        <tr r="O466" s="1"/>
      </tp>
      <tp>
        <v>10350.785293000001</v>
        <stp/>
        <stp>P</stp>
        <stp>0</stp>
        <stp>STK</stp>
        <stp>N084010</stp>
        <stp>가중평균가</stp>
        <stp/>
        <stp/>
        <tr r="O687" s="1"/>
      </tp>
      <tp>
        <v>304634.18301899999</v>
        <stp/>
        <stp>P</stp>
        <stp>0</stp>
        <stp>STK</stp>
        <stp>N087010</stp>
        <stp>가중평균가</stp>
        <stp/>
        <stp/>
        <tr r="O111" s="1"/>
      </tp>
      <tp>
        <v>31007.591159</v>
        <stp/>
        <stp>P</stp>
        <stp>0</stp>
        <stp>STK</stp>
        <stp>N299030</stp>
        <stp>가중평균가</stp>
        <stp/>
        <stp/>
        <tr r="O694" s="1"/>
      </tp>
      <tp>
        <v>10039.229104</v>
        <stp/>
        <stp>P</stp>
        <stp>0</stp>
        <stp>STK</stp>
        <stp>N161000</stp>
        <stp>가중평균가</stp>
        <stp/>
        <stp/>
        <tr r="O524" s="1"/>
      </tp>
      <tp>
        <v>364690.21485300001</v>
        <stp/>
        <stp>P</stp>
        <stp>0</stp>
        <stp>STK</stp>
        <stp>N298020</stp>
        <stp>가중평균가</stp>
        <stp/>
        <stp/>
        <tr r="O234" s="1"/>
      </tp>
      <tp>
        <v>60095.346179</v>
        <stp/>
        <stp>P</stp>
        <stp>0</stp>
        <stp>STK</stp>
        <stp>N397030</stp>
        <stp>가중평균가</stp>
        <stp/>
        <stp/>
        <tr r="O296" s="1"/>
      </tp>
      <tp>
        <v>36935.762604000003</v>
        <stp/>
        <stp>P</stp>
        <stp>0</stp>
        <stp>STK</stp>
        <stp>N042000</stp>
        <stp>가중평균가</stp>
        <stp/>
        <stp/>
        <tr r="O370" s="1"/>
      </tp>
      <tp>
        <v>69758.531818999996</v>
        <stp/>
        <stp>P</stp>
        <stp>0</stp>
        <stp>STK</stp>
        <stp>N456040</stp>
        <stp>가중평균가</stp>
        <stp/>
        <stp/>
        <tr r="O412" s="1"/>
      </tp>
      <tp>
        <v>46689.342929999999</v>
        <stp/>
        <stp>P</stp>
        <stp>0</stp>
        <stp>STK</stp>
        <stp>N004000</stp>
        <stp>가중평균가</stp>
        <stp/>
        <stp/>
        <tr r="O290" s="1"/>
      </tp>
      <tp>
        <v>115536.780146</v>
        <stp/>
        <stp>P</stp>
        <stp>0</stp>
        <stp>STK</stp>
        <stp>N326030</stp>
        <stp>가중평균가</stp>
        <stp/>
        <stp/>
        <tr r="O81" s="1"/>
      </tp>
      <tp>
        <v>18203.931066000001</v>
        <stp/>
        <stp>P</stp>
        <stp>0</stp>
        <stp>STK</stp>
        <stp>N020000</stp>
        <stp>가중평균가</stp>
        <stp/>
        <stp/>
        <tr r="O587" s="1"/>
      </tp>
      <tp>
        <v>21758.217270000001</v>
        <stp/>
        <stp>P</stp>
        <stp>0</stp>
        <stp>STK</stp>
        <stp>N030000</stp>
        <stp>가중평균가</stp>
        <stp/>
        <stp/>
        <tr r="O187" s="1"/>
      </tp>
      <tp>
        <v>90244.312376000002</v>
        <stp/>
        <stp>P</stp>
        <stp>0</stp>
        <stp>STK</stp>
        <stp>N0120G0</stp>
        <stp>가중평균가</stp>
        <stp/>
        <stp/>
        <tr r="O436" s="1"/>
      </tp>
      <tp>
        <v>105361.81073</v>
        <stp/>
        <stp>P</stp>
        <stp>0</stp>
        <stp>STK</stp>
        <stp>N457190</stp>
        <stp>가중평균가</stp>
        <stp/>
        <stp/>
        <tr r="O162" s="1"/>
      </tp>
      <tp>
        <v>38064.722854</v>
        <stp/>
        <stp>P</stp>
        <stp>0</stp>
        <stp>STK</stp>
        <stp>N416180</stp>
        <stp>가중평균가</stp>
        <stp/>
        <stp/>
        <tr r="O637" s="1"/>
      </tp>
      <tp>
        <v>569052.41768800002</v>
        <stp/>
        <stp>P</stp>
        <stp>0</stp>
        <stp>STK</stp>
        <stp>N329180</stp>
        <stp>가중평균가</stp>
        <stp/>
        <stp/>
        <tr r="O16" s="1"/>
      </tp>
      <tp>
        <v>16342.300706</v>
        <stp/>
        <stp>P</stp>
        <stp>0</stp>
        <stp>STK</stp>
        <stp>N099190</stp>
        <stp>가중평균가</stp>
        <stp/>
        <stp/>
        <tr r="O532" s="1"/>
      </tp>
      <tp>
        <v>8117.6335600000002</v>
        <stp/>
        <stp>P</stp>
        <stp>0</stp>
        <stp>STK</stp>
        <stp>N041190</stp>
        <stp>가중평균가</stp>
        <stp/>
        <stp/>
        <tr r="O428" s="1"/>
      </tp>
      <tp>
        <v>32973.068402999997</v>
        <stp/>
        <stp>P</stp>
        <stp>0</stp>
        <stp>STK</stp>
        <stp>N056190</stp>
        <stp>가중평균가</stp>
        <stp/>
        <stp/>
        <tr r="O330" s="1"/>
      </tp>
      <tp>
        <v>17063.503937000001</v>
        <stp/>
        <stp>P</stp>
        <stp>0</stp>
        <stp>STK</stp>
        <stp>N030190</stp>
        <stp>가중평균가</stp>
        <stp/>
        <stp/>
        <tr r="O317" s="1"/>
      </tp>
      <tp>
        <v>26954.411445000002</v>
        <stp/>
        <stp>P</stp>
        <stp>0</stp>
        <stp>STK</stp>
        <stp>N032190</stp>
        <stp>가중평균가</stp>
        <stp/>
        <stp/>
        <tr r="O390" s="1"/>
      </tp>
      <tp>
        <v>12319.339846999999</v>
        <stp/>
        <stp>P</stp>
        <stp>0</stp>
        <stp>STK</stp>
        <stp>N183190</stp>
        <stp>가중평균가</stp>
        <stp/>
        <stp/>
        <tr r="O516" s="1"/>
      </tp>
      <tp>
        <v>80401.868998999998</v>
        <stp/>
        <stp>P</stp>
        <stp>0</stp>
        <stp>STK</stp>
        <stp>N160190</stp>
        <stp>가중평균가</stp>
        <stp/>
        <stp/>
        <tr r="O193" s="1"/>
      </tp>
      <tp>
        <v>74274.068922999999</v>
        <stp/>
        <stp>P</stp>
        <stp>0</stp>
        <stp>STK</stp>
        <stp>N005180</stp>
        <stp>가중평균가</stp>
        <stp/>
        <stp/>
        <tr r="O381" s="1"/>
      </tp>
      <tp>
        <v>16878.606907000001</v>
        <stp/>
        <stp>P</stp>
        <stp>0</stp>
        <stp>STK</stp>
        <stp>N114190</stp>
        <stp>가중평균가</stp>
        <stp/>
        <stp/>
        <tr r="O566" s="1"/>
      </tp>
      <tp>
        <v>29674.355082999999</v>
        <stp/>
        <stp>P</stp>
        <stp>0</stp>
        <stp>STK</stp>
        <stp>N094170</stp>
        <stp>가중평균가</stp>
        <stp/>
        <stp/>
        <tr r="O439" s="1"/>
      </tp>
      <tp>
        <v>323934.65313300001</v>
        <stp/>
        <stp>P</stp>
        <stp>0</stp>
        <stp>STK</stp>
        <stp>N004170</stp>
        <stp>가중평균가</stp>
        <stp/>
        <stp/>
        <tr r="O163" s="1"/>
      </tp>
      <tp>
        <v>25065.138421</v>
        <stp/>
        <stp>P</stp>
        <stp>0</stp>
        <stp>STK</stp>
        <stp>N101160</stp>
        <stp>가중평균가</stp>
        <stp/>
        <stp/>
        <tr r="O561" s="1"/>
      </tp>
      <tp>
        <v>12976.139014</v>
        <stp/>
        <stp>P</stp>
        <stp>0</stp>
        <stp>STK</stp>
        <stp>N019170</stp>
        <stp>가중평균가</stp>
        <stp/>
        <stp/>
        <tr r="O411" s="1"/>
      </tp>
      <tp>
        <v>72862.160453000004</v>
        <stp/>
        <stp>P</stp>
        <stp>0</stp>
        <stp>STK</stp>
        <stp>N214150</stp>
        <stp>가중평균가</stp>
        <stp/>
        <stp/>
        <tr r="O132" s="1"/>
      </tp>
      <tp>
        <v>30178.573655</v>
        <stp/>
        <stp>P</stp>
        <stp>0</stp>
        <stp>STK</stp>
        <stp>N316140</stp>
        <stp>가중평균가</stp>
        <stp/>
        <stp/>
        <tr r="O43" s="1"/>
      </tp>
      <tp>
        <v>81158.259661000004</v>
        <stp/>
        <stp>P</stp>
        <stp>0</stp>
        <stp>STK</stp>
        <stp>N011170</stp>
        <stp>가중평균가</stp>
        <stp/>
        <stp/>
        <tr r="O152" s="1"/>
      </tp>
      <tp>
        <v>23563.142694999999</v>
        <stp/>
        <stp>P</stp>
        <stp>0</stp>
        <stp>STK</stp>
        <stp>N484120</stp>
        <stp>가중평균가</stp>
        <stp/>
        <stp/>
        <tr r="O674" s="1"/>
      </tp>
      <tp>
        <v>67900.646340000007</v>
        <stp/>
        <stp>P</stp>
        <stp>0</stp>
        <stp>STK</stp>
        <stp>N494120</stp>
        <stp>가중평균가</stp>
        <stp/>
        <stp/>
        <tr r="O529" s="1"/>
      </tp>
      <tp>
        <v>398665.21755200002</v>
        <stp/>
        <stp>P</stp>
        <stp>0</stp>
        <stp>STK</stp>
        <stp>N196170</stp>
        <stp>가중평균가</stp>
        <stp/>
        <stp/>
        <tr r="O45" s="1"/>
      </tp>
      <tp>
        <v>72919.255258000005</v>
        <stp/>
        <stp>P</stp>
        <stp>0</stp>
        <stp>STK</stp>
        <stp>N067160</stp>
        <stp>가중평균가</stp>
        <stp/>
        <stp/>
        <tr r="O373" s="1"/>
      </tp>
      <tp>
        <v>24216.711958</v>
        <stp/>
        <stp>P</stp>
        <stp>0</stp>
        <stp>STK</stp>
        <stp>N078160</stp>
        <stp>가중평균가</stp>
        <stp/>
        <stp/>
        <tr r="O438" s="1"/>
      </tp>
      <tp>
        <v>58501.408766</v>
        <stp/>
        <stp>P</stp>
        <stp>0</stp>
        <stp>STK</stp>
        <stp>N007160</stp>
        <stp>가중평균가</stp>
        <stp/>
        <stp/>
        <tr r="O652" s="1"/>
      </tp>
      <tp>
        <v>32974.461458999998</v>
        <stp/>
        <stp>P</stp>
        <stp>0</stp>
        <stp>STK</stp>
        <stp>N003160</stp>
        <stp>가중평균가</stp>
        <stp/>
        <stp/>
        <tr r="O345" s="1"/>
      </tp>
      <tp>
        <v>27436.982556999999</v>
        <stp/>
        <stp>P</stp>
        <stp>0</stp>
        <stp>STK</stp>
        <stp>N023160</stp>
        <stp>가중평균가</stp>
        <stp/>
        <stp/>
        <tr r="O389" s="1"/>
      </tp>
      <tp>
        <v>18985.053255999999</v>
        <stp/>
        <stp>P</stp>
        <stp>0</stp>
        <stp>STK</stp>
        <stp>N232140</stp>
        <stp>가중평균가</stp>
        <stp/>
        <stp/>
        <tr r="O283" s="1"/>
      </tp>
      <tp>
        <v>20191.626865999999</v>
        <stp/>
        <stp>P</stp>
        <stp>0</stp>
        <stp>STK</stp>
        <stp>N043150</stp>
        <stp>가중평균가</stp>
        <stp/>
        <stp/>
        <tr r="O645" s="1"/>
      </tp>
      <tp>
        <v>288043.48327700002</v>
        <stp/>
        <stp>P</stp>
        <stp>0</stp>
        <stp>STK</stp>
        <stp>N009150</stp>
        <stp>가중평균가</stp>
        <stp/>
        <stp/>
        <tr r="O42" s="1"/>
      </tp>
      <tp>
        <v>832258.44637000002</v>
        <stp/>
        <stp>P</stp>
        <stp>0</stp>
        <stp>STK</stp>
        <stp>N000150</stp>
        <stp>가중평균가</stp>
        <stp/>
        <stp/>
        <tr r="O64" s="1"/>
      </tp>
      <tp>
        <v>124717.638653</v>
        <stp/>
        <stp>P</stp>
        <stp>0</stp>
        <stp>STK</stp>
        <stp>N103140</stp>
        <stp>가중평균가</stp>
        <stp/>
        <stp/>
        <tr r="O144" s="1"/>
      </tp>
      <tp>
        <v>37830.686913999998</v>
        <stp/>
        <stp>P</stp>
        <stp>0</stp>
        <stp>STK</stp>
        <stp>N020150</stp>
        <stp>가중평균가</stp>
        <stp/>
        <stp/>
        <tr r="O228" s="1"/>
      </tp>
      <tp>
        <v>12650.814716999999</v>
        <stp/>
        <stp>P</stp>
        <stp>0</stp>
        <stp>STK</stp>
        <stp>N035150</stp>
        <stp>가중평균가</stp>
        <stp/>
        <stp/>
        <tr r="O666" s="1"/>
      </tp>
      <tp>
        <v>74206.180603000001</v>
        <stp/>
        <stp>P</stp>
        <stp>0</stp>
        <stp>STK</stp>
        <stp>N466100</stp>
        <stp>가중평균가</stp>
        <stp/>
        <stp/>
        <tr r="O219" s="1"/>
      </tp>
      <tp>
        <v>35115.171949000003</v>
        <stp/>
        <stp>P</stp>
        <stp>0</stp>
        <stp>STK</stp>
        <stp>N372170</stp>
        <stp>가중평균가</stp>
        <stp/>
        <stp/>
        <tr r="O680" s="1"/>
      </tp>
      <tp>
        <v>28729.314656999999</v>
        <stp/>
        <stp>P</stp>
        <stp>0</stp>
        <stp>STK</stp>
        <stp>N010140</stp>
        <stp>가중평균가</stp>
        <stp/>
        <stp/>
        <tr r="O33" s="1"/>
      </tp>
      <tp>
        <v>30167.253905000001</v>
        <stp/>
        <stp>P</stp>
        <stp>0</stp>
        <stp>STK</stp>
        <stp>N304100</stp>
        <stp>가중평균가</stp>
        <stp/>
        <stp/>
        <tr r="O594" s="1"/>
      </tp>
      <tp>
        <v>143638.93805299999</v>
        <stp/>
        <stp>P</stp>
        <stp>0</stp>
        <stp>STK</stp>
        <stp>N001130</stp>
        <stp>가중평균가</stp>
        <stp/>
        <stp/>
        <tr r="O683" s="1"/>
      </tp>
      <tp>
        <v>1687940.0692080001</v>
        <stp/>
        <stp>P</stp>
        <stp>0</stp>
        <stp>STK</stp>
        <stp>N010130</stp>
        <stp>가중평균가</stp>
        <stp/>
        <stp/>
        <tr r="O28" s="1"/>
      </tp>
      <tp>
        <v>20347.077073</v>
        <stp/>
        <stp>P</stp>
        <stp>0</stp>
        <stp>STK</stp>
        <stp>N127120</stp>
        <stp>가중평균가</stp>
        <stp/>
        <stp/>
        <tr r="O405" s="1"/>
      </tp>
      <tp>
        <v>45871.486081000003</v>
        <stp/>
        <stp>P</stp>
        <stp>0</stp>
        <stp>STK</stp>
        <stp>N039130</stp>
        <stp>가중평균가</stp>
        <stp/>
        <stp/>
        <tr r="O388" s="1"/>
      </tp>
      <tp>
        <v>74779.189757</v>
        <stp/>
        <stp>P</stp>
        <stp>0</stp>
        <stp>STK</stp>
        <stp>N456160</stp>
        <stp>가중평균가</stp>
        <stp/>
        <stp/>
        <tr r="O281" s="1"/>
      </tp>
      <tp>
        <v>56801.322910000003</v>
        <stp/>
        <stp>P</stp>
        <stp>0</stp>
        <stp>STK</stp>
        <stp>N006120</stp>
        <stp>가중평균가</stp>
        <stp/>
        <stp/>
        <tr r="O294" s="1"/>
      </tp>
      <tp>
        <v>102831.934618</v>
        <stp/>
        <stp>P</stp>
        <stp>0</stp>
        <stp>STK</stp>
        <stp>N000120</stp>
        <stp>가중평균가</stp>
        <stp/>
        <stp/>
        <tr r="O197" s="1"/>
      </tp>
      <tp>
        <v>37196.734046999998</v>
        <stp/>
        <stp>P</stp>
        <stp>0</stp>
        <stp>STK</stp>
        <stp>N001120</stp>
        <stp>가중평균가</stp>
        <stp/>
        <stp/>
        <tr r="O260" s="1"/>
      </tp>
      <tp>
        <v>26980.190858999998</v>
        <stp/>
        <stp>P</stp>
        <stp>0</stp>
        <stp>STK</stp>
        <stp>N003120</stp>
        <stp>가중평균가</stp>
        <stp/>
        <stp/>
        <tr r="O633" s="1"/>
      </tp>
      <tp>
        <v>547393.07366200001</v>
        <stp/>
        <stp>P</stp>
        <stp>0</stp>
        <stp>STK</stp>
        <stp>N010120</stp>
        <stp>가중평균가</stp>
        <stp/>
        <stp/>
        <tr r="O58" s="1"/>
      </tp>
      <tp>
        <v>25168.054991000001</v>
        <stp/>
        <stp>P</stp>
        <stp>0</stp>
        <stp>STK</stp>
        <stp>N220100</stp>
        <stp>가중평균가</stp>
        <stp/>
        <stp/>
        <tr r="O461" s="1"/>
      </tp>
      <tp>
        <v>15468.13125</v>
        <stp/>
        <stp>P</stp>
        <stp>0</stp>
        <stp>STK</stp>
        <stp>N139130</stp>
        <stp>가중평균가</stp>
        <stp/>
        <stp/>
        <tr r="O196" s="1"/>
      </tp>
      <tp>
        <v>18493.447470999999</v>
        <stp/>
        <stp>P</stp>
        <stp>0</stp>
        <stp>STK</stp>
        <stp>N034120</stp>
        <stp>가중평균가</stp>
        <stp/>
        <stp/>
        <tr r="O584" s="1"/>
      </tp>
      <tp>
        <v>49614.568975000002</v>
        <stp/>
        <stp>P</stp>
        <stp>0</stp>
        <stp>STK</stp>
        <stp>N084110</stp>
        <stp>가중평균가</stp>
        <stp/>
        <stp/>
        <tr r="O426" s="1"/>
      </tp>
      <tp>
        <v>66099.991548000005</v>
        <stp/>
        <stp>P</stp>
        <stp>0</stp>
        <stp>STK</stp>
        <stp>N285130</stp>
        <stp>가중평균가</stp>
        <stp/>
        <stp/>
        <tr r="O295" s="1"/>
      </tp>
      <tp>
        <v>19905.918149000001</v>
        <stp/>
        <stp>P</stp>
        <stp>0</stp>
        <stp>STK</stp>
        <stp>N475150</stp>
        <stp>가중평균가</stp>
        <stp/>
        <stp/>
        <tr r="O402" s="1"/>
      </tp>
      <tp>
        <v>31980.319388</v>
        <stp/>
        <stp>P</stp>
        <stp>0</stp>
        <stp>STK</stp>
        <stp>N006110</stp>
        <stp>가중평균가</stp>
        <stp/>
        <stp/>
        <tr r="O571" s="1"/>
      </tp>
      <tp>
        <v>14641.685723000001</v>
        <stp/>
        <stp>P</stp>
        <stp>0</stp>
        <stp>STK</stp>
        <stp>N200130</stp>
        <stp>가중평균가</stp>
        <stp/>
        <stp/>
        <tr r="O565" s="1"/>
      </tp>
      <tp>
        <v>21896.438141999999</v>
        <stp/>
        <stp>P</stp>
        <stp>0</stp>
        <stp>STK</stp>
        <stp>N024110</stp>
        <stp>가중평균가</stp>
        <stp/>
        <stp/>
        <tr r="O55" s="1"/>
      </tp>
      <tp>
        <v>30805.198984999999</v>
        <stp/>
        <stp>P</stp>
        <stp>0</stp>
        <stp>STK</stp>
        <stp>N045100</stp>
        <stp>가중평균가</stp>
        <stp/>
        <stp/>
        <tr r="O503" s="1"/>
      </tp>
      <tp>
        <v>105882.277759</v>
        <stp/>
        <stp>P</stp>
        <stp>0</stp>
        <stp>STK</stp>
        <stp>N000100</stp>
        <stp>가중평균가</stp>
        <stp/>
        <stp/>
        <tr r="O87" s="1"/>
      </tp>
      <tp>
        <v>38071.346001999998</v>
        <stp/>
        <stp>P</stp>
        <stp>0</stp>
        <stp>STK</stp>
        <stp>N328130</stp>
        <stp>가중평균가</stp>
        <stp/>
        <stp/>
        <tr r="O298" s="1"/>
      </tp>
      <tp>
        <v>51373.716656999997</v>
        <stp/>
        <stp>P</stp>
        <stp>0</stp>
        <stp>STK</stp>
        <stp>N120110</stp>
        <stp>가중평균가</stp>
        <stp/>
        <stp/>
        <tr r="O280" s="1"/>
      </tp>
      <tp>
        <v>37601.859499999999</v>
        <stp/>
        <stp>P</stp>
        <stp>0</stp>
        <stp>STK</stp>
        <stp>N022100</stp>
        <stp>가중평균가</stp>
        <stp/>
        <stp/>
        <tr r="O98" s="1"/>
      </tp>
      <tp>
        <v>46941.240561999999</v>
        <stp/>
        <stp>P</stp>
        <stp>0</stp>
        <stp>STK</stp>
        <stp>N033100</stp>
        <stp>가중평균가</stp>
        <stp/>
        <stp/>
        <tr r="O406" s="1"/>
      </tp>
      <tp>
        <v>23421.115385000001</v>
        <stp/>
        <stp>P</stp>
        <stp>0</stp>
        <stp>STK</stp>
        <stp>N488280</stp>
        <stp>가중평균가</stp>
        <stp/>
        <stp/>
        <tr r="O690" s="1"/>
      </tp>
      <tp>
        <v>11004.250758</v>
        <stp/>
        <stp>P</stp>
        <stp>0</stp>
        <stp>STK</stp>
        <stp>N448280</stp>
        <stp>가중평균가</stp>
        <stp/>
        <stp/>
        <tr r="O641" s="1"/>
      </tp>
      <tp>
        <v>15052.225704</v>
        <stp/>
        <stp>P</stp>
        <stp>0</stp>
        <stp>STK</stp>
        <stp>N394280</stp>
        <stp>가중평균가</stp>
        <stp/>
        <stp/>
        <tr r="O627" s="1"/>
      </tp>
      <tp>
        <v>31453.079506999999</v>
        <stp/>
        <stp>P</stp>
        <stp>0</stp>
        <stp>STK</stp>
        <stp>N272290</stp>
        <stp>가중평균가</stp>
        <stp/>
        <stp/>
        <tr r="O472" s="1"/>
      </tp>
      <tp>
        <v>73693.274250999995</v>
        <stp/>
        <stp>P</stp>
        <stp>0</stp>
        <stp>STK</stp>
        <stp>N323280</stp>
        <stp>가중평균가</stp>
        <stp/>
        <stp/>
        <tr r="O258" s="1"/>
      </tp>
      <tp>
        <v>134254.54545500001</v>
        <stp/>
        <stp>P</stp>
        <stp>0</stp>
        <stp>STK</stp>
        <stp>N268280</stp>
        <stp>가중평균가</stp>
        <stp/>
        <stp/>
        <tr r="O391" s="1"/>
      </tp>
      <tp>
        <v>56755.762492000002</v>
        <stp/>
        <stp>P</stp>
        <stp>0</stp>
        <stp>STK</stp>
        <stp>N278280</stp>
        <stp>가중평균가</stp>
        <stp/>
        <stp/>
        <tr r="O437" s="1"/>
      </tp>
      <tp>
        <v>53580.891058000001</v>
        <stp/>
        <stp>P</stp>
        <stp>0</stp>
        <stp>STK</stp>
        <stp>N005290</stp>
        <stp>가중평균가</stp>
        <stp/>
        <stp/>
        <tr r="O204" s="1"/>
      </tp>
      <tp>
        <v>20820.804402000002</v>
        <stp/>
        <stp>P</stp>
        <stp>0</stp>
        <stp>STK</stp>
        <stp>N018290</stp>
        <stp>가중평균가</stp>
        <stp/>
        <stp/>
        <tr r="O442" s="1"/>
      </tp>
      <tp>
        <v>238043.69519999999</v>
        <stp/>
        <stp>P</stp>
        <stp>0</stp>
        <stp>STK</stp>
        <stp>N086280</stp>
        <stp>가중평균가</stp>
        <stp/>
        <stp/>
        <tr r="O39" s="1"/>
      </tp>
      <tp>
        <v>21028.231919999998</v>
        <stp/>
        <stp>P</stp>
        <stp>0</stp>
        <stp>STK</stp>
        <stp>N060280</stp>
        <stp>가중평균가</stp>
        <stp/>
        <stp/>
        <tr r="O349" s="1"/>
      </tp>
      <tp>
        <v>161848.85057499999</v>
        <stp/>
        <stp>P</stp>
        <stp>0</stp>
        <stp>STK</stp>
        <stp>N006280</stp>
        <stp>가중평균가</stp>
        <stp/>
        <stp/>
        <tr r="O232" s="1"/>
      </tp>
      <tp>
        <v>77595.128140000001</v>
        <stp/>
        <stp>P</stp>
        <stp>0</stp>
        <stp>STK</stp>
        <stp>N131290</stp>
        <stp>가중평균가</stp>
        <stp/>
        <stp/>
        <tr r="O346" s="1"/>
      </tp>
      <tp>
        <v>40661.302071999999</v>
        <stp/>
        <stp>P</stp>
        <stp>0</stp>
        <stp>STK</stp>
        <stp>N082270</stp>
        <stp>가중평균가</stp>
        <stp/>
        <stp/>
        <tr r="O316" s="1"/>
      </tp>
      <tp>
        <v>205621.80348900001</v>
        <stp/>
        <stp>P</stp>
        <stp>0</stp>
        <stp>STK</stp>
        <stp>N068270</stp>
        <stp>가중평균가</stp>
        <stp/>
        <stp/>
        <tr r="O21" s="1"/>
      </tp>
      <tp>
        <v>230312.95445799999</v>
        <stp/>
        <stp>P</stp>
        <stp>0</stp>
        <stp>STK</stp>
        <stp>N267250</stp>
        <stp>가중평균가</stp>
        <stp/>
        <stp/>
        <tr r="O44" s="1"/>
      </tp>
      <tp>
        <v>151027.54866900001</v>
        <stp/>
        <stp>P</stp>
        <stp>0</stp>
        <stp>STK</stp>
        <stp>N000270</stp>
        <stp>가중평균가</stp>
        <stp/>
        <stp/>
        <tr r="O14" s="1"/>
      </tp>
      <tp>
        <v>75397.296088999996</v>
        <stp/>
        <stp>P</stp>
        <stp>0</stp>
        <stp>STK</stp>
        <stp>N001270</stp>
        <stp>가중평균가</stp>
        <stp/>
        <stp/>
        <tr r="O415" s="1"/>
      </tp>
      <tp>
        <v>18827.360993999999</v>
        <stp/>
        <stp>P</stp>
        <stp>0</stp>
        <stp>STK</stp>
        <stp>N033270</stp>
        <stp>가중평균가</stp>
        <stp/>
        <stp/>
        <tr r="O628" s="1"/>
      </tp>
      <tp>
        <v>19922.09245</v>
        <stp/>
        <stp>P</stp>
        <stp>0</stp>
        <stp>STK</stp>
        <stp>N069260</stp>
        <stp>가중평균가</stp>
        <stp/>
        <stp/>
        <tr r="O372" s="1"/>
      </tp>
      <tp>
        <v>218176.034438</v>
        <stp/>
        <stp>P</stp>
        <stp>0</stp>
        <stp>STK</stp>
        <stp>N006260</stp>
        <stp>가중평균가</stp>
        <stp/>
        <stp/>
        <tr r="O92" s="1"/>
      </tp>
      <tp>
        <v>170602.06288000001</v>
        <stp/>
        <stp>P</stp>
        <stp>0</stp>
        <stp>STK</stp>
        <stp>N018260</stp>
        <stp>가중평균가</stp>
        <stp/>
        <stp/>
        <tr r="O63" s="1"/>
      </tp>
      <tp>
        <v>295083.767995</v>
        <stp/>
        <stp>P</stp>
        <stp>0</stp>
        <stp>STK</stp>
        <stp>N028260</stp>
        <stp>가중평균가</stp>
        <stp/>
        <stp/>
        <tr r="O20" s="1"/>
      </tp>
      <tp>
        <v>17219.025654000001</v>
        <stp/>
        <stp>P</stp>
        <stp>0</stp>
        <stp>STK</stp>
        <stp>N389260</stp>
        <stp>가중평균가</stp>
        <stp/>
        <stp/>
        <tr r="O615" s="1"/>
      </tp>
      <tp>
        <v>51884.687065999999</v>
        <stp/>
        <stp>P</stp>
        <stp>0</stp>
        <stp>STK</stp>
        <stp>N251270</stp>
        <stp>가중평균가</stp>
        <stp/>
        <stp/>
        <tr r="O123" s="1"/>
      </tp>
      <tp>
        <v>105761.548287</v>
        <stp/>
        <stp>P</stp>
        <stp>0</stp>
        <stp>STK</stp>
        <stp>N267270</stp>
        <stp>가중평균가</stp>
        <stp/>
        <stp/>
        <tr r="O216" s="1"/>
      </tp>
      <tp>
        <v>24223.188118999999</v>
        <stp/>
        <stp>P</stp>
        <stp>0</stp>
        <stp>STK</stp>
        <stp>N060250</stp>
        <stp>가중평균가</stp>
        <stp/>
        <stp/>
        <tr r="O440" s="1"/>
      </tp>
      <tp>
        <v>23238.042329</v>
        <stp/>
        <stp>P</stp>
        <stp>0</stp>
        <stp>STK</stp>
        <stp>N204270</stp>
        <stp>가중평균가</stp>
        <stp/>
        <stp/>
        <tr r="O297" s="1"/>
      </tp>
      <tp>
        <v>15410.880305999999</v>
        <stp/>
        <stp>P</stp>
        <stp>0</stp>
        <stp>STK</stp>
        <stp>N005250</stp>
        <stp>가중평균가</stp>
        <stp/>
        <stp/>
        <tr r="O392" s="1"/>
      </tp>
      <tp>
        <v>462829.89062700002</v>
        <stp/>
        <stp>P</stp>
        <stp>0</stp>
        <stp>STK</stp>
        <stp>N000250</stp>
        <stp>가중평균가</stp>
        <stp/>
        <stp/>
        <tr r="O100" s="1"/>
      </tp>
      <tp>
        <v>12459.355834</v>
        <stp/>
        <stp>P</stp>
        <stp>0</stp>
        <stp>STK</stp>
        <stp>N018250</stp>
        <stp>가중평균가</stp>
        <stp/>
        <stp/>
        <tr r="O593" s="1"/>
      </tp>
      <tp>
        <v>17384.770948000001</v>
        <stp/>
        <stp>P</stp>
        <stp>0</stp>
        <stp>STK</stp>
        <stp>N035250</stp>
        <stp>가중평균가</stp>
        <stp/>
        <stp/>
        <tr r="O131" s="1"/>
      </tp>
      <tp>
        <v>33203.153039999997</v>
        <stp/>
        <stp>P</stp>
        <stp>0</stp>
        <stp>STK</stp>
        <stp>N336260</stp>
        <stp>가중평균가</stp>
        <stp/>
        <stp/>
        <tr r="O186" s="1"/>
      </tp>
      <tp>
        <v>871105.55813699996</v>
        <stp/>
        <stp>P</stp>
        <stp>0</stp>
        <stp>STK</stp>
        <stp>N267260</stp>
        <stp>가중평균가</stp>
        <stp/>
        <stp/>
        <tr r="O29" s="1"/>
      </tp>
      <tp>
        <v>84577.969691999999</v>
        <stp/>
        <stp>P</stp>
        <stp>0</stp>
        <stp>STK</stp>
        <stp>N376270</stp>
        <stp>가중평균가</stp>
        <stp/>
        <stp/>
        <tr r="O555" s="1"/>
      </tp>
      <tp>
        <v>5964.1393930000004</v>
        <stp/>
        <stp>P</stp>
        <stp>0</stp>
        <stp>STK</stp>
        <stp>N073240</stp>
        <stp>가중평균가</stp>
        <stp/>
        <stp/>
        <tr r="O227" s="1"/>
      </tp>
      <tp>
        <v>45958.991399999999</v>
        <stp/>
        <stp>P</stp>
        <stp>0</stp>
        <stp>STK</stp>
        <stp>N009240</stp>
        <stp>가중평균가</stp>
        <stp/>
        <stp/>
        <tr r="O304" s="1"/>
      </tp>
      <tp>
        <v>26824.429124999999</v>
        <stp/>
        <stp>P</stp>
        <stp>0</stp>
        <stp>STK</stp>
        <stp>N000240</stp>
        <stp>가중평균가</stp>
        <stp/>
        <stp/>
        <tr r="O174" s="1"/>
      </tp>
      <tp>
        <v>21433.333332999999</v>
        <stp/>
        <stp>P</stp>
        <stp>0</stp>
        <stp>STK</stp>
        <stp>N002240</stp>
        <stp>가중평균가</stp>
        <stp/>
        <stp/>
        <tr r="O429" s="1"/>
      </tp>
      <tp>
        <v>914377.52654999995</v>
        <stp/>
        <stp>P</stp>
        <stp>0</stp>
        <stp>STK</stp>
        <stp>N003240</stp>
        <stp>가중평균가</stp>
        <stp/>
        <stp/>
        <tr r="O344" s="1"/>
      </tp>
      <tp>
        <v>17307.569616000001</v>
        <stp/>
        <stp>P</stp>
        <stp>0</stp>
        <stp>STK</stp>
        <stp>N417200</stp>
        <stp>가중평균가</stp>
        <stp/>
        <stp/>
        <tr r="O336" s="1"/>
      </tp>
      <tp>
        <v>82178.508168</v>
        <stp/>
        <stp>P</stp>
        <stp>0</stp>
        <stp>STK</stp>
        <stp>N021240</stp>
        <stp>가중평균가</stp>
        <stp/>
        <stp/>
        <tr r="O106" s="1"/>
      </tp>
      <tp>
        <v>29955.049662000001</v>
        <stp/>
        <stp>P</stp>
        <stp>0</stp>
        <stp>STK</stp>
        <stp>N033240</stp>
        <stp>가중평균가</stp>
        <stp/>
        <stp/>
        <tr r="O464" s="1"/>
      </tp>
      <tp>
        <v>24561.265659000001</v>
        <stp/>
        <stp>P</stp>
        <stp>0</stp>
        <stp>STK</stp>
        <stp>N097230</stp>
        <stp>가중평균가</stp>
        <stp/>
        <stp/>
        <tr r="O198" s="1"/>
      </tp>
      <tp>
        <v>76193.913042999993</v>
        <stp/>
        <stp>P</stp>
        <stp>0</stp>
        <stp>STK</stp>
        <stp>N092230</stp>
        <stp>가중평균가</stp>
        <stp/>
        <stp/>
        <tr r="O618" s="1"/>
      </tp>
      <tp>
        <v>9258.7814639999997</v>
        <stp/>
        <stp>P</stp>
        <stp>0</stp>
        <stp>STK</stp>
        <stp>N441270</stp>
        <stp>가중평균가</stp>
        <stp/>
        <stp/>
        <tr r="O572" s="1"/>
      </tp>
      <tp>
        <v>62149.969898000003</v>
        <stp/>
        <stp>P</stp>
        <stp>0</stp>
        <stp>STK</stp>
        <stp>N353200</stp>
        <stp>가중평균가</stp>
        <stp/>
        <stp/>
        <tr r="O179" s="1"/>
      </tp>
      <tp>
        <v>93767.851257000002</v>
        <stp/>
        <stp>P</stp>
        <stp>0</stp>
        <stp>STK</stp>
        <stp>N272210</stp>
        <stp>가중평균가</stp>
        <stp/>
        <stp/>
        <tr r="O53" s="1"/>
      </tp>
      <tp>
        <v>118534.05612199999</v>
        <stp/>
        <stp>P</stp>
        <stp>0</stp>
        <stp>STK</stp>
        <stp>N306200</stp>
        <stp>가중평균가</stp>
        <stp/>
        <stp/>
        <tr r="O592" s="1"/>
      </tp>
      <tp>
        <v>1158787.5074459999</v>
        <stp/>
        <stp>P</stp>
        <stp>0</stp>
        <stp>STK</stp>
        <stp>N003230</stp>
        <stp>가중평균가</stp>
        <stp/>
        <stp/>
        <tr r="O80" s="1"/>
      </tp>
      <tp>
        <v>17941.139930000001</v>
        <stp/>
        <stp>P</stp>
        <stp>0</stp>
        <stp>STK</stp>
        <stp>N034230</stp>
        <stp>가중평균가</stp>
        <stp/>
        <stp/>
        <tr r="O245" s="1"/>
      </tp>
      <tp>
        <v>126972.508303</v>
        <stp/>
        <stp>P</stp>
        <stp>0</stp>
        <stp>STK</stp>
        <stp>N388210</stp>
        <stp>가중평균가</stp>
        <stp/>
        <stp/>
        <tr r="O305" s="1"/>
      </tp>
      <tp>
        <v>42515.853288999999</v>
        <stp/>
        <stp>P</stp>
        <stp>0</stp>
        <stp>STK</stp>
        <stp>N080220</stp>
        <stp>가중평균가</stp>
        <stp/>
        <stp/>
        <tr r="O307" s="1"/>
      </tp>
      <tp>
        <v>94953.140096999996</v>
        <stp/>
        <stp>P</stp>
        <stp>0</stp>
        <stp>STK</stp>
        <stp>N348210</stp>
        <stp>가중평균가</stp>
        <stp/>
        <stp/>
        <tr r="O363" s="1"/>
      </tp>
      <tp>
        <v>14493.433220000001</v>
        <stp/>
        <stp>P</stp>
        <stp>0</stp>
        <stp>STK</stp>
        <stp>N006220</stp>
        <stp>가중평균가</stp>
        <stp/>
        <stp/>
        <tr r="O515" s="1"/>
      </tp>
      <tp>
        <v>11464.014207</v>
        <stp/>
        <stp>P</stp>
        <stp>0</stp>
        <stp>STK</stp>
        <stp>N003220</stp>
        <stp>가중평균가</stp>
        <stp/>
        <stp/>
        <tr r="O670" s="1"/>
      </tp>
      <tp>
        <v>45198.987154000002</v>
        <stp/>
        <stp>P</stp>
        <stp>0</stp>
        <stp>STK</stp>
        <stp>N215200</stp>
        <stp>가중평균가</stp>
        <stp/>
        <stp/>
        <tr r="O538" s="1"/>
      </tp>
      <tp>
        <v>214259.88035200001</v>
        <stp/>
        <stp>P</stp>
        <stp>0</stp>
        <stp>STK</stp>
        <stp>N310210</stp>
        <stp>가중평균가</stp>
        <stp/>
        <stp/>
        <tr r="O148" s="1"/>
      </tp>
      <tp>
        <v>66569.925742000007</v>
        <stp/>
        <stp>P</stp>
        <stp>0</stp>
        <stp>STK</stp>
        <stp>N439260</stp>
        <stp>가중평균가</stp>
        <stp/>
        <stp/>
        <tr r="O172" s="1"/>
      </tp>
      <tp>
        <v>11496.397223</v>
        <stp/>
        <stp>P</stp>
        <stp>0</stp>
        <stp>STK</stp>
        <stp>N034220</stp>
        <stp>가중평균가</stp>
        <stp/>
        <stp/>
        <tr r="O102" s="1"/>
      </tp>
      <tp>
        <v>42921.697384999999</v>
        <stp/>
        <stp>P</stp>
        <stp>0</stp>
        <stp>STK</stp>
        <stp>N236200</stp>
        <stp>가중평균가</stp>
        <stp/>
        <stp/>
        <tr r="O667" s="1"/>
      </tp>
      <tp>
        <v>73852.524348000006</v>
        <stp/>
        <stp>P</stp>
        <stp>0</stp>
        <stp>STK</stp>
        <stp>N383220</stp>
        <stp>가중평균가</stp>
        <stp/>
        <stp/>
        <tr r="O178" s="1"/>
      </tp>
      <tp>
        <v>390436.80161899998</v>
        <stp/>
        <stp>P</stp>
        <stp>0</stp>
        <stp>STK</stp>
        <stp>N373220</stp>
        <stp>가중평균가</stp>
        <stp/>
        <stp/>
        <tr r="O12" s="1"/>
      </tp>
      <tp>
        <v>42301.652662</v>
        <stp/>
        <stp>P</stp>
        <stp>0</stp>
        <stp>STK</stp>
        <stp>N000210</stp>
        <stp>가중평균가</stp>
        <stp/>
        <stp/>
        <tr r="O368" s="1"/>
      </tp>
      <tp>
        <v>82385.087595999998</v>
        <stp/>
        <stp>P</stp>
        <stp>0</stp>
        <stp>STK</stp>
        <stp>N011210</stp>
        <stp>가중평균가</stp>
        <stp/>
        <stp/>
        <tr r="O167" s="1"/>
      </tp>
      <tp>
        <v>20811.494374000002</v>
        <stp/>
        <stp>P</stp>
        <stp>0</stp>
        <stp>STK</stp>
        <stp>N338220</stp>
        <stp>가중평균가</stp>
        <stp/>
        <stp/>
        <tr r="O646" s="1"/>
      </tp>
      <tp>
        <v>49420.042796000002</v>
        <stp/>
        <stp>P</stp>
        <stp>0</stp>
        <stp>STK</stp>
        <stp>N031210</stp>
        <stp>가중평균가</stp>
        <stp/>
        <stp/>
        <tr r="O143" s="1"/>
      </tp>
      <tp>
        <v>13177.941306999999</v>
        <stp/>
        <stp>P</stp>
        <stp>0</stp>
        <stp>STK</stp>
        <stp>N003200</stp>
        <stp>가중평균가</stp>
        <stp/>
        <stp/>
        <tr r="O621" s="1"/>
      </tp>
      <tp>
        <v>19877.008085000001</v>
        <stp/>
        <stp>P</stp>
        <stp>0</stp>
        <stp>STK</stp>
        <stp>N011200</stp>
        <stp>가중평균가</stp>
        <stp/>
        <stp/>
        <tr r="O46" s="1"/>
      </tp>
      <tp>
        <v>53224.075074</v>
        <stp/>
        <stp>P</stp>
        <stp>0</stp>
        <stp>STK</stp>
        <stp>N039200</stp>
        <stp>가중평균가</stp>
        <stp/>
        <stp/>
        <tr r="O239" s="1"/>
      </tp>
      <tp>
        <v>11227.88089</v>
        <stp/>
        <stp>P</stp>
        <stp>0</stp>
        <stp>STK</stp>
        <stp>N036200</stp>
        <stp>가중평균가</stp>
        <stp/>
        <stp/>
        <tr r="O629" s="1"/>
      </tp>
      <tp>
        <v>56530.079031000001</v>
        <stp/>
        <stp>P</stp>
        <stp>0</stp>
        <stp>STK</stp>
        <stp>N030200</stp>
        <stp>가중평균가</stp>
        <stp/>
        <stp/>
        <tr r="O62" s="1"/>
      </tp>
      <tp>
        <v>197010.60121600001</v>
        <stp/>
        <stp>P</stp>
        <stp>0</stp>
        <stp>STK</stp>
        <stp>N298380</stp>
        <stp>가중평균가</stp>
        <stp/>
        <stp/>
        <tr r="O76" s="1"/>
      </tp>
      <tp>
        <v>14155.765676999999</v>
        <stp/>
        <stp>P</stp>
        <stp>0</stp>
        <stp>STK</stp>
        <stp>N086390</stp>
        <stp>가중평균가</stp>
        <stp/>
        <stp/>
        <tr r="O677" s="1"/>
      </tp>
      <tp>
        <v>28902.494879000002</v>
        <stp/>
        <stp>P</stp>
        <stp>0</stp>
        <stp>STK</stp>
        <stp>N108380</stp>
        <stp>가중평균가</stp>
        <stp/>
        <stp/>
        <tr r="O672" s="1"/>
      </tp>
      <tp>
        <v>24615.648706</v>
        <stp/>
        <stp>P</stp>
        <stp>0</stp>
        <stp>STK</stp>
        <stp>N007390</stp>
        <stp>가중평균가</stp>
        <stp/>
        <stp/>
        <tr r="O275" s="1"/>
      </tp>
      <tp>
        <v>65680.531814000002</v>
        <stp/>
        <stp>P</stp>
        <stp>0</stp>
        <stp>STK</stp>
        <stp>N017390</stp>
        <stp>가중평균가</stp>
        <stp/>
        <stp/>
        <tr r="O604" s="1"/>
      </tp>
      <tp>
        <v>63424.162709999997</v>
        <stp/>
        <stp>P</stp>
        <stp>0</stp>
        <stp>STK</stp>
        <stp>N161390</stp>
        <stp>가중평균가</stp>
        <stp/>
        <stp/>
        <tr r="O84" s="1"/>
      </tp>
      <tp>
        <v>486328.439564</v>
        <stp/>
        <stp>P</stp>
        <stp>0</stp>
        <stp>STK</stp>
        <stp>N005380</stp>
        <stp>가중평균가</stp>
        <stp/>
        <stp/>
        <tr r="O11" s="1"/>
      </tp>
      <tp>
        <v>477902.23880599998</v>
        <stp/>
        <stp>P</stp>
        <stp>0</stp>
        <stp>STK</stp>
        <stp>N002380</stp>
        <stp>가중평균가</stp>
        <stp/>
        <stp/>
        <tr r="O130" s="1"/>
      </tp>
      <tp>
        <v>15022.139056</v>
        <stp/>
        <stp>P</stp>
        <stp>0</stp>
        <stp>STK</stp>
        <stp>N003380</stp>
        <stp>가중평균가</stp>
        <stp/>
        <stp/>
        <tr r="O279" s="1"/>
      </tp>
      <tp>
        <v>103806.680334</v>
        <stp/>
        <stp>P</stp>
        <stp>0</stp>
        <stp>STK</stp>
        <stp>N084370</stp>
        <stp>가중평균가</stp>
        <stp/>
        <stp/>
        <tr r="O222" s="1"/>
      </tp>
      <tp>
        <v>8209.2900559999998</v>
        <stp/>
        <stp>P</stp>
        <stp>0</stp>
        <stp>STK</stp>
        <stp>N093370</stp>
        <stp>가중평균가</stp>
        <stp/>
        <stp/>
        <tr r="O358" s="1"/>
      </tp>
      <tp>
        <v>11659.377578</v>
        <stp/>
        <stp>P</stp>
        <stp>0</stp>
        <stp>STK</stp>
        <stp>N043370</stp>
        <stp>가중평균가</stp>
        <stp/>
        <stp/>
        <tr r="O653" s="1"/>
      </tp>
      <tp>
        <v>18763.125873000001</v>
        <stp/>
        <stp>P</stp>
        <stp>0</stp>
        <stp>STK</stp>
        <stp>N168360</stp>
        <stp>가중평균가</stp>
        <stp/>
        <stp/>
        <tr r="O585" s="1"/>
      </tp>
      <tp>
        <v>67108.056935000001</v>
        <stp/>
        <stp>P</stp>
        <stp>0</stp>
        <stp>STK</stp>
        <stp>N365340</stp>
        <stp>가중평균가</stp>
        <stp/>
        <stp/>
        <tr r="O422" s="1"/>
      </tp>
      <tp>
        <v>30881.294867000001</v>
        <stp/>
        <stp>P</stp>
        <stp>0</stp>
        <stp>STK</stp>
        <stp>N060370</stp>
        <stp>가중평균가</stp>
        <stp/>
        <stp/>
        <tr r="O256" s="1"/>
      </tp>
      <tp>
        <v>16459.521494000001</v>
        <stp/>
        <stp>P</stp>
        <stp>0</stp>
        <stp>STK</stp>
        <stp>N378340</stp>
        <stp>가중평균가</stp>
        <stp/>
        <stp/>
        <tr r="O651" s="1"/>
      </tp>
      <tp>
        <v>19514.203712999999</v>
        <stp/>
        <stp>P</stp>
        <stp>0</stp>
        <stp>STK</stp>
        <stp>N079370</stp>
        <stp>가중평균가</stp>
        <stp/>
        <stp/>
        <tr r="O490" s="1"/>
      </tp>
      <tp>
        <v>404606.06060600001</v>
        <stp/>
        <stp>P</stp>
        <stp>0</stp>
        <stp>STK</stp>
        <stp>N004370</stp>
        <stp>가중평균가</stp>
        <stp/>
        <stp/>
        <tr r="O182" s="1"/>
      </tp>
      <tp>
        <v>21881.754304999999</v>
        <stp/>
        <stp>P</stp>
        <stp>0</stp>
        <stp>STK</stp>
        <stp>N101360</stp>
        <stp>가중평균가</stp>
        <stp/>
        <stp/>
        <tr r="O600" s="1"/>
      </tp>
      <tp>
        <v>18140.143139</v>
        <stp/>
        <stp>P</stp>
        <stp>0</stp>
        <stp>STK</stp>
        <stp>N094360</stp>
        <stp>가중평균가</stp>
        <stp/>
        <stp/>
        <tr r="O559" s="1"/>
      </tp>
      <tp>
        <v>12231.126237</v>
        <stp/>
        <stp>P</stp>
        <stp>0</stp>
        <stp>STK</stp>
        <stp>N194370</stp>
        <stp>가중평균가</stp>
        <stp/>
        <stp/>
        <tr r="O602" s="1"/>
      </tp>
      <tp>
        <v>86104.629721000005</v>
        <stp/>
        <stp>P</stp>
        <stp>0</stp>
        <stp>STK</stp>
        <stp>N090360</stp>
        <stp>가중평균가</stp>
        <stp/>
        <stp/>
        <tr r="O332" s="1"/>
      </tp>
      <tp>
        <v>15344.894372000001</v>
        <stp/>
        <stp>P</stp>
        <stp>0</stp>
        <stp>STK</stp>
        <stp>N051360</stp>
        <stp>가중평균가</stp>
        <stp/>
        <stp/>
        <tr r="O675" s="1"/>
      </tp>
      <tp>
        <v>14332.457694999999</v>
        <stp/>
        <stp>P</stp>
        <stp>0</stp>
        <stp>STK</stp>
        <stp>N004360</stp>
        <stp>가중평균가</stp>
        <stp/>
        <stp/>
        <tr r="O662" s="1"/>
      </tp>
      <tp>
        <v>18617.155427000002</v>
        <stp/>
        <stp>P</stp>
        <stp>0</stp>
        <stp>STK</stp>
        <stp>N006360</stp>
        <stp>가중평균가</stp>
        <stp/>
        <stp/>
        <tr r="O243" s="1"/>
      </tp>
      <tp>
        <v>77331.372549000007</v>
        <stp/>
        <stp>P</stp>
        <stp>0</stp>
        <stp>STK</stp>
        <stp>N015360</stp>
        <stp>가중평균가</stp>
        <stp/>
        <stp/>
        <tr r="O552" s="1"/>
      </tp>
      <tp>
        <v>88453.214296999999</v>
        <stp/>
        <stp>P</stp>
        <stp>0</stp>
        <stp>STK</stp>
        <stp>N016360</stp>
        <stp>가중평균가</stp>
        <stp/>
        <stp/>
        <tr r="O91" s="1"/>
      </tp>
      <tp>
        <v>3481.2125959999998</v>
        <stp/>
        <stp>P</stp>
        <stp>0</stp>
        <stp>STK</stp>
        <stp>N088350</stp>
        <stp>가중평균가</stp>
        <stp/>
        <stp/>
        <tr r="O164" s="1"/>
      </tp>
      <tp>
        <v>225661.968911</v>
        <stp/>
        <stp>P</stp>
        <stp>0</stp>
        <stp>STK</stp>
        <stp>N064350</stp>
        <stp>가중평균가</stp>
        <stp/>
        <stp/>
        <tr r="O37" s="1"/>
      </tp>
      <tp>
        <v>79443.093223999997</v>
        <stp/>
        <stp>P</stp>
        <stp>0</stp>
        <stp>STK</stp>
        <stp>N065350</stp>
        <stp>가중평균가</stp>
        <stp/>
        <stp/>
        <tr r="O242" s="1"/>
      </tp>
      <tp>
        <v>25602.834738000001</v>
        <stp/>
        <stp>P</stp>
        <stp>0</stp>
        <stp>STK</stp>
        <stp>N078350</stp>
        <stp>가중평균가</stp>
        <stp/>
        <stp/>
        <tr r="O569" s="1"/>
      </tp>
      <tp>
        <v>33245.837187999998</v>
        <stp/>
        <stp>P</stp>
        <stp>0</stp>
        <stp>STK</stp>
        <stp>N304360</stp>
        <stp>가중평균가</stp>
        <stp/>
        <stp/>
        <tr r="O560" s="1"/>
      </tp>
      <tp>
        <v>0</v>
        <stp/>
        <stp>P</stp>
        <stp>0</stp>
        <stp>STK</stp>
        <stp>N214370</stp>
        <stp>가중평균가</stp>
        <stp/>
        <stp/>
        <tr r="O129" s="1"/>
      </tp>
      <tp>
        <v>91977.011765000003</v>
        <stp/>
        <stp>P</stp>
        <stp>0</stp>
        <stp>STK</stp>
        <stp>N126340</stp>
        <stp>가중평균가</stp>
        <stp/>
        <stp/>
        <tr r="O434" s="1"/>
      </tp>
      <tp>
        <v>25308.835003</v>
        <stp/>
        <stp>P</stp>
        <stp>0</stp>
        <stp>STK</stp>
        <stp>N032350</stp>
        <stp>가중평균가</stp>
        <stp/>
        <stp/>
        <tr r="O226" s="1"/>
      </tp>
      <tp>
        <v>115949.078341</v>
        <stp/>
        <stp>P</stp>
        <stp>0</stp>
        <stp>STK</stp>
        <stp>N280360</stp>
        <stp>가중평균가</stp>
        <stp/>
        <stp/>
        <tr r="O310" s="1"/>
      </tp>
      <tp>
        <v>144444.36159099999</v>
        <stp/>
        <stp>P</stp>
        <stp>0</stp>
        <stp>STK</stp>
        <stp>N095340</stp>
        <stp>가중평균가</stp>
        <stp/>
        <stp/>
        <tr r="O201" s="1"/>
      </tp>
      <tp>
        <v>93212.468380000006</v>
        <stp/>
        <stp>P</stp>
        <stp>0</stp>
        <stp>STK</stp>
        <stp>N348370</stp>
        <stp>가중평균가</stp>
        <stp/>
        <stp/>
        <tr r="O266" s="1"/>
      </tp>
      <tp>
        <v>35923.975510999997</v>
        <stp/>
        <stp>P</stp>
        <stp>0</stp>
        <stp>STK</stp>
        <stp>N078340</stp>
        <stp>가중평균가</stp>
        <stp/>
        <stp/>
        <tr r="O543" s="1"/>
      </tp>
      <tp>
        <v>24823.75491</v>
        <stp/>
        <stp>P</stp>
        <stp>0</stp>
        <stp>STK</stp>
        <stp>N007340</stp>
        <stp>가중평균가</stp>
        <stp/>
        <stp/>
        <tr r="O254" s="1"/>
      </tp>
      <tp>
        <v>7905.4388040000003</v>
        <stp/>
        <stp>P</stp>
        <stp>0</stp>
        <stp>STK</stp>
        <stp>N336370</stp>
        <stp>가중평균가</stp>
        <stp/>
        <stp/>
        <tr r="O460" s="1"/>
      </tp>
      <tp>
        <v>15918.444117999999</v>
        <stp/>
        <stp>P</stp>
        <stp>0</stp>
        <stp>STK</stp>
        <stp>N230360</stp>
        <stp>가중평균가</stp>
        <stp/>
        <stp/>
        <tr r="O485" s="1"/>
      </tp>
      <tp>
        <v>85839.050933999999</v>
        <stp/>
        <stp>P</stp>
        <stp>0</stp>
        <stp>STK</stp>
        <stp>N295310</stp>
        <stp>가중평균가</stp>
        <stp/>
        <stp/>
        <tr r="O308" s="1"/>
      </tp>
      <tp>
        <v>36667.478546999999</v>
        <stp/>
        <stp>P</stp>
        <stp>0</stp>
        <stp>STK</stp>
        <stp>N178320</stp>
        <stp>가중평균가</stp>
        <stp/>
        <stp/>
        <tr r="O231" s="1"/>
      </tp>
      <tp>
        <v>36199.221362999997</v>
        <stp/>
        <stp>P</stp>
        <stp>0</stp>
        <stp>STK</stp>
        <stp>N376300</stp>
        <stp>가중평균가</stp>
        <stp/>
        <stp/>
        <tr r="O367" s="1"/>
      </tp>
      <tp>
        <v>65431.954142000002</v>
        <stp/>
        <stp>P</stp>
        <stp>0</stp>
        <stp>STK</stp>
        <stp>N377300</stp>
        <stp>가중평균가</stp>
        <stp/>
        <stp/>
        <tr r="O95" s="1"/>
      </tp>
      <tp>
        <v>53806.114732000002</v>
        <stp/>
        <stp>P</stp>
        <stp>0</stp>
        <stp>STK</stp>
        <stp>N108320</stp>
        <stp>가중평균가</stp>
        <stp/>
        <stp/>
        <tr r="O348" s="1"/>
      </tp>
      <tp>
        <v>440784.287342</v>
        <stp/>
        <stp>P</stp>
        <stp>0</stp>
        <stp>STK</stp>
        <stp>N012330</stp>
        <stp>가중평균가</stp>
        <stp/>
        <stp/>
        <tr r="O22" s="1"/>
      </tp>
      <tp>
        <v>43322.926114000002</v>
        <stp/>
        <stp>P</stp>
        <stp>0</stp>
        <stp>STK</stp>
        <stp>N383310</stp>
        <stp>가중평균가</stp>
        <stp/>
        <stp/>
        <tr r="O479" s="1"/>
      </tp>
      <tp>
        <v>130518.447581</v>
        <stp/>
        <stp>P</stp>
        <stp>0</stp>
        <stp>STK</stp>
        <stp>N093320</stp>
        <stp>가중평균가</stp>
        <stp/>
        <stp/>
        <tr r="O432" s="1"/>
      </tp>
      <tp>
        <v>25285.269221999999</v>
        <stp/>
        <stp>P</stp>
        <stp>0</stp>
        <stp>STK</stp>
        <stp>N175330</stp>
        <stp>가중평균가</stp>
        <stp/>
        <stp/>
        <tr r="O121" s="1"/>
      </tp>
      <tp>
        <v>99482.237338999999</v>
        <stp/>
        <stp>P</stp>
        <stp>0</stp>
        <stp>STK</stp>
        <stp>N071320</stp>
        <stp>가중평균가</stp>
        <stp/>
        <stp/>
        <tr r="O274" s="1"/>
      </tp>
      <tp>
        <v>20906.544432999999</v>
        <stp/>
        <stp>P</stp>
        <stp>0</stp>
        <stp>STK</stp>
        <stp>N000320</stp>
        <stp>가중평균가</stp>
        <stp/>
        <stp/>
        <tr r="O657" s="1"/>
      </tp>
      <tp>
        <v>19904.305651999999</v>
        <stp/>
        <stp>P</stp>
        <stp>0</stp>
        <stp>STK</stp>
        <stp>N002320</stp>
        <stp>가중평균가</stp>
        <stp/>
        <stp/>
        <tr r="O622" s="1"/>
      </tp>
      <tp>
        <v>7548.5982249999997</v>
        <stp/>
        <stp>P</stp>
        <stp>0</stp>
        <stp>STK</stp>
        <stp>N025320</stp>
        <stp>가중평균가</stp>
        <stp/>
        <stp/>
        <tr r="O476" s="1"/>
      </tp>
      <tp>
        <v>100877.765487</v>
        <stp/>
        <stp>P</stp>
        <stp>0</stp>
        <stp>STK</stp>
        <stp>N189300</stp>
        <stp>가중평균가</stp>
        <stp/>
        <stp/>
        <tr r="O359" s="1"/>
      </tp>
      <tp>
        <v>119861.947973</v>
        <stp/>
        <stp>P</stp>
        <stp>0</stp>
        <stp>STK</stp>
        <stp>N282330</stp>
        <stp>가중평균가</stp>
        <stp/>
        <stp/>
        <tr r="O213" s="1"/>
      </tp>
      <tp>
        <v>119854.968553</v>
        <stp/>
        <stp>P</stp>
        <stp>0</stp>
        <stp>STK</stp>
        <stp>N183300</stp>
        <stp>가중평균가</stp>
        <stp/>
        <stp/>
        <tr r="O306" s="1"/>
      </tp>
      <tp>
        <v>36275.902915999999</v>
        <stp/>
        <stp>P</stp>
        <stp>0</stp>
        <stp>STK</stp>
        <stp>N067310</stp>
        <stp>가중평균가</stp>
        <stp/>
        <stp/>
        <tr r="O233" s="1"/>
      </tp>
      <tp>
        <v>47700.137049999998</v>
        <stp/>
        <stp>P</stp>
        <stp>0</stp>
        <stp>STK</stp>
        <stp>N372320</stp>
        <stp>가중평균가</stp>
        <stp/>
        <stp/>
        <tr r="O403" s="1"/>
      </tp>
      <tp>
        <v>385161.29032299999</v>
        <stp/>
        <stp>P</stp>
        <stp>0</stp>
        <stp>STK</stp>
        <stp>N007310</stp>
        <stp>가중평균가</stp>
        <stp/>
        <stp/>
        <tr r="O247" s="1"/>
      </tp>
      <tp>
        <v>19678.493150999999</v>
        <stp/>
        <stp>P</stp>
        <stp>0</stp>
        <stp>STK</stp>
        <stp>N018310</stp>
        <stp>가중평균가</stp>
        <stp/>
        <stp/>
        <tr r="O647" s="1"/>
      </tp>
      <tp>
        <v>13853.220251999999</v>
        <stp/>
        <stp>P</stp>
        <stp>0</stp>
        <stp>STK</stp>
        <stp>N034310</stp>
        <stp>가중평균가</stp>
        <stp/>
        <stp/>
        <tr r="O491" s="1"/>
      </tp>
      <tp>
        <v>15193.445897</v>
        <stp/>
        <stp>P</stp>
        <stp>0</stp>
        <stp>STK</stp>
        <stp>N453340</stp>
        <stp>가중평균가</stp>
        <stp/>
        <stp/>
        <tr r="O483" s="1"/>
      </tp>
      <tp>
        <v>60110.445353000003</v>
        <stp/>
        <stp>P</stp>
        <stp>0</stp>
        <stp>STK</stp>
        <stp>N478340</stp>
        <stp>가중평균가</stp>
        <stp/>
        <stp/>
        <tr r="O425" s="1"/>
      </tp>
      <tp>
        <v>61858.394204999997</v>
        <stp/>
        <stp>P</stp>
        <stp>0</stp>
        <stp>STK</stp>
        <stp>N204320</stp>
        <stp>가중평균가</stp>
        <stp/>
        <stp/>
        <tr r="O142" s="1"/>
      </tp>
      <tp>
        <v>132741.566265</v>
        <stp/>
        <stp>P</stp>
        <stp>0</stp>
        <stp>STK</stp>
        <stp>N005300</stp>
        <stp>가중평균가</stp>
        <stp/>
        <stp/>
        <tr r="O284" s="1"/>
      </tp>
      <tp>
        <v>552751.45475399995</v>
        <stp/>
        <stp>P</stp>
        <stp>0</stp>
        <stp>STK</stp>
        <stp>N402340</stp>
        <stp>가중평균가</stp>
        <stp/>
        <stp/>
        <tr r="O18" s="1"/>
      </tp>
      <tp>
        <v>15633.518163999999</v>
        <stp/>
        <stp>P</stp>
        <stp>0</stp>
        <stp>STK</stp>
        <stp>N003300</stp>
        <stp>가중평균가</stp>
        <stp/>
        <stp/>
        <tr r="O492" s="1"/>
      </tp>
      <tp>
        <v>18838.452223</v>
        <stp/>
        <stp>P</stp>
        <stp>0</stp>
        <stp>STK</stp>
        <stp>N214320</stp>
        <stp>가중평균가</stp>
        <stp/>
        <stp/>
        <tr r="O378" s="1"/>
      </tp>
      <tp>
        <v>19026.323565999999</v>
        <stp/>
        <stp>P</stp>
        <stp>0</stp>
        <stp>STK</stp>
        <stp>N317330</stp>
        <stp>가중평균가</stp>
        <stp/>
        <stp/>
        <tr r="O577" s="1"/>
      </tp>
      <tp>
        <v>56580.152260000003</v>
        <stp/>
        <stp>P</stp>
        <stp>0</stp>
        <stp>STK</stp>
        <stp>N028300</stp>
        <stp>가중평균가</stp>
        <stp/>
        <stp/>
        <tr r="O96" s="1"/>
      </tp>
      <tp>
        <v>11383.693466999999</v>
        <stp/>
        <stp>P</stp>
        <stp>0</stp>
        <stp>STK</stp>
        <stp>N226320</stp>
        <stp>가중평균가</stp>
        <stp/>
        <stp/>
        <tr r="O679" s="1"/>
      </tp>
      <tp>
        <v>9188.0622700000004</v>
        <stp/>
        <stp>P</stp>
        <stp>0</stp>
        <stp>STK</stp>
        <stp>N137310</stp>
        <stp>가중평균가</stp>
        <stp/>
        <stp/>
        <tr r="O315" s="1"/>
      </tp>
      <tp t="e">
        <v>#N/A</v>
        <stp/>
        <stp>P</stp>
        <stp>0</stp>
        <stp>STK</stp>
        <stp>N025980</stp>
        <stp>체결시간</stp>
        <stp/>
        <stp/>
        <tr r="T376" s="1"/>
      </tp>
      <tp t="e">
        <v>#N/A</v>
        <stp/>
        <stp>P</stp>
        <stp>0</stp>
        <stp>STK</stp>
        <stp>N145990</stp>
        <stp>체결시간</stp>
        <stp/>
        <stp/>
        <tr r="T495" s="1"/>
      </tp>
      <tp t="e">
        <v>#N/A</v>
        <stp/>
        <stp>P</stp>
        <stp>0</stp>
        <stp>STK</stp>
        <stp>N195940</stp>
        <stp>체결시간</stp>
        <stp/>
        <stp/>
        <tr r="T265" s="1"/>
      </tp>
      <tp t="e">
        <v>#N/A</v>
        <stp/>
        <stp>P</stp>
        <stp>0</stp>
        <stp>STK</stp>
        <stp>N005940</stp>
        <stp>체결시간</stp>
        <stp/>
        <stp/>
        <tr r="T88" s="1"/>
      </tp>
      <tp t="e">
        <v>#N/A</v>
        <stp/>
        <stp>P</stp>
        <stp>0</stp>
        <stp>STK</stp>
        <stp>N455900</stp>
        <stp>체결시간</stp>
        <stp/>
        <stp/>
        <tr r="T418" s="1"/>
      </tp>
      <tp t="e">
        <v>#N/A</v>
        <stp/>
        <stp>P</stp>
        <stp>0</stp>
        <stp>STK</stp>
        <stp>N005930</stp>
        <stp>체결시간</stp>
        <stp/>
        <stp/>
        <tr r="T9" s="1"/>
      </tp>
      <tp t="e">
        <v>#N/A</v>
        <stp/>
        <stp>P</stp>
        <stp>0</stp>
        <stp>STK</stp>
        <stp>N475960</stp>
        <stp>체결시간</stp>
        <stp/>
        <stp/>
        <tr r="T431" s="1"/>
      </tp>
      <tp t="e">
        <v>#N/A</v>
        <stp/>
        <stp>P</stp>
        <stp>0</stp>
        <stp>STK</stp>
        <stp>N025900</stp>
        <stp>체결시간</stp>
        <stp/>
        <stp/>
        <tr r="T530" s="1"/>
      </tp>
      <tp t="e">
        <v>#N/A</v>
        <stp/>
        <stp>P</stp>
        <stp>0</stp>
        <stp>STK</stp>
        <stp>N035900</stp>
        <stp>체결시간</stp>
        <stp/>
        <stp/>
        <tr r="T188" s="1"/>
      </tp>
      <tp t="e">
        <v>#N/A</v>
        <stp/>
        <stp>P</stp>
        <stp>0</stp>
        <stp>STK</stp>
        <stp>N475830</stp>
        <stp>체결시간</stp>
        <stp/>
        <stp/>
        <tr r="T200" s="1"/>
      </tp>
      <tp t="e">
        <v>#N/A</v>
        <stp/>
        <stp>P</stp>
        <stp>0</stp>
        <stp>STK</stp>
        <stp>N195870</stp>
        <stp>체결시간</stp>
        <stp/>
        <stp/>
        <tr r="T335" s="1"/>
      </tp>
      <tp t="e">
        <v>#N/A</v>
        <stp/>
        <stp>P</stp>
        <stp>0</stp>
        <stp>STK</stp>
        <stp>N005850</stp>
        <stp>체결시간</stp>
        <stp/>
        <stp/>
        <tr r="T147" s="1"/>
      </tp>
      <tp t="e">
        <v>#N/A</v>
        <stp/>
        <stp>P</stp>
        <stp>0</stp>
        <stp>STK</stp>
        <stp>N105840</stp>
        <stp>체결시간</stp>
        <stp/>
        <stp/>
        <tr r="T454" s="1"/>
      </tp>
      <tp t="e">
        <v>#N/A</v>
        <stp/>
        <stp>P</stp>
        <stp>0</stp>
        <stp>STK</stp>
        <stp>N005830</stp>
        <stp>체결시간</stp>
        <stp/>
        <stp/>
        <tr r="T78" s="1"/>
      </tp>
      <tp t="e">
        <v>#N/A</v>
        <stp/>
        <stp>P</stp>
        <stp>0</stp>
        <stp>STK</stp>
        <stp>N005810</stp>
        <stp>체결시간</stp>
        <stp/>
        <stp/>
        <tr r="T449" s="1"/>
      </tp>
      <tp t="e">
        <v>#N/A</v>
        <stp/>
        <stp>P</stp>
        <stp>0</stp>
        <stp>STK</stp>
        <stp>N075580</stp>
        <stp>체결시간</stp>
        <stp/>
        <stp/>
        <tr r="T299" s="1"/>
      </tp>
      <tp t="e">
        <v>#N/A</v>
        <stp/>
        <stp>P</stp>
        <stp>0</stp>
        <stp>STK</stp>
        <stp>N105560</stp>
        <stp>체결시간</stp>
        <stp/>
        <stp/>
        <tr r="T19" s="1"/>
      </tp>
      <tp t="e">
        <v>#N/A</v>
        <stp/>
        <stp>P</stp>
        <stp>0</stp>
        <stp>STK</stp>
        <stp>N225570</stp>
        <stp>체결시간</stp>
        <stp/>
        <stp/>
        <tr r="T357" s="1"/>
      </tp>
      <tp t="e">
        <v>#N/A</v>
        <stp/>
        <stp>P</stp>
        <stp>0</stp>
        <stp>STK</stp>
        <stp>N055550</stp>
        <stp>체결시간</stp>
        <stp/>
        <stp/>
        <tr r="T25" s="1"/>
      </tp>
      <tp t="e">
        <v>#N/A</v>
        <stp/>
        <stp>P</stp>
        <stp>0</stp>
        <stp>STK</stp>
        <stp>N025540</stp>
        <stp>체결시간</stp>
        <stp/>
        <stp/>
        <tr r="T355" s="1"/>
      </tp>
      <tp t="e">
        <v>#N/A</v>
        <stp/>
        <stp>P</stp>
        <stp>0</stp>
        <stp>STK</stp>
        <stp>N375500</stp>
        <stp>체결시간</stp>
        <stp/>
        <stp/>
        <tr r="T238" s="1"/>
      </tp>
      <tp t="e">
        <v>#N/A</v>
        <stp/>
        <stp>P</stp>
        <stp>0</stp>
        <stp>STK</stp>
        <stp>N475560</stp>
        <stp>체결시간</stp>
        <stp/>
        <stp/>
        <tr r="T574" s="1"/>
      </tp>
      <tp t="e">
        <v>#N/A</v>
        <stp/>
        <stp>P</stp>
        <stp>0</stp>
        <stp>STK</stp>
        <stp>N095500</stp>
        <stp>체결시간</stp>
        <stp/>
        <stp/>
        <tr r="T599" s="1"/>
      </tp>
      <tp t="e">
        <v>#N/A</v>
        <stp/>
        <stp>P</stp>
        <stp>0</stp>
        <stp>STK</stp>
        <stp>N005500</stp>
        <stp>체결시간</stp>
        <stp/>
        <stp/>
        <tr r="T669" s="1"/>
      </tp>
      <tp t="e">
        <v>#N/A</v>
        <stp/>
        <stp>P</stp>
        <stp>0</stp>
        <stp>STK</stp>
        <stp>N265520</stp>
        <stp>체결시간</stp>
        <stp/>
        <stp/>
        <tr r="T642" s="1"/>
      </tp>
      <tp t="e">
        <v>#N/A</v>
        <stp/>
        <stp>P</stp>
        <stp>0</stp>
        <stp>STK</stp>
        <stp>N005490</stp>
        <stp>체결시간</stp>
        <stp/>
        <stp/>
        <tr r="T31" s="1"/>
      </tp>
      <tp t="e">
        <v>#N/A</v>
        <stp/>
        <stp>P</stp>
        <stp>0</stp>
        <stp>STK</stp>
        <stp>N125490</stp>
        <stp>체결시간</stp>
        <stp/>
        <stp/>
        <tr r="T377" s="1"/>
      </tp>
      <tp t="e">
        <v>#N/A</v>
        <stp/>
        <stp>P</stp>
        <stp>0</stp>
        <stp>STK</stp>
        <stp>N425420</stp>
        <stp>체결시간</stp>
        <stp/>
        <stp/>
        <tr r="T535" s="1"/>
      </tp>
      <tp t="e">
        <v>#N/A</v>
        <stp/>
        <stp>P</stp>
        <stp>0</stp>
        <stp>STK</stp>
        <stp>N005440</stp>
        <stp>체결시간</stp>
        <stp/>
        <stp/>
        <tr r="T268" s="1"/>
      </tp>
      <tp t="e">
        <v>#N/A</v>
        <stp/>
        <stp>P</stp>
        <stp>0</stp>
        <stp>STK</stp>
        <stp>N475400</stp>
        <stp>체결시간</stp>
        <stp/>
        <stp/>
        <tr r="T463" s="1"/>
      </tp>
      <tp t="e">
        <v>#N/A</v>
        <stp/>
        <stp>P</stp>
        <stp>0</stp>
        <stp>STK</stp>
        <stp>N005420</stp>
        <stp>체결시간</stp>
        <stp/>
        <stp/>
        <tr r="T446" s="1"/>
      </tp>
      <tp t="e">
        <v>#N/A</v>
        <stp/>
        <stp>P</stp>
        <stp>0</stp>
        <stp>STK</stp>
        <stp>N035420</stp>
        <stp>체결시간</stp>
        <stp/>
        <stp/>
        <tr r="T26" s="1"/>
      </tp>
      <tp t="e">
        <v>#N/A</v>
        <stp/>
        <stp>P</stp>
        <stp>0</stp>
        <stp>STK</stp>
        <stp>N025770</stp>
        <stp>체결시간</stp>
        <stp/>
        <stp/>
        <tr r="T636" s="1"/>
      </tp>
      <tp t="e">
        <v>#N/A</v>
        <stp/>
        <stp>P</stp>
        <stp>0</stp>
        <stp>STK</stp>
        <stp>N015760</stp>
        <stp>체결시간</stp>
        <stp/>
        <stp/>
        <tr r="T24" s="1"/>
      </tp>
      <tp t="e">
        <v>#N/A</v>
        <stp/>
        <stp>P</stp>
        <stp>0</stp>
        <stp>STK</stp>
        <stp>N035760</stp>
        <stp>체결시간</stp>
        <stp/>
        <stp/>
        <tr r="T263" s="1"/>
      </tp>
      <tp t="e">
        <v>#N/A</v>
        <stp/>
        <stp>P</stp>
        <stp>0</stp>
        <stp>STK</stp>
        <stp>N015750</stp>
        <stp>체결시간</stp>
        <stp/>
        <stp/>
        <tr r="T407" s="1"/>
      </tp>
      <tp t="e">
        <v>#N/A</v>
        <stp/>
        <stp>P</stp>
        <stp>0</stp>
        <stp>STK</stp>
        <stp>N185750</stp>
        <stp>체결시간</stp>
        <stp/>
        <stp/>
        <tr r="T293" s="1"/>
      </tp>
      <tp t="e">
        <v>#N/A</v>
        <stp/>
        <stp>P</stp>
        <stp>0</stp>
        <stp>STK</stp>
        <stp>N145720</stp>
        <stp>체결시간</stp>
        <stp/>
        <stp/>
        <tr r="T470" s="1"/>
      </tp>
      <tp t="e">
        <v>#N/A</v>
        <stp/>
        <stp>P</stp>
        <stp>0</stp>
        <stp>STK</stp>
        <stp>N035720</stp>
        <stp>체결시간</stp>
        <stp/>
        <stp/>
        <tr r="T35" s="1"/>
      </tp>
      <tp t="e">
        <v>#N/A</v>
        <stp/>
        <stp>P</stp>
        <stp>0</stp>
        <stp>STK</stp>
        <stp>N005710</stp>
        <stp>체결시간</stp>
        <stp/>
        <stp/>
        <tr r="T659" s="1"/>
      </tp>
      <tp t="e">
        <v>#N/A</v>
        <stp/>
        <stp>P</stp>
        <stp>0</stp>
        <stp>STK</stp>
        <stp>N445680</stp>
        <stp>체결시간</stp>
        <stp/>
        <stp/>
        <tr r="T207" s="1"/>
      </tp>
      <tp t="e">
        <v>#N/A</v>
        <stp/>
        <stp>P</stp>
        <stp>0</stp>
        <stp>STK</stp>
        <stp>N005690</stp>
        <stp>체결시간</stp>
        <stp/>
        <stp/>
        <tr r="T361" s="1"/>
      </tp>
      <tp t="e">
        <v>#N/A</v>
        <stp/>
        <stp>P</stp>
        <stp>0</stp>
        <stp>STK</stp>
        <stp>N065680</stp>
        <stp>체결시간</stp>
        <stp/>
        <stp/>
        <tr r="T638" s="1"/>
      </tp>
      <tp t="e">
        <v>#N/A</v>
        <stp/>
        <stp>P</stp>
        <stp>0</stp>
        <stp>STK</stp>
        <stp>N085660</stp>
        <stp>체결시간</stp>
        <stp/>
        <stp/>
        <tr r="T271" s="1"/>
      </tp>
      <tp t="e">
        <v>#N/A</v>
        <stp/>
        <stp>P</stp>
        <stp>0</stp>
        <stp>STK</stp>
        <stp>N095660</stp>
        <stp>체결시간</stp>
        <stp/>
        <stp/>
        <tr r="T448" s="1"/>
      </tp>
      <tp t="e">
        <v>#N/A</v>
        <stp/>
        <stp>P</stp>
        <stp>0</stp>
        <stp>STK</stp>
        <stp>N065660</stp>
        <stp>체결시간</stp>
        <stp/>
        <stp/>
        <tr r="T556" s="1"/>
      </tp>
      <tp t="e">
        <v>#N/A</v>
        <stp/>
        <stp>P</stp>
        <stp>0</stp>
        <stp>STK</stp>
        <stp>N085620</stp>
        <stp>체결시간</stp>
        <stp/>
        <stp/>
        <tr r="T244" s="1"/>
      </tp>
      <tp t="e">
        <v>#N/A</v>
        <stp/>
        <stp>P</stp>
        <stp>0</stp>
        <stp>STK</stp>
        <stp>N105630</stp>
        <stp>체결시간</stp>
        <stp/>
        <stp/>
        <tr r="T444" s="1"/>
      </tp>
      <tp t="e">
        <v>#N/A</v>
        <stp/>
        <stp>P</stp>
        <stp>0</stp>
        <stp>STK</stp>
        <stp>N095610</stp>
        <stp>체결시간</stp>
        <stp/>
        <stp/>
        <tr r="T322" s="1"/>
      </tp>
      <tp t="e">
        <v>#N/A</v>
        <stp/>
        <stp>P</stp>
        <stp>0</stp>
        <stp>STK</stp>
        <stp>N005610</stp>
        <stp>체결시간</stp>
        <stp/>
        <stp/>
        <tr r="T514" s="1"/>
      </tp>
      <tp t="e">
        <v>#N/A</v>
        <stp/>
        <stp>P</stp>
        <stp>0</stp>
        <stp>STK</stp>
        <stp>N035600</stp>
        <stp>체결시간</stp>
        <stp/>
        <stp/>
        <tr r="T655" s="1"/>
      </tp>
      <tp t="e">
        <v>#N/A</v>
        <stp/>
        <stp>P</stp>
        <stp>0</stp>
        <stp>STK</stp>
        <stp>N005180</stp>
        <stp>체결시간</stp>
        <stp/>
        <stp/>
        <tr r="T381" s="1"/>
      </tp>
      <tp t="e">
        <v>#N/A</v>
        <stp/>
        <stp>P</stp>
        <stp>0</stp>
        <stp>STK</stp>
        <stp>N035150</stp>
        <stp>체결시간</stp>
        <stp/>
        <stp/>
        <tr r="T666" s="1"/>
      </tp>
      <tp t="e">
        <v>#N/A</v>
        <stp/>
        <stp>P</stp>
        <stp>0</stp>
        <stp>STK</stp>
        <stp>N285130</stp>
        <stp>체결시간</stp>
        <stp/>
        <stp/>
        <tr r="T295" s="1"/>
      </tp>
      <tp t="e">
        <v>#N/A</v>
        <stp/>
        <stp>P</stp>
        <stp>0</stp>
        <stp>STK</stp>
        <stp>N475150</stp>
        <stp>체결시간</stp>
        <stp/>
        <stp/>
        <tr r="T402" s="1"/>
      </tp>
      <tp t="e">
        <v>#N/A</v>
        <stp/>
        <stp>P</stp>
        <stp>0</stp>
        <stp>STK</stp>
        <stp>N045100</stp>
        <stp>체결시간</stp>
        <stp/>
        <stp/>
        <tr r="T503" s="1"/>
      </tp>
      <tp t="e">
        <v>#N/A</v>
        <stp/>
        <stp>P</stp>
        <stp>0</stp>
        <stp>STK</stp>
        <stp>N445090</stp>
        <stp>체결시간</stp>
        <stp/>
        <stp/>
        <tr r="T609" s="1"/>
      </tp>
      <tp t="e">
        <v>#N/A</v>
        <stp/>
        <stp>P</stp>
        <stp>0</stp>
        <stp>STK</stp>
        <stp>N005090</stp>
        <stp>체결시간</stp>
        <stp/>
        <stp/>
        <tr r="T626" s="1"/>
      </tp>
      <tp t="e">
        <v>#N/A</v>
        <stp/>
        <stp>P</stp>
        <stp>0</stp>
        <stp>STK</stp>
        <stp>N005070</stp>
        <stp>체결시간</stp>
        <stp/>
        <stp/>
        <tr r="T255" s="1"/>
      </tp>
      <tp t="e">
        <v>#N/A</v>
        <stp/>
        <stp>P</stp>
        <stp>0</stp>
        <stp>STK</stp>
        <stp>N145020</stp>
        <stp>체결시간</stp>
        <stp/>
        <stp/>
        <tr r="T161" s="1"/>
      </tp>
      <tp t="e">
        <v>#N/A</v>
        <stp/>
        <stp>P</stp>
        <stp>0</stp>
        <stp>STK</stp>
        <stp>N215000</stp>
        <stp>체결시간</stp>
        <stp/>
        <stp/>
        <tr r="T595" s="1"/>
      </tp>
      <tp t="e">
        <v>#N/A</v>
        <stp/>
        <stp>P</stp>
        <stp>0</stp>
        <stp>STK</stp>
        <stp>N005380</stp>
        <stp>체결시간</stp>
        <stp/>
        <stp/>
        <tr r="T11" s="1"/>
      </tp>
      <tp t="e">
        <v>#N/A</v>
        <stp/>
        <stp>P</stp>
        <stp>0</stp>
        <stp>STK</stp>
        <stp>N365340</stp>
        <stp>체결시간</stp>
        <stp/>
        <stp/>
        <tr r="T422" s="1"/>
      </tp>
      <tp t="e">
        <v>#N/A</v>
        <stp/>
        <stp>P</stp>
        <stp>0</stp>
        <stp>STK</stp>
        <stp>N015360</stp>
        <stp>체결시간</stp>
        <stp/>
        <stp/>
        <tr r="T552" s="1"/>
      </tp>
      <tp t="e">
        <v>#N/A</v>
        <stp/>
        <stp>P</stp>
        <stp>0</stp>
        <stp>STK</stp>
        <stp>N065350</stp>
        <stp>체결시간</stp>
        <stp/>
        <stp/>
        <tr r="T242" s="1"/>
      </tp>
      <tp t="e">
        <v>#N/A</v>
        <stp/>
        <stp>P</stp>
        <stp>0</stp>
        <stp>STK</stp>
        <stp>N095340</stp>
        <stp>체결시간</stp>
        <stp/>
        <stp/>
        <tr r="T201" s="1"/>
      </tp>
      <tp t="e">
        <v>#N/A</v>
        <stp/>
        <stp>P</stp>
        <stp>0</stp>
        <stp>STK</stp>
        <stp>N295310</stp>
        <stp>체결시간</stp>
        <stp/>
        <stp/>
        <tr r="T308" s="1"/>
      </tp>
      <tp t="e">
        <v>#N/A</v>
        <stp/>
        <stp>P</stp>
        <stp>0</stp>
        <stp>STK</stp>
        <stp>N025320</stp>
        <stp>체결시간</stp>
        <stp/>
        <stp/>
        <tr r="T476" s="1"/>
      </tp>
      <tp t="e">
        <v>#N/A</v>
        <stp/>
        <stp>P</stp>
        <stp>0</stp>
        <stp>STK</stp>
        <stp>N175330</stp>
        <stp>체결시간</stp>
        <stp/>
        <stp/>
        <tr r="T121" s="1"/>
      </tp>
      <tp t="e">
        <v>#N/A</v>
        <stp/>
        <stp>P</stp>
        <stp>0</stp>
        <stp>STK</stp>
        <stp>N005300</stp>
        <stp>체결시간</stp>
        <stp/>
        <stp/>
        <tr r="T284" s="1"/>
      </tp>
      <tp t="e">
        <v>#N/A</v>
        <stp/>
        <stp>P</stp>
        <stp>0</stp>
        <stp>STK</stp>
        <stp>N005290</stp>
        <stp>체결시간</stp>
        <stp/>
        <stp/>
        <tr r="T204" s="1"/>
      </tp>
      <tp t="e">
        <v>#N/A</v>
        <stp/>
        <stp>P</stp>
        <stp>0</stp>
        <stp>STK</stp>
        <stp>N005250</stp>
        <stp>체결시간</stp>
        <stp/>
        <stp/>
        <tr r="T392" s="1"/>
      </tp>
      <tp t="e">
        <v>#N/A</v>
        <stp/>
        <stp>P</stp>
        <stp>0</stp>
        <stp>STK</stp>
        <stp>N035250</stp>
        <stp>체결시간</stp>
        <stp/>
        <stp/>
        <tr r="T131" s="1"/>
      </tp>
      <tp t="e">
        <v>#N/A</v>
        <stp/>
        <stp>P</stp>
        <stp>0</stp>
        <stp>STK</stp>
        <stp>N215200</stp>
        <stp>체결시간</stp>
        <stp/>
        <stp/>
        <tr r="T538" s="1"/>
      </tp>
      <tp t="e">
        <v>#N/A</v>
        <stp/>
        <stp>P</stp>
        <stp>0</stp>
        <stp>STK</stp>
        <stp>N004990</stp>
        <stp>체결시간</stp>
        <stp/>
        <stp/>
        <tr r="T153" s="1"/>
      </tp>
      <tp t="e">
        <v>#N/A</v>
        <stp/>
        <stp>P</stp>
        <stp>0</stp>
        <stp>STK</stp>
        <stp>N004980</stp>
        <stp>체결시간</stp>
        <stp/>
        <stp/>
        <tr r="T692" s="1"/>
      </tp>
      <tp t="e">
        <v>#N/A</v>
        <stp/>
        <stp>P</stp>
        <stp>0</stp>
        <stp>STK</stp>
        <stp>N064960</stp>
        <stp>체결시간</stp>
        <stp/>
        <stp/>
        <tr r="T302" s="1"/>
      </tp>
      <tp t="e">
        <v>#N/A</v>
        <stp/>
        <stp>P</stp>
        <stp>0</stp>
        <stp>STK</stp>
        <stp>N034950</stp>
        <stp>체결시간</stp>
        <stp/>
        <stp/>
        <tr r="T511" s="1"/>
      </tp>
      <tp t="e">
        <v>#N/A</v>
        <stp/>
        <stp>P</stp>
        <stp>0</stp>
        <stp>STK</stp>
        <stp>N054950</stp>
        <stp>체결시간</stp>
        <stp/>
        <stp/>
        <tr r="T617" s="1"/>
      </tp>
      <tp t="e">
        <v>#N/A</v>
        <stp/>
        <stp>P</stp>
        <stp>0</stp>
        <stp>STK</stp>
        <stp>N454910</stp>
        <stp>체결시간</stp>
        <stp/>
        <stp/>
        <tr r="T90" s="1"/>
      </tp>
      <tp t="e">
        <v>#N/A</v>
        <stp/>
        <stp>P</stp>
        <stp>0</stp>
        <stp>STK</stp>
        <stp>N014940</stp>
        <stp>체결시간</stp>
        <stp/>
        <stp/>
        <tr r="T553" s="1"/>
      </tp>
      <tp t="e">
        <v>#N/A</v>
        <stp/>
        <stp>P</stp>
        <stp>0</stp>
        <stp>STK</stp>
        <stp>N314930</stp>
        <stp>체결시간</stp>
        <stp/>
        <stp/>
        <tr r="T576" s="1"/>
      </tp>
      <tp t="e">
        <v>#N/A</v>
        <stp/>
        <stp>P</stp>
        <stp>0</stp>
        <stp>STK</stp>
        <stp>N084850</stp>
        <stp>체결시간</stp>
        <stp/>
        <stp/>
        <tr r="T698" s="1"/>
      </tp>
      <tp t="e">
        <v>#N/A</v>
        <stp/>
        <stp>P</stp>
        <stp>0</stp>
        <stp>STK</stp>
        <stp>N484810</stp>
        <stp>체결시간</stp>
        <stp/>
        <stp/>
        <tr r="T562" s="1"/>
      </tp>
      <tp t="e">
        <v>#N/A</v>
        <stp/>
        <stp>P</stp>
        <stp>0</stp>
        <stp>STK</stp>
        <stp>N294870</stp>
        <stp>체결시간</stp>
        <stp/>
        <stp/>
        <tr r="T267" s="1"/>
      </tp>
      <tp t="e">
        <v>#N/A</v>
        <stp/>
        <stp>P</stp>
        <stp>0</stp>
        <stp>STK</stp>
        <stp>N114840</stp>
        <stp>체결시간</stp>
        <stp/>
        <stp/>
        <tr r="T664" s="1"/>
      </tp>
      <tp t="e">
        <v>#N/A</v>
        <stp/>
        <stp>P</stp>
        <stp>0</stp>
        <stp>STK</stp>
        <stp>N484870</stp>
        <stp>체결시간</stp>
        <stp/>
        <stp/>
        <tr r="T259" s="1"/>
      </tp>
      <tp t="e">
        <v>#N/A</v>
        <stp/>
        <stp>P</stp>
        <stp>0</stp>
        <stp>STK</stp>
        <stp>N394800</stp>
        <stp>체결시간</stp>
        <stp/>
        <stp/>
        <tr r="T498" s="1"/>
      </tp>
      <tp t="e">
        <v>#N/A</v>
        <stp/>
        <stp>P</stp>
        <stp>0</stp>
        <stp>STK</stp>
        <stp>N014830</stp>
        <stp>체결시간</stp>
        <stp/>
        <stp/>
        <tr r="T487" s="1"/>
      </tp>
      <tp t="e">
        <v>#N/A</v>
        <stp/>
        <stp>P</stp>
        <stp>0</stp>
        <stp>STK</stp>
        <stp>N424870</stp>
        <stp>체결시간</stp>
        <stp/>
        <stp/>
        <tr r="T356" s="1"/>
      </tp>
      <tp t="e">
        <v>#N/A</v>
        <stp/>
        <stp>P</stp>
        <stp>0</stp>
        <stp>STK</stp>
        <stp>N104830</stp>
        <stp>체결시간</stp>
        <stp/>
        <stp/>
        <tr r="T507" s="1"/>
      </tp>
      <tp t="e">
        <v>#N/A</v>
        <stp/>
        <stp>P</stp>
        <stp>0</stp>
        <stp>STK</stp>
        <stp>N014820</stp>
        <stp>체결시간</stp>
        <stp/>
        <stp/>
        <tr r="T384" s="1"/>
      </tp>
      <tp t="e">
        <v>#N/A</v>
        <stp/>
        <stp>P</stp>
        <stp>0</stp>
        <stp>STK</stp>
        <stp>N064820</stp>
        <stp>체결시간</stp>
        <stp/>
        <stp/>
        <tr r="T551" s="1"/>
      </tp>
      <tp t="e">
        <v>#N/A</v>
        <stp/>
        <stp>P</stp>
        <stp>0</stp>
        <stp>STK</stp>
        <stp>N344820</stp>
        <stp>체결시간</stp>
        <stp/>
        <stp/>
        <tr r="T519" s="1"/>
      </tp>
      <tp t="e">
        <v>#N/A</v>
        <stp/>
        <stp>P</stp>
        <stp>0</stp>
        <stp>STK</stp>
        <stp>N004800</stp>
        <stp>체결시간</stp>
        <stp/>
        <stp/>
        <tr r="T177" s="1"/>
      </tp>
      <tp t="e">
        <v>#N/A</v>
        <stp/>
        <stp>P</stp>
        <stp>0</stp>
        <stp>STK</stp>
        <stp>N114810</stp>
        <stp>체결시간</stp>
        <stp/>
        <stp/>
        <tr r="T606" s="1"/>
      </tp>
      <tp t="e">
        <v>#N/A</v>
        <stp/>
        <stp>P</stp>
        <stp>0</stp>
        <stp>STK</stp>
        <stp>N484590</stp>
        <stp>체결시간</stp>
        <stp/>
        <stp/>
        <tr r="T453" s="1"/>
      </tp>
      <tp t="e">
        <v>#N/A</v>
        <stp/>
        <stp>P</stp>
        <stp>0</stp>
        <stp>STK</stp>
        <stp>N294570</stp>
        <stp>체결시간</stp>
        <stp/>
        <stp/>
        <tr r="T650" s="1"/>
      </tp>
      <tp t="e">
        <v>#N/A</v>
        <stp/>
        <stp>P</stp>
        <stp>0</stp>
        <stp>STK</stp>
        <stp>N064550</stp>
        <stp>체결시간</stp>
        <stp/>
        <stp/>
        <tr r="T616" s="1"/>
      </tp>
      <tp t="e">
        <v>#N/A</v>
        <stp/>
        <stp>P</stp>
        <stp>0</stp>
        <stp>STK</stp>
        <stp>N144510</stp>
        <stp>체결시간</stp>
        <stp/>
        <stp/>
        <tr r="T578" s="1"/>
      </tp>
      <tp t="e">
        <v>#N/A</v>
        <stp/>
        <stp>P</stp>
        <stp>0</stp>
        <stp>STK</stp>
        <stp>N194480</stp>
        <stp>체결시간</stp>
        <stp/>
        <stp/>
        <tr r="T537" s="1"/>
      </tp>
      <tp t="e">
        <v>#N/A</v>
        <stp/>
        <stp>P</stp>
        <stp>0</stp>
        <stp>STK</stp>
        <stp>N004490</stp>
        <stp>체결시간</stp>
        <stp/>
        <stp/>
        <tr r="T333" s="1"/>
      </tp>
      <tp t="e">
        <v>#N/A</v>
        <stp/>
        <stp>P</stp>
        <stp>0</stp>
        <stp>STK</stp>
        <stp>N044490</stp>
        <stp>체결시간</stp>
        <stp/>
        <stp/>
        <tr r="T394" s="1"/>
      </tp>
      <tp t="e">
        <v>#N/A</v>
        <stp/>
        <stp>P</stp>
        <stp>0</stp>
        <stp>STK</stp>
        <stp>N094480</stp>
        <stp>체결시간</stp>
        <stp/>
        <stp/>
        <tr r="T567" s="1"/>
      </tp>
      <tp t="e">
        <v>#N/A</v>
        <stp/>
        <stp>P</stp>
        <stp>0</stp>
        <stp>STK</stp>
        <stp>N214450</stp>
        <stp>체결시간</stp>
        <stp/>
        <stp/>
        <tr r="T120" s="1"/>
      </tp>
      <tp t="e">
        <v>#N/A</v>
        <stp/>
        <stp>P</stp>
        <stp>0</stp>
        <stp>STK</stp>
        <stp>N214430</stp>
        <stp>체결시간</stp>
        <stp/>
        <stp/>
        <tr r="T417" s="1"/>
      </tp>
      <tp t="e">
        <v>#N/A</v>
        <stp/>
        <stp>P</stp>
        <stp>0</stp>
        <stp>STK</stp>
        <stp>N064400</stp>
        <stp>체결시간</stp>
        <stp/>
        <stp/>
        <tr r="T94" s="1"/>
      </tp>
      <tp t="e">
        <v>#N/A</v>
        <stp/>
        <stp>P</stp>
        <stp>0</stp>
        <stp>STK</stp>
        <stp>N284740</stp>
        <stp>체결시간</stp>
        <stp/>
        <stp/>
        <tr r="T473" s="1"/>
      </tp>
      <tp t="e">
        <v>#N/A</v>
        <stp/>
        <stp>P</stp>
        <stp>0</stp>
        <stp>STK</stp>
        <stp>N064760</stp>
        <stp>체결시간</stp>
        <stp/>
        <stp/>
        <tr r="T218" s="1"/>
      </tp>
      <tp t="e">
        <v>#N/A</v>
        <stp/>
        <stp>P</stp>
        <stp>0</stp>
        <stp>STK</stp>
        <stp>N034730</stp>
        <stp>체결시간</stp>
        <stp/>
        <stp/>
        <tr r="T41" s="1"/>
      </tp>
      <tp t="e">
        <v>#N/A</v>
        <stp/>
        <stp>P</stp>
        <stp>0</stp>
        <stp>STK</stp>
        <stp>N024720</stp>
        <stp>체결시간</stp>
        <stp/>
        <stp/>
        <tr r="T605" s="1"/>
      </tp>
      <tp t="e">
        <v>#N/A</v>
        <stp/>
        <stp>P</stp>
        <stp>0</stp>
        <stp>STK</stp>
        <stp>N194700</stp>
        <stp>체결시간</stp>
        <stp/>
        <stp/>
        <tr r="T671" s="1"/>
      </tp>
      <tp t="e">
        <v>#N/A</v>
        <stp/>
        <stp>P</stp>
        <stp>0</stp>
        <stp>STK</stp>
        <stp>N104700</stp>
        <stp>체결시간</stp>
        <stp/>
        <stp/>
        <tr r="T568" s="1"/>
      </tp>
      <tp t="e">
        <v>#N/A</v>
        <stp/>
        <stp>P</stp>
        <stp>0</stp>
        <stp>STK</stp>
        <stp>N004700</stp>
        <stp>체결시간</stp>
        <stp/>
        <stp/>
        <tr r="T500" s="1"/>
      </tp>
      <tp t="e">
        <v>#N/A</v>
        <stp/>
        <stp>P</stp>
        <stp>0</stp>
        <stp>STK</stp>
        <stp>N084690</stp>
        <stp>체결시간</stp>
        <stp/>
        <stp/>
        <tr r="T590" s="1"/>
      </tp>
      <tp t="e">
        <v>#N/A</v>
        <stp/>
        <stp>P</stp>
        <stp>0</stp>
        <stp>STK</stp>
        <stp>N004690</stp>
        <stp>체결시간</stp>
        <stp/>
        <stp/>
        <tr r="T468" s="1"/>
      </tp>
      <tp t="e">
        <v>#N/A</v>
        <stp/>
        <stp>P</stp>
        <stp>0</stp>
        <stp>STK</stp>
        <stp>N014680</stp>
        <stp>체결시간</stp>
        <stp/>
        <stp/>
        <tr r="T155" s="1"/>
      </tp>
      <tp t="e">
        <v>#N/A</v>
        <stp/>
        <stp>P</stp>
        <stp>0</stp>
        <stp>STK</stp>
        <stp>N014620</stp>
        <stp>체결시간</stp>
        <stp/>
        <stp/>
        <tr r="T364" s="1"/>
      </tp>
      <tp t="e">
        <v>#N/A</v>
        <stp/>
        <stp>P</stp>
        <stp>0</stp>
        <stp>STK</stp>
        <stp>N074600</stp>
        <stp>체결시간</stp>
        <stp/>
        <stp/>
        <tr r="T408" s="1"/>
      </tp>
      <tp t="e">
        <v>#N/A</v>
        <stp/>
        <stp>P</stp>
        <stp>0</stp>
        <stp>STK</stp>
        <stp>N114190</stp>
        <stp>체결시간</stp>
        <stp/>
        <stp/>
        <tr r="T566" s="1"/>
      </tp>
      <tp t="e">
        <v>#N/A</v>
        <stp/>
        <stp>P</stp>
        <stp>0</stp>
        <stp>STK</stp>
        <stp>N094170</stp>
        <stp>체결시간</stp>
        <stp/>
        <stp/>
        <tr r="T439" s="1"/>
      </tp>
      <tp t="e">
        <v>#N/A</v>
        <stp/>
        <stp>P</stp>
        <stp>0</stp>
        <stp>STK</stp>
        <stp>N004170</stp>
        <stp>체결시간</stp>
        <stp/>
        <stp/>
        <tr r="T163" s="1"/>
      </tp>
      <tp t="e">
        <v>#N/A</v>
        <stp/>
        <stp>P</stp>
        <stp>0</stp>
        <stp>STK</stp>
        <stp>N214150</stp>
        <stp>체결시간</stp>
        <stp/>
        <stp/>
        <tr r="T132" s="1"/>
      </tp>
      <tp t="e">
        <v>#N/A</v>
        <stp/>
        <stp>P</stp>
        <stp>0</stp>
        <stp>STK</stp>
        <stp>N484120</stp>
        <stp>체결시간</stp>
        <stp/>
        <stp/>
        <tr r="T674" s="1"/>
      </tp>
      <tp t="e">
        <v>#N/A</v>
        <stp/>
        <stp>P</stp>
        <stp>0</stp>
        <stp>STK</stp>
        <stp>N494120</stp>
        <stp>체결시간</stp>
        <stp/>
        <stp/>
        <tr r="T529" s="1"/>
      </tp>
      <tp t="e">
        <v>#N/A</v>
        <stp/>
        <stp>P</stp>
        <stp>0</stp>
        <stp>STK</stp>
        <stp>N304100</stp>
        <stp>체결시간</stp>
        <stp/>
        <stp/>
        <tr r="T594" s="1"/>
      </tp>
      <tp t="e">
        <v>#N/A</v>
        <stp/>
        <stp>P</stp>
        <stp>0</stp>
        <stp>STK</stp>
        <stp>N034120</stp>
        <stp>체결시간</stp>
        <stp/>
        <stp/>
        <tr r="T584" s="1"/>
      </tp>
      <tp t="e">
        <v>#N/A</v>
        <stp/>
        <stp>P</stp>
        <stp>0</stp>
        <stp>STK</stp>
        <stp>N084110</stp>
        <stp>체결시간</stp>
        <stp/>
        <stp/>
        <tr r="T426" s="1"/>
      </tp>
      <tp t="e">
        <v>#N/A</v>
        <stp/>
        <stp>P</stp>
        <stp>0</stp>
        <stp>STK</stp>
        <stp>N024110</stp>
        <stp>체결시간</stp>
        <stp/>
        <stp/>
        <tr r="T55" s="1"/>
      </tp>
      <tp t="e">
        <v>#N/A</v>
        <stp/>
        <stp>P</stp>
        <stp>0</stp>
        <stp>STK</stp>
        <stp>N114090</stp>
        <stp>체결시간</stp>
        <stp/>
        <stp/>
        <tr r="T354" s="1"/>
      </tp>
      <tp t="e">
        <v>#N/A</v>
        <stp/>
        <stp>P</stp>
        <stp>0</stp>
        <stp>STK</stp>
        <stp>N004020</stp>
        <stp>체결시간</stp>
        <stp/>
        <stp/>
        <tr r="T125" s="1"/>
      </tp>
      <tp t="e">
        <v>#N/A</v>
        <stp/>
        <stp>P</stp>
        <stp>0</stp>
        <stp>STK</stp>
        <stp>N034020</stp>
        <stp>체결시간</stp>
        <stp/>
        <stp/>
        <tr r="T17" s="1"/>
      </tp>
      <tp t="e">
        <v>#N/A</v>
        <stp/>
        <stp>P</stp>
        <stp>0</stp>
        <stp>STK</stp>
        <stp>N084010</stp>
        <stp>체결시간</stp>
        <stp/>
        <stp/>
        <tr r="T687" s="1"/>
      </tp>
      <tp t="e">
        <v>#N/A</v>
        <stp/>
        <stp>P</stp>
        <stp>0</stp>
        <stp>STK</stp>
        <stp>N004000</stp>
        <stp>체결시간</stp>
        <stp/>
        <stp/>
        <tr r="T290" s="1"/>
      </tp>
      <tp t="e">
        <v>#N/A</v>
        <stp/>
        <stp>P</stp>
        <stp>0</stp>
        <stp>STK</stp>
        <stp>N084370</stp>
        <stp>체결시간</stp>
        <stp/>
        <stp/>
        <tr r="T222" s="1"/>
      </tp>
      <tp t="e">
        <v>#N/A</v>
        <stp/>
        <stp>P</stp>
        <stp>0</stp>
        <stp>STK</stp>
        <stp>N004370</stp>
        <stp>체결시간</stp>
        <stp/>
        <stp/>
        <tr r="T182" s="1"/>
      </tp>
      <tp t="e">
        <v>#N/A</v>
        <stp/>
        <stp>P</stp>
        <stp>0</stp>
        <stp>STK</stp>
        <stp>N094360</stp>
        <stp>체결시간</stp>
        <stp/>
        <stp/>
        <tr r="T559" s="1"/>
      </tp>
      <tp t="e">
        <v>#N/A</v>
        <stp/>
        <stp>P</stp>
        <stp>0</stp>
        <stp>STK</stp>
        <stp>N194370</stp>
        <stp>체결시간</stp>
        <stp/>
        <stp/>
        <tr r="T602" s="1"/>
      </tp>
      <tp t="e">
        <v>#N/A</v>
        <stp/>
        <stp>P</stp>
        <stp>0</stp>
        <stp>STK</stp>
        <stp>N004360</stp>
        <stp>체결시간</stp>
        <stp/>
        <stp/>
        <tr r="T662" s="1"/>
      </tp>
      <tp t="e">
        <v>#N/A</v>
        <stp/>
        <stp>P</stp>
        <stp>0</stp>
        <stp>STK</stp>
        <stp>N304360</stp>
        <stp>체결시간</stp>
        <stp/>
        <stp/>
        <tr r="T560" s="1"/>
      </tp>
      <tp t="e">
        <v>#N/A</v>
        <stp/>
        <stp>P</stp>
        <stp>0</stp>
        <stp>STK</stp>
        <stp>N214370</stp>
        <stp>체결시간</stp>
        <stp/>
        <stp/>
        <tr r="T129" s="1"/>
      </tp>
      <tp t="e">
        <v>#N/A</v>
        <stp/>
        <stp>P</stp>
        <stp>0</stp>
        <stp>STK</stp>
        <stp>N064350</stp>
        <stp>체결시간</stp>
        <stp/>
        <stp/>
        <tr r="T37" s="1"/>
      </tp>
      <tp t="e">
        <v>#N/A</v>
        <stp/>
        <stp>P</stp>
        <stp>0</stp>
        <stp>STK</stp>
        <stp>N034310</stp>
        <stp>체결시간</stp>
        <stp/>
        <stp/>
        <tr r="T491" s="1"/>
      </tp>
      <tp t="e">
        <v>#N/A</v>
        <stp/>
        <stp>P</stp>
        <stp>0</stp>
        <stp>STK</stp>
        <stp>N204320</stp>
        <stp>체결시간</stp>
        <stp/>
        <stp/>
        <tr r="T142" s="1"/>
      </tp>
      <tp t="e">
        <v>#N/A</v>
        <stp/>
        <stp>P</stp>
        <stp>0</stp>
        <stp>STK</stp>
        <stp>N214320</stp>
        <stp>체결시간</stp>
        <stp/>
        <stp/>
        <tr r="T378" s="1"/>
      </tp>
      <tp t="e">
        <v>#N/A</v>
        <stp/>
        <stp>P</stp>
        <stp>0</stp>
        <stp>STK</stp>
        <stp>N394280</stp>
        <stp>체결시간</stp>
        <stp/>
        <stp/>
        <tr r="T627" s="1"/>
      </tp>
      <tp t="e">
        <v>#N/A</v>
        <stp/>
        <stp>P</stp>
        <stp>0</stp>
        <stp>STK</stp>
        <stp>N204270</stp>
        <stp>체결시간</stp>
        <stp/>
        <stp/>
        <tr r="T297" s="1"/>
      </tp>
      <tp t="e">
        <v>#N/A</v>
        <stp/>
        <stp>P</stp>
        <stp>0</stp>
        <stp>STK</stp>
        <stp>N034230</stp>
        <stp>체결시간</stp>
        <stp/>
        <stp/>
        <tr r="T245" s="1"/>
      </tp>
      <tp t="e">
        <v>#N/A</v>
        <stp/>
        <stp>P</stp>
        <stp>0</stp>
        <stp>STK</stp>
        <stp>N034220</stp>
        <stp>체결시간</stp>
        <stp/>
        <stp/>
        <tr r="T102" s="1"/>
      </tp>
      <tp t="e">
        <v>#N/A</v>
        <stp/>
        <stp>P</stp>
        <stp>0</stp>
        <stp>STK</stp>
        <stp>N267980</stp>
        <stp>체결시간</stp>
        <stp/>
        <stp/>
        <tr r="T658" s="1"/>
      </tp>
      <tp t="e">
        <v>#N/A</v>
        <stp/>
        <stp>P</stp>
        <stp>0</stp>
        <stp>STK</stp>
        <stp>N077970</stp>
        <stp>체결시간</stp>
        <stp/>
        <stp/>
        <tr r="T249" s="1"/>
      </tp>
      <tp t="e">
        <v>#N/A</v>
        <stp/>
        <stp>P</stp>
        <stp>0</stp>
        <stp>STK</stp>
        <stp>N207940</stp>
        <stp>체결시간</stp>
        <stp/>
        <stp/>
        <tr r="T13" s="1"/>
      </tp>
      <tp t="e">
        <v>#N/A</v>
        <stp/>
        <stp>P</stp>
        <stp>0</stp>
        <stp>STK</stp>
        <stp>N307950</stp>
        <stp>체결시간</stp>
        <stp/>
        <stp/>
        <tr r="T61" s="1"/>
      </tp>
      <tp t="e">
        <v>#N/A</v>
        <stp/>
        <stp>P</stp>
        <stp>0</stp>
        <stp>STK</stp>
        <stp>N017960</stp>
        <stp>체결시간</stp>
        <stp/>
        <stp/>
        <tr r="T221" s="1"/>
      </tp>
      <tp t="e">
        <v>#N/A</v>
        <stp/>
        <stp>P</stp>
        <stp>0</stp>
        <stp>STK</stp>
        <stp>N097950</stp>
        <stp>체결시간</stp>
        <stp/>
        <stp/>
        <tr r="T150" s="1"/>
      </tp>
      <tp t="e">
        <v>#N/A</v>
        <stp/>
        <stp>P</stp>
        <stp>0</stp>
        <stp>STK</stp>
        <stp>N017940</stp>
        <stp>체결시간</stp>
        <stp/>
        <stp/>
        <tr r="T447" s="1"/>
      </tp>
      <tp t="e">
        <v>#N/A</v>
        <stp/>
        <stp>P</stp>
        <stp>0</stp>
        <stp>STK</stp>
        <stp>N047920</stp>
        <stp>체결시간</stp>
        <stp/>
        <stp/>
        <tr r="T451" s="1"/>
      </tp>
      <tp t="e">
        <v>#N/A</v>
        <stp/>
        <stp>P</stp>
        <stp>0</stp>
        <stp>STK</stp>
        <stp>N237880</stp>
        <stp>체결시간</stp>
        <stp/>
        <stp/>
        <tr r="T693" s="1"/>
      </tp>
      <tp t="e">
        <v>#N/A</v>
        <stp/>
        <stp>P</stp>
        <stp>0</stp>
        <stp>STK</stp>
        <stp>N287840</stp>
        <stp>체결시간</stp>
        <stp/>
        <stp/>
        <tr r="T383" s="1"/>
      </tp>
      <tp t="e">
        <v>#N/A</v>
        <stp/>
        <stp>P</stp>
        <stp>0</stp>
        <stp>STK</stp>
        <stp>N017860</stp>
        <stp>체결시간</stp>
        <stp/>
        <stp/>
        <tr r="T597" s="1"/>
      </tp>
      <tp t="e">
        <v>#N/A</v>
        <stp/>
        <stp>P</stp>
        <stp>0</stp>
        <stp>STK</stp>
        <stp>N347850</stp>
        <stp>체결시간</stp>
        <stp/>
        <stp/>
        <tr r="T141" s="1"/>
      </tp>
      <tp t="e">
        <v>#N/A</v>
        <stp/>
        <stp>P</stp>
        <stp>0</stp>
        <stp>STK</stp>
        <stp>N277810</stp>
        <stp>체결시간</stp>
        <stp/>
        <stp/>
        <tr r="T74" s="1"/>
      </tp>
      <tp t="e">
        <v>#N/A</v>
        <stp/>
        <stp>P</stp>
        <stp>0</stp>
        <stp>STK</stp>
        <stp>N007810</stp>
        <stp>체결시간</stp>
        <stp/>
        <stp/>
        <tr r="T253" s="1"/>
      </tp>
      <tp t="e">
        <v>#N/A</v>
        <stp/>
        <stp>P</stp>
        <stp>0</stp>
        <stp>STK</stp>
        <stp>N017810</stp>
        <stp>체결시간</stp>
        <stp/>
        <stp/>
        <tr r="T482" s="1"/>
      </tp>
      <tp t="e">
        <v>#N/A</v>
        <stp/>
        <stp>P</stp>
        <stp>0</stp>
        <stp>STK</stp>
        <stp>N047810</stp>
        <stp>체결시간</stp>
        <stp/>
        <stp/>
        <tr r="T56" s="1"/>
      </tp>
      <tp t="e">
        <v>#N/A</v>
        <stp/>
        <stp>P</stp>
        <stp>0</stp>
        <stp>STK</stp>
        <stp>N017800</stp>
        <stp>체결시간</stp>
        <stp/>
        <stp/>
        <tr r="T140" s="1"/>
      </tp>
      <tp t="e">
        <v>#N/A</v>
        <stp/>
        <stp>P</stp>
        <stp>0</stp>
        <stp>STK</stp>
        <stp>N217590</stp>
        <stp>체결시간</stp>
        <stp/>
        <stp/>
        <tr r="T545" s="1"/>
      </tp>
      <tp t="e">
        <v>#N/A</v>
        <stp/>
        <stp>P</stp>
        <stp>0</stp>
        <stp>STK</stp>
        <stp>N247540</stp>
        <stp>체결시간</stp>
        <stp/>
        <stp/>
        <tr r="T57" s="1"/>
      </tp>
      <tp t="e">
        <v>#N/A</v>
        <stp/>
        <stp>P</stp>
        <stp>0</stp>
        <stp>STK</stp>
        <stp>N357550</stp>
        <stp>체결시간</stp>
        <stp/>
        <stp/>
        <tr r="T612" s="1"/>
      </tp>
      <tp t="e">
        <v>#N/A</v>
        <stp/>
        <stp>P</stp>
        <stp>0</stp>
        <stp>STK</stp>
        <stp>N097520</stp>
        <stp>체결시간</stp>
        <stp/>
        <stp/>
        <tr r="T450" s="1"/>
      </tp>
      <tp t="e">
        <v>#N/A</v>
        <stp/>
        <stp>P</stp>
        <stp>0</stp>
        <stp>STK</stp>
        <stp>N317450</stp>
        <stp>체결시간</stp>
        <stp/>
        <stp/>
        <tr r="T342" s="1"/>
      </tp>
      <tp t="e">
        <v>#N/A</v>
        <stp/>
        <stp>P</stp>
        <stp>0</stp>
        <stp>STK</stp>
        <stp>N137400</stp>
        <stp>체결시간</stp>
        <stp/>
        <stp/>
        <tr r="T325" s="1"/>
      </tp>
      <tp t="e">
        <v>#N/A</v>
        <stp/>
        <stp>P</stp>
        <stp>0</stp>
        <stp>STK</stp>
        <stp>N357780</stp>
        <stp>체결시간</stp>
        <stp/>
        <stp/>
        <tr r="T170" s="1"/>
      </tp>
      <tp t="e">
        <v>#N/A</v>
        <stp/>
        <stp>P</stp>
        <stp>0</stp>
        <stp>STK</stp>
        <stp>N437730</stp>
        <stp>체결시간</stp>
        <stp/>
        <stp/>
        <tr r="T195" s="1"/>
      </tp>
      <tp t="e">
        <v>#N/A</v>
        <stp/>
        <stp>P</stp>
        <stp>0</stp>
        <stp>STK</stp>
        <stp>N117730</stp>
        <stp>체결시간</stp>
        <stp/>
        <stp/>
        <tr r="T414" s="1"/>
      </tp>
      <tp t="e">
        <v>#N/A</v>
        <stp/>
        <stp>P</stp>
        <stp>0</stp>
        <stp>STK</stp>
        <stp>N037710</stp>
        <stp>체결시간</stp>
        <stp/>
        <stp/>
        <tr r="T676" s="1"/>
      </tp>
      <tp t="e">
        <v>#N/A</v>
        <stp/>
        <stp>P</stp>
        <stp>0</stp>
        <stp>STK</stp>
        <stp>N007700</stp>
        <stp>체결시간</stp>
        <stp/>
        <stp/>
        <tr r="T365" s="1"/>
      </tp>
      <tp t="e">
        <v>#N/A</v>
        <stp/>
        <stp>P</stp>
        <stp>0</stp>
        <stp>STK</stp>
        <stp>N257720</stp>
        <stp>체결시간</stp>
        <stp/>
        <stp/>
        <tr r="T159" s="1"/>
      </tp>
      <tp t="e">
        <v>#N/A</v>
        <stp/>
        <stp>P</stp>
        <stp>0</stp>
        <stp>STK</stp>
        <stp>N237690</stp>
        <stp>체결시간</stp>
        <stp/>
        <stp/>
        <tr r="T185" s="1"/>
      </tp>
      <tp t="e">
        <v>#N/A</v>
        <stp/>
        <stp>P</stp>
        <stp>0</stp>
        <stp>STK</stp>
        <stp>N007690</stp>
        <stp>체결시간</stp>
        <stp/>
        <stp/>
        <tr r="T589" s="1"/>
      </tp>
      <tp t="e">
        <v>#N/A</v>
        <stp/>
        <stp>P</stp>
        <stp>0</stp>
        <stp>STK</stp>
        <stp>N017670</stp>
        <stp>체결시간</stp>
        <stp/>
        <stp/>
        <tr r="T66" s="1"/>
      </tp>
      <tp t="e">
        <v>#N/A</v>
        <stp/>
        <stp>P</stp>
        <stp>0</stp>
        <stp>STK</stp>
        <stp>N007660</stp>
        <stp>체결시간</stp>
        <stp/>
        <stp/>
        <tr r="T89" s="1"/>
      </tp>
      <tp t="e">
        <v>#N/A</v>
        <stp/>
        <stp>P</stp>
        <stp>0</stp>
        <stp>STK</stp>
        <stp>N107640</stp>
        <stp>체결시간</stp>
        <stp/>
        <stp/>
        <tr r="T527" s="1"/>
      </tp>
      <tp t="e">
        <v>#N/A</v>
        <stp/>
        <stp>P</stp>
        <stp>0</stp>
        <stp>STK</stp>
        <stp>N457190</stp>
        <stp>체결시간</stp>
        <stp/>
        <stp/>
        <tr r="T162" s="1"/>
      </tp>
      <tp t="e">
        <v>#N/A</v>
        <stp/>
        <stp>P</stp>
        <stp>0</stp>
        <stp>STK</stp>
        <stp>N007160</stp>
        <stp>체결시간</stp>
        <stp/>
        <stp/>
        <tr r="T652" s="1"/>
      </tp>
      <tp t="e">
        <v>#N/A</v>
        <stp/>
        <stp>P</stp>
        <stp>0</stp>
        <stp>STK</stp>
        <stp>N067160</stp>
        <stp>체결시간</stp>
        <stp/>
        <stp/>
        <tr r="T373" s="1"/>
      </tp>
      <tp t="e">
        <v>#N/A</v>
        <stp/>
        <stp>P</stp>
        <stp>0</stp>
        <stp>STK</stp>
        <stp>N127120</stp>
        <stp>체결시간</stp>
        <stp/>
        <stp/>
        <tr r="T405" s="1"/>
      </tp>
      <tp t="e">
        <v>#N/A</v>
        <stp/>
        <stp>P</stp>
        <stp>0</stp>
        <stp>STK</stp>
        <stp>N067080</stp>
        <stp>체결시간</stp>
        <stp/>
        <stp/>
        <tr r="T623" s="1"/>
      </tp>
      <tp t="e">
        <v>#N/A</v>
        <stp/>
        <stp>P</stp>
        <stp>0</stp>
        <stp>STK</stp>
        <stp>N007070</stp>
        <stp>체결시간</stp>
        <stp/>
        <stp/>
        <tr r="T235" s="1"/>
      </tp>
      <tp t="e">
        <v>#N/A</v>
        <stp/>
        <stp>P</stp>
        <stp>0</stp>
        <stp>STK</stp>
        <stp>N047050</stp>
        <stp>체결시간</stp>
        <stp/>
        <stp/>
        <tr r="T71" s="1"/>
      </tp>
      <tp t="e">
        <v>#N/A</v>
        <stp/>
        <stp>P</stp>
        <stp>0</stp>
        <stp>STK</stp>
        <stp>N057050</stp>
        <stp>체결시간</stp>
        <stp/>
        <stp/>
        <tr r="T413" s="1"/>
      </tp>
      <tp t="e">
        <v>#N/A</v>
        <stp/>
        <stp>P</stp>
        <stp>0</stp>
        <stp>STK</stp>
        <stp>N047040</stp>
        <stp>체결시간</stp>
        <stp/>
        <stp/>
        <tr r="T211" s="1"/>
      </tp>
      <tp t="e">
        <v>#N/A</v>
        <stp/>
        <stp>P</stp>
        <stp>0</stp>
        <stp>STK</stp>
        <stp>N087010</stp>
        <stp>체결시간</stp>
        <stp/>
        <stp/>
        <tr r="T111" s="1"/>
      </tp>
      <tp t="e">
        <v>#N/A</v>
        <stp/>
        <stp>P</stp>
        <stp>0</stp>
        <stp>STK</stp>
        <stp>N397030</stp>
        <stp>체결시간</stp>
        <stp/>
        <stp/>
        <tr r="T296" s="1"/>
      </tp>
      <tp t="e">
        <v>#N/A</v>
        <stp/>
        <stp>P</stp>
        <stp>0</stp>
        <stp>STK</stp>
        <stp>N007390</stp>
        <stp>체결시간</stp>
        <stp/>
        <stp/>
        <tr r="T275" s="1"/>
      </tp>
      <tp t="e">
        <v>#N/A</v>
        <stp/>
        <stp>P</stp>
        <stp>0</stp>
        <stp>STK</stp>
        <stp>N017390</stp>
        <stp>체결시간</stp>
        <stp/>
        <stp/>
        <tr r="T604" s="1"/>
      </tp>
      <tp t="e">
        <v>#N/A</v>
        <stp/>
        <stp>P</stp>
        <stp>0</stp>
        <stp>STK</stp>
        <stp>N007340</stp>
        <stp>체결시간</stp>
        <stp/>
        <stp/>
        <tr r="T254" s="1"/>
      </tp>
      <tp t="e">
        <v>#N/A</v>
        <stp/>
        <stp>P</stp>
        <stp>0</stp>
        <stp>STK</stp>
        <stp>N377300</stp>
        <stp>체결시간</stp>
        <stp/>
        <stp/>
        <tr r="T95" s="1"/>
      </tp>
      <tp t="e">
        <v>#N/A</v>
        <stp/>
        <stp>P</stp>
        <stp>0</stp>
        <stp>STK</stp>
        <stp>N007310</stp>
        <stp>체결시간</stp>
        <stp/>
        <stp/>
        <tr r="T247" s="1"/>
      </tp>
      <tp t="e">
        <v>#N/A</v>
        <stp/>
        <stp>P</stp>
        <stp>0</stp>
        <stp>STK</stp>
        <stp>N067310</stp>
        <stp>체결시간</stp>
        <stp/>
        <stp/>
        <tr r="T233" s="1"/>
      </tp>
      <tp t="e">
        <v>#N/A</v>
        <stp/>
        <stp>P</stp>
        <stp>0</stp>
        <stp>STK</stp>
        <stp>N317330</stp>
        <stp>체결시간</stp>
        <stp/>
        <stp/>
        <tr r="T577" s="1"/>
      </tp>
      <tp t="e">
        <v>#N/A</v>
        <stp/>
        <stp>P</stp>
        <stp>0</stp>
        <stp>STK</stp>
        <stp>N137310</stp>
        <stp>체결시간</stp>
        <stp/>
        <stp/>
        <tr r="T315" s="1"/>
      </tp>
      <tp t="e">
        <v>#N/A</v>
        <stp/>
        <stp>P</stp>
        <stp>0</stp>
        <stp>STK</stp>
        <stp>N267250</stp>
        <stp>체결시간</stp>
        <stp/>
        <stp/>
        <tr r="T44" s="1"/>
      </tp>
      <tp t="e">
        <v>#N/A</v>
        <stp/>
        <stp>P</stp>
        <stp>0</stp>
        <stp>STK</stp>
        <stp>N267270</stp>
        <stp>체결시간</stp>
        <stp/>
        <stp/>
        <tr r="T216" s="1"/>
      </tp>
      <tp t="e">
        <v>#N/A</v>
        <stp/>
        <stp>P</stp>
        <stp>0</stp>
        <stp>STK</stp>
        <stp>N417200</stp>
        <stp>체결시간</stp>
        <stp/>
        <stp/>
        <tr r="T336" s="1"/>
      </tp>
      <tp t="e">
        <v>#N/A</v>
        <stp/>
        <stp>P</stp>
        <stp>0</stp>
        <stp>STK</stp>
        <stp>N267260</stp>
        <stp>체결시간</stp>
        <stp/>
        <stp/>
        <tr r="T29" s="1"/>
      </tp>
      <tp t="e">
        <v>#N/A</v>
        <stp/>
        <stp>P</stp>
        <stp>0</stp>
        <stp>STK</stp>
        <stp>N097230</stp>
        <stp>체결시간</stp>
        <stp/>
        <stp/>
        <tr r="T198" s="1"/>
      </tp>
      <tp t="e">
        <v>#N/A</v>
        <stp/>
        <stp>P</stp>
        <stp>0</stp>
        <stp>STK</stp>
        <stp>N486990</stp>
        <stp>체결시간</stp>
        <stp/>
        <stp/>
        <tr r="T318" s="1"/>
      </tp>
      <tp t="e">
        <v>#N/A</v>
        <stp/>
        <stp>P</stp>
        <stp>0</stp>
        <stp>STK</stp>
        <stp>N226950</stp>
        <stp>체결시간</stp>
        <stp/>
        <stp/>
        <tr r="T189" s="1"/>
      </tp>
      <tp t="e">
        <v>#N/A</v>
        <stp/>
        <stp>P</stp>
        <stp>0</stp>
        <stp>STK</stp>
        <stp>N066970</stp>
        <stp>체결시간</stp>
        <stp/>
        <stp/>
        <tr r="T118" s="1"/>
      </tp>
      <tp t="e">
        <v>#N/A</v>
        <stp/>
        <stp>P</stp>
        <stp>0</stp>
        <stp>STK</stp>
        <stp>N286940</stp>
        <stp>체결시간</stp>
        <stp/>
        <stp/>
        <tr r="T596" s="1"/>
      </tp>
      <tp t="e">
        <v>#N/A</v>
        <stp/>
        <stp>P</stp>
        <stp>0</stp>
        <stp>STK</stp>
        <stp>N026960</stp>
        <stp>체결시간</stp>
        <stp/>
        <stp/>
        <tr r="T175" s="1"/>
      </tp>
      <tp t="e">
        <v>#N/A</v>
        <stp/>
        <stp>P</stp>
        <stp>0</stp>
        <stp>STK</stp>
        <stp>N036930</stp>
        <stp>체결시간</stp>
        <stp/>
        <stp/>
        <tr r="T251" s="1"/>
      </tp>
      <tp t="e">
        <v>#N/A</v>
        <stp/>
        <stp>P</stp>
        <stp>0</stp>
        <stp>STK</stp>
        <stp>N376900</stp>
        <stp>체결시간</stp>
        <stp/>
        <stp/>
        <tr r="T313" s="1"/>
      </tp>
      <tp t="e">
        <v>#N/A</v>
        <stp/>
        <stp>P</stp>
        <stp>0</stp>
        <stp>STK</stp>
        <stp>N086900</stp>
        <stp>체결시간</stp>
        <stp/>
        <stp/>
        <tr r="T341" s="1"/>
      </tp>
      <tp t="e">
        <v>#N/A</v>
        <stp/>
        <stp>P</stp>
        <stp>0</stp>
        <stp>STK</stp>
        <stp>N026890</stp>
        <stp>체결시간</stp>
        <stp/>
        <stp/>
        <tr r="T533" s="1"/>
      </tp>
      <tp t="e">
        <v>#N/A</v>
        <stp/>
        <stp>P</stp>
        <stp>0</stp>
        <stp>STK</stp>
        <stp>N036890</stp>
        <stp>체결시간</stp>
        <stp/>
        <stp/>
        <tr r="T624" s="1"/>
      </tp>
      <tp t="e">
        <v>#N/A</v>
        <stp/>
        <stp>P</stp>
        <stp>0</stp>
        <stp>STK</stp>
        <stp>N046890</stp>
        <stp>체결시간</stp>
        <stp/>
        <stp/>
        <tr r="T579" s="1"/>
      </tp>
      <tp t="e">
        <v>#N/A</v>
        <stp/>
        <stp>P</stp>
        <stp>0</stp>
        <stp>STK</stp>
        <stp>N476830</stp>
        <stp>체결시간</stp>
        <stp/>
        <stp/>
        <tr r="T212" s="1"/>
      </tp>
      <tp t="e">
        <v>#N/A</v>
        <stp/>
        <stp>P</stp>
        <stp>0</stp>
        <stp>STK</stp>
        <stp>N356860</stp>
        <stp>체결시간</stp>
        <stp/>
        <stp/>
        <tr r="T456" s="1"/>
      </tp>
      <tp t="e">
        <v>#N/A</v>
        <stp/>
        <stp>P</stp>
        <stp>0</stp>
        <stp>STK</stp>
        <stp>N036830</stp>
        <stp>체결시간</stp>
        <stp/>
        <stp/>
        <tr r="T352" s="1"/>
      </tp>
      <tp t="e">
        <v>#N/A</v>
        <stp/>
        <stp>P</stp>
        <stp>0</stp>
        <stp>STK</stp>
        <stp>N036810</stp>
        <stp>체결시간</stp>
        <stp/>
        <stp/>
        <tr r="T382" s="1"/>
      </tp>
      <tp t="e">
        <v>#N/A</v>
        <stp/>
        <stp>P</stp>
        <stp>0</stp>
        <stp>STK</stp>
        <stp>N006800</stp>
        <stp>체결시간</stp>
        <stp/>
        <stp/>
        <tr r="T51" s="1"/>
      </tp>
      <tp t="e">
        <v>#N/A</v>
        <stp/>
        <stp>P</stp>
        <stp>0</stp>
        <stp>STK</stp>
        <stp>N016800</stp>
        <stp>체결시간</stp>
        <stp/>
        <stp/>
        <tr r="T478" s="1"/>
      </tp>
      <tp t="e">
        <v>#N/A</v>
        <stp/>
        <stp>P</stp>
        <stp>0</stp>
        <stp>STK</stp>
        <stp>N036800</stp>
        <stp>체결시간</stp>
        <stp/>
        <stp/>
        <tr r="T691" s="1"/>
      </tp>
      <tp t="e">
        <v>#N/A</v>
        <stp/>
        <stp>P</stp>
        <stp>0</stp>
        <stp>STK</stp>
        <stp>N016590</stp>
        <stp>체결시간</stp>
        <stp/>
        <stp/>
        <tr r="T465" s="1"/>
      </tp>
      <tp t="e">
        <v>#N/A</v>
        <stp/>
        <stp>P</stp>
        <stp>0</stp>
        <stp>STK</stp>
        <stp>N036570</stp>
        <stp>체결시간</stp>
        <stp/>
        <stp/>
        <tr r="T114" s="1"/>
      </tp>
      <tp t="e">
        <v>#N/A</v>
        <stp/>
        <stp>P</stp>
        <stp>0</stp>
        <stp>STK</stp>
        <stp>N066570</stp>
        <stp>체결시간</stp>
        <stp/>
        <stp/>
        <tr r="T48" s="1"/>
      </tp>
      <tp t="e">
        <v>#N/A</v>
        <stp/>
        <stp>P</stp>
        <stp>0</stp>
        <stp>STK</stp>
        <stp>N036540</stp>
        <stp>체결시간</stp>
        <stp/>
        <stp/>
        <tr r="T334" s="1"/>
      </tp>
      <tp t="e">
        <v>#N/A</v>
        <stp/>
        <stp>P</stp>
        <stp>0</stp>
        <stp>STK</stp>
        <stp>N336570</stp>
        <stp>체결시간</stp>
        <stp/>
        <stp/>
        <tr r="T375" s="1"/>
      </tp>
      <tp t="e">
        <v>#N/A</v>
        <stp/>
        <stp>P</stp>
        <stp>0</stp>
        <stp>STK</stp>
        <stp>N096530</stp>
        <stp>체결시간</stp>
        <stp/>
        <stp/>
        <tr r="T278" s="1"/>
      </tp>
      <tp t="e">
        <v>#N/A</v>
        <stp/>
        <stp>P</stp>
        <stp>0</stp>
        <stp>STK</stp>
        <stp>N036530</stp>
        <stp>체결시간</stp>
        <stp/>
        <stp/>
        <tr r="T328" s="1"/>
      </tp>
      <tp t="e">
        <v>#N/A</v>
        <stp/>
        <stp>P</stp>
        <stp>0</stp>
        <stp>STK</stp>
        <stp>N086520</stp>
        <stp>체결시간</stp>
        <stp/>
        <stp/>
        <tr r="T67" s="1"/>
      </tp>
      <tp t="e">
        <v>#N/A</v>
        <stp/>
        <stp>P</stp>
        <stp>0</stp>
        <stp>STK</stp>
        <stp>N036460</stp>
        <stp>체결시간</stp>
        <stp/>
        <stp/>
        <tr r="T137" s="1"/>
      </tp>
      <tp t="e">
        <v>#N/A</v>
        <stp/>
        <stp>P</stp>
        <stp>0</stp>
        <stp>STK</stp>
        <stp>N086450</stp>
        <stp>체결시간</stp>
        <stp/>
        <stp/>
        <tr r="T371" s="1"/>
      </tp>
      <tp t="e">
        <v>#N/A</v>
        <stp/>
        <stp>P</stp>
        <stp>0</stp>
        <stp>STK</stp>
        <stp>N006400</stp>
        <stp>체결시간</stp>
        <stp/>
        <stp/>
        <tr r="T34" s="1"/>
      </tp>
      <tp t="e">
        <v>#N/A</v>
        <stp/>
        <stp>P</stp>
        <stp>0</stp>
        <stp>STK</stp>
        <stp>N086790</stp>
        <stp>체결시간</stp>
        <stp/>
        <stp/>
        <tr r="T32" s="1"/>
      </tp>
      <tp t="e">
        <v>#N/A</v>
        <stp/>
        <stp>P</stp>
        <stp>0</stp>
        <stp>STK</stp>
        <stp>N096770</stp>
        <stp>체결시간</stp>
        <stp/>
        <stp/>
        <tr r="T50" s="1"/>
      </tp>
      <tp t="e">
        <v>#N/A</v>
        <stp/>
        <stp>P</stp>
        <stp>0</stp>
        <stp>STK</stp>
        <stp>N176750</stp>
        <stp>체결시간</stp>
        <stp/>
        <stp/>
        <tr r="T678" s="1"/>
      </tp>
      <tp t="e">
        <v>#N/A</v>
        <stp/>
        <stp>P</stp>
        <stp>0</stp>
        <stp>STK</stp>
        <stp>N006730</stp>
        <stp>체결시간</stp>
        <stp/>
        <stp/>
        <tr r="T326" s="1"/>
      </tp>
      <tp t="e">
        <v>#N/A</v>
        <stp/>
        <stp>P</stp>
        <stp>0</stp>
        <stp>STK</stp>
        <stp>N126720</stp>
        <stp>체결시간</stp>
        <stp/>
        <stp/>
        <tr r="T547" s="1"/>
      </tp>
      <tp t="e">
        <v>#N/A</v>
        <stp/>
        <stp>P</stp>
        <stp>0</stp>
        <stp>STK</stp>
        <stp>N356680</stp>
        <stp>체결시간</stp>
        <stp/>
        <stp/>
        <tr r="T697" s="1"/>
      </tp>
      <tp t="e">
        <v>#N/A</v>
        <stp/>
        <stp>P</stp>
        <stp>0</stp>
        <stp>STK</stp>
        <stp>N206650</stp>
        <stp>체결시간</stp>
        <stp/>
        <stp/>
        <tr r="T534" s="1"/>
      </tp>
      <tp t="e">
        <v>#N/A</v>
        <stp/>
        <stp>P</stp>
        <stp>0</stp>
        <stp>STK</stp>
        <stp>N206640</stp>
        <stp>체결시간</stp>
        <stp/>
        <stp/>
        <tr r="T632" s="1"/>
      </tp>
      <tp t="e">
        <v>#N/A</v>
        <stp/>
        <stp>P</stp>
        <stp>0</stp>
        <stp>STK</stp>
        <stp>N006650</stp>
        <stp>체결시간</stp>
        <stp/>
        <stp/>
        <tr r="T309" s="1"/>
      </tp>
      <tp t="e">
        <v>#N/A</v>
        <stp/>
        <stp>P</stp>
        <stp>0</stp>
        <stp>STK</stp>
        <stp>N036620</stp>
        <stp>체결시간</stp>
        <stp/>
        <stp/>
        <tr r="T481" s="1"/>
      </tp>
      <tp t="e">
        <v>#N/A</v>
        <stp/>
        <stp>P</stp>
        <stp>0</stp>
        <stp>STK</stp>
        <stp>N016610</stp>
        <stp>체결시간</stp>
        <stp/>
        <stp/>
        <tr r="T486" s="1"/>
      </tp>
      <tp t="e">
        <v>#N/A</v>
        <stp/>
        <stp>P</stp>
        <stp>0</stp>
        <stp>STK</stp>
        <stp>N416180</stp>
        <stp>체결시간</stp>
        <stp/>
        <stp/>
        <tr r="T637" s="1"/>
      </tp>
      <tp t="e">
        <v>#N/A</v>
        <stp/>
        <stp>P</stp>
        <stp>0</stp>
        <stp>STK</stp>
        <stp>N056190</stp>
        <stp>체결시간</stp>
        <stp/>
        <stp/>
        <tr r="T330" s="1"/>
      </tp>
      <tp t="e">
        <v>#N/A</v>
        <stp/>
        <stp>P</stp>
        <stp>0</stp>
        <stp>STK</stp>
        <stp>N316140</stp>
        <stp>체결시간</stp>
        <stp/>
        <stp/>
        <tr r="T43" s="1"/>
      </tp>
      <tp t="e">
        <v>#N/A</v>
        <stp/>
        <stp>P</stp>
        <stp>0</stp>
        <stp>STK</stp>
        <stp>N196170</stp>
        <stp>체결시간</stp>
        <stp/>
        <stp/>
        <tr r="T45" s="1"/>
      </tp>
      <tp t="e">
        <v>#N/A</v>
        <stp/>
        <stp>P</stp>
        <stp>0</stp>
        <stp>STK</stp>
        <stp>N466100</stp>
        <stp>체결시간</stp>
        <stp/>
        <stp/>
        <tr r="T219" s="1"/>
      </tp>
      <tp t="e">
        <v>#N/A</v>
        <stp/>
        <stp>P</stp>
        <stp>0</stp>
        <stp>STK</stp>
        <stp>N006120</stp>
        <stp>체결시간</stp>
        <stp/>
        <stp/>
        <tr r="T294" s="1"/>
      </tp>
      <tp t="e">
        <v>#N/A</v>
        <stp/>
        <stp>P</stp>
        <stp>0</stp>
        <stp>STK</stp>
        <stp>N456160</stp>
        <stp>체결시간</stp>
        <stp/>
        <stp/>
        <tr r="T281" s="1"/>
      </tp>
      <tp t="e">
        <v>#N/A</v>
        <stp/>
        <stp>P</stp>
        <stp>0</stp>
        <stp>STK</stp>
        <stp>N006110</stp>
        <stp>체결시간</stp>
        <stp/>
        <stp/>
        <tr r="T571" s="1"/>
      </tp>
      <tp t="e">
        <v>#N/A</v>
        <stp/>
        <stp>P</stp>
        <stp>0</stp>
        <stp>STK</stp>
        <stp>N166090</stp>
        <stp>체결시간</stp>
        <stp/>
        <stp/>
        <tr r="T303" s="1"/>
      </tp>
      <tp t="e">
        <v>#N/A</v>
        <stp/>
        <stp>P</stp>
        <stp>0</stp>
        <stp>STK</stp>
        <stp>N006040</stp>
        <stp>체결시간</stp>
        <stp/>
        <stp/>
        <tr r="T230" s="1"/>
      </tp>
      <tp t="e">
        <v>#N/A</v>
        <stp/>
        <stp>P</stp>
        <stp>0</stp>
        <stp>STK</stp>
        <stp>N476060</stp>
        <stp>체결시간</stp>
        <stp/>
        <stp/>
        <tr r="T343" s="1"/>
      </tp>
      <tp t="e">
        <v>#N/A</v>
        <stp/>
        <stp>P</stp>
        <stp>0</stp>
        <stp>STK</stp>
        <stp>N326030</stp>
        <stp>체결시간</stp>
        <stp/>
        <stp/>
        <tr r="T81" s="1"/>
      </tp>
      <tp t="e">
        <v>#N/A</v>
        <stp/>
        <stp>P</stp>
        <stp>0</stp>
        <stp>STK</stp>
        <stp>N456040</stp>
        <stp>체결시간</stp>
        <stp/>
        <stp/>
        <tr r="T412" s="1"/>
      </tp>
      <tp t="e">
        <v>#N/A</v>
        <stp/>
        <stp>P</stp>
        <stp>0</stp>
        <stp>STK</stp>
        <stp>N086390</stp>
        <stp>체결시간</stp>
        <stp/>
        <stp/>
        <tr r="T677" s="1"/>
      </tp>
      <tp t="e">
        <v>#N/A</v>
        <stp/>
        <stp>P</stp>
        <stp>0</stp>
        <stp>STK</stp>
        <stp>N006360</stp>
        <stp>체결시간</stp>
        <stp/>
        <stp/>
        <tr r="T243" s="1"/>
      </tp>
      <tp t="e">
        <v>#N/A</v>
        <stp/>
        <stp>P</stp>
        <stp>0</stp>
        <stp>STK</stp>
        <stp>N016360</stp>
        <stp>체결시간</stp>
        <stp/>
        <stp/>
        <tr r="T91" s="1"/>
      </tp>
      <tp t="e">
        <v>#N/A</v>
        <stp/>
        <stp>P</stp>
        <stp>0</stp>
        <stp>STK</stp>
        <stp>N126340</stp>
        <stp>체결시간</stp>
        <stp/>
        <stp/>
        <tr r="T434" s="1"/>
      </tp>
      <tp t="e">
        <v>#N/A</v>
        <stp/>
        <stp>P</stp>
        <stp>0</stp>
        <stp>STK</stp>
        <stp>N336370</stp>
        <stp>체결시간</stp>
        <stp/>
        <stp/>
        <tr r="T460" s="1"/>
      </tp>
      <tp t="e">
        <v>#N/A</v>
        <stp/>
        <stp>P</stp>
        <stp>0</stp>
        <stp>STK</stp>
        <stp>N376300</stp>
        <stp>체결시간</stp>
        <stp/>
        <stp/>
        <tr r="T367" s="1"/>
      </tp>
      <tp t="e">
        <v>#N/A</v>
        <stp/>
        <stp>P</stp>
        <stp>0</stp>
        <stp>STK</stp>
        <stp>N226320</stp>
        <stp>체결시간</stp>
        <stp/>
        <stp/>
        <tr r="T679" s="1"/>
      </tp>
      <tp t="e">
        <v>#N/A</v>
        <stp/>
        <stp>P</stp>
        <stp>0</stp>
        <stp>STK</stp>
        <stp>N086280</stp>
        <stp>체결시간</stp>
        <stp/>
        <stp/>
        <tr r="T39" s="1"/>
      </tp>
      <tp t="e">
        <v>#N/A</v>
        <stp/>
        <stp>P</stp>
        <stp>0</stp>
        <stp>STK</stp>
        <stp>N006280</stp>
        <stp>체결시간</stp>
        <stp/>
        <stp/>
        <tr r="T232" s="1"/>
      </tp>
      <tp t="e">
        <v>#N/A</v>
        <stp/>
        <stp>P</stp>
        <stp>0</stp>
        <stp>STK</stp>
        <stp>N006260</stp>
        <stp>체결시간</stp>
        <stp/>
        <stp/>
        <tr r="T92" s="1"/>
      </tp>
      <tp t="e">
        <v>#N/A</v>
        <stp/>
        <stp>P</stp>
        <stp>0</stp>
        <stp>STK</stp>
        <stp>N336260</stp>
        <stp>체결시간</stp>
        <stp/>
        <stp/>
        <tr r="T186" s="1"/>
      </tp>
      <tp t="e">
        <v>#N/A</v>
        <stp/>
        <stp>P</stp>
        <stp>0</stp>
        <stp>STK</stp>
        <stp>N376270</stp>
        <stp>체결시간</stp>
        <stp/>
        <stp/>
        <tr r="T555" s="1"/>
      </tp>
      <tp t="e">
        <v>#N/A</v>
        <stp/>
        <stp>P</stp>
        <stp>0</stp>
        <stp>STK</stp>
        <stp>N306200</stp>
        <stp>체결시간</stp>
        <stp/>
        <stp/>
        <tr r="T592" s="1"/>
      </tp>
      <tp t="e">
        <v>#N/A</v>
        <stp/>
        <stp>P</stp>
        <stp>0</stp>
        <stp>STK</stp>
        <stp>N006220</stp>
        <stp>체결시간</stp>
        <stp/>
        <stp/>
        <tr r="T515" s="1"/>
      </tp>
      <tp t="e">
        <v>#N/A</v>
        <stp/>
        <stp>P</stp>
        <stp>0</stp>
        <stp>STK</stp>
        <stp>N236200</stp>
        <stp>체결시간</stp>
        <stp/>
        <stp/>
        <tr r="T667" s="1"/>
      </tp>
      <tp t="e">
        <v>#N/A</v>
        <stp/>
        <stp>P</stp>
        <stp>0</stp>
        <stp>STK</stp>
        <stp>N036200</stp>
        <stp>체결시간</stp>
        <stp/>
        <stp/>
        <tr r="T629" s="1"/>
      </tp>
      <tp>
        <v>3572541400</v>
        <stp/>
        <stp>P</stp>
        <stp>0</stp>
        <stp>STK</stp>
        <stp>N0009K0</stp>
        <stp>누적거래대금</stp>
        <stp/>
        <stp/>
        <tr r="N146" s="1"/>
      </tp>
      <tp t="e">
        <v>#N/A</v>
        <stp/>
        <stp>P</stp>
        <stp>0</stp>
        <stp>STK</stp>
        <stp>N031980</stp>
        <stp>체결시간</stp>
        <stp/>
        <stp/>
        <tr r="T261" s="1"/>
      </tp>
      <tp t="e">
        <v>#N/A</v>
        <stp/>
        <stp>P</stp>
        <stp>0</stp>
        <stp>STK</stp>
        <stp>N071970</stp>
        <stp>체결시간</stp>
        <stp/>
        <stp/>
        <tr r="T151" s="1"/>
      </tp>
      <tp t="e">
        <v>#N/A</v>
        <stp/>
        <stp>P</stp>
        <stp>0</stp>
        <stp>STK</stp>
        <stp>N131970</stp>
        <stp>체결시간</stp>
        <stp/>
        <stp/>
        <tr r="T311" s="1"/>
      </tp>
      <tp t="e">
        <v>#N/A</v>
        <stp/>
        <stp>P</stp>
        <stp>0</stp>
        <stp>STK</stp>
        <stp>N271940</stp>
        <stp>체결시간</stp>
        <stp/>
        <stp/>
        <tr r="T484" s="1"/>
      </tp>
      <tp t="e">
        <v>#N/A</v>
        <stp/>
        <stp>P</stp>
        <stp>0</stp>
        <stp>STK</stp>
        <stp>N251970</stp>
        <stp>체결시간</stp>
        <stp/>
        <stp/>
        <tr r="T396" s="1"/>
      </tp>
      <tp t="e">
        <v>#N/A</v>
        <stp/>
        <stp>P</stp>
        <stp>0</stp>
        <stp>STK</stp>
        <stp>N381970</stp>
        <stp>체결시간</stp>
        <stp/>
        <stp/>
        <tr r="T379" s="1"/>
      </tp>
      <tp t="e">
        <v>#N/A</v>
        <stp/>
        <stp>P</stp>
        <stp>0</stp>
        <stp>STK</stp>
        <stp>N001940</stp>
        <stp>체결시간</stp>
        <stp/>
        <stp/>
        <tr r="T554" s="1"/>
      </tp>
      <tp t="e">
        <v>#N/A</v>
        <stp/>
        <stp>P</stp>
        <stp>0</stp>
        <stp>STK</stp>
        <stp>N101930</stp>
        <stp>체결시간</stp>
        <stp/>
        <stp/>
        <tr r="T525" s="1"/>
      </tp>
      <tp t="e">
        <v>#N/A</v>
        <stp/>
        <stp>P</stp>
        <stp>0</stp>
        <stp>STK</stp>
        <stp>N051910</stp>
        <stp>체결시간</stp>
        <stp/>
        <stp/>
        <tr r="T36" s="1"/>
      </tp>
      <tp t="e">
        <v>#N/A</v>
        <stp/>
        <stp>P</stp>
        <stp>0</stp>
        <stp>STK</stp>
        <stp>N051900</stp>
        <stp>체결시간</stp>
        <stp/>
        <stp/>
        <tr r="T127" s="1"/>
      </tp>
      <tp t="e">
        <v>#N/A</v>
        <stp/>
        <stp>P</stp>
        <stp>0</stp>
        <stp>STK</stp>
        <stp>N161890</stp>
        <stp>체결시간</stp>
        <stp/>
        <stp/>
        <tr r="T248" s="1"/>
      </tp>
      <tp t="e">
        <v>#N/A</v>
        <stp/>
        <stp>P</stp>
        <stp>0</stp>
        <stp>STK</stp>
        <stp>N041830</stp>
        <stp>체결시간</stp>
        <stp/>
        <stp/>
        <tr r="T546" s="1"/>
      </tp>
      <tp t="e">
        <v>#N/A</v>
        <stp/>
        <stp>P</stp>
        <stp>0</stp>
        <stp>STK</stp>
        <stp>N001820</stp>
        <stp>체결시간</stp>
        <stp/>
        <stp/>
        <tr r="T598" s="1"/>
      </tp>
      <tp t="e">
        <v>#N/A</v>
        <stp/>
        <stp>P</stp>
        <stp>0</stp>
        <stp>STK</stp>
        <stp>N281820</stp>
        <stp>체결시간</stp>
        <stp/>
        <stp/>
        <tr r="T353" s="1"/>
      </tp>
      <tp t="e">
        <v>#N/A</v>
        <stp/>
        <stp>P</stp>
        <stp>0</stp>
        <stp>STK</stp>
        <stp>N001800</stp>
        <stp>체결시간</stp>
        <stp/>
        <stp/>
        <tr r="T270" s="1"/>
      </tp>
      <tp t="e">
        <v>#N/A</v>
        <stp/>
        <stp>P</stp>
        <stp>0</stp>
        <stp>STK</stp>
        <stp>N161580</stp>
        <stp>체결시간</stp>
        <stp/>
        <stp/>
        <tr r="T314" s="1"/>
      </tp>
      <tp t="e">
        <v>#N/A</v>
        <stp/>
        <stp>P</stp>
        <stp>0</stp>
        <stp>STK</stp>
        <stp>N241560</stp>
        <stp>체결시간</stp>
        <stp/>
        <stp/>
        <tr r="T103" s="1"/>
      </tp>
      <tp t="e">
        <v>#N/A</v>
        <stp/>
        <stp>P</stp>
        <stp>0</stp>
        <stp>STK</stp>
        <stp>N271560</stp>
        <stp>체결시간</stp>
        <stp/>
        <stp/>
        <tr r="T117" s="1"/>
      </tp>
      <tp t="e">
        <v>#N/A</v>
        <stp/>
        <stp>P</stp>
        <stp>0</stp>
        <stp>STK</stp>
        <stp>N001530</stp>
        <stp>체결시간</stp>
        <stp/>
        <stp/>
        <tr r="T549" s="1"/>
      </tp>
      <tp t="e">
        <v>#N/A</v>
        <stp/>
        <stp>P</stp>
        <stp>0</stp>
        <stp>STK</stp>
        <stp>N041510</stp>
        <stp>체결시간</stp>
        <stp/>
        <stp/>
        <tr r="T180" s="1"/>
      </tp>
      <tp t="e">
        <v>#N/A</v>
        <stp/>
        <stp>P</stp>
        <stp>0</stp>
        <stp>STK</stp>
        <stp>N001500</stp>
        <stp>체결시간</stp>
        <stp/>
        <stp/>
        <tr r="T462" s="1"/>
      </tp>
      <tp t="e">
        <v>#N/A</v>
        <stp/>
        <stp>P</stp>
        <stp>0</stp>
        <stp>STK</stp>
        <stp>N011500</stp>
        <stp>체결시간</stp>
        <stp/>
        <stp/>
        <tr r="T634" s="1"/>
      </tp>
      <tp t="e">
        <v>#N/A</v>
        <stp/>
        <stp>P</stp>
        <stp>0</stp>
        <stp>STK</stp>
        <stp>N051500</stp>
        <stp>체결시간</stp>
        <stp/>
        <stp/>
        <tr r="T608" s="1"/>
      </tp>
      <tp t="e">
        <v>#N/A</v>
        <stp/>
        <stp>P</stp>
        <stp>0</stp>
        <stp>STK</stp>
        <stp>N101490</stp>
        <stp>체결시간</stp>
        <stp/>
        <stp/>
        <tr r="T257" s="1"/>
      </tp>
      <tp t="e">
        <v>#N/A</v>
        <stp/>
        <stp>P</stp>
        <stp>0</stp>
        <stp>STK</stp>
        <stp>N001460</stp>
        <stp>체결시간</stp>
        <stp/>
        <stp/>
        <tr r="T660" s="1"/>
      </tp>
      <tp t="e">
        <v>#N/A</v>
        <stp/>
        <stp>P</stp>
        <stp>0</stp>
        <stp>STK</stp>
        <stp>N001450</stp>
        <stp>체결시간</stp>
        <stp/>
        <stp/>
        <tr r="T183" s="1"/>
      </tp>
      <tp t="e">
        <v>#N/A</v>
        <stp/>
        <stp>P</stp>
        <stp>0</stp>
        <stp>STK</stp>
        <stp>N001440</stp>
        <stp>체결시간</stp>
        <stp/>
        <stp/>
        <tr r="T110" s="1"/>
      </tp>
      <tp t="e">
        <v>#N/A</v>
        <stp/>
        <stp>P</stp>
        <stp>0</stp>
        <stp>STK</stp>
        <stp>N001430</stp>
        <stp>체결시간</stp>
        <stp/>
        <stp/>
        <tr r="T166" s="1"/>
      </tp>
      <tp t="e">
        <v>#N/A</v>
        <stp/>
        <stp>P</stp>
        <stp>0</stp>
        <stp>STK</stp>
        <stp>N031430</stp>
        <stp>체결시간</stp>
        <stp/>
        <stp/>
        <tr r="T550" s="1"/>
      </tp>
      <tp t="e">
        <v>#N/A</v>
        <stp/>
        <stp>P</stp>
        <stp>0</stp>
        <stp>STK</stp>
        <stp>N011790</stp>
        <stp>체결시간</stp>
        <stp/>
        <stp/>
        <tr r="T126" s="1"/>
      </tp>
      <tp t="e">
        <v>#N/A</v>
        <stp/>
        <stp>P</stp>
        <stp>0</stp>
        <stp>STK</stp>
        <stp>N011780</stp>
        <stp>체결시간</stp>
        <stp/>
        <stp/>
        <tr r="T136" s="1"/>
      </tp>
      <tp t="e">
        <v>#N/A</v>
        <stp/>
        <stp>P</stp>
        <stp>0</stp>
        <stp>STK</stp>
        <stp>N281740</stp>
        <stp>체결시간</stp>
        <stp/>
        <stp/>
        <tr r="T291" s="1"/>
      </tp>
      <tp t="e">
        <v>#N/A</v>
        <stp/>
        <stp>P</stp>
        <stp>0</stp>
        <stp>STK</stp>
        <stp>N011760</stp>
        <stp>체결시간</stp>
        <stp/>
        <stp/>
        <tr r="T639" s="1"/>
      </tp>
      <tp t="e">
        <v>#N/A</v>
        <stp/>
        <stp>P</stp>
        <stp>0</stp>
        <stp>STK</stp>
        <stp>N111770</stp>
        <stp>체결시간</stp>
        <stp/>
        <stp/>
        <tr r="T138" s="1"/>
      </tp>
      <tp t="e">
        <v>#N/A</v>
        <stp/>
        <stp>P</stp>
        <stp>0</stp>
        <stp>STK</stp>
        <stp>N001750</stp>
        <stp>체결시간</stp>
        <stp/>
        <stp/>
        <tr r="T685" s="1"/>
      </tp>
      <tp t="e">
        <v>#N/A</v>
        <stp/>
        <stp>P</stp>
        <stp>0</stp>
        <stp>STK</stp>
        <stp>N241770</stp>
        <stp>체결시간</stp>
        <stp/>
        <stp/>
        <tr r="T686" s="1"/>
      </tp>
      <tp t="e">
        <v>#N/A</v>
        <stp/>
        <stp>P</stp>
        <stp>0</stp>
        <stp>STK</stp>
        <stp>N241710</stp>
        <stp>체결시간</stp>
        <stp/>
        <stp/>
        <tr r="T360" s="1"/>
      </tp>
      <tp t="e">
        <v>#N/A</v>
        <stp/>
        <stp>P</stp>
        <stp>0</stp>
        <stp>STK</stp>
        <stp>N001720</stp>
        <stp>체결시간</stp>
        <stp/>
        <stp/>
        <tr r="T184" s="1"/>
      </tp>
      <tp t="e">
        <v>#N/A</v>
        <stp/>
        <stp>P</stp>
        <stp>0</stp>
        <stp>STK</stp>
        <stp>N101730</stp>
        <stp>체결시간</stp>
        <stp/>
        <stp/>
        <tr r="T475" s="1"/>
      </tp>
      <tp t="e">
        <v>#N/A</v>
        <stp/>
        <stp>P</stp>
        <stp>0</stp>
        <stp>STK</stp>
        <stp>N181710</stp>
        <stp>체결시간</stp>
        <stp/>
        <stp/>
        <tr r="T319" s="1"/>
      </tp>
      <tp t="e">
        <v>#N/A</v>
        <stp/>
        <stp>P</stp>
        <stp>0</stp>
        <stp>STK</stp>
        <stp>N001680</stp>
        <stp>체결시간</stp>
        <stp/>
        <stp/>
        <tr r="T374" s="1"/>
      </tp>
      <tp t="e">
        <v>#N/A</v>
        <stp/>
        <stp>P</stp>
        <stp>0</stp>
        <stp>STK</stp>
        <stp>N081660</stp>
        <stp>체결시간</stp>
        <stp/>
        <stp/>
        <tr r="T192" s="1"/>
      </tp>
      <tp t="e">
        <v>#N/A</v>
        <stp/>
        <stp>P</stp>
        <stp>0</stp>
        <stp>STK</stp>
        <stp>N001630</stp>
        <stp>체결시간</stp>
        <stp/>
        <stp/>
        <tr r="T684" s="1"/>
      </tp>
      <tp t="e">
        <v>#N/A</v>
        <stp/>
        <stp>P</stp>
        <stp>0</stp>
        <stp>STK</stp>
        <stp>N361610</stp>
        <stp>체결시간</stp>
        <stp/>
        <stp/>
        <tr r="T214" s="1"/>
      </tp>
      <tp t="e">
        <v>#N/A</v>
        <stp/>
        <stp>P</stp>
        <stp>0</stp>
        <stp>STK</stp>
        <stp>N121600</stp>
        <stp>체결시간</stp>
        <stp/>
        <stp/>
        <tr r="T419" s="1"/>
      </tp>
      <tp t="e">
        <v>#N/A</v>
        <stp/>
        <stp>P</stp>
        <stp>0</stp>
        <stp>STK</stp>
        <stp>N051600</stp>
        <stp>체결시간</stp>
        <stp/>
        <stp/>
        <tr r="T169" s="1"/>
      </tp>
      <tp t="e">
        <v>#N/A</v>
        <stp/>
        <stp>P</stp>
        <stp>0</stp>
        <stp>STK</stp>
        <stp>N041190</stp>
        <stp>체결시간</stp>
        <stp/>
        <stp/>
        <tr r="T428" s="1"/>
      </tp>
      <tp t="e">
        <v>#N/A</v>
        <stp/>
        <stp>P</stp>
        <stp>0</stp>
        <stp>STK</stp>
        <stp>N101160</stp>
        <stp>체결시간</stp>
        <stp/>
        <stp/>
        <tr r="T561" s="1"/>
      </tp>
      <tp t="e">
        <v>#N/A</v>
        <stp/>
        <stp>P</stp>
        <stp>0</stp>
        <stp>STK</stp>
        <stp>N011170</stp>
        <stp>체결시간</stp>
        <stp/>
        <stp/>
        <tr r="T152" s="1"/>
      </tp>
      <tp t="e">
        <v>#N/A</v>
        <stp/>
        <stp>P</stp>
        <stp>0</stp>
        <stp>STK</stp>
        <stp>N001130</stp>
        <stp>체결시간</stp>
        <stp/>
        <stp/>
        <tr r="T683" s="1"/>
      </tp>
      <tp t="e">
        <v>#N/A</v>
        <stp/>
        <stp>P</stp>
        <stp>0</stp>
        <stp>STK</stp>
        <stp>N001120</stp>
        <stp>체결시간</stp>
        <stp/>
        <stp/>
        <tr r="T260" s="1"/>
      </tp>
      <tp t="e">
        <v>#N/A</v>
        <stp/>
        <stp>P</stp>
        <stp>0</stp>
        <stp>STK</stp>
        <stp>N141080</stp>
        <stp>체결시간</stp>
        <stp/>
        <stp/>
        <tr r="T108" s="1"/>
      </tp>
      <tp t="e">
        <v>#N/A</v>
        <stp/>
        <stp>P</stp>
        <stp>0</stp>
        <stp>STK</stp>
        <stp>N061090</stp>
        <stp>체결시간</stp>
        <stp/>
        <stp/>
        <tr r="T682" s="1"/>
      </tp>
      <tp t="e">
        <v>#N/A</v>
        <stp/>
        <stp>P</stp>
        <stp>0</stp>
        <stp>STK</stp>
        <stp>N171090</stp>
        <stp>체결시간</stp>
        <stp/>
        <stp/>
        <tr r="T459" s="1"/>
      </tp>
      <tp t="e">
        <v>#N/A</v>
        <stp/>
        <stp>P</stp>
        <stp>0</stp>
        <stp>STK</stp>
        <stp>N011070</stp>
        <stp>체결시간</stp>
        <stp/>
        <stp/>
        <tr r="T97" s="1"/>
      </tp>
      <tp t="e">
        <v>#N/A</v>
        <stp/>
        <stp>P</stp>
        <stp>0</stp>
        <stp>STK</stp>
        <stp>N211050</stp>
        <stp>체결시간</stp>
        <stp/>
        <stp/>
        <tr r="T424" s="1"/>
      </tp>
      <tp t="e">
        <v>#N/A</v>
        <stp/>
        <stp>P</stp>
        <stp>0</stp>
        <stp>STK</stp>
        <stp>N001060</stp>
        <stp>체결시간</stp>
        <stp/>
        <stp/>
        <tr r="T410" s="1"/>
      </tp>
      <tp t="e">
        <v>#N/A</v>
        <stp/>
        <stp>P</stp>
        <stp>0</stp>
        <stp>STK</stp>
        <stp>N071050</stp>
        <stp>체결시간</stp>
        <stp/>
        <stp/>
        <tr r="T73" s="1"/>
      </tp>
      <tp t="e">
        <v>#N/A</v>
        <stp/>
        <stp>P</stp>
        <stp>0</stp>
        <stp>STK</stp>
        <stp>N001040</stp>
        <stp>체결시간</stp>
        <stp/>
        <stp/>
        <tr r="T105" s="1"/>
      </tp>
      <tp t="e">
        <v>#N/A</v>
        <stp/>
        <stp>P</stp>
        <stp>0</stp>
        <stp>STK</stp>
        <stp>N481070</stp>
        <stp>체결시간</stp>
        <stp/>
        <stp/>
        <tr r="T591" s="1"/>
      </tp>
      <tp t="e">
        <v>#N/A</v>
        <stp/>
        <stp>P</stp>
        <stp>0</stp>
        <stp>STK</stp>
        <stp>N161000</stp>
        <stp>체결시간</stp>
        <stp/>
        <stp/>
        <tr r="T524" s="1"/>
      </tp>
      <tp t="e">
        <v>#N/A</v>
        <stp/>
        <stp>P</stp>
        <stp>0</stp>
        <stp>STK</stp>
        <stp>N161390</stp>
        <stp>체결시간</stp>
        <stp/>
        <stp/>
        <tr r="T84" s="1"/>
      </tp>
      <tp t="e">
        <v>#N/A</v>
        <stp/>
        <stp>P</stp>
        <stp>0</stp>
        <stp>STK</stp>
        <stp>N101360</stp>
        <stp>체결시간</stp>
        <stp/>
        <stp/>
        <tr r="T600" s="1"/>
      </tp>
      <tp t="e">
        <v>#N/A</v>
        <stp/>
        <stp>P</stp>
        <stp>0</stp>
        <stp>STK</stp>
        <stp>N051360</stp>
        <stp>체결시간</stp>
        <stp/>
        <stp/>
        <tr r="T675" s="1"/>
      </tp>
      <tp t="e">
        <v>#N/A</v>
        <stp/>
        <stp>P</stp>
        <stp>0</stp>
        <stp>STK</stp>
        <stp>N071320</stp>
        <stp>체결시간</stp>
        <stp/>
        <stp/>
        <tr r="T274" s="1"/>
      </tp>
      <tp t="e">
        <v>#N/A</v>
        <stp/>
        <stp>P</stp>
        <stp>0</stp>
        <stp>STK</stp>
        <stp>N131290</stp>
        <stp>체결시간</stp>
        <stp/>
        <stp/>
        <tr r="T346" s="1"/>
      </tp>
      <tp t="e">
        <v>#N/A</v>
        <stp/>
        <stp>P</stp>
        <stp>0</stp>
        <stp>STK</stp>
        <stp>N001270</stp>
        <stp>체결시간</stp>
        <stp/>
        <stp/>
        <tr r="T415" s="1"/>
      </tp>
      <tp t="e">
        <v>#N/A</v>
        <stp/>
        <stp>P</stp>
        <stp>0</stp>
        <stp>STK</stp>
        <stp>N251270</stp>
        <stp>체결시간</stp>
        <stp/>
        <stp/>
        <tr r="T123" s="1"/>
      </tp>
      <tp t="e">
        <v>#N/A</v>
        <stp/>
        <stp>P</stp>
        <stp>0</stp>
        <stp>STK</stp>
        <stp>N021240</stp>
        <stp>체결시간</stp>
        <stp/>
        <stp/>
        <tr r="T106" s="1"/>
      </tp>
      <tp t="e">
        <v>#N/A</v>
        <stp/>
        <stp>P</stp>
        <stp>0</stp>
        <stp>STK</stp>
        <stp>N441270</stp>
        <stp>체결시간</stp>
        <stp/>
        <stp/>
        <tr r="T572" s="1"/>
      </tp>
      <tp t="e">
        <v>#N/A</v>
        <stp/>
        <stp>P</stp>
        <stp>0</stp>
        <stp>STK</stp>
        <stp>N011210</stp>
        <stp>체결시간</stp>
        <stp/>
        <stp/>
        <tr r="T167" s="1"/>
      </tp>
      <tp t="e">
        <v>#N/A</v>
        <stp/>
        <stp>P</stp>
        <stp>0</stp>
        <stp>STK</stp>
        <stp>N031210</stp>
        <stp>체결시간</stp>
        <stp/>
        <stp/>
        <tr r="T143" s="1"/>
      </tp>
      <tp t="e">
        <v>#N/A</v>
        <stp/>
        <stp>P</stp>
        <stp>0</stp>
        <stp>STK</stp>
        <stp>N011200</stp>
        <stp>체결시간</stp>
        <stp/>
        <stp/>
        <tr r="T46" s="1"/>
      </tp>
      <tp t="e">
        <v>#N/A</v>
        <stp/>
        <stp>P</stp>
        <stp>0</stp>
        <stp>STK</stp>
        <stp>N199800</stp>
        <stp>세션명</stp>
        <stp/>
        <stp/>
        <tr r="S474" s="1"/>
      </tp>
      <tp t="e">
        <v>#N/A</v>
        <stp/>
        <stp>P</stp>
        <stp>0</stp>
        <stp>STK</stp>
        <stp>N199430</stp>
        <stp>세션명</stp>
        <stp/>
        <stp/>
        <tr r="S488" s="1"/>
      </tp>
      <tp t="e">
        <v>#N/A</v>
        <stp/>
        <stp>P</stp>
        <stp>0</stp>
        <stp>STK</stp>
        <stp>N499790</stp>
        <stp>세션명</stp>
        <stp/>
        <stp/>
        <tr r="S362" s="1"/>
      </tp>
      <tp t="e">
        <v>#N/A</v>
        <stp/>
        <stp>P</stp>
        <stp>0</stp>
        <stp>STK</stp>
        <stp>N399720</stp>
        <stp>세션명</stp>
        <stp/>
        <stp/>
        <tr r="S386" s="1"/>
      </tp>
      <tp t="e">
        <v>#N/A</v>
        <stp/>
        <stp>P</stp>
        <stp>0</stp>
        <stp>STK</stp>
        <stp>N299030</stp>
        <stp>세션명</stp>
        <stp/>
        <stp/>
        <tr r="S694" s="1"/>
      </tp>
      <tp t="e">
        <v>#N/A</v>
        <stp/>
        <stp>P</stp>
        <stp>0</stp>
        <stp>STK</stp>
        <stp>N099190</stp>
        <stp>세션명</stp>
        <stp/>
        <stp/>
        <tr r="S532" s="1"/>
      </tp>
      <tp t="e">
        <v>#N/A</v>
        <stp/>
        <stp>P</stp>
        <stp>0</stp>
        <stp>STK</stp>
        <stp>N098460</stp>
        <stp>세션명</stp>
        <stp/>
        <stp/>
        <tr r="S205" s="1"/>
      </tp>
      <tp t="e">
        <v>#N/A</v>
        <stp/>
        <stp>P</stp>
        <stp>0</stp>
        <stp>STK</stp>
        <stp>N098070</stp>
        <stp>세션명</stp>
        <stp/>
        <stp/>
        <tr r="S513" s="1"/>
      </tp>
      <tp t="e">
        <v>#N/A</v>
        <stp/>
        <stp>P</stp>
        <stp>0</stp>
        <stp>STK</stp>
        <stp>N298050</stp>
        <stp>세션명</stp>
        <stp/>
        <stp/>
        <tr r="S321" s="1"/>
      </tp>
      <tp t="e">
        <v>#N/A</v>
        <stp/>
        <stp>P</stp>
        <stp>0</stp>
        <stp>STK</stp>
        <stp>N298040</stp>
        <stp>세션명</stp>
        <stp/>
        <stp/>
        <tr r="S40" s="1"/>
      </tp>
      <tp t="e">
        <v>#N/A</v>
        <stp/>
        <stp>P</stp>
        <stp>0</stp>
        <stp>STK</stp>
        <stp>N298020</stp>
        <stp>세션명</stp>
        <stp/>
        <stp/>
        <tr r="S234" s="1"/>
      </tp>
      <tp t="e">
        <v>#N/A</v>
        <stp/>
        <stp>P</stp>
        <stp>0</stp>
        <stp>STK</stp>
        <stp>N298380</stp>
        <stp>세션명</stp>
        <stp/>
        <stp/>
        <tr r="S76" s="1"/>
      </tp>
      <tp t="e">
        <v>#N/A</v>
        <stp/>
        <stp>P</stp>
        <stp>0</stp>
        <stp>STK</stp>
        <stp>N293490</stp>
        <stp>세션명</stp>
        <stp/>
        <stp/>
        <tr r="S276" s="1"/>
      </tp>
      <tp t="e">
        <v>#N/A</v>
        <stp/>
        <stp>P</stp>
        <stp>0</stp>
        <stp>STK</stp>
        <stp>N093520</stp>
        <stp>세션명</stp>
        <stp/>
        <stp/>
        <tr r="S630" s="1"/>
      </tp>
      <tp t="e">
        <v>#N/A</v>
        <stp/>
        <stp>P</stp>
        <stp>0</stp>
        <stp>STK</stp>
        <stp>N093050</stp>
        <stp>세션명</stp>
        <stp/>
        <stp/>
        <tr r="S471" s="1"/>
      </tp>
      <tp t="e">
        <v>#N/A</v>
        <stp/>
        <stp>P</stp>
        <stp>0</stp>
        <stp>STK</stp>
        <stp>N093370</stp>
        <stp>세션명</stp>
        <stp/>
        <stp/>
        <tr r="S358" s="1"/>
      </tp>
      <tp t="e">
        <v>#N/A</v>
        <stp/>
        <stp>P</stp>
        <stp>0</stp>
        <stp>STK</stp>
        <stp>N093320</stp>
        <stp>세션명</stp>
        <stp/>
        <stp/>
        <tr r="S432" s="1"/>
      </tp>
      <tp t="e">
        <v>#N/A</v>
        <stp/>
        <stp>P</stp>
        <stp>0</stp>
        <stp>STK</stp>
        <stp>N192820</stp>
        <stp>세션명</stp>
        <stp/>
        <stp/>
        <tr r="S208" s="1"/>
      </tp>
      <tp t="e">
        <v>#N/A</v>
        <stp/>
        <stp>P</stp>
        <stp>0</stp>
        <stp>STK</stp>
        <stp>N092460</stp>
        <stp>세션명</stp>
        <stp/>
        <stp/>
        <tr r="S643" s="1"/>
      </tp>
      <tp t="e">
        <v>#N/A</v>
        <stp/>
        <stp>P</stp>
        <stp>0</stp>
        <stp>STK</stp>
        <stp>N192400</stp>
        <stp>세션명</stp>
        <stp/>
        <stp/>
        <tr r="S323" s="1"/>
      </tp>
      <tp t="e">
        <v>#N/A</v>
        <stp/>
        <stp>P</stp>
        <stp>0</stp>
        <stp>STK</stp>
        <stp>N092790</stp>
        <stp>세션명</stp>
        <stp/>
        <stp/>
        <tr r="S610" s="1"/>
      </tp>
      <tp t="e">
        <v>#N/A</v>
        <stp/>
        <stp>P</stp>
        <stp>0</stp>
        <stp>STK</stp>
        <stp>N092730</stp>
        <stp>세션명</stp>
        <stp/>
        <stp/>
        <tr r="S648" s="1"/>
      </tp>
      <tp t="e">
        <v>#N/A</v>
        <stp/>
        <stp>P</stp>
        <stp>0</stp>
        <stp>STK</stp>
        <stp>N192080</stp>
        <stp>세션명</stp>
        <stp/>
        <stp/>
        <tr r="S301" s="1"/>
      </tp>
      <tp t="e">
        <v>#N/A</v>
        <stp/>
        <stp>P</stp>
        <stp>0</stp>
        <stp>STK</stp>
        <stp>N092230</stp>
        <stp>세션명</stp>
        <stp/>
        <stp/>
        <tr r="S618" s="1"/>
      </tp>
      <tp t="e">
        <v>#N/A</v>
        <stp/>
        <stp>P</stp>
        <stp>0</stp>
        <stp>STK</stp>
        <stp>N090460</stp>
        <stp>세션명</stp>
        <stp/>
        <stp/>
        <tr r="S458" s="1"/>
      </tp>
      <tp t="e">
        <v>#N/A</v>
        <stp/>
        <stp>P</stp>
        <stp>0</stp>
        <stp>STK</stp>
        <stp>N090430</stp>
        <stp>세션명</stp>
        <stp/>
        <stp/>
        <tr r="S93" s="1"/>
      </tp>
      <tp t="e">
        <v>#N/A</v>
        <stp/>
        <stp>P</stp>
        <stp>0</stp>
        <stp>STK</stp>
        <stp>N190510</stp>
        <stp>세션명</stp>
        <stp/>
        <stp/>
        <tr r="S582" s="1"/>
      </tp>
      <tp t="e">
        <v>#N/A</v>
        <stp/>
        <stp>P</stp>
        <stp>0</stp>
        <stp>STK</stp>
        <stp>N290650</stp>
        <stp>세션명</stp>
        <stp/>
        <stp/>
        <tr r="S269" s="1"/>
      </tp>
      <tp t="e">
        <v>#N/A</v>
        <stp/>
        <stp>P</stp>
        <stp>0</stp>
        <stp>STK</stp>
        <stp>N090360</stp>
        <stp>세션명</stp>
        <stp/>
        <stp/>
        <tr r="S332" s="1"/>
      </tp>
      <tp t="e">
        <v>#N/A</v>
        <stp/>
        <stp>P</stp>
        <stp>0</stp>
        <stp>STK</stp>
        <stp>N097950</stp>
        <stp>세션명</stp>
        <stp/>
        <stp/>
        <tr r="S150" s="1"/>
      </tp>
      <tp t="e">
        <v>#N/A</v>
        <stp/>
        <stp>P</stp>
        <stp>0</stp>
        <stp>STK</stp>
        <stp>N097520</stp>
        <stp>세션명</stp>
        <stp/>
        <stp/>
        <tr r="S450" s="1"/>
      </tp>
      <tp t="e">
        <v>#N/A</v>
        <stp/>
        <stp>P</stp>
        <stp>0</stp>
        <stp>STK</stp>
        <stp>N397030</stp>
        <stp>세션명</stp>
        <stp/>
        <stp/>
        <tr r="S296" s="1"/>
      </tp>
      <tp t="e">
        <v>#N/A</v>
        <stp/>
        <stp>P</stp>
        <stp>0</stp>
        <stp>STK</stp>
        <stp>N097230</stp>
        <stp>세션명</stp>
        <stp/>
        <stp/>
        <tr r="S198" s="1"/>
      </tp>
      <tp t="e">
        <v>#N/A</v>
        <stp/>
        <stp>P</stp>
        <stp>0</stp>
        <stp>STK</stp>
        <stp>N096530</stp>
        <stp>세션명</stp>
        <stp/>
        <stp/>
        <tr r="S278" s="1"/>
      </tp>
      <tp t="e">
        <v>#N/A</v>
        <stp/>
        <stp>P</stp>
        <stp>0</stp>
        <stp>STK</stp>
        <stp>N096770</stp>
        <stp>세션명</stp>
        <stp/>
        <stp/>
        <tr r="S50" s="1"/>
      </tp>
      <tp t="e">
        <v>#N/A</v>
        <stp/>
        <stp>P</stp>
        <stp>0</stp>
        <stp>STK</stp>
        <stp>N196170</stp>
        <stp>세션명</stp>
        <stp/>
        <stp/>
        <tr r="S45" s="1"/>
      </tp>
      <tp t="e">
        <v>#N/A</v>
        <stp/>
        <stp>P</stp>
        <stp>0</stp>
        <stp>STK</stp>
        <stp>N195870</stp>
        <stp>세션명</stp>
        <stp/>
        <stp/>
        <tr r="S335" s="1"/>
      </tp>
      <tp t="e">
        <v>#N/A</v>
        <stp/>
        <stp>P</stp>
        <stp>0</stp>
        <stp>STK</stp>
        <stp>N195940</stp>
        <stp>세션명</stp>
        <stp/>
        <stp/>
        <tr r="S265" s="1"/>
      </tp>
      <tp t="e">
        <v>#N/A</v>
        <stp/>
        <stp>P</stp>
        <stp>0</stp>
        <stp>STK</stp>
        <stp>N095500</stp>
        <stp>세션명</stp>
        <stp/>
        <stp/>
        <tr r="S599" s="1"/>
      </tp>
      <tp t="e">
        <v>#N/A</v>
        <stp/>
        <stp>P</stp>
        <stp>0</stp>
        <stp>STK</stp>
        <stp>N095660</stp>
        <stp>세션명</stp>
        <stp/>
        <stp/>
        <tr r="S448" s="1"/>
      </tp>
      <tp t="e">
        <v>#N/A</v>
        <stp/>
        <stp>P</stp>
        <stp>0</stp>
        <stp>STK</stp>
        <stp>N095610</stp>
        <stp>세션명</stp>
        <stp/>
        <stp/>
        <tr r="S322" s="1"/>
      </tp>
      <tp t="e">
        <v>#N/A</v>
        <stp/>
        <stp>P</stp>
        <stp>0</stp>
        <stp>STK</stp>
        <stp>N095340</stp>
        <stp>세션명</stp>
        <stp/>
        <stp/>
        <tr r="S201" s="1"/>
      </tp>
      <tp t="e">
        <v>#N/A</v>
        <stp/>
        <stp>P</stp>
        <stp>0</stp>
        <stp>STK</stp>
        <stp>N295310</stp>
        <stp>세션명</stp>
        <stp/>
        <stp/>
        <tr r="S308" s="1"/>
      </tp>
      <tp t="e">
        <v>#N/A</v>
        <stp/>
        <stp>P</stp>
        <stp>0</stp>
        <stp>STK</stp>
        <stp>N294870</stp>
        <stp>세션명</stp>
        <stp/>
        <stp/>
        <tr r="S267" s="1"/>
      </tp>
      <tp t="e">
        <v>#N/A</v>
        <stp/>
        <stp>P</stp>
        <stp>0</stp>
        <stp>STK</stp>
        <stp>N394800</stp>
        <stp>세션명</stp>
        <stp/>
        <stp/>
        <tr r="S498" s="1"/>
      </tp>
      <tp t="e">
        <v>#N/A</v>
        <stp/>
        <stp>P</stp>
        <stp>0</stp>
        <stp>STK</stp>
        <stp>N194480</stp>
        <stp>세션명</stp>
        <stp/>
        <stp/>
        <tr r="S537" s="1"/>
      </tp>
      <tp t="e">
        <v>#N/A</v>
        <stp/>
        <stp>P</stp>
        <stp>0</stp>
        <stp>STK</stp>
        <stp>N094480</stp>
        <stp>세션명</stp>
        <stp/>
        <stp/>
        <tr r="S567" s="1"/>
      </tp>
      <tp t="e">
        <v>#N/A</v>
        <stp/>
        <stp>P</stp>
        <stp>0</stp>
        <stp>STK</stp>
        <stp>N294570</stp>
        <stp>세션명</stp>
        <stp/>
        <stp/>
        <tr r="S650" s="1"/>
      </tp>
      <tp t="e">
        <v>#N/A</v>
        <stp/>
        <stp>P</stp>
        <stp>0</stp>
        <stp>STK</stp>
        <stp>N194700</stp>
        <stp>세션명</stp>
        <stp/>
        <stp/>
        <tr r="S671" s="1"/>
      </tp>
      <tp t="e">
        <v>#N/A</v>
        <stp/>
        <stp>P</stp>
        <stp>0</stp>
        <stp>STK</stp>
        <stp>N094170</stp>
        <stp>세션명</stp>
        <stp/>
        <stp/>
        <tr r="S439" s="1"/>
      </tp>
      <tp t="e">
        <v>#N/A</v>
        <stp/>
        <stp>P</stp>
        <stp>0</stp>
        <stp>STK</stp>
        <stp>N494120</stp>
        <stp>세션명</stp>
        <stp/>
        <stp/>
        <tr r="S529" s="1"/>
      </tp>
      <tp t="e">
        <v>#N/A</v>
        <stp/>
        <stp>P</stp>
        <stp>0</stp>
        <stp>STK</stp>
        <stp>N394280</stp>
        <stp>세션명</stp>
        <stp/>
        <stp/>
        <tr r="S627" s="1"/>
      </tp>
      <tp t="e">
        <v>#N/A</v>
        <stp/>
        <stp>P</stp>
        <stp>0</stp>
        <stp>STK</stp>
        <stp>N094360</stp>
        <stp>세션명</stp>
        <stp/>
        <stp/>
        <tr r="S559" s="1"/>
      </tp>
      <tp t="e">
        <v>#N/A</v>
        <stp/>
        <stp>P</stp>
        <stp>0</stp>
        <stp>STK</stp>
        <stp>N194370</stp>
        <stp>세션명</stp>
        <stp/>
        <stp/>
        <tr r="S602" s="1"/>
      </tp>
      <tp t="e">
        <v>#N/A</v>
        <stp/>
        <stp>P</stp>
        <stp>0</stp>
        <stp>STK</stp>
        <stp>N000990</stp>
        <stp>체결시간</stp>
        <stp/>
        <stp/>
        <tr r="T128" s="1"/>
      </tp>
      <tp t="e">
        <v>#N/A</v>
        <stp/>
        <stp>P</stp>
        <stp>0</stp>
        <stp>STK</stp>
        <stp>N110990</stp>
        <stp>체결시간</stp>
        <stp/>
        <stp/>
        <tr r="T586" s="1"/>
      </tp>
      <tp t="e">
        <v>#N/A</v>
        <stp/>
        <stp>P</stp>
        <stp>0</stp>
        <stp>STK</stp>
        <stp>N060980</stp>
        <stp>체결시간</stp>
        <stp/>
        <stp/>
        <tr r="T508" s="1"/>
      </tp>
      <tp t="e">
        <v>#N/A</v>
        <stp/>
        <stp>P</stp>
        <stp>0</stp>
        <stp>STK</stp>
        <stp>N460930</stp>
        <stp>체결시간</stp>
        <stp/>
        <stp/>
        <tr r="T399" s="1"/>
      </tp>
      <tp t="e">
        <v>#N/A</v>
        <stp/>
        <stp>P</stp>
        <stp>0</stp>
        <stp>STK</stp>
        <stp>N010950</stp>
        <stp>체결시간</stp>
        <stp/>
        <stp/>
        <tr r="T72" s="1"/>
      </tp>
      <tp t="e">
        <v>#N/A</v>
        <stp/>
        <stp>P</stp>
        <stp>0</stp>
        <stp>STK</stp>
        <stp>N450950</stp>
        <stp>체결시간</stp>
        <stp/>
        <stp/>
        <tr r="T501" s="1"/>
      </tp>
      <tp t="e">
        <v>#N/A</v>
        <stp/>
        <stp>P</stp>
        <stp>0</stp>
        <stp>STK</stp>
        <stp>N170900</stp>
        <stp>체결시간</stp>
        <stp/>
        <stp/>
        <tr r="T499" s="1"/>
      </tp>
      <tp t="e">
        <v>#N/A</v>
        <stp/>
        <stp>P</stp>
        <stp>0</stp>
        <stp>STK</stp>
        <stp>N0009K0</stp>
        <stp>체결시간</stp>
        <stp/>
        <stp/>
        <tr r="T146" s="1"/>
      </tp>
      <tp t="e">
        <v>#N/A</v>
        <stp/>
        <stp>P</stp>
        <stp>0</stp>
        <stp>STK</stp>
        <stp>N200880</stp>
        <stp>체결시간</stp>
        <stp/>
        <stp/>
        <tr r="T506" s="1"/>
      </tp>
      <tp t="e">
        <v>#N/A</v>
        <stp/>
        <stp>P</stp>
        <stp>0</stp>
        <stp>STK</stp>
        <stp>N050890</stp>
        <stp>체결시간</stp>
        <stp/>
        <stp/>
        <tr r="T496" s="1"/>
      </tp>
      <tp t="e">
        <v>#N/A</v>
        <stp/>
        <stp>P</stp>
        <stp>0</stp>
        <stp>STK</stp>
        <stp>N000880</stp>
        <stp>체결시간</stp>
        <stp/>
        <stp/>
        <tr r="T79" s="1"/>
      </tp>
      <tp t="e">
        <v>#N/A</v>
        <stp/>
        <stp>P</stp>
        <stp>0</stp>
        <stp>STK</stp>
        <stp>N140860</stp>
        <stp>체결시간</stp>
        <stp/>
        <stp/>
        <tr r="T241" s="1"/>
      </tp>
      <tp t="e">
        <v>#N/A</v>
        <stp/>
        <stp>P</stp>
        <stp>0</stp>
        <stp>STK</stp>
        <stp>N100840</stp>
        <stp>체결시간</stp>
        <stp/>
        <stp/>
        <tr r="T350" s="1"/>
      </tp>
      <tp t="e">
        <v>#N/A</v>
        <stp/>
        <stp>P</stp>
        <stp>0</stp>
        <stp>STK</stp>
        <stp>N240810</stp>
        <stp>체결시간</stp>
        <stp/>
        <stp/>
        <tr r="T133" s="1"/>
      </tp>
      <tp t="e">
        <v>#N/A</v>
        <stp/>
        <stp>P</stp>
        <stp>0</stp>
        <stp>STK</stp>
        <stp>N460860</stp>
        <stp>체결시간</stp>
        <stp/>
        <stp/>
        <tr r="T536" s="1"/>
      </tp>
      <tp t="e">
        <v>#N/A</v>
        <stp/>
        <stp>P</stp>
        <stp>0</stp>
        <stp>STK</stp>
        <stp>N000810</stp>
        <stp>체결시간</stp>
        <stp/>
        <stp/>
        <tr r="T38" s="1"/>
      </tp>
      <tp t="e">
        <v>#N/A</v>
        <stp/>
        <stp>P</stp>
        <stp>0</stp>
        <stp>STK</stp>
        <stp>N0008Z0</stp>
        <stp>체결시간</stp>
        <stp/>
        <stp/>
        <tr r="T613" s="1"/>
      </tp>
      <tp t="e">
        <v>#N/A</v>
        <stp/>
        <stp>P</stp>
        <stp>0</stp>
        <stp>STK</stp>
        <stp>N380550</stp>
        <stp>체결시간</stp>
        <stp/>
        <stp/>
        <tr r="T663" s="1"/>
      </tp>
      <tp t="e">
        <v>#N/A</v>
        <stp/>
        <stp>P</stp>
        <stp>0</stp>
        <stp>STK</stp>
        <stp>N020560</stp>
        <stp>체결시간</stp>
        <stp/>
        <stp/>
        <tr r="T246" s="1"/>
      </tp>
      <tp t="e">
        <v>#N/A</v>
        <stp/>
        <stp>P</stp>
        <stp>0</stp>
        <stp>STK</stp>
        <stp>N340570</stp>
        <stp>체결시간</stp>
        <stp/>
        <stp/>
        <tr r="T575" s="1"/>
      </tp>
      <tp t="e">
        <v>#N/A</v>
        <stp/>
        <stp>P</stp>
        <stp>0</stp>
        <stp>STK</stp>
        <stp>N030530</stp>
        <stp>체결시간</stp>
        <stp/>
        <stp/>
        <tr r="T149" s="1"/>
      </tp>
      <tp t="e">
        <v>#N/A</v>
        <stp/>
        <stp>P</stp>
        <stp>0</stp>
        <stp>STK</stp>
        <stp>N030520</stp>
        <stp>체결시간</stp>
        <stp/>
        <stp/>
        <tr r="T457" s="1"/>
      </tp>
      <tp t="e">
        <v>#N/A</v>
        <stp/>
        <stp>P</stp>
        <stp>0</stp>
        <stp>STK</stp>
        <stp>N190510</stp>
        <stp>체결시간</stp>
        <stp/>
        <stp/>
        <tr r="T582" s="1"/>
      </tp>
      <tp t="e">
        <v>#N/A</v>
        <stp/>
        <stp>P</stp>
        <stp>0</stp>
        <stp>STK</stp>
        <stp>N000500</stp>
        <stp>체결시간</stp>
        <stp/>
        <stp/>
        <tr r="T252" s="1"/>
      </tp>
      <tp t="e">
        <v>#N/A</v>
        <stp/>
        <stp>P</stp>
        <stp>0</stp>
        <stp>STK</stp>
        <stp>N000490</stp>
        <stp>체결시간</stp>
        <stp/>
        <stp/>
        <tr r="T631" s="1"/>
      </tp>
      <tp t="e">
        <v>#N/A</v>
        <stp/>
        <stp>P</stp>
        <stp>0</stp>
        <stp>STK</stp>
        <stp>N090460</stp>
        <stp>체결시간</stp>
        <stp/>
        <stp/>
        <tr r="T458" s="1"/>
      </tp>
      <tp t="e">
        <v>#N/A</v>
        <stp/>
        <stp>P</stp>
        <stp>0</stp>
        <stp>STK</stp>
        <stp>N090430</stp>
        <stp>체결시간</stp>
        <stp/>
        <stp/>
        <tr r="T93" s="1"/>
      </tp>
      <tp t="e">
        <v>#N/A</v>
        <stp/>
        <stp>P</stp>
        <stp>0</stp>
        <stp>STK</stp>
        <stp>N140410</stp>
        <stp>체결시간</stp>
        <stp/>
        <stp/>
        <tr r="T154" s="1"/>
      </tp>
      <tp t="e">
        <v>#N/A</v>
        <stp/>
        <stp>P</stp>
        <stp>0</stp>
        <stp>STK</stp>
        <stp>N100790</stp>
        <stp>체결시간</stp>
        <stp/>
        <stp/>
        <tr r="T393" s="1"/>
      </tp>
      <tp t="e">
        <v>#N/A</v>
        <stp/>
        <stp>P</stp>
        <stp>0</stp>
        <stp>STK</stp>
        <stp>N010780</stp>
        <stp>체결시간</stp>
        <stp/>
        <stp/>
        <tr r="T398" s="1"/>
      </tp>
      <tp t="e">
        <v>#N/A</v>
        <stp/>
        <stp>P</stp>
        <stp>0</stp>
        <stp>STK</stp>
        <stp>N200710</stp>
        <stp>체결시간</stp>
        <stp/>
        <stp/>
        <tr r="T494" s="1"/>
      </tp>
      <tp t="e">
        <v>#N/A</v>
        <stp/>
        <stp>P</stp>
        <stp>0</stp>
        <stp>STK</stp>
        <stp>N420770</stp>
        <stp>체결시간</stp>
        <stp/>
        <stp/>
        <tr r="T387" s="1"/>
      </tp>
      <tp t="e">
        <v>#N/A</v>
        <stp/>
        <stp>P</stp>
        <stp>0</stp>
        <stp>STK</stp>
        <stp>N000720</stp>
        <stp>체결시간</stp>
        <stp/>
        <stp/>
        <tr r="T68" s="1"/>
      </tp>
      <tp t="e">
        <v>#N/A</v>
        <stp/>
        <stp>P</stp>
        <stp>0</stp>
        <stp>STK</stp>
        <stp>N060720</stp>
        <stp>체결시간</stp>
        <stp/>
        <stp/>
        <tr r="T573" s="1"/>
      </tp>
      <tp t="e">
        <v>#N/A</v>
        <stp/>
        <stp>P</stp>
        <stp>0</stp>
        <stp>STK</stp>
        <stp>N300720</stp>
        <stp>체결시간</stp>
        <stp/>
        <stp/>
        <tr r="T282" s="1"/>
      </tp>
      <tp t="e">
        <v>#N/A</v>
        <stp/>
        <stp>P</stp>
        <stp>0</stp>
        <stp>STK</stp>
        <stp>N0007C0</stp>
        <stp>체결시간</stp>
        <stp/>
        <stp/>
        <tr r="T688" s="1"/>
      </tp>
      <tp t="e">
        <v>#N/A</v>
        <stp/>
        <stp>P</stp>
        <stp>0</stp>
        <stp>STK</stp>
        <stp>N010690</stp>
        <stp>체결시간</stp>
        <stp/>
        <stp/>
        <tr r="T563" s="1"/>
      </tp>
      <tp t="e">
        <v>#N/A</v>
        <stp/>
        <stp>P</stp>
        <stp>0</stp>
        <stp>STK</stp>
        <stp>N290650</stp>
        <stp>체결시간</stp>
        <stp/>
        <stp/>
        <tr r="T269" s="1"/>
      </tp>
      <tp t="e">
        <v>#N/A</v>
        <stp/>
        <stp>P</stp>
        <stp>0</stp>
        <stp>STK</stp>
        <stp>N000670</stp>
        <stp>체결시간</stp>
        <stp/>
        <stp/>
        <tr r="T324" s="1"/>
      </tp>
      <tp t="e">
        <v>#N/A</v>
        <stp/>
        <stp>P</stp>
        <stp>0</stp>
        <stp>STK</stp>
        <stp>N130660</stp>
        <stp>체결시간</stp>
        <stp/>
        <stp/>
        <tr r="T521" s="1"/>
      </tp>
      <tp t="e">
        <v>#N/A</v>
        <stp/>
        <stp>P</stp>
        <stp>0</stp>
        <stp>STK</stp>
        <stp>N000660</stp>
        <stp>체결시간</stp>
        <stp/>
        <stp/>
        <tr r="T10" s="1"/>
      </tp>
      <tp t="e">
        <v>#N/A</v>
        <stp/>
        <stp>P</stp>
        <stp>0</stp>
        <stp>STK</stp>
        <stp>N180640</stp>
        <stp>체결시간</stp>
        <stp/>
        <stp/>
        <tr r="T83" s="1"/>
      </tp>
      <tp t="e">
        <v>#N/A</v>
        <stp/>
        <stp>P</stp>
        <stp>0</stp>
        <stp>STK</stp>
        <stp>N200670</stp>
        <stp>체결시간</stp>
        <stp/>
        <stp/>
        <tr r="T510" s="1"/>
      </tp>
      <tp t="e">
        <v>#N/A</v>
        <stp/>
        <stp>P</stp>
        <stp>0</stp>
        <stp>STK</stp>
        <stp>N000640</stp>
        <stp>체결시간</stp>
        <stp/>
        <stp/>
        <tr r="T397" s="1"/>
      </tp>
      <tp t="e">
        <v>#N/A</v>
        <stp/>
        <stp>P</stp>
        <stp>0</stp>
        <stp>STK</stp>
        <stp>N270660</stp>
        <stp>체결시간</stp>
        <stp/>
        <stp/>
        <tr r="T542" s="1"/>
      </tp>
      <tp t="e">
        <v>#N/A</v>
        <stp/>
        <stp>P</stp>
        <stp>0</stp>
        <stp>STK</stp>
        <stp>N030610</stp>
        <stp>체결시간</stp>
        <stp/>
        <stp/>
        <tr r="T289" s="1"/>
      </tp>
      <tp t="e">
        <v>#N/A</v>
        <stp/>
        <stp>P</stp>
        <stp>0</stp>
        <stp>STK</stp>
        <stp>N030190</stp>
        <stp>체결시간</stp>
        <stp/>
        <stp/>
        <tr r="T317" s="1"/>
      </tp>
      <tp t="e">
        <v>#N/A</v>
        <stp/>
        <stp>P</stp>
        <stp>0</stp>
        <stp>STK</stp>
        <stp>N160190</stp>
        <stp>체결시간</stp>
        <stp/>
        <stp/>
        <tr r="T193" s="1"/>
      </tp>
      <tp t="e">
        <v>#N/A</v>
        <stp/>
        <stp>P</stp>
        <stp>0</stp>
        <stp>STK</stp>
        <stp>N000150</stp>
        <stp>체결시간</stp>
        <stp/>
        <stp/>
        <tr r="T64" s="1"/>
      </tp>
      <tp t="e">
        <v>#N/A</v>
        <stp/>
        <stp>P</stp>
        <stp>0</stp>
        <stp>STK</stp>
        <stp>N020150</stp>
        <stp>체결시간</stp>
        <stp/>
        <stp/>
        <tr r="T228" s="1"/>
      </tp>
      <tp t="e">
        <v>#N/A</v>
        <stp/>
        <stp>P</stp>
        <stp>0</stp>
        <stp>STK</stp>
        <stp>N010140</stp>
        <stp>체결시간</stp>
        <stp/>
        <stp/>
        <tr r="T33" s="1"/>
      </tp>
      <tp t="e">
        <v>#N/A</v>
        <stp/>
        <stp>P</stp>
        <stp>0</stp>
        <stp>STK</stp>
        <stp>N010130</stp>
        <stp>체결시간</stp>
        <stp/>
        <stp/>
        <tr r="T28" s="1"/>
      </tp>
      <tp t="e">
        <v>#N/A</v>
        <stp/>
        <stp>P</stp>
        <stp>0</stp>
        <stp>STK</stp>
        <stp>N000120</stp>
        <stp>체결시간</stp>
        <stp/>
        <stp/>
        <tr r="T197" s="1"/>
      </tp>
      <tp t="e">
        <v>#N/A</v>
        <stp/>
        <stp>P</stp>
        <stp>0</stp>
        <stp>STK</stp>
        <stp>N010120</stp>
        <stp>체결시간</stp>
        <stp/>
        <stp/>
        <tr r="T58" s="1"/>
      </tp>
      <tp t="e">
        <v>#N/A</v>
        <stp/>
        <stp>P</stp>
        <stp>0</stp>
        <stp>STK</stp>
        <stp>N220100</stp>
        <stp>체결시간</stp>
        <stp/>
        <stp/>
        <tr r="T461" s="1"/>
      </tp>
      <tp t="e">
        <v>#N/A</v>
        <stp/>
        <stp>P</stp>
        <stp>0</stp>
        <stp>STK</stp>
        <stp>N200130</stp>
        <stp>체결시간</stp>
        <stp/>
        <stp/>
        <tr r="T565" s="1"/>
      </tp>
      <tp t="e">
        <v>#N/A</v>
        <stp/>
        <stp>P</stp>
        <stp>0</stp>
        <stp>STK</stp>
        <stp>N000100</stp>
        <stp>체결시간</stp>
        <stp/>
        <stp/>
        <tr r="T87" s="1"/>
      </tp>
      <tp t="e">
        <v>#N/A</v>
        <stp/>
        <stp>P</stp>
        <stp>0</stp>
        <stp>STK</stp>
        <stp>N120110</stp>
        <stp>체결시간</stp>
        <stp/>
        <stp/>
        <tr r="T280" s="1"/>
      </tp>
      <tp t="e">
        <v>#N/A</v>
        <stp/>
        <stp>P</stp>
        <stp>0</stp>
        <stp>STK</stp>
        <stp>N450080</stp>
        <stp>체결시간</stp>
        <stp/>
        <stp/>
        <tr r="T124" s="1"/>
      </tp>
      <tp t="e">
        <v>#N/A</v>
        <stp/>
        <stp>P</stp>
        <stp>0</stp>
        <stp>STK</stp>
        <stp>N300080</stp>
        <stp>체결시간</stp>
        <stp/>
        <stp/>
        <tr r="T665" s="1"/>
      </tp>
      <tp t="e">
        <v>#N/A</v>
        <stp/>
        <stp>P</stp>
        <stp>0</stp>
        <stp>STK</stp>
        <stp>N000080</stp>
        <stp>체결시간</stp>
        <stp/>
        <stp/>
        <tr r="T277" s="1"/>
      </tp>
      <tp t="e">
        <v>#N/A</v>
        <stp/>
        <stp>P</stp>
        <stp>0</stp>
        <stp>STK</stp>
        <stp>N100090</stp>
        <stp>체결시간</stp>
        <stp/>
        <stp/>
        <tr r="T285" s="1"/>
      </tp>
      <tp t="e">
        <v>#N/A</v>
        <stp/>
        <stp>P</stp>
        <stp>0</stp>
        <stp>STK</stp>
        <stp>N000070</stp>
        <stp>체결시간</stp>
        <stp/>
        <stp/>
        <tr r="T505" s="1"/>
      </tp>
      <tp t="e">
        <v>#N/A</v>
        <stp/>
        <stp>P</stp>
        <stp>0</stp>
        <stp>STK</stp>
        <stp>N010060</stp>
        <stp>체결시간</stp>
        <stp/>
        <stp/>
        <tr r="T202" s="1"/>
      </tp>
      <tp t="e">
        <v>#N/A</v>
        <stp/>
        <stp>P</stp>
        <stp>0</stp>
        <stp>STK</stp>
        <stp>N020000</stp>
        <stp>체결시간</stp>
        <stp/>
        <stp/>
        <tr r="T587" s="1"/>
      </tp>
      <tp t="e">
        <v>#N/A</v>
        <stp/>
        <stp>P</stp>
        <stp>0</stp>
        <stp>STK</stp>
        <stp>N030000</stp>
        <stp>체결시간</stp>
        <stp/>
        <stp/>
        <tr r="T187" s="1"/>
      </tp>
      <tp t="e">
        <v>#N/A</v>
        <stp/>
        <stp>P</stp>
        <stp>0</stp>
        <stp>STK</stp>
        <stp>N060370</stp>
        <stp>체결시간</stp>
        <stp/>
        <stp/>
        <tr r="T256" s="1"/>
      </tp>
      <tp t="e">
        <v>#N/A</v>
        <stp/>
        <stp>P</stp>
        <stp>0</stp>
        <stp>STK</stp>
        <stp>N090360</stp>
        <stp>체결시간</stp>
        <stp/>
        <stp/>
        <tr r="T332" s="1"/>
      </tp>
      <tp t="e">
        <v>#N/A</v>
        <stp/>
        <stp>P</stp>
        <stp>0</stp>
        <stp>STK</stp>
        <stp>N280360</stp>
        <stp>체결시간</stp>
        <stp/>
        <stp/>
        <tr r="T310" s="1"/>
      </tp>
      <tp t="e">
        <v>#N/A</v>
        <stp/>
        <stp>P</stp>
        <stp>0</stp>
        <stp>STK</stp>
        <stp>N230360</stp>
        <stp>체결시간</stp>
        <stp/>
        <stp/>
        <tr r="T485" s="1"/>
      </tp>
      <tp t="e">
        <v>#N/A</v>
        <stp/>
        <stp>P</stp>
        <stp>0</stp>
        <stp>STK</stp>
        <stp>N000320</stp>
        <stp>체결시간</stp>
        <stp/>
        <stp/>
        <tr r="T657" s="1"/>
      </tp>
      <tp t="e">
        <v>#N/A</v>
        <stp/>
        <stp>P</stp>
        <stp>0</stp>
        <stp>STK</stp>
        <stp>N060280</stp>
        <stp>체결시간</stp>
        <stp/>
        <stp/>
        <tr r="T349" s="1"/>
      </tp>
      <tp t="e">
        <v>#N/A</v>
        <stp/>
        <stp>P</stp>
        <stp>0</stp>
        <stp>STK</stp>
        <stp>N000270</stp>
        <stp>체결시간</stp>
        <stp/>
        <stp/>
        <tr r="T14" s="1"/>
      </tp>
      <tp t="e">
        <v>#N/A</v>
        <stp/>
        <stp>P</stp>
        <stp>0</stp>
        <stp>STK</stp>
        <stp>N000250</stp>
        <stp>체결시간</stp>
        <stp/>
        <stp/>
        <tr r="T100" s="1"/>
      </tp>
      <tp t="e">
        <v>#N/A</v>
        <stp/>
        <stp>P</stp>
        <stp>0</stp>
        <stp>STK</stp>
        <stp>N060250</stp>
        <stp>체결시간</stp>
        <stp/>
        <stp/>
        <tr r="T440" s="1"/>
      </tp>
      <tp t="e">
        <v>#N/A</v>
        <stp/>
        <stp>P</stp>
        <stp>0</stp>
        <stp>STK</stp>
        <stp>N000240</stp>
        <stp>체결시간</stp>
        <stp/>
        <stp/>
        <tr r="T174" s="1"/>
      </tp>
      <tp t="e">
        <v>#N/A</v>
        <stp/>
        <stp>P</stp>
        <stp>0</stp>
        <stp>STK</stp>
        <stp>N080220</stp>
        <stp>체결시간</stp>
        <stp/>
        <stp/>
        <tr r="T307" s="1"/>
      </tp>
      <tp t="e">
        <v>#N/A</v>
        <stp/>
        <stp>P</stp>
        <stp>0</stp>
        <stp>STK</stp>
        <stp>N310210</stp>
        <stp>체결시간</stp>
        <stp/>
        <stp/>
        <tr r="T148" s="1"/>
      </tp>
      <tp t="e">
        <v>#N/A</v>
        <stp/>
        <stp>P</stp>
        <stp>0</stp>
        <stp>STK</stp>
        <stp>N000210</stp>
        <stp>체결시간</stp>
        <stp/>
        <stp/>
        <tr r="T368" s="1"/>
      </tp>
      <tp t="e">
        <v>#N/A</v>
        <stp/>
        <stp>P</stp>
        <stp>0</stp>
        <stp>STK</stp>
        <stp>N030200</stp>
        <stp>체결시간</stp>
        <stp/>
        <stp/>
        <tr r="T62" s="1"/>
      </tp>
      <tp t="e">
        <v>#N/A</v>
        <stp/>
        <stp>P</stp>
        <stp>0</stp>
        <stp>STK</stp>
        <stp>N089890</stp>
        <stp>세션명</stp>
        <stp/>
        <stp/>
        <tr r="S523" s="1"/>
      </tp>
      <tp t="e">
        <v>#N/A</v>
        <stp/>
        <stp>P</stp>
        <stp>0</stp>
        <stp>STK</stp>
        <stp>N089860</stp>
        <stp>세션명</stp>
        <stp/>
        <stp/>
        <tr r="S300" s="1"/>
      </tp>
      <tp t="e">
        <v>#N/A</v>
        <stp/>
        <stp>P</stp>
        <stp>0</stp>
        <stp>STK</stp>
        <stp>N089980</stp>
        <stp>세션명</stp>
        <stp/>
        <stp/>
        <tr r="S681" s="1"/>
      </tp>
      <tp t="e">
        <v>#N/A</v>
        <stp/>
        <stp>P</stp>
        <stp>0</stp>
        <stp>STK</stp>
        <stp>N089970</stp>
        <stp>세션명</stp>
        <stp/>
        <stp/>
        <tr r="S409" s="1"/>
      </tp>
      <tp t="e">
        <v>#N/A</v>
        <stp/>
        <stp>P</stp>
        <stp>0</stp>
        <stp>STK</stp>
        <stp>N389470</stp>
        <stp>세션명</stp>
        <stp/>
        <stp/>
        <tr r="S329" s="1"/>
      </tp>
      <tp t="e">
        <v>#N/A</v>
        <stp/>
        <stp>P</stp>
        <stp>0</stp>
        <stp>STK</stp>
        <stp>N389650</stp>
        <stp>세션명</stp>
        <stp/>
        <stp/>
        <tr r="S430" s="1"/>
      </tp>
      <tp t="e">
        <v>#N/A</v>
        <stp/>
        <stp>P</stp>
        <stp>0</stp>
        <stp>STK</stp>
        <stp>N489790</stp>
        <stp>세션명</stp>
        <stp/>
        <stp/>
        <tr r="S173" s="1"/>
      </tp>
      <tp t="e">
        <v>#N/A</v>
        <stp/>
        <stp>P</stp>
        <stp>0</stp>
        <stp>STK</stp>
        <stp>N089030</stp>
        <stp>세션명</stp>
        <stp/>
        <stp/>
        <tr r="S250" s="1"/>
      </tp>
      <tp t="e">
        <v>#N/A</v>
        <stp/>
        <stp>P</stp>
        <stp>0</stp>
        <stp>STK</stp>
        <stp>N089010</stp>
        <stp>세션명</stp>
        <stp/>
        <stp/>
        <tr r="S466" s="1"/>
      </tp>
      <tp t="e">
        <v>#N/A</v>
        <stp/>
        <stp>P</stp>
        <stp>0</stp>
        <stp>STK</stp>
        <stp>N389260</stp>
        <stp>세션명</stp>
        <stp/>
        <stp/>
        <tr r="S615" s="1"/>
      </tp>
      <tp t="e">
        <v>#N/A</v>
        <stp/>
        <stp>P</stp>
        <stp>0</stp>
        <stp>STK</stp>
        <stp>N189300</stp>
        <stp>세션명</stp>
        <stp/>
        <stp/>
        <tr r="S359" s="1"/>
      </tp>
      <tp t="e">
        <v>#N/A</v>
        <stp/>
        <stp>P</stp>
        <stp>0</stp>
        <stp>STK</stp>
        <stp>N388720</stp>
        <stp>세션명</stp>
        <stp/>
        <stp/>
        <tr r="S286" s="1"/>
      </tp>
      <tp t="e">
        <v>#N/A</v>
        <stp/>
        <stp>P</stp>
        <stp>0</stp>
        <stp>STK</stp>
        <stp>N488280</stp>
        <stp>세션명</stp>
        <stp/>
        <stp/>
        <tr r="S690" s="1"/>
      </tp>
      <tp t="e">
        <v>#N/A</v>
        <stp/>
        <stp>P</stp>
        <stp>0</stp>
        <stp>STK</stp>
        <stp>N388210</stp>
        <stp>세션명</stp>
        <stp/>
        <stp/>
        <tr r="S305" s="1"/>
      </tp>
      <tp t="e">
        <v>#N/A</v>
        <stp/>
        <stp>P</stp>
        <stp>0</stp>
        <stp>STK</stp>
        <stp>N088350</stp>
        <stp>세션명</stp>
        <stp/>
        <stp/>
        <tr r="S164" s="1"/>
      </tp>
      <tp t="e">
        <v>#N/A</v>
        <stp/>
        <stp>P</stp>
        <stp>0</stp>
        <stp>STK</stp>
        <stp>N383800</stp>
        <stp>세션명</stp>
        <stp/>
        <stp/>
        <tr r="S420" s="1"/>
      </tp>
      <tp t="e">
        <v>#N/A</v>
        <stp/>
        <stp>P</stp>
        <stp>0</stp>
        <stp>STK</stp>
        <stp>N083450</stp>
        <stp>세션명</stp>
        <stp/>
        <stp/>
        <tr r="S480" s="1"/>
      </tp>
      <tp t="e">
        <v>#N/A</v>
        <stp/>
        <stp>P</stp>
        <stp>0</stp>
        <stp>STK</stp>
        <stp>N083650</stp>
        <stp>세션명</stp>
        <stp/>
        <stp/>
        <tr r="S215" s="1"/>
      </tp>
      <tp t="e">
        <v>#N/A</v>
        <stp/>
        <stp>P</stp>
        <stp>0</stp>
        <stp>STK</stp>
        <stp>N483650</stp>
        <stp>세션명</stp>
        <stp/>
        <stp/>
        <tr r="S236" s="1"/>
      </tp>
      <tp t="e">
        <v>#N/A</v>
        <stp/>
        <stp>P</stp>
        <stp>0</stp>
        <stp>STK</stp>
        <stp>N183190</stp>
        <stp>세션명</stp>
        <stp/>
        <stp/>
        <tr r="S516" s="1"/>
      </tp>
      <tp t="e">
        <v>#N/A</v>
        <stp/>
        <stp>P</stp>
        <stp>0</stp>
        <stp>STK</stp>
        <stp>N383220</stp>
        <stp>세션명</stp>
        <stp/>
        <stp/>
        <tr r="S178" s="1"/>
      </tp>
      <tp t="e">
        <v>#N/A</v>
        <stp/>
        <stp>P</stp>
        <stp>0</stp>
        <stp>STK</stp>
        <stp>N383310</stp>
        <stp>세션명</stp>
        <stp/>
        <stp/>
        <tr r="S479" s="1"/>
      </tp>
      <tp t="e">
        <v>#N/A</v>
        <stp/>
        <stp>P</stp>
        <stp>0</stp>
        <stp>STK</stp>
        <stp>N183300</stp>
        <stp>세션명</stp>
        <stp/>
        <stp/>
        <tr r="S306" s="1"/>
      </tp>
      <tp t="e">
        <v>#N/A</v>
        <stp/>
        <stp>P</stp>
        <stp>0</stp>
        <stp>STK</stp>
        <stp>N382900</stp>
        <stp>세션명</stp>
        <stp/>
        <stp/>
        <tr r="S654" s="1"/>
      </tp>
      <tp t="e">
        <v>#N/A</v>
        <stp/>
        <stp>P</stp>
        <stp>0</stp>
        <stp>STK</stp>
        <stp>N082920</stp>
        <stp>세션명</stp>
        <stp/>
        <stp/>
        <tr r="S331" s="1"/>
      </tp>
      <tp t="e">
        <v>#N/A</v>
        <stp/>
        <stp>P</stp>
        <stp>0</stp>
        <stp>STK</stp>
        <stp>N082740</stp>
        <stp>세션명</stp>
        <stp/>
        <stp/>
        <tr r="S119" s="1"/>
      </tp>
      <tp t="e">
        <v>#N/A</v>
        <stp/>
        <stp>P</stp>
        <stp>0</stp>
        <stp>STK</stp>
        <stp>N082270</stp>
        <stp>세션명</stp>
        <stp/>
        <stp/>
        <tr r="S316" s="1"/>
      </tp>
      <tp t="e">
        <v>#N/A</v>
        <stp/>
        <stp>P</stp>
        <stp>0</stp>
        <stp>STK</stp>
        <stp>N282330</stp>
        <stp>세션명</stp>
        <stp/>
        <stp/>
        <tr r="S213" s="1"/>
      </tp>
      <tp t="e">
        <v>#N/A</v>
        <stp/>
        <stp>P</stp>
        <stp>0</stp>
        <stp>STK</stp>
        <stp>N281820</stp>
        <stp>세션명</stp>
        <stp/>
        <stp/>
        <tr r="S353" s="1"/>
      </tp>
      <tp t="e">
        <v>#N/A</v>
        <stp/>
        <stp>P</stp>
        <stp>0</stp>
        <stp>STK</stp>
        <stp>N381970</stp>
        <stp>세션명</stp>
        <stp/>
        <stp/>
        <tr r="S379" s="1"/>
      </tp>
      <tp t="e">
        <v>#N/A</v>
        <stp/>
        <stp>P</stp>
        <stp>0</stp>
        <stp>STK</stp>
        <stp>N081660</stp>
        <stp>세션명</stp>
        <stp/>
        <stp/>
        <tr r="S192" s="1"/>
      </tp>
      <tp t="e">
        <v>#N/A</v>
        <stp/>
        <stp>P</stp>
        <stp>0</stp>
        <stp>STK</stp>
        <stp>N281740</stp>
        <stp>세션명</stp>
        <stp/>
        <stp/>
        <tr r="S291" s="1"/>
      </tp>
      <tp t="e">
        <v>#N/A</v>
        <stp/>
        <stp>P</stp>
        <stp>0</stp>
        <stp>STK</stp>
        <stp>N181710</stp>
        <stp>세션명</stp>
        <stp/>
        <stp/>
        <tr r="S319" s="1"/>
      </tp>
      <tp t="e">
        <v>#N/A</v>
        <stp/>
        <stp>P</stp>
        <stp>0</stp>
        <stp>STK</stp>
        <stp>N481070</stp>
        <stp>세션명</stp>
        <stp/>
        <stp/>
        <tr r="S591" s="1"/>
      </tp>
      <tp t="e">
        <v>#N/A</v>
        <stp/>
        <stp>P</stp>
        <stp>0</stp>
        <stp>STK</stp>
        <stp>N380550</stp>
        <stp>세션명</stp>
        <stp/>
        <stp/>
        <tr r="S663" s="1"/>
      </tp>
      <tp t="e">
        <v>#N/A</v>
        <stp/>
        <stp>P</stp>
        <stp>0</stp>
        <stp>STK</stp>
        <stp>N180640</stp>
        <stp>세션명</stp>
        <stp/>
        <stp/>
        <tr r="S83" s="1"/>
      </tp>
      <tp t="e">
        <v>#N/A</v>
        <stp/>
        <stp>P</stp>
        <stp>0</stp>
        <stp>STK</stp>
        <stp>N080220</stp>
        <stp>세션명</stp>
        <stp/>
        <stp/>
        <tr r="S307" s="1"/>
      </tp>
      <tp t="e">
        <v>#N/A</v>
        <stp/>
        <stp>P</stp>
        <stp>0</stp>
        <stp>STK</stp>
        <stp>N280360</stp>
        <stp>세션명</stp>
        <stp/>
        <stp/>
        <tr r="S310" s="1"/>
      </tp>
      <tp t="e">
        <v>#N/A</v>
        <stp/>
        <stp>P</stp>
        <stp>0</stp>
        <stp>STK</stp>
        <stp>N287840</stp>
        <stp>세션명</stp>
        <stp/>
        <stp/>
        <tr r="S383" s="1"/>
      </tp>
      <tp t="e">
        <v>#N/A</v>
        <stp/>
        <stp>P</stp>
        <stp>0</stp>
        <stp>STK</stp>
        <stp>N087010</stp>
        <stp>세션명</stp>
        <stp/>
        <stp/>
        <tr r="S111" s="1"/>
      </tp>
      <tp t="e">
        <v>#N/A</v>
        <stp/>
        <stp>P</stp>
        <stp>0</stp>
        <stp>STK</stp>
        <stp>N486990</stp>
        <stp>세션명</stp>
        <stp/>
        <stp/>
        <tr r="S318" s="1"/>
      </tp>
      <tp t="e">
        <v>#N/A</v>
        <stp/>
        <stp>P</stp>
        <stp>0</stp>
        <stp>STK</stp>
        <stp>N286940</stp>
        <stp>세션명</stp>
        <stp/>
        <stp/>
        <tr r="S596" s="1"/>
      </tp>
      <tp t="e">
        <v>#N/A</v>
        <stp/>
        <stp>P</stp>
        <stp>0</stp>
        <stp>STK</stp>
        <stp>N086900</stp>
        <stp>세션명</stp>
        <stp/>
        <stp/>
        <tr r="S341" s="1"/>
      </tp>
      <tp t="e">
        <v>#N/A</v>
        <stp/>
        <stp>P</stp>
        <stp>0</stp>
        <stp>STK</stp>
        <stp>N086450</stp>
        <stp>세션명</stp>
        <stp/>
        <stp/>
        <tr r="S371" s="1"/>
      </tp>
      <tp t="e">
        <v>#N/A</v>
        <stp/>
        <stp>P</stp>
        <stp>0</stp>
        <stp>STK</stp>
        <stp>N086520</stp>
        <stp>세션명</stp>
        <stp/>
        <stp/>
        <tr r="S67" s="1"/>
      </tp>
      <tp t="e">
        <v>#N/A</v>
        <stp/>
        <stp>P</stp>
        <stp>0</stp>
        <stp>STK</stp>
        <stp>N086790</stp>
        <stp>세션명</stp>
        <stp/>
        <stp/>
        <tr r="S32" s="1"/>
      </tp>
      <tp t="e">
        <v>#N/A</v>
        <stp/>
        <stp>P</stp>
        <stp>0</stp>
        <stp>STK</stp>
        <stp>N086280</stp>
        <stp>세션명</stp>
        <stp/>
        <stp/>
        <tr r="S39" s="1"/>
      </tp>
      <tp t="e">
        <v>#N/A</v>
        <stp/>
        <stp>P</stp>
        <stp>0</stp>
        <stp>STK</stp>
        <stp>N086390</stp>
        <stp>세션명</stp>
        <stp/>
        <stp/>
        <tr r="S677" s="1"/>
      </tp>
      <tp t="e">
        <v>#N/A</v>
        <stp/>
        <stp>P</stp>
        <stp>0</stp>
        <stp>STK</stp>
        <stp>N085660</stp>
        <stp>세션명</stp>
        <stp/>
        <stp/>
        <tr r="S271" s="1"/>
      </tp>
      <tp t="e">
        <v>#N/A</v>
        <stp/>
        <stp>P</stp>
        <stp>0</stp>
        <stp>STK</stp>
        <stp>N085620</stp>
        <stp>세션명</stp>
        <stp/>
        <stp/>
        <tr r="S244" s="1"/>
      </tp>
      <tp t="e">
        <v>#N/A</v>
        <stp/>
        <stp>P</stp>
        <stp>0</stp>
        <stp>STK</stp>
        <stp>N185750</stp>
        <stp>세션명</stp>
        <stp/>
        <stp/>
        <tr r="S293" s="1"/>
      </tp>
      <tp t="e">
        <v>#N/A</v>
        <stp/>
        <stp>P</stp>
        <stp>0</stp>
        <stp>STK</stp>
        <stp>N285130</stp>
        <stp>세션명</stp>
        <stp/>
        <stp/>
        <tr r="S295" s="1"/>
      </tp>
      <tp t="e">
        <v>#N/A</v>
        <stp/>
        <stp>P</stp>
        <stp>0</stp>
        <stp>STK</stp>
        <stp>N084850</stp>
        <stp>세션명</stp>
        <stp/>
        <stp/>
        <tr r="S698" s="1"/>
      </tp>
      <tp t="e">
        <v>#N/A</v>
        <stp/>
        <stp>P</stp>
        <stp>0</stp>
        <stp>STK</stp>
        <stp>N484810</stp>
        <stp>세션명</stp>
        <stp/>
        <stp/>
        <tr r="S562" s="1"/>
      </tp>
      <tp t="e">
        <v>#N/A</v>
        <stp/>
        <stp>P</stp>
        <stp>0</stp>
        <stp>STK</stp>
        <stp>N484870</stp>
        <stp>세션명</stp>
        <stp/>
        <stp/>
        <tr r="S259" s="1"/>
      </tp>
      <tp t="e">
        <v>#N/A</v>
        <stp/>
        <stp>P</stp>
        <stp>0</stp>
        <stp>STK</stp>
        <stp>N484590</stp>
        <stp>세션명</stp>
        <stp/>
        <stp/>
        <tr r="S453" s="1"/>
      </tp>
      <tp t="e">
        <v>#N/A</v>
        <stp/>
        <stp>P</stp>
        <stp>0</stp>
        <stp>STK</stp>
        <stp>N084690</stp>
        <stp>세션명</stp>
        <stp/>
        <stp/>
        <tr r="S590" s="1"/>
      </tp>
      <tp t="e">
        <v>#N/A</v>
        <stp/>
        <stp>P</stp>
        <stp>0</stp>
        <stp>STK</stp>
        <stp>N284740</stp>
        <stp>세션명</stp>
        <stp/>
        <stp/>
        <tr r="S473" s="1"/>
      </tp>
      <tp t="e">
        <v>#N/A</v>
        <stp/>
        <stp>P</stp>
        <stp>0</stp>
        <stp>STK</stp>
        <stp>N084010</stp>
        <stp>세션명</stp>
        <stp/>
        <stp/>
        <tr r="S687" s="1"/>
      </tp>
      <tp t="e">
        <v>#N/A</v>
        <stp/>
        <stp>P</stp>
        <stp>0</stp>
        <stp>STK</stp>
        <stp>N484120</stp>
        <stp>세션명</stp>
        <stp/>
        <stp/>
        <tr r="S674" s="1"/>
      </tp>
      <tp t="e">
        <v>#N/A</v>
        <stp/>
        <stp>P</stp>
        <stp>0</stp>
        <stp>STK</stp>
        <stp>N084110</stp>
        <stp>세션명</stp>
        <stp/>
        <stp/>
        <tr r="S426" s="1"/>
      </tp>
      <tp t="e">
        <v>#N/A</v>
        <stp/>
        <stp>P</stp>
        <stp>0</stp>
        <stp>STK</stp>
        <stp>N084370</stp>
        <stp>세션명</stp>
        <stp/>
        <stp/>
        <tr r="S222" s="1"/>
      </tp>
      <tp t="e">
        <v>#N/A</v>
        <stp/>
        <stp>P</stp>
        <stp>0</stp>
        <stp>STK</stp>
        <stp>N473980</stp>
        <stp>체결시간</stp>
        <stp/>
        <stp/>
        <tr r="T649" s="1"/>
      </tp>
      <tp t="e">
        <v>#N/A</v>
        <stp/>
        <stp>P</stp>
        <stp>0</stp>
        <stp>STK</stp>
        <stp>N003960</stp>
        <stp>체결시간</stp>
        <stp/>
        <stp/>
        <tr r="T601" s="1"/>
      </tp>
      <tp t="e">
        <v>#N/A</v>
        <stp/>
        <stp>P</stp>
        <stp>0</stp>
        <stp>STK</stp>
        <stp>N003920</stp>
        <stp>체결시간</stp>
        <stp/>
        <stp/>
        <tr r="T620" s="1"/>
      </tp>
      <tp t="e">
        <v>#N/A</v>
        <stp/>
        <stp>P</stp>
        <stp>0</stp>
        <stp>STK</stp>
        <stp>N013890</stp>
        <stp>체결시간</stp>
        <stp/>
        <stp/>
        <tr r="T656" s="1"/>
      </tp>
      <tp t="e">
        <v>#N/A</v>
        <stp/>
        <stp>P</stp>
        <stp>0</stp>
        <stp>STK</stp>
        <stp>N003850</stp>
        <stp>체결시간</stp>
        <stp/>
        <stp/>
        <tr r="T369" s="1"/>
      </tp>
      <tp t="e">
        <v>#N/A</v>
        <stp/>
        <stp>P</stp>
        <stp>0</stp>
        <stp>STK</stp>
        <stp>N383800</stp>
        <stp>체결시간</stp>
        <stp/>
        <stp/>
        <tr r="T420" s="1"/>
      </tp>
      <tp t="e">
        <v>#N/A</v>
        <stp/>
        <stp>P</stp>
        <stp>0</stp>
        <stp>STK</stp>
        <stp>N403870</stp>
        <stp>체결시간</stp>
        <stp/>
        <stp/>
        <tr r="T160" s="1"/>
      </tp>
      <tp t="e">
        <v>#N/A</v>
        <stp/>
        <stp>P</stp>
        <stp>0</stp>
        <stp>STK</stp>
        <stp>N403850</stp>
        <stp>체결시간</stp>
        <stp/>
        <stp/>
        <tr r="T581" s="1"/>
      </tp>
      <tp t="e">
        <v>#N/A</v>
        <stp/>
        <stp>P</stp>
        <stp>0</stp>
        <stp>STK</stp>
        <stp>N053800</stp>
        <stp>체결시간</stp>
        <stp/>
        <stp/>
        <tr r="T404" s="1"/>
      </tp>
      <tp t="e">
        <v>#N/A</v>
        <stp/>
        <stp>P</stp>
        <stp>0</stp>
        <stp>STK</stp>
        <stp>N253590</stp>
        <stp>체결시간</stp>
        <stp/>
        <stp/>
        <tr r="T477" s="1"/>
      </tp>
      <tp t="e">
        <v>#N/A</v>
        <stp/>
        <stp>P</stp>
        <stp>0</stp>
        <stp>STK</stp>
        <stp>N023590</stp>
        <stp>체결시간</stp>
        <stp/>
        <stp/>
        <tr r="T225" s="1"/>
      </tp>
      <tp t="e">
        <v>#N/A</v>
        <stp/>
        <stp>P</stp>
        <stp>0</stp>
        <stp>STK</stp>
        <stp>N103590</stp>
        <stp>체결시간</stp>
        <stp/>
        <stp/>
        <tr r="T157" s="1"/>
      </tp>
      <tp t="e">
        <v>#N/A</v>
        <stp/>
        <stp>P</stp>
        <stp>0</stp>
        <stp>STK</stp>
        <stp>N003570</stp>
        <stp>체결시간</stp>
        <stp/>
        <stp/>
        <tr r="T237" s="1"/>
      </tp>
      <tp t="e">
        <v>#N/A</v>
        <stp/>
        <stp>P</stp>
        <stp>0</stp>
        <stp>STK</stp>
        <stp>N003550</stp>
        <stp>체결시간</stp>
        <stp/>
        <stp/>
        <tr r="T65" s="1"/>
      </tp>
      <tp t="e">
        <v>#N/A</v>
        <stp/>
        <stp>P</stp>
        <stp>0</stp>
        <stp>STK</stp>
        <stp>N003540</stp>
        <stp>체결시간</stp>
        <stp/>
        <stp/>
        <tr r="T262" s="1"/>
      </tp>
      <tp t="e">
        <v>#N/A</v>
        <stp/>
        <stp>P</stp>
        <stp>0</stp>
        <stp>STK</stp>
        <stp>N023530</stp>
        <stp>체결시간</stp>
        <stp/>
        <stp/>
        <tr r="T203" s="1"/>
      </tp>
      <tp t="e">
        <v>#N/A</v>
        <stp/>
        <stp>P</stp>
        <stp>0</stp>
        <stp>STK</stp>
        <stp>N093520</stp>
        <stp>체결시간</stp>
        <stp/>
        <stp/>
        <tr r="T630" s="1"/>
      </tp>
      <tp t="e">
        <v>#N/A</v>
        <stp/>
        <stp>P</stp>
        <stp>0</stp>
        <stp>STK</stp>
        <stp>N403550</stp>
        <stp>체결시간</stp>
        <stp/>
        <stp/>
        <tr r="T540" s="1"/>
      </tp>
      <tp t="e">
        <v>#N/A</v>
        <stp/>
        <stp>P</stp>
        <stp>0</stp>
        <stp>STK</stp>
        <stp>N033500</stp>
        <stp>체결시간</stp>
        <stp/>
        <stp/>
        <tr r="T347" s="1"/>
      </tp>
      <tp t="e">
        <v>#N/A</v>
        <stp/>
        <stp>P</stp>
        <stp>0</stp>
        <stp>STK</stp>
        <stp>N293490</stp>
        <stp>체결시간</stp>
        <stp/>
        <stp/>
        <tr r="T276" s="1"/>
      </tp>
      <tp t="e">
        <v>#N/A</v>
        <stp/>
        <stp>P</stp>
        <stp>0</stp>
        <stp>STK</stp>
        <stp>N003490</stp>
        <stp>체결시간</stp>
        <stp/>
        <stp/>
        <tr r="T82" s="1"/>
      </tp>
      <tp t="e">
        <v>#N/A</v>
        <stp/>
        <stp>P</stp>
        <stp>0</stp>
        <stp>STK</stp>
        <stp>N253450</stp>
        <stp>체결시간</stp>
        <stp/>
        <stp/>
        <tr r="T264" s="1"/>
      </tp>
      <tp t="e">
        <v>#N/A</v>
        <stp/>
        <stp>P</stp>
        <stp>0</stp>
        <stp>STK</stp>
        <stp>N083450</stp>
        <stp>체결시간</stp>
        <stp/>
        <stp/>
        <tr r="T480" s="1"/>
      </tp>
      <tp t="e">
        <v>#N/A</v>
        <stp/>
        <stp>P</stp>
        <stp>0</stp>
        <stp>STK</stp>
        <stp>N323410</stp>
        <stp>체결시간</stp>
        <stp/>
        <stp/>
        <tr r="T75" s="1"/>
      </tp>
      <tp t="e">
        <v>#N/A</v>
        <stp/>
        <stp>P</stp>
        <stp>0</stp>
        <stp>STK</stp>
        <stp>N213420</stp>
        <stp>체결시간</stp>
        <stp/>
        <stp/>
        <tr r="T338" s="1"/>
      </tp>
      <tp t="e">
        <v>#N/A</v>
        <stp/>
        <stp>P</stp>
        <stp>0</stp>
        <stp>STK</stp>
        <stp>N033780</stp>
        <stp>체결시간</stp>
        <stp/>
        <stp/>
        <tr r="T52" s="1"/>
      </tp>
      <tp t="e">
        <v>#N/A</v>
        <stp/>
        <stp>P</stp>
        <stp>0</stp>
        <stp>STK</stp>
        <stp>N263750</stp>
        <stp>체결시간</stp>
        <stp/>
        <stp/>
        <tr r="T165" s="1"/>
      </tp>
      <tp t="e">
        <v>#N/A</v>
        <stp/>
        <stp>P</stp>
        <stp>0</stp>
        <stp>STK</stp>
        <stp>N003690</stp>
        <stp>체결시간</stp>
        <stp/>
        <stp/>
        <tr r="T199" s="1"/>
      </tp>
      <tp t="e">
        <v>#N/A</v>
        <stp/>
        <stp>P</stp>
        <stp>0</stp>
        <stp>STK</stp>
        <stp>N003670</stp>
        <stp>체결시간</stp>
        <stp/>
        <stp/>
        <tr r="T49" s="1"/>
      </tp>
      <tp t="e">
        <v>#N/A</v>
        <stp/>
        <stp>P</stp>
        <stp>0</stp>
        <stp>STK</stp>
        <stp>N083650</stp>
        <stp>체결시간</stp>
        <stp/>
        <stp/>
        <tr r="T215" s="1"/>
      </tp>
      <tp t="e">
        <v>#N/A</v>
        <stp/>
        <stp>P</stp>
        <stp>0</stp>
        <stp>STK</stp>
        <stp>N033640</stp>
        <stp>체결시간</stp>
        <stp/>
        <stp/>
        <tr r="T564" s="1"/>
      </tp>
      <tp t="e">
        <v>#N/A</v>
        <stp/>
        <stp>P</stp>
        <stp>0</stp>
        <stp>STK</stp>
        <stp>N483650</stp>
        <stp>체결시간</stp>
        <stp/>
        <stp/>
        <tr r="T236" s="1"/>
      </tp>
      <tp t="e">
        <v>#N/A</v>
        <stp/>
        <stp>P</stp>
        <stp>0</stp>
        <stp>STK</stp>
        <stp>N053610</stp>
        <stp>체결시간</stp>
        <stp/>
        <stp/>
        <tr r="T541" s="1"/>
      </tp>
      <tp t="e">
        <v>#N/A</v>
        <stp/>
        <stp>P</stp>
        <stp>0</stp>
        <stp>STK</stp>
        <stp>N183190</stp>
        <stp>체결시간</stp>
        <stp/>
        <stp/>
        <tr r="T516" s="1"/>
      </tp>
      <tp t="e">
        <v>#N/A</v>
        <stp/>
        <stp>P</stp>
        <stp>0</stp>
        <stp>STK</stp>
        <stp>N003160</stp>
        <stp>체결시간</stp>
        <stp/>
        <stp/>
        <tr r="T345" s="1"/>
      </tp>
      <tp t="e">
        <v>#N/A</v>
        <stp/>
        <stp>P</stp>
        <stp>0</stp>
        <stp>STK</stp>
        <stp>N023160</stp>
        <stp>체결시간</stp>
        <stp/>
        <stp/>
        <tr r="T389" s="1"/>
      </tp>
      <tp t="e">
        <v>#N/A</v>
        <stp/>
        <stp>P</stp>
        <stp>0</stp>
        <stp>STK</stp>
        <stp>N103140</stp>
        <stp>체결시간</stp>
        <stp/>
        <stp/>
        <tr r="T144" s="1"/>
      </tp>
      <tp t="e">
        <v>#N/A</v>
        <stp/>
        <stp>P</stp>
        <stp>0</stp>
        <stp>STK</stp>
        <stp>N043150</stp>
        <stp>체결시간</stp>
        <stp/>
        <stp/>
        <tr r="T645" s="1"/>
      </tp>
      <tp t="e">
        <v>#N/A</v>
        <stp/>
        <stp>P</stp>
        <stp>0</stp>
        <stp>STK</stp>
        <stp>N003120</stp>
        <stp>체결시간</stp>
        <stp/>
        <stp/>
        <tr r="T633" s="1"/>
      </tp>
      <tp t="e">
        <v>#N/A</v>
        <stp/>
        <stp>P</stp>
        <stp>0</stp>
        <stp>STK</stp>
        <stp>N033100</stp>
        <stp>체결시간</stp>
        <stp/>
        <stp/>
        <tr r="T406" s="1"/>
      </tp>
      <tp t="e">
        <v>#N/A</v>
        <stp/>
        <stp>P</stp>
        <stp>0</stp>
        <stp>STK</stp>
        <stp>N003090</stp>
        <stp>체결시간</stp>
        <stp/>
        <stp/>
        <tr r="T272" s="1"/>
      </tp>
      <tp t="e">
        <v>#N/A</v>
        <stp/>
        <stp>P</stp>
        <stp>0</stp>
        <stp>STK</stp>
        <stp>N093050</stp>
        <stp>체결시간</stp>
        <stp/>
        <stp/>
        <tr r="T471" s="1"/>
      </tp>
      <tp t="e">
        <v>#N/A</v>
        <stp/>
        <stp>P</stp>
        <stp>0</stp>
        <stp>STK</stp>
        <stp>N243070</stp>
        <stp>체결시간</stp>
        <stp/>
        <stp/>
        <tr r="T614" s="1"/>
      </tp>
      <tp t="e">
        <v>#N/A</v>
        <stp/>
        <stp>P</stp>
        <stp>0</stp>
        <stp>STK</stp>
        <stp>N003030</stp>
        <stp>체결시간</stp>
        <stp/>
        <stp/>
        <tr r="T469" s="1"/>
      </tp>
      <tp t="e">
        <v>#N/A</v>
        <stp/>
        <stp>P</stp>
        <stp>0</stp>
        <stp>STK</stp>
        <stp>N013030</stp>
        <stp>체결시간</stp>
        <stp/>
        <stp/>
        <tr r="T558" s="1"/>
      </tp>
      <tp t="e">
        <v>#N/A</v>
        <stp/>
        <stp>P</stp>
        <stp>0</stp>
        <stp>STK</stp>
        <stp>N053030</stp>
        <stp>체결시간</stp>
        <stp/>
        <stp/>
        <tr r="T509" s="1"/>
      </tp>
      <tp t="e">
        <v>#N/A</v>
        <stp/>
        <stp>P</stp>
        <stp>0</stp>
        <stp>STK</stp>
        <stp>N443060</stp>
        <stp>체결시간</stp>
        <stp/>
        <stp/>
        <tr r="T86" s="1"/>
      </tp>
      <tp t="e">
        <v>#N/A</v>
        <stp/>
        <stp>P</stp>
        <stp>0</stp>
        <stp>STK</stp>
        <stp>N003380</stp>
        <stp>체결시간</stp>
        <stp/>
        <stp/>
        <tr r="T279" s="1"/>
      </tp>
      <tp t="e">
        <v>#N/A</v>
        <stp/>
        <stp>P</stp>
        <stp>0</stp>
        <stp>STK</stp>
        <stp>N093370</stp>
        <stp>체결시간</stp>
        <stp/>
        <stp/>
        <tr r="T358" s="1"/>
      </tp>
      <tp t="e">
        <v>#N/A</v>
        <stp/>
        <stp>P</stp>
        <stp>0</stp>
        <stp>STK</stp>
        <stp>N043370</stp>
        <stp>체결시간</stp>
        <stp/>
        <stp/>
        <tr r="T653" s="1"/>
      </tp>
      <tp t="e">
        <v>#N/A</v>
        <stp/>
        <stp>P</stp>
        <stp>0</stp>
        <stp>STK</stp>
        <stp>N383310</stp>
        <stp>체결시간</stp>
        <stp/>
        <stp/>
        <tr r="T479" s="1"/>
      </tp>
      <tp t="e">
        <v>#N/A</v>
        <stp/>
        <stp>P</stp>
        <stp>0</stp>
        <stp>STK</stp>
        <stp>N093320</stp>
        <stp>체결시간</stp>
        <stp/>
        <stp/>
        <tr r="T432" s="1"/>
      </tp>
      <tp t="e">
        <v>#N/A</v>
        <stp/>
        <stp>P</stp>
        <stp>0</stp>
        <stp>STK</stp>
        <stp>N183300</stp>
        <stp>체결시간</stp>
        <stp/>
        <stp/>
        <tr r="T306" s="1"/>
      </tp>
      <tp t="e">
        <v>#N/A</v>
        <stp/>
        <stp>P</stp>
        <stp>0</stp>
        <stp>STK</stp>
        <stp>N003300</stp>
        <stp>체결시간</stp>
        <stp/>
        <stp/>
        <tr r="T492" s="1"/>
      </tp>
      <tp t="e">
        <v>#N/A</v>
        <stp/>
        <stp>P</stp>
        <stp>0</stp>
        <stp>STK</stp>
        <stp>N453340</stp>
        <stp>체결시간</stp>
        <stp/>
        <stp/>
        <tr r="T483" s="1"/>
      </tp>
      <tp t="e">
        <v>#N/A</v>
        <stp/>
        <stp>P</stp>
        <stp>0</stp>
        <stp>STK</stp>
        <stp>N323280</stp>
        <stp>체결시간</stp>
        <stp/>
        <stp/>
        <tr r="T258" s="1"/>
      </tp>
      <tp t="e">
        <v>#N/A</v>
        <stp/>
        <stp>P</stp>
        <stp>0</stp>
        <stp>STK</stp>
        <stp>N033270</stp>
        <stp>체결시간</stp>
        <stp/>
        <stp/>
        <tr r="T628" s="1"/>
      </tp>
      <tp t="e">
        <v>#N/A</v>
        <stp/>
        <stp>P</stp>
        <stp>0</stp>
        <stp>STK</stp>
        <stp>N003240</stp>
        <stp>체결시간</stp>
        <stp/>
        <stp/>
        <tr r="T344" s="1"/>
      </tp>
      <tp t="e">
        <v>#N/A</v>
        <stp/>
        <stp>P</stp>
        <stp>0</stp>
        <stp>STK</stp>
        <stp>N033240</stp>
        <stp>체결시간</stp>
        <stp/>
        <stp/>
        <tr r="T464" s="1"/>
      </tp>
      <tp t="e">
        <v>#N/A</v>
        <stp/>
        <stp>P</stp>
        <stp>0</stp>
        <stp>STK</stp>
        <stp>N073240</stp>
        <stp>체결시간</stp>
        <stp/>
        <stp/>
        <tr r="T227" s="1"/>
      </tp>
      <tp t="e">
        <v>#N/A</v>
        <stp/>
        <stp>P</stp>
        <stp>0</stp>
        <stp>STK</stp>
        <stp>N003230</stp>
        <stp>체결시간</stp>
        <stp/>
        <stp/>
        <tr r="T80" s="1"/>
      </tp>
      <tp t="e">
        <v>#N/A</v>
        <stp/>
        <stp>P</stp>
        <stp>0</stp>
        <stp>STK</stp>
        <stp>N353200</stp>
        <stp>체결시간</stp>
        <stp/>
        <stp/>
        <tr r="T179" s="1"/>
      </tp>
      <tp t="e">
        <v>#N/A</v>
        <stp/>
        <stp>P</stp>
        <stp>0</stp>
        <stp>STK</stp>
        <stp>N003220</stp>
        <stp>체결시간</stp>
        <stp/>
        <stp/>
        <tr r="T670" s="1"/>
      </tp>
      <tp t="e">
        <v>#N/A</v>
        <stp/>
        <stp>P</stp>
        <stp>0</stp>
        <stp>STK</stp>
        <stp>N383220</stp>
        <stp>체결시간</stp>
        <stp/>
        <stp/>
        <tr r="T178" s="1"/>
      </tp>
      <tp t="e">
        <v>#N/A</v>
        <stp/>
        <stp>P</stp>
        <stp>0</stp>
        <stp>STK</stp>
        <stp>N373220</stp>
        <stp>체결시간</stp>
        <stp/>
        <stp/>
        <tr r="T12" s="1"/>
      </tp>
      <tp t="e">
        <v>#N/A</v>
        <stp/>
        <stp>P</stp>
        <stp>0</stp>
        <stp>STK</stp>
        <stp>N003200</stp>
        <stp>체결시간</stp>
        <stp/>
        <stp/>
        <tr r="T621" s="1"/>
      </tp>
      <tp t="e">
        <v>#N/A</v>
        <stp/>
        <stp>P</stp>
        <stp>0</stp>
        <stp>STK</stp>
        <stp>N002960</stp>
        <stp>체결시간</stp>
        <stp/>
        <stp/>
        <tr r="T445" s="1"/>
      </tp>
      <tp t="e">
        <v>#N/A</v>
        <stp/>
        <stp>P</stp>
        <stp>0</stp>
        <stp>STK</stp>
        <stp>N102940</stp>
        <stp>체결시간</stp>
        <stp/>
        <stp/>
        <tr r="T427" s="1"/>
      </tp>
      <tp t="e">
        <v>#N/A</v>
        <stp/>
        <stp>P</stp>
        <stp>0</stp>
        <stp>STK</stp>
        <stp>N382900</stp>
        <stp>체결시간</stp>
        <stp/>
        <stp/>
        <tr r="T654" s="1"/>
      </tp>
      <tp t="e">
        <v>#N/A</v>
        <stp/>
        <stp>P</stp>
        <stp>0</stp>
        <stp>STK</stp>
        <stp>N082920</stp>
        <stp>체결시간</stp>
        <stp/>
        <stp/>
        <tr r="T331" s="1"/>
      </tp>
      <tp t="e">
        <v>#N/A</v>
        <stp/>
        <stp>P</stp>
        <stp>0</stp>
        <stp>STK</stp>
        <stp>N122870</stp>
        <stp>체결시간</stp>
        <stp/>
        <stp/>
        <tr r="T273" s="1"/>
      </tp>
      <tp t="e">
        <v>#N/A</v>
        <stp/>
        <stp>P</stp>
        <stp>0</stp>
        <stp>STK</stp>
        <stp>N002840</stp>
        <stp>체결시간</stp>
        <stp/>
        <stp/>
        <tr r="T395" s="1"/>
      </tp>
      <tp t="e">
        <v>#N/A</v>
        <stp/>
        <stp>P</stp>
        <stp>0</stp>
        <stp>STK</stp>
        <stp>N192820</stp>
        <stp>체결시간</stp>
        <stp/>
        <stp/>
        <tr r="T208" s="1"/>
      </tp>
      <tp t="e">
        <v>#N/A</v>
        <stp/>
        <stp>P</stp>
        <stp>0</stp>
        <stp>STK</stp>
        <stp>N032830</stp>
        <stp>체결시간</stp>
        <stp/>
        <stp/>
        <tr r="T27" s="1"/>
      </tp>
      <tp t="e">
        <v>#N/A</v>
        <stp/>
        <stp>P</stp>
        <stp>0</stp>
        <stp>STK</stp>
        <stp>N462870</stp>
        <stp>체결시간</stp>
        <stp/>
        <stp/>
        <tr r="T217" s="1"/>
      </tp>
      <tp t="e">
        <v>#N/A</v>
        <stp/>
        <stp>P</stp>
        <stp>0</stp>
        <stp>STK</stp>
        <stp>N222800</stp>
        <stp>체결시간</stp>
        <stp/>
        <stp/>
        <tr r="T223" s="1"/>
      </tp>
      <tp t="e">
        <v>#N/A</v>
        <stp/>
        <stp>P</stp>
        <stp>0</stp>
        <stp>STK</stp>
        <stp>N002810</stp>
        <stp>체결시간</stp>
        <stp/>
        <stp/>
        <tr r="T619" s="1"/>
      </tp>
      <tp t="e">
        <v>#N/A</v>
        <stp/>
        <stp>P</stp>
        <stp>0</stp>
        <stp>STK</stp>
        <stp>N352820</stp>
        <stp>체결시간</stp>
        <stp/>
        <stp/>
        <tr r="T59" s="1"/>
      </tp>
      <tp t="e">
        <v>#N/A</v>
        <stp/>
        <stp>P</stp>
        <stp>0</stp>
        <stp>STK</stp>
        <stp>N472850</stp>
        <stp>체결시간</stp>
        <stp/>
        <stp/>
        <tr r="T640" s="1"/>
      </tp>
      <tp t="e">
        <v>#N/A</v>
        <stp/>
        <stp>P</stp>
        <stp>0</stp>
        <stp>STK</stp>
        <stp>N042520</stp>
        <stp>체결시간</stp>
        <stp/>
        <stp/>
        <tr r="T607" s="1"/>
      </tp>
      <tp t="e">
        <v>#N/A</v>
        <stp/>
        <stp>P</stp>
        <stp>0</stp>
        <stp>STK</stp>
        <stp>N012510</stp>
        <stp>체결시간</stp>
        <stp/>
        <stp/>
        <tr r="T158" s="1"/>
      </tp>
      <tp t="e">
        <v>#N/A</v>
        <stp/>
        <stp>P</stp>
        <stp>0</stp>
        <stp>STK</stp>
        <stp>N032500</stp>
        <stp>체결시간</stp>
        <stp/>
        <stp/>
        <tr r="T416" s="1"/>
      </tp>
      <tp t="e">
        <v>#N/A</v>
        <stp/>
        <stp>P</stp>
        <stp>0</stp>
        <stp>STK</stp>
        <stp>N352480</stp>
        <stp>체결시간</stp>
        <stp/>
        <stp/>
        <tr r="T531" s="1"/>
      </tp>
      <tp t="e">
        <v>#N/A</v>
        <stp/>
        <stp>P</stp>
        <stp>0</stp>
        <stp>STK</stp>
        <stp>N302440</stp>
        <stp>체결시간</stp>
        <stp/>
        <stp/>
        <tr r="T134" s="1"/>
      </tp>
      <tp t="e">
        <v>#N/A</v>
        <stp/>
        <stp>P</stp>
        <stp>0</stp>
        <stp>STK</stp>
        <stp>N452430</stp>
        <stp>체결시간</stp>
        <stp/>
        <stp/>
        <tr r="T661" s="1"/>
      </tp>
      <tp t="e">
        <v>#N/A</v>
        <stp/>
        <stp>P</stp>
        <stp>0</stp>
        <stp>STK</stp>
        <stp>N092460</stp>
        <stp>체결시간</stp>
        <stp/>
        <stp/>
        <tr r="T643" s="1"/>
      </tp>
      <tp t="e">
        <v>#N/A</v>
        <stp/>
        <stp>P</stp>
        <stp>0</stp>
        <stp>STK</stp>
        <stp>N012450</stp>
        <stp>체결시간</stp>
        <stp/>
        <stp/>
        <tr r="T15" s="1"/>
      </tp>
      <tp t="e">
        <v>#N/A</v>
        <stp/>
        <stp>P</stp>
        <stp>0</stp>
        <stp>STK</stp>
        <stp>N192400</stp>
        <stp>체결시간</stp>
        <stp/>
        <stp/>
        <tr r="T323" s="1"/>
      </tp>
      <tp t="e">
        <v>#N/A</v>
        <stp/>
        <stp>P</stp>
        <stp>0</stp>
        <stp>STK</stp>
        <stp>N052400</stp>
        <stp>체결시간</stp>
        <stp/>
        <stp/>
        <tr r="T421" s="1"/>
      </tp>
      <tp t="e">
        <v>#N/A</v>
        <stp/>
        <stp>P</stp>
        <stp>0</stp>
        <stp>STK</stp>
        <stp>N092790</stp>
        <stp>체결시간</stp>
        <stp/>
        <stp/>
        <tr r="T610" s="1"/>
      </tp>
      <tp t="e">
        <v>#N/A</v>
        <stp/>
        <stp>P</stp>
        <stp>0</stp>
        <stp>STK</stp>
        <stp>N002790</stp>
        <stp>체결시간</stp>
        <stp/>
        <stp/>
        <tr r="T210" s="1"/>
      </tp>
      <tp t="e">
        <v>#N/A</v>
        <stp/>
        <stp>P</stp>
        <stp>0</stp>
        <stp>STK</stp>
        <stp>N012750</stp>
        <stp>체결시간</stp>
        <stp/>
        <stp/>
        <tr r="T156" s="1"/>
      </tp>
      <tp t="e">
        <v>#N/A</v>
        <stp/>
        <stp>P</stp>
        <stp>0</stp>
        <stp>STK</stp>
        <stp>N082740</stp>
        <stp>체결시간</stp>
        <stp/>
        <stp/>
        <tr r="T119" s="1"/>
      </tp>
      <tp t="e">
        <v>#N/A</v>
        <stp/>
        <stp>P</stp>
        <stp>0</stp>
        <stp>STK</stp>
        <stp>N092730</stp>
        <stp>체결시간</stp>
        <stp/>
        <stp/>
        <tr r="T648" s="1"/>
      </tp>
      <tp t="e">
        <v>#N/A</v>
        <stp/>
        <stp>P</stp>
        <stp>0</stp>
        <stp>STK</stp>
        <stp>N002710</stp>
        <stp>체결시간</stp>
        <stp/>
        <stp/>
        <tr r="T570" s="1"/>
      </tp>
      <tp t="e">
        <v>#N/A</v>
        <stp/>
        <stp>P</stp>
        <stp>0</stp>
        <stp>STK</stp>
        <stp>N072710</stp>
        <stp>체결시간</stp>
        <stp/>
        <stp/>
        <tr r="T539" s="1"/>
      </tp>
      <tp t="e">
        <v>#N/A</v>
        <stp/>
        <stp>P</stp>
        <stp>0</stp>
        <stp>STK</stp>
        <stp>N102710</stp>
        <stp>체결시간</stp>
        <stp/>
        <stp/>
        <tr r="T401" s="1"/>
      </tp>
      <tp t="e">
        <v>#N/A</v>
        <stp/>
        <stp>P</stp>
        <stp>0</stp>
        <stp>STK</stp>
        <stp>N042700</stp>
        <stp>체결시간</stp>
        <stp/>
        <stp/>
        <tr r="T54" s="1"/>
      </tp>
      <tp t="e">
        <v>#N/A</v>
        <stp/>
        <stp>P</stp>
        <stp>0</stp>
        <stp>STK</stp>
        <stp>N052690</stp>
        <stp>체결시간</stp>
        <stp/>
        <stp/>
        <tr r="T107" s="1"/>
      </tp>
      <tp t="e">
        <v>#N/A</v>
        <stp/>
        <stp>P</stp>
        <stp>0</stp>
        <stp>STK</stp>
        <stp>N042660</stp>
        <stp>체결시간</stp>
        <stp/>
        <stp/>
        <tr r="T23" s="1"/>
      </tp>
      <tp t="e">
        <v>#N/A</v>
        <stp/>
        <stp>P</stp>
        <stp>0</stp>
        <stp>STK</stp>
        <stp>N122640</stp>
        <stp>체결시간</stp>
        <stp/>
        <stp/>
        <tr r="T544" s="1"/>
      </tp>
      <tp t="e">
        <v>#N/A</v>
        <stp/>
        <stp>P</stp>
        <stp>0</stp>
        <stp>STK</stp>
        <stp>N032640</stp>
        <stp>체결시간</stp>
        <stp/>
        <stp/>
        <tr r="T99" s="1"/>
      </tp>
      <tp t="e">
        <v>#N/A</v>
        <stp/>
        <stp>P</stp>
        <stp>0</stp>
        <stp>STK</stp>
        <stp>N012630</stp>
        <stp>체결시간</stp>
        <stp/>
        <stp/>
        <tr r="T312" s="1"/>
      </tp>
      <tp t="e">
        <v>#N/A</v>
        <stp/>
        <stp>P</stp>
        <stp>0</stp>
        <stp>STK</stp>
        <stp>N112610</stp>
        <stp>체결시간</stp>
        <stp/>
        <stp/>
        <tr r="T240" s="1"/>
      </tp>
      <tp t="e">
        <v>#N/A</v>
        <stp/>
        <stp>P</stp>
        <stp>0</stp>
        <stp>STK</stp>
        <stp>N0126Z0</stp>
        <stp>체결시간</stp>
        <stp/>
        <stp/>
        <tr r="T60" s="1"/>
      </tp>
      <tp t="e">
        <v>#N/A</v>
        <stp/>
        <stp>P</stp>
        <stp>0</stp>
        <stp>STK</stp>
        <stp>N032190</stp>
        <stp>체결시간</stp>
        <stp/>
        <stp/>
        <tr r="T390" s="1"/>
      </tp>
      <tp t="e">
        <v>#N/A</v>
        <stp/>
        <stp>P</stp>
        <stp>0</stp>
        <stp>STK</stp>
        <stp>N232140</stp>
        <stp>체결시간</stp>
        <stp/>
        <stp/>
        <tr r="T283" s="1"/>
      </tp>
      <tp t="e">
        <v>#N/A</v>
        <stp/>
        <stp>P</stp>
        <stp>0</stp>
        <stp>STK</stp>
        <stp>N372170</stp>
        <stp>체결시간</stp>
        <stp/>
        <stp/>
        <tr r="T680" s="1"/>
      </tp>
      <tp t="e">
        <v>#N/A</v>
        <stp/>
        <stp>P</stp>
        <stp>0</stp>
        <stp>STK</stp>
        <stp>N022100</stp>
        <stp>체결시간</stp>
        <stp/>
        <stp/>
        <tr r="T98" s="1"/>
      </tp>
      <tp t="e">
        <v>#N/A</v>
        <stp/>
        <stp>P</stp>
        <stp>0</stp>
        <stp>STK</stp>
        <stp>N222080</stp>
        <stp>체결시간</stp>
        <stp/>
        <stp/>
        <tr r="T441" s="1"/>
      </tp>
      <tp t="e">
        <v>#N/A</v>
        <stp/>
        <stp>P</stp>
        <stp>0</stp>
        <stp>STK</stp>
        <stp>N192080</stp>
        <stp>체결시간</stp>
        <stp/>
        <stp/>
        <tr r="T301" s="1"/>
      </tp>
      <tp t="e">
        <v>#N/A</v>
        <stp/>
        <stp>P</stp>
        <stp>0</stp>
        <stp>STK</stp>
        <stp>N402030</stp>
        <stp>체결시간</stp>
        <stp/>
        <stp/>
        <tr r="T644" s="1"/>
      </tp>
      <tp t="e">
        <v>#N/A</v>
        <stp/>
        <stp>P</stp>
        <stp>0</stp>
        <stp>STK</stp>
        <stp>N112040</stp>
        <stp>체결시간</stp>
        <stp/>
        <stp/>
        <tr r="T337" s="1"/>
      </tp>
      <tp t="e">
        <v>#N/A</v>
        <stp/>
        <stp>P</stp>
        <stp>0</stp>
        <stp>STK</stp>
        <stp>N062040</stp>
        <stp>체결시간</stp>
        <stp/>
        <stp/>
        <tr r="T122" s="1"/>
      </tp>
      <tp t="e">
        <v>#N/A</v>
        <stp/>
        <stp>P</stp>
        <stp>0</stp>
        <stp>STK</stp>
        <stp>N002030</stp>
        <stp>체결시간</stp>
        <stp/>
        <stp/>
        <tr r="T433" s="1"/>
      </tp>
      <tp t="e">
        <v>#N/A</v>
        <stp/>
        <stp>P</stp>
        <stp>0</stp>
        <stp>STK</stp>
        <stp>N322000</stp>
        <stp>체결시간</stp>
        <stp/>
        <stp/>
        <tr r="T423" s="1"/>
      </tp>
      <tp t="e">
        <v>#N/A</v>
        <stp/>
        <stp>P</stp>
        <stp>0</stp>
        <stp>STK</stp>
        <stp>N002020</stp>
        <stp>체결시간</stp>
        <stp/>
        <stp/>
        <tr r="T443" s="1"/>
      </tp>
      <tp t="e">
        <v>#N/A</v>
        <stp/>
        <stp>P</stp>
        <stp>0</stp>
        <stp>STK</stp>
        <stp>N042000</stp>
        <stp>체결시간</stp>
        <stp/>
        <stp/>
        <tr r="T370" s="1"/>
      </tp>
      <tp t="e">
        <v>#N/A</v>
        <stp/>
        <stp>P</stp>
        <stp>0</stp>
        <stp>STK</stp>
        <stp>N0120G0</stp>
        <stp>체결시간</stp>
        <stp/>
        <stp/>
        <tr r="T436" s="1"/>
      </tp>
      <tp t="e">
        <v>#N/A</v>
        <stp/>
        <stp>P</stp>
        <stp>0</stp>
        <stp>STK</stp>
        <stp>N002380</stp>
        <stp>체결시간</stp>
        <stp/>
        <stp/>
        <tr r="T130" s="1"/>
      </tp>
      <tp t="e">
        <v>#N/A</v>
        <stp/>
        <stp>P</stp>
        <stp>0</stp>
        <stp>STK</stp>
        <stp>N032350</stp>
        <stp>체결시간</stp>
        <stp/>
        <stp/>
        <tr r="T226" s="1"/>
      </tp>
      <tp t="e">
        <v>#N/A</v>
        <stp/>
        <stp>P</stp>
        <stp>0</stp>
        <stp>STK</stp>
        <stp>N012330</stp>
        <stp>체결시간</stp>
        <stp/>
        <stp/>
        <tr r="T22" s="1"/>
      </tp>
      <tp t="e">
        <v>#N/A</v>
        <stp/>
        <stp>P</stp>
        <stp>0</stp>
        <stp>STK</stp>
        <stp>N002320</stp>
        <stp>체결시간</stp>
        <stp/>
        <stp/>
        <tr r="T622" s="1"/>
      </tp>
      <tp t="e">
        <v>#N/A</v>
        <stp/>
        <stp>P</stp>
        <stp>0</stp>
        <stp>STK</stp>
        <stp>N282330</stp>
        <stp>체결시간</stp>
        <stp/>
        <stp/>
        <tr r="T213" s="1"/>
      </tp>
      <tp t="e">
        <v>#N/A</v>
        <stp/>
        <stp>P</stp>
        <stp>0</stp>
        <stp>STK</stp>
        <stp>N372320</stp>
        <stp>체결시간</stp>
        <stp/>
        <stp/>
        <tr r="T403" s="1"/>
      </tp>
      <tp t="e">
        <v>#N/A</v>
        <stp/>
        <stp>P</stp>
        <stp>0</stp>
        <stp>STK</stp>
        <stp>N402340</stp>
        <stp>체결시간</stp>
        <stp/>
        <stp/>
        <tr r="T18" s="1"/>
      </tp>
      <tp t="e">
        <v>#N/A</v>
        <stp/>
        <stp>P</stp>
        <stp>0</stp>
        <stp>STK</stp>
        <stp>N272290</stp>
        <stp>체결시간</stp>
        <stp/>
        <stp/>
        <tr r="T472" s="1"/>
      </tp>
      <tp t="e">
        <v>#N/A</v>
        <stp/>
        <stp>P</stp>
        <stp>0</stp>
        <stp>STK</stp>
        <stp>N082270</stp>
        <stp>체결시간</stp>
        <stp/>
        <stp/>
        <tr r="T316" s="1"/>
      </tp>
      <tp t="e">
        <v>#N/A</v>
        <stp/>
        <stp>P</stp>
        <stp>0</stp>
        <stp>STK</stp>
        <stp>N002240</stp>
        <stp>체결시간</stp>
        <stp/>
        <stp/>
        <tr r="T429" s="1"/>
      </tp>
      <tp t="e">
        <v>#N/A</v>
        <stp/>
        <stp>P</stp>
        <stp>0</stp>
        <stp>STK</stp>
        <stp>N092230</stp>
        <stp>체결시간</stp>
        <stp/>
        <stp/>
        <tr r="T618" s="1"/>
      </tp>
      <tp t="e">
        <v>#N/A</v>
        <stp/>
        <stp>P</stp>
        <stp>0</stp>
        <stp>STK</stp>
        <stp>N272210</stp>
        <stp>체결시간</stp>
        <stp/>
        <stp/>
        <tr r="T53" s="1"/>
      </tp>
      <tp t="e">
        <v>#N/A</v>
        <stp/>
        <stp>P</stp>
        <stp>0</stp>
        <stp>STK</stp>
        <stp>N259960</stp>
        <stp>세션명</stp>
        <stp/>
        <stp/>
        <tr r="S70" s="1"/>
      </tp>
      <tp t="e">
        <v>#N/A</v>
        <stp/>
        <stp>P</stp>
        <stp>0</stp>
        <stp>STK</stp>
        <stp>N459510</stp>
        <stp>세션명</stp>
        <stp/>
        <stp/>
        <tr r="S493" s="1"/>
      </tp>
      <tp t="e">
        <v>#N/A</v>
        <stp/>
        <stp>P</stp>
        <stp>0</stp>
        <stp>STK</stp>
        <stp>N059090</stp>
        <stp>세션명</stp>
        <stp/>
        <stp/>
        <tr r="S518" s="1"/>
      </tp>
      <tp t="e">
        <v>#N/A</v>
        <stp/>
        <stp>P</stp>
        <stp>0</stp>
        <stp>STK</stp>
        <stp>N458870</stp>
        <stp>세션명</stp>
        <stp/>
        <stp/>
        <tr r="S224" s="1"/>
      </tp>
      <tp t="e">
        <v>#N/A</v>
        <stp/>
        <stp>P</stp>
        <stp>0</stp>
        <stp>STK</stp>
        <stp>N058970</stp>
        <stp>세션명</stp>
        <stp/>
        <stp/>
        <tr r="S512" s="1"/>
      </tp>
      <tp t="e">
        <v>#N/A</v>
        <stp/>
        <stp>P</stp>
        <stp>0</stp>
        <stp>STK</stp>
        <stp>N058470</stp>
        <stp>세션명</stp>
        <stp/>
        <stp/>
        <tr r="S112" s="1"/>
      </tp>
      <tp t="e">
        <v>#N/A</v>
        <stp/>
        <stp>P</stp>
        <stp>0</stp>
        <stp>STK</stp>
        <stp>N358570</stp>
        <stp>세션명</stp>
        <stp/>
        <stp/>
        <tr r="S339" s="1"/>
      </tp>
      <tp t="e">
        <v>#N/A</v>
        <stp/>
        <stp>P</stp>
        <stp>0</stp>
        <stp>STK</stp>
        <stp>N058610</stp>
        <stp>세션명</stp>
        <stp/>
        <stp/>
        <tr r="S181" s="1"/>
      </tp>
      <tp t="e">
        <v>#N/A</v>
        <stp/>
        <stp>P</stp>
        <stp>0</stp>
        <stp>STK</stp>
        <stp>N053800</stp>
        <stp>세션명</stp>
        <stp/>
        <stp/>
        <tr r="S404" s="1"/>
      </tp>
      <tp t="e">
        <v>#N/A</v>
        <stp/>
        <stp>P</stp>
        <stp>0</stp>
        <stp>STK</stp>
        <stp>N253450</stp>
        <stp>세션명</stp>
        <stp/>
        <stp/>
        <tr r="S264" s="1"/>
      </tp>
      <tp t="e">
        <v>#N/A</v>
        <stp/>
        <stp>P</stp>
        <stp>0</stp>
        <stp>STK</stp>
        <stp>N253590</stp>
        <stp>세션명</stp>
        <stp/>
        <stp/>
        <tr r="S477" s="1"/>
      </tp>
      <tp t="e">
        <v>#N/A</v>
        <stp/>
        <stp>P</stp>
        <stp>0</stp>
        <stp>STK</stp>
        <stp>N053610</stp>
        <stp>세션명</stp>
        <stp/>
        <stp/>
        <tr r="S541" s="1"/>
      </tp>
      <tp t="e">
        <v>#N/A</v>
        <stp/>
        <stp>P</stp>
        <stp>0</stp>
        <stp>STK</stp>
        <stp>N053030</stp>
        <stp>세션명</stp>
        <stp/>
        <stp/>
        <tr r="S509" s="1"/>
      </tp>
      <tp t="e">
        <v>#N/A</v>
        <stp/>
        <stp>P</stp>
        <stp>0</stp>
        <stp>STK</stp>
        <stp>N353200</stp>
        <stp>세션명</stp>
        <stp/>
        <stp/>
        <tr r="S179" s="1"/>
      </tp>
      <tp t="e">
        <v>#N/A</v>
        <stp/>
        <stp>P</stp>
        <stp>0</stp>
        <stp>STK</stp>
        <stp>N453340</stp>
        <stp>세션명</stp>
        <stp/>
        <stp/>
        <tr r="S483" s="1"/>
      </tp>
      <tp t="e">
        <v>#N/A</v>
        <stp/>
        <stp>P</stp>
        <stp>0</stp>
        <stp>STK</stp>
        <stp>N352820</stp>
        <stp>세션명</stp>
        <stp/>
        <stp/>
        <tr r="S59" s="1"/>
      </tp>
      <tp t="e">
        <v>#N/A</v>
        <stp/>
        <stp>P</stp>
        <stp>0</stp>
        <stp>STK</stp>
        <stp>N352480</stp>
        <stp>세션명</stp>
        <stp/>
        <stp/>
        <tr r="S531" s="1"/>
      </tp>
      <tp t="e">
        <v>#N/A</v>
        <stp/>
        <stp>P</stp>
        <stp>0</stp>
        <stp>STK</stp>
        <stp>N452430</stp>
        <stp>세션명</stp>
        <stp/>
        <stp/>
        <tr r="S661" s="1"/>
      </tp>
      <tp t="e">
        <v>#N/A</v>
        <stp/>
        <stp>P</stp>
        <stp>0</stp>
        <stp>STK</stp>
        <stp>N052400</stp>
        <stp>세션명</stp>
        <stp/>
        <stp/>
        <tr r="S421" s="1"/>
      </tp>
      <tp t="e">
        <v>#N/A</v>
        <stp/>
        <stp>P</stp>
        <stp>0</stp>
        <stp>STK</stp>
        <stp>N052690</stp>
        <stp>세션명</stp>
        <stp/>
        <stp/>
        <tr r="S107" s="1"/>
      </tp>
      <tp t="e">
        <v>#N/A</v>
        <stp/>
        <stp>P</stp>
        <stp>0</stp>
        <stp>STK</stp>
        <stp>N251970</stp>
        <stp>세션명</stp>
        <stp/>
        <stp/>
        <tr r="S396" s="1"/>
      </tp>
      <tp t="e">
        <v>#N/A</v>
        <stp/>
        <stp>P</stp>
        <stp>0</stp>
        <stp>STK</stp>
        <stp>N051910</stp>
        <stp>세션명</stp>
        <stp/>
        <stp/>
        <tr r="S36" s="1"/>
      </tp>
      <tp t="e">
        <v>#N/A</v>
        <stp/>
        <stp>P</stp>
        <stp>0</stp>
        <stp>STK</stp>
        <stp>N051900</stp>
        <stp>세션명</stp>
        <stp/>
        <stp/>
        <tr r="S127" s="1"/>
      </tp>
      <tp t="e">
        <v>#N/A</v>
        <stp/>
        <stp>P</stp>
        <stp>0</stp>
        <stp>STK</stp>
        <stp>N051500</stp>
        <stp>세션명</stp>
        <stp/>
        <stp/>
        <tr r="S608" s="1"/>
      </tp>
      <tp t="e">
        <v>#N/A</v>
        <stp/>
        <stp>P</stp>
        <stp>0</stp>
        <stp>STK</stp>
        <stp>N051600</stp>
        <stp>세션명</stp>
        <stp/>
        <stp/>
        <tr r="S169" s="1"/>
      </tp>
      <tp t="e">
        <v>#N/A</v>
        <stp/>
        <stp>P</stp>
        <stp>0</stp>
        <stp>STK</stp>
        <stp>N251270</stp>
        <stp>세션명</stp>
        <stp/>
        <stp/>
        <tr r="S123" s="1"/>
      </tp>
      <tp t="e">
        <v>#N/A</v>
        <stp/>
        <stp>P</stp>
        <stp>0</stp>
        <stp>STK</stp>
        <stp>N051360</stp>
        <stp>세션명</stp>
        <stp/>
        <stp/>
        <tr r="S675" s="1"/>
      </tp>
      <tp t="e">
        <v>#N/A</v>
        <stp/>
        <stp>P</stp>
        <stp>0</stp>
        <stp>STK</stp>
        <stp>N050890</stp>
        <stp>세션명</stp>
        <stp/>
        <stp/>
        <tr r="S496" s="1"/>
      </tp>
      <tp t="e">
        <v>#N/A</v>
        <stp/>
        <stp>P</stp>
        <stp>0</stp>
        <stp>STK</stp>
        <stp>N450950</stp>
        <stp>세션명</stp>
        <stp/>
        <stp/>
        <tr r="S501" s="1"/>
      </tp>
      <tp t="e">
        <v>#N/A</v>
        <stp/>
        <stp>P</stp>
        <stp>0</stp>
        <stp>STK</stp>
        <stp>N450080</stp>
        <stp>세션명</stp>
        <stp/>
        <stp/>
        <tr r="S124" s="1"/>
      </tp>
      <tp t="e">
        <v>#N/A</v>
        <stp/>
        <stp>P</stp>
        <stp>0</stp>
        <stp>STK</stp>
        <stp>N357550</stp>
        <stp>세션명</stp>
        <stp/>
        <stp/>
        <tr r="S612" s="1"/>
      </tp>
      <tp t="e">
        <v>#N/A</v>
        <stp/>
        <stp>P</stp>
        <stp>0</stp>
        <stp>STK</stp>
        <stp>N357780</stp>
        <stp>세션명</stp>
        <stp/>
        <stp/>
        <tr r="S170" s="1"/>
      </tp>
      <tp t="e">
        <v>#N/A</v>
        <stp/>
        <stp>P</stp>
        <stp>0</stp>
        <stp>STK</stp>
        <stp>N257720</stp>
        <stp>세션명</stp>
        <stp/>
        <stp/>
        <tr r="S159" s="1"/>
      </tp>
      <tp t="e">
        <v>#N/A</v>
        <stp/>
        <stp>P</stp>
        <stp>0</stp>
        <stp>STK</stp>
        <stp>N057050</stp>
        <stp>세션명</stp>
        <stp/>
        <stp/>
        <tr r="S413" s="1"/>
      </tp>
      <tp t="e">
        <v>#N/A</v>
        <stp/>
        <stp>P</stp>
        <stp>0</stp>
        <stp>STK</stp>
        <stp>N457190</stp>
        <stp>세션명</stp>
        <stp/>
        <stp/>
        <tr r="S162" s="1"/>
      </tp>
      <tp t="e">
        <v>#N/A</v>
        <stp/>
        <stp>P</stp>
        <stp>0</stp>
        <stp>STK</stp>
        <stp>N356860</stp>
        <stp>세션명</stp>
        <stp/>
        <stp/>
        <tr r="S456" s="1"/>
      </tp>
      <tp t="e">
        <v>#N/A</v>
        <stp/>
        <stp>P</stp>
        <stp>0</stp>
        <stp>STK</stp>
        <stp>N356680</stp>
        <stp>세션명</stp>
        <stp/>
        <stp/>
        <tr r="S697" s="1"/>
      </tp>
      <tp t="e">
        <v>#N/A</v>
        <stp/>
        <stp>P</stp>
        <stp>0</stp>
        <stp>STK</stp>
        <stp>N456040</stp>
        <stp>세션명</stp>
        <stp/>
        <stp/>
        <tr r="S412" s="1"/>
      </tp>
      <tp t="e">
        <v>#N/A</v>
        <stp/>
        <stp>P</stp>
        <stp>0</stp>
        <stp>STK</stp>
        <stp>N056190</stp>
        <stp>세션명</stp>
        <stp/>
        <stp/>
        <tr r="S330" s="1"/>
      </tp>
      <tp t="e">
        <v>#N/A</v>
        <stp/>
        <stp>P</stp>
        <stp>0</stp>
        <stp>STK</stp>
        <stp>N456160</stp>
        <stp>세션명</stp>
        <stp/>
        <stp/>
        <tr r="S281" s="1"/>
      </tp>
      <tp t="e">
        <v>#N/A</v>
        <stp/>
        <stp>P</stp>
        <stp>0</stp>
        <stp>STK</stp>
        <stp>N455900</stp>
        <stp>세션명</stp>
        <stp/>
        <stp/>
        <tr r="S418" s="1"/>
      </tp>
      <tp t="e">
        <v>#N/A</v>
        <stp/>
        <stp>P</stp>
        <stp>0</stp>
        <stp>STK</stp>
        <stp>N055550</stp>
        <stp>세션명</stp>
        <stp/>
        <stp/>
        <tr r="S25" s="1"/>
      </tp>
      <tp t="e">
        <v>#N/A</v>
        <stp/>
        <stp>P</stp>
        <stp>0</stp>
        <stp>STK</stp>
        <stp>N054950</stp>
        <stp>세션명</stp>
        <stp/>
        <stp/>
        <tr r="S617" s="1"/>
      </tp>
      <tp t="e">
        <v>#N/A</v>
        <stp/>
        <stp>P</stp>
        <stp>0</stp>
        <stp>STK</stp>
        <stp>N454910</stp>
        <stp>세션명</stp>
        <stp/>
        <stp/>
        <tr r="S90" s="1"/>
      </tp>
      <tp t="e">
        <v>#N/A</v>
        <stp/>
        <stp>P</stp>
        <stp>0</stp>
        <stp>STK</stp>
        <stp>N249420</stp>
        <stp>세션명</stp>
        <stp/>
        <stp/>
        <tr r="S288" s="1"/>
      </tp>
      <tp t="e">
        <v>#N/A</v>
        <stp/>
        <stp>P</stp>
        <stp>0</stp>
        <stp>STK</stp>
        <stp>N049070</stp>
        <stp>세션명</stp>
        <stp/>
        <stp/>
        <tr r="S522" s="1"/>
      </tp>
      <tp t="e">
        <v>#N/A</v>
        <stp/>
        <stp>P</stp>
        <stp>0</stp>
        <stp>STK</stp>
        <stp>N448900</stp>
        <stp>세션명</stp>
        <stp/>
        <stp/>
        <tr r="S489" s="1"/>
      </tp>
      <tp t="e">
        <v>#N/A</v>
        <stp/>
        <stp>P</stp>
        <stp>0</stp>
        <stp>STK</stp>
        <stp>N048410</stp>
        <stp>세션명</stp>
        <stp/>
        <stp/>
        <tr r="S455" s="1"/>
      </tp>
      <tp t="e">
        <v>#N/A</v>
        <stp/>
        <stp>P</stp>
        <stp>0</stp>
        <stp>STK</stp>
        <stp>N248070</stp>
        <stp>세션명</stp>
        <stp/>
        <stp/>
        <tr r="S380" s="1"/>
      </tp>
      <tp t="e">
        <v>#N/A</v>
        <stp/>
        <stp>P</stp>
        <stp>0</stp>
        <stp>STK</stp>
        <stp>N448280</stp>
        <stp>세션명</stp>
        <stp/>
        <stp/>
        <tr r="S641" s="1"/>
      </tp>
      <tp t="e">
        <v>#N/A</v>
        <stp/>
        <stp>P</stp>
        <stp>0</stp>
        <stp>STK</stp>
        <stp>N348210</stp>
        <stp>세션명</stp>
        <stp/>
        <stp/>
        <tr r="S363" s="1"/>
      </tp>
      <tp t="e">
        <v>#N/A</v>
        <stp/>
        <stp>P</stp>
        <stp>0</stp>
        <stp>STK</stp>
        <stp>N348370</stp>
        <stp>세션명</stp>
        <stp/>
        <stp/>
        <tr r="S266" s="1"/>
      </tp>
      <tp t="e">
        <v>#N/A</v>
        <stp/>
        <stp>P</stp>
        <stp>0</stp>
        <stp>STK</stp>
        <stp>N243070</stp>
        <stp>세션명</stp>
        <stp/>
        <stp/>
        <tr r="S614" s="1"/>
      </tp>
      <tp t="e">
        <v>#N/A</v>
        <stp/>
        <stp>P</stp>
        <stp>0</stp>
        <stp>STK</stp>
        <stp>N443060</stp>
        <stp>세션명</stp>
        <stp/>
        <stp/>
        <tr r="S86" s="1"/>
      </tp>
      <tp t="e">
        <v>#N/A</v>
        <stp/>
        <stp>P</stp>
        <stp>0</stp>
        <stp>STK</stp>
        <stp>N043150</stp>
        <stp>세션명</stp>
        <stp/>
        <stp/>
        <tr r="S645" s="1"/>
      </tp>
      <tp t="e">
        <v>#N/A</v>
        <stp/>
        <stp>P</stp>
        <stp>0</stp>
        <stp>STK</stp>
        <stp>N043370</stp>
        <stp>세션명</stp>
        <stp/>
        <stp/>
        <tr r="S653" s="1"/>
      </tp>
      <tp t="e">
        <v>#N/A</v>
        <stp/>
        <stp>P</stp>
        <stp>0</stp>
        <stp>STK</stp>
        <stp>N042520</stp>
        <stp>세션명</stp>
        <stp/>
        <stp/>
        <tr r="S607" s="1"/>
      </tp>
      <tp t="e">
        <v>#N/A</v>
        <stp/>
        <stp>P</stp>
        <stp>0</stp>
        <stp>STK</stp>
        <stp>N042660</stp>
        <stp>세션명</stp>
        <stp/>
        <stp/>
        <tr r="S23" s="1"/>
      </tp>
      <tp t="e">
        <v>#N/A</v>
        <stp/>
        <stp>P</stp>
        <stp>0</stp>
        <stp>STK</stp>
        <stp>N042700</stp>
        <stp>세션명</stp>
        <stp/>
        <stp/>
        <tr r="S54" s="1"/>
      </tp>
      <tp t="e">
        <v>#N/A</v>
        <stp/>
        <stp>P</stp>
        <stp>0</stp>
        <stp>STK</stp>
        <stp>N042000</stp>
        <stp>세션명</stp>
        <stp/>
        <stp/>
        <tr r="S370" s="1"/>
      </tp>
      <tp t="e">
        <v>#N/A</v>
        <stp/>
        <stp>P</stp>
        <stp>0</stp>
        <stp>STK</stp>
        <stp>N041830</stp>
        <stp>세션명</stp>
        <stp/>
        <stp/>
        <tr r="S546" s="1"/>
      </tp>
      <tp t="e">
        <v>#N/A</v>
        <stp/>
        <stp>P</stp>
        <stp>0</stp>
        <stp>STK</stp>
        <stp>N241560</stp>
        <stp>세션명</stp>
        <stp/>
        <stp/>
        <tr r="S103" s="1"/>
      </tp>
      <tp t="e">
        <v>#N/A</v>
        <stp/>
        <stp>P</stp>
        <stp>0</stp>
        <stp>STK</stp>
        <stp>N041510</stp>
        <stp>세션명</stp>
        <stp/>
        <stp/>
        <tr r="S180" s="1"/>
      </tp>
      <tp t="e">
        <v>#N/A</v>
        <stp/>
        <stp>P</stp>
        <stp>0</stp>
        <stp>STK</stp>
        <stp>N241770</stp>
        <stp>세션명</stp>
        <stp/>
        <stp/>
        <tr r="S686" s="1"/>
      </tp>
      <tp t="e">
        <v>#N/A</v>
        <stp/>
        <stp>P</stp>
        <stp>0</stp>
        <stp>STK</stp>
        <stp>N241710</stp>
        <stp>세션명</stp>
        <stp/>
        <stp/>
        <tr r="S360" s="1"/>
      </tp>
      <tp t="e">
        <v>#N/A</v>
        <stp/>
        <stp>P</stp>
        <stp>0</stp>
        <stp>STK</stp>
        <stp>N141080</stp>
        <stp>세션명</stp>
        <stp/>
        <stp/>
        <tr r="S108" s="1"/>
      </tp>
      <tp t="e">
        <v>#N/A</v>
        <stp/>
        <stp>P</stp>
        <stp>0</stp>
        <stp>STK</stp>
        <stp>N041190</stp>
        <stp>세션명</stp>
        <stp/>
        <stp/>
        <tr r="S428" s="1"/>
      </tp>
      <tp t="e">
        <v>#N/A</v>
        <stp/>
        <stp>P</stp>
        <stp>0</stp>
        <stp>STK</stp>
        <stp>N441270</stp>
        <stp>세션명</stp>
        <stp/>
        <stp/>
        <tr r="S572" s="1"/>
      </tp>
      <tp t="e">
        <v>#N/A</v>
        <stp/>
        <stp>P</stp>
        <stp>0</stp>
        <stp>STK</stp>
        <stp>N140860</stp>
        <stp>세션명</stp>
        <stp/>
        <stp/>
        <tr r="S241" s="1"/>
      </tp>
      <tp t="e">
        <v>#N/A</v>
        <stp/>
        <stp>P</stp>
        <stp>0</stp>
        <stp>STK</stp>
        <stp>N240810</stp>
        <stp>세션명</stp>
        <stp/>
        <stp/>
        <tr r="S133" s="1"/>
      </tp>
      <tp t="e">
        <v>#N/A</v>
        <stp/>
        <stp>P</stp>
        <stp>0</stp>
        <stp>STK</stp>
        <stp>N140410</stp>
        <stp>세션명</stp>
        <stp/>
        <stp/>
        <tr r="S154" s="1"/>
      </tp>
      <tp t="e">
        <v>#N/A</v>
        <stp/>
        <stp>P</stp>
        <stp>0</stp>
        <stp>STK</stp>
        <stp>N340570</stp>
        <stp>세션명</stp>
        <stp/>
        <stp/>
        <tr r="S575" s="1"/>
      </tp>
      <tp t="e">
        <v>#N/A</v>
        <stp/>
        <stp>P</stp>
        <stp>0</stp>
        <stp>STK</stp>
        <stp>N347850</stp>
        <stp>세션명</stp>
        <stp/>
        <stp/>
        <tr r="S141" s="1"/>
      </tp>
      <tp t="e">
        <v>#N/A</v>
        <stp/>
        <stp>P</stp>
        <stp>0</stp>
        <stp>STK</stp>
        <stp>N047810</stp>
        <stp>세션명</stp>
        <stp/>
        <stp/>
        <tr r="S56" s="1"/>
      </tp>
      <tp t="e">
        <v>#N/A</v>
        <stp/>
        <stp>P</stp>
        <stp>0</stp>
        <stp>STK</stp>
        <stp>N047920</stp>
        <stp>세션명</stp>
        <stp/>
        <stp/>
        <tr r="S451" s="1"/>
      </tp>
      <tp t="e">
        <v>#N/A</v>
        <stp/>
        <stp>P</stp>
        <stp>0</stp>
        <stp>STK</stp>
        <stp>N247540</stp>
        <stp>세션명</stp>
        <stp/>
        <stp/>
        <tr r="S57" s="1"/>
      </tp>
      <tp t="e">
        <v>#N/A</v>
        <stp/>
        <stp>P</stp>
        <stp>0</stp>
        <stp>STK</stp>
        <stp>N047050</stp>
        <stp>세션명</stp>
        <stp/>
        <stp/>
        <tr r="S71" s="1"/>
      </tp>
      <tp t="e">
        <v>#N/A</v>
        <stp/>
        <stp>P</stp>
        <stp>0</stp>
        <stp>STK</stp>
        <stp>N047040</stp>
        <stp>세션명</stp>
        <stp/>
        <stp/>
        <tr r="S211" s="1"/>
      </tp>
      <tp t="e">
        <v>#N/A</v>
        <stp/>
        <stp>P</stp>
        <stp>0</stp>
        <stp>STK</stp>
        <stp>N046890</stp>
        <stp>세션명</stp>
        <stp/>
        <stp/>
        <tr r="S579" s="1"/>
      </tp>
      <tp t="e">
        <v>#N/A</v>
        <stp/>
        <stp>P</stp>
        <stp>0</stp>
        <stp>STK</stp>
        <stp>N145990</stp>
        <stp>세션명</stp>
        <stp/>
        <stp/>
        <tr r="S495" s="1"/>
      </tp>
      <tp t="e">
        <v>#N/A</v>
        <stp/>
        <stp>P</stp>
        <stp>0</stp>
        <stp>STK</stp>
        <stp>N445680</stp>
        <stp>세션명</stp>
        <stp/>
        <stp/>
        <tr r="S207" s="1"/>
      </tp>
      <tp t="e">
        <v>#N/A</v>
        <stp/>
        <stp>P</stp>
        <stp>0</stp>
        <stp>STK</stp>
        <stp>N145720</stp>
        <stp>세션명</stp>
        <stp/>
        <stp/>
        <tr r="S470" s="1"/>
      </tp>
      <tp t="e">
        <v>#N/A</v>
        <stp/>
        <stp>P</stp>
        <stp>0</stp>
        <stp>STK</stp>
        <stp>N445090</stp>
        <stp>세션명</stp>
        <stp/>
        <stp/>
        <tr r="S609" s="1"/>
      </tp>
      <tp t="e">
        <v>#N/A</v>
        <stp/>
        <stp>P</stp>
        <stp>0</stp>
        <stp>STK</stp>
        <stp>N145020</stp>
        <stp>세션명</stp>
        <stp/>
        <stp/>
        <tr r="S161" s="1"/>
      </tp>
      <tp t="e">
        <v>#N/A</v>
        <stp/>
        <stp>P</stp>
        <stp>0</stp>
        <stp>STK</stp>
        <stp>N045100</stp>
        <stp>세션명</stp>
        <stp/>
        <stp/>
        <tr r="S503" s="1"/>
      </tp>
      <tp t="e">
        <v>#N/A</v>
        <stp/>
        <stp>P</stp>
        <stp>0</stp>
        <stp>STK</stp>
        <stp>N344820</stp>
        <stp>세션명</stp>
        <stp/>
        <stp/>
        <tr r="S519" s="1"/>
      </tp>
      <tp t="e">
        <v>#N/A</v>
        <stp/>
        <stp>P</stp>
        <stp>0</stp>
        <stp>STK</stp>
        <stp>N044490</stp>
        <stp>세션명</stp>
        <stp/>
        <stp/>
        <tr r="S394" s="1"/>
      </tp>
      <tp t="e">
        <v>#N/A</v>
        <stp/>
        <stp>P</stp>
        <stp>0</stp>
        <stp>STK</stp>
        <stp>N144510</stp>
        <stp>세션명</stp>
        <stp/>
        <stp/>
        <tr r="S578" s="1"/>
      </tp>
      <tp t="e">
        <v>#N/A</v>
        <stp/>
        <stp>P</stp>
        <stp>0</stp>
        <stp>STK</stp>
        <stp>N079940</stp>
        <stp>세션명</stp>
        <stp/>
        <stp/>
        <tr r="S520" s="1"/>
      </tp>
      <tp t="e">
        <v>#N/A</v>
        <stp/>
        <stp>P</stp>
        <stp>0</stp>
        <stp>STK</stp>
        <stp>N179900</stp>
        <stp>세션명</stp>
        <stp/>
        <stp/>
        <tr r="S528" s="1"/>
      </tp>
      <tp t="e">
        <v>#N/A</v>
        <stp/>
        <stp>P</stp>
        <stp>0</stp>
        <stp>STK</stp>
        <stp>N079900</stp>
        <stp>세션명</stp>
        <stp/>
        <stp/>
        <tr r="S385" s="1"/>
      </tp>
      <tp t="e">
        <v>#N/A</v>
        <stp/>
        <stp>P</stp>
        <stp>0</stp>
        <stp>STK</stp>
        <stp>N079550</stp>
        <stp>세션명</stp>
        <stp/>
        <stp/>
        <tr r="S69" s="1"/>
      </tp>
      <tp t="e">
        <v>#N/A</v>
        <stp/>
        <stp>P</stp>
        <stp>0</stp>
        <stp>STK</stp>
        <stp>N079370</stp>
        <stp>세션명</stp>
        <stp/>
        <stp/>
        <tr r="S490" s="1"/>
      </tp>
      <tp t="e">
        <v>#N/A</v>
        <stp/>
        <stp>P</stp>
        <stp>0</stp>
        <stp>STK</stp>
        <stp>N078930</stp>
        <stp>세션명</stp>
        <stp/>
        <stp/>
        <tr r="S104" s="1"/>
      </tp>
      <tp t="e">
        <v>#N/A</v>
        <stp/>
        <stp>P</stp>
        <stp>0</stp>
        <stp>STK</stp>
        <stp>N178920</stp>
        <stp>세션명</stp>
        <stp/>
        <stp/>
        <tr r="S504" s="1"/>
      </tp>
      <tp t="e">
        <v>#N/A</v>
        <stp/>
        <stp>P</stp>
        <stp>0</stp>
        <stp>STK</stp>
        <stp>N278470</stp>
        <stp>세션명</stp>
        <stp/>
        <stp/>
        <tr r="S77" s="1"/>
      </tp>
      <tp t="e">
        <v>#N/A</v>
        <stp/>
        <stp>P</stp>
        <stp>0</stp>
        <stp>STK</stp>
        <stp>N078520</stp>
        <stp>세션명</stp>
        <stp/>
        <stp/>
        <tr r="S673" s="1"/>
      </tp>
      <tp t="e">
        <v>#N/A</v>
        <stp/>
        <stp>P</stp>
        <stp>0</stp>
        <stp>STK</stp>
        <stp>N078600</stp>
        <stp>세션명</stp>
        <stp/>
        <stp/>
        <tr r="S320" s="1"/>
      </tp>
      <tp t="e">
        <v>#N/A</v>
        <stp/>
        <stp>P</stp>
        <stp>0</stp>
        <stp>STK</stp>
        <stp>N078160</stp>
        <stp>세션명</stp>
        <stp/>
        <stp/>
        <tr r="S438" s="1"/>
      </tp>
      <tp t="e">
        <v>#N/A</v>
        <stp/>
        <stp>P</stp>
        <stp>0</stp>
        <stp>STK</stp>
        <stp>N278280</stp>
        <stp>세션명</stp>
        <stp/>
        <stp/>
        <tr r="S437" s="1"/>
      </tp>
      <tp t="e">
        <v>#N/A</v>
        <stp/>
        <stp>P</stp>
        <stp>0</stp>
        <stp>STK</stp>
        <stp>N378340</stp>
        <stp>세션명</stp>
        <stp/>
        <stp/>
        <tr r="S651" s="1"/>
      </tp>
      <tp t="e">
        <v>#N/A</v>
        <stp/>
        <stp>P</stp>
        <stp>0</stp>
        <stp>STK</stp>
        <stp>N078350</stp>
        <stp>세션명</stp>
        <stp/>
        <stp/>
        <tr r="S569" s="1"/>
      </tp>
      <tp t="e">
        <v>#N/A</v>
        <stp/>
        <stp>P</stp>
        <stp>0</stp>
        <stp>STK</stp>
        <stp>N078340</stp>
        <stp>세션명</stp>
        <stp/>
        <stp/>
        <tr r="S543" s="1"/>
      </tp>
      <tp t="e">
        <v>#N/A</v>
        <stp/>
        <stp>P</stp>
        <stp>0</stp>
        <stp>STK</stp>
        <stp>N178320</stp>
        <stp>세션명</stp>
        <stp/>
        <stp/>
        <tr r="S231" s="1"/>
      </tp>
      <tp t="e">
        <v>#N/A</v>
        <stp/>
        <stp>P</stp>
        <stp>0</stp>
        <stp>STK</stp>
        <stp>N478340</stp>
        <stp>세션명</stp>
        <stp/>
        <stp/>
        <tr r="S425" s="1"/>
      </tp>
      <tp t="e">
        <v>#N/A</v>
        <stp/>
        <stp>P</stp>
        <stp>0</stp>
        <stp>STK</stp>
        <stp>N473980</stp>
        <stp>세션명</stp>
        <stp/>
        <stp/>
        <tr r="S649" s="1"/>
      </tp>
      <tp t="e">
        <v>#N/A</v>
        <stp/>
        <stp>P</stp>
        <stp>0</stp>
        <stp>STK</stp>
        <stp>N073240</stp>
        <stp>세션명</stp>
        <stp/>
        <stp/>
        <tr r="S227" s="1"/>
      </tp>
      <tp t="e">
        <v>#N/A</v>
        <stp/>
        <stp>P</stp>
        <stp>0</stp>
        <stp>STK</stp>
        <stp>N373220</stp>
        <stp>세션명</stp>
        <stp/>
        <stp/>
        <tr r="S12" s="1"/>
      </tp>
      <tp t="e">
        <v>#N/A</v>
        <stp/>
        <stp>P</stp>
        <stp>0</stp>
        <stp>STK</stp>
        <stp>N472850</stp>
        <stp>세션명</stp>
        <stp/>
        <stp/>
        <tr r="S640" s="1"/>
      </tp>
      <tp t="e">
        <v>#N/A</v>
        <stp/>
        <stp>P</stp>
        <stp>0</stp>
        <stp>STK</stp>
        <stp>N072710</stp>
        <stp>세션명</stp>
        <stp/>
        <stp/>
        <tr r="S539" s="1"/>
      </tp>
      <tp t="e">
        <v>#N/A</v>
        <stp/>
        <stp>P</stp>
        <stp>0</stp>
        <stp>STK</stp>
        <stp>N372170</stp>
        <stp>세션명</stp>
        <stp/>
        <stp/>
        <tr r="S680" s="1"/>
      </tp>
      <tp t="e">
        <v>#N/A</v>
        <stp/>
        <stp>P</stp>
        <stp>0</stp>
        <stp>STK</stp>
        <stp>N272290</stp>
        <stp>세션명</stp>
        <stp/>
        <stp/>
        <tr r="S472" s="1"/>
      </tp>
      <tp t="e">
        <v>#N/A</v>
        <stp/>
        <stp>P</stp>
        <stp>0</stp>
        <stp>STK</stp>
        <stp>N272210</stp>
        <stp>세션명</stp>
        <stp/>
        <stp/>
        <tr r="S53" s="1"/>
      </tp>
      <tp t="e">
        <v>#N/A</v>
        <stp/>
        <stp>P</stp>
        <stp>0</stp>
        <stp>STK</stp>
        <stp>N372320</stp>
        <stp>세션명</stp>
        <stp/>
        <stp/>
        <tr r="S403" s="1"/>
      </tp>
      <tp t="e">
        <v>#N/A</v>
        <stp/>
        <stp>P</stp>
        <stp>0</stp>
        <stp>STK</stp>
        <stp>N071970</stp>
        <stp>세션명</stp>
        <stp/>
        <stp/>
        <tr r="S151" s="1"/>
      </tp>
      <tp t="e">
        <v>#N/A</v>
        <stp/>
        <stp>P</stp>
        <stp>0</stp>
        <stp>STK</stp>
        <stp>N271940</stp>
        <stp>세션명</stp>
        <stp/>
        <stp/>
        <tr r="S484" s="1"/>
      </tp>
      <tp t="e">
        <v>#N/A</v>
        <stp/>
        <stp>P</stp>
        <stp>0</stp>
        <stp>STK</stp>
        <stp>N271560</stp>
        <stp>세션명</stp>
        <stp/>
        <stp/>
        <tr r="S117" s="1"/>
      </tp>
      <tp t="e">
        <v>#N/A</v>
        <stp/>
        <stp>P</stp>
        <stp>0</stp>
        <stp>STK</stp>
        <stp>N171090</stp>
        <stp>세션명</stp>
        <stp/>
        <stp/>
        <tr r="S459" s="1"/>
      </tp>
      <tp t="e">
        <v>#N/A</v>
        <stp/>
        <stp>P</stp>
        <stp>0</stp>
        <stp>STK</stp>
        <stp>N071050</stp>
        <stp>세션명</stp>
        <stp/>
        <stp/>
        <tr r="S73" s="1"/>
      </tp>
      <tp t="e">
        <v>#N/A</v>
        <stp/>
        <stp>P</stp>
        <stp>0</stp>
        <stp>STK</stp>
        <stp>N071320</stp>
        <stp>세션명</stp>
        <stp/>
        <stp/>
        <tr r="S274" s="1"/>
      </tp>
      <tp t="e">
        <v>#N/A</v>
        <stp/>
        <stp>P</stp>
        <stp>0</stp>
        <stp>STK</stp>
        <stp>N170900</stp>
        <stp>세션명</stp>
        <stp/>
        <stp/>
        <tr r="S499" s="1"/>
      </tp>
      <tp t="e">
        <v>#N/A</v>
        <stp/>
        <stp>P</stp>
        <stp>0</stp>
        <stp>STK</stp>
        <stp>N270660</stp>
        <stp>세션명</stp>
        <stp/>
        <stp/>
        <tr r="S542" s="1"/>
      </tp>
      <tp t="e">
        <v>#N/A</v>
        <stp/>
        <stp>P</stp>
        <stp>0</stp>
        <stp>STK</stp>
        <stp>N277810</stp>
        <stp>세션명</stp>
        <stp/>
        <stp/>
        <tr r="S74" s="1"/>
      </tp>
      <tp t="e">
        <v>#N/A</v>
        <stp/>
        <stp>P</stp>
        <stp>0</stp>
        <stp>STK</stp>
        <stp>N077970</stp>
        <stp>세션명</stp>
        <stp/>
        <stp/>
        <tr r="S249" s="1"/>
      </tp>
      <tp t="e">
        <v>#N/A</v>
        <stp/>
        <stp>P</stp>
        <stp>0</stp>
        <stp>STK</stp>
        <stp>N377300</stp>
        <stp>세션명</stp>
        <stp/>
        <stp/>
        <tr r="S95" s="1"/>
      </tp>
      <tp t="e">
        <v>#N/A</v>
        <stp/>
        <stp>P</stp>
        <stp>0</stp>
        <stp>STK</stp>
        <stp>N476830</stp>
        <stp>세션명</stp>
        <stp/>
        <stp/>
        <tr r="S212" s="1"/>
      </tp>
      <tp t="e">
        <v>#N/A</v>
        <stp/>
        <stp>P</stp>
        <stp>0</stp>
        <stp>STK</stp>
        <stp>N376900</stp>
        <stp>세션명</stp>
        <stp/>
        <stp/>
        <tr r="S313" s="1"/>
      </tp>
      <tp t="e">
        <v>#N/A</v>
        <stp/>
        <stp>P</stp>
        <stp>0</stp>
        <stp>STK</stp>
        <stp>N176750</stp>
        <stp>세션명</stp>
        <stp/>
        <stp/>
        <tr r="S678" s="1"/>
      </tp>
      <tp t="e">
        <v>#N/A</v>
        <stp/>
        <stp>P</stp>
        <stp>0</stp>
        <stp>STK</stp>
        <stp>N476060</stp>
        <stp>세션명</stp>
        <stp/>
        <stp/>
        <tr r="S343" s="1"/>
      </tp>
      <tp t="e">
        <v>#N/A</v>
        <stp/>
        <stp>P</stp>
        <stp>0</stp>
        <stp>STK</stp>
        <stp>N376270</stp>
        <stp>세션명</stp>
        <stp/>
        <stp/>
        <tr r="S555" s="1"/>
      </tp>
      <tp t="e">
        <v>#N/A</v>
        <stp/>
        <stp>P</stp>
        <stp>0</stp>
        <stp>STK</stp>
        <stp>N376300</stp>
        <stp>세션명</stp>
        <stp/>
        <stp/>
        <tr r="S367" s="1"/>
      </tp>
      <tp t="e">
        <v>#N/A</v>
        <stp/>
        <stp>P</stp>
        <stp>0</stp>
        <stp>STK</stp>
        <stp>N475830</stp>
        <stp>세션명</stp>
        <stp/>
        <stp/>
        <tr r="S200" s="1"/>
      </tp>
      <tp t="e">
        <v>#N/A</v>
        <stp/>
        <stp>P</stp>
        <stp>0</stp>
        <stp>STK</stp>
        <stp>N475960</stp>
        <stp>세션명</stp>
        <stp/>
        <stp/>
        <tr r="S431" s="1"/>
      </tp>
      <tp t="e">
        <v>#N/A</v>
        <stp/>
        <stp>P</stp>
        <stp>0</stp>
        <stp>STK</stp>
        <stp>N475400</stp>
        <stp>세션명</stp>
        <stp/>
        <stp/>
        <tr r="S463" s="1"/>
      </tp>
      <tp t="e">
        <v>#N/A</v>
        <stp/>
        <stp>P</stp>
        <stp>0</stp>
        <stp>STK</stp>
        <stp>N075580</stp>
        <stp>세션명</stp>
        <stp/>
        <stp/>
        <tr r="S299" s="1"/>
      </tp>
      <tp t="e">
        <v>#N/A</v>
        <stp/>
        <stp>P</stp>
        <stp>0</stp>
        <stp>STK</stp>
        <stp>N375500</stp>
        <stp>세션명</stp>
        <stp/>
        <stp/>
        <tr r="S238" s="1"/>
      </tp>
      <tp t="e">
        <v>#N/A</v>
        <stp/>
        <stp>P</stp>
        <stp>0</stp>
        <stp>STK</stp>
        <stp>N475560</stp>
        <stp>세션명</stp>
        <stp/>
        <stp/>
        <tr r="S574" s="1"/>
      </tp>
      <tp t="e">
        <v>#N/A</v>
        <stp/>
        <stp>P</stp>
        <stp>0</stp>
        <stp>STK</stp>
        <stp>N475150</stp>
        <stp>세션명</stp>
        <stp/>
        <stp/>
        <tr r="S402" s="1"/>
      </tp>
      <tp t="e">
        <v>#N/A</v>
        <stp/>
        <stp>P</stp>
        <stp>0</stp>
        <stp>STK</stp>
        <stp>N175330</stp>
        <stp>세션명</stp>
        <stp/>
        <stp/>
        <tr r="S121" s="1"/>
      </tp>
      <tp t="e">
        <v>#N/A</v>
        <stp/>
        <stp>P</stp>
        <stp>0</stp>
        <stp>STK</stp>
        <stp>N074600</stp>
        <stp>세션명</stp>
        <stp/>
        <stp/>
        <tr r="S408" s="1"/>
      </tp>
      <tp t="e">
        <v>#N/A</v>
        <stp/>
        <stp>P</stp>
        <stp>0</stp>
        <stp>STK</stp>
        <stp>N069960</stp>
        <stp>세션명</stp>
        <stp/>
        <stp/>
        <tr r="S206" s="1"/>
      </tp>
      <tp t="e">
        <v>#N/A</v>
        <stp/>
        <stp>P</stp>
        <stp>0</stp>
        <stp>STK</stp>
        <stp>N469610</stp>
        <stp>세션명</stp>
        <stp/>
        <stp/>
        <tr r="S699" s="1"/>
      </tp>
      <tp t="e">
        <v>#N/A</v>
        <stp/>
        <stp>P</stp>
        <stp>0</stp>
        <stp>STK</stp>
        <stp>N069620</stp>
        <stp>세션명</stp>
        <stp/>
        <stp/>
        <tr r="S220" s="1"/>
      </tp>
      <tp t="e">
        <v>#N/A</v>
        <stp/>
        <stp>P</stp>
        <stp>0</stp>
        <stp>STK</stp>
        <stp>N069080</stp>
        <stp>세션명</stp>
        <stp/>
        <stp/>
        <tr r="S526" s="1"/>
      </tp>
      <tp t="e">
        <v>#N/A</v>
        <stp/>
        <stp>P</stp>
        <stp>0</stp>
        <stp>STK</stp>
        <stp>N069260</stp>
        <stp>세션명</stp>
        <stp/>
        <stp/>
        <tr r="S372" s="1"/>
      </tp>
      <tp t="e">
        <v>#N/A</v>
        <stp/>
        <stp>P</stp>
        <stp>0</stp>
        <stp>STK</stp>
        <stp>N468530</stp>
        <stp>세션명</stp>
        <stp/>
        <stp/>
        <tr r="S340" s="1"/>
      </tp>
      <tp t="e">
        <v>#N/A</v>
        <stp/>
        <stp>P</stp>
        <stp>0</stp>
        <stp>STK</stp>
        <stp>N068760</stp>
        <stp>세션명</stp>
        <stp/>
        <stp/>
        <tr r="S171" s="1"/>
      </tp>
      <tp t="e">
        <v>#N/A</v>
        <stp/>
        <stp>P</stp>
        <stp>0</stp>
        <stp>STK</stp>
        <stp>N268280</stp>
        <stp>세션명</stp>
        <stp/>
        <stp/>
        <tr r="S391" s="1"/>
      </tp>
      <tp t="e">
        <v>#N/A</v>
        <stp/>
        <stp>P</stp>
        <stp>0</stp>
        <stp>STK</stp>
        <stp>N068270</stp>
        <stp>세션명</stp>
        <stp/>
        <stp/>
        <tr r="S21" s="1"/>
      </tp>
      <tp t="e">
        <v>#N/A</v>
        <stp/>
        <stp>P</stp>
        <stp>0</stp>
        <stp>STK</stp>
        <stp>N168360</stp>
        <stp>세션명</stp>
        <stp/>
        <stp/>
        <tr r="S585" s="1"/>
      </tp>
      <tp t="e">
        <v>#N/A</v>
        <stp/>
        <stp>P</stp>
        <stp>0</stp>
        <stp>STK</stp>
        <stp>N263750</stp>
        <stp>세션명</stp>
        <stp/>
        <stp/>
        <tr r="S165" s="1"/>
      </tp>
      <tp t="e">
        <v>#N/A</v>
        <stp/>
        <stp>P</stp>
        <stp>0</stp>
        <stp>STK</stp>
        <stp>N462870</stp>
        <stp>세션명</stp>
        <stp/>
        <stp/>
        <tr r="S217" s="1"/>
      </tp>
      <tp t="e">
        <v>#N/A</v>
        <stp/>
        <stp>P</stp>
        <stp>0</stp>
        <stp>STK</stp>
        <stp>N062040</stp>
        <stp>세션명</stp>
        <stp/>
        <stp/>
        <tr r="S122" s="1"/>
      </tp>
      <tp t="e">
        <v>#N/A</v>
        <stp/>
        <stp>P</stp>
        <stp>0</stp>
        <stp>STK</stp>
        <stp>N161890</stp>
        <stp>세션명</stp>
        <stp/>
        <stp/>
        <tr r="S248" s="1"/>
      </tp>
      <tp t="e">
        <v>#N/A</v>
        <stp/>
        <stp>P</stp>
        <stp>0</stp>
        <stp>STK</stp>
        <stp>N161580</stp>
        <stp>세션명</stp>
        <stp/>
        <stp/>
        <tr r="S314" s="1"/>
      </tp>
      <tp t="e">
        <v>#N/A</v>
        <stp/>
        <stp>P</stp>
        <stp>0</stp>
        <stp>STK</stp>
        <stp>N361610</stp>
        <stp>세션명</stp>
        <stp/>
        <stp/>
        <tr r="S214" s="1"/>
      </tp>
      <tp t="e">
        <v>#N/A</v>
        <stp/>
        <stp>P</stp>
        <stp>0</stp>
        <stp>STK</stp>
        <stp>N061090</stp>
        <stp>세션명</stp>
        <stp/>
        <stp/>
        <tr r="S682" s="1"/>
      </tp>
      <tp t="e">
        <v>#N/A</v>
        <stp/>
        <stp>P</stp>
        <stp>0</stp>
        <stp>STK</stp>
        <stp>N161000</stp>
        <stp>세션명</stp>
        <stp/>
        <stp/>
        <tr r="S524" s="1"/>
      </tp>
      <tp t="e">
        <v>#N/A</v>
        <stp/>
        <stp>P</stp>
        <stp>0</stp>
        <stp>STK</stp>
        <stp>N161390</stp>
        <stp>세션명</stp>
        <stp/>
        <stp/>
        <tr r="S84" s="1"/>
      </tp>
      <tp t="e">
        <v>#N/A</v>
        <stp/>
        <stp>P</stp>
        <stp>0</stp>
        <stp>STK</stp>
        <stp>N460860</stp>
        <stp>세션명</stp>
        <stp/>
        <stp/>
        <tr r="S536" s="1"/>
      </tp>
      <tp t="e">
        <v>#N/A</v>
        <stp/>
        <stp>P</stp>
        <stp>0</stp>
        <stp>STK</stp>
        <stp>N060980</stp>
        <stp>세션명</stp>
        <stp/>
        <stp/>
        <tr r="S508" s="1"/>
      </tp>
      <tp t="e">
        <v>#N/A</v>
        <stp/>
        <stp>P</stp>
        <stp>0</stp>
        <stp>STK</stp>
        <stp>N460930</stp>
        <stp>세션명</stp>
        <stp/>
        <stp/>
        <tr r="S399" s="1"/>
      </tp>
      <tp t="e">
        <v>#N/A</v>
        <stp/>
        <stp>P</stp>
        <stp>0</stp>
        <stp>STK</stp>
        <stp>N060720</stp>
        <stp>세션명</stp>
        <stp/>
        <stp/>
        <tr r="S573" s="1"/>
      </tp>
      <tp t="e">
        <v>#N/A</v>
        <stp/>
        <stp>P</stp>
        <stp>0</stp>
        <stp>STK</stp>
        <stp>N160190</stp>
        <stp>세션명</stp>
        <stp/>
        <stp/>
        <tr r="S193" s="1"/>
      </tp>
      <tp t="e">
        <v>#N/A</v>
        <stp/>
        <stp>P</stp>
        <stp>0</stp>
        <stp>STK</stp>
        <stp>N060280</stp>
        <stp>세션명</stp>
        <stp/>
        <stp/>
        <tr r="S349" s="1"/>
      </tp>
      <tp t="e">
        <v>#N/A</v>
        <stp/>
        <stp>P</stp>
        <stp>0</stp>
        <stp>STK</stp>
        <stp>N060250</stp>
        <stp>세션명</stp>
        <stp/>
        <stp/>
        <tr r="S440" s="1"/>
      </tp>
      <tp t="e">
        <v>#N/A</v>
        <stp/>
        <stp>P</stp>
        <stp>0</stp>
        <stp>STK</stp>
        <stp>N060370</stp>
        <stp>세션명</stp>
        <stp/>
        <stp/>
        <tr r="S256" s="1"/>
      </tp>
      <tp t="e">
        <v>#N/A</v>
        <stp/>
        <stp>P</stp>
        <stp>0</stp>
        <stp>STK</stp>
        <stp>N267980</stp>
        <stp>세션명</stp>
        <stp/>
        <stp/>
        <tr r="S658" s="1"/>
      </tp>
      <tp t="e">
        <v>#N/A</v>
        <stp/>
        <stp>P</stp>
        <stp>0</stp>
        <stp>STK</stp>
        <stp>N067080</stp>
        <stp>세션명</stp>
        <stp/>
        <stp/>
        <tr r="S623" s="1"/>
      </tp>
      <tp t="e">
        <v>#N/A</v>
        <stp/>
        <stp>P</stp>
        <stp>0</stp>
        <stp>STK</stp>
        <stp>N067160</stp>
        <stp>세션명</stp>
        <stp/>
        <stp/>
        <tr r="S373" s="1"/>
      </tp>
      <tp t="e">
        <v>#N/A</v>
        <stp/>
        <stp>P</stp>
        <stp>0</stp>
        <stp>STK</stp>
        <stp>N267250</stp>
        <stp>세션명</stp>
        <stp/>
        <stp/>
        <tr r="S44" s="1"/>
      </tp>
      <tp t="e">
        <v>#N/A</v>
        <stp/>
        <stp>P</stp>
        <stp>0</stp>
        <stp>STK</stp>
        <stp>N267270</stp>
        <stp>세션명</stp>
        <stp/>
        <stp/>
        <tr r="S216" s="1"/>
      </tp>
      <tp t="e">
        <v>#N/A</v>
        <stp/>
        <stp>P</stp>
        <stp>0</stp>
        <stp>STK</stp>
        <stp>N267260</stp>
        <stp>세션명</stp>
        <stp/>
        <stp/>
        <tr r="S29" s="1"/>
      </tp>
      <tp t="e">
        <v>#N/A</v>
        <stp/>
        <stp>P</stp>
        <stp>0</stp>
        <stp>STK</stp>
        <stp>N067310</stp>
        <stp>세션명</stp>
        <stp/>
        <stp/>
        <tr r="S233" s="1"/>
      </tp>
      <tp t="e">
        <v>#N/A</v>
        <stp/>
        <stp>P</stp>
        <stp>0</stp>
        <stp>STK</stp>
        <stp>N066970</stp>
        <stp>세션명</stp>
        <stp/>
        <stp/>
        <tr r="S118" s="1"/>
      </tp>
      <tp t="e">
        <v>#N/A</v>
        <stp/>
        <stp>P</stp>
        <stp>0</stp>
        <stp>STK</stp>
        <stp>N066570</stp>
        <stp>세션명</stp>
        <stp/>
        <stp/>
        <tr r="S48" s="1"/>
      </tp>
      <tp t="e">
        <v>#N/A</v>
        <stp/>
        <stp>P</stp>
        <stp>0</stp>
        <stp>STK</stp>
        <stp>N166090</stp>
        <stp>세션명</stp>
        <stp/>
        <stp/>
        <tr r="S303" s="1"/>
      </tp>
      <tp t="e">
        <v>#N/A</v>
        <stp/>
        <stp>P</stp>
        <stp>0</stp>
        <stp>STK</stp>
        <stp>N466100</stp>
        <stp>세션명</stp>
        <stp/>
        <stp/>
        <tr r="S219" s="1"/>
      </tp>
      <tp t="e">
        <v>#N/A</v>
        <stp/>
        <stp>P</stp>
        <stp>0</stp>
        <stp>STK</stp>
        <stp>N265520</stp>
        <stp>세션명</stp>
        <stp/>
        <stp/>
        <tr r="S642" s="1"/>
      </tp>
      <tp t="e">
        <v>#N/A</v>
        <stp/>
        <stp>P</stp>
        <stp>0</stp>
        <stp>STK</stp>
        <stp>N065680</stp>
        <stp>세션명</stp>
        <stp/>
        <stp/>
        <tr r="S638" s="1"/>
      </tp>
      <tp t="e">
        <v>#N/A</v>
        <stp/>
        <stp>P</stp>
        <stp>0</stp>
        <stp>STK</stp>
        <stp>N065660</stp>
        <stp>세션명</stp>
        <stp/>
        <stp/>
        <tr r="S556" s="1"/>
      </tp>
      <tp t="e">
        <v>#N/A</v>
        <stp/>
        <stp>P</stp>
        <stp>0</stp>
        <stp>STK</stp>
        <stp>N365340</stp>
        <stp>세션명</stp>
        <stp/>
        <stp/>
        <tr r="S422" s="1"/>
      </tp>
      <tp t="e">
        <v>#N/A</v>
        <stp/>
        <stp>P</stp>
        <stp>0</stp>
        <stp>STK</stp>
        <stp>N065350</stp>
        <stp>세션명</stp>
        <stp/>
        <stp/>
        <tr r="S242" s="1"/>
      </tp>
      <tp t="e">
        <v>#N/A</v>
        <stp/>
        <stp>P</stp>
        <stp>0</stp>
        <stp>STK</stp>
        <stp>N064820</stp>
        <stp>세션명</stp>
        <stp/>
        <stp/>
        <tr r="S551" s="1"/>
      </tp>
      <tp t="e">
        <v>#N/A</v>
        <stp/>
        <stp>P</stp>
        <stp>0</stp>
        <stp>STK</stp>
        <stp>N064960</stp>
        <stp>세션명</stp>
        <stp/>
        <stp/>
        <tr r="S302" s="1"/>
      </tp>
      <tp t="e">
        <v>#N/A</v>
        <stp/>
        <stp>P</stp>
        <stp>0</stp>
        <stp>STK</stp>
        <stp>N064400</stp>
        <stp>세션명</stp>
        <stp/>
        <stp/>
        <tr r="S94" s="1"/>
      </tp>
      <tp t="e">
        <v>#N/A</v>
        <stp/>
        <stp>P</stp>
        <stp>0</stp>
        <stp>STK</stp>
        <stp>N064550</stp>
        <stp>세션명</stp>
        <stp/>
        <stp/>
        <tr r="S616" s="1"/>
      </tp>
      <tp t="e">
        <v>#N/A</v>
        <stp/>
        <stp>P</stp>
        <stp>0</stp>
        <stp>STK</stp>
        <stp>N064760</stp>
        <stp>세션명</stp>
        <stp/>
        <stp/>
        <tr r="S218" s="1"/>
      </tp>
      <tp t="e">
        <v>#N/A</v>
        <stp/>
        <stp>P</stp>
        <stp>0</stp>
        <stp>STK</stp>
        <stp>N064350</stp>
        <stp>세션명</stp>
        <stp/>
        <stp/>
        <tr r="S37" s="1"/>
      </tp>
      <tp>
        <v>52708659250</v>
        <stp/>
        <stp>P</stp>
        <stp>0</stp>
        <stp>STK</stp>
        <stp>N0007C0</stp>
        <stp>누적거래대금</stp>
        <stp/>
        <stp/>
        <tr r="N688" s="1"/>
      </tp>
      <tp t="e">
        <v>#N/A</v>
        <stp/>
        <stp>P</stp>
        <stp>0</stp>
        <stp>STK</stp>
        <stp>N089980</stp>
        <stp>체결시간</stp>
        <stp/>
        <stp/>
        <tr r="T681" s="1"/>
      </tp>
      <tp t="e">
        <v>#N/A</v>
        <stp/>
        <stp>P</stp>
        <stp>0</stp>
        <stp>STK</stp>
        <stp>N089970</stp>
        <stp>체결시간</stp>
        <stp/>
        <stp/>
        <tr r="T409" s="1"/>
      </tp>
      <tp t="e">
        <v>#N/A</v>
        <stp/>
        <stp>P</stp>
        <stp>0</stp>
        <stp>STK</stp>
        <stp>N009970</stp>
        <stp>체결시간</stp>
        <stp/>
        <stp/>
        <tr r="T176" s="1"/>
      </tp>
      <tp t="e">
        <v>#N/A</v>
        <stp/>
        <stp>P</stp>
        <stp>0</stp>
        <stp>STK</stp>
        <stp>N069960</stp>
        <stp>체결시간</stp>
        <stp/>
        <stp/>
        <tr r="T206" s="1"/>
      </tp>
      <tp t="e">
        <v>#N/A</v>
        <stp/>
        <stp>P</stp>
        <stp>0</stp>
        <stp>STK</stp>
        <stp>N259960</stp>
        <stp>체결시간</stp>
        <stp/>
        <stp/>
        <tr r="T70" s="1"/>
      </tp>
      <tp t="e">
        <v>#N/A</v>
        <stp/>
        <stp>P</stp>
        <stp>0</stp>
        <stp>STK</stp>
        <stp>N079940</stp>
        <stp>체결시간</stp>
        <stp/>
        <stp/>
        <tr r="T520" s="1"/>
      </tp>
      <tp t="e">
        <v>#N/A</v>
        <stp/>
        <stp>P</stp>
        <stp>0</stp>
        <stp>STK</stp>
        <stp>N179900</stp>
        <stp>체결시간</stp>
        <stp/>
        <stp/>
        <tr r="T528" s="1"/>
      </tp>
      <tp t="e">
        <v>#N/A</v>
        <stp/>
        <stp>P</stp>
        <stp>0</stp>
        <stp>STK</stp>
        <stp>N009900</stp>
        <stp>체결시간</stp>
        <stp/>
        <stp/>
        <tr r="T467" s="1"/>
      </tp>
      <tp t="e">
        <v>#N/A</v>
        <stp/>
        <stp>P</stp>
        <stp>0</stp>
        <stp>STK</stp>
        <stp>N079900</stp>
        <stp>체결시간</stp>
        <stp/>
        <stp/>
        <tr r="T385" s="1"/>
      </tp>
      <tp t="e">
        <v>#N/A</v>
        <stp/>
        <stp>P</stp>
        <stp>0</stp>
        <stp>STK</stp>
        <stp>N089890</stp>
        <stp>체결시간</stp>
        <stp/>
        <stp/>
        <tr r="T523" s="1"/>
      </tp>
      <tp t="e">
        <v>#N/A</v>
        <stp/>
        <stp>P</stp>
        <stp>0</stp>
        <stp>STK</stp>
        <stp>N089860</stp>
        <stp>체결시간</stp>
        <stp/>
        <stp/>
        <tr r="T300" s="1"/>
      </tp>
      <tp t="e">
        <v>#N/A</v>
        <stp/>
        <stp>P</stp>
        <stp>0</stp>
        <stp>STK</stp>
        <stp>N119850</stp>
        <stp>체결시간</stp>
        <stp/>
        <stp/>
        <tr r="T435" s="1"/>
      </tp>
      <tp t="e">
        <v>#N/A</v>
        <stp/>
        <stp>P</stp>
        <stp>0</stp>
        <stp>STK</stp>
        <stp>N039840</stp>
        <stp>체결시간</stp>
        <stp/>
        <stp/>
        <tr r="T696" s="1"/>
      </tp>
      <tp t="e">
        <v>#N/A</v>
        <stp/>
        <stp>P</stp>
        <stp>0</stp>
        <stp>STK</stp>
        <stp>N009830</stp>
        <stp>체결시간</stp>
        <stp/>
        <stp/>
        <tr r="T116" s="1"/>
      </tp>
      <tp t="e">
        <v>#N/A</v>
        <stp/>
        <stp>P</stp>
        <stp>0</stp>
        <stp>STK</stp>
        <stp>N199800</stp>
        <stp>체결시간</stp>
        <stp/>
        <stp/>
        <tr r="T474" s="1"/>
      </tp>
      <tp t="e">
        <v>#N/A</v>
        <stp/>
        <stp>P</stp>
        <stp>0</stp>
        <stp>STK</stp>
        <stp>N419530</stp>
        <stp>체결시간</stp>
        <stp/>
        <stp/>
        <tr r="T580" s="1"/>
      </tp>
      <tp t="e">
        <v>#N/A</v>
        <stp/>
        <stp>P</stp>
        <stp>0</stp>
        <stp>STK</stp>
        <stp>N459510</stp>
        <stp>체결시간</stp>
        <stp/>
        <stp/>
        <tr r="T493" s="1"/>
      </tp>
      <tp t="e">
        <v>#N/A</v>
        <stp/>
        <stp>P</stp>
        <stp>0</stp>
        <stp>STK</stp>
        <stp>N079550</stp>
        <stp>체결시간</stp>
        <stp/>
        <stp/>
        <tr r="T69" s="1"/>
      </tp>
      <tp t="e">
        <v>#N/A</v>
        <stp/>
        <stp>P</stp>
        <stp>0</stp>
        <stp>STK</stp>
        <stp>N009540</stp>
        <stp>체결시간</stp>
        <stp/>
        <stp/>
        <tr r="T30" s="1"/>
      </tp>
      <tp t="e">
        <v>#N/A</v>
        <stp/>
        <stp>P</stp>
        <stp>0</stp>
        <stp>STK</stp>
        <stp>N029530</stp>
        <stp>체결시간</stp>
        <stp/>
        <stp/>
        <tr r="T502" s="1"/>
      </tp>
      <tp t="e">
        <v>#N/A</v>
        <stp/>
        <stp>P</stp>
        <stp>0</stp>
        <stp>STK</stp>
        <stp>N009520</stp>
        <stp>체결시간</stp>
        <stp/>
        <stp/>
        <tr r="T366" s="1"/>
      </tp>
      <tp t="e">
        <v>#N/A</v>
        <stp/>
        <stp>P</stp>
        <stp>0</stp>
        <stp>STK</stp>
        <stp>N039490</stp>
        <stp>체결시간</stp>
        <stp/>
        <stp/>
        <tr r="T85" s="1"/>
      </tp>
      <tp t="e">
        <v>#N/A</v>
        <stp/>
        <stp>P</stp>
        <stp>0</stp>
        <stp>STK</stp>
        <stp>N139480</stp>
        <stp>체결시간</stp>
        <stp/>
        <stp/>
        <tr r="T194" s="1"/>
      </tp>
      <tp t="e">
        <v>#N/A</v>
        <stp/>
        <stp>P</stp>
        <stp>0</stp>
        <stp>STK</stp>
        <stp>N029460</stp>
        <stp>체결시간</stp>
        <stp/>
        <stp/>
        <tr r="T557" s="1"/>
      </tp>
      <tp t="e">
        <v>#N/A</v>
        <stp/>
        <stp>P</stp>
        <stp>0</stp>
        <stp>STK</stp>
        <stp>N009450</stp>
        <stp>체결시간</stp>
        <stp/>
        <stp/>
        <tr r="T351" s="1"/>
      </tp>
      <tp t="e">
        <v>#N/A</v>
        <stp/>
        <stp>P</stp>
        <stp>0</stp>
        <stp>STK</stp>
        <stp>N389470</stp>
        <stp>체결시간</stp>
        <stp/>
        <stp/>
        <tr r="T329" s="1"/>
      </tp>
      <tp t="e">
        <v>#N/A</v>
        <stp/>
        <stp>P</stp>
        <stp>0</stp>
        <stp>STK</stp>
        <stp>N039440</stp>
        <stp>체결시간</stp>
        <stp/>
        <stp/>
        <tr r="T497" s="1"/>
      </tp>
      <tp t="e">
        <v>#N/A</v>
        <stp/>
        <stp>P</stp>
        <stp>0</stp>
        <stp>STK</stp>
        <stp>N199430</stp>
        <stp>체결시간</stp>
        <stp/>
        <stp/>
        <tr r="T488" s="1"/>
      </tp>
      <tp t="e">
        <v>#N/A</v>
        <stp/>
        <stp>P</stp>
        <stp>0</stp>
        <stp>STK</stp>
        <stp>N009420</stp>
        <stp>체결시간</stp>
        <stp/>
        <stp/>
        <tr r="T190" s="1"/>
      </tp>
      <tp t="e">
        <v>#N/A</v>
        <stp/>
        <stp>P</stp>
        <stp>0</stp>
        <stp>STK</stp>
        <stp>N249420</stp>
        <stp>체결시간</stp>
        <stp/>
        <stp/>
        <tr r="T288" s="1"/>
      </tp>
      <tp t="e">
        <v>#N/A</v>
        <stp/>
        <stp>P</stp>
        <stp>0</stp>
        <stp>STK</stp>
        <stp>N489790</stp>
        <stp>체결시간</stp>
        <stp/>
        <stp/>
        <tr r="T173" s="1"/>
      </tp>
      <tp t="e">
        <v>#N/A</v>
        <stp/>
        <stp>P</stp>
        <stp>0</stp>
        <stp>STK</stp>
        <stp>N499790</stp>
        <stp>체결시간</stp>
        <stp/>
        <stp/>
        <tr r="T362" s="1"/>
      </tp>
      <tp t="e">
        <v>#N/A</v>
        <stp/>
        <stp>P</stp>
        <stp>0</stp>
        <stp>STK</stp>
        <stp>N029780</stp>
        <stp>체결시간</stp>
        <stp/>
        <stp/>
        <tr r="T101" s="1"/>
      </tp>
      <tp t="e">
        <v>#N/A</v>
        <stp/>
        <stp>P</stp>
        <stp>0</stp>
        <stp>STK</stp>
        <stp>N309710</stp>
        <stp>체결시간</stp>
        <stp/>
        <stp/>
        <tr r="T517" s="1"/>
      </tp>
      <tp t="e">
        <v>#N/A</v>
        <stp/>
        <stp>P</stp>
        <stp>0</stp>
        <stp>STK</stp>
        <stp>N399720</stp>
        <stp>체결시간</stp>
        <stp/>
        <stp/>
        <tr r="T386" s="1"/>
      </tp>
      <tp t="e">
        <v>#N/A</v>
        <stp/>
        <stp>P</stp>
        <stp>0</stp>
        <stp>STK</stp>
        <stp>N009680</stp>
        <stp>체결시간</stp>
        <stp/>
        <stp/>
        <tr r="T635" s="1"/>
      </tp>
      <tp t="e">
        <v>#N/A</v>
        <stp/>
        <stp>P</stp>
        <stp>0</stp>
        <stp>STK</stp>
        <stp>N389650</stp>
        <stp>체결시간</stp>
        <stp/>
        <stp/>
        <tr r="T430" s="1"/>
      </tp>
      <tp t="e">
        <v>#N/A</v>
        <stp/>
        <stp>P</stp>
        <stp>0</stp>
        <stp>STK</stp>
        <stp>N229640</stp>
        <stp>체결시간</stp>
        <stp/>
        <stp/>
        <tr r="T292" s="1"/>
      </tp>
      <tp t="e">
        <v>#N/A</v>
        <stp/>
        <stp>P</stp>
        <stp>0</stp>
        <stp>STK</stp>
        <stp>N319660</stp>
        <stp>체결시간</stp>
        <stp/>
        <stp/>
        <tr r="T287" s="1"/>
      </tp>
      <tp t="e">
        <v>#N/A</v>
        <stp/>
        <stp>P</stp>
        <stp>0</stp>
        <stp>STK</stp>
        <stp>N469610</stp>
        <stp>체결시간</stp>
        <stp/>
        <stp/>
        <tr r="T699" s="1"/>
      </tp>
      <tp t="e">
        <v>#N/A</v>
        <stp/>
        <stp>P</stp>
        <stp>0</stp>
        <stp>STK</stp>
        <stp>N069620</stp>
        <stp>체결시간</stp>
        <stp/>
        <stp/>
        <tr r="T220" s="1"/>
      </tp>
      <tp t="e">
        <v>#N/A</v>
        <stp/>
        <stp>P</stp>
        <stp>0</stp>
        <stp>STK</stp>
        <stp>N329180</stp>
        <stp>체결시간</stp>
        <stp/>
        <stp/>
        <tr r="T16" s="1"/>
      </tp>
      <tp t="e">
        <v>#N/A</v>
        <stp/>
        <stp>P</stp>
        <stp>0</stp>
        <stp>STK</stp>
        <stp>N099190</stp>
        <stp>체결시간</stp>
        <stp/>
        <stp/>
        <tr r="T532" s="1"/>
      </tp>
      <tp t="e">
        <v>#N/A</v>
        <stp/>
        <stp>P</stp>
        <stp>0</stp>
        <stp>STK</stp>
        <stp>N019170</stp>
        <stp>체결시간</stp>
        <stp/>
        <stp/>
        <tr r="T411" s="1"/>
      </tp>
      <tp t="e">
        <v>#N/A</v>
        <stp/>
        <stp>P</stp>
        <stp>0</stp>
        <stp>STK</stp>
        <stp>N009150</stp>
        <stp>체결시간</stp>
        <stp/>
        <stp/>
        <tr r="T42" s="1"/>
      </tp>
      <tp t="e">
        <v>#N/A</v>
        <stp/>
        <stp>P</stp>
        <stp>0</stp>
        <stp>STK</stp>
        <stp>N039130</stp>
        <stp>체결시간</stp>
        <stp/>
        <stp/>
        <tr r="T388" s="1"/>
      </tp>
      <tp t="e">
        <v>#N/A</v>
        <stp/>
        <stp>P</stp>
        <stp>0</stp>
        <stp>STK</stp>
        <stp>N139130</stp>
        <stp>체결시간</stp>
        <stp/>
        <stp/>
        <tr r="T196" s="1"/>
      </tp>
      <tp t="e">
        <v>#N/A</v>
        <stp/>
        <stp>P</stp>
        <stp>0</stp>
        <stp>STK</stp>
        <stp>N439090</stp>
        <stp>체결시간</stp>
        <stp/>
        <stp/>
        <tr r="T695" s="1"/>
      </tp>
      <tp t="e">
        <v>#N/A</v>
        <stp/>
        <stp>P</stp>
        <stp>0</stp>
        <stp>STK</stp>
        <stp>N059090</stp>
        <stp>체결시간</stp>
        <stp/>
        <stp/>
        <tr r="T518" s="1"/>
      </tp>
      <tp t="e">
        <v>#N/A</v>
        <stp/>
        <stp>P</stp>
        <stp>0</stp>
        <stp>STK</stp>
        <stp>N069080</stp>
        <stp>체결시간</stp>
        <stp/>
        <stp/>
        <tr r="T526" s="1"/>
      </tp>
      <tp t="e">
        <v>#N/A</v>
        <stp/>
        <stp>P</stp>
        <stp>0</stp>
        <stp>STK</stp>
        <stp>N049070</stp>
        <stp>체결시간</stp>
        <stp/>
        <stp/>
        <tr r="T522" s="1"/>
      </tp>
      <tp t="e">
        <v>#N/A</v>
        <stp/>
        <stp>P</stp>
        <stp>0</stp>
        <stp>STK</stp>
        <stp>N089030</stp>
        <stp>체결시간</stp>
        <stp/>
        <stp/>
        <tr r="T250" s="1"/>
      </tp>
      <tp t="e">
        <v>#N/A</v>
        <stp/>
        <stp>P</stp>
        <stp>0</stp>
        <stp>STK</stp>
        <stp>N039030</stp>
        <stp>체결시간</stp>
        <stp/>
        <stp/>
        <tr r="T139" s="1"/>
      </tp>
      <tp t="e">
        <v>#N/A</v>
        <stp/>
        <stp>P</stp>
        <stp>0</stp>
        <stp>STK</stp>
        <stp>N089010</stp>
        <stp>체결시간</stp>
        <stp/>
        <stp/>
        <tr r="T466" s="1"/>
      </tp>
      <tp t="e">
        <v>#N/A</v>
        <stp/>
        <stp>P</stp>
        <stp>0</stp>
        <stp>STK</stp>
        <stp>N299030</stp>
        <stp>체결시간</stp>
        <stp/>
        <stp/>
        <tr r="T694" s="1"/>
      </tp>
      <tp t="e">
        <v>#N/A</v>
        <stp/>
        <stp>P</stp>
        <stp>0</stp>
        <stp>STK</stp>
        <stp>N079370</stp>
        <stp>체결시간</stp>
        <stp/>
        <stp/>
        <tr r="T490" s="1"/>
      </tp>
      <tp t="e">
        <v>#N/A</v>
        <stp/>
        <stp>P</stp>
        <stp>0</stp>
        <stp>STK</stp>
        <stp>N189300</stp>
        <stp>체결시간</stp>
        <stp/>
        <stp/>
        <tr r="T359" s="1"/>
      </tp>
      <tp t="e">
        <v>#N/A</v>
        <stp/>
        <stp>P</stp>
        <stp>0</stp>
        <stp>STK</stp>
        <stp>N069260</stp>
        <stp>체결시간</stp>
        <stp/>
        <stp/>
        <tr r="T372" s="1"/>
      </tp>
      <tp t="e">
        <v>#N/A</v>
        <stp/>
        <stp>P</stp>
        <stp>0</stp>
        <stp>STK</stp>
        <stp>N389260</stp>
        <stp>체결시간</stp>
        <stp/>
        <stp/>
        <tr r="T615" s="1"/>
      </tp>
      <tp t="e">
        <v>#N/A</v>
        <stp/>
        <stp>P</stp>
        <stp>0</stp>
        <stp>STK</stp>
        <stp>N009240</stp>
        <stp>체결시간</stp>
        <stp/>
        <stp/>
        <tr r="T304" s="1"/>
      </tp>
      <tp t="e">
        <v>#N/A</v>
        <stp/>
        <stp>P</stp>
        <stp>0</stp>
        <stp>STK</stp>
        <stp>N439260</stp>
        <stp>체결시간</stp>
        <stp/>
        <stp/>
        <tr r="T172" s="1"/>
      </tp>
      <tp t="e">
        <v>#N/A</v>
        <stp/>
        <stp>P</stp>
        <stp>0</stp>
        <stp>STK</stp>
        <stp>N039200</stp>
        <stp>체결시간</stp>
        <stp/>
        <stp/>
        <tr r="T239" s="1"/>
      </tp>
      <tp t="e">
        <v>#N/A</v>
        <stp/>
        <stp>P</stp>
        <stp>0</stp>
        <stp>STK</stp>
        <stp>N119850</stp>
        <stp>세션명</stp>
        <stp/>
        <stp/>
        <tr r="S435" s="1"/>
      </tp>
      <tp t="e">
        <v>#N/A</v>
        <stp/>
        <stp>P</stp>
        <stp>0</stp>
        <stp>STK</stp>
        <stp>N419530</stp>
        <stp>세션명</stp>
        <stp/>
        <stp/>
        <tr r="S580" s="1"/>
      </tp>
      <tp t="e">
        <v>#N/A</v>
        <stp/>
        <stp>P</stp>
        <stp>0</stp>
        <stp>STK</stp>
        <stp>N319660</stp>
        <stp>세션명</stp>
        <stp/>
        <stp/>
        <tr r="S287" s="1"/>
      </tp>
      <tp t="e">
        <v>#N/A</v>
        <stp/>
        <stp>P</stp>
        <stp>0</stp>
        <stp>STK</stp>
        <stp>N019170</stp>
        <stp>세션명</stp>
        <stp/>
        <stp/>
        <tr r="S411" s="1"/>
      </tp>
      <tp t="e">
        <v>#N/A</v>
        <stp/>
        <stp>P</stp>
        <stp>0</stp>
        <stp>STK</stp>
        <stp>N018880</stp>
        <stp>세션명</stp>
        <stp/>
        <stp/>
        <tr r="S145" s="1"/>
      </tp>
      <tp t="e">
        <v>#N/A</v>
        <stp/>
        <stp>P</stp>
        <stp>0</stp>
        <stp>STK</stp>
        <stp>N218410</stp>
        <stp>세션명</stp>
        <stp/>
        <stp/>
        <tr r="S327" s="1"/>
      </tp>
      <tp t="e">
        <v>#N/A</v>
        <stp/>
        <stp>P</stp>
        <stp>0</stp>
        <stp>STK</stp>
        <stp>N018670</stp>
        <stp>세션명</stp>
        <stp/>
        <stp/>
        <tr r="S209" s="1"/>
      </tp>
      <tp t="e">
        <v>#N/A</v>
        <stp/>
        <stp>P</stp>
        <stp>0</stp>
        <stp>STK</stp>
        <stp>N018290</stp>
        <stp>세션명</stp>
        <stp/>
        <stp/>
        <tr r="S442" s="1"/>
      </tp>
      <tp t="e">
        <v>#N/A</v>
        <stp/>
        <stp>P</stp>
        <stp>0</stp>
        <stp>STK</stp>
        <stp>N018260</stp>
        <stp>세션명</stp>
        <stp/>
        <stp/>
        <tr r="S63" s="1"/>
      </tp>
      <tp t="e">
        <v>#N/A</v>
        <stp/>
        <stp>P</stp>
        <stp>0</stp>
        <stp>STK</stp>
        <stp>N018250</stp>
        <stp>세션명</stp>
        <stp/>
        <stp/>
        <tr r="S593" s="1"/>
      </tp>
      <tp t="e">
        <v>#N/A</v>
        <stp/>
        <stp>P</stp>
        <stp>0</stp>
        <stp>STK</stp>
        <stp>N018310</stp>
        <stp>세션명</stp>
        <stp/>
        <stp/>
        <tr r="S647" s="1"/>
      </tp>
      <tp t="e">
        <v>#N/A</v>
        <stp/>
        <stp>P</stp>
        <stp>0</stp>
        <stp>STK</stp>
        <stp>N013890</stp>
        <stp>세션명</stp>
        <stp/>
        <stp/>
        <tr r="S656" s="1"/>
      </tp>
      <tp t="e">
        <v>#N/A</v>
        <stp/>
        <stp>P</stp>
        <stp>0</stp>
        <stp>STK</stp>
        <stp>N213420</stp>
        <stp>세션명</stp>
        <stp/>
        <stp/>
        <tr r="S338" s="1"/>
      </tp>
      <tp t="e">
        <v>#N/A</v>
        <stp/>
        <stp>P</stp>
        <stp>0</stp>
        <stp>STK</stp>
        <stp>N013030</stp>
        <stp>세션명</stp>
        <stp/>
        <stp/>
        <tr r="S558" s="1"/>
      </tp>
      <tp t="e">
        <v>#N/A</v>
        <stp/>
        <stp>P</stp>
        <stp>0</stp>
        <stp>STK</stp>
        <stp>N012450</stp>
        <stp>세션명</stp>
        <stp/>
        <stp/>
        <tr r="S15" s="1"/>
      </tp>
      <tp t="e">
        <v>#N/A</v>
        <stp/>
        <stp>P</stp>
        <stp>0</stp>
        <stp>STK</stp>
        <stp>N012510</stp>
        <stp>세션명</stp>
        <stp/>
        <stp/>
        <tr r="S158" s="1"/>
      </tp>
      <tp t="e">
        <v>#N/A</v>
        <stp/>
        <stp>P</stp>
        <stp>0</stp>
        <stp>STK</stp>
        <stp>N012630</stp>
        <stp>세션명</stp>
        <stp/>
        <stp/>
        <tr r="S312" s="1"/>
      </tp>
      <tp t="e">
        <v>#N/A</v>
        <stp/>
        <stp>P</stp>
        <stp>0</stp>
        <stp>STK</stp>
        <stp>N112610</stp>
        <stp>세션명</stp>
        <stp/>
        <stp/>
        <tr r="S240" s="1"/>
      </tp>
      <tp t="e">
        <v>#N/A</v>
        <stp/>
        <stp>P</stp>
        <stp>0</stp>
        <stp>STK</stp>
        <stp>N0126Z0</stp>
        <stp>세션명</stp>
        <stp/>
        <stp/>
        <tr r="S60" s="1"/>
      </tp>
      <tp t="e">
        <v>#N/A</v>
        <stp/>
        <stp>P</stp>
        <stp>0</stp>
        <stp>STK</stp>
        <stp>N012750</stp>
        <stp>세션명</stp>
        <stp/>
        <stp/>
        <tr r="S156" s="1"/>
      </tp>
      <tp t="e">
        <v>#N/A</v>
        <stp/>
        <stp>P</stp>
        <stp>0</stp>
        <stp>STK</stp>
        <stp>N112040</stp>
        <stp>세션명</stp>
        <stp/>
        <stp/>
        <tr r="S337" s="1"/>
      </tp>
      <tp t="e">
        <v>#N/A</v>
        <stp/>
        <stp>P</stp>
        <stp>0</stp>
        <stp>STK</stp>
        <stp>N0120G0</stp>
        <stp>세션명</stp>
        <stp/>
        <stp/>
        <tr r="S436" s="1"/>
      </tp>
      <tp t="e">
        <v>#N/A</v>
        <stp/>
        <stp>P</stp>
        <stp>0</stp>
        <stp>STK</stp>
        <stp>N012330</stp>
        <stp>세션명</stp>
        <stp/>
        <stp/>
        <tr r="S22" s="1"/>
      </tp>
      <tp t="e">
        <v>#N/A</v>
        <stp/>
        <stp>P</stp>
        <stp>0</stp>
        <stp>STK</stp>
        <stp>N011500</stp>
        <stp>세션명</stp>
        <stp/>
        <stp/>
        <tr r="S634" s="1"/>
      </tp>
      <tp t="e">
        <v>#N/A</v>
        <stp/>
        <stp>P</stp>
        <stp>0</stp>
        <stp>STK</stp>
        <stp>N011790</stp>
        <stp>세션명</stp>
        <stp/>
        <stp/>
        <tr r="S126" s="1"/>
      </tp>
      <tp t="e">
        <v>#N/A</v>
        <stp/>
        <stp>P</stp>
        <stp>0</stp>
        <stp>STK</stp>
        <stp>N011780</stp>
        <stp>세션명</stp>
        <stp/>
        <stp/>
        <tr r="S136" s="1"/>
      </tp>
      <tp t="e">
        <v>#N/A</v>
        <stp/>
        <stp>P</stp>
        <stp>0</stp>
        <stp>STK</stp>
        <stp>N011760</stp>
        <stp>세션명</stp>
        <stp/>
        <stp/>
        <tr r="S639" s="1"/>
      </tp>
      <tp t="e">
        <v>#N/A</v>
        <stp/>
        <stp>P</stp>
        <stp>0</stp>
        <stp>STK</stp>
        <stp>N111770</stp>
        <stp>세션명</stp>
        <stp/>
        <stp/>
        <tr r="S138" s="1"/>
      </tp>
      <tp t="e">
        <v>#N/A</v>
        <stp/>
        <stp>P</stp>
        <stp>0</stp>
        <stp>STK</stp>
        <stp>N011070</stp>
        <stp>세션명</stp>
        <stp/>
        <stp/>
        <tr r="S97" s="1"/>
      </tp>
      <tp t="e">
        <v>#N/A</v>
        <stp/>
        <stp>P</stp>
        <stp>0</stp>
        <stp>STK</stp>
        <stp>N211050</stp>
        <stp>세션명</stp>
        <stp/>
        <stp/>
        <tr r="S424" s="1"/>
      </tp>
      <tp t="e">
        <v>#N/A</v>
        <stp/>
        <stp>P</stp>
        <stp>0</stp>
        <stp>STK</stp>
        <stp>N011170</stp>
        <stp>세션명</stp>
        <stp/>
        <stp/>
        <tr r="S152" s="1"/>
      </tp>
      <tp t="e">
        <v>#N/A</v>
        <stp/>
        <stp>P</stp>
        <stp>0</stp>
        <stp>STK</stp>
        <stp>N011210</stp>
        <stp>세션명</stp>
        <stp/>
        <stp/>
        <tr r="S167" s="1"/>
      </tp>
      <tp t="e">
        <v>#N/A</v>
        <stp/>
        <stp>P</stp>
        <stp>0</stp>
        <stp>STK</stp>
        <stp>N011200</stp>
        <stp>세션명</stp>
        <stp/>
        <stp/>
        <tr r="S46" s="1"/>
      </tp>
      <tp t="e">
        <v>#N/A</v>
        <stp/>
        <stp>P</stp>
        <stp>0</stp>
        <stp>STK</stp>
        <stp>N110990</stp>
        <stp>세션명</stp>
        <stp/>
        <stp/>
        <tr r="S586" s="1"/>
      </tp>
      <tp t="e">
        <v>#N/A</v>
        <stp/>
        <stp>P</stp>
        <stp>0</stp>
        <stp>STK</stp>
        <stp>N010950</stp>
        <stp>세션명</stp>
        <stp/>
        <stp/>
        <tr r="S72" s="1"/>
      </tp>
      <tp t="e">
        <v>#N/A</v>
        <stp/>
        <stp>P</stp>
        <stp>0</stp>
        <stp>STK</stp>
        <stp>N010690</stp>
        <stp>세션명</stp>
        <stp/>
        <stp/>
        <tr r="S563" s="1"/>
      </tp>
      <tp t="e">
        <v>#N/A</v>
        <stp/>
        <stp>P</stp>
        <stp>0</stp>
        <stp>STK</stp>
        <stp>N010780</stp>
        <stp>세션명</stp>
        <stp/>
        <stp/>
        <tr r="S398" s="1"/>
      </tp>
      <tp t="e">
        <v>#N/A</v>
        <stp/>
        <stp>P</stp>
        <stp>0</stp>
        <stp>STK</stp>
        <stp>N010060</stp>
        <stp>세션명</stp>
        <stp/>
        <stp/>
        <tr r="S202" s="1"/>
      </tp>
      <tp t="e">
        <v>#N/A</v>
        <stp/>
        <stp>P</stp>
        <stp>0</stp>
        <stp>STK</stp>
        <stp>N010140</stp>
        <stp>세션명</stp>
        <stp/>
        <stp/>
        <tr r="S33" s="1"/>
      </tp>
      <tp t="e">
        <v>#N/A</v>
        <stp/>
        <stp>P</stp>
        <stp>0</stp>
        <stp>STK</stp>
        <stp>N010130</stp>
        <stp>세션명</stp>
        <stp/>
        <stp/>
        <tr r="S28" s="1"/>
      </tp>
      <tp t="e">
        <v>#N/A</v>
        <stp/>
        <stp>P</stp>
        <stp>0</stp>
        <stp>STK</stp>
        <stp>N010120</stp>
        <stp>세션명</stp>
        <stp/>
        <stp/>
        <tr r="S58" s="1"/>
      </tp>
      <tp t="e">
        <v>#N/A</v>
        <stp/>
        <stp>P</stp>
        <stp>0</stp>
        <stp>STK</stp>
        <stp>N310210</stp>
        <stp>세션명</stp>
        <stp/>
        <stp/>
        <tr r="S148" s="1"/>
      </tp>
      <tp t="e">
        <v>#N/A</v>
        <stp/>
        <stp>P</stp>
        <stp>0</stp>
        <stp>STK</stp>
        <stp>N017860</stp>
        <stp>세션명</stp>
        <stp/>
        <stp/>
        <tr r="S597" s="1"/>
      </tp>
      <tp t="e">
        <v>#N/A</v>
        <stp/>
        <stp>P</stp>
        <stp>0</stp>
        <stp>STK</stp>
        <stp>N017810</stp>
        <stp>세션명</stp>
        <stp/>
        <stp/>
        <tr r="S482" s="1"/>
      </tp>
      <tp t="e">
        <v>#N/A</v>
        <stp/>
        <stp>P</stp>
        <stp>0</stp>
        <stp>STK</stp>
        <stp>N017800</stp>
        <stp>세션명</stp>
        <stp/>
        <stp/>
        <tr r="S140" s="1"/>
      </tp>
      <tp t="e">
        <v>#N/A</v>
        <stp/>
        <stp>P</stp>
        <stp>0</stp>
        <stp>STK</stp>
        <stp>N017960</stp>
        <stp>세션명</stp>
        <stp/>
        <stp/>
        <tr r="S221" s="1"/>
      </tp>
      <tp t="e">
        <v>#N/A</v>
        <stp/>
        <stp>P</stp>
        <stp>0</stp>
        <stp>STK</stp>
        <stp>N017940</stp>
        <stp>세션명</stp>
        <stp/>
        <stp/>
        <tr r="S447" s="1"/>
      </tp>
      <tp t="e">
        <v>#N/A</v>
        <stp/>
        <stp>P</stp>
        <stp>0</stp>
        <stp>STK</stp>
        <stp>N317450</stp>
        <stp>세션명</stp>
        <stp/>
        <stp/>
        <tr r="S342" s="1"/>
      </tp>
      <tp t="e">
        <v>#N/A</v>
        <stp/>
        <stp>P</stp>
        <stp>0</stp>
        <stp>STK</stp>
        <stp>N217590</stp>
        <stp>세션명</stp>
        <stp/>
        <stp/>
        <tr r="S545" s="1"/>
      </tp>
      <tp t="e">
        <v>#N/A</v>
        <stp/>
        <stp>P</stp>
        <stp>0</stp>
        <stp>STK</stp>
        <stp>N017670</stp>
        <stp>세션명</stp>
        <stp/>
        <stp/>
        <tr r="S66" s="1"/>
      </tp>
      <tp t="e">
        <v>#N/A</v>
        <stp/>
        <stp>P</stp>
        <stp>0</stp>
        <stp>STK</stp>
        <stp>N117730</stp>
        <stp>세션명</stp>
        <stp/>
        <stp/>
        <tr r="S414" s="1"/>
      </tp>
      <tp t="e">
        <v>#N/A</v>
        <stp/>
        <stp>P</stp>
        <stp>0</stp>
        <stp>STK</stp>
        <stp>N417200</stp>
        <stp>세션명</stp>
        <stp/>
        <stp/>
        <tr r="S336" s="1"/>
      </tp>
      <tp t="e">
        <v>#N/A</v>
        <stp/>
        <stp>P</stp>
        <stp>0</stp>
        <stp>STK</stp>
        <stp>N017390</stp>
        <stp>세션명</stp>
        <stp/>
        <stp/>
        <tr r="S604" s="1"/>
      </tp>
      <tp t="e">
        <v>#N/A</v>
        <stp/>
        <stp>P</stp>
        <stp>0</stp>
        <stp>STK</stp>
        <stp>N317330</stp>
        <stp>세션명</stp>
        <stp/>
        <stp/>
        <tr r="S577" s="1"/>
      </tp>
      <tp t="e">
        <v>#N/A</v>
        <stp/>
        <stp>P</stp>
        <stp>0</stp>
        <stp>STK</stp>
        <stp>N016800</stp>
        <stp>세션명</stp>
        <stp/>
        <stp/>
        <tr r="S478" s="1"/>
      </tp>
      <tp t="e">
        <v>#N/A</v>
        <stp/>
        <stp>P</stp>
        <stp>0</stp>
        <stp>STK</stp>
        <stp>N016590</stp>
        <stp>세션명</stp>
        <stp/>
        <stp/>
        <tr r="S465" s="1"/>
      </tp>
      <tp t="e">
        <v>#N/A</v>
        <stp/>
        <stp>P</stp>
        <stp>0</stp>
        <stp>STK</stp>
        <stp>N016610</stp>
        <stp>세션명</stp>
        <stp/>
        <stp/>
        <tr r="S486" s="1"/>
      </tp>
      <tp t="e">
        <v>#N/A</v>
        <stp/>
        <stp>P</stp>
        <stp>0</stp>
        <stp>STK</stp>
        <stp>N416180</stp>
        <stp>세션명</stp>
        <stp/>
        <stp/>
        <tr r="S637" s="1"/>
      </tp>
      <tp t="e">
        <v>#N/A</v>
        <stp/>
        <stp>P</stp>
        <stp>0</stp>
        <stp>STK</stp>
        <stp>N316140</stp>
        <stp>세션명</stp>
        <stp/>
        <stp/>
        <tr r="S43" s="1"/>
      </tp>
      <tp t="e">
        <v>#N/A</v>
        <stp/>
        <stp>P</stp>
        <stp>0</stp>
        <stp>STK</stp>
        <stp>N016360</stp>
        <stp>세션명</stp>
        <stp/>
        <stp/>
        <tr r="S91" s="1"/>
      </tp>
      <tp t="e">
        <v>#N/A</v>
        <stp/>
        <stp>P</stp>
        <stp>0</stp>
        <stp>STK</stp>
        <stp>N015760</stp>
        <stp>세션명</stp>
        <stp/>
        <stp/>
        <tr r="S24" s="1"/>
      </tp>
      <tp t="e">
        <v>#N/A</v>
        <stp/>
        <stp>P</stp>
        <stp>0</stp>
        <stp>STK</stp>
        <stp>N015750</stp>
        <stp>세션명</stp>
        <stp/>
        <stp/>
        <tr r="S407" s="1"/>
      </tp>
      <tp t="e">
        <v>#N/A</v>
        <stp/>
        <stp>P</stp>
        <stp>0</stp>
        <stp>STK</stp>
        <stp>N215000</stp>
        <stp>세션명</stp>
        <stp/>
        <stp/>
        <tr r="S595" s="1"/>
      </tp>
      <tp t="e">
        <v>#N/A</v>
        <stp/>
        <stp>P</stp>
        <stp>0</stp>
        <stp>STK</stp>
        <stp>N215200</stp>
        <stp>세션명</stp>
        <stp/>
        <stp/>
        <tr r="S538" s="1"/>
      </tp>
      <tp t="e">
        <v>#N/A</v>
        <stp/>
        <stp>P</stp>
        <stp>0</stp>
        <stp>STK</stp>
        <stp>N015360</stp>
        <stp>세션명</stp>
        <stp/>
        <stp/>
        <tr r="S552" s="1"/>
      </tp>
      <tp t="e">
        <v>#N/A</v>
        <stp/>
        <stp>P</stp>
        <stp>0</stp>
        <stp>STK</stp>
        <stp>N114840</stp>
        <stp>세션명</stp>
        <stp/>
        <stp/>
        <tr r="S664" s="1"/>
      </tp>
      <tp t="e">
        <v>#N/A</v>
        <stp/>
        <stp>P</stp>
        <stp>0</stp>
        <stp>STK</stp>
        <stp>N014830</stp>
        <stp>세션명</stp>
        <stp/>
        <stp/>
        <tr r="S487" s="1"/>
      </tp>
      <tp t="e">
        <v>#N/A</v>
        <stp/>
        <stp>P</stp>
        <stp>0</stp>
        <stp>STK</stp>
        <stp>N014820</stp>
        <stp>세션명</stp>
        <stp/>
        <stp/>
        <tr r="S384" s="1"/>
      </tp>
      <tp t="e">
        <v>#N/A</v>
        <stp/>
        <stp>P</stp>
        <stp>0</stp>
        <stp>STK</stp>
        <stp>N114810</stp>
        <stp>세션명</stp>
        <stp/>
        <stp/>
        <tr r="S606" s="1"/>
      </tp>
      <tp t="e">
        <v>#N/A</v>
        <stp/>
        <stp>P</stp>
        <stp>0</stp>
        <stp>STK</stp>
        <stp>N014940</stp>
        <stp>세션명</stp>
        <stp/>
        <stp/>
        <tr r="S553" s="1"/>
      </tp>
      <tp t="e">
        <v>#N/A</v>
        <stp/>
        <stp>P</stp>
        <stp>0</stp>
        <stp>STK</stp>
        <stp>N314930</stp>
        <stp>세션명</stp>
        <stp/>
        <stp/>
        <tr r="S576" s="1"/>
      </tp>
      <tp t="e">
        <v>#N/A</v>
        <stp/>
        <stp>P</stp>
        <stp>0</stp>
        <stp>STK</stp>
        <stp>N214450</stp>
        <stp>세션명</stp>
        <stp/>
        <stp/>
        <tr r="S120" s="1"/>
      </tp>
      <tp t="e">
        <v>#N/A</v>
        <stp/>
        <stp>P</stp>
        <stp>0</stp>
        <stp>STK</stp>
        <stp>N214430</stp>
        <stp>세션명</stp>
        <stp/>
        <stp/>
        <tr r="S417" s="1"/>
      </tp>
      <tp t="e">
        <v>#N/A</v>
        <stp/>
        <stp>P</stp>
        <stp>0</stp>
        <stp>STK</stp>
        <stp>N014680</stp>
        <stp>세션명</stp>
        <stp/>
        <stp/>
        <tr r="S155" s="1"/>
      </tp>
      <tp t="e">
        <v>#N/A</v>
        <stp/>
        <stp>P</stp>
        <stp>0</stp>
        <stp>STK</stp>
        <stp>N014620</stp>
        <stp>세션명</stp>
        <stp/>
        <stp/>
        <tr r="S364" s="1"/>
      </tp>
      <tp t="e">
        <v>#N/A</v>
        <stp/>
        <stp>P</stp>
        <stp>0</stp>
        <stp>STK</stp>
        <stp>N114090</stp>
        <stp>세션명</stp>
        <stp/>
        <stp/>
        <tr r="S354" s="1"/>
      </tp>
      <tp t="e">
        <v>#N/A</v>
        <stp/>
        <stp>P</stp>
        <stp>0</stp>
        <stp>STK</stp>
        <stp>N114190</stp>
        <stp>세션명</stp>
        <stp/>
        <stp/>
        <tr r="S566" s="1"/>
      </tp>
      <tp t="e">
        <v>#N/A</v>
        <stp/>
        <stp>P</stp>
        <stp>0</stp>
        <stp>STK</stp>
        <stp>N214150</stp>
        <stp>세션명</stp>
        <stp/>
        <stp/>
        <tr r="S132" s="1"/>
      </tp>
      <tp t="e">
        <v>#N/A</v>
        <stp/>
        <stp>P</stp>
        <stp>0</stp>
        <stp>STK</stp>
        <stp>N214370</stp>
        <stp>세션명</stp>
        <stp/>
        <stp/>
        <tr r="S129" s="1"/>
      </tp>
      <tp t="e">
        <v>#N/A</v>
        <stp/>
        <stp>P</stp>
        <stp>0</stp>
        <stp>STK</stp>
        <stp>N214320</stp>
        <stp>세션명</stp>
        <stp/>
        <stp/>
        <tr r="S378" s="1"/>
      </tp>
      <tp t="e">
        <v>#N/A</v>
        <stp/>
        <stp>P</stp>
        <stp>0</stp>
        <stp>STK</stp>
        <stp>N058970</stp>
        <stp>체결시간</stp>
        <stp/>
        <stp/>
        <tr r="T512" s="1"/>
      </tp>
      <tp t="e">
        <v>#N/A</v>
        <stp/>
        <stp>P</stp>
        <stp>0</stp>
        <stp>STK</stp>
        <stp>N128940</stp>
        <stp>체결시간</stp>
        <stp/>
        <stp/>
        <tr r="T109" s="1"/>
      </tp>
      <tp t="e">
        <v>#N/A</v>
        <stp/>
        <stp>P</stp>
        <stp>0</stp>
        <stp>STK</stp>
        <stp>N448900</stp>
        <stp>체결시간</stp>
        <stp/>
        <stp/>
        <tr r="T489" s="1"/>
      </tp>
      <tp t="e">
        <v>#N/A</v>
        <stp/>
        <stp>P</stp>
        <stp>0</stp>
        <stp>STK</stp>
        <stp>N008930</stp>
        <stp>체결시간</stp>
        <stp/>
        <stp/>
        <tr r="T168" s="1"/>
      </tp>
      <tp t="e">
        <v>#N/A</v>
        <stp/>
        <stp>P</stp>
        <stp>0</stp>
        <stp>STK</stp>
        <stp>N078930</stp>
        <stp>체결시간</stp>
        <stp/>
        <stp/>
        <tr r="T104" s="1"/>
      </tp>
      <tp t="e">
        <v>#N/A</v>
        <stp/>
        <stp>P</stp>
        <stp>0</stp>
        <stp>STK</stp>
        <stp>N178920</stp>
        <stp>체결시간</stp>
        <stp/>
        <stp/>
        <tr r="T504" s="1"/>
      </tp>
      <tp t="e">
        <v>#N/A</v>
        <stp/>
        <stp>P</stp>
        <stp>0</stp>
        <stp>STK</stp>
        <stp>N138930</stp>
        <stp>체결시간</stp>
        <stp/>
        <stp/>
        <tr r="T115" s="1"/>
      </tp>
      <tp t="e">
        <v>#N/A</v>
        <stp/>
        <stp>P</stp>
        <stp>0</stp>
        <stp>STK</stp>
        <stp>N018880</stp>
        <stp>체결시간</stp>
        <stp/>
        <stp/>
        <tr r="T145" s="1"/>
      </tp>
      <tp t="e">
        <v>#N/A</v>
        <stp/>
        <stp>P</stp>
        <stp>0</stp>
        <stp>STK</stp>
        <stp>N108860</stp>
        <stp>체결시간</stp>
        <stp/>
        <stp/>
        <tr r="T603" s="1"/>
      </tp>
      <tp t="e">
        <v>#N/A</v>
        <stp/>
        <stp>P</stp>
        <stp>0</stp>
        <stp>STK</stp>
        <stp>N338840</stp>
        <stp>체결시간</stp>
        <stp/>
        <stp/>
        <tr r="T583" s="1"/>
      </tp>
      <tp t="e">
        <v>#N/A</v>
        <stp/>
        <stp>P</stp>
        <stp>0</stp>
        <stp>STK</stp>
        <stp>N458870</stp>
        <stp>체결시간</stp>
        <stp/>
        <stp/>
        <tr r="T224" s="1"/>
      </tp>
      <tp t="e">
        <v>#N/A</v>
        <stp/>
        <stp>P</stp>
        <stp>0</stp>
        <stp>STK</stp>
        <stp>N468530</stp>
        <stp>체결시간</stp>
        <stp/>
        <stp/>
        <tr r="T340" s="1"/>
      </tp>
      <tp t="e">
        <v>#N/A</v>
        <stp/>
        <stp>P</stp>
        <stp>0</stp>
        <stp>STK</stp>
        <stp>N358570</stp>
        <stp>체결시간</stp>
        <stp/>
        <stp/>
        <tr r="T339" s="1"/>
      </tp>
      <tp t="e">
        <v>#N/A</v>
        <stp/>
        <stp>P</stp>
        <stp>0</stp>
        <stp>STK</stp>
        <stp>N078520</stp>
        <stp>체결시간</stp>
        <stp/>
        <stp/>
        <tr r="T673" s="1"/>
      </tp>
      <tp t="e">
        <v>#N/A</v>
        <stp/>
        <stp>P</stp>
        <stp>0</stp>
        <stp>STK</stp>
        <stp>N008490</stp>
        <stp>체결시간</stp>
        <stp/>
        <stp/>
        <tr r="T689" s="1"/>
      </tp>
      <tp t="e">
        <v>#N/A</v>
        <stp/>
        <stp>P</stp>
        <stp>0</stp>
        <stp>STK</stp>
        <stp>N108490</stp>
        <stp>체결시간</stp>
        <stp/>
        <stp/>
        <tr r="T135" s="1"/>
      </tp>
      <tp t="e">
        <v>#N/A</v>
        <stp/>
        <stp>P</stp>
        <stp>0</stp>
        <stp>STK</stp>
        <stp>N138490</stp>
        <stp>체결시간</stp>
        <stp/>
        <stp/>
        <tr r="T611" s="1"/>
      </tp>
      <tp t="e">
        <v>#N/A</v>
        <stp/>
        <stp>P</stp>
        <stp>0</stp>
        <stp>STK</stp>
        <stp>N058470</stp>
        <stp>체결시간</stp>
        <stp/>
        <stp/>
        <tr r="T112" s="1"/>
      </tp>
      <tp t="e">
        <v>#N/A</v>
        <stp/>
        <stp>P</stp>
        <stp>0</stp>
        <stp>STK</stp>
        <stp>N098460</stp>
        <stp>체결시간</stp>
        <stp/>
        <stp/>
        <tr r="T205" s="1"/>
      </tp>
      <tp t="e">
        <v>#N/A</v>
        <stp/>
        <stp>P</stp>
        <stp>0</stp>
        <stp>STK</stp>
        <stp>N278470</stp>
        <stp>체결시간</stp>
        <stp/>
        <stp/>
        <tr r="T77" s="1"/>
      </tp>
      <tp t="e">
        <v>#N/A</v>
        <stp/>
        <stp>P</stp>
        <stp>0</stp>
        <stp>STK</stp>
        <stp>N218410</stp>
        <stp>체결시간</stp>
        <stp/>
        <stp/>
        <tr r="T327" s="1"/>
      </tp>
      <tp t="e">
        <v>#N/A</v>
        <stp/>
        <stp>P</stp>
        <stp>0</stp>
        <stp>STK</stp>
        <stp>N048410</stp>
        <stp>체결시간</stp>
        <stp/>
        <stp/>
        <tr r="T455" s="1"/>
      </tp>
      <tp t="e">
        <v>#N/A</v>
        <stp/>
        <stp>P</stp>
        <stp>0</stp>
        <stp>STK</stp>
        <stp>N308430</stp>
        <stp>체결시간</stp>
        <stp/>
        <stp/>
        <tr r="T625" s="1"/>
      </tp>
      <tp t="e">
        <v>#N/A</v>
        <stp/>
        <stp>P</stp>
        <stp>0</stp>
        <stp>STK</stp>
        <stp>N008770</stp>
        <stp>체결시간</stp>
        <stp/>
        <stp/>
        <tr r="T229" s="1"/>
      </tp>
      <tp t="e">
        <v>#N/A</v>
        <stp/>
        <stp>P</stp>
        <stp>0</stp>
        <stp>STK</stp>
        <stp>N068760</stp>
        <stp>체결시간</stp>
        <stp/>
        <stp/>
        <tr r="T171" s="1"/>
      </tp>
      <tp t="e">
        <v>#N/A</v>
        <stp/>
        <stp>P</stp>
        <stp>0</stp>
        <stp>STK</stp>
        <stp>N228760</stp>
        <stp>체결시간</stp>
        <stp/>
        <stp/>
        <tr r="T452" s="1"/>
      </tp>
      <tp t="e">
        <v>#N/A</v>
        <stp/>
        <stp>P</stp>
        <stp>0</stp>
        <stp>STK</stp>
        <stp>N008730</stp>
        <stp>체결시간</stp>
        <stp/>
        <stp/>
        <tr r="T400" s="1"/>
      </tp>
      <tp t="e">
        <v>#N/A</v>
        <stp/>
        <stp>P</stp>
        <stp>0</stp>
        <stp>STK</stp>
        <stp>N388720</stp>
        <stp>체결시간</stp>
        <stp/>
        <stp/>
        <tr r="T286" s="1"/>
      </tp>
      <tp t="e">
        <v>#N/A</v>
        <stp/>
        <stp>P</stp>
        <stp>0</stp>
        <stp>STK</stp>
        <stp>N018670</stp>
        <stp>체결시간</stp>
        <stp/>
        <stp/>
        <tr r="T209" s="1"/>
      </tp>
      <tp t="e">
        <v>#N/A</v>
        <stp/>
        <stp>P</stp>
        <stp>0</stp>
        <stp>STK</stp>
        <stp>N028670</stp>
        <stp>체결시간</stp>
        <stp/>
        <stp/>
        <tr r="T191" s="1"/>
      </tp>
      <tp t="e">
        <v>#N/A</v>
        <stp/>
        <stp>P</stp>
        <stp>0</stp>
        <stp>STK</stp>
        <stp>N108670</stp>
        <stp>체결시간</stp>
        <stp/>
        <stp/>
        <tr r="T668" s="1"/>
      </tp>
      <tp t="e">
        <v>#N/A</v>
        <stp/>
        <stp>P</stp>
        <stp>0</stp>
        <stp>STK</stp>
        <stp>N058610</stp>
        <stp>체결시간</stp>
        <stp/>
        <stp/>
        <tr r="T181" s="1"/>
      </tp>
      <tp t="e">
        <v>#N/A</v>
        <stp/>
        <stp>P</stp>
        <stp>0</stp>
        <stp>STK</stp>
        <stp>N138610</stp>
        <stp>체결시간</stp>
        <stp/>
        <stp/>
        <tr r="T548" s="1"/>
      </tp>
      <tp t="e">
        <v>#N/A</v>
        <stp/>
        <stp>P</stp>
        <stp>0</stp>
        <stp>STK</stp>
        <stp>N078600</stp>
        <stp>체결시간</stp>
        <stp/>
        <stp/>
        <tr r="T320" s="1"/>
      </tp>
      <tp t="e">
        <v>#N/A</v>
        <stp/>
        <stp>P</stp>
        <stp>0</stp>
        <stp>STK</stp>
        <stp>N078160</stp>
        <stp>체결시간</stp>
        <stp/>
        <stp/>
        <tr r="T438" s="1"/>
      </tp>
      <tp t="e">
        <v>#N/A</v>
        <stp/>
        <stp>P</stp>
        <stp>0</stp>
        <stp>STK</stp>
        <stp>N328130</stp>
        <stp>체결시간</stp>
        <stp/>
        <stp/>
        <tr r="T298" s="1"/>
      </tp>
      <tp t="e">
        <v>#N/A</v>
        <stp/>
        <stp>P</stp>
        <stp>0</stp>
        <stp>STK</stp>
        <stp>N098070</stp>
        <stp>체결시간</stp>
        <stp/>
        <stp/>
        <tr r="T513" s="1"/>
      </tp>
      <tp t="e">
        <v>#N/A</v>
        <stp/>
        <stp>P</stp>
        <stp>0</stp>
        <stp>STK</stp>
        <stp>N298050</stp>
        <stp>체결시간</stp>
        <stp/>
        <stp/>
        <tr r="T321" s="1"/>
      </tp>
      <tp t="e">
        <v>#N/A</v>
        <stp/>
        <stp>P</stp>
        <stp>0</stp>
        <stp>STK</stp>
        <stp>N298040</stp>
        <stp>체결시간</stp>
        <stp/>
        <stp/>
        <tr r="T40" s="1"/>
      </tp>
      <tp t="e">
        <v>#N/A</v>
        <stp/>
        <stp>P</stp>
        <stp>0</stp>
        <stp>STK</stp>
        <stp>N008060</stp>
        <stp>체결시간</stp>
        <stp/>
        <stp/>
        <tr r="T588" s="1"/>
      </tp>
      <tp t="e">
        <v>#N/A</v>
        <stp/>
        <stp>P</stp>
        <stp>0</stp>
        <stp>STK</stp>
        <stp>N028050</stp>
        <stp>체결시간</stp>
        <stp/>
        <stp/>
        <tr r="T113" s="1"/>
      </tp>
      <tp t="e">
        <v>#N/A</v>
        <stp/>
        <stp>P</stp>
        <stp>0</stp>
        <stp>STK</stp>
        <stp>N138040</stp>
        <stp>체결시간</stp>
        <stp/>
        <stp/>
        <tr r="T47" s="1"/>
      </tp>
      <tp t="e">
        <v>#N/A</v>
        <stp/>
        <stp>P</stp>
        <stp>0</stp>
        <stp>STK</stp>
        <stp>N248070</stp>
        <stp>체결시간</stp>
        <stp/>
        <stp/>
        <tr r="T380" s="1"/>
      </tp>
      <tp t="e">
        <v>#N/A</v>
        <stp/>
        <stp>P</stp>
        <stp>0</stp>
        <stp>STK</stp>
        <stp>N298020</stp>
        <stp>체결시간</stp>
        <stp/>
        <stp/>
        <tr r="T234" s="1"/>
      </tp>
      <tp t="e">
        <v>#N/A</v>
        <stp/>
        <stp>P</stp>
        <stp>0</stp>
        <stp>STK</stp>
        <stp>N298380</stp>
        <stp>체결시간</stp>
        <stp/>
        <stp/>
        <tr r="T76" s="1"/>
      </tp>
      <tp t="e">
        <v>#N/A</v>
        <stp/>
        <stp>P</stp>
        <stp>0</stp>
        <stp>STK</stp>
        <stp>N108380</stp>
        <stp>체결시간</stp>
        <stp/>
        <stp/>
        <tr r="T672" s="1"/>
      </tp>
      <tp t="e">
        <v>#N/A</v>
        <stp/>
        <stp>P</stp>
        <stp>0</stp>
        <stp>STK</stp>
        <stp>N168360</stp>
        <stp>체결시간</stp>
        <stp/>
        <stp/>
        <tr r="T585" s="1"/>
      </tp>
      <tp t="e">
        <v>#N/A</v>
        <stp/>
        <stp>P</stp>
        <stp>0</stp>
        <stp>STK</stp>
        <stp>N378340</stp>
        <stp>체결시간</stp>
        <stp/>
        <stp/>
        <tr r="T651" s="1"/>
      </tp>
      <tp t="e">
        <v>#N/A</v>
        <stp/>
        <stp>P</stp>
        <stp>0</stp>
        <stp>STK</stp>
        <stp>N088350</stp>
        <stp>체결시간</stp>
        <stp/>
        <stp/>
        <tr r="T164" s="1"/>
      </tp>
      <tp t="e">
        <v>#N/A</v>
        <stp/>
        <stp>P</stp>
        <stp>0</stp>
        <stp>STK</stp>
        <stp>N078350</stp>
        <stp>체결시간</stp>
        <stp/>
        <stp/>
        <tr r="T569" s="1"/>
      </tp>
      <tp t="e">
        <v>#N/A</v>
        <stp/>
        <stp>P</stp>
        <stp>0</stp>
        <stp>STK</stp>
        <stp>N348370</stp>
        <stp>체결시간</stp>
        <stp/>
        <stp/>
        <tr r="T266" s="1"/>
      </tp>
      <tp t="e">
        <v>#N/A</v>
        <stp/>
        <stp>P</stp>
        <stp>0</stp>
        <stp>STK</stp>
        <stp>N078340</stp>
        <stp>체결시간</stp>
        <stp/>
        <stp/>
        <tr r="T543" s="1"/>
      </tp>
      <tp t="e">
        <v>#N/A</v>
        <stp/>
        <stp>P</stp>
        <stp>0</stp>
        <stp>STK</stp>
        <stp>N108320</stp>
        <stp>체결시간</stp>
        <stp/>
        <stp/>
        <tr r="T348" s="1"/>
      </tp>
      <tp t="e">
        <v>#N/A</v>
        <stp/>
        <stp>P</stp>
        <stp>0</stp>
        <stp>STK</stp>
        <stp>N178320</stp>
        <stp>체결시간</stp>
        <stp/>
        <stp/>
        <tr r="T231" s="1"/>
      </tp>
      <tp t="e">
        <v>#N/A</v>
        <stp/>
        <stp>P</stp>
        <stp>0</stp>
        <stp>STK</stp>
        <stp>N018310</stp>
        <stp>체결시간</stp>
        <stp/>
        <stp/>
        <tr r="T647" s="1"/>
      </tp>
      <tp t="e">
        <v>#N/A</v>
        <stp/>
        <stp>P</stp>
        <stp>0</stp>
        <stp>STK</stp>
        <stp>N028300</stp>
        <stp>체결시간</stp>
        <stp/>
        <stp/>
        <tr r="T96" s="1"/>
      </tp>
      <tp t="e">
        <v>#N/A</v>
        <stp/>
        <stp>P</stp>
        <stp>0</stp>
        <stp>STK</stp>
        <stp>N478340</stp>
        <stp>체결시간</stp>
        <stp/>
        <stp/>
        <tr r="T425" s="1"/>
      </tp>
      <tp t="e">
        <v>#N/A</v>
        <stp/>
        <stp>P</stp>
        <stp>0</stp>
        <stp>STK</stp>
        <stp>N488280</stp>
        <stp>체결시간</stp>
        <stp/>
        <stp/>
        <tr r="T690" s="1"/>
      </tp>
      <tp t="e">
        <v>#N/A</v>
        <stp/>
        <stp>P</stp>
        <stp>0</stp>
        <stp>STK</stp>
        <stp>N448280</stp>
        <stp>체결시간</stp>
        <stp/>
        <stp/>
        <tr r="T641" s="1"/>
      </tp>
      <tp t="e">
        <v>#N/A</v>
        <stp/>
        <stp>P</stp>
        <stp>0</stp>
        <stp>STK</stp>
        <stp>N268280</stp>
        <stp>체결시간</stp>
        <stp/>
        <stp/>
        <tr r="T391" s="1"/>
      </tp>
      <tp t="e">
        <v>#N/A</v>
        <stp/>
        <stp>P</stp>
        <stp>0</stp>
        <stp>STK</stp>
        <stp>N278280</stp>
        <stp>체결시간</stp>
        <stp/>
        <stp/>
        <tr r="T437" s="1"/>
      </tp>
      <tp t="e">
        <v>#N/A</v>
        <stp/>
        <stp>P</stp>
        <stp>0</stp>
        <stp>STK</stp>
        <stp>N018290</stp>
        <stp>체결시간</stp>
        <stp/>
        <stp/>
        <tr r="T442" s="1"/>
      </tp>
      <tp t="e">
        <v>#N/A</v>
        <stp/>
        <stp>P</stp>
        <stp>0</stp>
        <stp>STK</stp>
        <stp>N068270</stp>
        <stp>체결시간</stp>
        <stp/>
        <stp/>
        <tr r="T21" s="1"/>
      </tp>
      <tp t="e">
        <v>#N/A</v>
        <stp/>
        <stp>P</stp>
        <stp>0</stp>
        <stp>STK</stp>
        <stp>N018260</stp>
        <stp>체결시간</stp>
        <stp/>
        <stp/>
        <tr r="T63" s="1"/>
      </tp>
      <tp t="e">
        <v>#N/A</v>
        <stp/>
        <stp>P</stp>
        <stp>0</stp>
        <stp>STK</stp>
        <stp>N028260</stp>
        <stp>체결시간</stp>
        <stp/>
        <stp/>
        <tr r="T20" s="1"/>
      </tp>
      <tp t="e">
        <v>#N/A</v>
        <stp/>
        <stp>P</stp>
        <stp>0</stp>
        <stp>STK</stp>
        <stp>N018250</stp>
        <stp>체결시간</stp>
        <stp/>
        <stp/>
        <tr r="T593" s="1"/>
      </tp>
      <tp t="e">
        <v>#N/A</v>
        <stp/>
        <stp>P</stp>
        <stp>0</stp>
        <stp>STK</stp>
        <stp>N388210</stp>
        <stp>체결시간</stp>
        <stp/>
        <stp/>
        <tr r="T305" s="1"/>
      </tp>
      <tp t="e">
        <v>#N/A</v>
        <stp/>
        <stp>P</stp>
        <stp>0</stp>
        <stp>STK</stp>
        <stp>N348210</stp>
        <stp>체결시간</stp>
        <stp/>
        <stp/>
        <tr r="T363" s="1"/>
      </tp>
      <tp t="e">
        <v>#N/A</v>
        <stp/>
        <stp>P</stp>
        <stp>0</stp>
        <stp>STK</stp>
        <stp>N338220</stp>
        <stp>체결시간</stp>
        <stp/>
        <stp/>
        <tr r="T646" s="1"/>
      </tp>
      <tp t="e">
        <v>#N/A</v>
        <stp/>
        <stp>P</stp>
        <stp>0</stp>
        <stp>STK</stp>
        <stp>N009830</stp>
        <stp>세션명</stp>
        <stp/>
        <stp/>
        <tr r="S116" s="1"/>
      </tp>
      <tp t="e">
        <v>#N/A</v>
        <stp/>
        <stp>P</stp>
        <stp>0</stp>
        <stp>STK</stp>
        <stp>N009970</stp>
        <stp>세션명</stp>
        <stp/>
        <stp/>
        <tr r="S176" s="1"/>
      </tp>
      <tp t="e">
        <v>#N/A</v>
        <stp/>
        <stp>P</stp>
        <stp>0</stp>
        <stp>STK</stp>
        <stp>N009900</stp>
        <stp>세션명</stp>
        <stp/>
        <stp/>
        <tr r="S467" s="1"/>
      </tp>
      <tp t="e">
        <v>#N/A</v>
        <stp/>
        <stp>P</stp>
        <stp>0</stp>
        <stp>STK</stp>
        <stp>N009450</stp>
        <stp>세션명</stp>
        <stp/>
        <stp/>
        <tr r="S351" s="1"/>
      </tp>
      <tp t="e">
        <v>#N/A</v>
        <stp/>
        <stp>P</stp>
        <stp>0</stp>
        <stp>STK</stp>
        <stp>N009420</stp>
        <stp>세션명</stp>
        <stp/>
        <stp/>
        <tr r="S190" s="1"/>
      </tp>
      <tp t="e">
        <v>#N/A</v>
        <stp/>
        <stp>P</stp>
        <stp>0</stp>
        <stp>STK</stp>
        <stp>N009540</stp>
        <stp>세션명</stp>
        <stp/>
        <stp/>
        <tr r="S30" s="1"/>
      </tp>
      <tp t="e">
        <v>#N/A</v>
        <stp/>
        <stp>P</stp>
        <stp>0</stp>
        <stp>STK</stp>
        <stp>N009520</stp>
        <stp>세션명</stp>
        <stp/>
        <stp/>
        <tr r="S366" s="1"/>
      </tp>
      <tp t="e">
        <v>#N/A</v>
        <stp/>
        <stp>P</stp>
        <stp>0</stp>
        <stp>STK</stp>
        <stp>N009680</stp>
        <stp>세션명</stp>
        <stp/>
        <stp/>
        <tr r="S635" s="1"/>
      </tp>
      <tp t="e">
        <v>#N/A</v>
        <stp/>
        <stp>P</stp>
        <stp>0</stp>
        <stp>STK</stp>
        <stp>N309710</stp>
        <stp>세션명</stp>
        <stp/>
        <stp/>
        <tr r="S517" s="1"/>
      </tp>
      <tp t="e">
        <v>#N/A</v>
        <stp/>
        <stp>P</stp>
        <stp>0</stp>
        <stp>STK</stp>
        <stp>N009150</stp>
        <stp>세션명</stp>
        <stp/>
        <stp/>
        <tr r="S42" s="1"/>
      </tp>
      <tp t="e">
        <v>#N/A</v>
        <stp/>
        <stp>P</stp>
        <stp>0</stp>
        <stp>STK</stp>
        <stp>N009240</stp>
        <stp>세션명</stp>
        <stp/>
        <stp/>
        <tr r="S304" s="1"/>
      </tp>
      <tp t="e">
        <v>#N/A</v>
        <stp/>
        <stp>P</stp>
        <stp>0</stp>
        <stp>STK</stp>
        <stp>N108860</stp>
        <stp>세션명</stp>
        <stp/>
        <stp/>
        <tr r="S603" s="1"/>
      </tp>
      <tp t="e">
        <v>#N/A</v>
        <stp/>
        <stp>P</stp>
        <stp>0</stp>
        <stp>STK</stp>
        <stp>N008930</stp>
        <stp>세션명</stp>
        <stp/>
        <stp/>
        <tr r="S168" s="1"/>
      </tp>
      <tp t="e">
        <v>#N/A</v>
        <stp/>
        <stp>P</stp>
        <stp>0</stp>
        <stp>STK</stp>
        <stp>N008490</stp>
        <stp>세션명</stp>
        <stp/>
        <stp/>
        <tr r="S689" s="1"/>
      </tp>
      <tp t="e">
        <v>#N/A</v>
        <stp/>
        <stp>P</stp>
        <stp>0</stp>
        <stp>STK</stp>
        <stp>N108490</stp>
        <stp>세션명</stp>
        <stp/>
        <stp/>
        <tr r="S135" s="1"/>
      </tp>
      <tp t="e">
        <v>#N/A</v>
        <stp/>
        <stp>P</stp>
        <stp>0</stp>
        <stp>STK</stp>
        <stp>N308430</stp>
        <stp>세션명</stp>
        <stp/>
        <stp/>
        <tr r="S625" s="1"/>
      </tp>
      <tp t="e">
        <v>#N/A</v>
        <stp/>
        <stp>P</stp>
        <stp>0</stp>
        <stp>STK</stp>
        <stp>N108670</stp>
        <stp>세션명</stp>
        <stp/>
        <stp/>
        <tr r="S668" s="1"/>
      </tp>
      <tp t="e">
        <v>#N/A</v>
        <stp/>
        <stp>P</stp>
        <stp>0</stp>
        <stp>STK</stp>
        <stp>N008770</stp>
        <stp>세션명</stp>
        <stp/>
        <stp/>
        <tr r="S229" s="1"/>
      </tp>
      <tp t="e">
        <v>#N/A</v>
        <stp/>
        <stp>P</stp>
        <stp>0</stp>
        <stp>STK</stp>
        <stp>N008730</stp>
        <stp>세션명</stp>
        <stp/>
        <stp/>
        <tr r="S400" s="1"/>
      </tp>
      <tp t="e">
        <v>#N/A</v>
        <stp/>
        <stp>P</stp>
        <stp>0</stp>
        <stp>STK</stp>
        <stp>N008060</stp>
        <stp>세션명</stp>
        <stp/>
        <stp/>
        <tr r="S588" s="1"/>
      </tp>
      <tp t="e">
        <v>#N/A</v>
        <stp/>
        <stp>P</stp>
        <stp>0</stp>
        <stp>STK</stp>
        <stp>N108380</stp>
        <stp>세션명</stp>
        <stp/>
        <stp/>
        <tr r="S672" s="1"/>
      </tp>
      <tp t="e">
        <v>#N/A</v>
        <stp/>
        <stp>P</stp>
        <stp>0</stp>
        <stp>STK</stp>
        <stp>N108320</stp>
        <stp>세션명</stp>
        <stp/>
        <stp/>
        <tr r="S348" s="1"/>
      </tp>
      <tp t="e">
        <v>#N/A</v>
        <stp/>
        <stp>P</stp>
        <stp>0</stp>
        <stp>STK</stp>
        <stp>N003850</stp>
        <stp>세션명</stp>
        <stp/>
        <stp/>
        <tr r="S369" s="1"/>
      </tp>
      <tp t="e">
        <v>#N/A</v>
        <stp/>
        <stp>P</stp>
        <stp>0</stp>
        <stp>STK</stp>
        <stp>N403870</stp>
        <stp>세션명</stp>
        <stp/>
        <stp/>
        <tr r="S160" s="1"/>
      </tp>
      <tp t="e">
        <v>#N/A</v>
        <stp/>
        <stp>P</stp>
        <stp>0</stp>
        <stp>STK</stp>
        <stp>N403850</stp>
        <stp>세션명</stp>
        <stp/>
        <stp/>
        <tr r="S581" s="1"/>
      </tp>
      <tp t="e">
        <v>#N/A</v>
        <stp/>
        <stp>P</stp>
        <stp>0</stp>
        <stp>STK</stp>
        <stp>N003960</stp>
        <stp>세션명</stp>
        <stp/>
        <stp/>
        <tr r="S601" s="1"/>
      </tp>
      <tp t="e">
        <v>#N/A</v>
        <stp/>
        <stp>P</stp>
        <stp>0</stp>
        <stp>STK</stp>
        <stp>N003920</stp>
        <stp>세션명</stp>
        <stp/>
        <stp/>
        <tr r="S620" s="1"/>
      </tp>
      <tp t="e">
        <v>#N/A</v>
        <stp/>
        <stp>P</stp>
        <stp>0</stp>
        <stp>STK</stp>
        <stp>N003490</stp>
        <stp>세션명</stp>
        <stp/>
        <stp/>
        <tr r="S82" s="1"/>
      </tp>
      <tp t="e">
        <v>#N/A</v>
        <stp/>
        <stp>P</stp>
        <stp>0</stp>
        <stp>STK</stp>
        <stp>N103590</stp>
        <stp>세션명</stp>
        <stp/>
        <stp/>
        <tr r="S157" s="1"/>
      </tp>
      <tp t="e">
        <v>#N/A</v>
        <stp/>
        <stp>P</stp>
        <stp>0</stp>
        <stp>STK</stp>
        <stp>N003570</stp>
        <stp>세션명</stp>
        <stp/>
        <stp/>
        <tr r="S237" s="1"/>
      </tp>
      <tp t="e">
        <v>#N/A</v>
        <stp/>
        <stp>P</stp>
        <stp>0</stp>
        <stp>STK</stp>
        <stp>N003550</stp>
        <stp>세션명</stp>
        <stp/>
        <stp/>
        <tr r="S65" s="1"/>
      </tp>
      <tp t="e">
        <v>#N/A</v>
        <stp/>
        <stp>P</stp>
        <stp>0</stp>
        <stp>STK</stp>
        <stp>N003540</stp>
        <stp>세션명</stp>
        <stp/>
        <stp/>
        <tr r="S262" s="1"/>
      </tp>
      <tp t="e">
        <v>#N/A</v>
        <stp/>
        <stp>P</stp>
        <stp>0</stp>
        <stp>STK</stp>
        <stp>N403550</stp>
        <stp>세션명</stp>
        <stp/>
        <stp/>
        <tr r="S540" s="1"/>
      </tp>
      <tp t="e">
        <v>#N/A</v>
        <stp/>
        <stp>P</stp>
        <stp>0</stp>
        <stp>STK</stp>
        <stp>N003690</stp>
        <stp>세션명</stp>
        <stp/>
        <stp/>
        <tr r="S199" s="1"/>
      </tp>
      <tp t="e">
        <v>#N/A</v>
        <stp/>
        <stp>P</stp>
        <stp>0</stp>
        <stp>STK</stp>
        <stp>N003670</stp>
        <stp>세션명</stp>
        <stp/>
        <stp/>
        <tr r="S49" s="1"/>
      </tp>
      <tp t="e">
        <v>#N/A</v>
        <stp/>
        <stp>P</stp>
        <stp>0</stp>
        <stp>STK</stp>
        <stp>N003090</stp>
        <stp>세션명</stp>
        <stp/>
        <stp/>
        <tr r="S272" s="1"/>
      </tp>
      <tp t="e">
        <v>#N/A</v>
        <stp/>
        <stp>P</stp>
        <stp>0</stp>
        <stp>STK</stp>
        <stp>N003030</stp>
        <stp>세션명</stp>
        <stp/>
        <stp/>
        <tr r="S469" s="1"/>
      </tp>
      <tp t="e">
        <v>#N/A</v>
        <stp/>
        <stp>P</stp>
        <stp>0</stp>
        <stp>STK</stp>
        <stp>N003160</stp>
        <stp>세션명</stp>
        <stp/>
        <stp/>
        <tr r="S345" s="1"/>
      </tp>
      <tp t="e">
        <v>#N/A</v>
        <stp/>
        <stp>P</stp>
        <stp>0</stp>
        <stp>STK</stp>
        <stp>N103140</stp>
        <stp>세션명</stp>
        <stp/>
        <stp/>
        <tr r="S144" s="1"/>
      </tp>
      <tp t="e">
        <v>#N/A</v>
        <stp/>
        <stp>P</stp>
        <stp>0</stp>
        <stp>STK</stp>
        <stp>N003120</stp>
        <stp>세션명</stp>
        <stp/>
        <stp/>
        <tr r="S633" s="1"/>
      </tp>
      <tp t="e">
        <v>#N/A</v>
        <stp/>
        <stp>P</stp>
        <stp>0</stp>
        <stp>STK</stp>
        <stp>N003240</stp>
        <stp>세션명</stp>
        <stp/>
        <stp/>
        <tr r="S344" s="1"/>
      </tp>
      <tp t="e">
        <v>#N/A</v>
        <stp/>
        <stp>P</stp>
        <stp>0</stp>
        <stp>STK</stp>
        <stp>N003230</stp>
        <stp>세션명</stp>
        <stp/>
        <stp/>
        <tr r="S80" s="1"/>
      </tp>
      <tp t="e">
        <v>#N/A</v>
        <stp/>
        <stp>P</stp>
        <stp>0</stp>
        <stp>STK</stp>
        <stp>N003220</stp>
        <stp>세션명</stp>
        <stp/>
        <stp/>
        <tr r="S670" s="1"/>
      </tp>
      <tp t="e">
        <v>#N/A</v>
        <stp/>
        <stp>P</stp>
        <stp>0</stp>
        <stp>STK</stp>
        <stp>N003200</stp>
        <stp>세션명</stp>
        <stp/>
        <stp/>
        <tr r="S621" s="1"/>
      </tp>
      <tp t="e">
        <v>#N/A</v>
        <stp/>
        <stp>P</stp>
        <stp>0</stp>
        <stp>STK</stp>
        <stp>N003380</stp>
        <stp>세션명</stp>
        <stp/>
        <stp/>
        <tr r="S279" s="1"/>
      </tp>
      <tp t="e">
        <v>#N/A</v>
        <stp/>
        <stp>P</stp>
        <stp>0</stp>
        <stp>STK</stp>
        <stp>N003300</stp>
        <stp>세션명</stp>
        <stp/>
        <stp/>
        <tr r="S492" s="1"/>
      </tp>
      <tp t="e">
        <v>#N/A</v>
        <stp/>
        <stp>P</stp>
        <stp>0</stp>
        <stp>STK</stp>
        <stp>N002840</stp>
        <stp>세션명</stp>
        <stp/>
        <stp/>
        <tr r="S395" s="1"/>
      </tp>
      <tp t="e">
        <v>#N/A</v>
        <stp/>
        <stp>P</stp>
        <stp>0</stp>
        <stp>STK</stp>
        <stp>N002810</stp>
        <stp>세션명</stp>
        <stp/>
        <stp/>
        <tr r="S619" s="1"/>
      </tp>
      <tp t="e">
        <v>#N/A</v>
        <stp/>
        <stp>P</stp>
        <stp>0</stp>
        <stp>STK</stp>
        <stp>N002960</stp>
        <stp>세션명</stp>
        <stp/>
        <stp/>
        <tr r="S445" s="1"/>
      </tp>
      <tp t="e">
        <v>#N/A</v>
        <stp/>
        <stp>P</stp>
        <stp>0</stp>
        <stp>STK</stp>
        <stp>N102940</stp>
        <stp>세션명</stp>
        <stp/>
        <stp/>
        <tr r="S427" s="1"/>
      </tp>
      <tp t="e">
        <v>#N/A</v>
        <stp/>
        <stp>P</stp>
        <stp>0</stp>
        <stp>STK</stp>
        <stp>N302440</stp>
        <stp>세션명</stp>
        <stp/>
        <stp/>
        <tr r="S134" s="1"/>
      </tp>
      <tp t="e">
        <v>#N/A</v>
        <stp/>
        <stp>P</stp>
        <stp>0</stp>
        <stp>STK</stp>
        <stp>N002790</stp>
        <stp>세션명</stp>
        <stp/>
        <stp/>
        <tr r="S210" s="1"/>
      </tp>
      <tp t="e">
        <v>#N/A</v>
        <stp/>
        <stp>P</stp>
        <stp>0</stp>
        <stp>STK</stp>
        <stp>N002710</stp>
        <stp>세션명</stp>
        <stp/>
        <stp/>
        <tr r="S570" s="1"/>
      </tp>
      <tp t="e">
        <v>#N/A</v>
        <stp/>
        <stp>P</stp>
        <stp>0</stp>
        <stp>STK</stp>
        <stp>N102710</stp>
        <stp>세션명</stp>
        <stp/>
        <stp/>
        <tr r="S401" s="1"/>
      </tp>
      <tp t="e">
        <v>#N/A</v>
        <stp/>
        <stp>P</stp>
        <stp>0</stp>
        <stp>STK</stp>
        <stp>N402030</stp>
        <stp>세션명</stp>
        <stp/>
        <stp/>
        <tr r="S644" s="1"/>
      </tp>
      <tp t="e">
        <v>#N/A</v>
        <stp/>
        <stp>P</stp>
        <stp>0</stp>
        <stp>STK</stp>
        <stp>N002030</stp>
        <stp>세션명</stp>
        <stp/>
        <stp/>
        <tr r="S433" s="1"/>
      </tp>
      <tp t="e">
        <v>#N/A</v>
        <stp/>
        <stp>P</stp>
        <stp>0</stp>
        <stp>STK</stp>
        <stp>N002020</stp>
        <stp>세션명</stp>
        <stp/>
        <stp/>
        <tr r="S443" s="1"/>
      </tp>
      <tp t="e">
        <v>#N/A</v>
        <stp/>
        <stp>P</stp>
        <stp>0</stp>
        <stp>STK</stp>
        <stp>N002240</stp>
        <stp>세션명</stp>
        <stp/>
        <stp/>
        <tr r="S429" s="1"/>
      </tp>
      <tp t="e">
        <v>#N/A</v>
        <stp/>
        <stp>P</stp>
        <stp>0</stp>
        <stp>STK</stp>
        <stp>N002380</stp>
        <stp>세션명</stp>
        <stp/>
        <stp/>
        <tr r="S130" s="1"/>
      </tp>
      <tp t="e">
        <v>#N/A</v>
        <stp/>
        <stp>P</stp>
        <stp>0</stp>
        <stp>STK</stp>
        <stp>N002320</stp>
        <stp>세션명</stp>
        <stp/>
        <stp/>
        <tr r="S622" s="1"/>
      </tp>
      <tp t="e">
        <v>#N/A</v>
        <stp/>
        <stp>P</stp>
        <stp>0</stp>
        <stp>STK</stp>
        <stp>N402340</stp>
        <stp>세션명</stp>
        <stp/>
        <stp/>
        <tr r="S18" s="1"/>
      </tp>
      <tp t="e">
        <v>#N/A</v>
        <stp/>
        <stp>P</stp>
        <stp>0</stp>
        <stp>STK</stp>
        <stp>N001820</stp>
        <stp>세션명</stp>
        <stp/>
        <stp/>
        <tr r="S598" s="1"/>
      </tp>
      <tp t="e">
        <v>#N/A</v>
        <stp/>
        <stp>P</stp>
        <stp>0</stp>
        <stp>STK</stp>
        <stp>N001800</stp>
        <stp>세션명</stp>
        <stp/>
        <stp/>
        <tr r="S270" s="1"/>
      </tp>
      <tp t="e">
        <v>#N/A</v>
        <stp/>
        <stp>P</stp>
        <stp>0</stp>
        <stp>STK</stp>
        <stp>N001940</stp>
        <stp>세션명</stp>
        <stp/>
        <stp/>
        <tr r="S554" s="1"/>
      </tp>
      <tp t="e">
        <v>#N/A</v>
        <stp/>
        <stp>P</stp>
        <stp>0</stp>
        <stp>STK</stp>
        <stp>N101930</stp>
        <stp>세션명</stp>
        <stp/>
        <stp/>
        <tr r="S525" s="1"/>
      </tp>
      <tp t="e">
        <v>#N/A</v>
        <stp/>
        <stp>P</stp>
        <stp>0</stp>
        <stp>STK</stp>
        <stp>N101490</stp>
        <stp>세션명</stp>
        <stp/>
        <stp/>
        <tr r="S257" s="1"/>
      </tp>
      <tp t="e">
        <v>#N/A</v>
        <stp/>
        <stp>P</stp>
        <stp>0</stp>
        <stp>STK</stp>
        <stp>N001460</stp>
        <stp>세션명</stp>
        <stp/>
        <stp/>
        <tr r="S660" s="1"/>
      </tp>
      <tp t="e">
        <v>#N/A</v>
        <stp/>
        <stp>P</stp>
        <stp>0</stp>
        <stp>STK</stp>
        <stp>N001450</stp>
        <stp>세션명</stp>
        <stp/>
        <stp/>
        <tr r="S183" s="1"/>
      </tp>
      <tp t="e">
        <v>#N/A</v>
        <stp/>
        <stp>P</stp>
        <stp>0</stp>
        <stp>STK</stp>
        <stp>N001440</stp>
        <stp>세션명</stp>
        <stp/>
        <stp/>
        <tr r="S110" s="1"/>
      </tp>
      <tp t="e">
        <v>#N/A</v>
        <stp/>
        <stp>P</stp>
        <stp>0</stp>
        <stp>STK</stp>
        <stp>N001430</stp>
        <stp>세션명</stp>
        <stp/>
        <stp/>
        <tr r="S166" s="1"/>
      </tp>
      <tp t="e">
        <v>#N/A</v>
        <stp/>
        <stp>P</stp>
        <stp>0</stp>
        <stp>STK</stp>
        <stp>N001530</stp>
        <stp>세션명</stp>
        <stp/>
        <stp/>
        <tr r="S549" s="1"/>
      </tp>
      <tp t="e">
        <v>#N/A</v>
        <stp/>
        <stp>P</stp>
        <stp>0</stp>
        <stp>STK</stp>
        <stp>N001500</stp>
        <stp>세션명</stp>
        <stp/>
        <stp/>
        <tr r="S462" s="1"/>
      </tp>
      <tp t="e">
        <v>#N/A</v>
        <stp/>
        <stp>P</stp>
        <stp>0</stp>
        <stp>STK</stp>
        <stp>N001680</stp>
        <stp>세션명</stp>
        <stp/>
        <stp/>
        <tr r="S374" s="1"/>
      </tp>
      <tp t="e">
        <v>#N/A</v>
        <stp/>
        <stp>P</stp>
        <stp>0</stp>
        <stp>STK</stp>
        <stp>N001630</stp>
        <stp>세션명</stp>
        <stp/>
        <stp/>
        <tr r="S684" s="1"/>
      </tp>
      <tp t="e">
        <v>#N/A</v>
        <stp/>
        <stp>P</stp>
        <stp>0</stp>
        <stp>STK</stp>
        <stp>N001750</stp>
        <stp>세션명</stp>
        <stp/>
        <stp/>
        <tr r="S685" s="1"/>
      </tp>
      <tp t="e">
        <v>#N/A</v>
        <stp/>
        <stp>P</stp>
        <stp>0</stp>
        <stp>STK</stp>
        <stp>N001720</stp>
        <stp>세션명</stp>
        <stp/>
        <stp/>
        <tr r="S184" s="1"/>
      </tp>
      <tp t="e">
        <v>#N/A</v>
        <stp/>
        <stp>P</stp>
        <stp>0</stp>
        <stp>STK</stp>
        <stp>N101730</stp>
        <stp>세션명</stp>
        <stp/>
        <stp/>
        <tr r="S475" s="1"/>
      </tp>
      <tp t="e">
        <v>#N/A</v>
        <stp/>
        <stp>P</stp>
        <stp>0</stp>
        <stp>STK</stp>
        <stp>N001060</stp>
        <stp>세션명</stp>
        <stp/>
        <stp/>
        <tr r="S410" s="1"/>
      </tp>
      <tp t="e">
        <v>#N/A</v>
        <stp/>
        <stp>P</stp>
        <stp>0</stp>
        <stp>STK</stp>
        <stp>N001040</stp>
        <stp>세션명</stp>
        <stp/>
        <stp/>
        <tr r="S105" s="1"/>
      </tp>
      <tp t="e">
        <v>#N/A</v>
        <stp/>
        <stp>P</stp>
        <stp>0</stp>
        <stp>STK</stp>
        <stp>N101160</stp>
        <stp>세션명</stp>
        <stp/>
        <stp/>
        <tr r="S561" s="1"/>
      </tp>
      <tp t="e">
        <v>#N/A</v>
        <stp/>
        <stp>P</stp>
        <stp>0</stp>
        <stp>STK</stp>
        <stp>N001130</stp>
        <stp>세션명</stp>
        <stp/>
        <stp/>
        <tr r="S683" s="1"/>
      </tp>
      <tp t="e">
        <v>#N/A</v>
        <stp/>
        <stp>P</stp>
        <stp>0</stp>
        <stp>STK</stp>
        <stp>N001120</stp>
        <stp>세션명</stp>
        <stp/>
        <stp/>
        <tr r="S260" s="1"/>
      </tp>
      <tp t="e">
        <v>#N/A</v>
        <stp/>
        <stp>P</stp>
        <stp>0</stp>
        <stp>STK</stp>
        <stp>N001270</stp>
        <stp>세션명</stp>
        <stp/>
        <stp/>
        <tr r="S415" s="1"/>
      </tp>
      <tp t="e">
        <v>#N/A</v>
        <stp/>
        <stp>P</stp>
        <stp>0</stp>
        <stp>STK</stp>
        <stp>N101360</stp>
        <stp>세션명</stp>
        <stp/>
        <stp/>
        <tr r="S600" s="1"/>
      </tp>
      <tp t="e">
        <v>#N/A</v>
        <stp/>
        <stp>P</stp>
        <stp>0</stp>
        <stp>STK</stp>
        <stp>N200880</stp>
        <stp>세션명</stp>
        <stp/>
        <stp/>
        <tr r="S506" s="1"/>
      </tp>
      <tp t="e">
        <v>#N/A</v>
        <stp/>
        <stp>P</stp>
        <stp>0</stp>
        <stp>STK</stp>
        <stp>N000880</stp>
        <stp>세션명</stp>
        <stp/>
        <stp/>
        <tr r="S79" s="1"/>
      </tp>
      <tp t="e">
        <v>#N/A</v>
        <stp/>
        <stp>P</stp>
        <stp>0</stp>
        <stp>STK</stp>
        <stp>N100840</stp>
        <stp>세션명</stp>
        <stp/>
        <stp/>
        <tr r="S350" s="1"/>
      </tp>
      <tp t="e">
        <v>#N/A</v>
        <stp/>
        <stp>P</stp>
        <stp>0</stp>
        <stp>STK</stp>
        <stp>N000810</stp>
        <stp>세션명</stp>
        <stp/>
        <stp/>
        <tr r="S38" s="1"/>
      </tp>
      <tp t="e">
        <v>#N/A</v>
        <stp/>
        <stp>P</stp>
        <stp>0</stp>
        <stp>STK</stp>
        <stp>N0008Z0</stp>
        <stp>세션명</stp>
        <stp/>
        <stp/>
        <tr r="S613" s="1"/>
      </tp>
      <tp t="e">
        <v>#N/A</v>
        <stp/>
        <stp>P</stp>
        <stp>0</stp>
        <stp>STK</stp>
        <stp>N000990</stp>
        <stp>세션명</stp>
        <stp/>
        <stp/>
        <tr r="S128" s="1"/>
      </tp>
      <tp t="e">
        <v>#N/A</v>
        <stp/>
        <stp>P</stp>
        <stp>0</stp>
        <stp>STK</stp>
        <stp>N0009K0</stp>
        <stp>세션명</stp>
        <stp/>
        <stp/>
        <tr r="S146" s="1"/>
      </tp>
      <tp t="e">
        <v>#N/A</v>
        <stp/>
        <stp>P</stp>
        <stp>0</stp>
        <stp>STK</stp>
        <stp>N000490</stp>
        <stp>세션명</stp>
        <stp/>
        <stp/>
        <tr r="S631" s="1"/>
      </tp>
      <tp t="e">
        <v>#N/A</v>
        <stp/>
        <stp>P</stp>
        <stp>0</stp>
        <stp>STK</stp>
        <stp>N000500</stp>
        <stp>세션명</stp>
        <stp/>
        <stp/>
        <tr r="S252" s="1"/>
      </tp>
      <tp t="e">
        <v>#N/A</v>
        <stp/>
        <stp>P</stp>
        <stp>0</stp>
        <stp>STK</stp>
        <stp>N000670</stp>
        <stp>세션명</stp>
        <stp/>
        <stp/>
        <tr r="S324" s="1"/>
      </tp>
      <tp t="e">
        <v>#N/A</v>
        <stp/>
        <stp>P</stp>
        <stp>0</stp>
        <stp>STK</stp>
        <stp>N000660</stp>
        <stp>세션명</stp>
        <stp/>
        <stp/>
        <tr r="S10" s="1"/>
      </tp>
      <tp t="e">
        <v>#N/A</v>
        <stp/>
        <stp>P</stp>
        <stp>0</stp>
        <stp>STK</stp>
        <stp>N200670</stp>
        <stp>세션명</stp>
        <stp/>
        <stp/>
        <tr r="S510" s="1"/>
      </tp>
      <tp t="e">
        <v>#N/A</v>
        <stp/>
        <stp>P</stp>
        <stp>0</stp>
        <stp>STK</stp>
        <stp>N000640</stp>
        <stp>세션명</stp>
        <stp/>
        <stp/>
        <tr r="S397" s="1"/>
      </tp>
      <tp t="e">
        <v>#N/A</v>
        <stp/>
        <stp>P</stp>
        <stp>0</stp>
        <stp>STK</stp>
        <stp>N100790</stp>
        <stp>세션명</stp>
        <stp/>
        <stp/>
        <tr r="S393" s="1"/>
      </tp>
      <tp t="e">
        <v>#N/A</v>
        <stp/>
        <stp>P</stp>
        <stp>0</stp>
        <stp>STK</stp>
        <stp>N200710</stp>
        <stp>세션명</stp>
        <stp/>
        <stp/>
        <tr r="S494" s="1"/>
      </tp>
      <tp t="e">
        <v>#N/A</v>
        <stp/>
        <stp>P</stp>
        <stp>0</stp>
        <stp>STK</stp>
        <stp>N000720</stp>
        <stp>세션명</stp>
        <stp/>
        <stp/>
        <tr r="S68" s="1"/>
      </tp>
      <tp t="e">
        <v>#N/A</v>
        <stp/>
        <stp>P</stp>
        <stp>0</stp>
        <stp>STK</stp>
        <stp>N300720</stp>
        <stp>세션명</stp>
        <stp/>
        <stp/>
        <tr r="S282" s="1"/>
      </tp>
      <tp t="e">
        <v>#N/A</v>
        <stp/>
        <stp>P</stp>
        <stp>0</stp>
        <stp>STK</stp>
        <stp>N0007C0</stp>
        <stp>세션명</stp>
        <stp/>
        <stp/>
        <tr r="S688" s="1"/>
      </tp>
      <tp t="e">
        <v>#N/A</v>
        <stp/>
        <stp>P</stp>
        <stp>0</stp>
        <stp>STK</stp>
        <stp>N300080</stp>
        <stp>세션명</stp>
        <stp/>
        <stp/>
        <tr r="S665" s="1"/>
      </tp>
      <tp t="e">
        <v>#N/A</v>
        <stp/>
        <stp>P</stp>
        <stp>0</stp>
        <stp>STK</stp>
        <stp>N000080</stp>
        <stp>세션명</stp>
        <stp/>
        <stp/>
        <tr r="S277" s="1"/>
      </tp>
      <tp t="e">
        <v>#N/A</v>
        <stp/>
        <stp>P</stp>
        <stp>0</stp>
        <stp>STK</stp>
        <stp>N100090</stp>
        <stp>세션명</stp>
        <stp/>
        <stp/>
        <tr r="S285" s="1"/>
      </tp>
      <tp t="e">
        <v>#N/A</v>
        <stp/>
        <stp>P</stp>
        <stp>0</stp>
        <stp>STK</stp>
        <stp>N000070</stp>
        <stp>세션명</stp>
        <stp/>
        <stp/>
        <tr r="S505" s="1"/>
      </tp>
      <tp t="e">
        <v>#N/A</v>
        <stp/>
        <stp>P</stp>
        <stp>0</stp>
        <stp>STK</stp>
        <stp>N000150</stp>
        <stp>세션명</stp>
        <stp/>
        <stp/>
        <tr r="S64" s="1"/>
      </tp>
      <tp t="e">
        <v>#N/A</v>
        <stp/>
        <stp>P</stp>
        <stp>0</stp>
        <stp>STK</stp>
        <stp>N000120</stp>
        <stp>세션명</stp>
        <stp/>
        <stp/>
        <tr r="S197" s="1"/>
      </tp>
      <tp t="e">
        <v>#N/A</v>
        <stp/>
        <stp>P</stp>
        <stp>0</stp>
        <stp>STK</stp>
        <stp>N200130</stp>
        <stp>세션명</stp>
        <stp/>
        <stp/>
        <tr r="S565" s="1"/>
      </tp>
      <tp t="e">
        <v>#N/A</v>
        <stp/>
        <stp>P</stp>
        <stp>0</stp>
        <stp>STK</stp>
        <stp>N000100</stp>
        <stp>세션명</stp>
        <stp/>
        <stp/>
        <tr r="S87" s="1"/>
      </tp>
      <tp t="e">
        <v>#N/A</v>
        <stp/>
        <stp>P</stp>
        <stp>0</stp>
        <stp>STK</stp>
        <stp>N000270</stp>
        <stp>세션명</stp>
        <stp/>
        <stp/>
        <tr r="S14" s="1"/>
      </tp>
      <tp t="e">
        <v>#N/A</v>
        <stp/>
        <stp>P</stp>
        <stp>0</stp>
        <stp>STK</stp>
        <stp>N000250</stp>
        <stp>세션명</stp>
        <stp/>
        <stp/>
        <tr r="S100" s="1"/>
      </tp>
      <tp t="e">
        <v>#N/A</v>
        <stp/>
        <stp>P</stp>
        <stp>0</stp>
        <stp>STK</stp>
        <stp>N000240</stp>
        <stp>세션명</stp>
        <stp/>
        <stp/>
        <tr r="S174" s="1"/>
      </tp>
      <tp t="e">
        <v>#N/A</v>
        <stp/>
        <stp>P</stp>
        <stp>0</stp>
        <stp>STK</stp>
        <stp>N000210</stp>
        <stp>세션명</stp>
        <stp/>
        <stp/>
        <tr r="S368" s="1"/>
      </tp>
      <tp t="e">
        <v>#N/A</v>
        <stp/>
        <stp>P</stp>
        <stp>0</stp>
        <stp>STK</stp>
        <stp>N000320</stp>
        <stp>세션명</stp>
        <stp/>
        <stp/>
        <tr r="S657" s="1"/>
      </tp>
      <tp t="e">
        <v>#N/A</v>
        <stp/>
        <stp>P</stp>
        <stp>0</stp>
        <stp>STK</stp>
        <stp>N007810</stp>
        <stp>세션명</stp>
        <stp/>
        <stp/>
        <tr r="S253" s="1"/>
      </tp>
      <tp t="e">
        <v>#N/A</v>
        <stp/>
        <stp>P</stp>
        <stp>0</stp>
        <stp>STK</stp>
        <stp>N207940</stp>
        <stp>세션명</stp>
        <stp/>
        <stp/>
        <tr r="S13" s="1"/>
      </tp>
      <tp t="e">
        <v>#N/A</v>
        <stp/>
        <stp>P</stp>
        <stp>0</stp>
        <stp>STK</stp>
        <stp>N307950</stp>
        <stp>세션명</stp>
        <stp/>
        <stp/>
        <tr r="S61" s="1"/>
      </tp>
      <tp t="e">
        <v>#N/A</v>
        <stp/>
        <stp>P</stp>
        <stp>0</stp>
        <stp>STK</stp>
        <stp>N007690</stp>
        <stp>세션명</stp>
        <stp/>
        <stp/>
        <tr r="S589" s="1"/>
      </tp>
      <tp t="e">
        <v>#N/A</v>
        <stp/>
        <stp>P</stp>
        <stp>0</stp>
        <stp>STK</stp>
        <stp>N007660</stp>
        <stp>세션명</stp>
        <stp/>
        <stp/>
        <tr r="S89" s="1"/>
      </tp>
      <tp t="e">
        <v>#N/A</v>
        <stp/>
        <stp>P</stp>
        <stp>0</stp>
        <stp>STK</stp>
        <stp>N107640</stp>
        <stp>세션명</stp>
        <stp/>
        <stp/>
        <tr r="S527" s="1"/>
      </tp>
      <tp t="e">
        <v>#N/A</v>
        <stp/>
        <stp>P</stp>
        <stp>0</stp>
        <stp>STK</stp>
        <stp>N007700</stp>
        <stp>세션명</stp>
        <stp/>
        <stp/>
        <tr r="S365" s="1"/>
      </tp>
      <tp t="e">
        <v>#N/A</v>
        <stp/>
        <stp>P</stp>
        <stp>0</stp>
        <stp>STK</stp>
        <stp>N007070</stp>
        <stp>세션명</stp>
        <stp/>
        <stp/>
        <tr r="S235" s="1"/>
      </tp>
      <tp t="e">
        <v>#N/A</v>
        <stp/>
        <stp>P</stp>
        <stp>0</stp>
        <stp>STK</stp>
        <stp>N007160</stp>
        <stp>세션명</stp>
        <stp/>
        <stp/>
        <tr r="S652" s="1"/>
      </tp>
      <tp t="e">
        <v>#N/A</v>
        <stp/>
        <stp>P</stp>
        <stp>0</stp>
        <stp>STK</stp>
        <stp>N007390</stp>
        <stp>세션명</stp>
        <stp/>
        <stp/>
        <tr r="S275" s="1"/>
      </tp>
      <tp t="e">
        <v>#N/A</v>
        <stp/>
        <stp>P</stp>
        <stp>0</stp>
        <stp>STK</stp>
        <stp>N007340</stp>
        <stp>세션명</stp>
        <stp/>
        <stp/>
        <tr r="S254" s="1"/>
      </tp>
      <tp t="e">
        <v>#N/A</v>
        <stp/>
        <stp>P</stp>
        <stp>0</stp>
        <stp>STK</stp>
        <stp>N007310</stp>
        <stp>세션명</stp>
        <stp/>
        <stp/>
        <tr r="S247" s="1"/>
      </tp>
      <tp t="e">
        <v>#N/A</v>
        <stp/>
        <stp>P</stp>
        <stp>0</stp>
        <stp>STK</stp>
        <stp>N006800</stp>
        <stp>세션명</stp>
        <stp/>
        <stp/>
        <tr r="S51" s="1"/>
      </tp>
      <tp t="e">
        <v>#N/A</v>
        <stp/>
        <stp>P</stp>
        <stp>0</stp>
        <stp>STK</stp>
        <stp>N006400</stp>
        <stp>세션명</stp>
        <stp/>
        <stp/>
        <tr r="S34" s="1"/>
      </tp>
      <tp t="e">
        <v>#N/A</v>
        <stp/>
        <stp>P</stp>
        <stp>0</stp>
        <stp>STK</stp>
        <stp>N206650</stp>
        <stp>세션명</stp>
        <stp/>
        <stp/>
        <tr r="S534" s="1"/>
      </tp>
      <tp t="e">
        <v>#N/A</v>
        <stp/>
        <stp>P</stp>
        <stp>0</stp>
        <stp>STK</stp>
        <stp>N206640</stp>
        <stp>세션명</stp>
        <stp/>
        <stp/>
        <tr r="S632" s="1"/>
      </tp>
      <tp t="e">
        <v>#N/A</v>
        <stp/>
        <stp>P</stp>
        <stp>0</stp>
        <stp>STK</stp>
        <stp>N006650</stp>
        <stp>세션명</stp>
        <stp/>
        <stp/>
        <tr r="S309" s="1"/>
      </tp>
      <tp t="e">
        <v>#N/A</v>
        <stp/>
        <stp>P</stp>
        <stp>0</stp>
        <stp>STK</stp>
        <stp>N006730</stp>
        <stp>세션명</stp>
        <stp/>
        <stp/>
        <tr r="S326" s="1"/>
      </tp>
      <tp t="e">
        <v>#N/A</v>
        <stp/>
        <stp>P</stp>
        <stp>0</stp>
        <stp>STK</stp>
        <stp>N006040</stp>
        <stp>세션명</stp>
        <stp/>
        <stp/>
        <tr r="S230" s="1"/>
      </tp>
      <tp t="e">
        <v>#N/A</v>
        <stp/>
        <stp>P</stp>
        <stp>0</stp>
        <stp>STK</stp>
        <stp>N006120</stp>
        <stp>세션명</stp>
        <stp/>
        <stp/>
        <tr r="S294" s="1"/>
      </tp>
      <tp t="e">
        <v>#N/A</v>
        <stp/>
        <stp>P</stp>
        <stp>0</stp>
        <stp>STK</stp>
        <stp>N006110</stp>
        <stp>세션명</stp>
        <stp/>
        <stp/>
        <tr r="S571" s="1"/>
      </tp>
      <tp t="e">
        <v>#N/A</v>
        <stp/>
        <stp>P</stp>
        <stp>0</stp>
        <stp>STK</stp>
        <stp>N006280</stp>
        <stp>세션명</stp>
        <stp/>
        <stp/>
        <tr r="S232" s="1"/>
      </tp>
      <tp t="e">
        <v>#N/A</v>
        <stp/>
        <stp>P</stp>
        <stp>0</stp>
        <stp>STK</stp>
        <stp>N006260</stp>
        <stp>세션명</stp>
        <stp/>
        <stp/>
        <tr r="S92" s="1"/>
      </tp>
      <tp t="e">
        <v>#N/A</v>
        <stp/>
        <stp>P</stp>
        <stp>0</stp>
        <stp>STK</stp>
        <stp>N306200</stp>
        <stp>세션명</stp>
        <stp/>
        <stp/>
        <tr r="S592" s="1"/>
      </tp>
      <tp t="e">
        <v>#N/A</v>
        <stp/>
        <stp>P</stp>
        <stp>0</stp>
        <stp>STK</stp>
        <stp>N006220</stp>
        <stp>세션명</stp>
        <stp/>
        <stp/>
        <tr r="S515" s="1"/>
      </tp>
      <tp t="e">
        <v>#N/A</v>
        <stp/>
        <stp>P</stp>
        <stp>0</stp>
        <stp>STK</stp>
        <stp>N006360</stp>
        <stp>세션명</stp>
        <stp/>
        <stp/>
        <tr r="S243" s="1"/>
      </tp>
      <tp t="e">
        <v>#N/A</v>
        <stp/>
        <stp>P</stp>
        <stp>0</stp>
        <stp>STK</stp>
        <stp>N005850</stp>
        <stp>세션명</stp>
        <stp/>
        <stp/>
        <tr r="S147" s="1"/>
      </tp>
      <tp t="e">
        <v>#N/A</v>
        <stp/>
        <stp>P</stp>
        <stp>0</stp>
        <stp>STK</stp>
        <stp>N105840</stp>
        <stp>세션명</stp>
        <stp/>
        <stp/>
        <tr r="S454" s="1"/>
      </tp>
      <tp t="e">
        <v>#N/A</v>
        <stp/>
        <stp>P</stp>
        <stp>0</stp>
        <stp>STK</stp>
        <stp>N005830</stp>
        <stp>세션명</stp>
        <stp/>
        <stp/>
        <tr r="S78" s="1"/>
      </tp>
      <tp t="e">
        <v>#N/A</v>
        <stp/>
        <stp>P</stp>
        <stp>0</stp>
        <stp>STK</stp>
        <stp>N005810</stp>
        <stp>세션명</stp>
        <stp/>
        <stp/>
        <tr r="S449" s="1"/>
      </tp>
      <tp t="e">
        <v>#N/A</v>
        <stp/>
        <stp>P</stp>
        <stp>0</stp>
        <stp>STK</stp>
        <stp>N005940</stp>
        <stp>세션명</stp>
        <stp/>
        <stp/>
        <tr r="S88" s="1"/>
      </tp>
      <tp t="e">
        <v>#N/A</v>
        <stp/>
        <stp>P</stp>
        <stp>0</stp>
        <stp>STK</stp>
        <stp>N005930</stp>
        <stp>세션명</stp>
        <stp/>
        <stp/>
        <tr r="S9" s="1"/>
      </tp>
      <tp t="e">
        <v>#N/A</v>
        <stp/>
        <stp>P</stp>
        <stp>0</stp>
        <stp>STK</stp>
        <stp>N005490</stp>
        <stp>세션명</stp>
        <stp/>
        <stp/>
        <tr r="S31" s="1"/>
      </tp>
      <tp t="e">
        <v>#N/A</v>
        <stp/>
        <stp>P</stp>
        <stp>0</stp>
        <stp>STK</stp>
        <stp>N005440</stp>
        <stp>세션명</stp>
        <stp/>
        <stp/>
        <tr r="S268" s="1"/>
      </tp>
      <tp t="e">
        <v>#N/A</v>
        <stp/>
        <stp>P</stp>
        <stp>0</stp>
        <stp>STK</stp>
        <stp>N005420</stp>
        <stp>세션명</stp>
        <stp/>
        <stp/>
        <tr r="S446" s="1"/>
      </tp>
      <tp t="e">
        <v>#N/A</v>
        <stp/>
        <stp>P</stp>
        <stp>0</stp>
        <stp>STK</stp>
        <stp>N105560</stp>
        <stp>세션명</stp>
        <stp/>
        <stp/>
        <tr r="S19" s="1"/>
      </tp>
      <tp t="e">
        <v>#N/A</v>
        <stp/>
        <stp>P</stp>
        <stp>0</stp>
        <stp>STK</stp>
        <stp>N005500</stp>
        <stp>세션명</stp>
        <stp/>
        <stp/>
        <tr r="S669" s="1"/>
      </tp>
      <tp t="e">
        <v>#N/A</v>
        <stp/>
        <stp>P</stp>
        <stp>0</stp>
        <stp>STK</stp>
        <stp>N005690</stp>
        <stp>세션명</stp>
        <stp/>
        <stp/>
        <tr r="S361" s="1"/>
      </tp>
      <tp t="e">
        <v>#N/A</v>
        <stp/>
        <stp>P</stp>
        <stp>0</stp>
        <stp>STK</stp>
        <stp>N105630</stp>
        <stp>세션명</stp>
        <stp/>
        <stp/>
        <tr r="S444" s="1"/>
      </tp>
      <tp t="e">
        <v>#N/A</v>
        <stp/>
        <stp>P</stp>
        <stp>0</stp>
        <stp>STK</stp>
        <stp>N005610</stp>
        <stp>세션명</stp>
        <stp/>
        <stp/>
        <tr r="S514" s="1"/>
      </tp>
      <tp t="e">
        <v>#N/A</v>
        <stp/>
        <stp>P</stp>
        <stp>0</stp>
        <stp>STK</stp>
        <stp>N005710</stp>
        <stp>세션명</stp>
        <stp/>
        <stp/>
        <tr r="S659" s="1"/>
      </tp>
      <tp t="e">
        <v>#N/A</v>
        <stp/>
        <stp>P</stp>
        <stp>0</stp>
        <stp>STK</stp>
        <stp>N005090</stp>
        <stp>세션명</stp>
        <stp/>
        <stp/>
        <tr r="S626" s="1"/>
      </tp>
      <tp t="e">
        <v>#N/A</v>
        <stp/>
        <stp>P</stp>
        <stp>0</stp>
        <stp>STK</stp>
        <stp>N005070</stp>
        <stp>세션명</stp>
        <stp/>
        <stp/>
        <tr r="S255" s="1"/>
      </tp>
      <tp t="e">
        <v>#N/A</v>
        <stp/>
        <stp>P</stp>
        <stp>0</stp>
        <stp>STK</stp>
        <stp>N005180</stp>
        <stp>세션명</stp>
        <stp/>
        <stp/>
        <tr r="S381" s="1"/>
      </tp>
      <tp t="e">
        <v>#N/A</v>
        <stp/>
        <stp>P</stp>
        <stp>0</stp>
        <stp>STK</stp>
        <stp>N005290</stp>
        <stp>세션명</stp>
        <stp/>
        <stp/>
        <tr r="S204" s="1"/>
      </tp>
      <tp t="e">
        <v>#N/A</v>
        <stp/>
        <stp>P</stp>
        <stp>0</stp>
        <stp>STK</stp>
        <stp>N005250</stp>
        <stp>세션명</stp>
        <stp/>
        <stp/>
        <tr r="S392" s="1"/>
      </tp>
      <tp t="e">
        <v>#N/A</v>
        <stp/>
        <stp>P</stp>
        <stp>0</stp>
        <stp>STK</stp>
        <stp>N005380</stp>
        <stp>세션명</stp>
        <stp/>
        <stp/>
        <tr r="S11" s="1"/>
      </tp>
      <tp t="e">
        <v>#N/A</v>
        <stp/>
        <stp>P</stp>
        <stp>0</stp>
        <stp>STK</stp>
        <stp>N005300</stp>
        <stp>세션명</stp>
        <stp/>
        <stp/>
        <tr r="S284" s="1"/>
      </tp>
      <tp t="e">
        <v>#N/A</v>
        <stp/>
        <stp>P</stp>
        <stp>0</stp>
        <stp>STK</stp>
        <stp>N104830</stp>
        <stp>세션명</stp>
        <stp/>
        <stp/>
        <tr r="S507" s="1"/>
      </tp>
      <tp t="e">
        <v>#N/A</v>
        <stp/>
        <stp>P</stp>
        <stp>0</stp>
        <stp>STK</stp>
        <stp>N004800</stp>
        <stp>세션명</stp>
        <stp/>
        <stp/>
        <tr r="S177" s="1"/>
      </tp>
      <tp t="e">
        <v>#N/A</v>
        <stp/>
        <stp>P</stp>
        <stp>0</stp>
        <stp>STK</stp>
        <stp>N004990</stp>
        <stp>세션명</stp>
        <stp/>
        <stp/>
        <tr r="S153" s="1"/>
      </tp>
      <tp t="e">
        <v>#N/A</v>
        <stp/>
        <stp>P</stp>
        <stp>0</stp>
        <stp>STK</stp>
        <stp>N004980</stp>
        <stp>세션명</stp>
        <stp/>
        <stp/>
        <tr r="S692" s="1"/>
      </tp>
      <tp t="e">
        <v>#N/A</v>
        <stp/>
        <stp>P</stp>
        <stp>0</stp>
        <stp>STK</stp>
        <stp>N004490</stp>
        <stp>세션명</stp>
        <stp/>
        <stp/>
        <tr r="S333" s="1"/>
      </tp>
      <tp t="e">
        <v>#N/A</v>
        <stp/>
        <stp>P</stp>
        <stp>0</stp>
        <stp>STK</stp>
        <stp>N004690</stp>
        <stp>세션명</stp>
        <stp/>
        <stp/>
        <tr r="S468" s="1"/>
      </tp>
      <tp t="e">
        <v>#N/A</v>
        <stp/>
        <stp>P</stp>
        <stp>0</stp>
        <stp>STK</stp>
        <stp>N104700</stp>
        <stp>세션명</stp>
        <stp/>
        <stp/>
        <tr r="S568" s="1"/>
      </tp>
      <tp t="e">
        <v>#N/A</v>
        <stp/>
        <stp>P</stp>
        <stp>0</stp>
        <stp>STK</stp>
        <stp>N004700</stp>
        <stp>세션명</stp>
        <stp/>
        <stp/>
        <tr r="S500" s="1"/>
      </tp>
      <tp t="e">
        <v>#N/A</v>
        <stp/>
        <stp>P</stp>
        <stp>0</stp>
        <stp>STK</stp>
        <stp>N004020</stp>
        <stp>세션명</stp>
        <stp/>
        <stp/>
        <tr r="S125" s="1"/>
      </tp>
      <tp t="e">
        <v>#N/A</v>
        <stp/>
        <stp>P</stp>
        <stp>0</stp>
        <stp>STK</stp>
        <stp>N004000</stp>
        <stp>세션명</stp>
        <stp/>
        <stp/>
        <tr r="S290" s="1"/>
      </tp>
      <tp t="e">
        <v>#N/A</v>
        <stp/>
        <stp>P</stp>
        <stp>0</stp>
        <stp>STK</stp>
        <stp>N004170</stp>
        <stp>세션명</stp>
        <stp/>
        <stp/>
        <tr r="S163" s="1"/>
      </tp>
      <tp t="e">
        <v>#N/A</v>
        <stp/>
        <stp>P</stp>
        <stp>0</stp>
        <stp>STK</stp>
        <stp>N304100</stp>
        <stp>세션명</stp>
        <stp/>
        <stp/>
        <tr r="S594" s="1"/>
      </tp>
      <tp t="e">
        <v>#N/A</v>
        <stp/>
        <stp>P</stp>
        <stp>0</stp>
        <stp>STK</stp>
        <stp>N204270</stp>
        <stp>세션명</stp>
        <stp/>
        <stp/>
        <tr r="S297" s="1"/>
      </tp>
      <tp t="e">
        <v>#N/A</v>
        <stp/>
        <stp>P</stp>
        <stp>0</stp>
        <stp>STK</stp>
        <stp>N004370</stp>
        <stp>세션명</stp>
        <stp/>
        <stp/>
        <tr r="S182" s="1"/>
      </tp>
      <tp t="e">
        <v>#N/A</v>
        <stp/>
        <stp>P</stp>
        <stp>0</stp>
        <stp>STK</stp>
        <stp>N004360</stp>
        <stp>세션명</stp>
        <stp/>
        <stp/>
        <tr r="S662" s="1"/>
      </tp>
      <tp t="e">
        <v>#N/A</v>
        <stp/>
        <stp>P</stp>
        <stp>0</stp>
        <stp>STK</stp>
        <stp>N304360</stp>
        <stp>세션명</stp>
        <stp/>
        <stp/>
        <tr r="S560" s="1"/>
      </tp>
      <tp t="e">
        <v>#N/A</v>
        <stp/>
        <stp>P</stp>
        <stp>0</stp>
        <stp>STK</stp>
        <stp>N204320</stp>
        <stp>세션명</stp>
        <stp/>
        <stp/>
        <tr r="S142" s="1"/>
      </tp>
      <tp t="e">
        <v>#N/A</v>
        <stp/>
        <stp>P</stp>
        <stp>0</stp>
        <stp>STK</stp>
        <stp>N039840</stp>
        <stp>세션명</stp>
        <stp/>
        <stp/>
        <tr r="S696" s="1"/>
      </tp>
      <tp t="e">
        <v>#N/A</v>
        <stp/>
        <stp>P</stp>
        <stp>0</stp>
        <stp>STK</stp>
        <stp>N039490</stp>
        <stp>세션명</stp>
        <stp/>
        <stp/>
        <tr r="S85" s="1"/>
      </tp>
      <tp t="e">
        <v>#N/A</v>
        <stp/>
        <stp>P</stp>
        <stp>0</stp>
        <stp>STK</stp>
        <stp>N139480</stp>
        <stp>세션명</stp>
        <stp/>
        <stp/>
        <tr r="S194" s="1"/>
      </tp>
      <tp t="e">
        <v>#N/A</v>
        <stp/>
        <stp>P</stp>
        <stp>0</stp>
        <stp>STK</stp>
        <stp>N039440</stp>
        <stp>세션명</stp>
        <stp/>
        <stp/>
        <tr r="S497" s="1"/>
      </tp>
      <tp t="e">
        <v>#N/A</v>
        <stp/>
        <stp>P</stp>
        <stp>0</stp>
        <stp>STK</stp>
        <stp>N439090</stp>
        <stp>세션명</stp>
        <stp/>
        <stp/>
        <tr r="S695" s="1"/>
      </tp>
      <tp t="e">
        <v>#N/A</v>
        <stp/>
        <stp>P</stp>
        <stp>0</stp>
        <stp>STK</stp>
        <stp>N039030</stp>
        <stp>세션명</stp>
        <stp/>
        <stp/>
        <tr r="S139" s="1"/>
      </tp>
      <tp t="e">
        <v>#N/A</v>
        <stp/>
        <stp>P</stp>
        <stp>0</stp>
        <stp>STK</stp>
        <stp>N039130</stp>
        <stp>세션명</stp>
        <stp/>
        <stp/>
        <tr r="S388" s="1"/>
      </tp>
      <tp t="e">
        <v>#N/A</v>
        <stp/>
        <stp>P</stp>
        <stp>0</stp>
        <stp>STK</stp>
        <stp>N139130</stp>
        <stp>세션명</stp>
        <stp/>
        <stp/>
        <tr r="S196" s="1"/>
      </tp>
      <tp t="e">
        <v>#N/A</v>
        <stp/>
        <stp>P</stp>
        <stp>0</stp>
        <stp>STK</stp>
        <stp>N439260</stp>
        <stp>세션명</stp>
        <stp/>
        <stp/>
        <tr r="S172" s="1"/>
      </tp>
      <tp t="e">
        <v>#N/A</v>
        <stp/>
        <stp>P</stp>
        <stp>0</stp>
        <stp>STK</stp>
        <stp>N039200</stp>
        <stp>세션명</stp>
        <stp/>
        <stp/>
        <tr r="S239" s="1"/>
      </tp>
      <tp t="e">
        <v>#N/A</v>
        <stp/>
        <stp>P</stp>
        <stp>0</stp>
        <stp>STK</stp>
        <stp>N338840</stp>
        <stp>세션명</stp>
        <stp/>
        <stp/>
        <tr r="S583" s="1"/>
      </tp>
      <tp t="e">
        <v>#N/A</v>
        <stp/>
        <stp>P</stp>
        <stp>0</stp>
        <stp>STK</stp>
        <stp>N138930</stp>
        <stp>세션명</stp>
        <stp/>
        <stp/>
        <tr r="S115" s="1"/>
      </tp>
      <tp t="e">
        <v>#N/A</v>
        <stp/>
        <stp>P</stp>
        <stp>0</stp>
        <stp>STK</stp>
        <stp>N138490</stp>
        <stp>세션명</stp>
        <stp/>
        <stp/>
        <tr r="S611" s="1"/>
      </tp>
      <tp t="e">
        <v>#N/A</v>
        <stp/>
        <stp>P</stp>
        <stp>0</stp>
        <stp>STK</stp>
        <stp>N138610</stp>
        <stp>세션명</stp>
        <stp/>
        <stp/>
        <tr r="S548" s="1"/>
      </tp>
      <tp t="e">
        <v>#N/A</v>
        <stp/>
        <stp>P</stp>
        <stp>0</stp>
        <stp>STK</stp>
        <stp>N138040</stp>
        <stp>세션명</stp>
        <stp/>
        <stp/>
        <tr r="S47" s="1"/>
      </tp>
      <tp t="e">
        <v>#N/A</v>
        <stp/>
        <stp>P</stp>
        <stp>0</stp>
        <stp>STK</stp>
        <stp>N338220</stp>
        <stp>세션명</stp>
        <stp/>
        <stp/>
        <tr r="S646" s="1"/>
      </tp>
      <tp t="e">
        <v>#N/A</v>
        <stp/>
        <stp>P</stp>
        <stp>0</stp>
        <stp>STK</stp>
        <stp>N033500</stp>
        <stp>세션명</stp>
        <stp/>
        <stp/>
        <tr r="S347" s="1"/>
      </tp>
      <tp t="e">
        <v>#N/A</v>
        <stp/>
        <stp>P</stp>
        <stp>0</stp>
        <stp>STK</stp>
        <stp>N033640</stp>
        <stp>세션명</stp>
        <stp/>
        <stp/>
        <tr r="S564" s="1"/>
      </tp>
      <tp t="e">
        <v>#N/A</v>
        <stp/>
        <stp>P</stp>
        <stp>0</stp>
        <stp>STK</stp>
        <stp>N033780</stp>
        <stp>세션명</stp>
        <stp/>
        <stp/>
        <tr r="S52" s="1"/>
      </tp>
      <tp t="e">
        <v>#N/A</v>
        <stp/>
        <stp>P</stp>
        <stp>0</stp>
        <stp>STK</stp>
        <stp>N033100</stp>
        <stp>세션명</stp>
        <stp/>
        <stp/>
        <tr r="S406" s="1"/>
      </tp>
      <tp t="e">
        <v>#N/A</v>
        <stp/>
        <stp>P</stp>
        <stp>0</stp>
        <stp>STK</stp>
        <stp>N033270</stp>
        <stp>세션명</stp>
        <stp/>
        <stp/>
        <tr r="S628" s="1"/>
      </tp>
      <tp t="e">
        <v>#N/A</v>
        <stp/>
        <stp>P</stp>
        <stp>0</stp>
        <stp>STK</stp>
        <stp>N033240</stp>
        <stp>세션명</stp>
        <stp/>
        <stp/>
        <tr r="S464" s="1"/>
      </tp>
      <tp t="e">
        <v>#N/A</v>
        <stp/>
        <stp>P</stp>
        <stp>0</stp>
        <stp>STK</stp>
        <stp>N032830</stp>
        <stp>세션명</stp>
        <stp/>
        <stp/>
        <tr r="S27" s="1"/>
      </tp>
      <tp t="e">
        <v>#N/A</v>
        <stp/>
        <stp>P</stp>
        <stp>0</stp>
        <stp>STK</stp>
        <stp>N032500</stp>
        <stp>세션명</stp>
        <stp/>
        <stp/>
        <tr r="S416" s="1"/>
      </tp>
      <tp t="e">
        <v>#N/A</v>
        <stp/>
        <stp>P</stp>
        <stp>0</stp>
        <stp>STK</stp>
        <stp>N032640</stp>
        <stp>세션명</stp>
        <stp/>
        <stp/>
        <tr r="S99" s="1"/>
      </tp>
      <tp t="e">
        <v>#N/A</v>
        <stp/>
        <stp>P</stp>
        <stp>0</stp>
        <stp>STK</stp>
        <stp>N032190</stp>
        <stp>세션명</stp>
        <stp/>
        <stp/>
        <tr r="S390" s="1"/>
      </tp>
      <tp t="e">
        <v>#N/A</v>
        <stp/>
        <stp>P</stp>
        <stp>0</stp>
        <stp>STK</stp>
        <stp>N232140</stp>
        <stp>세션명</stp>
        <stp/>
        <stp/>
        <tr r="S283" s="1"/>
      </tp>
      <tp t="e">
        <v>#N/A</v>
        <stp/>
        <stp>P</stp>
        <stp>0</stp>
        <stp>STK</stp>
        <stp>N032350</stp>
        <stp>세션명</stp>
        <stp/>
        <stp/>
        <tr r="S226" s="1"/>
      </tp>
      <tp t="e">
        <v>#N/A</v>
        <stp/>
        <stp>P</stp>
        <stp>0</stp>
        <stp>STK</stp>
        <stp>N031980</stp>
        <stp>세션명</stp>
        <stp/>
        <stp/>
        <tr r="S261" s="1"/>
      </tp>
      <tp t="e">
        <v>#N/A</v>
        <stp/>
        <stp>P</stp>
        <stp>0</stp>
        <stp>STK</stp>
        <stp>N131970</stp>
        <stp>세션명</stp>
        <stp/>
        <stp/>
        <tr r="S311" s="1"/>
      </tp>
      <tp t="e">
        <v>#N/A</v>
        <stp/>
        <stp>P</stp>
        <stp>0</stp>
        <stp>STK</stp>
        <stp>N031430</stp>
        <stp>세션명</stp>
        <stp/>
        <stp/>
        <tr r="S550" s="1"/>
      </tp>
      <tp t="e">
        <v>#N/A</v>
        <stp/>
        <stp>P</stp>
        <stp>0</stp>
        <stp>STK</stp>
        <stp>N131290</stp>
        <stp>세션명</stp>
        <stp/>
        <stp/>
        <tr r="S346" s="1"/>
      </tp>
      <tp t="e">
        <v>#N/A</v>
        <stp/>
        <stp>P</stp>
        <stp>0</stp>
        <stp>STK</stp>
        <stp>N031210</stp>
        <stp>세션명</stp>
        <stp/>
        <stp/>
        <tr r="S143" s="1"/>
      </tp>
      <tp t="e">
        <v>#N/A</v>
        <stp/>
        <stp>P</stp>
        <stp>0</stp>
        <stp>STK</stp>
        <stp>N030530</stp>
        <stp>세션명</stp>
        <stp/>
        <stp/>
        <tr r="S149" s="1"/>
      </tp>
      <tp t="e">
        <v>#N/A</v>
        <stp/>
        <stp>P</stp>
        <stp>0</stp>
        <stp>STK</stp>
        <stp>N030520</stp>
        <stp>세션명</stp>
        <stp/>
        <stp/>
        <tr r="S457" s="1"/>
      </tp>
      <tp t="e">
        <v>#N/A</v>
        <stp/>
        <stp>P</stp>
        <stp>0</stp>
        <stp>STK</stp>
        <stp>N130660</stp>
        <stp>세션명</stp>
        <stp/>
        <stp/>
        <tr r="S521" s="1"/>
      </tp>
      <tp t="e">
        <v>#N/A</v>
        <stp/>
        <stp>P</stp>
        <stp>0</stp>
        <stp>STK</stp>
        <stp>N030610</stp>
        <stp>세션명</stp>
        <stp/>
        <stp/>
        <tr r="S289" s="1"/>
      </tp>
      <tp t="e">
        <v>#N/A</v>
        <stp/>
        <stp>P</stp>
        <stp>0</stp>
        <stp>STK</stp>
        <stp>N030000</stp>
        <stp>세션명</stp>
        <stp/>
        <stp/>
        <tr r="S187" s="1"/>
      </tp>
      <tp t="e">
        <v>#N/A</v>
        <stp/>
        <stp>P</stp>
        <stp>0</stp>
        <stp>STK</stp>
        <stp>N030190</stp>
        <stp>세션명</stp>
        <stp/>
        <stp/>
        <tr r="S317" s="1"/>
      </tp>
      <tp t="e">
        <v>#N/A</v>
        <stp/>
        <stp>P</stp>
        <stp>0</stp>
        <stp>STK</stp>
        <stp>N030200</stp>
        <stp>세션명</stp>
        <stp/>
        <stp/>
        <tr r="S62" s="1"/>
      </tp>
      <tp t="e">
        <v>#N/A</v>
        <stp/>
        <stp>P</stp>
        <stp>0</stp>
        <stp>STK</stp>
        <stp>N230360</stp>
        <stp>세션명</stp>
        <stp/>
        <stp/>
        <tr r="S485" s="1"/>
      </tp>
      <tp t="e">
        <v>#N/A</v>
        <stp/>
        <stp>P</stp>
        <stp>0</stp>
        <stp>STK</stp>
        <stp>N237880</stp>
        <stp>세션명</stp>
        <stp/>
        <stp/>
        <tr r="S693" s="1"/>
      </tp>
      <tp t="e">
        <v>#N/A</v>
        <stp/>
        <stp>P</stp>
        <stp>0</stp>
        <stp>STK</stp>
        <stp>N137400</stp>
        <stp>세션명</stp>
        <stp/>
        <stp/>
        <tr r="S325" s="1"/>
      </tp>
      <tp t="e">
        <v>#N/A</v>
        <stp/>
        <stp>P</stp>
        <stp>0</stp>
        <stp>STK</stp>
        <stp>N237690</stp>
        <stp>세션명</stp>
        <stp/>
        <stp/>
        <tr r="S185" s="1"/>
      </tp>
      <tp t="e">
        <v>#N/A</v>
        <stp/>
        <stp>P</stp>
        <stp>0</stp>
        <stp>STK</stp>
        <stp>N437730</stp>
        <stp>세션명</stp>
        <stp/>
        <stp/>
        <tr r="S195" s="1"/>
      </tp>
      <tp t="e">
        <v>#N/A</v>
        <stp/>
        <stp>P</stp>
        <stp>0</stp>
        <stp>STK</stp>
        <stp>N037710</stp>
        <stp>세션명</stp>
        <stp/>
        <stp/>
        <tr r="S676" s="1"/>
      </tp>
      <tp t="e">
        <v>#N/A</v>
        <stp/>
        <stp>P</stp>
        <stp>0</stp>
        <stp>STK</stp>
        <stp>N137310</stp>
        <stp>세션명</stp>
        <stp/>
        <stp/>
        <tr r="S315" s="1"/>
      </tp>
      <tp t="e">
        <v>#N/A</v>
        <stp/>
        <stp>P</stp>
        <stp>0</stp>
        <stp>STK</stp>
        <stp>N036890</stp>
        <stp>세션명</stp>
        <stp/>
        <stp/>
        <tr r="S624" s="1"/>
      </tp>
      <tp t="e">
        <v>#N/A</v>
        <stp/>
        <stp>P</stp>
        <stp>0</stp>
        <stp>STK</stp>
        <stp>N036830</stp>
        <stp>세션명</stp>
        <stp/>
        <stp/>
        <tr r="S352" s="1"/>
      </tp>
      <tp t="e">
        <v>#N/A</v>
        <stp/>
        <stp>P</stp>
        <stp>0</stp>
        <stp>STK</stp>
        <stp>N036810</stp>
        <stp>세션명</stp>
        <stp/>
        <stp/>
        <tr r="S382" s="1"/>
      </tp>
      <tp t="e">
        <v>#N/A</v>
        <stp/>
        <stp>P</stp>
        <stp>0</stp>
        <stp>STK</stp>
        <stp>N036800</stp>
        <stp>세션명</stp>
        <stp/>
        <stp/>
        <tr r="S691" s="1"/>
      </tp>
      <tp t="e">
        <v>#N/A</v>
        <stp/>
        <stp>P</stp>
        <stp>0</stp>
        <stp>STK</stp>
        <stp>N036930</stp>
        <stp>세션명</stp>
        <stp/>
        <stp/>
        <tr r="S251" s="1"/>
      </tp>
      <tp t="e">
        <v>#N/A</v>
        <stp/>
        <stp>P</stp>
        <stp>0</stp>
        <stp>STK</stp>
        <stp>N036460</stp>
        <stp>세션명</stp>
        <stp/>
        <stp/>
        <tr r="S137" s="1"/>
      </tp>
      <tp t="e">
        <v>#N/A</v>
        <stp/>
        <stp>P</stp>
        <stp>0</stp>
        <stp>STK</stp>
        <stp>N036570</stp>
        <stp>세션명</stp>
        <stp/>
        <stp/>
        <tr r="S114" s="1"/>
      </tp>
      <tp t="e">
        <v>#N/A</v>
        <stp/>
        <stp>P</stp>
        <stp>0</stp>
        <stp>STK</stp>
        <stp>N036540</stp>
        <stp>세션명</stp>
        <stp/>
        <stp/>
        <tr r="S334" s="1"/>
      </tp>
      <tp t="e">
        <v>#N/A</v>
        <stp/>
        <stp>P</stp>
        <stp>0</stp>
        <stp>STK</stp>
        <stp>N336570</stp>
        <stp>세션명</stp>
        <stp/>
        <stp/>
        <tr r="S375" s="1"/>
      </tp>
      <tp t="e">
        <v>#N/A</v>
        <stp/>
        <stp>P</stp>
        <stp>0</stp>
        <stp>STK</stp>
        <stp>N036530</stp>
        <stp>세션명</stp>
        <stp/>
        <stp/>
        <tr r="S328" s="1"/>
      </tp>
      <tp t="e">
        <v>#N/A</v>
        <stp/>
        <stp>P</stp>
        <stp>0</stp>
        <stp>STK</stp>
        <stp>N036620</stp>
        <stp>세션명</stp>
        <stp/>
        <stp/>
        <tr r="S481" s="1"/>
      </tp>
      <tp t="e">
        <v>#N/A</v>
        <stp/>
        <stp>P</stp>
        <stp>0</stp>
        <stp>STK</stp>
        <stp>N336260</stp>
        <stp>세션명</stp>
        <stp/>
        <stp/>
        <tr r="S186" s="1"/>
      </tp>
      <tp t="e">
        <v>#N/A</v>
        <stp/>
        <stp>P</stp>
        <stp>0</stp>
        <stp>STK</stp>
        <stp>N236200</stp>
        <stp>세션명</stp>
        <stp/>
        <stp/>
        <tr r="S667" s="1"/>
      </tp>
      <tp t="e">
        <v>#N/A</v>
        <stp/>
        <stp>P</stp>
        <stp>0</stp>
        <stp>STK</stp>
        <stp>N036200</stp>
        <stp>세션명</stp>
        <stp/>
        <stp/>
        <tr r="S629" s="1"/>
      </tp>
      <tp t="e">
        <v>#N/A</v>
        <stp/>
        <stp>P</stp>
        <stp>0</stp>
        <stp>STK</stp>
        <stp>N336370</stp>
        <stp>세션명</stp>
        <stp/>
        <stp/>
        <tr r="S460" s="1"/>
      </tp>
      <tp t="e">
        <v>#N/A</v>
        <stp/>
        <stp>P</stp>
        <stp>0</stp>
        <stp>STK</stp>
        <stp>N035900</stp>
        <stp>세션명</stp>
        <stp/>
        <stp/>
        <tr r="S188" s="1"/>
      </tp>
      <tp t="e">
        <v>#N/A</v>
        <stp/>
        <stp>P</stp>
        <stp>0</stp>
        <stp>STK</stp>
        <stp>N035420</stp>
        <stp>세션명</stp>
        <stp/>
        <stp/>
        <tr r="S26" s="1"/>
      </tp>
      <tp t="e">
        <v>#N/A</v>
        <stp/>
        <stp>P</stp>
        <stp>0</stp>
        <stp>STK</stp>
        <stp>N035600</stp>
        <stp>세션명</stp>
        <stp/>
        <stp/>
        <tr r="S655" s="1"/>
      </tp>
      <tp t="e">
        <v>#N/A</v>
        <stp/>
        <stp>P</stp>
        <stp>0</stp>
        <stp>STK</stp>
        <stp>N035760</stp>
        <stp>세션명</stp>
        <stp/>
        <stp/>
        <tr r="S263" s="1"/>
      </tp>
      <tp t="e">
        <v>#N/A</v>
        <stp/>
        <stp>P</stp>
        <stp>0</stp>
        <stp>STK</stp>
        <stp>N035720</stp>
        <stp>세션명</stp>
        <stp/>
        <stp/>
        <tr r="S35" s="1"/>
      </tp>
      <tp t="e">
        <v>#N/A</v>
        <stp/>
        <stp>P</stp>
        <stp>0</stp>
        <stp>STK</stp>
        <stp>N035150</stp>
        <stp>세션명</stp>
        <stp/>
        <stp/>
        <tr r="S666" s="1"/>
      </tp>
      <tp t="e">
        <v>#N/A</v>
        <stp/>
        <stp>P</stp>
        <stp>0</stp>
        <stp>STK</stp>
        <stp>N035250</stp>
        <stp>세션명</stp>
        <stp/>
        <stp/>
        <tr r="S131" s="1"/>
      </tp>
      <tp t="e">
        <v>#N/A</v>
        <stp/>
        <stp>P</stp>
        <stp>0</stp>
        <stp>STK</stp>
        <stp>N034950</stp>
        <stp>세션명</stp>
        <stp/>
        <stp/>
        <tr r="S511" s="1"/>
      </tp>
      <tp t="e">
        <v>#N/A</v>
        <stp/>
        <stp>P</stp>
        <stp>0</stp>
        <stp>STK</stp>
        <stp>N034730</stp>
        <stp>세션명</stp>
        <stp/>
        <stp/>
        <tr r="S41" s="1"/>
      </tp>
      <tp t="e">
        <v>#N/A</v>
        <stp/>
        <stp>P</stp>
        <stp>0</stp>
        <stp>STK</stp>
        <stp>N034020</stp>
        <stp>세션명</stp>
        <stp/>
        <stp/>
        <tr r="S17" s="1"/>
      </tp>
      <tp t="e">
        <v>#N/A</v>
        <stp/>
        <stp>P</stp>
        <stp>0</stp>
        <stp>STK</stp>
        <stp>N034120</stp>
        <stp>세션명</stp>
        <stp/>
        <stp/>
        <tr r="S584" s="1"/>
      </tp>
      <tp t="e">
        <v>#N/A</v>
        <stp/>
        <stp>P</stp>
        <stp>0</stp>
        <stp>STK</stp>
        <stp>N034230</stp>
        <stp>세션명</stp>
        <stp/>
        <stp/>
        <tr r="S245" s="1"/>
      </tp>
      <tp t="e">
        <v>#N/A</v>
        <stp/>
        <stp>P</stp>
        <stp>0</stp>
        <stp>STK</stp>
        <stp>N034220</stp>
        <stp>세션명</stp>
        <stp/>
        <stp/>
        <tr r="S102" s="1"/>
      </tp>
      <tp t="e">
        <v>#N/A</v>
        <stp/>
        <stp>P</stp>
        <stp>0</stp>
        <stp>STK</stp>
        <stp>N034310</stp>
        <stp>세션명</stp>
        <stp/>
        <stp/>
        <tr r="S491" s="1"/>
      </tp>
      <tp t="e">
        <v>#N/A</v>
        <stp/>
        <stp>P</stp>
        <stp>0</stp>
        <stp>STK</stp>
        <stp>N029460</stp>
        <stp>세션명</stp>
        <stp/>
        <stp/>
        <tr r="S557" s="1"/>
      </tp>
      <tp t="e">
        <v>#N/A</v>
        <stp/>
        <stp>P</stp>
        <stp>0</stp>
        <stp>STK</stp>
        <stp>N029530</stp>
        <stp>세션명</stp>
        <stp/>
        <stp/>
        <tr r="S502" s="1"/>
      </tp>
      <tp t="e">
        <v>#N/A</v>
        <stp/>
        <stp>P</stp>
        <stp>0</stp>
        <stp>STK</stp>
        <stp>N229640</stp>
        <stp>세션명</stp>
        <stp/>
        <stp/>
        <tr r="S292" s="1"/>
      </tp>
      <tp t="e">
        <v>#N/A</v>
        <stp/>
        <stp>P</stp>
        <stp>0</stp>
        <stp>STK</stp>
        <stp>N029780</stp>
        <stp>세션명</stp>
        <stp/>
        <stp/>
        <tr r="S101" s="1"/>
      </tp>
      <tp t="e">
        <v>#N/A</v>
        <stp/>
        <stp>P</stp>
        <stp>0</stp>
        <stp>STK</stp>
        <stp>N329180</stp>
        <stp>세션명</stp>
        <stp/>
        <stp/>
        <tr r="S16" s="1"/>
      </tp>
      <tp t="e">
        <v>#N/A</v>
        <stp/>
        <stp>P</stp>
        <stp>0</stp>
        <stp>STK</stp>
        <stp>N128940</stp>
        <stp>세션명</stp>
        <stp/>
        <stp/>
        <tr r="S109" s="1"/>
      </tp>
      <tp t="e">
        <v>#N/A</v>
        <stp/>
        <stp>P</stp>
        <stp>0</stp>
        <stp>STK</stp>
        <stp>N028670</stp>
        <stp>세션명</stp>
        <stp/>
        <stp/>
        <tr r="S191" s="1"/>
      </tp>
      <tp t="e">
        <v>#N/A</v>
        <stp/>
        <stp>P</stp>
        <stp>0</stp>
        <stp>STK</stp>
        <stp>N228760</stp>
        <stp>세션명</stp>
        <stp/>
        <stp/>
        <tr r="S452" s="1"/>
      </tp>
      <tp t="e">
        <v>#N/A</v>
        <stp/>
        <stp>P</stp>
        <stp>0</stp>
        <stp>STK</stp>
        <stp>N028050</stp>
        <stp>세션명</stp>
        <stp/>
        <stp/>
        <tr r="S113" s="1"/>
      </tp>
      <tp t="e">
        <v>#N/A</v>
        <stp/>
        <stp>P</stp>
        <stp>0</stp>
        <stp>STK</stp>
        <stp>N328130</stp>
        <stp>세션명</stp>
        <stp/>
        <stp/>
        <tr r="S298" s="1"/>
      </tp>
      <tp t="e">
        <v>#N/A</v>
        <stp/>
        <stp>P</stp>
        <stp>0</stp>
        <stp>STK</stp>
        <stp>N028260</stp>
        <stp>세션명</stp>
        <stp/>
        <stp/>
        <tr r="S20" s="1"/>
      </tp>
      <tp t="e">
        <v>#N/A</v>
        <stp/>
        <stp>P</stp>
        <stp>0</stp>
        <stp>STK</stp>
        <stp>N028300</stp>
        <stp>세션명</stp>
        <stp/>
        <stp/>
        <tr r="S96" s="1"/>
      </tp>
      <tp t="e">
        <v>#N/A</v>
        <stp/>
        <stp>P</stp>
        <stp>0</stp>
        <stp>STK</stp>
        <stp>N323410</stp>
        <stp>세션명</stp>
        <stp/>
        <stp/>
        <tr r="S75" s="1"/>
      </tp>
      <tp t="e">
        <v>#N/A</v>
        <stp/>
        <stp>P</stp>
        <stp>0</stp>
        <stp>STK</stp>
        <stp>N023590</stp>
        <stp>세션명</stp>
        <stp/>
        <stp/>
        <tr r="S225" s="1"/>
      </tp>
      <tp t="e">
        <v>#N/A</v>
        <stp/>
        <stp>P</stp>
        <stp>0</stp>
        <stp>STK</stp>
        <stp>N023530</stp>
        <stp>세션명</stp>
        <stp/>
        <stp/>
        <tr r="S203" s="1"/>
      </tp>
      <tp t="e">
        <v>#N/A</v>
        <stp/>
        <stp>P</stp>
        <stp>0</stp>
        <stp>STK</stp>
        <stp>N023160</stp>
        <stp>세션명</stp>
        <stp/>
        <stp/>
        <tr r="S389" s="1"/>
      </tp>
      <tp t="e">
        <v>#N/A</v>
        <stp/>
        <stp>P</stp>
        <stp>0</stp>
        <stp>STK</stp>
        <stp>N323280</stp>
        <stp>세션명</stp>
        <stp/>
        <stp/>
        <tr r="S258" s="1"/>
      </tp>
      <tp t="e">
        <v>#N/A</v>
        <stp/>
        <stp>P</stp>
        <stp>0</stp>
        <stp>STK</stp>
        <stp>N122870</stp>
        <stp>세션명</stp>
        <stp/>
        <stp/>
        <tr r="S273" s="1"/>
      </tp>
      <tp t="e">
        <v>#N/A</v>
        <stp/>
        <stp>P</stp>
        <stp>0</stp>
        <stp>STK</stp>
        <stp>N222800</stp>
        <stp>세션명</stp>
        <stp/>
        <stp/>
        <tr r="S223" s="1"/>
      </tp>
      <tp t="e">
        <v>#N/A</v>
        <stp/>
        <stp>P</stp>
        <stp>0</stp>
        <stp>STK</stp>
        <stp>N122640</stp>
        <stp>세션명</stp>
        <stp/>
        <stp/>
        <tr r="S544" s="1"/>
      </tp>
      <tp t="e">
        <v>#N/A</v>
        <stp/>
        <stp>P</stp>
        <stp>0</stp>
        <stp>STK</stp>
        <stp>N222080</stp>
        <stp>세션명</stp>
        <stp/>
        <stp/>
        <tr r="S441" s="1"/>
      </tp>
      <tp t="e">
        <v>#N/A</v>
        <stp/>
        <stp>P</stp>
        <stp>0</stp>
        <stp>STK</stp>
        <stp>N322000</stp>
        <stp>세션명</stp>
        <stp/>
        <stp/>
        <tr r="S423" s="1"/>
      </tp>
      <tp t="e">
        <v>#N/A</v>
        <stp/>
        <stp>P</stp>
        <stp>0</stp>
        <stp>STK</stp>
        <stp>N022100</stp>
        <stp>세션명</stp>
        <stp/>
        <stp/>
        <tr r="S98" s="1"/>
      </tp>
      <tp t="e">
        <v>#N/A</v>
        <stp/>
        <stp>P</stp>
        <stp>0</stp>
        <stp>STK</stp>
        <stp>N121600</stp>
        <stp>세션명</stp>
        <stp/>
        <stp/>
        <tr r="S419" s="1"/>
      </tp>
      <tp t="e">
        <v>#N/A</v>
        <stp/>
        <stp>P</stp>
        <stp>0</stp>
        <stp>STK</stp>
        <stp>N021240</stp>
        <stp>세션명</stp>
        <stp/>
        <stp/>
        <tr r="S106" s="1"/>
      </tp>
      <tp t="e">
        <v>#N/A</v>
        <stp/>
        <stp>P</stp>
        <stp>0</stp>
        <stp>STK</stp>
        <stp>N020560</stp>
        <stp>세션명</stp>
        <stp/>
        <stp/>
        <tr r="S246" s="1"/>
      </tp>
      <tp t="e">
        <v>#N/A</v>
        <stp/>
        <stp>P</stp>
        <stp>0</stp>
        <stp>STK</stp>
        <stp>N420770</stp>
        <stp>세션명</stp>
        <stp/>
        <stp/>
        <tr r="S387" s="1"/>
      </tp>
      <tp t="e">
        <v>#N/A</v>
        <stp/>
        <stp>P</stp>
        <stp>0</stp>
        <stp>STK</stp>
        <stp>N020000</stp>
        <stp>세션명</stp>
        <stp/>
        <stp/>
        <tr r="S587" s="1"/>
      </tp>
      <tp t="e">
        <v>#N/A</v>
        <stp/>
        <stp>P</stp>
        <stp>0</stp>
        <stp>STK</stp>
        <stp>N020150</stp>
        <stp>세션명</stp>
        <stp/>
        <stp/>
        <tr r="S228" s="1"/>
      </tp>
      <tp t="e">
        <v>#N/A</v>
        <stp/>
        <stp>P</stp>
        <stp>0</stp>
        <stp>STK</stp>
        <stp>N220100</stp>
        <stp>세션명</stp>
        <stp/>
        <stp/>
        <tr r="S461" s="1"/>
      </tp>
      <tp t="e">
        <v>#N/A</v>
        <stp/>
        <stp>P</stp>
        <stp>0</stp>
        <stp>STK</stp>
        <stp>N120110</stp>
        <stp>세션명</stp>
        <stp/>
        <stp/>
        <tr r="S280" s="1"/>
      </tp>
      <tp t="e">
        <v>#N/A</v>
        <stp/>
        <stp>P</stp>
        <stp>0</stp>
        <stp>STK</stp>
        <stp>N127120</stp>
        <stp>세션명</stp>
        <stp/>
        <stp/>
        <tr r="S405" s="1"/>
      </tp>
      <tp t="e">
        <v>#N/A</v>
        <stp/>
        <stp>P</stp>
        <stp>0</stp>
        <stp>STK</stp>
        <stp>N026890</stp>
        <stp>세션명</stp>
        <stp/>
        <stp/>
        <tr r="S533" s="1"/>
      </tp>
      <tp t="e">
        <v>#N/A</v>
        <stp/>
        <stp>P</stp>
        <stp>0</stp>
        <stp>STK</stp>
        <stp>N226950</stp>
        <stp>세션명</stp>
        <stp/>
        <stp/>
        <tr r="S189" s="1"/>
      </tp>
      <tp t="e">
        <v>#N/A</v>
        <stp/>
        <stp>P</stp>
        <stp>0</stp>
        <stp>STK</stp>
        <stp>N026960</stp>
        <stp>세션명</stp>
        <stp/>
        <stp/>
        <tr r="S175" s="1"/>
      </tp>
      <tp t="e">
        <v>#N/A</v>
        <stp/>
        <stp>P</stp>
        <stp>0</stp>
        <stp>STK</stp>
        <stp>N126720</stp>
        <stp>세션명</stp>
        <stp/>
        <stp/>
        <tr r="S547" s="1"/>
      </tp>
      <tp t="e">
        <v>#N/A</v>
        <stp/>
        <stp>P</stp>
        <stp>0</stp>
        <stp>STK</stp>
        <stp>N326030</stp>
        <stp>세션명</stp>
        <stp/>
        <stp/>
        <tr r="S81" s="1"/>
      </tp>
      <tp t="e">
        <v>#N/A</v>
        <stp/>
        <stp>P</stp>
        <stp>0</stp>
        <stp>STK</stp>
        <stp>N126340</stp>
        <stp>세션명</stp>
        <stp/>
        <stp/>
        <tr r="S434" s="1"/>
      </tp>
      <tp t="e">
        <v>#N/A</v>
        <stp/>
        <stp>P</stp>
        <stp>0</stp>
        <stp>STK</stp>
        <stp>N226320</stp>
        <stp>세션명</stp>
        <stp/>
        <stp/>
        <tr r="S679" s="1"/>
      </tp>
      <tp t="e">
        <v>#N/A</v>
        <stp/>
        <stp>P</stp>
        <stp>0</stp>
        <stp>STK</stp>
        <stp>N025980</stp>
        <stp>세션명</stp>
        <stp/>
        <stp/>
        <tr r="S376" s="1"/>
      </tp>
      <tp t="e">
        <v>#N/A</v>
        <stp/>
        <stp>P</stp>
        <stp>0</stp>
        <stp>STK</stp>
        <stp>N025900</stp>
        <stp>세션명</stp>
        <stp/>
        <stp/>
        <tr r="S530" s="1"/>
      </tp>
      <tp t="e">
        <v>#N/A</v>
        <stp/>
        <stp>P</stp>
        <stp>0</stp>
        <stp>STK</stp>
        <stp>N125490</stp>
        <stp>세션명</stp>
        <stp/>
        <stp/>
        <tr r="S377" s="1"/>
      </tp>
      <tp t="e">
        <v>#N/A</v>
        <stp/>
        <stp>P</stp>
        <stp>0</stp>
        <stp>STK</stp>
        <stp>N425420</stp>
        <stp>세션명</stp>
        <stp/>
        <stp/>
        <tr r="S535" s="1"/>
      </tp>
      <tp t="e">
        <v>#N/A</v>
        <stp/>
        <stp>P</stp>
        <stp>0</stp>
        <stp>STK</stp>
        <stp>N225570</stp>
        <stp>세션명</stp>
        <stp/>
        <stp/>
        <tr r="S357" s="1"/>
      </tp>
      <tp t="e">
        <v>#N/A</v>
        <stp/>
        <stp>P</stp>
        <stp>0</stp>
        <stp>STK</stp>
        <stp>N025540</stp>
        <stp>세션명</stp>
        <stp/>
        <stp/>
        <tr r="S355" s="1"/>
      </tp>
      <tp t="e">
        <v>#N/A</v>
        <stp/>
        <stp>P</stp>
        <stp>0</stp>
        <stp>STK</stp>
        <stp>N025770</stp>
        <stp>세션명</stp>
        <stp/>
        <stp/>
        <tr r="S636" s="1"/>
      </tp>
      <tp t="e">
        <v>#N/A</v>
        <stp/>
        <stp>P</stp>
        <stp>0</stp>
        <stp>STK</stp>
        <stp>N025320</stp>
        <stp>세션명</stp>
        <stp/>
        <stp/>
        <tr r="S476" s="1"/>
      </tp>
      <tp t="e">
        <v>#N/A</v>
        <stp/>
        <stp>P</stp>
        <stp>0</stp>
        <stp>STK</stp>
        <stp>N424870</stp>
        <stp>세션명</stp>
        <stp/>
        <stp/>
        <tr r="S356" s="1"/>
      </tp>
      <tp t="e">
        <v>#N/A</v>
        <stp/>
        <stp>P</stp>
        <stp>0</stp>
        <stp>STK</stp>
        <stp>N024720</stp>
        <stp>세션명</stp>
        <stp/>
        <stp/>
        <tr r="S605" s="1"/>
      </tp>
      <tp t="e">
        <v>#N/A</v>
        <stp/>
        <stp>P</stp>
        <stp>0</stp>
        <stp>STK</stp>
        <stp>N024110</stp>
        <stp>세션명</stp>
        <stp/>
        <stp/>
        <tr r="S55" s="1"/>
      </tp>
      <tp>
        <v>3462132800</v>
        <stp/>
        <stp>P</stp>
        <stp>0</stp>
        <stp>STK</stp>
        <stp>N0120G0</stp>
        <stp>누적거래대금</stp>
        <stp/>
        <stp/>
        <tr r="N436" s="1"/>
      </tp>
      <tp>
        <v>-50</v>
        <stp/>
        <stp>P</stp>
        <stp>0</stp>
        <stp>STK</stp>
        <stp>N361610</stp>
        <stp>전일대비</stp>
        <stp/>
        <stp/>
        <tr r="K214" s="1"/>
      </tp>
      <tp>
        <v>-350</v>
        <stp/>
        <stp>P</stp>
        <stp>0</stp>
        <stp>STK</stp>
        <stp>N001630</stp>
        <stp>전일대비</stp>
        <stp/>
        <stp/>
        <tr r="K684" s="1"/>
      </tp>
      <tp>
        <v>-600</v>
        <stp/>
        <stp>P</stp>
        <stp>0</stp>
        <stp>STK</stp>
        <stp>N051600</stp>
        <stp>전일대비</stp>
        <stp/>
        <stp/>
        <tr r="K169" s="1"/>
      </tp>
      <tp>
        <v>2800</v>
        <stp/>
        <stp>P</stp>
        <stp>0</stp>
        <stp>STK</stp>
        <stp>N121600</stp>
        <stp>전일대비</stp>
        <stp/>
        <stp/>
        <tr r="K419" s="1"/>
      </tp>
      <tp>
        <v>-600</v>
        <stp/>
        <stp>P</stp>
        <stp>0</stp>
        <stp>STK</stp>
        <stp>N081660</stp>
        <stp>전일대비</stp>
        <stp/>
        <stp/>
        <tr r="K192" s="1"/>
      </tp>
      <tp>
        <v>-50</v>
        <stp/>
        <stp>P</stp>
        <stp>0</stp>
        <stp>STK</stp>
        <stp>N001680</stp>
        <stp>전일대비</stp>
        <stp/>
        <stp/>
        <tr r="K374" s="1"/>
      </tp>
      <tp>
        <v>-2700</v>
        <stp/>
        <stp>P</stp>
        <stp>0</stp>
        <stp>STK</stp>
        <stp>N001720</stp>
        <stp>전일대비</stp>
        <stp/>
        <stp/>
        <tr r="K184" s="1"/>
      </tp>
      <tp>
        <v>-560</v>
        <stp/>
        <stp>P</stp>
        <stp>0</stp>
        <stp>STK</stp>
        <stp>N101730</stp>
        <stp>전일대비</stp>
        <stp/>
        <stp/>
        <tr r="K475" s="1"/>
      </tp>
      <tp>
        <v>-2500</v>
        <stp/>
        <stp>P</stp>
        <stp>0</stp>
        <stp>STK</stp>
        <stp>N241710</stp>
        <stp>전일대비</stp>
        <stp/>
        <stp/>
        <tr r="K360" s="1"/>
      </tp>
      <tp>
        <v>-800</v>
        <stp/>
        <stp>P</stp>
        <stp>0</stp>
        <stp>STK</stp>
        <stp>N181710</stp>
        <stp>전일대비</stp>
        <stp/>
        <stp/>
        <tr r="K319" s="1"/>
      </tp>
      <tp>
        <v>-250</v>
        <stp/>
        <stp>P</stp>
        <stp>0</stp>
        <stp>STK</stp>
        <stp>N011760</stp>
        <stp>전일대비</stp>
        <stp/>
        <stp/>
        <tr r="K639" s="1"/>
      </tp>
      <tp>
        <v>-3600</v>
        <stp/>
        <stp>P</stp>
        <stp>0</stp>
        <stp>STK</stp>
        <stp>N111770</stp>
        <stp>전일대비</stp>
        <stp/>
        <stp/>
        <tr r="K138" s="1"/>
      </tp>
      <tp>
        <v>650</v>
        <stp/>
        <stp>P</stp>
        <stp>0</stp>
        <stp>STK</stp>
        <stp>N281740</stp>
        <stp>전일대비</stp>
        <stp/>
        <stp/>
        <tr r="K291" s="1"/>
      </tp>
      <tp>
        <v>-550</v>
        <stp/>
        <stp>P</stp>
        <stp>0</stp>
        <stp>STK</stp>
        <stp>N241770</stp>
        <stp>전일대비</stp>
        <stp/>
        <stp/>
        <tr r="K686" s="1"/>
      </tp>
      <tp>
        <v>-590</v>
        <stp/>
        <stp>P</stp>
        <stp>0</stp>
        <stp>STK</stp>
        <stp>N001750</stp>
        <stp>전일대비</stp>
        <stp/>
        <stp/>
        <tr r="K685" s="1"/>
      </tp>
      <tp>
        <v>-600</v>
        <stp/>
        <stp>P</stp>
        <stp>0</stp>
        <stp>STK</stp>
        <stp>N011780</stp>
        <stp>전일대비</stp>
        <stp/>
        <stp/>
        <tr r="K136" s="1"/>
      </tp>
      <tp>
        <v>3000</v>
        <stp/>
        <stp>P</stp>
        <stp>0</stp>
        <stp>STK</stp>
        <stp>N011790</stp>
        <stp>전일대비</stp>
        <stp/>
        <stp/>
        <tr r="K126" s="1"/>
      </tp>
      <tp>
        <v>-210</v>
        <stp/>
        <stp>P</stp>
        <stp>0</stp>
        <stp>STK</stp>
        <stp>N031430</stp>
        <stp>전일대비</stp>
        <stp/>
        <stp/>
        <tr r="K550" s="1"/>
      </tp>
      <tp>
        <v>-400</v>
        <stp/>
        <stp>P</stp>
        <stp>0</stp>
        <stp>STK</stp>
        <stp>N001430</stp>
        <stp>전일대비</stp>
        <stp/>
        <stp/>
        <tr r="K166" s="1"/>
      </tp>
      <tp>
        <v>400</v>
        <stp/>
        <stp>P</stp>
        <stp>0</stp>
        <stp>STK</stp>
        <stp>N001460</stp>
        <stp>전일대비</stp>
        <stp/>
        <stp/>
        <tr r="K660" s="1"/>
      </tp>
      <tp>
        <v>-1200</v>
        <stp/>
        <stp>P</stp>
        <stp>0</stp>
        <stp>STK</stp>
        <stp>N001440</stp>
        <stp>전일대비</stp>
        <stp/>
        <stp/>
        <tr r="K110" s="1"/>
      </tp>
      <tp>
        <v>-200</v>
        <stp/>
        <stp>P</stp>
        <stp>0</stp>
        <stp>STK</stp>
        <stp>N001450</stp>
        <stp>전일대비</stp>
        <stp/>
        <stp/>
        <tr r="K183" s="1"/>
      </tp>
      <tp>
        <v>-2700</v>
        <stp/>
        <stp>P</stp>
        <stp>0</stp>
        <stp>STK</stp>
        <stp>N101490</stp>
        <stp>전일대비</stp>
        <stp/>
        <stp/>
        <tr r="K257" s="1"/>
      </tp>
      <tp>
        <v>-200</v>
        <stp/>
        <stp>P</stp>
        <stp>0</stp>
        <stp>STK</stp>
        <stp>N001530</stp>
        <stp>전일대비</stp>
        <stp/>
        <stp/>
        <tr r="K549" s="1"/>
      </tp>
      <tp>
        <v>50</v>
        <stp/>
        <stp>P</stp>
        <stp>0</stp>
        <stp>STK</stp>
        <stp>N051500</stp>
        <stp>전일대비</stp>
        <stp/>
        <stp/>
        <tr r="K608" s="1"/>
      </tp>
      <tp>
        <v>-310</v>
        <stp/>
        <stp>P</stp>
        <stp>0</stp>
        <stp>STK</stp>
        <stp>N001500</stp>
        <stp>전일대비</stp>
        <stp/>
        <stp/>
        <tr r="K462" s="1"/>
      </tp>
      <tp>
        <v>600</v>
        <stp/>
        <stp>P</stp>
        <stp>0</stp>
        <stp>STK</stp>
        <stp>N011500</stp>
        <stp>전일대비</stp>
        <stp/>
        <stp/>
        <tr r="K634" s="1"/>
      </tp>
      <tp>
        <v>-3800</v>
        <stp/>
        <stp>P</stp>
        <stp>0</stp>
        <stp>STK</stp>
        <stp>N041510</stp>
        <stp>전일대비</stp>
        <stp/>
        <stp/>
        <tr r="K180" s="1"/>
      </tp>
      <tp>
        <v>500</v>
        <stp/>
        <stp>P</stp>
        <stp>0</stp>
        <stp>STK</stp>
        <stp>N271560</stp>
        <stp>전일대비</stp>
        <stp/>
        <stp/>
        <tr r="K117" s="1"/>
      </tp>
      <tp>
        <v>600</v>
        <stp/>
        <stp>P</stp>
        <stp>0</stp>
        <stp>STK</stp>
        <stp>N241560</stp>
        <stp>전일대비</stp>
        <stp/>
        <stp/>
        <tr r="K103" s="1"/>
      </tp>
      <tp>
        <v>1600</v>
        <stp/>
        <stp>P</stp>
        <stp>0</stp>
        <stp>STK</stp>
        <stp>N161580</stp>
        <stp>전일대비</stp>
        <stp/>
        <stp/>
        <tr r="K314" s="1"/>
      </tp>
      <tp>
        <v>-170</v>
        <stp/>
        <stp>P</stp>
        <stp>0</stp>
        <stp>STK</stp>
        <stp>N441270</stp>
        <stp>전일대비</stp>
        <stp/>
        <stp/>
        <tr r="K572" s="1"/>
      </tp>
      <tp>
        <v>-200</v>
        <stp/>
        <stp>P</stp>
        <stp>0</stp>
        <stp>STK</stp>
        <stp>N011200</stp>
        <stp>전일대비</stp>
        <stp/>
        <stp/>
        <tr r="K46" s="1"/>
      </tp>
      <tp>
        <v>-200</v>
        <stp/>
        <stp>P</stp>
        <stp>0</stp>
        <stp>STK</stp>
        <stp>N031210</stp>
        <stp>전일대비</stp>
        <stp/>
        <stp/>
        <tr r="K143" s="1"/>
      </tp>
      <tp>
        <v>-900</v>
        <stp/>
        <stp>P</stp>
        <stp>0</stp>
        <stp>STK</stp>
        <stp>N011210</stp>
        <stp>전일대비</stp>
        <stp/>
        <stp/>
        <tr r="K167" s="1"/>
      </tp>
      <tp>
        <v>1300</v>
        <stp/>
        <stp>P</stp>
        <stp>0</stp>
        <stp>STK</stp>
        <stp>N001270</stp>
        <stp>전일대비</stp>
        <stp/>
        <stp/>
        <tr r="K415" s="1"/>
      </tp>
      <tp>
        <v>-1900</v>
        <stp/>
        <stp>P</stp>
        <stp>0</stp>
        <stp>STK</stp>
        <stp>N021240</stp>
        <stp>전일대비</stp>
        <stp/>
        <stp/>
        <tr r="K106" s="1"/>
      </tp>
      <tp>
        <v>-1100</v>
        <stp/>
        <stp>P</stp>
        <stp>0</stp>
        <stp>STK</stp>
        <stp>N251270</stp>
        <stp>전일대비</stp>
        <stp/>
        <stp/>
        <tr r="K123" s="1"/>
      </tp>
      <tp>
        <v>1200</v>
        <stp/>
        <stp>P</stp>
        <stp>0</stp>
        <stp>STK</stp>
        <stp>N131290</stp>
        <stp>전일대비</stp>
        <stp/>
        <stp/>
        <tr r="K346" s="1"/>
      </tp>
      <tp>
        <v>-600</v>
        <stp/>
        <stp>P</stp>
        <stp>0</stp>
        <stp>STK</stp>
        <stp>N071320</stp>
        <stp>전일대비</stp>
        <stp/>
        <stp/>
        <tr r="K274" s="1"/>
      </tp>
      <tp>
        <v>-170</v>
        <stp/>
        <stp>P</stp>
        <stp>0</stp>
        <stp>STK</stp>
        <stp>N051360</stp>
        <stp>전일대비</stp>
        <stp/>
        <stp/>
        <tr r="K675" s="1"/>
      </tp>
      <tp>
        <v>-400</v>
        <stp/>
        <stp>P</stp>
        <stp>0</stp>
        <stp>STK</stp>
        <stp>N101360</stp>
        <stp>전일대비</stp>
        <stp/>
        <stp/>
        <tr r="K600" s="1"/>
      </tp>
      <tp>
        <v>900</v>
        <stp/>
        <stp>P</stp>
        <stp>0</stp>
        <stp>STK</stp>
        <stp>N161390</stp>
        <stp>전일대비</stp>
        <stp/>
        <stp/>
        <tr r="K84" s="1"/>
      </tp>
      <tp>
        <v>250</v>
        <stp/>
        <stp>P</stp>
        <stp>0</stp>
        <stp>STK</stp>
        <stp>N481070</stp>
        <stp>전일대비</stp>
        <stp/>
        <stp/>
        <tr r="K591" s="1"/>
      </tp>
      <tp>
        <v>740</v>
        <stp/>
        <stp>P</stp>
        <stp>0</stp>
        <stp>STK</stp>
        <stp>N161000</stp>
        <stp>전일대비</stp>
        <stp/>
        <stp/>
        <tr r="K524" s="1"/>
      </tp>
      <tp>
        <v>-150</v>
        <stp/>
        <stp>P</stp>
        <stp>0</stp>
        <stp>STK</stp>
        <stp>N001060</stp>
        <stp>전일대비</stp>
        <stp/>
        <stp/>
        <tr r="K410" s="1"/>
      </tp>
      <tp>
        <v>-5000</v>
        <stp/>
        <stp>P</stp>
        <stp>0</stp>
        <stp>STK</stp>
        <stp>N011070</stp>
        <stp>전일대비</stp>
        <stp/>
        <stp/>
        <tr r="K97" s="1"/>
      </tp>
      <tp>
        <v>-900</v>
        <stp/>
        <stp>P</stp>
        <stp>0</stp>
        <stp>STK</stp>
        <stp>N211050</stp>
        <stp>전일대비</stp>
        <stp/>
        <stp/>
        <tr r="K424" s="1"/>
      </tp>
      <tp>
        <v>5000</v>
        <stp/>
        <stp>P</stp>
        <stp>0</stp>
        <stp>STK</stp>
        <stp>N001040</stp>
        <stp>전일대비</stp>
        <stp/>
        <stp/>
        <tr r="K105" s="1"/>
      </tp>
      <tp>
        <v>-6500</v>
        <stp/>
        <stp>P</stp>
        <stp>0</stp>
        <stp>STK</stp>
        <stp>N071050</stp>
        <stp>전일대비</stp>
        <stp/>
        <stp/>
        <tr r="K73" s="1"/>
      </tp>
      <tp>
        <v>4400</v>
        <stp/>
        <stp>P</stp>
        <stp>0</stp>
        <stp>STK</stp>
        <stp>N171090</stp>
        <stp>전일대비</stp>
        <stp/>
        <stp/>
        <tr r="K459" s="1"/>
      </tp>
      <tp>
        <v>-1300</v>
        <stp/>
        <stp>P</stp>
        <stp>0</stp>
        <stp>STK</stp>
        <stp>N061090</stp>
        <stp>전일대비</stp>
        <stp/>
        <stp/>
        <tr r="K682" s="1"/>
      </tp>
      <tp>
        <v>-3400</v>
        <stp/>
        <stp>P</stp>
        <stp>0</stp>
        <stp>STK</stp>
        <stp>N141080</stp>
        <stp>전일대비</stp>
        <stp/>
        <stp/>
        <tr r="K108" s="1"/>
      </tp>
      <tp>
        <v>-600</v>
        <stp/>
        <stp>P</stp>
        <stp>0</stp>
        <stp>STK</stp>
        <stp>N001120</stp>
        <stp>전일대비</stp>
        <stp/>
        <stp/>
        <tr r="K260" s="1"/>
      </tp>
      <tp>
        <v>-1000</v>
        <stp/>
        <stp>P</stp>
        <stp>0</stp>
        <stp>STK</stp>
        <stp>N001130</stp>
        <stp>전일대비</stp>
        <stp/>
        <stp/>
        <tr r="K683" s="1"/>
      </tp>
      <tp>
        <v>-500</v>
        <stp/>
        <stp>P</stp>
        <stp>0</stp>
        <stp>STK</stp>
        <stp>N101160</stp>
        <stp>전일대비</stp>
        <stp/>
        <stp/>
        <tr r="K561" s="1"/>
      </tp>
      <tp>
        <v>-2700</v>
        <stp/>
        <stp>P</stp>
        <stp>0</stp>
        <stp>STK</stp>
        <stp>N011170</stp>
        <stp>전일대비</stp>
        <stp/>
        <stp/>
        <tr r="K152" s="1"/>
      </tp>
      <tp>
        <v>-430</v>
        <stp/>
        <stp>P</stp>
        <stp>0</stp>
        <stp>STK</stp>
        <stp>N041190</stp>
        <stp>전일대비</stp>
        <stp/>
        <stp/>
        <tr r="K428" s="1"/>
      </tp>
      <tp>
        <v>0</v>
        <stp/>
        <stp>P</stp>
        <stp>0</stp>
        <stp>STK</stp>
        <stp>N001820</stp>
        <stp>전일대비</stp>
        <stp/>
        <stp/>
        <tr r="K598" s="1"/>
      </tp>
      <tp>
        <v>-600</v>
        <stp/>
        <stp>P</stp>
        <stp>0</stp>
        <stp>STK</stp>
        <stp>N041830</stp>
        <stp>전일대비</stp>
        <stp/>
        <stp/>
        <tr r="K546" s="1"/>
      </tp>
      <tp>
        <v>-100</v>
        <stp/>
        <stp>P</stp>
        <stp>0</stp>
        <stp>STK</stp>
        <stp>N001800</stp>
        <stp>전일대비</stp>
        <stp/>
        <stp/>
        <tr r="K270" s="1"/>
      </tp>
      <tp>
        <v>-1300</v>
        <stp/>
        <stp>P</stp>
        <stp>0</stp>
        <stp>STK</stp>
        <stp>N281820</stp>
        <stp>전일대비</stp>
        <stp/>
        <stp/>
        <tr r="K353" s="1"/>
      </tp>
      <tp>
        <v>-1000</v>
        <stp/>
        <stp>P</stp>
        <stp>0</stp>
        <stp>STK</stp>
        <stp>N161890</stp>
        <stp>전일대비</stp>
        <stp/>
        <stp/>
        <tr r="K248" s="1"/>
      </tp>
      <tp>
        <v>-450</v>
        <stp/>
        <stp>P</stp>
        <stp>0</stp>
        <stp>STK</stp>
        <stp>N101930</stp>
        <stp>전일대비</stp>
        <stp/>
        <stp/>
        <tr r="K525" s="1"/>
      </tp>
      <tp>
        <v>-3500</v>
        <stp/>
        <stp>P</stp>
        <stp>0</stp>
        <stp>STK</stp>
        <stp>N051900</stp>
        <stp>전일대비</stp>
        <stp/>
        <stp/>
        <tr r="K127" s="1"/>
      </tp>
      <tp>
        <v>-1000</v>
        <stp/>
        <stp>P</stp>
        <stp>0</stp>
        <stp>STK</stp>
        <stp>N051910</stp>
        <stp>전일대비</stp>
        <stp/>
        <stp/>
        <tr r="K36" s="1"/>
      </tp>
      <tp>
        <v>-360</v>
        <stp/>
        <stp>P</stp>
        <stp>0</stp>
        <stp>STK</stp>
        <stp>N271940</stp>
        <stp>전일대비</stp>
        <stp/>
        <stp/>
        <tr r="K484" s="1"/>
      </tp>
      <tp>
        <v>-2000</v>
        <stp/>
        <stp>P</stp>
        <stp>0</stp>
        <stp>STK</stp>
        <stp>N131970</stp>
        <stp>전일대비</stp>
        <stp/>
        <stp/>
        <tr r="K311" s="1"/>
      </tp>
      <tp>
        <v>-2100</v>
        <stp/>
        <stp>P</stp>
        <stp>0</stp>
        <stp>STK</stp>
        <stp>N071970</stp>
        <stp>전일대비</stp>
        <stp/>
        <stp/>
        <tr r="K151" s="1"/>
      </tp>
      <tp>
        <v>-450</v>
        <stp/>
        <stp>P</stp>
        <stp>0</stp>
        <stp>STK</stp>
        <stp>N001940</stp>
        <stp>전일대비</stp>
        <stp/>
        <stp/>
        <tr r="K554" s="1"/>
      </tp>
      <tp>
        <v>-90</v>
        <stp/>
        <stp>P</stp>
        <stp>0</stp>
        <stp>STK</stp>
        <stp>N381970</stp>
        <stp>전일대비</stp>
        <stp/>
        <stp/>
        <tr r="K379" s="1"/>
      </tp>
      <tp>
        <v>-2350</v>
        <stp/>
        <stp>P</stp>
        <stp>0</stp>
        <stp>STK</stp>
        <stp>N251970</stp>
        <stp>전일대비</stp>
        <stp/>
        <stp/>
        <tr r="K396" s="1"/>
      </tp>
      <tp>
        <v>-400</v>
        <stp/>
        <stp>P</stp>
        <stp>0</stp>
        <stp>STK</stp>
        <stp>N031980</stp>
        <stp>전일대비</stp>
        <stp/>
        <stp/>
        <tr r="K261" s="1"/>
      </tp>
      <tp>
        <v>-230</v>
        <stp/>
        <stp>P</stp>
        <stp>0</stp>
        <stp>STK</stp>
        <stp>N030610</stp>
        <stp>전일대비</stp>
        <stp/>
        <stp/>
        <tr r="K289" s="1"/>
      </tp>
      <tp>
        <v>-33000</v>
        <stp/>
        <stp>P</stp>
        <stp>0</stp>
        <stp>STK</stp>
        <stp>N000660</stp>
        <stp>전일대비</stp>
        <stp/>
        <stp/>
        <tr r="K10" s="1"/>
      </tp>
      <tp>
        <v>-380</v>
        <stp/>
        <stp>P</stp>
        <stp>0</stp>
        <stp>STK</stp>
        <stp>N130660</stp>
        <stp>전일대비</stp>
        <stp/>
        <stp/>
        <tr r="K521" s="1"/>
      </tp>
      <tp>
        <v>-5900</v>
        <stp/>
        <stp>P</stp>
        <stp>0</stp>
        <stp>STK</stp>
        <stp>N000670</stp>
        <stp>전일대비</stp>
        <stp/>
        <stp/>
        <tr r="K324" s="1"/>
      </tp>
      <tp>
        <v>-3700</v>
        <stp/>
        <stp>P</stp>
        <stp>0</stp>
        <stp>STK</stp>
        <stp>N290650</stp>
        <stp>전일대비</stp>
        <stp/>
        <stp/>
        <tr r="K269" s="1"/>
      </tp>
      <tp>
        <v>-450</v>
        <stp/>
        <stp>P</stp>
        <stp>0</stp>
        <stp>STK</stp>
        <stp>N270660</stp>
        <stp>전일대비</stp>
        <stp/>
        <stp/>
        <tr r="K542" s="1"/>
      </tp>
      <tp>
        <v>-1700</v>
        <stp/>
        <stp>P</stp>
        <stp>0</stp>
        <stp>STK</stp>
        <stp>N000640</stp>
        <stp>전일대비</stp>
        <stp/>
        <stp/>
        <tr r="K397" s="1"/>
      </tp>
      <tp>
        <v>-800</v>
        <stp/>
        <stp>P</stp>
        <stp>0</stp>
        <stp>STK</stp>
        <stp>N200670</stp>
        <stp>전일대비</stp>
        <stp/>
        <stp/>
        <tr r="K510" s="1"/>
      </tp>
      <tp>
        <v>-1900</v>
        <stp/>
        <stp>P</stp>
        <stp>0</stp>
        <stp>STK</stp>
        <stp>N180640</stp>
        <stp>전일대비</stp>
        <stp/>
        <stp/>
        <tr r="K83" s="1"/>
      </tp>
      <tp>
        <v>-210</v>
        <stp/>
        <stp>P</stp>
        <stp>0</stp>
        <stp>STK</stp>
        <stp>N010690</stp>
        <stp>전일대비</stp>
        <stp/>
        <stp/>
        <tr r="K563" s="1"/>
      </tp>
      <tp>
        <v>-430</v>
        <stp/>
        <stp>P</stp>
        <stp>0</stp>
        <stp>STK</stp>
        <stp>N060720</stp>
        <stp>전일대비</stp>
        <stp/>
        <stp/>
        <tr r="K573" s="1"/>
      </tp>
      <tp>
        <v>-1000</v>
        <stp/>
        <stp>P</stp>
        <stp>0</stp>
        <stp>STK</stp>
        <stp>N000720</stp>
        <stp>전일대비</stp>
        <stp/>
        <stp/>
        <tr r="K68" s="1"/>
      </tp>
      <tp>
        <v>-600</v>
        <stp/>
        <stp>P</stp>
        <stp>0</stp>
        <stp>STK</stp>
        <stp>N420770</stp>
        <stp>전일대비</stp>
        <stp/>
        <stp/>
        <tr r="K387" s="1"/>
      </tp>
      <tp>
        <v>-1100</v>
        <stp/>
        <stp>P</stp>
        <stp>0</stp>
        <stp>STK</stp>
        <stp>N200710</stp>
        <stp>전일대비</stp>
        <stp/>
        <stp/>
        <tr r="K494" s="1"/>
      </tp>
      <tp>
        <v>-170</v>
        <stp/>
        <stp>P</stp>
        <stp>0</stp>
        <stp>STK</stp>
        <stp>N300720</stp>
        <stp>전일대비</stp>
        <stp/>
        <stp/>
        <tr r="K282" s="1"/>
      </tp>
      <tp>
        <v>190</v>
        <stp/>
        <stp>P</stp>
        <stp>0</stp>
        <stp>STK</stp>
        <stp>N100790</stp>
        <stp>전일대비</stp>
        <stp/>
        <stp/>
        <tr r="K393" s="1"/>
      </tp>
      <tp>
        <v>250</v>
        <stp/>
        <stp>P</stp>
        <stp>0</stp>
        <stp>STK</stp>
        <stp>N010780</stp>
        <stp>전일대비</stp>
        <stp/>
        <stp/>
        <tr r="K398" s="1"/>
      </tp>
      <tp>
        <v>5600</v>
        <stp/>
        <stp>P</stp>
        <stp>0</stp>
        <stp>STK</stp>
        <stp>N0007C0</stp>
        <stp>전일대비</stp>
        <stp/>
        <stp/>
        <tr r="K688" s="1"/>
      </tp>
      <tp>
        <v>-1400</v>
        <stp/>
        <stp>P</stp>
        <stp>0</stp>
        <stp>STK</stp>
        <stp>N090430</stp>
        <stp>전일대비</stp>
        <stp/>
        <stp/>
        <tr r="K93" s="1"/>
      </tp>
      <tp>
        <v>-12100</v>
        <stp/>
        <stp>P</stp>
        <stp>0</stp>
        <stp>STK</stp>
        <stp>N140410</stp>
        <stp>전일대비</stp>
        <stp/>
        <stp/>
        <tr r="K154" s="1"/>
      </tp>
      <tp>
        <v>-280</v>
        <stp/>
        <stp>P</stp>
        <stp>0</stp>
        <stp>STK</stp>
        <stp>N090460</stp>
        <stp>전일대비</stp>
        <stp/>
        <stp/>
        <tr r="K458" s="1"/>
      </tp>
      <tp>
        <v>-70</v>
        <stp/>
        <stp>P</stp>
        <stp>0</stp>
        <stp>STK</stp>
        <stp>N000490</stp>
        <stp>전일대비</stp>
        <stp/>
        <stp/>
        <tr r="K631" s="1"/>
      </tp>
      <tp>
        <v>-700</v>
        <stp/>
        <stp>P</stp>
        <stp>0</stp>
        <stp>STK</stp>
        <stp>N030520</stp>
        <stp>전일대비</stp>
        <stp/>
        <stp/>
        <tr r="K457" s="1"/>
      </tp>
      <tp>
        <v>-750</v>
        <stp/>
        <stp>P</stp>
        <stp>0</stp>
        <stp>STK</stp>
        <stp>N030530</stp>
        <stp>전일대비</stp>
        <stp/>
        <stp/>
        <tr r="K149" s="1"/>
      </tp>
      <tp>
        <v>-3200</v>
        <stp/>
        <stp>P</stp>
        <stp>0</stp>
        <stp>STK</stp>
        <stp>N000500</stp>
        <stp>전일대비</stp>
        <stp/>
        <stp/>
        <tr r="K252" s="1"/>
      </tp>
      <tp>
        <v>-1100</v>
        <stp/>
        <stp>P</stp>
        <stp>0</stp>
        <stp>STK</stp>
        <stp>N190510</stp>
        <stp>전일대비</stp>
        <stp/>
        <stp/>
        <tr r="K582" s="1"/>
      </tp>
      <tp>
        <v>-80</v>
        <stp/>
        <stp>P</stp>
        <stp>0</stp>
        <stp>STK</stp>
        <stp>N020560</stp>
        <stp>전일대비</stp>
        <stp/>
        <stp/>
        <tr r="K246" s="1"/>
      </tp>
      <tp>
        <v>3900</v>
        <stp/>
        <stp>P</stp>
        <stp>0</stp>
        <stp>STK</stp>
        <stp>N380550</stp>
        <stp>전일대비</stp>
        <stp/>
        <stp/>
        <tr r="K663" s="1"/>
      </tp>
      <tp>
        <v>1000</v>
        <stp/>
        <stp>P</stp>
        <stp>0</stp>
        <stp>STK</stp>
        <stp>N340570</stp>
        <stp>전일대비</stp>
        <stp/>
        <stp/>
        <tr r="K575" s="1"/>
      </tp>
      <tp>
        <v>-5500</v>
        <stp/>
        <stp>P</stp>
        <stp>0</stp>
        <stp>STK</stp>
        <stp>N310210</stp>
        <stp>전일대비</stp>
        <stp/>
        <stp/>
        <tr r="K148" s="1"/>
      </tp>
      <tp>
        <v>-2150</v>
        <stp/>
        <stp>P</stp>
        <stp>0</stp>
        <stp>STK</stp>
        <stp>N080220</stp>
        <stp>전일대비</stp>
        <stp/>
        <stp/>
        <tr r="K307" s="1"/>
      </tp>
      <tp>
        <v>-200</v>
        <stp/>
        <stp>P</stp>
        <stp>0</stp>
        <stp>STK</stp>
        <stp>N030200</stp>
        <stp>전일대비</stp>
        <stp/>
        <stp/>
        <tr r="K62" s="1"/>
      </tp>
      <tp>
        <v>1450</v>
        <stp/>
        <stp>P</stp>
        <stp>0</stp>
        <stp>STK</stp>
        <stp>N000210</stp>
        <stp>전일대비</stp>
        <stp/>
        <stp/>
        <tr r="K368" s="1"/>
      </tp>
      <tp>
        <v>2100</v>
        <stp/>
        <stp>P</stp>
        <stp>0</stp>
        <stp>STK</stp>
        <stp>N000270</stp>
        <stp>전일대비</stp>
        <stp/>
        <stp/>
        <tr r="K14" s="1"/>
      </tp>
      <tp>
        <v>-350</v>
        <stp/>
        <stp>P</stp>
        <stp>0</stp>
        <stp>STK</stp>
        <stp>N000240</stp>
        <stp>전일대비</stp>
        <stp/>
        <stp/>
        <tr r="K174" s="1"/>
      </tp>
      <tp>
        <v>400</v>
        <stp/>
        <stp>P</stp>
        <stp>0</stp>
        <stp>STK</stp>
        <stp>N060250</stp>
        <stp>전일대비</stp>
        <stp/>
        <stp/>
        <tr r="K440" s="1"/>
      </tp>
      <tp>
        <v>-2500</v>
        <stp/>
        <stp>P</stp>
        <stp>0</stp>
        <stp>STK</stp>
        <stp>N000250</stp>
        <stp>전일대비</stp>
        <stp/>
        <stp/>
        <tr r="K100" s="1"/>
      </tp>
      <tp>
        <v>1720</v>
        <stp/>
        <stp>P</stp>
        <stp>0</stp>
        <stp>STK</stp>
        <stp>N060280</stp>
        <stp>전일대비</stp>
        <stp/>
        <stp/>
        <tr r="K349" s="1"/>
      </tp>
      <tp>
        <v>-150</v>
        <stp/>
        <stp>P</stp>
        <stp>0</stp>
        <stp>STK</stp>
        <stp>N000320</stp>
        <stp>전일대비</stp>
        <stp/>
        <stp/>
        <tr r="K657" s="1"/>
      </tp>
      <tp>
        <v>-400</v>
        <stp/>
        <stp>P</stp>
        <stp>0</stp>
        <stp>STK</stp>
        <stp>N090360</stp>
        <stp>전일대비</stp>
        <stp/>
        <stp/>
        <tr r="K332" s="1"/>
      </tp>
      <tp>
        <v>-800</v>
        <stp/>
        <stp>P</stp>
        <stp>0</stp>
        <stp>STK</stp>
        <stp>N060370</stp>
        <stp>전일대비</stp>
        <stp/>
        <stp/>
        <tr r="K256" s="1"/>
      </tp>
      <tp>
        <v>10</v>
        <stp/>
        <stp>P</stp>
        <stp>0</stp>
        <stp>STK</stp>
        <stp>N230360</stp>
        <stp>전일대비</stp>
        <stp/>
        <stp/>
        <tr r="K485" s="1"/>
      </tp>
      <tp>
        <v>2200</v>
        <stp/>
        <stp>P</stp>
        <stp>0</stp>
        <stp>STK</stp>
        <stp>N280360</stp>
        <stp>전일대비</stp>
        <stp/>
        <stp/>
        <tr r="K310" s="1"/>
      </tp>
      <tp>
        <v>50</v>
        <stp/>
        <stp>P</stp>
        <stp>0</stp>
        <stp>STK</stp>
        <stp>N020000</stp>
        <stp>전일대비</stp>
        <stp/>
        <stp/>
        <tr r="K587" s="1"/>
      </tp>
      <tp>
        <v>-400</v>
        <stp/>
        <stp>P</stp>
        <stp>0</stp>
        <stp>STK</stp>
        <stp>N030000</stp>
        <stp>전일대비</stp>
        <stp/>
        <stp/>
        <tr r="K187" s="1"/>
      </tp>
      <tp>
        <v>-2200</v>
        <stp/>
        <stp>P</stp>
        <stp>0</stp>
        <stp>STK</stp>
        <stp>N010060</stp>
        <stp>전일대비</stp>
        <stp/>
        <stp/>
        <tr r="K202" s="1"/>
      </tp>
      <tp>
        <v>-500</v>
        <stp/>
        <stp>P</stp>
        <stp>0</stp>
        <stp>STK</stp>
        <stp>N000070</stp>
        <stp>전일대비</stp>
        <stp/>
        <stp/>
        <tr r="K505" s="1"/>
      </tp>
      <tp>
        <v>-530</v>
        <stp/>
        <stp>P</stp>
        <stp>0</stp>
        <stp>STK</stp>
        <stp>N300080</stp>
        <stp>전일대비</stp>
        <stp/>
        <stp/>
        <tr r="K665" s="1"/>
      </tp>
      <tp>
        <v>-60</v>
        <stp/>
        <stp>P</stp>
        <stp>0</stp>
        <stp>STK</stp>
        <stp>N000080</stp>
        <stp>전일대비</stp>
        <stp/>
        <stp/>
        <tr r="K277" s="1"/>
      </tp>
      <tp>
        <v>-1010</v>
        <stp/>
        <stp>P</stp>
        <stp>0</stp>
        <stp>STK</stp>
        <stp>N100090</stp>
        <stp>전일대비</stp>
        <stp/>
        <stp/>
        <tr r="K285" s="1"/>
      </tp>
      <tp>
        <v>1600</v>
        <stp/>
        <stp>P</stp>
        <stp>0</stp>
        <stp>STK</stp>
        <stp>N450080</stp>
        <stp>전일대비</stp>
        <stp/>
        <stp/>
        <tr r="K124" s="1"/>
      </tp>
      <tp>
        <v>750</v>
        <stp/>
        <stp>P</stp>
        <stp>0</stp>
        <stp>STK</stp>
        <stp>N220100</stp>
        <stp>전일대비</stp>
        <stp/>
        <stp/>
        <tr r="K461" s="1"/>
      </tp>
      <tp>
        <v>-1400</v>
        <stp/>
        <stp>P</stp>
        <stp>0</stp>
        <stp>STK</stp>
        <stp>N000120</stp>
        <stp>전일대비</stp>
        <stp/>
        <stp/>
        <tr r="K197" s="1"/>
      </tp>
      <tp>
        <v>-20000</v>
        <stp/>
        <stp>P</stp>
        <stp>0</stp>
        <stp>STK</stp>
        <stp>N010120</stp>
        <stp>전일대비</stp>
        <stp/>
        <stp/>
        <tr r="K58" s="1"/>
      </tp>
      <tp>
        <v>-223000</v>
        <stp/>
        <stp>P</stp>
        <stp>0</stp>
        <stp>STK</stp>
        <stp>N010130</stp>
        <stp>전일대비</stp>
        <stp/>
        <stp/>
        <tr r="K28" s="1"/>
      </tp>
      <tp>
        <v>-3400</v>
        <stp/>
        <stp>P</stp>
        <stp>0</stp>
        <stp>STK</stp>
        <stp>N120110</stp>
        <stp>전일대비</stp>
        <stp/>
        <stp/>
        <tr r="K280" s="1"/>
      </tp>
      <tp>
        <v>-1600</v>
        <stp/>
        <stp>P</stp>
        <stp>0</stp>
        <stp>STK</stp>
        <stp>N000100</stp>
        <stp>전일대비</stp>
        <stp/>
        <stp/>
        <tr r="K87" s="1"/>
      </tp>
      <tp>
        <v>-550</v>
        <stp/>
        <stp>P</stp>
        <stp>0</stp>
        <stp>STK</stp>
        <stp>N200130</stp>
        <stp>전일대비</stp>
        <stp/>
        <stp/>
        <tr r="K565" s="1"/>
      </tp>
      <tp>
        <v>-1100</v>
        <stp/>
        <stp>P</stp>
        <stp>0</stp>
        <stp>STK</stp>
        <stp>N010140</stp>
        <stp>전일대비</stp>
        <stp/>
        <stp/>
        <tr r="K33" s="1"/>
      </tp>
      <tp>
        <v>350</v>
        <stp/>
        <stp>P</stp>
        <stp>0</stp>
        <stp>STK</stp>
        <stp>N020150</stp>
        <stp>전일대비</stp>
        <stp/>
        <stp/>
        <tr r="K228" s="1"/>
      </tp>
      <tp>
        <v>-9000</v>
        <stp/>
        <stp>P</stp>
        <stp>0</stp>
        <stp>STK</stp>
        <stp>N000150</stp>
        <stp>전일대비</stp>
        <stp/>
        <stp/>
        <tr r="K64" s="1"/>
      </tp>
      <tp>
        <v>-2200</v>
        <stp/>
        <stp>P</stp>
        <stp>0</stp>
        <stp>STK</stp>
        <stp>N160190</stp>
        <stp>전일대비</stp>
        <stp/>
        <stp/>
        <tr r="K193" s="1"/>
      </tp>
      <tp>
        <v>-130</v>
        <stp/>
        <stp>P</stp>
        <stp>0</stp>
        <stp>STK</stp>
        <stp>N030190</stp>
        <stp>전일대비</stp>
        <stp/>
        <stp/>
        <tr r="K317" s="1"/>
      </tp>
      <tp>
        <v>-310</v>
        <stp/>
        <stp>P</stp>
        <stp>0</stp>
        <stp>STK</stp>
        <stp>N460860</stp>
        <stp>전일대비</stp>
        <stp/>
        <stp/>
        <tr r="K536" s="1"/>
      </tp>
      <tp>
        <v>0</v>
        <stp/>
        <stp>P</stp>
        <stp>0</stp>
        <stp>STK</stp>
        <stp>N240810</stp>
        <stp>전일대비</stp>
        <stp/>
        <stp/>
        <tr r="K133" s="1"/>
      </tp>
      <tp>
        <v>-9000</v>
        <stp/>
        <stp>P</stp>
        <stp>0</stp>
        <stp>STK</stp>
        <stp>N000810</stp>
        <stp>전일대비</stp>
        <stp/>
        <stp/>
        <tr r="K38" s="1"/>
      </tp>
      <tp>
        <v>-13000</v>
        <stp/>
        <stp>P</stp>
        <stp>0</stp>
        <stp>STK</stp>
        <stp>N140860</stp>
        <stp>전일대비</stp>
        <stp/>
        <stp/>
        <tr r="K241" s="1"/>
      </tp>
      <tp>
        <v>-150</v>
        <stp/>
        <stp>P</stp>
        <stp>0</stp>
        <stp>STK</stp>
        <stp>N100840</stp>
        <stp>전일대비</stp>
        <stp/>
        <stp/>
        <tr r="K350" s="1"/>
      </tp>
      <tp>
        <v>140</v>
        <stp/>
        <stp>P</stp>
        <stp>0</stp>
        <stp>STK</stp>
        <stp>N200880</stp>
        <stp>전일대비</stp>
        <stp/>
        <stp/>
        <tr r="K506" s="1"/>
      </tp>
      <tp>
        <v>100</v>
        <stp/>
        <stp>P</stp>
        <stp>0</stp>
        <stp>STK</stp>
        <stp>N000880</stp>
        <stp>전일대비</stp>
        <stp/>
        <stp/>
        <tr r="K79" s="1"/>
      </tp>
      <tp>
        <v>-110</v>
        <stp/>
        <stp>P</stp>
        <stp>0</stp>
        <stp>STK</stp>
        <stp>N050890</stp>
        <stp>전일대비</stp>
        <stp/>
        <stp/>
        <tr r="K496" s="1"/>
      </tp>
      <tp>
        <v>-1100</v>
        <stp/>
        <stp>P</stp>
        <stp>0</stp>
        <stp>STK</stp>
        <stp>N0008Z0</stp>
        <stp>전일대비</stp>
        <stp/>
        <stp/>
        <tr r="K613" s="1"/>
      </tp>
      <tp>
        <v>-800</v>
        <stp/>
        <stp>P</stp>
        <stp>0</stp>
        <stp>STK</stp>
        <stp>N170900</stp>
        <stp>전일대비</stp>
        <stp/>
        <stp/>
        <tr r="K499" s="1"/>
      </tp>
      <tp>
        <v>590</v>
        <stp/>
        <stp>P</stp>
        <stp>0</stp>
        <stp>STK</stp>
        <stp>N450950</stp>
        <stp>전일대비</stp>
        <stp/>
        <stp/>
        <tr r="K501" s="1"/>
      </tp>
      <tp>
        <v>-250</v>
        <stp/>
        <stp>P</stp>
        <stp>0</stp>
        <stp>STK</stp>
        <stp>N460930</stp>
        <stp>전일대비</stp>
        <stp/>
        <stp/>
        <tr r="K399" s="1"/>
      </tp>
      <tp>
        <v>-3300</v>
        <stp/>
        <stp>P</stp>
        <stp>0</stp>
        <stp>STK</stp>
        <stp>N010950</stp>
        <stp>전일대비</stp>
        <stp/>
        <stp/>
        <tr r="K72" s="1"/>
      </tp>
      <tp>
        <v>-350</v>
        <stp/>
        <stp>P</stp>
        <stp>0</stp>
        <stp>STK</stp>
        <stp>N060980</stp>
        <stp>전일대비</stp>
        <stp/>
        <stp/>
        <tr r="K508" s="1"/>
      </tp>
      <tp>
        <v>450</v>
        <stp/>
        <stp>P</stp>
        <stp>0</stp>
        <stp>STK</stp>
        <stp>N110990</stp>
        <stp>전일대비</stp>
        <stp/>
        <stp/>
        <tr r="K586" s="1"/>
      </tp>
      <tp>
        <v>5000</v>
        <stp/>
        <stp>P</stp>
        <stp>0</stp>
        <stp>STK</stp>
        <stp>N000990</stp>
        <stp>전일대비</stp>
        <stp/>
        <stp/>
        <tr r="K128" s="1"/>
      </tp>
      <tp>
        <v>-1900</v>
        <stp/>
        <stp>P</stp>
        <stp>0</stp>
        <stp>STK</stp>
        <stp>N0009K0</stp>
        <stp>전일대비</stp>
        <stp/>
        <stp/>
        <tr r="K146" s="1"/>
      </tp>
      <tp>
        <v>2300</v>
        <stp/>
        <stp>P</stp>
        <stp>0</stp>
        <stp>STK</stp>
        <stp>N053610</stp>
        <stp>전일대비</stp>
        <stp/>
        <stp/>
        <tr r="K541" s="1"/>
      </tp>
      <tp>
        <v>-500</v>
        <stp/>
        <stp>P</stp>
        <stp>0</stp>
        <stp>STK</stp>
        <stp>N483650</stp>
        <stp>전일대비</stp>
        <stp/>
        <stp/>
        <tr r="K236" s="1"/>
      </tp>
      <tp>
        <v>6500</v>
        <stp/>
        <stp>P</stp>
        <stp>0</stp>
        <stp>STK</stp>
        <stp>N003670</stp>
        <stp>전일대비</stp>
        <stp/>
        <stp/>
        <tr r="K49" s="1"/>
      </tp>
      <tp>
        <v>-690</v>
        <stp/>
        <stp>P</stp>
        <stp>0</stp>
        <stp>STK</stp>
        <stp>N033640</stp>
        <stp>전일대비</stp>
        <stp/>
        <stp/>
        <tr r="K564" s="1"/>
      </tp>
      <tp>
        <v>-900</v>
        <stp/>
        <stp>P</stp>
        <stp>0</stp>
        <stp>STK</stp>
        <stp>N083650</stp>
        <stp>전일대비</stp>
        <stp/>
        <stp/>
        <tr r="K215" s="1"/>
      </tp>
      <tp>
        <v>90</v>
        <stp/>
        <stp>P</stp>
        <stp>0</stp>
        <stp>STK</stp>
        <stp>N003690</stp>
        <stp>전일대비</stp>
        <stp/>
        <stp/>
        <tr r="K199" s="1"/>
      </tp>
      <tp>
        <v>-800</v>
        <stp/>
        <stp>P</stp>
        <stp>0</stp>
        <stp>STK</stp>
        <stp>N263750</stp>
        <stp>전일대비</stp>
        <stp/>
        <stp/>
        <tr r="K165" s="1"/>
      </tp>
      <tp>
        <v>-600</v>
        <stp/>
        <stp>P</stp>
        <stp>0</stp>
        <stp>STK</stp>
        <stp>N033780</stp>
        <stp>전일대비</stp>
        <stp/>
        <stp/>
        <tr r="K52" s="1"/>
      </tp>
      <tp>
        <v>-350</v>
        <stp/>
        <stp>P</stp>
        <stp>0</stp>
        <stp>STK</stp>
        <stp>N323410</stp>
        <stp>전일대비</stp>
        <stp/>
        <stp/>
        <tr r="K75" s="1"/>
      </tp>
      <tp>
        <v>-1050</v>
        <stp/>
        <stp>P</stp>
        <stp>0</stp>
        <stp>STK</stp>
        <stp>N213420</stp>
        <stp>전일대비</stp>
        <stp/>
        <stp/>
        <tr r="K338" s="1"/>
      </tp>
      <tp>
        <v>-2050</v>
        <stp/>
        <stp>P</stp>
        <stp>0</stp>
        <stp>STK</stp>
        <stp>N253450</stp>
        <stp>전일대비</stp>
        <stp/>
        <stp/>
        <tr r="K264" s="1"/>
      </tp>
      <tp>
        <v>-650</v>
        <stp/>
        <stp>P</stp>
        <stp>0</stp>
        <stp>STK</stp>
        <stp>N083450</stp>
        <stp>전일대비</stp>
        <stp/>
        <stp/>
        <tr r="K480" s="1"/>
      </tp>
      <tp>
        <v>-1120</v>
        <stp/>
        <stp>P</stp>
        <stp>0</stp>
        <stp>STK</stp>
        <stp>N293490</stp>
        <stp>전일대비</stp>
        <stp/>
        <stp/>
        <tr r="K276" s="1"/>
      </tp>
      <tp>
        <v>-300</v>
        <stp/>
        <stp>P</stp>
        <stp>0</stp>
        <stp>STK</stp>
        <stp>N003490</stp>
        <stp>전일대비</stp>
        <stp/>
        <stp/>
        <tr r="K82" s="1"/>
      </tp>
      <tp>
        <v>-600</v>
        <stp/>
        <stp>P</stp>
        <stp>0</stp>
        <stp>STK</stp>
        <stp>N093520</stp>
        <stp>전일대비</stp>
        <stp/>
        <stp/>
        <tr r="K630" s="1"/>
      </tp>
      <tp>
        <v>500</v>
        <stp/>
        <stp>P</stp>
        <stp>0</stp>
        <stp>STK</stp>
        <stp>N023530</stp>
        <stp>전일대비</stp>
        <stp/>
        <stp/>
        <tr r="K203" s="1"/>
      </tp>
      <tp>
        <v>-900</v>
        <stp/>
        <stp>P</stp>
        <stp>0</stp>
        <stp>STK</stp>
        <stp>N033500</stp>
        <stp>전일대비</stp>
        <stp/>
        <stp/>
        <tr r="K347" s="1"/>
      </tp>
      <tp>
        <v>0</v>
        <stp/>
        <stp>P</stp>
        <stp>0</stp>
        <stp>STK</stp>
        <stp>N403550</stp>
        <stp>전일대비</stp>
        <stp/>
        <stp/>
        <tr r="K540" s="1"/>
      </tp>
      <tp>
        <v>1750</v>
        <stp/>
        <stp>P</stp>
        <stp>0</stp>
        <stp>STK</stp>
        <stp>N003570</stp>
        <stp>전일대비</stp>
        <stp/>
        <stp/>
        <tr r="K237" s="1"/>
      </tp>
      <tp>
        <v>-1000</v>
        <stp/>
        <stp>P</stp>
        <stp>0</stp>
        <stp>STK</stp>
        <stp>N003540</stp>
        <stp>전일대비</stp>
        <stp/>
        <stp/>
        <tr r="K262" s="1"/>
      </tp>
      <tp>
        <v>-1700</v>
        <stp/>
        <stp>P</stp>
        <stp>0</stp>
        <stp>STK</stp>
        <stp>N003550</stp>
        <stp>전일대비</stp>
        <stp/>
        <stp/>
        <tr r="K65" s="1"/>
      </tp>
      <tp>
        <v>-40</v>
        <stp/>
        <stp>P</stp>
        <stp>0</stp>
        <stp>STK</stp>
        <stp>N253590</stp>
        <stp>전일대비</stp>
        <stp/>
        <stp/>
        <tr r="K477" s="1"/>
      </tp>
      <tp>
        <v>-2200</v>
        <stp/>
        <stp>P</stp>
        <stp>0</stp>
        <stp>STK</stp>
        <stp>N103590</stp>
        <stp>전일대비</stp>
        <stp/>
        <stp/>
        <tr r="K157" s="1"/>
      </tp>
      <tp>
        <v>-2500</v>
        <stp/>
        <stp>P</stp>
        <stp>0</stp>
        <stp>STK</stp>
        <stp>N023590</stp>
        <stp>전일대비</stp>
        <stp/>
        <stp/>
        <tr r="K225" s="1"/>
      </tp>
      <tp>
        <v>-230</v>
        <stp/>
        <stp>P</stp>
        <stp>0</stp>
        <stp>STK</stp>
        <stp>N003220</stp>
        <stp>전일대비</stp>
        <stp/>
        <stp/>
        <tr r="K670" s="1"/>
      </tp>
      <tp>
        <v>-500</v>
        <stp/>
        <stp>P</stp>
        <stp>0</stp>
        <stp>STK</stp>
        <stp>N353200</stp>
        <stp>전일대비</stp>
        <stp/>
        <stp/>
        <tr r="K179" s="1"/>
      </tp>
      <tp>
        <v>-30000</v>
        <stp/>
        <stp>P</stp>
        <stp>0</stp>
        <stp>STK</stp>
        <stp>N003230</stp>
        <stp>전일대비</stp>
        <stp/>
        <stp/>
        <tr r="K80" s="1"/>
      </tp>
      <tp>
        <v>230</v>
        <stp/>
        <stp>P</stp>
        <stp>0</stp>
        <stp>STK</stp>
        <stp>N003200</stp>
        <stp>전일대비</stp>
        <stp/>
        <stp/>
        <tr r="K621" s="1"/>
      </tp>
      <tp>
        <v>-2500</v>
        <stp/>
        <stp>P</stp>
        <stp>0</stp>
        <stp>STK</stp>
        <stp>N373220</stp>
        <stp>전일대비</stp>
        <stp/>
        <stp/>
        <tr r="K12" s="1"/>
      </tp>
      <tp>
        <v>-100</v>
        <stp/>
        <stp>P</stp>
        <stp>0</stp>
        <stp>STK</stp>
        <stp>N383220</stp>
        <stp>전일대비</stp>
        <stp/>
        <stp/>
        <tr r="K178" s="1"/>
      </tp>
      <tp>
        <v>-180</v>
        <stp/>
        <stp>P</stp>
        <stp>0</stp>
        <stp>STK</stp>
        <stp>N033270</stp>
        <stp>전일대비</stp>
        <stp/>
        <stp/>
        <tr r="K628" s="1"/>
      </tp>
      <tp>
        <v>-40</v>
        <stp/>
        <stp>P</stp>
        <stp>0</stp>
        <stp>STK</stp>
        <stp>N073240</stp>
        <stp>전일대비</stp>
        <stp/>
        <stp/>
        <tr r="K227" s="1"/>
      </tp>
      <tp>
        <v>750</v>
        <stp/>
        <stp>P</stp>
        <stp>0</stp>
        <stp>STK</stp>
        <stp>N033240</stp>
        <stp>전일대비</stp>
        <stp/>
        <stp/>
        <tr r="K464" s="1"/>
      </tp>
      <tp>
        <v>66000</v>
        <stp/>
        <stp>P</stp>
        <stp>0</stp>
        <stp>STK</stp>
        <stp>N003240</stp>
        <stp>전일대비</stp>
        <stp/>
        <stp/>
        <tr r="K344" s="1"/>
      </tp>
      <tp>
        <v>-400</v>
        <stp/>
        <stp>P</stp>
        <stp>0</stp>
        <stp>STK</stp>
        <stp>N323280</stp>
        <stp>전일대비</stp>
        <stp/>
        <stp/>
        <tr r="K258" s="1"/>
      </tp>
      <tp>
        <v>1550</v>
        <stp/>
        <stp>P</stp>
        <stp>0</stp>
        <stp>STK</stp>
        <stp>N383310</stp>
        <stp>전일대비</stp>
        <stp/>
        <stp/>
        <tr r="K479" s="1"/>
      </tp>
      <tp>
        <v>2800</v>
        <stp/>
        <stp>P</stp>
        <stp>0</stp>
        <stp>STK</stp>
        <stp>N093320</stp>
        <stp>전일대비</stp>
        <stp/>
        <stp/>
        <tr r="K432" s="1"/>
      </tp>
      <tp>
        <v>-20</v>
        <stp/>
        <stp>P</stp>
        <stp>0</stp>
        <stp>STK</stp>
        <stp>N453340</stp>
        <stp>전일대비</stp>
        <stp/>
        <stp/>
        <tr r="K483" s="1"/>
      </tp>
      <tp>
        <v>60</v>
        <stp/>
        <stp>P</stp>
        <stp>0</stp>
        <stp>STK</stp>
        <stp>N003300</stp>
        <stp>전일대비</stp>
        <stp/>
        <stp/>
        <tr r="K492" s="1"/>
      </tp>
      <tp>
        <v>-4400</v>
        <stp/>
        <stp>P</stp>
        <stp>0</stp>
        <stp>STK</stp>
        <stp>N183300</stp>
        <stp>전일대비</stp>
        <stp/>
        <stp/>
        <tr r="K306" s="1"/>
      </tp>
      <tp>
        <v>20</v>
        <stp/>
        <stp>P</stp>
        <stp>0</stp>
        <stp>STK</stp>
        <stp>N043370</stp>
        <stp>전일대비</stp>
        <stp/>
        <stp/>
        <tr r="K653" s="1"/>
      </tp>
      <tp>
        <v>-120</v>
        <stp/>
        <stp>P</stp>
        <stp>0</stp>
        <stp>STK</stp>
        <stp>N093370</stp>
        <stp>전일대비</stp>
        <stp/>
        <stp/>
        <tr r="K358" s="1"/>
      </tp>
      <tp>
        <v>60</v>
        <stp/>
        <stp>P</stp>
        <stp>0</stp>
        <stp>STK</stp>
        <stp>N003380</stp>
        <stp>전일대비</stp>
        <stp/>
        <stp/>
        <tr r="K279" s="1"/>
      </tp>
      <tp>
        <v>-3200</v>
        <stp/>
        <stp>P</stp>
        <stp>0</stp>
        <stp>STK</stp>
        <stp>N443060</stp>
        <stp>전일대비</stp>
        <stp/>
        <stp/>
        <tr r="K86" s="1"/>
      </tp>
      <tp>
        <v>-330</v>
        <stp/>
        <stp>P</stp>
        <stp>0</stp>
        <stp>STK</stp>
        <stp>N053030</stp>
        <stp>전일대비</stp>
        <stp/>
        <stp/>
        <tr r="K509" s="1"/>
      </tp>
      <tp>
        <v>-2700</v>
        <stp/>
        <stp>P</stp>
        <stp>0</stp>
        <stp>STK</stp>
        <stp>N003030</stp>
        <stp>전일대비</stp>
        <stp/>
        <stp/>
        <tr r="K469" s="1"/>
      </tp>
      <tp>
        <v>-1050</v>
        <stp/>
        <stp>P</stp>
        <stp>0</stp>
        <stp>STK</stp>
        <stp>N013030</stp>
        <stp>전일대비</stp>
        <stp/>
        <stp/>
        <tr r="K558" s="1"/>
      </tp>
      <tp>
        <v>-50</v>
        <stp/>
        <stp>P</stp>
        <stp>0</stp>
        <stp>STK</stp>
        <stp>N243070</stp>
        <stp>전일대비</stp>
        <stp/>
        <stp/>
        <tr r="K614" s="1"/>
      </tp>
      <tp>
        <v>-230</v>
        <stp/>
        <stp>P</stp>
        <stp>0</stp>
        <stp>STK</stp>
        <stp>N093050</stp>
        <stp>전일대비</stp>
        <stp/>
        <stp/>
        <tr r="K471" s="1"/>
      </tp>
      <tp>
        <v>-350</v>
        <stp/>
        <stp>P</stp>
        <stp>0</stp>
        <stp>STK</stp>
        <stp>N003090</stp>
        <stp>전일대비</stp>
        <stp/>
        <stp/>
        <tr r="K272" s="1"/>
      </tp>
      <tp>
        <v>2050</v>
        <stp/>
        <stp>P</stp>
        <stp>0</stp>
        <stp>STK</stp>
        <stp>N003120</stp>
        <stp>전일대비</stp>
        <stp/>
        <stp/>
        <tr r="K633" s="1"/>
      </tp>
      <tp>
        <v>-2200</v>
        <stp/>
        <stp>P</stp>
        <stp>0</stp>
        <stp>STK</stp>
        <stp>N033100</stp>
        <stp>전일대비</stp>
        <stp/>
        <stp/>
        <tr r="K406" s="1"/>
      </tp>
      <tp>
        <v>-1200</v>
        <stp/>
        <stp>P</stp>
        <stp>0</stp>
        <stp>STK</stp>
        <stp>N023160</stp>
        <stp>전일대비</stp>
        <stp/>
        <stp/>
        <tr r="K389" s="1"/>
      </tp>
      <tp>
        <v>-1200</v>
        <stp/>
        <stp>P</stp>
        <stp>0</stp>
        <stp>STK</stp>
        <stp>N003160</stp>
        <stp>전일대비</stp>
        <stp/>
        <stp/>
        <tr r="K345" s="1"/>
      </tp>
      <tp>
        <v>-450</v>
        <stp/>
        <stp>P</stp>
        <stp>0</stp>
        <stp>STK</stp>
        <stp>N043150</stp>
        <stp>전일대비</stp>
        <stp/>
        <stp/>
        <tr r="K645" s="1"/>
      </tp>
      <tp>
        <v>-4300</v>
        <stp/>
        <stp>P</stp>
        <stp>0</stp>
        <stp>STK</stp>
        <stp>N103140</stp>
        <stp>전일대비</stp>
        <stp/>
        <stp/>
        <tr r="K144" s="1"/>
      </tp>
      <tp>
        <v>-50</v>
        <stp/>
        <stp>P</stp>
        <stp>0</stp>
        <stp>STK</stp>
        <stp>N183190</stp>
        <stp>전일대비</stp>
        <stp/>
        <stp/>
        <tr r="K516" s="1"/>
      </tp>
      <tp>
        <v>-1850</v>
        <stp/>
        <stp>P</stp>
        <stp>0</stp>
        <stp>STK</stp>
        <stp>N403870</stp>
        <stp>전일대비</stp>
        <stp/>
        <stp/>
        <tr r="K160" s="1"/>
      </tp>
      <tp>
        <v>-140</v>
        <stp/>
        <stp>P</stp>
        <stp>0</stp>
        <stp>STK</stp>
        <stp>N383800</stp>
        <stp>전일대비</stp>
        <stp/>
        <stp/>
        <tr r="K420" s="1"/>
      </tp>
      <tp>
        <v>-1700</v>
        <stp/>
        <stp>P</stp>
        <stp>0</stp>
        <stp>STK</stp>
        <stp>N053800</stp>
        <stp>전일대비</stp>
        <stp/>
        <stp/>
        <tr r="K404" s="1"/>
      </tp>
      <tp>
        <v>-500</v>
        <stp/>
        <stp>P</stp>
        <stp>0</stp>
        <stp>STK</stp>
        <stp>N403850</stp>
        <stp>전일대비</stp>
        <stp/>
        <stp/>
        <tr r="K581" s="1"/>
      </tp>
      <tp>
        <v>-120</v>
        <stp/>
        <stp>P</stp>
        <stp>0</stp>
        <stp>STK</stp>
        <stp>N003850</stp>
        <stp>전일대비</stp>
        <stp/>
        <stp/>
        <tr r="K369" s="1"/>
      </tp>
      <tp>
        <v>-410</v>
        <stp/>
        <stp>P</stp>
        <stp>0</stp>
        <stp>STK</stp>
        <stp>N013890</stp>
        <stp>전일대비</stp>
        <stp/>
        <stp/>
        <tr r="K656" s="1"/>
      </tp>
      <tp>
        <v>-750</v>
        <stp/>
        <stp>P</stp>
        <stp>0</stp>
        <stp>STK</stp>
        <stp>N003920</stp>
        <stp>전일대비</stp>
        <stp/>
        <stp/>
        <tr r="K620" s="1"/>
      </tp>
      <tp>
        <v>-550</v>
        <stp/>
        <stp>P</stp>
        <stp>0</stp>
        <stp>STK</stp>
        <stp>N003960</stp>
        <stp>전일대비</stp>
        <stp/>
        <stp/>
        <tr r="K601" s="1"/>
      </tp>
      <tp>
        <v>-1200</v>
        <stp/>
        <stp>P</stp>
        <stp>0</stp>
        <stp>STK</stp>
        <stp>N473980</stp>
        <stp>전일대비</stp>
        <stp/>
        <stp/>
        <tr r="K649" s="1"/>
      </tp>
      <tp>
        <v>-120</v>
        <stp/>
        <stp>P</stp>
        <stp>0</stp>
        <stp>STK</stp>
        <stp>N012630</stp>
        <stp>전일대비</stp>
        <stp/>
        <stp/>
        <tr r="K312" s="1"/>
      </tp>
      <tp>
        <v>-600</v>
        <stp/>
        <stp>P</stp>
        <stp>0</stp>
        <stp>STK</stp>
        <stp>N112610</stp>
        <stp>전일대비</stp>
        <stp/>
        <stp/>
        <tr r="K240" s="1"/>
      </tp>
      <tp>
        <v>1600</v>
        <stp/>
        <stp>P</stp>
        <stp>0</stp>
        <stp>STK</stp>
        <stp>N042660</stp>
        <stp>전일대비</stp>
        <stp/>
        <stp/>
        <tr r="K23" s="1"/>
      </tp>
      <tp>
        <v>-70</v>
        <stp/>
        <stp>P</stp>
        <stp>0</stp>
        <stp>STK</stp>
        <stp>N032640</stp>
        <stp>전일대비</stp>
        <stp/>
        <stp/>
        <tr r="K99" s="1"/>
      </tp>
      <tp>
        <v>850</v>
        <stp/>
        <stp>P</stp>
        <stp>0</stp>
        <stp>STK</stp>
        <stp>N122640</stp>
        <stp>전일대비</stp>
        <stp/>
        <stp/>
        <tr r="K544" s="1"/>
      </tp>
      <tp>
        <v>-2500</v>
        <stp/>
        <stp>P</stp>
        <stp>0</stp>
        <stp>STK</stp>
        <stp>N052690</stp>
        <stp>전일대비</stp>
        <stp/>
        <stp/>
        <tr r="K107" s="1"/>
      </tp>
      <tp>
        <v>-2000</v>
        <stp/>
        <stp>P</stp>
        <stp>0</stp>
        <stp>STK</stp>
        <stp>N0126Z0</stp>
        <stp>전일대비</stp>
        <stp/>
        <stp/>
        <tr r="K60" s="1"/>
      </tp>
      <tp>
        <v>340</v>
        <stp/>
        <stp>P</stp>
        <stp>0</stp>
        <stp>STK</stp>
        <stp>N092730</stp>
        <stp>전일대비</stp>
        <stp/>
        <stp/>
        <tr r="K648" s="1"/>
      </tp>
      <tp>
        <v>-11000</v>
        <stp/>
        <stp>P</stp>
        <stp>0</stp>
        <stp>STK</stp>
        <stp>N042700</stp>
        <stp>전일대비</stp>
        <stp/>
        <stp/>
        <tr r="K54" s="1"/>
      </tp>
      <tp>
        <v>-2000</v>
        <stp/>
        <stp>P</stp>
        <stp>0</stp>
        <stp>STK</stp>
        <stp>N102710</stp>
        <stp>전일대비</stp>
        <stp/>
        <stp/>
        <tr r="K401" s="1"/>
      </tp>
      <tp>
        <v>-1100</v>
        <stp/>
        <stp>P</stp>
        <stp>0</stp>
        <stp>STK</stp>
        <stp>N072710</stp>
        <stp>전일대비</stp>
        <stp/>
        <stp/>
        <tr r="K539" s="1"/>
      </tp>
      <tp>
        <v>-160</v>
        <stp/>
        <stp>P</stp>
        <stp>0</stp>
        <stp>STK</stp>
        <stp>N002710</stp>
        <stp>전일대비</stp>
        <stp/>
        <stp/>
        <tr r="K570" s="1"/>
      </tp>
      <tp>
        <v>-300</v>
        <stp/>
        <stp>P</stp>
        <stp>0</stp>
        <stp>STK</stp>
        <stp>N082740</stp>
        <stp>전일대비</stp>
        <stp/>
        <stp/>
        <tr r="K119" s="1"/>
      </tp>
      <tp>
        <v>2900</v>
        <stp/>
        <stp>P</stp>
        <stp>0</stp>
        <stp>STK</stp>
        <stp>N012750</stp>
        <stp>전일대비</stp>
        <stp/>
        <stp/>
        <tr r="K156" s="1"/>
      </tp>
      <tp>
        <v>-250</v>
        <stp/>
        <stp>P</stp>
        <stp>0</stp>
        <stp>STK</stp>
        <stp>N002790</stp>
        <stp>전일대비</stp>
        <stp/>
        <stp/>
        <tr r="K210" s="1"/>
      </tp>
      <tp>
        <v>-280</v>
        <stp/>
        <stp>P</stp>
        <stp>0</stp>
        <stp>STK</stp>
        <stp>N092790</stp>
        <stp>전일대비</stp>
        <stp/>
        <stp/>
        <tr r="K610" s="1"/>
      </tp>
      <tp>
        <v>-2700</v>
        <stp/>
        <stp>P</stp>
        <stp>0</stp>
        <stp>STK</stp>
        <stp>N052400</stp>
        <stp>전일대비</stp>
        <stp/>
        <stp/>
        <tr r="K421" s="1"/>
      </tp>
      <tp>
        <v>50</v>
        <stp/>
        <stp>P</stp>
        <stp>0</stp>
        <stp>STK</stp>
        <stp>N192400</stp>
        <stp>전일대비</stp>
        <stp/>
        <stp/>
        <tr r="K323" s="1"/>
      </tp>
      <tp>
        <v>-150</v>
        <stp/>
        <stp>P</stp>
        <stp>0</stp>
        <stp>STK</stp>
        <stp>N092460</stp>
        <stp>전일대비</stp>
        <stp/>
        <stp/>
        <tr r="K643" s="1"/>
      </tp>
      <tp>
        <v>-800</v>
        <stp/>
        <stp>P</stp>
        <stp>0</stp>
        <stp>STK</stp>
        <stp>N452430</stp>
        <stp>전일대비</stp>
        <stp/>
        <stp/>
        <tr r="K661" s="1"/>
      </tp>
      <tp>
        <v>-750</v>
        <stp/>
        <stp>P</stp>
        <stp>0</stp>
        <stp>STK</stp>
        <stp>N302440</stp>
        <stp>전일대비</stp>
        <stp/>
        <stp/>
        <tr r="K134" s="1"/>
      </tp>
      <tp>
        <v>34000</v>
        <stp/>
        <stp>P</stp>
        <stp>0</stp>
        <stp>STK</stp>
        <stp>N012450</stp>
        <stp>전일대비</stp>
        <stp/>
        <stp/>
        <tr r="K15" s="1"/>
      </tp>
      <tp>
        <v>-1100</v>
        <stp/>
        <stp>P</stp>
        <stp>0</stp>
        <stp>STK</stp>
        <stp>N352480</stp>
        <stp>전일대비</stp>
        <stp/>
        <stp/>
        <tr r="K531" s="1"/>
      </tp>
      <tp>
        <v>400</v>
        <stp/>
        <stp>P</stp>
        <stp>0</stp>
        <stp>STK</stp>
        <stp>N042520</stp>
        <stp>전일대비</stp>
        <stp/>
        <stp/>
        <tr r="K607" s="1"/>
      </tp>
      <tp>
        <v>-180</v>
        <stp/>
        <stp>P</stp>
        <stp>0</stp>
        <stp>STK</stp>
        <stp>N032500</stp>
        <stp>전일대비</stp>
        <stp/>
        <stp/>
        <tr r="K416" s="1"/>
      </tp>
      <tp>
        <v>-2900</v>
        <stp/>
        <stp>P</stp>
        <stp>0</stp>
        <stp>STK</stp>
        <stp>N012510</stp>
        <stp>전일대비</stp>
        <stp/>
        <stp/>
        <tr r="K158" s="1"/>
      </tp>
      <tp>
        <v>3200</v>
        <stp/>
        <stp>P</stp>
        <stp>0</stp>
        <stp>STK</stp>
        <stp>N272210</stp>
        <stp>전일대비</stp>
        <stp/>
        <stp/>
        <tr r="K53" s="1"/>
      </tp>
      <tp>
        <v>-300</v>
        <stp/>
        <stp>P</stp>
        <stp>0</stp>
        <stp>STK</stp>
        <stp>N092230</stp>
        <stp>전일대비</stp>
        <stp/>
        <stp/>
        <tr r="K618" s="1"/>
      </tp>
      <tp>
        <v>-3250</v>
        <stp/>
        <stp>P</stp>
        <stp>0</stp>
        <stp>STK</stp>
        <stp>N082270</stp>
        <stp>전일대비</stp>
        <stp/>
        <stp/>
        <tr r="K316" s="1"/>
      </tp>
      <tp>
        <v>-200</v>
        <stp/>
        <stp>P</stp>
        <stp>0</stp>
        <stp>STK</stp>
        <stp>N002240</stp>
        <stp>전일대비</stp>
        <stp/>
        <stp/>
        <tr r="K429" s="1"/>
      </tp>
      <tp>
        <v>-500</v>
        <stp/>
        <stp>P</stp>
        <stp>0</stp>
        <stp>STK</stp>
        <stp>N272290</stp>
        <stp>전일대비</stp>
        <stp/>
        <stp/>
        <tr r="K472" s="1"/>
      </tp>
      <tp>
        <v>-40</v>
        <stp/>
        <stp>P</stp>
        <stp>0</stp>
        <stp>STK</stp>
        <stp>N002320</stp>
        <stp>전일대비</stp>
        <stp/>
        <stp/>
        <tr r="K622" s="1"/>
      </tp>
      <tp>
        <v>5000</v>
        <stp/>
        <stp>P</stp>
        <stp>0</stp>
        <stp>STK</stp>
        <stp>N012330</stp>
        <stp>전일대비</stp>
        <stp/>
        <stp/>
        <tr r="K22" s="1"/>
      </tp>
      <tp>
        <v>-28000</v>
        <stp/>
        <stp>P</stp>
        <stp>0</stp>
        <stp>STK</stp>
        <stp>N402340</stp>
        <stp>전일대비</stp>
        <stp/>
        <stp/>
        <tr r="K18" s="1"/>
      </tp>
      <tp>
        <v>-750</v>
        <stp/>
        <stp>P</stp>
        <stp>0</stp>
        <stp>STK</stp>
        <stp>N372320</stp>
        <stp>전일대비</stp>
        <stp/>
        <stp/>
        <tr r="K403" s="1"/>
      </tp>
      <tp>
        <v>-1900</v>
        <stp/>
        <stp>P</stp>
        <stp>0</stp>
        <stp>STK</stp>
        <stp>N282330</stp>
        <stp>전일대비</stp>
        <stp/>
        <stp/>
        <tr r="K213" s="1"/>
      </tp>
      <tp>
        <v>-150</v>
        <stp/>
        <stp>P</stp>
        <stp>0</stp>
        <stp>STK</stp>
        <stp>N032350</stp>
        <stp>전일대비</stp>
        <stp/>
        <stp/>
        <tr r="K226" s="1"/>
      </tp>
      <tp>
        <v>0</v>
        <stp/>
        <stp>P</stp>
        <stp>0</stp>
        <stp>STK</stp>
        <stp>N002380</stp>
        <stp>전일대비</stp>
        <stp/>
        <stp/>
        <tr r="K130" s="1"/>
      </tp>
      <tp>
        <v>-600</v>
        <stp/>
        <stp>P</stp>
        <stp>0</stp>
        <stp>STK</stp>
        <stp>N002020</stp>
        <stp>전일대비</stp>
        <stp/>
        <stp/>
        <tr r="K443" s="1"/>
      </tp>
      <tp>
        <v>-800</v>
        <stp/>
        <stp>P</stp>
        <stp>0</stp>
        <stp>STK</stp>
        <stp>N322000</stp>
        <stp>전일대비</stp>
        <stp/>
        <stp/>
        <tr r="K423" s="1"/>
      </tp>
      <tp>
        <v>-5000</v>
        <stp/>
        <stp>P</stp>
        <stp>0</stp>
        <stp>STK</stp>
        <stp>N002030</stp>
        <stp>전일대비</stp>
        <stp/>
        <stp/>
        <tr r="K433" s="1"/>
      </tp>
      <tp>
        <v>-1250</v>
        <stp/>
        <stp>P</stp>
        <stp>0</stp>
        <stp>STK</stp>
        <stp>N042000</stp>
        <stp>전일대비</stp>
        <stp/>
        <stp/>
        <tr r="K370" s="1"/>
      </tp>
      <tp>
        <v>-750</v>
        <stp/>
        <stp>P</stp>
        <stp>0</stp>
        <stp>STK</stp>
        <stp>N402030</stp>
        <stp>전일대비</stp>
        <stp/>
        <stp/>
        <tr r="K644" s="1"/>
      </tp>
      <tp>
        <v>-4400</v>
        <stp/>
        <stp>P</stp>
        <stp>0</stp>
        <stp>STK</stp>
        <stp>N062040</stp>
        <stp>전일대비</stp>
        <stp/>
        <stp/>
        <tr r="K122" s="1"/>
      </tp>
      <tp>
        <v>-1500</v>
        <stp/>
        <stp>P</stp>
        <stp>0</stp>
        <stp>STK</stp>
        <stp>N112040</stp>
        <stp>전일대비</stp>
        <stp/>
        <stp/>
        <tr r="K337" s="1"/>
      </tp>
      <tp>
        <v>380</v>
        <stp/>
        <stp>P</stp>
        <stp>0</stp>
        <stp>STK</stp>
        <stp>N222080</stp>
        <stp>전일대비</stp>
        <stp/>
        <stp/>
        <tr r="K441" s="1"/>
      </tp>
      <tp>
        <v>-1200</v>
        <stp/>
        <stp>P</stp>
        <stp>0</stp>
        <stp>STK</stp>
        <stp>N192080</stp>
        <stp>전일대비</stp>
        <stp/>
        <stp/>
        <tr r="K301" s="1"/>
      </tp>
      <tp>
        <v>-5400</v>
        <stp/>
        <stp>P</stp>
        <stp>0</stp>
        <stp>STK</stp>
        <stp>N0120G0</stp>
        <stp>전일대비</stp>
        <stp/>
        <stp/>
        <tr r="K436" s="1"/>
      </tp>
      <tp>
        <v>-500</v>
        <stp/>
        <stp>P</stp>
        <stp>0</stp>
        <stp>STK</stp>
        <stp>N022100</stp>
        <stp>전일대비</stp>
        <stp/>
        <stp/>
        <tr r="K98" s="1"/>
      </tp>
      <tp>
        <v>-470</v>
        <stp/>
        <stp>P</stp>
        <stp>0</stp>
        <stp>STK</stp>
        <stp>N232140</stp>
        <stp>전일대비</stp>
        <stp/>
        <stp/>
        <tr r="K283" s="1"/>
      </tp>
      <tp>
        <v>0</v>
        <stp/>
        <stp>P</stp>
        <stp>0</stp>
        <stp>STK</stp>
        <stp>N372170</stp>
        <stp>전일대비</stp>
        <stp/>
        <stp/>
        <tr r="K680" s="1"/>
      </tp>
      <tp>
        <v>-1150</v>
        <stp/>
        <stp>P</stp>
        <stp>0</stp>
        <stp>STK</stp>
        <stp>N032190</stp>
        <stp>전일대비</stp>
        <stp/>
        <stp/>
        <tr r="K390" s="1"/>
      </tp>
      <tp>
        <v>1700</v>
        <stp/>
        <stp>P</stp>
        <stp>0</stp>
        <stp>STK</stp>
        <stp>N222800</stp>
        <stp>전일대비</stp>
        <stp/>
        <stp/>
        <tr r="K223" s="1"/>
      </tp>
      <tp>
        <v>-1300</v>
        <stp/>
        <stp>P</stp>
        <stp>0</stp>
        <stp>STK</stp>
        <stp>N462870</stp>
        <stp>전일대비</stp>
        <stp/>
        <stp/>
        <tr r="K217" s="1"/>
      </tp>
      <tp>
        <v>-4300</v>
        <stp/>
        <stp>P</stp>
        <stp>0</stp>
        <stp>STK</stp>
        <stp>N032830</stp>
        <stp>전일대비</stp>
        <stp/>
        <stp/>
        <tr r="K27" s="1"/>
      </tp>
      <tp>
        <v>-3800</v>
        <stp/>
        <stp>P</stp>
        <stp>0</stp>
        <stp>STK</stp>
        <stp>N192820</stp>
        <stp>전일대비</stp>
        <stp/>
        <stp/>
        <tr r="K208" s="1"/>
      </tp>
      <tp>
        <v>-90</v>
        <stp/>
        <stp>P</stp>
        <stp>0</stp>
        <stp>STK</stp>
        <stp>N472850</stp>
        <stp>전일대비</stp>
        <stp/>
        <stp/>
        <tr r="K640" s="1"/>
      </tp>
      <tp>
        <v>-6500</v>
        <stp/>
        <stp>P</stp>
        <stp>0</stp>
        <stp>STK</stp>
        <stp>N352820</stp>
        <stp>전일대비</stp>
        <stp/>
        <stp/>
        <tr r="K59" s="1"/>
      </tp>
      <tp>
        <v>-200</v>
        <stp/>
        <stp>P</stp>
        <stp>0</stp>
        <stp>STK</stp>
        <stp>N002810</stp>
        <stp>전일대비</stp>
        <stp/>
        <stp/>
        <tr r="K619" s="1"/>
      </tp>
      <tp>
        <v>-2500</v>
        <stp/>
        <stp>P</stp>
        <stp>0</stp>
        <stp>STK</stp>
        <stp>N122870</stp>
        <stp>전일대비</stp>
        <stp/>
        <stp/>
        <tr r="K273" s="1"/>
      </tp>
      <tp>
        <v>800</v>
        <stp/>
        <stp>P</stp>
        <stp>0</stp>
        <stp>STK</stp>
        <stp>N002840</stp>
        <stp>전일대비</stp>
        <stp/>
        <stp/>
        <tr r="K395" s="1"/>
      </tp>
      <tp>
        <v>50</v>
        <stp/>
        <stp>P</stp>
        <stp>0</stp>
        <stp>STK</stp>
        <stp>N082920</stp>
        <stp>전일대비</stp>
        <stp/>
        <stp/>
        <tr r="K331" s="1"/>
      </tp>
      <tp>
        <v>-400</v>
        <stp/>
        <stp>P</stp>
        <stp>0</stp>
        <stp>STK</stp>
        <stp>N382900</stp>
        <stp>전일대비</stp>
        <stp/>
        <stp/>
        <tr r="K654" s="1"/>
      </tp>
      <tp>
        <v>-5000</v>
        <stp/>
        <stp>P</stp>
        <stp>0</stp>
        <stp>STK</stp>
        <stp>N002960</stp>
        <stp>전일대비</stp>
        <stp/>
        <stp/>
        <tr r="K445" s="1"/>
      </tp>
      <tp>
        <v>900</v>
        <stp/>
        <stp>P</stp>
        <stp>0</stp>
        <stp>STK</stp>
        <stp>N102940</stp>
        <stp>전일대비</stp>
        <stp/>
        <stp/>
        <tr r="K427" s="1"/>
      </tp>
      <tp>
        <v>140</v>
        <stp/>
        <stp>P</stp>
        <stp>0</stp>
        <stp>STK</stp>
        <stp>N105630</stp>
        <stp>전일대비</stp>
        <stp/>
        <stp/>
        <tr r="K444" s="1"/>
      </tp>
      <tp>
        <v>-10</v>
        <stp/>
        <stp>P</stp>
        <stp>0</stp>
        <stp>STK</stp>
        <stp>N085620</stp>
        <stp>전일대비</stp>
        <stp/>
        <stp/>
        <tr r="K244" s="1"/>
      </tp>
      <tp>
        <v>0</v>
        <stp/>
        <stp>P</stp>
        <stp>0</stp>
        <stp>STK</stp>
        <stp>N035600</stp>
        <stp>전일대비</stp>
        <stp/>
        <stp/>
        <tr r="K655" s="1"/>
      </tp>
      <tp>
        <v>100</v>
        <stp/>
        <stp>P</stp>
        <stp>0</stp>
        <stp>STK</stp>
        <stp>N005610</stp>
        <stp>전일대비</stp>
        <stp/>
        <stp/>
        <tr r="K514" s="1"/>
      </tp>
      <tp>
        <v>-800</v>
        <stp/>
        <stp>P</stp>
        <stp>0</stp>
        <stp>STK</stp>
        <stp>N095610</stp>
        <stp>전일대비</stp>
        <stp/>
        <stp/>
        <tr r="K322" s="1"/>
      </tp>
      <tp>
        <v>-1550</v>
        <stp/>
        <stp>P</stp>
        <stp>0</stp>
        <stp>STK</stp>
        <stp>N065660</stp>
        <stp>전일대비</stp>
        <stp/>
        <stp/>
        <tr r="K556" s="1"/>
      </tp>
      <tp>
        <v>-400</v>
        <stp/>
        <stp>P</stp>
        <stp>0</stp>
        <stp>STK</stp>
        <stp>N085660</stp>
        <stp>전일대비</stp>
        <stp/>
        <stp/>
        <tr r="K271" s="1"/>
      </tp>
      <tp>
        <v>-450</v>
        <stp/>
        <stp>P</stp>
        <stp>0</stp>
        <stp>STK</stp>
        <stp>N095660</stp>
        <stp>전일대비</stp>
        <stp/>
        <stp/>
        <tr r="K448" s="1"/>
      </tp>
      <tp>
        <v>150</v>
        <stp/>
        <stp>P</stp>
        <stp>0</stp>
        <stp>STK</stp>
        <stp>N065680</stp>
        <stp>전일대비</stp>
        <stp/>
        <stp/>
        <tr r="K638" s="1"/>
      </tp>
      <tp>
        <v>-330</v>
        <stp/>
        <stp>P</stp>
        <stp>0</stp>
        <stp>STK</stp>
        <stp>N005690</stp>
        <stp>전일대비</stp>
        <stp/>
        <stp/>
        <tr r="K361" s="1"/>
      </tp>
      <tp>
        <v>4500</v>
        <stp/>
        <stp>P</stp>
        <stp>0</stp>
        <stp>STK</stp>
        <stp>N445680</stp>
        <stp>전일대비</stp>
        <stp/>
        <stp/>
        <tr r="K207" s="1"/>
      </tp>
      <tp>
        <v>-1400</v>
        <stp/>
        <stp>P</stp>
        <stp>0</stp>
        <stp>STK</stp>
        <stp>N035720</stp>
        <stp>전일대비</stp>
        <stp/>
        <stp/>
        <tr r="K35" s="1"/>
      </tp>
      <tp>
        <v>-1250</v>
        <stp/>
        <stp>P</stp>
        <stp>0</stp>
        <stp>STK</stp>
        <stp>N145720</stp>
        <stp>전일대비</stp>
        <stp/>
        <stp/>
        <tr r="K470" s="1"/>
      </tp>
      <tp>
        <v>-50</v>
        <stp/>
        <stp>P</stp>
        <stp>0</stp>
        <stp>STK</stp>
        <stp>N005710</stp>
        <stp>전일대비</stp>
        <stp/>
        <stp/>
        <tr r="K659" s="1"/>
      </tp>
      <tp>
        <v>-3600</v>
        <stp/>
        <stp>P</stp>
        <stp>0</stp>
        <stp>STK</stp>
        <stp>N035760</stp>
        <stp>전일대비</stp>
        <stp/>
        <stp/>
        <tr r="K263" s="1"/>
      </tp>
      <tp>
        <v>-100</v>
        <stp/>
        <stp>P</stp>
        <stp>0</stp>
        <stp>STK</stp>
        <stp>N015760</stp>
        <stp>전일대비</stp>
        <stp/>
        <stp/>
        <tr r="K24" s="1"/>
      </tp>
      <tp>
        <v>-180</v>
        <stp/>
        <stp>P</stp>
        <stp>0</stp>
        <stp>STK</stp>
        <stp>N025770</stp>
        <stp>전일대비</stp>
        <stp/>
        <stp/>
        <tr r="K636" s="1"/>
      </tp>
      <tp>
        <v>-700</v>
        <stp/>
        <stp>P</stp>
        <stp>0</stp>
        <stp>STK</stp>
        <stp>N185750</stp>
        <stp>전일대비</stp>
        <stp/>
        <stp/>
        <tr r="K293" s="1"/>
      </tp>
      <tp>
        <v>-130</v>
        <stp/>
        <stp>P</stp>
        <stp>0</stp>
        <stp>STK</stp>
        <stp>N015750</stp>
        <stp>전일대비</stp>
        <stp/>
        <stp/>
        <tr r="K407" s="1"/>
      </tp>
      <tp>
        <v>-750</v>
        <stp/>
        <stp>P</stp>
        <stp>0</stp>
        <stp>STK</stp>
        <stp>N035420</stp>
        <stp>전일대비</stp>
        <stp/>
        <stp/>
        <tr r="K26" s="1"/>
      </tp>
      <tp>
        <v>120</v>
        <stp/>
        <stp>P</stp>
        <stp>0</stp>
        <stp>STK</stp>
        <stp>N005420</stp>
        <stp>전일대비</stp>
        <stp/>
        <stp/>
        <tr r="K446" s="1"/>
      </tp>
      <tp>
        <v>-1600</v>
        <stp/>
        <stp>P</stp>
        <stp>0</stp>
        <stp>STK</stp>
        <stp>N425420</stp>
        <stp>전일대비</stp>
        <stp/>
        <stp/>
        <tr r="K535" s="1"/>
      </tp>
      <tp>
        <v>1700</v>
        <stp/>
        <stp>P</stp>
        <stp>0</stp>
        <stp>STK</stp>
        <stp>N475400</stp>
        <stp>전일대비</stp>
        <stp/>
        <stp/>
        <tr r="K463" s="1"/>
      </tp>
      <tp>
        <v>-30</v>
        <stp/>
        <stp>P</stp>
        <stp>0</stp>
        <stp>STK</stp>
        <stp>N005440</stp>
        <stp>전일대비</stp>
        <stp/>
        <stp/>
        <tr r="K268" s="1"/>
      </tp>
      <tp>
        <v>1200</v>
        <stp/>
        <stp>P</stp>
        <stp>0</stp>
        <stp>STK</stp>
        <stp>N125490</stp>
        <stp>전일대비</stp>
        <stp/>
        <stp/>
        <tr r="K377" s="1"/>
      </tp>
      <tp>
        <v>1250</v>
        <stp/>
        <stp>P</stp>
        <stp>0</stp>
        <stp>STK</stp>
        <stp>N005490</stp>
        <stp>전일대비</stp>
        <stp/>
        <stp/>
        <tr r="K31" s="1"/>
      </tp>
      <tp>
        <v>-250</v>
        <stp/>
        <stp>P</stp>
        <stp>0</stp>
        <stp>STK</stp>
        <stp>N475560</stp>
        <stp>전일대비</stp>
        <stp/>
        <stp/>
        <tr r="K574" s="1"/>
      </tp>
      <tp>
        <v>-350</v>
        <stp/>
        <stp>P</stp>
        <stp>0</stp>
        <stp>STK</stp>
        <stp>N375500</stp>
        <stp>전일대비</stp>
        <stp/>
        <stp/>
        <tr r="K238" s="1"/>
      </tp>
      <tp>
        <v>-350</v>
        <stp/>
        <stp>P</stp>
        <stp>0</stp>
        <stp>STK</stp>
        <stp>N265520</stp>
        <stp>전일대비</stp>
        <stp/>
        <stp/>
        <tr r="K642" s="1"/>
      </tp>
      <tp>
        <v>-230</v>
        <stp/>
        <stp>P</stp>
        <stp>0</stp>
        <stp>STK</stp>
        <stp>N005500</stp>
        <stp>전일대비</stp>
        <stp/>
        <stp/>
        <tr r="K669" s="1"/>
      </tp>
      <tp>
        <v>-120</v>
        <stp/>
        <stp>P</stp>
        <stp>0</stp>
        <stp>STK</stp>
        <stp>N095500</stp>
        <stp>전일대비</stp>
        <stp/>
        <stp/>
        <tr r="K599" s="1"/>
      </tp>
      <tp>
        <v>2500</v>
        <stp/>
        <stp>P</stp>
        <stp>0</stp>
        <stp>STK</stp>
        <stp>N105560</stp>
        <stp>전일대비</stp>
        <stp/>
        <stp/>
        <tr r="K19" s="1"/>
      </tp>
      <tp>
        <v>-1000</v>
        <stp/>
        <stp>P</stp>
        <stp>0</stp>
        <stp>STK</stp>
        <stp>N025540</stp>
        <stp>전일대비</stp>
        <stp/>
        <stp/>
        <tr r="K355" s="1"/>
      </tp>
      <tp>
        <v>600</v>
        <stp/>
        <stp>P</stp>
        <stp>0</stp>
        <stp>STK</stp>
        <stp>N055550</stp>
        <stp>전일대비</stp>
        <stp/>
        <stp/>
        <tr r="K25" s="1"/>
      </tp>
      <tp>
        <v>-450</v>
        <stp/>
        <stp>P</stp>
        <stp>0</stp>
        <stp>STK</stp>
        <stp>N225570</stp>
        <stp>전일대비</stp>
        <stp/>
        <stp/>
        <tr r="K357" s="1"/>
      </tp>
      <tp>
        <v>-400</v>
        <stp/>
        <stp>P</stp>
        <stp>0</stp>
        <stp>STK</stp>
        <stp>N075580</stp>
        <stp>전일대비</stp>
        <stp/>
        <stp/>
        <tr r="K299" s="1"/>
      </tp>
      <tp>
        <v>-1800</v>
        <stp/>
        <stp>P</stp>
        <stp>0</stp>
        <stp>STK</stp>
        <stp>N215200</stp>
        <stp>전일대비</stp>
        <stp/>
        <stp/>
        <tr r="K538" s="1"/>
      </tp>
      <tp>
        <v>-170</v>
        <stp/>
        <stp>P</stp>
        <stp>0</stp>
        <stp>STK</stp>
        <stp>N035250</stp>
        <stp>전일대비</stp>
        <stp/>
        <stp/>
        <tr r="K131" s="1"/>
      </tp>
      <tp>
        <v>-300</v>
        <stp/>
        <stp>P</stp>
        <stp>0</stp>
        <stp>STK</stp>
        <stp>N005250</stp>
        <stp>전일대비</stp>
        <stp/>
        <stp/>
        <tr r="K392" s="1"/>
      </tp>
      <tp>
        <v>-2300</v>
        <stp/>
        <stp>P</stp>
        <stp>0</stp>
        <stp>STK</stp>
        <stp>N005290</stp>
        <stp>전일대비</stp>
        <stp/>
        <stp/>
        <tr r="K204" s="1"/>
      </tp>
      <tp>
        <v>400</v>
        <stp/>
        <stp>P</stp>
        <stp>0</stp>
        <stp>STK</stp>
        <stp>N175330</stp>
        <stp>전일대비</stp>
        <stp/>
        <stp/>
        <tr r="K121" s="1"/>
      </tp>
      <tp>
        <v>100</v>
        <stp/>
        <stp>P</stp>
        <stp>0</stp>
        <stp>STK</stp>
        <stp>N025320</stp>
        <stp>전일대비</stp>
        <stp/>
        <stp/>
        <tr r="K476" s="1"/>
      </tp>
      <tp>
        <v>300</v>
        <stp/>
        <stp>P</stp>
        <stp>0</stp>
        <stp>STK</stp>
        <stp>N295310</stp>
        <stp>전일대비</stp>
        <stp/>
        <stp/>
        <tr r="K308" s="1"/>
      </tp>
      <tp>
        <v>200</v>
        <stp/>
        <stp>P</stp>
        <stp>0</stp>
        <stp>STK</stp>
        <stp>N005300</stp>
        <stp>전일대비</stp>
        <stp/>
        <stp/>
        <tr r="K284" s="1"/>
      </tp>
      <tp>
        <v>-1000</v>
        <stp/>
        <stp>P</stp>
        <stp>0</stp>
        <stp>STK</stp>
        <stp>N015360</stp>
        <stp>전일대비</stp>
        <stp/>
        <stp/>
        <tr r="K552" s="1"/>
      </tp>
      <tp>
        <v>-2500</v>
        <stp/>
        <stp>P</stp>
        <stp>0</stp>
        <stp>STK</stp>
        <stp>N365340</stp>
        <stp>전일대비</stp>
        <stp/>
        <stp/>
        <tr r="K422" s="1"/>
      </tp>
      <tp>
        <v>-3800</v>
        <stp/>
        <stp>P</stp>
        <stp>0</stp>
        <stp>STK</stp>
        <stp>N095340</stp>
        <stp>전일대비</stp>
        <stp/>
        <stp/>
        <tr r="K201" s="1"/>
      </tp>
      <tp>
        <v>-400</v>
        <stp/>
        <stp>P</stp>
        <stp>0</stp>
        <stp>STK</stp>
        <stp>N065350</stp>
        <stp>전일대비</stp>
        <stp/>
        <stp/>
        <tr r="K242" s="1"/>
      </tp>
      <tp>
        <v>-6000</v>
        <stp/>
        <stp>P</stp>
        <stp>0</stp>
        <stp>STK</stp>
        <stp>N005380</stp>
        <stp>전일대비</stp>
        <stp/>
        <stp/>
        <tr r="K11" s="1"/>
      </tp>
      <tp>
        <v>-1400</v>
        <stp/>
        <stp>P</stp>
        <stp>0</stp>
        <stp>STK</stp>
        <stp>N215000</stp>
        <stp>전일대비</stp>
        <stp/>
        <stp/>
        <tr r="K595" s="1"/>
      </tp>
      <tp>
        <v>1000</v>
        <stp/>
        <stp>P</stp>
        <stp>0</stp>
        <stp>STK</stp>
        <stp>N145020</stp>
        <stp>전일대비</stp>
        <stp/>
        <stp/>
        <tr r="K161" s="1"/>
      </tp>
      <tp>
        <v>1300</v>
        <stp/>
        <stp>P</stp>
        <stp>0</stp>
        <stp>STK</stp>
        <stp>N005070</stp>
        <stp>전일대비</stp>
        <stp/>
        <stp/>
        <tr r="K255" s="1"/>
      </tp>
      <tp>
        <v>-150</v>
        <stp/>
        <stp>P</stp>
        <stp>0</stp>
        <stp>STK</stp>
        <stp>N005090</stp>
        <stp>전일대비</stp>
        <stp/>
        <stp/>
        <tr r="K626" s="1"/>
      </tp>
      <tp>
        <v>-650</v>
        <stp/>
        <stp>P</stp>
        <stp>0</stp>
        <stp>STK</stp>
        <stp>N445090</stp>
        <stp>전일대비</stp>
        <stp/>
        <stp/>
        <tr r="K609" s="1"/>
      </tp>
      <tp>
        <v>-550</v>
        <stp/>
        <stp>P</stp>
        <stp>0</stp>
        <stp>STK</stp>
        <stp>N045100</stp>
        <stp>전일대비</stp>
        <stp/>
        <stp/>
        <tr r="K503" s="1"/>
      </tp>
      <tp>
        <v>-490</v>
        <stp/>
        <stp>P</stp>
        <stp>0</stp>
        <stp>STK</stp>
        <stp>N475150</stp>
        <stp>전일대비</stp>
        <stp/>
        <stp/>
        <tr r="K402" s="1"/>
      </tp>
      <tp>
        <v>-1200</v>
        <stp/>
        <stp>P</stp>
        <stp>0</stp>
        <stp>STK</stp>
        <stp>N285130</stp>
        <stp>전일대비</stp>
        <stp/>
        <stp/>
        <tr r="K295" s="1"/>
      </tp>
      <tp>
        <v>-80</v>
        <stp/>
        <stp>P</stp>
        <stp>0</stp>
        <stp>STK</stp>
        <stp>N035150</stp>
        <stp>전일대비</stp>
        <stp/>
        <stp/>
        <tr r="K666" s="1"/>
      </tp>
      <tp>
        <v>-500</v>
        <stp/>
        <stp>P</stp>
        <stp>0</stp>
        <stp>STK</stp>
        <stp>N005180</stp>
        <stp>전일대비</stp>
        <stp/>
        <stp/>
        <tr r="K381" s="1"/>
      </tp>
      <tp>
        <v>1900</v>
        <stp/>
        <stp>P</stp>
        <stp>0</stp>
        <stp>STK</stp>
        <stp>N005830</stp>
        <stp>전일대비</stp>
        <stp/>
        <stp/>
        <tr r="K78" s="1"/>
      </tp>
      <tp>
        <v>-1250</v>
        <stp/>
        <stp>P</stp>
        <stp>0</stp>
        <stp>STK</stp>
        <stp>N005810</stp>
        <stp>전일대비</stp>
        <stp/>
        <stp/>
        <tr r="K449" s="1"/>
      </tp>
      <tp>
        <v>100</v>
        <stp/>
        <stp>P</stp>
        <stp>0</stp>
        <stp>STK</stp>
        <stp>N195870</stp>
        <stp>전일대비</stp>
        <stp/>
        <stp/>
        <tr r="K335" s="1"/>
      </tp>
      <tp>
        <v>-1900</v>
        <stp/>
        <stp>P</stp>
        <stp>0</stp>
        <stp>STK</stp>
        <stp>N475830</stp>
        <stp>전일대비</stp>
        <stp/>
        <stp/>
        <tr r="K200" s="1"/>
      </tp>
      <tp>
        <v>-600</v>
        <stp/>
        <stp>P</stp>
        <stp>0</stp>
        <stp>STK</stp>
        <stp>N005850</stp>
        <stp>전일대비</stp>
        <stp/>
        <stp/>
        <tr r="K147" s="1"/>
      </tp>
      <tp>
        <v>-1200</v>
        <stp/>
        <stp>P</stp>
        <stp>0</stp>
        <stp>STK</stp>
        <stp>N105840</stp>
        <stp>전일대비</stp>
        <stp/>
        <stp/>
        <tr r="K454" s="1"/>
      </tp>
      <tp>
        <v>1600</v>
        <stp/>
        <stp>P</stp>
        <stp>0</stp>
        <stp>STK</stp>
        <stp>N475960</stp>
        <stp>전일대비</stp>
        <stp/>
        <stp/>
        <tr r="K431" s="1"/>
      </tp>
      <tp>
        <v>-3200</v>
        <stp/>
        <stp>P</stp>
        <stp>0</stp>
        <stp>STK</stp>
        <stp>N005930</stp>
        <stp>전일대비</stp>
        <stp/>
        <stp/>
        <tr r="K9" s="1"/>
      </tp>
      <tp>
        <v>-240</v>
        <stp/>
        <stp>P</stp>
        <stp>0</stp>
        <stp>STK</stp>
        <stp>N025900</stp>
        <stp>전일대비</stp>
        <stp/>
        <stp/>
        <tr r="K530" s="1"/>
      </tp>
      <tp>
        <v>-2300</v>
        <stp/>
        <stp>P</stp>
        <stp>0</stp>
        <stp>STK</stp>
        <stp>N035900</stp>
        <stp>전일대비</stp>
        <stp/>
        <stp/>
        <tr r="K188" s="1"/>
      </tp>
      <tp>
        <v>-500</v>
        <stp/>
        <stp>P</stp>
        <stp>0</stp>
        <stp>STK</stp>
        <stp>N455900</stp>
        <stp>전일대비</stp>
        <stp/>
        <stp/>
        <tr r="K418" s="1"/>
      </tp>
      <tp>
        <v>-650</v>
        <stp/>
        <stp>P</stp>
        <stp>0</stp>
        <stp>STK</stp>
        <stp>N005940</stp>
        <stp>전일대비</stp>
        <stp/>
        <stp/>
        <tr r="K88" s="1"/>
      </tp>
      <tp>
        <v>100</v>
        <stp/>
        <stp>P</stp>
        <stp>0</stp>
        <stp>STK</stp>
        <stp>N195940</stp>
        <stp>전일대비</stp>
        <stp/>
        <stp/>
        <tr r="K265" s="1"/>
      </tp>
      <tp>
        <v>-550</v>
        <stp/>
        <stp>P</stp>
        <stp>0</stp>
        <stp>STK</stp>
        <stp>N145990</stp>
        <stp>전일대비</stp>
        <stp/>
        <stp/>
        <tr r="K495" s="1"/>
      </tp>
      <tp>
        <v>-290</v>
        <stp/>
        <stp>P</stp>
        <stp>0</stp>
        <stp>STK</stp>
        <stp>N025980</stp>
        <stp>전일대비</stp>
        <stp/>
        <stp/>
        <tr r="K376" s="1"/>
      </tp>
      <tp>
        <v>-1300</v>
        <stp/>
        <stp>P</stp>
        <stp>0</stp>
        <stp>STK</stp>
        <stp>N014620</stp>
        <stp>전일대비</stp>
        <stp/>
        <stp/>
        <tr r="K364" s="1"/>
      </tp>
      <tp>
        <v>-650</v>
        <stp/>
        <stp>P</stp>
        <stp>0</stp>
        <stp>STK</stp>
        <stp>N074600</stp>
        <stp>전일대비</stp>
        <stp/>
        <stp/>
        <tr r="K408" s="1"/>
      </tp>
      <tp>
        <v>1500</v>
        <stp/>
        <stp>P</stp>
        <stp>0</stp>
        <stp>STK</stp>
        <stp>N014680</stp>
        <stp>전일대비</stp>
        <stp/>
        <stp/>
        <tr r="K155" s="1"/>
      </tp>
      <tp>
        <v>-2200</v>
        <stp/>
        <stp>P</stp>
        <stp>0</stp>
        <stp>STK</stp>
        <stp>N004690</stp>
        <stp>전일대비</stp>
        <stp/>
        <stp/>
        <tr r="K468" s="1"/>
      </tp>
      <tp>
        <v>120</v>
        <stp/>
        <stp>P</stp>
        <stp>0</stp>
        <stp>STK</stp>
        <stp>N084690</stp>
        <stp>전일대비</stp>
        <stp/>
        <stp/>
        <tr r="K590" s="1"/>
      </tp>
      <tp>
        <v>-130</v>
        <stp/>
        <stp>P</stp>
        <stp>0</stp>
        <stp>STK</stp>
        <stp>N024720</stp>
        <stp>전일대비</stp>
        <stp/>
        <stp/>
        <tr r="K605" s="1"/>
      </tp>
      <tp>
        <v>-12000</v>
        <stp/>
        <stp>P</stp>
        <stp>0</stp>
        <stp>STK</stp>
        <stp>N034730</stp>
        <stp>전일대비</stp>
        <stp/>
        <stp/>
        <tr r="K41" s="1"/>
      </tp>
      <tp>
        <v>5200</v>
        <stp/>
        <stp>P</stp>
        <stp>0</stp>
        <stp>STK</stp>
        <stp>N004700</stp>
        <stp>전일대비</stp>
        <stp/>
        <stp/>
        <tr r="K500" s="1"/>
      </tp>
      <tp>
        <v>-50</v>
        <stp/>
        <stp>P</stp>
        <stp>0</stp>
        <stp>STK</stp>
        <stp>N104700</stp>
        <stp>전일대비</stp>
        <stp/>
        <stp/>
        <tr r="K568" s="1"/>
      </tp>
      <tp>
        <v>-150</v>
        <stp/>
        <stp>P</stp>
        <stp>0</stp>
        <stp>STK</stp>
        <stp>N194700</stp>
        <stp>전일대비</stp>
        <stp/>
        <stp/>
        <tr r="K671" s="1"/>
      </tp>
      <tp>
        <v>-16000</v>
        <stp/>
        <stp>P</stp>
        <stp>0</stp>
        <stp>STK</stp>
        <stp>N064760</stp>
        <stp>전일대비</stp>
        <stp/>
        <stp/>
        <tr r="K218" s="1"/>
      </tp>
      <tp>
        <v>-450</v>
        <stp/>
        <stp>P</stp>
        <stp>0</stp>
        <stp>STK</stp>
        <stp>N284740</stp>
        <stp>전일대비</stp>
        <stp/>
        <stp/>
        <tr r="K473" s="1"/>
      </tp>
      <tp>
        <v>-500</v>
        <stp/>
        <stp>P</stp>
        <stp>0</stp>
        <stp>STK</stp>
        <stp>N064400</stp>
        <stp>전일대비</stp>
        <stp/>
        <stp/>
        <tr r="K94" s="1"/>
      </tp>
      <tp>
        <v>-3500</v>
        <stp/>
        <stp>P</stp>
        <stp>0</stp>
        <stp>STK</stp>
        <stp>N214430</stp>
        <stp>전일대비</stp>
        <stp/>
        <stp/>
        <tr r="K417" s="1"/>
      </tp>
      <tp>
        <v>-11000</v>
        <stp/>
        <stp>P</stp>
        <stp>0</stp>
        <stp>STK</stp>
        <stp>N214450</stp>
        <stp>전일대비</stp>
        <stp/>
        <stp/>
        <tr r="K120" s="1"/>
      </tp>
      <tp>
        <v>300</v>
        <stp/>
        <stp>P</stp>
        <stp>0</stp>
        <stp>STK</stp>
        <stp>N094480</stp>
        <stp>전일대비</stp>
        <stp/>
        <stp/>
        <tr r="K567" s="1"/>
      </tp>
      <tp>
        <v>-800</v>
        <stp/>
        <stp>P</stp>
        <stp>0</stp>
        <stp>STK</stp>
        <stp>N044490</stp>
        <stp>전일대비</stp>
        <stp/>
        <stp/>
        <tr r="K394" s="1"/>
      </tp>
      <tp>
        <v>-800</v>
        <stp/>
        <stp>P</stp>
        <stp>0</stp>
        <stp>STK</stp>
        <stp>N004490</stp>
        <stp>전일대비</stp>
        <stp/>
        <stp/>
        <tr r="K333" s="1"/>
      </tp>
      <tp>
        <v>-1650</v>
        <stp/>
        <stp>P</stp>
        <stp>0</stp>
        <stp>STK</stp>
        <stp>N194480</stp>
        <stp>전일대비</stp>
        <stp/>
        <stp/>
        <tr r="K537" s="1"/>
      </tp>
      <tp>
        <v>-950</v>
        <stp/>
        <stp>P</stp>
        <stp>0</stp>
        <stp>STK</stp>
        <stp>N144510</stp>
        <stp>전일대비</stp>
        <stp/>
        <stp/>
        <tr r="K578" s="1"/>
      </tp>
      <tp>
        <v>-190</v>
        <stp/>
        <stp>P</stp>
        <stp>0</stp>
        <stp>STK</stp>
        <stp>N064550</stp>
        <stp>전일대비</stp>
        <stp/>
        <stp/>
        <tr r="K616" s="1"/>
      </tp>
      <tp>
        <v>100</v>
        <stp/>
        <stp>P</stp>
        <stp>0</stp>
        <stp>STK</stp>
        <stp>N294570</stp>
        <stp>전일대비</stp>
        <stp/>
        <stp/>
        <tr r="K650" s="1"/>
      </tp>
      <tp>
        <v>-260</v>
        <stp/>
        <stp>P</stp>
        <stp>0</stp>
        <stp>STK</stp>
        <stp>N484590</stp>
        <stp>전일대비</stp>
        <stp/>
        <stp/>
        <tr r="K453" s="1"/>
      </tp>
      <tp>
        <v>-240</v>
        <stp/>
        <stp>P</stp>
        <stp>0</stp>
        <stp>STK</stp>
        <stp>N034220</stp>
        <stp>전일대비</stp>
        <stp/>
        <stp/>
        <tr r="K102" s="1"/>
      </tp>
      <tp>
        <v>-90</v>
        <stp/>
        <stp>P</stp>
        <stp>0</stp>
        <stp>STK</stp>
        <stp>N034230</stp>
        <stp>전일대비</stp>
        <stp/>
        <stp/>
        <tr r="K245" s="1"/>
      </tp>
      <tp>
        <v>-700</v>
        <stp/>
        <stp>P</stp>
        <stp>0</stp>
        <stp>STK</stp>
        <stp>N204270</stp>
        <stp>전일대비</stp>
        <stp/>
        <stp/>
        <tr r="K297" s="1"/>
      </tp>
      <tp>
        <v>-920</v>
        <stp/>
        <stp>P</stp>
        <stp>0</stp>
        <stp>STK</stp>
        <stp>N394280</stp>
        <stp>전일대비</stp>
        <stp/>
        <stp/>
        <tr r="K627" s="1"/>
      </tp>
      <tp>
        <v>-700</v>
        <stp/>
        <stp>P</stp>
        <stp>0</stp>
        <stp>STK</stp>
        <stp>N204320</stp>
        <stp>전일대비</stp>
        <stp/>
        <stp/>
        <tr r="K142" s="1"/>
      </tp>
      <tp>
        <v>-160</v>
        <stp/>
        <stp>P</stp>
        <stp>0</stp>
        <stp>STK</stp>
        <stp>N214320</stp>
        <stp>전일대비</stp>
        <stp/>
        <stp/>
        <tr r="K378" s="1"/>
      </tp>
      <tp>
        <v>-270</v>
        <stp/>
        <stp>P</stp>
        <stp>0</stp>
        <stp>STK</stp>
        <stp>N034310</stp>
        <stp>전일대비</stp>
        <stp/>
        <stp/>
        <tr r="K491" s="1"/>
      </tp>
      <tp>
        <v>-280</v>
        <stp/>
        <stp>P</stp>
        <stp>0</stp>
        <stp>STK</stp>
        <stp>N004360</stp>
        <stp>전일대비</stp>
        <stp/>
        <stp/>
        <tr r="K662" s="1"/>
      </tp>
      <tp>
        <v>-490</v>
        <stp/>
        <stp>P</stp>
        <stp>0</stp>
        <stp>STK</stp>
        <stp>N094360</stp>
        <stp>전일대비</stp>
        <stp/>
        <stp/>
        <tr r="K559" s="1"/>
      </tp>
      <tp>
        <v>550</v>
        <stp/>
        <stp>P</stp>
        <stp>0</stp>
        <stp>STK</stp>
        <stp>N194370</stp>
        <stp>전일대비</stp>
        <stp/>
        <stp/>
        <tr r="K602" s="1"/>
      </tp>
      <tp>
        <v>-2500</v>
        <stp/>
        <stp>P</stp>
        <stp>0</stp>
        <stp>STK</stp>
        <stp>N004370</stp>
        <stp>전일대비</stp>
        <stp/>
        <stp/>
        <tr r="K182" s="1"/>
      </tp>
      <tp>
        <v>-4200</v>
        <stp/>
        <stp>P</stp>
        <stp>0</stp>
        <stp>STK</stp>
        <stp>N084370</stp>
        <stp>전일대비</stp>
        <stp/>
        <stp/>
        <tr r="K222" s="1"/>
      </tp>
      <tp>
        <v>500</v>
        <stp/>
        <stp>P</stp>
        <stp>0</stp>
        <stp>STK</stp>
        <stp>N064350</stp>
        <stp>전일대비</stp>
        <stp/>
        <stp/>
        <tr r="K37" s="1"/>
      </tp>
      <tp>
        <v>-1100</v>
        <stp/>
        <stp>P</stp>
        <stp>0</stp>
        <stp>STK</stp>
        <stp>N304360</stp>
        <stp>전일대비</stp>
        <stp/>
        <stp/>
        <tr r="K560" s="1"/>
      </tp>
      <tp>
        <v>0</v>
        <stp/>
        <stp>P</stp>
        <stp>0</stp>
        <stp>STK</stp>
        <stp>N214370</stp>
        <stp>전일대비</stp>
        <stp/>
        <stp/>
        <tr r="K129" s="1"/>
      </tp>
      <tp>
        <v>-1400</v>
        <stp/>
        <stp>P</stp>
        <stp>0</stp>
        <stp>STK</stp>
        <stp>N034020</stp>
        <stp>전일대비</stp>
        <stp/>
        <stp/>
        <tr r="K17" s="1"/>
      </tp>
      <tp>
        <v>-950</v>
        <stp/>
        <stp>P</stp>
        <stp>0</stp>
        <stp>STK</stp>
        <stp>N004020</stp>
        <stp>전일대비</stp>
        <stp/>
        <stp/>
        <tr r="K125" s="1"/>
      </tp>
      <tp>
        <v>-750</v>
        <stp/>
        <stp>P</stp>
        <stp>0</stp>
        <stp>STK</stp>
        <stp>N004000</stp>
        <stp>전일대비</stp>
        <stp/>
        <stp/>
        <tr r="K290" s="1"/>
      </tp>
      <tp>
        <v>-160</v>
        <stp/>
        <stp>P</stp>
        <stp>0</stp>
        <stp>STK</stp>
        <stp>N084010</stp>
        <stp>전일대비</stp>
        <stp/>
        <stp/>
        <tr r="K687" s="1"/>
      </tp>
      <tp>
        <v>-40</v>
        <stp/>
        <stp>P</stp>
        <stp>0</stp>
        <stp>STK</stp>
        <stp>N114090</stp>
        <stp>전일대비</stp>
        <stp/>
        <stp/>
        <tr r="K354" s="1"/>
      </tp>
      <tp>
        <v>-100</v>
        <stp/>
        <stp>P</stp>
        <stp>0</stp>
        <stp>STK</stp>
        <stp>N034120</stp>
        <stp>전일대비</stp>
        <stp/>
        <stp/>
        <tr r="K584" s="1"/>
      </tp>
      <tp>
        <v>-800</v>
        <stp/>
        <stp>P</stp>
        <stp>0</stp>
        <stp>STK</stp>
        <stp>N304100</stp>
        <stp>전일대비</stp>
        <stp/>
        <stp/>
        <tr r="K594" s="1"/>
      </tp>
      <tp>
        <v>0</v>
        <stp/>
        <stp>P</stp>
        <stp>0</stp>
        <stp>STK</stp>
        <stp>N024110</stp>
        <stp>전일대비</stp>
        <stp/>
        <stp/>
        <tr r="K55" s="1"/>
      </tp>
      <tp>
        <v>600</v>
        <stp/>
        <stp>P</stp>
        <stp>0</stp>
        <stp>STK</stp>
        <stp>N084110</stp>
        <stp>전일대비</stp>
        <stp/>
        <stp/>
        <tr r="K426" s="1"/>
      </tp>
      <tp>
        <v>-250</v>
        <stp/>
        <stp>P</stp>
        <stp>0</stp>
        <stp>STK</stp>
        <stp>N484120</stp>
        <stp>전일대비</stp>
        <stp/>
        <stp/>
        <tr r="K674" s="1"/>
      </tp>
      <tp>
        <v>-4500</v>
        <stp/>
        <stp>P</stp>
        <stp>0</stp>
        <stp>STK</stp>
        <stp>N494120</stp>
        <stp>전일대비</stp>
        <stp/>
        <stp/>
        <tr r="K529" s="1"/>
      </tp>
      <tp>
        <v>-2000</v>
        <stp/>
        <stp>P</stp>
        <stp>0</stp>
        <stp>STK</stp>
        <stp>N004170</stp>
        <stp>전일대비</stp>
        <stp/>
        <stp/>
        <tr r="K163" s="1"/>
      </tp>
      <tp>
        <v>700</v>
        <stp/>
        <stp>P</stp>
        <stp>0</stp>
        <stp>STK</stp>
        <stp>N214150</stp>
        <stp>전일대비</stp>
        <stp/>
        <stp/>
        <tr r="K132" s="1"/>
      </tp>
      <tp>
        <v>-50</v>
        <stp/>
        <stp>P</stp>
        <stp>0</stp>
        <stp>STK</stp>
        <stp>N094170</stp>
        <stp>전일대비</stp>
        <stp/>
        <stp/>
        <tr r="K439" s="1"/>
      </tp>
      <tp>
        <v>-380</v>
        <stp/>
        <stp>P</stp>
        <stp>0</stp>
        <stp>STK</stp>
        <stp>N114190</stp>
        <stp>전일대비</stp>
        <stp/>
        <stp/>
        <tr r="K566" s="1"/>
      </tp>
      <tp>
        <v>-430</v>
        <stp/>
        <stp>P</stp>
        <stp>0</stp>
        <stp>STK</stp>
        <stp>N064820</stp>
        <stp>전일대비</stp>
        <stp/>
        <stp/>
        <tr r="K551" s="1"/>
      </tp>
      <tp>
        <v>-1100</v>
        <stp/>
        <stp>P</stp>
        <stp>0</stp>
        <stp>STK</stp>
        <stp>N104830</stp>
        <stp>전일대비</stp>
        <stp/>
        <stp/>
        <tr r="K507" s="1"/>
      </tp>
      <tp>
        <v>200</v>
        <stp/>
        <stp>P</stp>
        <stp>0</stp>
        <stp>STK</stp>
        <stp>N014820</stp>
        <stp>전일대비</stp>
        <stp/>
        <stp/>
        <tr r="K384" s="1"/>
      </tp>
      <tp>
        <v>-120</v>
        <stp/>
        <stp>P</stp>
        <stp>0</stp>
        <stp>STK</stp>
        <stp>N424870</stp>
        <stp>전일대비</stp>
        <stp/>
        <stp/>
        <tr r="K356" s="1"/>
      </tp>
      <tp>
        <v>-2400</v>
        <stp/>
        <stp>P</stp>
        <stp>0</stp>
        <stp>STK</stp>
        <stp>N014830</stp>
        <stp>전일대비</stp>
        <stp/>
        <stp/>
        <tr r="K487" s="1"/>
      </tp>
      <tp>
        <v>5500</v>
        <stp/>
        <stp>P</stp>
        <stp>0</stp>
        <stp>STK</stp>
        <stp>N484870</stp>
        <stp>전일대비</stp>
        <stp/>
        <stp/>
        <tr r="K259" s="1"/>
      </tp>
      <tp>
        <v>640</v>
        <stp/>
        <stp>P</stp>
        <stp>0</stp>
        <stp>STK</stp>
        <stp>N394800</stp>
        <stp>전일대비</stp>
        <stp/>
        <stp/>
        <tr r="K498" s="1"/>
      </tp>
      <tp>
        <v>-6100</v>
        <stp/>
        <stp>P</stp>
        <stp>0</stp>
        <stp>STK</stp>
        <stp>N004800</stp>
        <stp>전일대비</stp>
        <stp/>
        <stp/>
        <tr r="K177" s="1"/>
      </tp>
      <tp>
        <v>190</v>
        <stp/>
        <stp>P</stp>
        <stp>0</stp>
        <stp>STK</stp>
        <stp>N114810</stp>
        <stp>전일대비</stp>
        <stp/>
        <stp/>
        <tr r="K606" s="1"/>
      </tp>
      <tp>
        <v>-300</v>
        <stp/>
        <stp>P</stp>
        <stp>0</stp>
        <stp>STK</stp>
        <stp>N344820</stp>
        <stp>전일대비</stp>
        <stp/>
        <stp/>
        <tr r="K519" s="1"/>
      </tp>
      <tp>
        <v>-240</v>
        <stp/>
        <stp>P</stp>
        <stp>0</stp>
        <stp>STK</stp>
        <stp>N114840</stp>
        <stp>전일대비</stp>
        <stp/>
        <stp/>
        <tr r="K664" s="1"/>
      </tp>
      <tp>
        <v>-590</v>
        <stp/>
        <stp>P</stp>
        <stp>0</stp>
        <stp>STK</stp>
        <stp>N084850</stp>
        <stp>전일대비</stp>
        <stp/>
        <stp/>
        <tr r="K698" s="1"/>
      </tp>
      <tp>
        <v>650</v>
        <stp/>
        <stp>P</stp>
        <stp>0</stp>
        <stp>STK</stp>
        <stp>N484810</stp>
        <stp>전일대비</stp>
        <stp/>
        <stp/>
        <tr r="K562" s="1"/>
      </tp>
      <tp>
        <v>-250</v>
        <stp/>
        <stp>P</stp>
        <stp>0</stp>
        <stp>STK</stp>
        <stp>N294870</stp>
        <stp>전일대비</stp>
        <stp/>
        <stp/>
        <tr r="K267" s="1"/>
      </tp>
      <tp>
        <v>-480</v>
        <stp/>
        <stp>P</stp>
        <stp>0</stp>
        <stp>STK</stp>
        <stp>N314930</stp>
        <stp>전일대비</stp>
        <stp/>
        <stp/>
        <tr r="K576" s="1"/>
      </tp>
      <tp>
        <v>-250</v>
        <stp/>
        <stp>P</stp>
        <stp>0</stp>
        <stp>STK</stp>
        <stp>N064960</stp>
        <stp>전일대비</stp>
        <stp/>
        <stp/>
        <tr r="K302" s="1"/>
      </tp>
      <tp>
        <v>-170</v>
        <stp/>
        <stp>P</stp>
        <stp>0</stp>
        <stp>STK</stp>
        <stp>N014940</stp>
        <stp>전일대비</stp>
        <stp/>
        <stp/>
        <tr r="K553" s="1"/>
      </tp>
      <tp>
        <v>-350</v>
        <stp/>
        <stp>P</stp>
        <stp>0</stp>
        <stp>STK</stp>
        <stp>N054950</stp>
        <stp>전일대비</stp>
        <stp/>
        <stp/>
        <tr r="K617" s="1"/>
      </tp>
      <tp>
        <v>300</v>
        <stp/>
        <stp>P</stp>
        <stp>0</stp>
        <stp>STK</stp>
        <stp>N454910</stp>
        <stp>전일대비</stp>
        <stp/>
        <stp/>
        <tr r="K90" s="1"/>
      </tp>
      <tp>
        <v>-600</v>
        <stp/>
        <stp>P</stp>
        <stp>0</stp>
        <stp>STK</stp>
        <stp>N034950</stp>
        <stp>전일대비</stp>
        <stp/>
        <stp/>
        <tr r="K511" s="1"/>
      </tp>
      <tp>
        <v>-120</v>
        <stp/>
        <stp>P</stp>
        <stp>0</stp>
        <stp>STK</stp>
        <stp>N004980</stp>
        <stp>전일대비</stp>
        <stp/>
        <stp/>
        <tr r="K692" s="1"/>
      </tp>
      <tp>
        <v>-400</v>
        <stp/>
        <stp>P</stp>
        <stp>0</stp>
        <stp>STK</stp>
        <stp>N004990</stp>
        <stp>전일대비</stp>
        <stp/>
        <stp/>
        <tr r="K153" s="1"/>
      </tp>
      <tp>
        <v>-2200</v>
        <stp/>
        <stp>P</stp>
        <stp>0</stp>
        <stp>STK</stp>
        <stp>N007660</stp>
        <stp>전일대비</stp>
        <stp/>
        <stp/>
        <tr r="K89" s="1"/>
      </tp>
      <tp>
        <v>-1350</v>
        <stp/>
        <stp>P</stp>
        <stp>0</stp>
        <stp>STK</stp>
        <stp>N017670</stp>
        <stp>전일대비</stp>
        <stp/>
        <stp/>
        <tr r="K66" s="1"/>
      </tp>
      <tp>
        <v>-1950</v>
        <stp/>
        <stp>P</stp>
        <stp>0</stp>
        <stp>STK</stp>
        <stp>N107640</stp>
        <stp>전일대비</stp>
        <stp/>
        <stp/>
        <tr r="K527" s="1"/>
      </tp>
      <tp>
        <v>-4800</v>
        <stp/>
        <stp>P</stp>
        <stp>0</stp>
        <stp>STK</stp>
        <stp>N237690</stp>
        <stp>전일대비</stp>
        <stp/>
        <stp/>
        <tr r="K185" s="1"/>
      </tp>
      <tp>
        <v>-650</v>
        <stp/>
        <stp>P</stp>
        <stp>0</stp>
        <stp>STK</stp>
        <stp>N007690</stp>
        <stp>전일대비</stp>
        <stp/>
        <stp/>
        <tr r="K589" s="1"/>
      </tp>
      <tp>
        <v>150</v>
        <stp/>
        <stp>P</stp>
        <stp>0</stp>
        <stp>STK</stp>
        <stp>N117730</stp>
        <stp>전일대비</stp>
        <stp/>
        <stp/>
        <tr r="K414" s="1"/>
      </tp>
      <tp>
        <v>-400</v>
        <stp/>
        <stp>P</stp>
        <stp>0</stp>
        <stp>STK</stp>
        <stp>N257720</stp>
        <stp>전일대비</stp>
        <stp/>
        <stp/>
        <tr r="K159" s="1"/>
      </tp>
      <tp>
        <v>-450</v>
        <stp/>
        <stp>P</stp>
        <stp>0</stp>
        <stp>STK</stp>
        <stp>N007700</stp>
        <stp>전일대비</stp>
        <stp/>
        <stp/>
        <tr r="K365" s="1"/>
      </tp>
      <tp>
        <v>-100</v>
        <stp/>
        <stp>P</stp>
        <stp>0</stp>
        <stp>STK</stp>
        <stp>N037710</stp>
        <stp>전일대비</stp>
        <stp/>
        <stp/>
        <tr r="K676" s="1"/>
      </tp>
      <tp>
        <v>-1800</v>
        <stp/>
        <stp>P</stp>
        <stp>0</stp>
        <stp>STK</stp>
        <stp>N437730</stp>
        <stp>전일대비</stp>
        <stp/>
        <stp/>
        <tr r="K195" s="1"/>
      </tp>
      <tp>
        <v>-42500</v>
        <stp/>
        <stp>P</stp>
        <stp>0</stp>
        <stp>STK</stp>
        <stp>N357780</stp>
        <stp>전일대비</stp>
        <stp/>
        <stp/>
        <tr r="K170" s="1"/>
      </tp>
      <tp>
        <v>2900</v>
        <stp/>
        <stp>P</stp>
        <stp>0</stp>
        <stp>STK</stp>
        <stp>N137400</stp>
        <stp>전일대비</stp>
        <stp/>
        <stp/>
        <tr r="K325" s="1"/>
      </tp>
      <tp>
        <v>-900</v>
        <stp/>
        <stp>P</stp>
        <stp>0</stp>
        <stp>STK</stp>
        <stp>N317450</stp>
        <stp>전일대비</stp>
        <stp/>
        <stp/>
        <tr r="K342" s="1"/>
      </tp>
      <tp>
        <v>-750</v>
        <stp/>
        <stp>P</stp>
        <stp>0</stp>
        <stp>STK</stp>
        <stp>N097520</stp>
        <stp>전일대비</stp>
        <stp/>
        <stp/>
        <tr r="K450" s="1"/>
      </tp>
      <tp>
        <v>1000</v>
        <stp/>
        <stp>P</stp>
        <stp>0</stp>
        <stp>STK</stp>
        <stp>N247540</stp>
        <stp>전일대비</stp>
        <stp/>
        <stp/>
        <tr r="K57" s="1"/>
      </tp>
      <tp>
        <v>-2200</v>
        <stp/>
        <stp>P</stp>
        <stp>0</stp>
        <stp>STK</stp>
        <stp>N357550</stp>
        <stp>전일대비</stp>
        <stp/>
        <stp/>
        <tr r="K612" s="1"/>
      </tp>
      <tp>
        <v>-180</v>
        <stp/>
        <stp>P</stp>
        <stp>0</stp>
        <stp>STK</stp>
        <stp>N217590</stp>
        <stp>전일대비</stp>
        <stp/>
        <stp/>
        <tr r="K545" s="1"/>
      </tp>
      <tp>
        <v>-600</v>
        <stp/>
        <stp>P</stp>
        <stp>0</stp>
        <stp>STK</stp>
        <stp>N097230</stp>
        <stp>전일대비</stp>
        <stp/>
        <stp/>
        <tr r="K198" s="1"/>
      </tp>
      <tp>
        <v>-4000</v>
        <stp/>
        <stp>P</stp>
        <stp>0</stp>
        <stp>STK</stp>
        <stp>N267250</stp>
        <stp>전일대비</stp>
        <stp/>
        <stp/>
        <tr r="K44" s="1"/>
      </tp>
      <tp>
        <v>-27000</v>
        <stp/>
        <stp>P</stp>
        <stp>0</stp>
        <stp>STK</stp>
        <stp>N267260</stp>
        <stp>전일대비</stp>
        <stp/>
        <stp/>
        <tr r="K29" s="1"/>
      </tp>
      <tp>
        <v>-80</v>
        <stp/>
        <stp>P</stp>
        <stp>0</stp>
        <stp>STK</stp>
        <stp>N417200</stp>
        <stp>전일대비</stp>
        <stp/>
        <stp/>
        <tr r="K336" s="1"/>
      </tp>
      <tp>
        <v>-300</v>
        <stp/>
        <stp>P</stp>
        <stp>0</stp>
        <stp>STK</stp>
        <stp>N267270</stp>
        <stp>전일대비</stp>
        <stp/>
        <stp/>
        <tr r="K216" s="1"/>
      </tp>
      <tp>
        <v>900</v>
        <stp/>
        <stp>P</stp>
        <stp>0</stp>
        <stp>STK</stp>
        <stp>N377300</stp>
        <stp>전일대비</stp>
        <stp/>
        <stp/>
        <tr r="K95" s="1"/>
      </tp>
      <tp>
        <v>20</v>
        <stp/>
        <stp>P</stp>
        <stp>0</stp>
        <stp>STK</stp>
        <stp>N137310</stp>
        <stp>전일대비</stp>
        <stp/>
        <stp/>
        <tr r="K315" s="1"/>
      </tp>
      <tp>
        <v>0</v>
        <stp/>
        <stp>P</stp>
        <stp>0</stp>
        <stp>STK</stp>
        <stp>N317330</stp>
        <stp>전일대비</stp>
        <stp/>
        <stp/>
        <tr r="K577" s="1"/>
      </tp>
      <tp>
        <v>150</v>
        <stp/>
        <stp>P</stp>
        <stp>0</stp>
        <stp>STK</stp>
        <stp>N067310</stp>
        <stp>전일대비</stp>
        <stp/>
        <stp/>
        <tr r="K233" s="1"/>
      </tp>
      <tp>
        <v>-1500</v>
        <stp/>
        <stp>P</stp>
        <stp>0</stp>
        <stp>STK</stp>
        <stp>N007310</stp>
        <stp>전일대비</stp>
        <stp/>
        <stp/>
        <tr r="K247" s="1"/>
      </tp>
      <tp>
        <v>-300</v>
        <stp/>
        <stp>P</stp>
        <stp>0</stp>
        <stp>STK</stp>
        <stp>N007340</stp>
        <stp>전일대비</stp>
        <stp/>
        <stp/>
        <tr r="K254" s="1"/>
      </tp>
      <tp>
        <v>-400</v>
        <stp/>
        <stp>P</stp>
        <stp>0</stp>
        <stp>STK</stp>
        <stp>N007390</stp>
        <stp>전일대비</stp>
        <stp/>
        <stp/>
        <tr r="K275" s="1"/>
      </tp>
      <tp>
        <v>-1100</v>
        <stp/>
        <stp>P</stp>
        <stp>0</stp>
        <stp>STK</stp>
        <stp>N017390</stp>
        <stp>전일대비</stp>
        <stp/>
        <stp/>
        <tr r="K604" s="1"/>
      </tp>
      <tp>
        <v>3500</v>
        <stp/>
        <stp>P</stp>
        <stp>0</stp>
        <stp>STK</stp>
        <stp>N397030</stp>
        <stp>전일대비</stp>
        <stp/>
        <stp/>
        <tr r="K296" s="1"/>
      </tp>
      <tp>
        <v>2000</v>
        <stp/>
        <stp>P</stp>
        <stp>0</stp>
        <stp>STK</stp>
        <stp>N087010</stp>
        <stp>전일대비</stp>
        <stp/>
        <stp/>
        <tr r="K111" s="1"/>
      </tp>
      <tp>
        <v>-50</v>
        <stp/>
        <stp>P</stp>
        <stp>0</stp>
        <stp>STK</stp>
        <stp>N007070</stp>
        <stp>전일대비</stp>
        <stp/>
        <stp/>
        <tr r="K235" s="1"/>
      </tp>
      <tp>
        <v>-160</v>
        <stp/>
        <stp>P</stp>
        <stp>0</stp>
        <stp>STK</stp>
        <stp>N047040</stp>
        <stp>전일대비</stp>
        <stp/>
        <stp/>
        <tr r="K211" s="1"/>
      </tp>
      <tp>
        <v>-200</v>
        <stp/>
        <stp>P</stp>
        <stp>0</stp>
        <stp>STK</stp>
        <stp>N047050</stp>
        <stp>전일대비</stp>
        <stp/>
        <stp/>
        <tr r="K71" s="1"/>
      </tp>
      <tp>
        <v>-500</v>
        <stp/>
        <stp>P</stp>
        <stp>0</stp>
        <stp>STK</stp>
        <stp>N057050</stp>
        <stp>전일대비</stp>
        <stp/>
        <stp/>
        <tr r="K413" s="1"/>
      </tp>
      <tp>
        <v>-415</v>
        <stp/>
        <stp>P</stp>
        <stp>0</stp>
        <stp>STK</stp>
        <stp>N067080</stp>
        <stp>전일대비</stp>
        <stp/>
        <stp/>
        <tr r="K623" s="1"/>
      </tp>
      <tp>
        <v>250</v>
        <stp/>
        <stp>P</stp>
        <stp>0</stp>
        <stp>STK</stp>
        <stp>N127120</stp>
        <stp>전일대비</stp>
        <stp/>
        <stp/>
        <tr r="K405" s="1"/>
      </tp>
      <tp>
        <v>-2300</v>
        <stp/>
        <stp>P</stp>
        <stp>0</stp>
        <stp>STK</stp>
        <stp>N067160</stp>
        <stp>전일대비</stp>
        <stp/>
        <stp/>
        <tr r="K373" s="1"/>
      </tp>
      <tp>
        <v>100</v>
        <stp/>
        <stp>P</stp>
        <stp>0</stp>
        <stp>STK</stp>
        <stp>N007160</stp>
        <stp>전일대비</stp>
        <stp/>
        <stp/>
        <tr r="K652" s="1"/>
      </tp>
      <tp>
        <v>5600</v>
        <stp/>
        <stp>P</stp>
        <stp>0</stp>
        <stp>STK</stp>
        <stp>N457190</stp>
        <stp>전일대비</stp>
        <stp/>
        <stp/>
        <tr r="K162" s="1"/>
      </tp>
      <tp>
        <v>26000</v>
        <stp/>
        <stp>P</stp>
        <stp>0</stp>
        <stp>STK</stp>
        <stp>N277810</stp>
        <stp>전일대비</stp>
        <stp/>
        <stp/>
        <tr r="K74" s="1"/>
      </tp>
      <tp>
        <v>2000</v>
        <stp/>
        <stp>P</stp>
        <stp>0</stp>
        <stp>STK</stp>
        <stp>N017800</stp>
        <stp>전일대비</stp>
        <stp/>
        <stp/>
        <tr r="K140" s="1"/>
      </tp>
      <tp>
        <v>-300</v>
        <stp/>
        <stp>P</stp>
        <stp>0</stp>
        <stp>STK</stp>
        <stp>N047810</stp>
        <stp>전일대비</stp>
        <stp/>
        <stp/>
        <tr r="K56" s="1"/>
      </tp>
      <tp>
        <v>0</v>
        <stp/>
        <stp>P</stp>
        <stp>0</stp>
        <stp>STK</stp>
        <stp>N007810</stp>
        <stp>전일대비</stp>
        <stp/>
        <stp/>
        <tr r="K253" s="1"/>
      </tp>
      <tp>
        <v>-140</v>
        <stp/>
        <stp>P</stp>
        <stp>0</stp>
        <stp>STK</stp>
        <stp>N017810</stp>
        <stp>전일대비</stp>
        <stp/>
        <stp/>
        <tr r="K482" s="1"/>
      </tp>
      <tp>
        <v>-1000</v>
        <stp/>
        <stp>P</stp>
        <stp>0</stp>
        <stp>STK</stp>
        <stp>N347850</stp>
        <stp>전일대비</stp>
        <stp/>
        <stp/>
        <tr r="K141" s="1"/>
      </tp>
      <tp>
        <v>-380</v>
        <stp/>
        <stp>P</stp>
        <stp>0</stp>
        <stp>STK</stp>
        <stp>N017860</stp>
        <stp>전일대비</stp>
        <stp/>
        <stp/>
        <tr r="K597" s="1"/>
      </tp>
      <tp>
        <v>-500</v>
        <stp/>
        <stp>P</stp>
        <stp>0</stp>
        <stp>STK</stp>
        <stp>N287840</stp>
        <stp>전일대비</stp>
        <stp/>
        <stp/>
        <tr r="K383" s="1"/>
      </tp>
      <tp>
        <v>-100</v>
        <stp/>
        <stp>P</stp>
        <stp>0</stp>
        <stp>STK</stp>
        <stp>N237880</stp>
        <stp>전일대비</stp>
        <stp/>
        <stp/>
        <tr r="K693" s="1"/>
      </tp>
      <tp>
        <v>110</v>
        <stp/>
        <stp>P</stp>
        <stp>0</stp>
        <stp>STK</stp>
        <stp>N047920</stp>
        <stp>전일대비</stp>
        <stp/>
        <stp/>
        <tr r="K451" s="1"/>
      </tp>
      <tp>
        <v>-14000</v>
        <stp/>
        <stp>P</stp>
        <stp>0</stp>
        <stp>STK</stp>
        <stp>N207940</stp>
        <stp>전일대비</stp>
        <stp/>
        <stp/>
        <tr r="K13" s="1"/>
      </tp>
      <tp>
        <v>-6000</v>
        <stp/>
        <stp>P</stp>
        <stp>0</stp>
        <stp>STK</stp>
        <stp>N307950</stp>
        <stp>전일대비</stp>
        <stp/>
        <stp/>
        <tr r="K61" s="1"/>
      </tp>
      <tp>
        <v>-950</v>
        <stp/>
        <stp>P</stp>
        <stp>0</stp>
        <stp>STK</stp>
        <stp>N017960</stp>
        <stp>전일대비</stp>
        <stp/>
        <stp/>
        <tr r="K221" s="1"/>
      </tp>
      <tp>
        <v>-500</v>
        <stp/>
        <stp>P</stp>
        <stp>0</stp>
        <stp>STK</stp>
        <stp>N077970</stp>
        <stp>전일대비</stp>
        <stp/>
        <stp/>
        <tr r="K249" s="1"/>
      </tp>
      <tp>
        <v>-1500</v>
        <stp/>
        <stp>P</stp>
        <stp>0</stp>
        <stp>STK</stp>
        <stp>N017940</stp>
        <stp>전일대비</stp>
        <stp/>
        <stp/>
        <tr r="K447" s="1"/>
      </tp>
      <tp>
        <v>-2000</v>
        <stp/>
        <stp>P</stp>
        <stp>0</stp>
        <stp>STK</stp>
        <stp>N097950</stp>
        <stp>전일대비</stp>
        <stp/>
        <stp/>
        <tr r="K150" s="1"/>
      </tp>
      <tp>
        <v>0</v>
        <stp/>
        <stp>P</stp>
        <stp>0</stp>
        <stp>STK</stp>
        <stp>N267980</stp>
        <stp>전일대비</stp>
        <stp/>
        <stp/>
        <tr r="K658" s="1"/>
      </tp>
      <tp>
        <v>-330</v>
        <stp/>
        <stp>P</stp>
        <stp>0</stp>
        <stp>STK</stp>
        <stp>N036620</stp>
        <stp>전일대비</stp>
        <stp/>
        <stp/>
        <tr r="K481" s="1"/>
      </tp>
      <tp>
        <v>-290</v>
        <stp/>
        <stp>P</stp>
        <stp>0</stp>
        <stp>STK</stp>
        <stp>N016610</stp>
        <stp>전일대비</stp>
        <stp/>
        <stp/>
        <tr r="K486" s="1"/>
      </tp>
      <tp>
        <v>-220</v>
        <stp/>
        <stp>P</stp>
        <stp>0</stp>
        <stp>STK</stp>
        <stp>N206640</stp>
        <stp>전일대비</stp>
        <stp/>
        <stp/>
        <tr r="K632" s="1"/>
      </tp>
      <tp>
        <v>160</v>
        <stp/>
        <stp>P</stp>
        <stp>0</stp>
        <stp>STK</stp>
        <stp>N206650</stp>
        <stp>전일대비</stp>
        <stp/>
        <stp/>
        <tr r="K534" s="1"/>
      </tp>
      <tp>
        <v>-2300</v>
        <stp/>
        <stp>P</stp>
        <stp>0</stp>
        <stp>STK</stp>
        <stp>N006650</stp>
        <stp>전일대비</stp>
        <stp/>
        <stp/>
        <tr r="K309" s="1"/>
      </tp>
      <tp>
        <v>-230</v>
        <stp/>
        <stp>P</stp>
        <stp>0</stp>
        <stp>STK</stp>
        <stp>N356680</stp>
        <stp>전일대비</stp>
        <stp/>
        <stp/>
        <tr r="K697" s="1"/>
      </tp>
      <tp>
        <v>-600</v>
        <stp/>
        <stp>P</stp>
        <stp>0</stp>
        <stp>STK</stp>
        <stp>N126720</stp>
        <stp>전일대비</stp>
        <stp/>
        <stp/>
        <tr r="K547" s="1"/>
      </tp>
      <tp>
        <v>640</v>
        <stp/>
        <stp>P</stp>
        <stp>0</stp>
        <stp>STK</stp>
        <stp>N006730</stp>
        <stp>전일대비</stp>
        <stp/>
        <stp/>
        <tr r="K326" s="1"/>
      </tp>
      <tp>
        <v>-500</v>
        <stp/>
        <stp>P</stp>
        <stp>0</stp>
        <stp>STK</stp>
        <stp>N096770</stp>
        <stp>전일대비</stp>
        <stp/>
        <stp/>
        <tr r="K50" s="1"/>
      </tp>
      <tp>
        <v>320</v>
        <stp/>
        <stp>P</stp>
        <stp>0</stp>
        <stp>STK</stp>
        <stp>N176750</stp>
        <stp>전일대비</stp>
        <stp/>
        <stp/>
        <tr r="K678" s="1"/>
      </tp>
      <tp>
        <v>3900</v>
        <stp/>
        <stp>P</stp>
        <stp>0</stp>
        <stp>STK</stp>
        <stp>N086790</stp>
        <stp>전일대비</stp>
        <stp/>
        <stp/>
        <tr r="K32" s="1"/>
      </tp>
      <tp>
        <v>-6000</v>
        <stp/>
        <stp>P</stp>
        <stp>0</stp>
        <stp>STK</stp>
        <stp>N006400</stp>
        <stp>전일대비</stp>
        <stp/>
        <stp/>
        <tr r="K34" s="1"/>
      </tp>
      <tp>
        <v>-550</v>
        <stp/>
        <stp>P</stp>
        <stp>0</stp>
        <stp>STK</stp>
        <stp>N036460</stp>
        <stp>전일대비</stp>
        <stp/>
        <stp/>
        <tr r="K137" s="1"/>
      </tp>
      <tp>
        <v>-350</v>
        <stp/>
        <stp>P</stp>
        <stp>0</stp>
        <stp>STK</stp>
        <stp>N086450</stp>
        <stp>전일대비</stp>
        <stp/>
        <stp/>
        <tr r="K371" s="1"/>
      </tp>
      <tp>
        <v>9500</v>
        <stp/>
        <stp>P</stp>
        <stp>0</stp>
        <stp>STK</stp>
        <stp>N086520</stp>
        <stp>전일대비</stp>
        <stp/>
        <stp/>
        <tr r="K67" s="1"/>
      </tp>
      <tp>
        <v>-800</v>
        <stp/>
        <stp>P</stp>
        <stp>0</stp>
        <stp>STK</stp>
        <stp>N036530</stp>
        <stp>전일대비</stp>
        <stp/>
        <stp/>
        <tr r="K328" s="1"/>
      </tp>
      <tp>
        <v>-150</v>
        <stp/>
        <stp>P</stp>
        <stp>0</stp>
        <stp>STK</stp>
        <stp>N096530</stp>
        <stp>전일대비</stp>
        <stp/>
        <stp/>
        <tr r="K278" s="1"/>
      </tp>
      <tp>
        <v>0</v>
        <stp/>
        <stp>P</stp>
        <stp>0</stp>
        <stp>STK</stp>
        <stp>N066570</stp>
        <stp>전일대비</stp>
        <stp/>
        <stp/>
        <tr r="K48" s="1"/>
      </tp>
      <tp>
        <v>-8500</v>
        <stp/>
        <stp>P</stp>
        <stp>0</stp>
        <stp>STK</stp>
        <stp>N036570</stp>
        <stp>전일대비</stp>
        <stp/>
        <stp/>
        <tr r="K114" s="1"/>
      </tp>
      <tp>
        <v>-370</v>
        <stp/>
        <stp>P</stp>
        <stp>0</stp>
        <stp>STK</stp>
        <stp>N036540</stp>
        <stp>전일대비</stp>
        <stp/>
        <stp/>
        <tr r="K334" s="1"/>
      </tp>
      <tp>
        <v>-450</v>
        <stp/>
        <stp>P</stp>
        <stp>0</stp>
        <stp>STK</stp>
        <stp>N336570</stp>
        <stp>전일대비</stp>
        <stp/>
        <stp/>
        <tr r="K375" s="1"/>
      </tp>
      <tp>
        <v>410</v>
        <stp/>
        <stp>P</stp>
        <stp>0</stp>
        <stp>STK</stp>
        <stp>N016590</stp>
        <stp>전일대비</stp>
        <stp/>
        <stp/>
        <tr r="K465" s="1"/>
      </tp>
      <tp>
        <v>-250</v>
        <stp/>
        <stp>P</stp>
        <stp>0</stp>
        <stp>STK</stp>
        <stp>N236200</stp>
        <stp>전일대비</stp>
        <stp/>
        <stp/>
        <tr r="K667" s="1"/>
      </tp>
      <tp>
        <v>50</v>
        <stp/>
        <stp>P</stp>
        <stp>0</stp>
        <stp>STK</stp>
        <stp>N006220</stp>
        <stp>전일대비</stp>
        <stp/>
        <stp/>
        <tr r="K515" s="1"/>
      </tp>
      <tp>
        <v>-3300</v>
        <stp/>
        <stp>P</stp>
        <stp>0</stp>
        <stp>STK</stp>
        <stp>N306200</stp>
        <stp>전일대비</stp>
        <stp/>
        <stp/>
        <tr r="K592" s="1"/>
      </tp>
      <tp>
        <v>-300</v>
        <stp/>
        <stp>P</stp>
        <stp>0</stp>
        <stp>STK</stp>
        <stp>N036200</stp>
        <stp>전일대비</stp>
        <stp/>
        <stp/>
        <tr r="K629" s="1"/>
      </tp>
      <tp>
        <v>-16000</v>
        <stp/>
        <stp>P</stp>
        <stp>0</stp>
        <stp>STK</stp>
        <stp>N006260</stp>
        <stp>전일대비</stp>
        <stp/>
        <stp/>
        <tr r="K92" s="1"/>
      </tp>
      <tp>
        <v>-2900</v>
        <stp/>
        <stp>P</stp>
        <stp>0</stp>
        <stp>STK</stp>
        <stp>N376270</stp>
        <stp>전일대비</stp>
        <stp/>
        <stp/>
        <tr r="K555" s="1"/>
      </tp>
      <tp>
        <v>-800</v>
        <stp/>
        <stp>P</stp>
        <stp>0</stp>
        <stp>STK</stp>
        <stp>N336260</stp>
        <stp>전일대비</stp>
        <stp/>
        <stp/>
        <tr r="K186" s="1"/>
      </tp>
      <tp>
        <v>-2200</v>
        <stp/>
        <stp>P</stp>
        <stp>0</stp>
        <stp>STK</stp>
        <stp>N006280</stp>
        <stp>전일대비</stp>
        <stp/>
        <stp/>
        <tr r="K232" s="1"/>
      </tp>
      <tp>
        <v>5000</v>
        <stp/>
        <stp>P</stp>
        <stp>0</stp>
        <stp>STK</stp>
        <stp>N086280</stp>
        <stp>전일대비</stp>
        <stp/>
        <stp/>
        <tr r="K39" s="1"/>
      </tp>
      <tp>
        <v>-950</v>
        <stp/>
        <stp>P</stp>
        <stp>0</stp>
        <stp>STK</stp>
        <stp>N376300</stp>
        <stp>전일대비</stp>
        <stp/>
        <stp/>
        <tr r="K367" s="1"/>
      </tp>
      <tp>
        <v>-70</v>
        <stp/>
        <stp>P</stp>
        <stp>0</stp>
        <stp>STK</stp>
        <stp>N226320</stp>
        <stp>전일대비</stp>
        <stp/>
        <stp/>
        <tr r="K679" s="1"/>
      </tp>
      <tp>
        <v>-170</v>
        <stp/>
        <stp>P</stp>
        <stp>0</stp>
        <stp>STK</stp>
        <stp>N006360</stp>
        <stp>전일대비</stp>
        <stp/>
        <stp/>
        <tr r="K243" s="1"/>
      </tp>
      <tp>
        <v>-1800</v>
        <stp/>
        <stp>P</stp>
        <stp>0</stp>
        <stp>STK</stp>
        <stp>N016360</stp>
        <stp>전일대비</stp>
        <stp/>
        <stp/>
        <tr r="K91" s="1"/>
      </tp>
      <tp>
        <v>-190</v>
        <stp/>
        <stp>P</stp>
        <stp>0</stp>
        <stp>STK</stp>
        <stp>N336370</stp>
        <stp>전일대비</stp>
        <stp/>
        <stp/>
        <tr r="K460" s="1"/>
      </tp>
      <tp>
        <v>3500</v>
        <stp/>
        <stp>P</stp>
        <stp>0</stp>
        <stp>STK</stp>
        <stp>N126340</stp>
        <stp>전일대비</stp>
        <stp/>
        <stp/>
        <tr r="K434" s="1"/>
      </tp>
      <tp>
        <v>-40</v>
        <stp/>
        <stp>P</stp>
        <stp>0</stp>
        <stp>STK</stp>
        <stp>N086390</stp>
        <stp>전일대비</stp>
        <stp/>
        <stp/>
        <tr r="K677" s="1"/>
      </tp>
      <tp>
        <v>-170</v>
        <stp/>
        <stp>P</stp>
        <stp>0</stp>
        <stp>STK</stp>
        <stp>N476060</stp>
        <stp>전일대비</stp>
        <stp/>
        <stp/>
        <tr r="K343" s="1"/>
      </tp>
      <tp>
        <v>-300</v>
        <stp/>
        <stp>P</stp>
        <stp>0</stp>
        <stp>STK</stp>
        <stp>N456040</stp>
        <stp>전일대비</stp>
        <stp/>
        <stp/>
        <tr r="K412" s="1"/>
      </tp>
      <tp>
        <v>-2500</v>
        <stp/>
        <stp>P</stp>
        <stp>0</stp>
        <stp>STK</stp>
        <stp>N326030</stp>
        <stp>전일대비</stp>
        <stp/>
        <stp/>
        <tr r="K81" s="1"/>
      </tp>
      <tp>
        <v>-500</v>
        <stp/>
        <stp>P</stp>
        <stp>0</stp>
        <stp>STK</stp>
        <stp>N006040</stp>
        <stp>전일대비</stp>
        <stp/>
        <stp/>
        <tr r="K230" s="1"/>
      </tp>
      <tp>
        <v>-3000</v>
        <stp/>
        <stp>P</stp>
        <stp>0</stp>
        <stp>STK</stp>
        <stp>N166090</stp>
        <stp>전일대비</stp>
        <stp/>
        <stp/>
        <tr r="K303" s="1"/>
      </tp>
      <tp>
        <v>200</v>
        <stp/>
        <stp>P</stp>
        <stp>0</stp>
        <stp>STK</stp>
        <stp>N456160</stp>
        <stp>전일대비</stp>
        <stp/>
        <stp/>
        <tr r="K281" s="1"/>
      </tp>
      <tp>
        <v>-1900</v>
        <stp/>
        <stp>P</stp>
        <stp>0</stp>
        <stp>STK</stp>
        <stp>N006120</stp>
        <stp>전일대비</stp>
        <stp/>
        <stp/>
        <tr r="K294" s="1"/>
      </tp>
      <tp>
        <v>-2400</v>
        <stp/>
        <stp>P</stp>
        <stp>0</stp>
        <stp>STK</stp>
        <stp>N006110</stp>
        <stp>전일대비</stp>
        <stp/>
        <stp/>
        <tr r="K571" s="1"/>
      </tp>
      <tp>
        <v>-13000</v>
        <stp/>
        <stp>P</stp>
        <stp>0</stp>
        <stp>STK</stp>
        <stp>N196170</stp>
        <stp>전일대비</stp>
        <stp/>
        <stp/>
        <tr r="K45" s="1"/>
      </tp>
      <tp>
        <v>100</v>
        <stp/>
        <stp>P</stp>
        <stp>0</stp>
        <stp>STK</stp>
        <stp>N316140</stp>
        <stp>전일대비</stp>
        <stp/>
        <stp/>
        <tr r="K43" s="1"/>
      </tp>
      <tp>
        <v>2200</v>
        <stp/>
        <stp>P</stp>
        <stp>0</stp>
        <stp>STK</stp>
        <stp>N466100</stp>
        <stp>전일대비</stp>
        <stp/>
        <stp/>
        <tr r="K219" s="1"/>
      </tp>
      <tp>
        <v>-600</v>
        <stp/>
        <stp>P</stp>
        <stp>0</stp>
        <stp>STK</stp>
        <stp>N056190</stp>
        <stp>전일대비</stp>
        <stp/>
        <stp/>
        <tr r="K330" s="1"/>
      </tp>
      <tp>
        <v>150</v>
        <stp/>
        <stp>P</stp>
        <stp>0</stp>
        <stp>STK</stp>
        <stp>N416180</stp>
        <stp>전일대비</stp>
        <stp/>
        <stp/>
        <tr r="K637" s="1"/>
      </tp>
      <tp>
        <v>-3000</v>
        <stp/>
        <stp>P</stp>
        <stp>0</stp>
        <stp>STK</stp>
        <stp>N036830</stp>
        <stp>전일대비</stp>
        <stp/>
        <stp/>
        <tr r="K352" s="1"/>
      </tp>
      <tp>
        <v>-400</v>
        <stp/>
        <stp>P</stp>
        <stp>0</stp>
        <stp>STK</stp>
        <stp>N036800</stp>
        <stp>전일대비</stp>
        <stp/>
        <stp/>
        <tr r="K691" s="1"/>
      </tp>
      <tp>
        <v>-600</v>
        <stp/>
        <stp>P</stp>
        <stp>0</stp>
        <stp>STK</stp>
        <stp>N006800</stp>
        <stp>전일대비</stp>
        <stp/>
        <stp/>
        <tr r="K51" s="1"/>
      </tp>
      <tp>
        <v>600</v>
        <stp/>
        <stp>P</stp>
        <stp>0</stp>
        <stp>STK</stp>
        <stp>N016800</stp>
        <stp>전일대비</stp>
        <stp/>
        <stp/>
        <tr r="K478" s="1"/>
      </tp>
      <tp>
        <v>-1650</v>
        <stp/>
        <stp>P</stp>
        <stp>0</stp>
        <stp>STK</stp>
        <stp>N036810</stp>
        <stp>전일대비</stp>
        <stp/>
        <stp/>
        <tr r="K382" s="1"/>
      </tp>
      <tp>
        <v>-300</v>
        <stp/>
        <stp>P</stp>
        <stp>0</stp>
        <stp>STK</stp>
        <stp>N476830</stp>
        <stp>전일대비</stp>
        <stp/>
        <stp/>
        <tr r="K212" s="1"/>
      </tp>
      <tp>
        <v>2100</v>
        <stp/>
        <stp>P</stp>
        <stp>0</stp>
        <stp>STK</stp>
        <stp>N356860</stp>
        <stp>전일대비</stp>
        <stp/>
        <stp/>
        <tr r="K456" s="1"/>
      </tp>
      <tp>
        <v>-330</v>
        <stp/>
        <stp>P</stp>
        <stp>0</stp>
        <stp>STK</stp>
        <stp>N046890</stp>
        <stp>전일대비</stp>
        <stp/>
        <stp/>
        <tr r="K579" s="1"/>
      </tp>
      <tp>
        <v>-90</v>
        <stp/>
        <stp>P</stp>
        <stp>0</stp>
        <stp>STK</stp>
        <stp>N026890</stp>
        <stp>전일대비</stp>
        <stp/>
        <stp/>
        <tr r="K533" s="1"/>
      </tp>
      <tp>
        <v>-280</v>
        <stp/>
        <stp>P</stp>
        <stp>0</stp>
        <stp>STK</stp>
        <stp>N036890</stp>
        <stp>전일대비</stp>
        <stp/>
        <stp/>
        <tr r="K624" s="1"/>
      </tp>
      <tp>
        <v>1000</v>
        <stp/>
        <stp>P</stp>
        <stp>0</stp>
        <stp>STK</stp>
        <stp>N376900</stp>
        <stp>전일대비</stp>
        <stp/>
        <stp/>
        <tr r="K313" s="1"/>
      </tp>
      <tp>
        <v>1350</v>
        <stp/>
        <stp>P</stp>
        <stp>0</stp>
        <stp>STK</stp>
        <stp>N036930</stp>
        <stp>전일대비</stp>
        <stp/>
        <stp/>
        <tr r="K251" s="1"/>
      </tp>
      <tp>
        <v>-2700</v>
        <stp/>
        <stp>P</stp>
        <stp>0</stp>
        <stp>STK</stp>
        <stp>N086900</stp>
        <stp>전일대비</stp>
        <stp/>
        <stp/>
        <tr r="K341" s="1"/>
      </tp>
      <tp>
        <v>-300</v>
        <stp/>
        <stp>P</stp>
        <stp>0</stp>
        <stp>STK</stp>
        <stp>N026960</stp>
        <stp>전일대비</stp>
        <stp/>
        <stp/>
        <tr r="K175" s="1"/>
      </tp>
      <tp>
        <v>1100</v>
        <stp/>
        <stp>P</stp>
        <stp>0</stp>
        <stp>STK</stp>
        <stp>N286940</stp>
        <stp>전일대비</stp>
        <stp/>
        <stp/>
        <tr r="K596" s="1"/>
      </tp>
      <tp>
        <v>4900</v>
        <stp/>
        <stp>P</stp>
        <stp>0</stp>
        <stp>STK</stp>
        <stp>N066970</stp>
        <stp>전일대비</stp>
        <stp/>
        <stp/>
        <tr r="K118" s="1"/>
      </tp>
      <tp>
        <v>1500</v>
        <stp/>
        <stp>P</stp>
        <stp>0</stp>
        <stp>STK</stp>
        <stp>N226950</stp>
        <stp>전일대비</stp>
        <stp/>
        <stp/>
        <tr r="K189" s="1"/>
      </tp>
      <tp>
        <v>-1200</v>
        <stp/>
        <stp>P</stp>
        <stp>0</stp>
        <stp>STK</stp>
        <stp>N486990</stp>
        <stp>전일대비</stp>
        <stp/>
        <stp/>
        <tr r="K318" s="1"/>
      </tp>
      <tp>
        <v>-4100</v>
        <stp/>
        <stp>P</stp>
        <stp>0</stp>
        <stp>STK</stp>
        <stp>N069620</stp>
        <stp>전일대비</stp>
        <stp/>
        <stp/>
        <tr r="K220" s="1"/>
      </tp>
      <tp>
        <v>-1050</v>
        <stp/>
        <stp>P</stp>
        <stp>0</stp>
        <stp>STK</stp>
        <stp>N229640</stp>
        <stp>전일대비</stp>
        <stp/>
        <stp/>
        <tr r="K292" s="1"/>
      </tp>
      <tp>
        <v>-1300</v>
        <stp/>
        <stp>P</stp>
        <stp>0</stp>
        <stp>STK</stp>
        <stp>N389650</stp>
        <stp>전일대비</stp>
        <stp/>
        <stp/>
        <tr r="K430" s="1"/>
      </tp>
      <tp>
        <v>-750</v>
        <stp/>
        <stp>P</stp>
        <stp>0</stp>
        <stp>STK</stp>
        <stp>N469610</stp>
        <stp>전일대비</stp>
        <stp/>
        <stp/>
        <tr r="K699" s="1"/>
      </tp>
      <tp>
        <v>300</v>
        <stp/>
        <stp>P</stp>
        <stp>0</stp>
        <stp>STK</stp>
        <stp>N319660</stp>
        <stp>전일대비</stp>
        <stp/>
        <stp/>
        <tr r="K287" s="1"/>
      </tp>
      <tp>
        <v>-110</v>
        <stp/>
        <stp>P</stp>
        <stp>0</stp>
        <stp>STK</stp>
        <stp>N009680</stp>
        <stp>전일대비</stp>
        <stp/>
        <stp/>
        <tr r="K635" s="1"/>
      </tp>
      <tp>
        <v>1700</v>
        <stp/>
        <stp>P</stp>
        <stp>0</stp>
        <stp>STK</stp>
        <stp>N309710</stp>
        <stp>전일대비</stp>
        <stp/>
        <stp/>
        <tr r="K517" s="1"/>
      </tp>
      <tp>
        <v>-3200</v>
        <stp/>
        <stp>P</stp>
        <stp>0</stp>
        <stp>STK</stp>
        <stp>N399720</stp>
        <stp>전일대비</stp>
        <stp/>
        <stp/>
        <tr r="K386" s="1"/>
      </tp>
      <tp>
        <v>-200</v>
        <stp/>
        <stp>P</stp>
        <stp>0</stp>
        <stp>STK</stp>
        <stp>N029780</stp>
        <stp>전일대비</stp>
        <stp/>
        <stp/>
        <tr r="K101" s="1"/>
      </tp>
      <tp>
        <v>-2000</v>
        <stp/>
        <stp>P</stp>
        <stp>0</stp>
        <stp>STK</stp>
        <stp>N489790</stp>
        <stp>전일대비</stp>
        <stp/>
        <stp/>
        <tr r="K173" s="1"/>
      </tp>
      <tp>
        <v>-800</v>
        <stp/>
        <stp>P</stp>
        <stp>0</stp>
        <stp>STK</stp>
        <stp>N499790</stp>
        <stp>전일대비</stp>
        <stp/>
        <stp/>
        <tr r="K362" s="1"/>
      </tp>
      <tp>
        <v>0</v>
        <stp/>
        <stp>P</stp>
        <stp>0</stp>
        <stp>STK</stp>
        <stp>N009420</stp>
        <stp>전일대비</stp>
        <stp/>
        <stp/>
        <tr r="K190" s="1"/>
      </tp>
      <tp>
        <v>-950</v>
        <stp/>
        <stp>P</stp>
        <stp>0</stp>
        <stp>STK</stp>
        <stp>N199430</stp>
        <stp>전일대비</stp>
        <stp/>
        <stp/>
        <tr r="K488" s="1"/>
      </tp>
      <tp>
        <v>-650</v>
        <stp/>
        <stp>P</stp>
        <stp>0</stp>
        <stp>STK</stp>
        <stp>N249420</stp>
        <stp>전일대비</stp>
        <stp/>
        <stp/>
        <tr r="K288" s="1"/>
      </tp>
      <tp>
        <v>-800</v>
        <stp/>
        <stp>P</stp>
        <stp>0</stp>
        <stp>STK</stp>
        <stp>N029460</stp>
        <stp>전일대비</stp>
        <stp/>
        <stp/>
        <tr r="K557" s="1"/>
      </tp>
      <tp>
        <v>-1550</v>
        <stp/>
        <stp>P</stp>
        <stp>0</stp>
        <stp>STK</stp>
        <stp>N039440</stp>
        <stp>전일대비</stp>
        <stp/>
        <stp/>
        <tr r="K497" s="1"/>
      </tp>
      <tp>
        <v>1100</v>
        <stp/>
        <stp>P</stp>
        <stp>0</stp>
        <stp>STK</stp>
        <stp>N389470</stp>
        <stp>전일대비</stp>
        <stp/>
        <stp/>
        <tr r="K329" s="1"/>
      </tp>
      <tp>
        <v>-700</v>
        <stp/>
        <stp>P</stp>
        <stp>0</stp>
        <stp>STK</stp>
        <stp>N009450</stp>
        <stp>전일대비</stp>
        <stp/>
        <stp/>
        <tr r="K351" s="1"/>
      </tp>
      <tp>
        <v>-11000</v>
        <stp/>
        <stp>P</stp>
        <stp>0</stp>
        <stp>STK</stp>
        <stp>N039490</stp>
        <stp>전일대비</stp>
        <stp/>
        <stp/>
        <tr r="K85" s="1"/>
      </tp>
      <tp>
        <v>-1300</v>
        <stp/>
        <stp>P</stp>
        <stp>0</stp>
        <stp>STK</stp>
        <stp>N139480</stp>
        <stp>전일대비</stp>
        <stp/>
        <stp/>
        <tr r="K194" s="1"/>
      </tp>
      <tp>
        <v>-20</v>
        <stp/>
        <stp>P</stp>
        <stp>0</stp>
        <stp>STK</stp>
        <stp>N009520</stp>
        <stp>전일대비</stp>
        <stp/>
        <stp/>
        <tr r="K366" s="1"/>
      </tp>
      <tp>
        <v>7500</v>
        <stp/>
        <stp>P</stp>
        <stp>0</stp>
        <stp>STK</stp>
        <stp>N029530</stp>
        <stp>전일대비</stp>
        <stp/>
        <stp/>
        <tr r="K502" s="1"/>
      </tp>
      <tp>
        <v>-550</v>
        <stp/>
        <stp>P</stp>
        <stp>0</stp>
        <stp>STK</stp>
        <stp>N419530</stp>
        <stp>전일대비</stp>
        <stp/>
        <stp/>
        <tr r="K580" s="1"/>
      </tp>
      <tp>
        <v>-3000</v>
        <stp/>
        <stp>P</stp>
        <stp>0</stp>
        <stp>STK</stp>
        <stp>N009540</stp>
        <stp>전일대비</stp>
        <stp/>
        <stp/>
        <tr r="K30" s="1"/>
      </tp>
      <tp>
        <v>-7000</v>
        <stp/>
        <stp>P</stp>
        <stp>0</stp>
        <stp>STK</stp>
        <stp>N079550</stp>
        <stp>전일대비</stp>
        <stp/>
        <stp/>
        <tr r="K69" s="1"/>
      </tp>
      <tp>
        <v>450</v>
        <stp/>
        <stp>P</stp>
        <stp>0</stp>
        <stp>STK</stp>
        <stp>N459510</stp>
        <stp>전일대비</stp>
        <stp/>
        <stp/>
        <tr r="K493" s="1"/>
      </tp>
      <tp>
        <v>-3600</v>
        <stp/>
        <stp>P</stp>
        <stp>0</stp>
        <stp>STK</stp>
        <stp>N439260</stp>
        <stp>전일대비</stp>
        <stp/>
        <stp/>
        <tr r="K172" s="1"/>
      </tp>
      <tp>
        <v>-1300</v>
        <stp/>
        <stp>P</stp>
        <stp>0</stp>
        <stp>STK</stp>
        <stp>N039200</stp>
        <stp>전일대비</stp>
        <stp/>
        <stp/>
        <tr r="K239" s="1"/>
      </tp>
      <tp>
        <v>-90</v>
        <stp/>
        <stp>P</stp>
        <stp>0</stp>
        <stp>STK</stp>
        <stp>N069260</stp>
        <stp>전일대비</stp>
        <stp/>
        <stp/>
        <tr r="K372" s="1"/>
      </tp>
      <tp>
        <v>-700</v>
        <stp/>
        <stp>P</stp>
        <stp>0</stp>
        <stp>STK</stp>
        <stp>N009240</stp>
        <stp>전일대비</stp>
        <stp/>
        <stp/>
        <tr r="K304" s="1"/>
      </tp>
      <tp>
        <v>-490</v>
        <stp/>
        <stp>P</stp>
        <stp>0</stp>
        <stp>STK</stp>
        <stp>N389260</stp>
        <stp>전일대비</stp>
        <stp/>
        <stp/>
        <tr r="K615" s="1"/>
      </tp>
      <tp>
        <v>-1100</v>
        <stp/>
        <stp>P</stp>
        <stp>0</stp>
        <stp>STK</stp>
        <stp>N189300</stp>
        <stp>전일대비</stp>
        <stp/>
        <stp/>
        <tr r="K359" s="1"/>
      </tp>
      <tp>
        <v>220</v>
        <stp/>
        <stp>P</stp>
        <stp>0</stp>
        <stp>STK</stp>
        <stp>N079370</stp>
        <stp>전일대비</stp>
        <stp/>
        <stp/>
        <tr r="K490" s="1"/>
      </tp>
      <tp>
        <v>-10000</v>
        <stp/>
        <stp>P</stp>
        <stp>0</stp>
        <stp>STK</stp>
        <stp>N039030</stp>
        <stp>전일대비</stp>
        <stp/>
        <stp/>
        <tr r="K139" s="1"/>
      </tp>
      <tp>
        <v>-500</v>
        <stp/>
        <stp>P</stp>
        <stp>0</stp>
        <stp>STK</stp>
        <stp>N089030</stp>
        <stp>전일대비</stp>
        <stp/>
        <stp/>
        <tr r="K250" s="1"/>
      </tp>
      <tp>
        <v>700</v>
        <stp/>
        <stp>P</stp>
        <stp>0</stp>
        <stp>STK</stp>
        <stp>N089010</stp>
        <stp>전일대비</stp>
        <stp/>
        <stp/>
        <tr r="K466" s="1"/>
      </tp>
      <tp>
        <v>-500</v>
        <stp/>
        <stp>P</stp>
        <stp>0</stp>
        <stp>STK</stp>
        <stp>N299030</stp>
        <stp>전일대비</stp>
        <stp/>
        <stp/>
        <tr r="K694" s="1"/>
      </tp>
      <tp>
        <v>-250</v>
        <stp/>
        <stp>P</stp>
        <stp>0</stp>
        <stp>STK</stp>
        <stp>N049070</stp>
        <stp>전일대비</stp>
        <stp/>
        <stp/>
        <tr r="K522" s="1"/>
      </tp>
      <tp>
        <v>-1510</v>
        <stp/>
        <stp>P</stp>
        <stp>0</stp>
        <stp>STK</stp>
        <stp>N069080</stp>
        <stp>전일대비</stp>
        <stp/>
        <stp/>
        <tr r="K526" s="1"/>
      </tp>
      <tp>
        <v>-330</v>
        <stp/>
        <stp>P</stp>
        <stp>0</stp>
        <stp>STK</stp>
        <stp>N059090</stp>
        <stp>전일대비</stp>
        <stp/>
        <stp/>
        <tr r="K518" s="1"/>
      </tp>
      <tp>
        <v>-270</v>
        <stp/>
        <stp>P</stp>
        <stp>0</stp>
        <stp>STK</stp>
        <stp>N439090</stp>
        <stp>전일대비</stp>
        <stp/>
        <stp/>
        <tr r="K695" s="1"/>
      </tp>
      <tp>
        <v>130</v>
        <stp/>
        <stp>P</stp>
        <stp>0</stp>
        <stp>STK</stp>
        <stp>N139130</stp>
        <stp>전일대비</stp>
        <stp/>
        <stp/>
        <tr r="K196" s="1"/>
      </tp>
      <tp>
        <v>-500</v>
        <stp/>
        <stp>P</stp>
        <stp>0</stp>
        <stp>STK</stp>
        <stp>N039130</stp>
        <stp>전일대비</stp>
        <stp/>
        <stp/>
        <tr r="K388" s="1"/>
      </tp>
      <tp>
        <v>-100</v>
        <stp/>
        <stp>P</stp>
        <stp>0</stp>
        <stp>STK</stp>
        <stp>N019170</stp>
        <stp>전일대비</stp>
        <stp/>
        <stp/>
        <tr r="K411" s="1"/>
      </tp>
      <tp>
        <v>10000</v>
        <stp/>
        <stp>P</stp>
        <stp>0</stp>
        <stp>STK</stp>
        <stp>N009150</stp>
        <stp>전일대비</stp>
        <stp/>
        <stp/>
        <tr r="K42" s="1"/>
      </tp>
      <tp>
        <v>-7000</v>
        <stp/>
        <stp>P</stp>
        <stp>0</stp>
        <stp>STK</stp>
        <stp>N329180</stp>
        <stp>전일대비</stp>
        <stp/>
        <stp/>
        <tr r="K16" s="1"/>
      </tp>
      <tp>
        <v>280</v>
        <stp/>
        <stp>P</stp>
        <stp>0</stp>
        <stp>STK</stp>
        <stp>N099190</stp>
        <stp>전일대비</stp>
        <stp/>
        <stp/>
        <tr r="K532" s="1"/>
      </tp>
      <tp>
        <v>-250</v>
        <stp/>
        <stp>P</stp>
        <stp>0</stp>
        <stp>STK</stp>
        <stp>N009830</stp>
        <stp>전일대비</stp>
        <stp/>
        <stp/>
        <tr r="K116" s="1"/>
      </tp>
      <tp>
        <v>800</v>
        <stp/>
        <stp>P</stp>
        <stp>0</stp>
        <stp>STK</stp>
        <stp>N199800</stp>
        <stp>전일대비</stp>
        <stp/>
        <stp/>
        <tr r="K474" s="1"/>
      </tp>
      <tp>
        <v>-450</v>
        <stp/>
        <stp>P</stp>
        <stp>0</stp>
        <stp>STK</stp>
        <stp>N089860</stp>
        <stp>전일대비</stp>
        <stp/>
        <stp/>
        <tr r="K300" s="1"/>
      </tp>
      <tp>
        <v>-40</v>
        <stp/>
        <stp>P</stp>
        <stp>0</stp>
        <stp>STK</stp>
        <stp>N039840</stp>
        <stp>전일대비</stp>
        <stp/>
        <stp/>
        <tr r="K696" s="1"/>
      </tp>
      <tp>
        <v>-1050</v>
        <stp/>
        <stp>P</stp>
        <stp>0</stp>
        <stp>STK</stp>
        <stp>N119850</stp>
        <stp>전일대비</stp>
        <stp/>
        <stp/>
        <tr r="K435" s="1"/>
      </tp>
      <tp>
        <v>-1700</v>
        <stp/>
        <stp>P</stp>
        <stp>0</stp>
        <stp>STK</stp>
        <stp>N089890</stp>
        <stp>전일대비</stp>
        <stp/>
        <stp/>
        <tr r="K523" s="1"/>
      </tp>
      <tp>
        <v>100</v>
        <stp/>
        <stp>P</stp>
        <stp>0</stp>
        <stp>STK</stp>
        <stp>N079900</stp>
        <stp>전일대비</stp>
        <stp/>
        <stp/>
        <tr r="K385" s="1"/>
      </tp>
      <tp>
        <v>-30</v>
        <stp/>
        <stp>P</stp>
        <stp>0</stp>
        <stp>STK</stp>
        <stp>N009900</stp>
        <stp>전일대비</stp>
        <stp/>
        <stp/>
        <tr r="K467" s="1"/>
      </tp>
      <tp>
        <v>-850</v>
        <stp/>
        <stp>P</stp>
        <stp>0</stp>
        <stp>STK</stp>
        <stp>N179900</stp>
        <stp>전일대비</stp>
        <stp/>
        <stp/>
        <tr r="K528" s="1"/>
      </tp>
      <tp>
        <v>500</v>
        <stp/>
        <stp>P</stp>
        <stp>0</stp>
        <stp>STK</stp>
        <stp>N069960</stp>
        <stp>전일대비</stp>
        <stp/>
        <stp/>
        <tr r="K206" s="1"/>
      </tp>
      <tp>
        <v>-1500</v>
        <stp/>
        <stp>P</stp>
        <stp>0</stp>
        <stp>STK</stp>
        <stp>N009970</stp>
        <stp>전일대비</stp>
        <stp/>
        <stp/>
        <tr r="K176" s="1"/>
      </tp>
      <tp>
        <v>-1350</v>
        <stp/>
        <stp>P</stp>
        <stp>0</stp>
        <stp>STK</stp>
        <stp>N089970</stp>
        <stp>전일대비</stp>
        <stp/>
        <stp/>
        <tr r="K409" s="1"/>
      </tp>
      <tp>
        <v>-700</v>
        <stp/>
        <stp>P</stp>
        <stp>0</stp>
        <stp>STK</stp>
        <stp>N079940</stp>
        <stp>전일대비</stp>
        <stp/>
        <stp/>
        <tr r="K520" s="1"/>
      </tp>
      <tp>
        <v>-5000</v>
        <stp/>
        <stp>P</stp>
        <stp>0</stp>
        <stp>STK</stp>
        <stp>N259960</stp>
        <stp>전일대비</stp>
        <stp/>
        <stp/>
        <tr r="K70" s="1"/>
      </tp>
      <tp>
        <v>-480</v>
        <stp/>
        <stp>P</stp>
        <stp>0</stp>
        <stp>STK</stp>
        <stp>N089980</stp>
        <stp>전일대비</stp>
        <stp/>
        <stp/>
        <tr r="K681" s="1"/>
      </tp>
      <tp>
        <v>1500</v>
        <stp/>
        <stp>P</stp>
        <stp>0</stp>
        <stp>STK</stp>
        <stp>N078600</stp>
        <stp>전일대비</stp>
        <stp/>
        <stp/>
        <tr r="K320" s="1"/>
      </tp>
      <tp>
        <v>-1050</v>
        <stp/>
        <stp>P</stp>
        <stp>0</stp>
        <stp>STK</stp>
        <stp>N138610</stp>
        <stp>전일대비</stp>
        <stp/>
        <stp/>
        <tr r="K548" s="1"/>
      </tp>
      <tp>
        <v>6600</v>
        <stp/>
        <stp>P</stp>
        <stp>0</stp>
        <stp>STK</stp>
        <stp>N058610</stp>
        <stp>전일대비</stp>
        <stp/>
        <stp/>
        <tr r="K181" s="1"/>
      </tp>
      <tp>
        <v>-300</v>
        <stp/>
        <stp>P</stp>
        <stp>0</stp>
        <stp>STK</stp>
        <stp>N108670</stp>
        <stp>전일대비</stp>
        <stp/>
        <stp/>
        <tr r="K668" s="1"/>
      </tp>
      <tp>
        <v>30</v>
        <stp/>
        <stp>P</stp>
        <stp>0</stp>
        <stp>STK</stp>
        <stp>N028670</stp>
        <stp>전일대비</stp>
        <stp/>
        <stp/>
        <tr r="K191" s="1"/>
      </tp>
      <tp>
        <v>-5000</v>
        <stp/>
        <stp>P</stp>
        <stp>0</stp>
        <stp>STK</stp>
        <stp>N018670</stp>
        <stp>전일대비</stp>
        <stp/>
        <stp/>
        <tr r="K209" s="1"/>
      </tp>
      <tp>
        <v>50</v>
        <stp/>
        <stp>P</stp>
        <stp>0</stp>
        <stp>STK</stp>
        <stp>N008730</stp>
        <stp>전일대비</stp>
        <stp/>
        <stp/>
        <tr r="K400" s="1"/>
      </tp>
      <tp>
        <v>-900</v>
        <stp/>
        <stp>P</stp>
        <stp>0</stp>
        <stp>STK</stp>
        <stp>N388720</stp>
        <stp>전일대비</stp>
        <stp/>
        <stp/>
        <tr r="K286" s="1"/>
      </tp>
      <tp>
        <v>-2400</v>
        <stp/>
        <stp>P</stp>
        <stp>0</stp>
        <stp>STK</stp>
        <stp>N068760</stp>
        <stp>전일대비</stp>
        <stp/>
        <stp/>
        <tr r="K171" s="1"/>
      </tp>
      <tp>
        <v>650</v>
        <stp/>
        <stp>P</stp>
        <stp>0</stp>
        <stp>STK</stp>
        <stp>N008770</stp>
        <stp>전일대비</stp>
        <stp/>
        <stp/>
        <tr r="K229" s="1"/>
      </tp>
      <tp>
        <v>-750</v>
        <stp/>
        <stp>P</stp>
        <stp>0</stp>
        <stp>STK</stp>
        <stp>N228760</stp>
        <stp>전일대비</stp>
        <stp/>
        <stp/>
        <tr r="K452" s="1"/>
      </tp>
      <tp>
        <v>650</v>
        <stp/>
        <stp>P</stp>
        <stp>0</stp>
        <stp>STK</stp>
        <stp>N218410</stp>
        <stp>전일대비</stp>
        <stp/>
        <stp/>
        <tr r="K327" s="1"/>
      </tp>
      <tp>
        <v>-1100</v>
        <stp/>
        <stp>P</stp>
        <stp>0</stp>
        <stp>STK</stp>
        <stp>N308430</stp>
        <stp>전일대비</stp>
        <stp/>
        <stp/>
        <tr r="K625" s="1"/>
      </tp>
      <tp>
        <v>0</v>
        <stp/>
        <stp>P</stp>
        <stp>0</stp>
        <stp>STK</stp>
        <stp>N048410</stp>
        <stp>전일대비</stp>
        <stp/>
        <stp/>
        <tr r="K455" s="1"/>
      </tp>
      <tp>
        <v>600</v>
        <stp/>
        <stp>P</stp>
        <stp>0</stp>
        <stp>STK</stp>
        <stp>N098460</stp>
        <stp>전일대비</stp>
        <stp/>
        <stp/>
        <tr r="K205" s="1"/>
      </tp>
      <tp>
        <v>-5800</v>
        <stp/>
        <stp>P</stp>
        <stp>0</stp>
        <stp>STK</stp>
        <stp>N058470</stp>
        <stp>전일대비</stp>
        <stp/>
        <stp/>
        <tr r="K112" s="1"/>
      </tp>
      <tp>
        <v>6000</v>
        <stp/>
        <stp>P</stp>
        <stp>0</stp>
        <stp>STK</stp>
        <stp>N278470</stp>
        <stp>전일대비</stp>
        <stp/>
        <stp/>
        <tr r="K77" s="1"/>
      </tp>
      <tp>
        <v>-590</v>
        <stp/>
        <stp>P</stp>
        <stp>0</stp>
        <stp>STK</stp>
        <stp>N138490</stp>
        <stp>전일대비</stp>
        <stp/>
        <stp/>
        <tr r="K611" s="1"/>
      </tp>
      <tp>
        <v>11000</v>
        <stp/>
        <stp>P</stp>
        <stp>0</stp>
        <stp>STK</stp>
        <stp>N108490</stp>
        <stp>전일대비</stp>
        <stp/>
        <stp/>
        <tr r="K135" s="1"/>
      </tp>
      <tp>
        <v>-500</v>
        <stp/>
        <stp>P</stp>
        <stp>0</stp>
        <stp>STK</stp>
        <stp>N008490</stp>
        <stp>전일대비</stp>
        <stp/>
        <stp/>
        <tr r="K689" s="1"/>
      </tp>
      <tp>
        <v>-10</v>
        <stp/>
        <stp>P</stp>
        <stp>0</stp>
        <stp>STK</stp>
        <stp>N078520</stp>
        <stp>전일대비</stp>
        <stp/>
        <stp/>
        <tr r="K673" s="1"/>
      </tp>
      <tp>
        <v>-700</v>
        <stp/>
        <stp>P</stp>
        <stp>0</stp>
        <stp>STK</stp>
        <stp>N468530</stp>
        <stp>전일대비</stp>
        <stp/>
        <stp/>
        <tr r="K340" s="1"/>
      </tp>
      <tp>
        <v>-830</v>
        <stp/>
        <stp>P</stp>
        <stp>0</stp>
        <stp>STK</stp>
        <stp>N358570</stp>
        <stp>전일대비</stp>
        <stp/>
        <stp/>
        <tr r="K339" s="1"/>
      </tp>
      <tp>
        <v>-4500</v>
        <stp/>
        <stp>P</stp>
        <stp>0</stp>
        <stp>STK</stp>
        <stp>N348210</stp>
        <stp>전일대비</stp>
        <stp/>
        <stp/>
        <tr r="K363" s="1"/>
      </tp>
      <tp>
        <v>-4500</v>
        <stp/>
        <stp>P</stp>
        <stp>0</stp>
        <stp>STK</stp>
        <stp>N388210</stp>
        <stp>전일대비</stp>
        <stp/>
        <stp/>
        <tr r="K305" s="1"/>
      </tp>
      <tp>
        <v>-750</v>
        <stp/>
        <stp>P</stp>
        <stp>0</stp>
        <stp>STK</stp>
        <stp>N338220</stp>
        <stp>전일대비</stp>
        <stp/>
        <stp/>
        <tr r="K646" s="1"/>
      </tp>
      <tp>
        <v>-1500</v>
        <stp/>
        <stp>P</stp>
        <stp>0</stp>
        <stp>STK</stp>
        <stp>N028260</stp>
        <stp>전일대비</stp>
        <stp/>
        <stp/>
        <tr r="K20" s="1"/>
      </tp>
      <tp>
        <v>-3200</v>
        <stp/>
        <stp>P</stp>
        <stp>0</stp>
        <stp>STK</stp>
        <stp>N018260</stp>
        <stp>전일대비</stp>
        <stp/>
        <stp/>
        <tr r="K63" s="1"/>
      </tp>
      <tp>
        <v>-2000</v>
        <stp/>
        <stp>P</stp>
        <stp>0</stp>
        <stp>STK</stp>
        <stp>N068270</stp>
        <stp>전일대비</stp>
        <stp/>
        <stp/>
        <tr r="K21" s="1"/>
      </tp>
      <tp>
        <v>-130</v>
        <stp/>
        <stp>P</stp>
        <stp>0</stp>
        <stp>STK</stp>
        <stp>N018250</stp>
        <stp>전일대비</stp>
        <stp/>
        <stp/>
        <tr r="K593" s="1"/>
      </tp>
      <tp>
        <v>-1800</v>
        <stp/>
        <stp>P</stp>
        <stp>0</stp>
        <stp>STK</stp>
        <stp>N268280</stp>
        <stp>전일대비</stp>
        <stp/>
        <stp/>
        <tr r="K391" s="1"/>
      </tp>
      <tp>
        <v>300</v>
        <stp/>
        <stp>P</stp>
        <stp>0</stp>
        <stp>STK</stp>
        <stp>N278280</stp>
        <stp>전일대비</stp>
        <stp/>
        <stp/>
        <tr r="K437" s="1"/>
      </tp>
      <tp>
        <v>100</v>
        <stp/>
        <stp>P</stp>
        <stp>0</stp>
        <stp>STK</stp>
        <stp>N018290</stp>
        <stp>전일대비</stp>
        <stp/>
        <stp/>
        <tr r="K442" s="1"/>
      </tp>
      <tp>
        <v>-130</v>
        <stp/>
        <stp>P</stp>
        <stp>0</stp>
        <stp>STK</stp>
        <stp>N448280</stp>
        <stp>전일대비</stp>
        <stp/>
        <stp/>
        <tr r="K641" s="1"/>
      </tp>
      <tp>
        <v>450</v>
        <stp/>
        <stp>P</stp>
        <stp>0</stp>
        <stp>STK</stp>
        <stp>N488280</stp>
        <stp>전일대비</stp>
        <stp/>
        <stp/>
        <tr r="K690" s="1"/>
      </tp>
      <tp>
        <v>-500</v>
        <stp/>
        <stp>P</stp>
        <stp>0</stp>
        <stp>STK</stp>
        <stp>N178320</stp>
        <stp>전일대비</stp>
        <stp/>
        <stp/>
        <tr r="K231" s="1"/>
      </tp>
      <tp>
        <v>-400</v>
        <stp/>
        <stp>P</stp>
        <stp>0</stp>
        <stp>STK</stp>
        <stp>N108320</stp>
        <stp>전일대비</stp>
        <stp/>
        <stp/>
        <tr r="K348" s="1"/>
      </tp>
      <tp>
        <v>-800</v>
        <stp/>
        <stp>P</stp>
        <stp>0</stp>
        <stp>STK</stp>
        <stp>N478340</stp>
        <stp>전일대비</stp>
        <stp/>
        <stp/>
        <tr r="K425" s="1"/>
      </tp>
      <tp>
        <v>800</v>
        <stp/>
        <stp>P</stp>
        <stp>0</stp>
        <stp>STK</stp>
        <stp>N028300</stp>
        <stp>전일대비</stp>
        <stp/>
        <stp/>
        <tr r="K96" s="1"/>
      </tp>
      <tp>
        <v>-260</v>
        <stp/>
        <stp>P</stp>
        <stp>0</stp>
        <stp>STK</stp>
        <stp>N018310</stp>
        <stp>전일대비</stp>
        <stp/>
        <stp/>
        <tr r="K647" s="1"/>
      </tp>
      <tp>
        <v>40</v>
        <stp/>
        <stp>P</stp>
        <stp>0</stp>
        <stp>STK</stp>
        <stp>N168360</stp>
        <stp>전일대비</stp>
        <stp/>
        <stp/>
        <tr r="K585" s="1"/>
      </tp>
      <tp>
        <v>-190</v>
        <stp/>
        <stp>P</stp>
        <stp>0</stp>
        <stp>STK</stp>
        <stp>N378340</stp>
        <stp>전일대비</stp>
        <stp/>
        <stp/>
        <tr r="K651" s="1"/>
      </tp>
      <tp>
        <v>-1050</v>
        <stp/>
        <stp>P</stp>
        <stp>0</stp>
        <stp>STK</stp>
        <stp>N078340</stp>
        <stp>전일대비</stp>
        <stp/>
        <stp/>
        <tr r="K543" s="1"/>
      </tp>
      <tp>
        <v>-4400</v>
        <stp/>
        <stp>P</stp>
        <stp>0</stp>
        <stp>STK</stp>
        <stp>N348370</stp>
        <stp>전일대비</stp>
        <stp/>
        <stp/>
        <tr r="K266" s="1"/>
      </tp>
      <tp>
        <v>-550</v>
        <stp/>
        <stp>P</stp>
        <stp>0</stp>
        <stp>STK</stp>
        <stp>N078350</stp>
        <stp>전일대비</stp>
        <stp/>
        <stp/>
        <tr r="K569" s="1"/>
      </tp>
      <tp>
        <v>20</v>
        <stp/>
        <stp>P</stp>
        <stp>0</stp>
        <stp>STK</stp>
        <stp>N088350</stp>
        <stp>전일대비</stp>
        <stp/>
        <stp/>
        <tr r="K164" s="1"/>
      </tp>
      <tp>
        <v>3300</v>
        <stp/>
        <stp>P</stp>
        <stp>0</stp>
        <stp>STK</stp>
        <stp>N298380</stp>
        <stp>전일대비</stp>
        <stp/>
        <stp/>
        <tr r="K76" s="1"/>
      </tp>
      <tp>
        <v>-650</v>
        <stp/>
        <stp>P</stp>
        <stp>0</stp>
        <stp>STK</stp>
        <stp>N108380</stp>
        <stp>전일대비</stp>
        <stp/>
        <stp/>
        <tr r="K672" s="1"/>
      </tp>
      <tp>
        <v>-10500</v>
        <stp/>
        <stp>P</stp>
        <stp>0</stp>
        <stp>STK</stp>
        <stp>N298020</stp>
        <stp>전일대비</stp>
        <stp/>
        <stp/>
        <tr r="K234" s="1"/>
      </tp>
      <tp>
        <v>110</v>
        <stp/>
        <stp>P</stp>
        <stp>0</stp>
        <stp>STK</stp>
        <stp>N008060</stp>
        <stp>전일대비</stp>
        <stp/>
        <stp/>
        <tr r="K588" s="1"/>
      </tp>
      <tp>
        <v>-200000</v>
        <stp/>
        <stp>P</stp>
        <stp>0</stp>
        <stp>STK</stp>
        <stp>N298040</stp>
        <stp>전일대비</stp>
        <stp/>
        <stp/>
        <tr r="K40" s="1"/>
      </tp>
      <tp>
        <v>-800</v>
        <stp/>
        <stp>P</stp>
        <stp>0</stp>
        <stp>STK</stp>
        <stp>N098070</stp>
        <stp>전일대비</stp>
        <stp/>
        <stp/>
        <tr r="K513" s="1"/>
      </tp>
      <tp>
        <v>-4500</v>
        <stp/>
        <stp>P</stp>
        <stp>0</stp>
        <stp>STK</stp>
        <stp>N298050</stp>
        <stp>전일대비</stp>
        <stp/>
        <stp/>
        <tr r="K321" s="1"/>
      </tp>
      <tp>
        <v>-240</v>
        <stp/>
        <stp>P</stp>
        <stp>0</stp>
        <stp>STK</stp>
        <stp>N248070</stp>
        <stp>전일대비</stp>
        <stp/>
        <stp/>
        <tr r="K380" s="1"/>
      </tp>
      <tp>
        <v>650</v>
        <stp/>
        <stp>P</stp>
        <stp>0</stp>
        <stp>STK</stp>
        <stp>N028050</stp>
        <stp>전일대비</stp>
        <stp/>
        <stp/>
        <tr r="K113" s="1"/>
      </tp>
      <tp>
        <v>3600</v>
        <stp/>
        <stp>P</stp>
        <stp>0</stp>
        <stp>STK</stp>
        <stp>N138040</stp>
        <stp>전일대비</stp>
        <stp/>
        <stp/>
        <tr r="K47" s="1"/>
      </tp>
      <tp>
        <v>-2100</v>
        <stp/>
        <stp>P</stp>
        <stp>0</stp>
        <stp>STK</stp>
        <stp>N328130</stp>
        <stp>전일대비</stp>
        <stp/>
        <stp/>
        <tr r="K298" s="1"/>
      </tp>
      <tp>
        <v>750</v>
        <stp/>
        <stp>P</stp>
        <stp>0</stp>
        <stp>STK</stp>
        <stp>N078160</stp>
        <stp>전일대비</stp>
        <stp/>
        <stp/>
        <tr r="K438" s="1"/>
      </tp>
      <tp>
        <v>0</v>
        <stp/>
        <stp>P</stp>
        <stp>0</stp>
        <stp>STK</stp>
        <stp>N458870</stp>
        <stp>전일대비</stp>
        <stp/>
        <stp/>
        <tr r="K224" s="1"/>
      </tp>
      <tp>
        <v>150</v>
        <stp/>
        <stp>P</stp>
        <stp>0</stp>
        <stp>STK</stp>
        <stp>N338840</stp>
        <stp>전일대비</stp>
        <stp/>
        <stp/>
        <tr r="K583" s="1"/>
      </tp>
      <tp>
        <v>-260</v>
        <stp/>
        <stp>P</stp>
        <stp>0</stp>
        <stp>STK</stp>
        <stp>N108860</stp>
        <stp>전일대비</stp>
        <stp/>
        <stp/>
        <tr r="K603" s="1"/>
      </tp>
      <tp>
        <v>-10</v>
        <stp/>
        <stp>P</stp>
        <stp>0</stp>
        <stp>STK</stp>
        <stp>N018880</stp>
        <stp>전일대비</stp>
        <stp/>
        <stp/>
        <tr r="K145" s="1"/>
      </tp>
      <tp>
        <v>250</v>
        <stp/>
        <stp>P</stp>
        <stp>0</stp>
        <stp>STK</stp>
        <stp>N138930</stp>
        <stp>전일대비</stp>
        <stp/>
        <stp/>
        <tr r="K115" s="1"/>
      </tp>
      <tp>
        <v>-1900</v>
        <stp/>
        <stp>P</stp>
        <stp>0</stp>
        <stp>STK</stp>
        <stp>N078930</stp>
        <stp>전일대비</stp>
        <stp/>
        <stp/>
        <tr r="K104" s="1"/>
      </tp>
      <tp>
        <v>-120</v>
        <stp/>
        <stp>P</stp>
        <stp>0</stp>
        <stp>STK</stp>
        <stp>N178920</stp>
        <stp>전일대비</stp>
        <stp/>
        <stp/>
        <tr r="K504" s="1"/>
      </tp>
      <tp>
        <v>-1600</v>
        <stp/>
        <stp>P</stp>
        <stp>0</stp>
        <stp>STK</stp>
        <stp>N008930</stp>
        <stp>전일대비</stp>
        <stp/>
        <stp/>
        <tr r="K168" s="1"/>
      </tp>
      <tp>
        <v>-1750</v>
        <stp/>
        <stp>P</stp>
        <stp>0</stp>
        <stp>STK</stp>
        <stp>N058970</stp>
        <stp>전일대비</stp>
        <stp/>
        <stp/>
        <tr r="K512" s="1"/>
      </tp>
      <tp>
        <v>-2700</v>
        <stp/>
        <stp>P</stp>
        <stp>0</stp>
        <stp>STK</stp>
        <stp>N448900</stp>
        <stp>전일대비</stp>
        <stp/>
        <stp/>
        <tr r="K489" s="1"/>
      </tp>
      <tp>
        <v>-8000</v>
        <stp/>
        <stp>P</stp>
        <stp>0</stp>
        <stp>STK</stp>
        <stp>N128940</stp>
        <stp>전일대비</stp>
        <stp/>
        <stp/>
        <tr r="K109" s="1"/>
      </tp>
      <tp>
        <v>18804874360</v>
        <stp/>
        <stp>P</stp>
        <stp>0</stp>
        <stp>STK</stp>
        <stp>N094480</stp>
        <stp>누적거래대금</stp>
        <stp/>
        <stp/>
        <tr r="N567" s="1"/>
      </tp>
      <tp>
        <v>13954597500</v>
        <stp/>
        <stp>P</stp>
        <stp>0</stp>
        <stp>STK</stp>
        <stp>N086280</stp>
        <stp>누적거래대금</stp>
        <stp/>
        <stp/>
        <tr r="N39" s="1"/>
      </tp>
      <tp>
        <v>51691950</v>
        <stp/>
        <stp>P</stp>
        <stp>0</stp>
        <stp>STK</stp>
        <stp>N183190</stp>
        <stp>누적거래대금</stp>
        <stp/>
        <stp/>
        <tr r="N516" s="1"/>
      </tp>
      <tp>
        <v>218602490</v>
        <stp/>
        <stp>P</stp>
        <stp>0</stp>
        <stp>STK</stp>
        <stp>N089980</stp>
        <stp>누적거래대금</stp>
        <stp/>
        <stp/>
        <tr r="N681" s="1"/>
      </tp>
      <tp>
        <v>1463652400</v>
        <stp/>
        <stp>P</stp>
        <stp>0</stp>
        <stp>STK</stp>
        <stp>N075580</stp>
        <stp>누적거래대금</stp>
        <stp/>
        <stp/>
        <tr r="N299" s="1"/>
      </tp>
      <tp>
        <v>4807555600</v>
        <stp/>
        <stp>P</stp>
        <stp>0</stp>
        <stp>STK</stp>
        <stp>N171090</stp>
        <stp>누적거래대금</stp>
        <stp/>
        <stp/>
        <tr r="N459" s="1"/>
      </tp>
      <tp>
        <v>3173256700</v>
        <stp/>
        <stp>P</stp>
        <stp>0</stp>
        <stp>STK</stp>
        <stp>N166090</stp>
        <stp>누적거래대금</stp>
        <stp/>
        <stp/>
        <tr r="N303" s="1"/>
      </tp>
      <tp>
        <v>556570920</v>
        <stp/>
        <stp>P</stp>
        <stp>0</stp>
        <stp>STK</stp>
        <stp>N067080</stp>
        <stp>누적거래대금</stp>
        <stp/>
        <stp/>
        <tr r="N623" s="1"/>
      </tp>
      <tp>
        <v>206695750</v>
        <stp/>
        <stp>P</stp>
        <stp>0</stp>
        <stp>STK</stp>
        <stp>N065680</stp>
        <stp>누적거래대금</stp>
        <stp/>
        <stp/>
        <tr r="N638" s="1"/>
      </tp>
      <tp>
        <v>66342810015</v>
        <stp/>
        <stp>P</stp>
        <stp>0</stp>
        <stp>STK</stp>
        <stp>N060280</stp>
        <stp>누적거래대금</stp>
        <stp/>
        <stp/>
        <tr r="N349" s="1"/>
      </tp>
      <tp>
        <v>5652653400</v>
        <stp/>
        <stp>P</stp>
        <stp>0</stp>
        <stp>STK</stp>
        <stp>N160190</stp>
        <stp>누적거래대금</stp>
        <stp/>
        <stp/>
        <tr r="N193" s="1"/>
      </tp>
      <tp>
        <v>316386600</v>
        <stp/>
        <stp>P</stp>
        <stp>0</stp>
        <stp>STK</stp>
        <stp>N060980</stp>
        <stp>누적거래대금</stp>
        <stp/>
        <stp/>
        <tr r="N508" s="1"/>
      </tp>
      <tp>
        <v>494264500</v>
        <stp/>
        <stp>P</stp>
        <stp>0</stp>
        <stp>STK</stp>
        <stp>N161390</stp>
        <stp>누적거래대금</stp>
        <stp/>
        <stp/>
        <tr r="N84" s="1"/>
      </tp>
      <tp>
        <v>2465546000</v>
        <stp/>
        <stp>P</stp>
        <stp>0</stp>
        <stp>STK</stp>
        <stp>N161890</stp>
        <stp>누적거래대금</stp>
        <stp/>
        <stp/>
        <tr r="N248" s="1"/>
      </tp>
      <tp>
        <v>408482920</v>
        <stp/>
        <stp>P</stp>
        <stp>0</stp>
        <stp>STK</stp>
        <stp>N069080</stp>
        <stp>누적거래대금</stp>
        <stp/>
        <stp/>
        <tr r="N526" s="1"/>
      </tp>
      <tp>
        <v>38913450</v>
        <stp/>
        <stp>P</stp>
        <stp>0</stp>
        <stp>STK</stp>
        <stp>N145990</stp>
        <stp>누적거래대금</stp>
        <stp/>
        <stp/>
        <tr r="N495" s="1"/>
      </tp>
      <tp>
        <v>1947720600</v>
        <stp/>
        <stp>P</stp>
        <stp>0</stp>
        <stp>STK</stp>
        <stp>N033780</stp>
        <stp>누적거래대금</stp>
        <stp/>
        <stp/>
        <tr r="N52" s="1"/>
      </tp>
      <tp>
        <v>1834814400</v>
        <stp/>
        <stp>P</stp>
        <stp>0</stp>
        <stp>STK</stp>
        <stp>N131290</stp>
        <stp>누적거래대금</stp>
        <stp/>
        <stp/>
        <tr r="N346" s="1"/>
      </tp>
      <tp>
        <v>5287628500</v>
        <stp/>
        <stp>P</stp>
        <stp>0</stp>
        <stp>STK</stp>
        <stp>N031980</stp>
        <stp>누적거래대금</stp>
        <stp/>
        <stp/>
        <tr r="N261" s="1"/>
      </tp>
      <tp>
        <v>339511340</v>
        <stp/>
        <stp>P</stp>
        <stp>0</stp>
        <stp>STK</stp>
        <stp>N138490</stp>
        <stp>누적거래대금</stp>
        <stp/>
        <stp/>
        <tr r="N611" s="1"/>
      </tp>
      <tp>
        <v>90120294050</v>
        <stp/>
        <stp>P</stp>
        <stp>0</stp>
        <stp>STK</stp>
        <stp>N125490</stp>
        <stp>누적거래대금</stp>
        <stp/>
        <stp/>
        <tr r="N377" s="1"/>
      </tp>
      <tp>
        <v>1871393290</v>
        <stp/>
        <stp>P</stp>
        <stp>0</stp>
        <stp>STK</stp>
        <stp>N025980</stp>
        <stp>누적거래대금</stp>
        <stp/>
        <stp/>
        <tr r="N376" s="1"/>
      </tp>
      <tp>
        <v>226392300</v>
        <stp/>
        <stp>P</stp>
        <stp>0</stp>
        <stp>STK</stp>
        <stp>N029780</stp>
        <stp>누적거래대금</stp>
        <stp/>
        <stp/>
        <tr r="N101" s="1"/>
      </tp>
      <tp>
        <v>1138537500</v>
        <stp/>
        <stp>P</stp>
        <stp>0</stp>
        <stp>STK</stp>
        <stp>N014680</stp>
        <stp>누적거래대금</stp>
        <stp/>
        <stp/>
        <tr r="N155" s="1"/>
      </tp>
      <tp>
        <v>2322774200</v>
        <stp/>
        <stp>P</stp>
        <stp>0</stp>
        <stp>STK</stp>
        <stp>N114190</stp>
        <stp>누적거래대금</stp>
        <stp/>
        <stp/>
        <tr r="N566" s="1"/>
      </tp>
      <tp>
        <v>183388980</v>
        <stp/>
        <stp>P</stp>
        <stp>0</stp>
        <stp>STK</stp>
        <stp>N114090</stp>
        <stp>누적거래대금</stp>
        <stp/>
        <stp/>
        <tr r="N354" s="1"/>
      </tp>
      <tp>
        <v>720298150</v>
        <stp/>
        <stp>P</stp>
        <stp>0</stp>
        <stp>STK</stp>
        <stp>N010780</stp>
        <stp>누적거래대금</stp>
        <stp/>
        <stp/>
        <tr r="N398" s="1"/>
      </tp>
      <tp>
        <v>2440955100</v>
        <stp/>
        <stp>P</stp>
        <stp>0</stp>
        <stp>STK</stp>
        <stp>N110990</stp>
        <stp>누적거래대금</stp>
        <stp/>
        <stp/>
        <tr r="N586" s="1"/>
      </tp>
      <tp>
        <v>1121423400</v>
        <stp/>
        <stp>P</stp>
        <stp>0</stp>
        <stp>STK</stp>
        <stp>N011780</stp>
        <stp>누적거래대금</stp>
        <stp/>
        <stp/>
        <tr r="N136" s="1"/>
      </tp>
      <tp>
        <v>2612593357</v>
        <stp/>
        <stp>P</stp>
        <stp>0</stp>
        <stp>STK</stp>
        <stp>N018880</stp>
        <stp>누적거래대금</stp>
        <stp/>
        <stp/>
        <tr r="N145" s="1"/>
      </tp>
      <tp>
        <v>901174400</v>
        <stp/>
        <stp>P</stp>
        <stp>0</stp>
        <stp>STK</stp>
        <stp>N006280</stp>
        <stp>누적거래대금</stp>
        <stp/>
        <stp/>
        <tr r="N232" s="1"/>
      </tp>
      <tp>
        <v>96969340</v>
        <stp/>
        <stp>P</stp>
        <stp>0</stp>
        <stp>STK</stp>
        <stp>N004980</stp>
        <stp>누적거래대금</stp>
        <stp/>
        <stp/>
        <tr r="N692" s="1"/>
      </tp>
      <tp>
        <v>229925387000</v>
        <stp/>
        <stp>P</stp>
        <stp>0</stp>
        <stp>STK</stp>
        <stp>N005380</stp>
        <stp>누적거래대금</stp>
        <stp/>
        <stp/>
        <tr r="N11" s="1"/>
      </tp>
      <tp>
        <v>480627500</v>
        <stp/>
        <stp>P</stp>
        <stp>0</stp>
        <stp>STK</stp>
        <stp>N005180</stp>
        <stp>누적거래대금</stp>
        <stp/>
        <stp/>
        <tr r="N381" s="1"/>
      </tp>
      <tp>
        <v>960583500</v>
        <stp/>
        <stp>P</stp>
        <stp>0</stp>
        <stp>STK</stp>
        <stp>N002380</stp>
        <stp>누적거래대금</stp>
        <stp/>
        <stp/>
        <tr r="N130" s="1"/>
      </tp>
      <tp>
        <v>9362901200</v>
        <stp/>
        <stp>P</stp>
        <stp>0</stp>
        <stp>STK</stp>
        <stp>N103590</stp>
        <stp>누적거래대금</stp>
        <stp/>
        <stp/>
        <tr r="N157" s="1"/>
      </tp>
      <tp>
        <v>50711391515</v>
        <stp/>
        <stp>P</stp>
        <stp>0</stp>
        <stp>STK</stp>
        <stp>N003380</stp>
        <stp>누적거래대금</stp>
        <stp/>
        <stp/>
        <tr r="N279" s="1"/>
      </tp>
      <tp>
        <v>38123393870</v>
        <stp/>
        <stp>P</stp>
        <stp>0</stp>
        <stp>STK</stp>
        <stp>N100790</stp>
        <stp>누적거래대금</stp>
        <stp/>
        <stp/>
        <tr r="N393" s="1"/>
      </tp>
      <tp>
        <v>311991810</v>
        <stp/>
        <stp>P</stp>
        <stp>0</stp>
        <stp>STK</stp>
        <stp>N000080</stp>
        <stp>누적거래대금</stp>
        <stp/>
        <stp/>
        <tr r="N277" s="1"/>
      </tp>
      <tp>
        <v>2909605490</v>
        <stp/>
        <stp>P</stp>
        <stp>0</stp>
        <stp>STK</stp>
        <stp>N100090</stp>
        <stp>누적거래대금</stp>
        <stp/>
        <stp/>
        <tr r="N285" s="1"/>
      </tp>
      <tp>
        <v>5027404550</v>
        <stp/>
        <stp>P</stp>
        <stp>0</stp>
        <stp>STK</stp>
        <stp>N000880</stp>
        <stp>누적거래대금</stp>
        <stp/>
        <stp/>
        <tr r="N79" s="1"/>
      </tp>
      <tp>
        <v>209513750</v>
        <stp/>
        <stp>P</stp>
        <stp>0</stp>
        <stp>STK</stp>
        <stp>N001680</stp>
        <stp>누적거래대금</stp>
        <stp/>
        <stp/>
        <tr r="N374" s="1"/>
      </tp>
      <tp>
        <v>8430788150</v>
        <stp/>
        <stp>P</stp>
        <stp>0</stp>
        <stp>STK</stp>
        <stp>N101490</stp>
        <stp>누적거래대금</stp>
        <stp/>
        <stp/>
        <tr r="N257" s="1"/>
      </tp>
      <tp>
        <v>48120070750</v>
        <stp/>
        <stp>P</stp>
        <stp>0</stp>
        <stp>STK</stp>
        <stp>N108490</stp>
        <stp>누적거래대금</stp>
        <stp/>
        <stp/>
        <tr r="N135" s="1"/>
      </tp>
      <tp>
        <v>45661340</v>
        <stp/>
        <stp>P</stp>
        <stp>0</stp>
        <stp>STK</stp>
        <stp>N009680</stp>
        <stp>누적거래대금</stp>
        <stp/>
        <stp/>
        <tr r="N635" s="1"/>
      </tp>
      <tp>
        <v>630740500</v>
        <stp/>
        <stp>P</stp>
        <stp>0</stp>
        <stp>STK</stp>
        <stp>N194480</stp>
        <stp>누적거래대금</stp>
        <stp/>
        <stp/>
        <tr r="N537" s="1"/>
      </tp>
      <tp>
        <v>676771310</v>
        <stp/>
        <stp>P</stp>
        <stp>0</stp>
        <stp>STK</stp>
        <stp>N092790</stp>
        <stp>누적거래대금</stp>
        <stp/>
        <stp/>
        <tr r="N610" s="1"/>
      </tp>
      <tp>
        <v>89241100</v>
        <stp/>
        <stp>P</stp>
        <stp>0</stp>
        <stp>STK</stp>
        <stp>N192080</stp>
        <stp>누적거래대금</stp>
        <stp/>
        <stp/>
        <tr r="N301" s="1"/>
      </tp>
      <tp>
        <v>298688230</v>
        <stp/>
        <stp>P</stp>
        <stp>0</stp>
        <stp>STK</stp>
        <stp>N099190</stp>
        <stp>누적거래대금</stp>
        <stp/>
        <stp/>
        <tr r="N532" s="1"/>
      </tp>
      <tp>
        <v>9450099650</v>
        <stp/>
        <stp>P</stp>
        <stp>0</stp>
        <stp>STK</stp>
        <stp>N086790</stp>
        <stp>누적거래대금</stp>
        <stp/>
        <stp/>
        <tr r="N32" s="1"/>
      </tp>
      <tp>
        <v>605201450</v>
        <stp/>
        <stp>P</stp>
        <stp>0</stp>
        <stp>STK</stp>
        <stp>N086390</stp>
        <stp>누적거래대금</stp>
        <stp/>
        <stp/>
        <tr r="N677" s="1"/>
      </tp>
      <tp>
        <v>1041437410</v>
        <stp/>
        <stp>P</stp>
        <stp>0</stp>
        <stp>STK</stp>
        <stp>N084690</stp>
        <stp>누적거래대금</stp>
        <stp/>
        <stp/>
        <tr r="N590" s="1"/>
      </tp>
      <tp>
        <v>748925625</v>
        <stp/>
        <stp>P</stp>
        <stp>0</stp>
        <stp>STK</stp>
        <stp>N089890</stp>
        <stp>누적거래대금</stp>
        <stp/>
        <stp/>
        <tr r="N523" s="1"/>
      </tp>
      <tp>
        <v>26963931850</v>
        <stp/>
        <stp>P</stp>
        <stp>0</stp>
        <stp>STK</stp>
        <stp>N161580</stp>
        <stp>누적거래대금</stp>
        <stp/>
        <stp/>
        <tr r="N314" s="1"/>
      </tp>
      <tp>
        <v>336890600</v>
        <stp/>
        <stp>P</stp>
        <stp>0</stp>
        <stp>STK</stp>
        <stp>N061090</stp>
        <stp>누적거래대금</stp>
        <stp/>
        <stp/>
        <tr r="N682" s="1"/>
      </tp>
      <tp>
        <v>997336400</v>
        <stp/>
        <stp>P</stp>
        <stp>0</stp>
        <stp>STK</stp>
        <stp>N056190</stp>
        <stp>누적거래대금</stp>
        <stp/>
        <stp/>
        <tr r="N330" s="1"/>
      </tp>
      <tp>
        <v>7613433450</v>
        <stp/>
        <stp>P</stp>
        <stp>0</stp>
        <stp>STK</stp>
        <stp>N052690</stp>
        <stp>누적거래대금</stp>
        <stp/>
        <stp/>
        <tr r="N107" s="1"/>
      </tp>
      <tp>
        <v>2564825930</v>
        <stp/>
        <stp>P</stp>
        <stp>0</stp>
        <stp>STK</stp>
        <stp>N050890</stp>
        <stp>누적거래대금</stp>
        <stp/>
        <stp/>
        <tr r="N496" s="1"/>
      </tp>
      <tp>
        <v>3306568130</v>
        <stp/>
        <stp>P</stp>
        <stp>0</stp>
        <stp>STK</stp>
        <stp>N059090</stp>
        <stp>누적거래대금</stp>
        <stp/>
        <stp/>
        <tr r="N518" s="1"/>
      </tp>
      <tp>
        <v>408578900</v>
        <stp/>
        <stp>P</stp>
        <stp>0</stp>
        <stp>STK</stp>
        <stp>N046890</stp>
        <stp>누적거래대금</stp>
        <stp/>
        <stp/>
        <tr r="N579" s="1"/>
      </tp>
      <tp>
        <v>1579180750</v>
        <stp/>
        <stp>P</stp>
        <stp>0</stp>
        <stp>STK</stp>
        <stp>N044490</stp>
        <stp>누적거래대금</stp>
        <stp/>
        <stp/>
        <tr r="N394" s="1"/>
      </tp>
      <tp>
        <v>4532578110</v>
        <stp/>
        <stp>P</stp>
        <stp>0</stp>
        <stp>STK</stp>
        <stp>N041190</stp>
        <stp>누적거래대금</stp>
        <stp/>
        <stp/>
        <tr r="N428" s="1"/>
      </tp>
      <tp>
        <v>22995862150</v>
        <stp/>
        <stp>P</stp>
        <stp>0</stp>
        <stp>STK</stp>
        <stp>N141080</stp>
        <stp>누적거래대금</stp>
        <stp/>
        <stp/>
        <tr r="N108" s="1"/>
      </tp>
      <tp>
        <v>308251510</v>
        <stp/>
        <stp>P</stp>
        <stp>0</stp>
        <stp>STK</stp>
        <stp>N036890</stp>
        <stp>누적거래대금</stp>
        <stp/>
        <stp/>
        <tr r="N624" s="1"/>
      </tp>
      <tp>
        <v>1363165450</v>
        <stp/>
        <stp>P</stp>
        <stp>0</stp>
        <stp>STK</stp>
        <stp>N032190</stp>
        <stp>누적거래대금</stp>
        <stp/>
        <stp/>
        <tr r="N390" s="1"/>
      </tp>
      <tp>
        <v>13002390</v>
        <stp/>
        <stp>P</stp>
        <stp>0</stp>
        <stp>STK</stp>
        <stp>N030190</stp>
        <stp>누적거래대금</stp>
        <stp/>
        <stp/>
        <tr r="N317" s="1"/>
      </tp>
      <tp>
        <v>3544941000</v>
        <stp/>
        <stp>P</stp>
        <stp>0</stp>
        <stp>STK</stp>
        <stp>N039490</stp>
        <stp>누적거래대금</stp>
        <stp/>
        <stp/>
        <tr r="N85" s="1"/>
      </tp>
      <tp>
        <v>1822749200</v>
        <stp/>
        <stp>P</stp>
        <stp>0</stp>
        <stp>STK</stp>
        <stp>N139480</stp>
        <stp>누적거래대금</stp>
        <stp/>
        <stp/>
        <tr r="N194" s="1"/>
      </tp>
      <tp>
        <v>52492780</v>
        <stp/>
        <stp>P</stp>
        <stp>0</stp>
        <stp>STK</stp>
        <stp>N026890</stp>
        <stp>누적거래대금</stp>
        <stp/>
        <stp/>
        <tr r="N533" s="1"/>
      </tp>
      <tp>
        <v>611727550</v>
        <stp/>
        <stp>P</stp>
        <stp>0</stp>
        <stp>STK</stp>
        <stp>N023590</stp>
        <stp>누적거래대금</stp>
        <stp/>
        <stp/>
        <tr r="N225" s="1"/>
      </tp>
      <tp>
        <v>110090</v>
        <stp/>
        <stp>P</stp>
        <stp>0</stp>
        <stp>STK</stp>
        <stp>N016590</stp>
        <stp>누적거래대금</stp>
        <stp/>
        <stp/>
        <tr r="N465" s="1"/>
      </tp>
      <tp>
        <v>69161600</v>
        <stp/>
        <stp>P</stp>
        <stp>0</stp>
        <stp>STK</stp>
        <stp>N017390</stp>
        <stp>누적거래대금</stp>
        <stp/>
        <stp/>
        <tr r="N604" s="1"/>
      </tp>
      <tp>
        <v>39839670</v>
        <stp/>
        <stp>P</stp>
        <stp>0</stp>
        <stp>STK</stp>
        <stp>N013890</stp>
        <stp>누적거래대금</stp>
        <stp/>
        <stp/>
        <tr r="N656" s="1"/>
      </tp>
      <tp>
        <v>516888350</v>
        <stp/>
        <stp>P</stp>
        <stp>0</stp>
        <stp>STK</stp>
        <stp>N010690</stp>
        <stp>누적거래대금</stp>
        <stp/>
        <stp/>
        <tr r="N563" s="1"/>
      </tp>
      <tp>
        <v>8713489900</v>
        <stp/>
        <stp>P</stp>
        <stp>0</stp>
        <stp>STK</stp>
        <stp>N011790</stp>
        <stp>누적거래대금</stp>
        <stp/>
        <stp/>
        <tr r="N126" s="1"/>
      </tp>
      <tp>
        <v>4242967625</v>
        <stp/>
        <stp>P</stp>
        <stp>0</stp>
        <stp>STK</stp>
        <stp>N018290</stp>
        <stp>누적거래대금</stp>
        <stp/>
        <stp/>
        <tr r="N442" s="1"/>
      </tp>
      <tp>
        <v>79652500</v>
        <stp/>
        <stp>P</stp>
        <stp>0</stp>
        <stp>STK</stp>
        <stp>N007690</stp>
        <stp>누적거래대금</stp>
        <stp/>
        <stp/>
        <tr r="N589" s="1"/>
      </tp>
      <tp>
        <v>3339038900</v>
        <stp/>
        <stp>P</stp>
        <stp>0</stp>
        <stp>STK</stp>
        <stp>N007390</stp>
        <stp>누적거래대금</stp>
        <stp/>
        <stp/>
        <tr r="N275" s="1"/>
      </tp>
      <tp>
        <v>585786500</v>
        <stp/>
        <stp>P</stp>
        <stp>0</stp>
        <stp>STK</stp>
        <stp>N004690</stp>
        <stp>누적거래대금</stp>
        <stp/>
        <stp/>
        <tr r="N468" s="1"/>
      </tp>
      <tp>
        <v>251672600</v>
        <stp/>
        <stp>P</stp>
        <stp>0</stp>
        <stp>STK</stp>
        <stp>N004490</stp>
        <stp>누적거래대금</stp>
        <stp/>
        <stp/>
        <tr r="N333" s="1"/>
      </tp>
      <tp>
        <v>1484706800</v>
        <stp/>
        <stp>P</stp>
        <stp>0</stp>
        <stp>STK</stp>
        <stp>N004990</stp>
        <stp>누적거래대금</stp>
        <stp/>
        <stp/>
        <tr r="N153" s="1"/>
      </tp>
      <tp>
        <v>2421619270</v>
        <stp/>
        <stp>P</stp>
        <stp>0</stp>
        <stp>STK</stp>
        <stp>N005690</stp>
        <stp>누적거래대금</stp>
        <stp/>
        <stp/>
        <tr r="N361" s="1"/>
      </tp>
      <tp>
        <v>35269777500</v>
        <stp/>
        <stp>P</stp>
        <stp>0</stp>
        <stp>STK</stp>
        <stp>N005490</stp>
        <stp>누적거래대금</stp>
        <stp/>
        <stp/>
        <tr r="N31" s="1"/>
      </tp>
      <tp>
        <v>14708222500</v>
        <stp/>
        <stp>P</stp>
        <stp>0</stp>
        <stp>STK</stp>
        <stp>N005290</stp>
        <stp>누적거래대금</stp>
        <stp/>
        <stp/>
        <tr r="N204" s="1"/>
      </tp>
      <tp>
        <v>47492500</v>
        <stp/>
        <stp>P</stp>
        <stp>0</stp>
        <stp>STK</stp>
        <stp>N005090</stp>
        <stp>누적거래대금</stp>
        <stp/>
        <stp/>
        <tr r="N626" s="1"/>
      </tp>
      <tp>
        <v>204606000</v>
        <stp/>
        <stp>P</stp>
        <stp>0</stp>
        <stp>STK</stp>
        <stp>N002790</stp>
        <stp>누적거래대금</stp>
        <stp/>
        <stp/>
        <tr r="N210" s="1"/>
      </tp>
      <tp>
        <v>695191705</v>
        <stp/>
        <stp>P</stp>
        <stp>0</stp>
        <stp>STK</stp>
        <stp>N003690</stp>
        <stp>누적거래대금</stp>
        <stp/>
        <stp/>
        <tr r="N199" s="1"/>
      </tp>
      <tp>
        <v>7292901900</v>
        <stp/>
        <stp>P</stp>
        <stp>0</stp>
        <stp>STK</stp>
        <stp>N003490</stp>
        <stp>누적거래대금</stp>
        <stp/>
        <stp/>
        <tr r="N82" s="1"/>
      </tp>
      <tp>
        <v>103442950</v>
        <stp/>
        <stp>P</stp>
        <stp>0</stp>
        <stp>STK</stp>
        <stp>N003090</stp>
        <stp>누적거래대금</stp>
        <stp/>
        <stp/>
        <tr r="N272" s="1"/>
      </tp>
      <tp>
        <v>154643510</v>
        <stp/>
        <stp>P</stp>
        <stp>0</stp>
        <stp>STK</stp>
        <stp>N000490</stp>
        <stp>누적거래대금</stp>
        <stp/>
        <stp/>
        <tr r="N631" s="1"/>
      </tp>
      <tp>
        <v>8977524750</v>
        <stp/>
        <stp>P</stp>
        <stp>0</stp>
        <stp>STK</stp>
        <stp>N000990</stp>
        <stp>누적거래대금</stp>
        <stp/>
        <stp/>
        <tr r="N128" s="1"/>
      </tp>
      <tp>
        <v>36400900</v>
        <stp/>
        <stp>P</stp>
        <stp>0</stp>
        <stp>STK</stp>
        <stp>N008490</stp>
        <stp>누적거래대금</stp>
        <stp/>
        <stp/>
        <tr r="N689" s="1"/>
      </tp>
      <tp>
        <v>352754950</v>
        <stp/>
        <stp>P</stp>
        <stp>0</stp>
        <stp>STK</stp>
        <stp>N108380</stp>
        <stp>누적거래대금</stp>
        <stp/>
        <stp/>
        <tr r="N672" s="1"/>
      </tp>
      <tp>
        <v>116708883150</v>
        <stp/>
        <stp>P</stp>
        <stp>0</stp>
        <stp>STK</stp>
        <stp>N298380</stp>
        <stp>누적거래대금</stp>
        <stp/>
        <stp/>
        <tr r="N76" s="1"/>
      </tp>
      <tp>
        <v>1441426100</v>
        <stp/>
        <stp>P</stp>
        <stp>0</stp>
        <stp>STK</stp>
        <stp>N278280</stp>
        <stp>누적거래대금</stp>
        <stp/>
        <stp/>
        <tr r="N437" s="1"/>
      </tp>
      <tp>
        <v>17246950</v>
        <stp/>
        <stp>P</stp>
        <stp>0</stp>
        <stp>STK</stp>
        <stp>N267980</stp>
        <stp>누적거래대금</stp>
        <stp/>
        <stp/>
        <tr r="N658" s="1"/>
      </tp>
      <tp>
        <v>2953600</v>
        <stp/>
        <stp>P</stp>
        <stp>0</stp>
        <stp>STK</stp>
        <stp>N268280</stp>
        <stp>누적거래대금</stp>
        <stp/>
        <stp/>
        <tr r="N391" s="1"/>
      </tp>
      <tp>
        <v>66615170</v>
        <stp/>
        <stp>P</stp>
        <stp>0</stp>
        <stp>STK</stp>
        <stp>N237880</stp>
        <stp>누적거래대금</stp>
        <stp/>
        <stp/>
        <tr r="N693" s="1"/>
      </tp>
      <tp>
        <v>42081719265</v>
        <stp/>
        <stp>P</stp>
        <stp>0</stp>
        <stp>STK</stp>
        <stp>N222080</stp>
        <stp>누적거래대금</stp>
        <stp/>
        <stp/>
        <tr r="N441" s="1"/>
      </tp>
      <tp>
        <v>1115791610</v>
        <stp/>
        <stp>P</stp>
        <stp>0</stp>
        <stp>STK</stp>
        <stp>N200880</stp>
        <stp>누적거래대금</stp>
        <stp/>
        <stp/>
        <tr r="N506" s="1"/>
      </tp>
      <tp>
        <v>1873595690</v>
        <stp/>
        <stp>P</stp>
        <stp>0</stp>
        <stp>STK</stp>
        <stp>N394280</stp>
        <stp>누적거래대금</stp>
        <stp/>
        <stp/>
        <tr r="N627" s="1"/>
      </tp>
      <tp>
        <v>2214335410</v>
        <stp/>
        <stp>P</stp>
        <stp>0</stp>
        <stp>STK</stp>
        <stp>N293490</stp>
        <stp>누적거래대금</stp>
        <stp/>
        <stp/>
        <tr r="N276" s="1"/>
      </tp>
      <tp>
        <v>4729442300</v>
        <stp/>
        <stp>P</stp>
        <stp>0</stp>
        <stp>STK</stp>
        <stp>N272290</stp>
        <stp>누적거래대금</stp>
        <stp/>
        <stp/>
        <tr r="N472" s="1"/>
      </tp>
      <tp>
        <v>496049200</v>
        <stp/>
        <stp>P</stp>
        <stp>0</stp>
        <stp>STK</stp>
        <stp>N356680</stp>
        <stp>누적거래대금</stp>
        <stp/>
        <stp/>
        <tr r="N697" s="1"/>
      </tp>
      <tp>
        <v>6065917000</v>
        <stp/>
        <stp>P</stp>
        <stp>0</stp>
        <stp>STK</stp>
        <stp>N357780</stp>
        <stp>누적거래대금</stp>
        <stp/>
        <stp/>
        <tr r="N170" s="1"/>
      </tp>
      <tp>
        <v>284900050</v>
        <stp/>
        <stp>P</stp>
        <stp>0</stp>
        <stp>STK</stp>
        <stp>N352480</stp>
        <stp>누적거래대금</stp>
        <stp/>
        <stp/>
        <tr r="N531" s="1"/>
      </tp>
      <tp>
        <v>12697321640</v>
        <stp/>
        <stp>P</stp>
        <stp>0</stp>
        <stp>STK</stp>
        <stp>N253590</stp>
        <stp>누적거래대금</stp>
        <stp/>
        <stp/>
        <tr r="N477" s="1"/>
      </tp>
      <tp>
        <v>6558508900</v>
        <stp/>
        <stp>P</stp>
        <stp>0</stp>
        <stp>STK</stp>
        <stp>N237690</stp>
        <stp>누적거래대금</stp>
        <stp/>
        <stp/>
        <tr r="N185" s="1"/>
      </tp>
      <tp>
        <v>12506190800</v>
        <stp/>
        <stp>P</stp>
        <stp>0</stp>
        <stp>STK</stp>
        <stp>N323280</stp>
        <stp>누적거래대금</stp>
        <stp/>
        <stp/>
        <tr r="N258" s="1"/>
      </tp>
      <tp>
        <v>12392254500</v>
        <stp/>
        <stp>P</stp>
        <stp>0</stp>
        <stp>STK</stp>
        <stp>N329180</stp>
        <stp>누적거래대금</stp>
        <stp/>
        <stp/>
        <tr r="N16" s="1"/>
      </tp>
      <tp>
        <v>584428620</v>
        <stp/>
        <stp>P</stp>
        <stp>0</stp>
        <stp>STK</stp>
        <stp>N217590</stp>
        <stp>누적거래대금</stp>
        <stp/>
        <stp/>
        <tr r="N545" s="1"/>
      </tp>
      <tp>
        <v>839620880</v>
        <stp/>
        <stp>P</stp>
        <stp>0</stp>
        <stp>STK</stp>
        <stp>N300080</stp>
        <stp>누적거래대금</stp>
        <stp/>
        <stp/>
        <tr r="N665" s="1"/>
      </tp>
      <tp>
        <v>2173526350</v>
        <stp/>
        <stp>P</stp>
        <stp>0</stp>
        <stp>STK</stp>
        <stp>N488280</stp>
        <stp>누적거래대금</stp>
        <stp/>
        <stp/>
        <tr r="N690" s="1"/>
      </tp>
      <tp>
        <v>1209214000</v>
        <stp/>
        <stp>P</stp>
        <stp>0</stp>
        <stp>STK</stp>
        <stp>N473980</stp>
        <stp>누적거래대금</stp>
        <stp/>
        <stp/>
        <tr r="N649" s="1"/>
      </tp>
      <tp>
        <v>23404676900</v>
        <stp/>
        <stp>P</stp>
        <stp>0</stp>
        <stp>STK</stp>
        <stp>N450080</stp>
        <stp>누적거래대금</stp>
        <stp/>
        <stp/>
        <tr r="N124" s="1"/>
      </tp>
      <tp>
        <v>1668283300</v>
        <stp/>
        <stp>P</stp>
        <stp>0</stp>
        <stp>STK</stp>
        <stp>N445680</stp>
        <stp>누적거래대금</stp>
        <stp/>
        <stp/>
        <tr r="N207" s="1"/>
      </tp>
      <tp>
        <v>50817630</v>
        <stp/>
        <stp>P</stp>
        <stp>0</stp>
        <stp>STK</stp>
        <stp>N448280</stp>
        <stp>누적거래대금</stp>
        <stp/>
        <stp/>
        <tr r="N641" s="1"/>
      </tp>
      <tp>
        <v>2994818200</v>
        <stp/>
        <stp>P</stp>
        <stp>0</stp>
        <stp>STK</stp>
        <stp>N416180</stp>
        <stp>누적거래대금</stp>
        <stp/>
        <stp/>
        <tr r="N637" s="1"/>
      </tp>
      <tp>
        <v>1711980600</v>
        <stp/>
        <stp>P</stp>
        <stp>0</stp>
        <stp>STK</stp>
        <stp>N499790</stp>
        <stp>누적거래대금</stp>
        <stp/>
        <stp/>
        <tr r="N362" s="1"/>
      </tp>
      <tp>
        <v>3971850500</v>
        <stp/>
        <stp>P</stp>
        <stp>0</stp>
        <stp>STK</stp>
        <stp>N486990</stp>
        <stp>누적거래대금</stp>
        <stp/>
        <stp/>
        <tr r="N318" s="1"/>
      </tp>
      <tp>
        <v>832323885</v>
        <stp/>
        <stp>P</stp>
        <stp>0</stp>
        <stp>STK</stp>
        <stp>N484590</stp>
        <stp>누적거래대금</stp>
        <stp/>
        <stp/>
        <tr r="N453" s="1"/>
      </tp>
      <tp>
        <v>19707991300</v>
        <stp/>
        <stp>P</stp>
        <stp>0</stp>
        <stp>STK</stp>
        <stp>N489790</stp>
        <stp>누적거래대금</stp>
        <stp/>
        <stp/>
        <tr r="N173" s="1"/>
      </tp>
      <tp>
        <v>23626437800</v>
        <stp/>
        <stp>P</stp>
        <stp>0</stp>
        <stp>STK</stp>
        <stp>N457190</stp>
        <stp>누적거래대금</stp>
        <stp/>
        <stp/>
        <tr r="N162" s="1"/>
      </tp>
      <tp>
        <v>989562350</v>
        <stp/>
        <stp>P</stp>
        <stp>0</stp>
        <stp>STK</stp>
        <stp>N445090</stp>
        <stp>누적거래대금</stp>
        <stp/>
        <stp/>
        <tr r="N609" s="1"/>
      </tp>
      <tp>
        <v>106566780</v>
        <stp/>
        <stp>P</stp>
        <stp>0</stp>
        <stp>STK</stp>
        <stp>N439090</stp>
        <stp>누적거래대금</stp>
        <stp/>
        <stp/>
        <tr r="N695" s="1"/>
      </tp>
      <tp>
        <v>20372382450</v>
        <stp/>
        <stp>P</stp>
        <stp>0</stp>
        <stp>STK</stp>
        <stp>N397030</stp>
        <stp>누적거래대금</stp>
        <stp/>
        <stp/>
        <tr r="N296" s="1"/>
      </tp>
      <tp>
        <v>956170980</v>
        <stp/>
        <stp>P</stp>
        <stp>0</stp>
        <stp>STK</stp>
        <stp>N095500</stp>
        <stp>누적거래대금</stp>
        <stp/>
        <stp/>
        <tr r="N599" s="1"/>
      </tp>
      <tp>
        <v>1299169925</v>
        <stp/>
        <stp>P</stp>
        <stp>0</stp>
        <stp>STK</stp>
        <stp>N190510</stp>
        <stp>누적거래대금</stp>
        <stp/>
        <stp/>
        <tr r="N582" s="1"/>
      </tp>
      <tp>
        <v>1561970500</v>
        <stp/>
        <stp>P</stp>
        <stp>0</stp>
        <stp>STK</stp>
        <stp>N298020</stp>
        <stp>누적거래대금</stp>
        <stp/>
        <stp/>
        <tr r="N234" s="1"/>
      </tp>
      <tp>
        <v>1208521900</v>
        <stp/>
        <stp>P</stp>
        <stp>0</stp>
        <stp>STK</stp>
        <stp>N086900</stp>
        <stp>누적거래대금</stp>
        <stp/>
        <stp/>
        <tr r="N341" s="1"/>
      </tp>
      <tp>
        <v>118884500</v>
        <stp/>
        <stp>P</stp>
        <stp>0</stp>
        <stp>STK</stp>
        <stp>N181710</stp>
        <stp>누적거래대금</stp>
        <stp/>
        <stp/>
        <tr r="N319" s="1"/>
      </tp>
      <tp>
        <v>2103332650</v>
        <stp/>
        <stp>P</stp>
        <stp>0</stp>
        <stp>STK</stp>
        <stp>N281820</stp>
        <stp>누적거래대금</stp>
        <stp/>
        <stp/>
        <tr r="N353" s="1"/>
      </tp>
      <tp>
        <v>3161845600</v>
        <stp/>
        <stp>P</stp>
        <stp>0</stp>
        <stp>STK</stp>
        <stp>N074600</stp>
        <stp>누적거래대금</stp>
        <stp/>
        <stp/>
        <tr r="N408" s="1"/>
      </tp>
      <tp>
        <v>4943175800</v>
        <stp/>
        <stp>P</stp>
        <stp>0</stp>
        <stp>STK</stp>
        <stp>N078600</stp>
        <stp>누적거래대금</stp>
        <stp/>
        <stp/>
        <tr r="N320" s="1"/>
      </tp>
      <tp>
        <v>26188738500</v>
        <stp/>
        <stp>P</stp>
        <stp>0</stp>
        <stp>STK</stp>
        <stp>N478340</stp>
        <stp>누적거래대금</stp>
        <stp/>
        <stp/>
        <tr r="N425" s="1"/>
      </tp>
      <tp>
        <v>1298461875</v>
        <stp/>
        <stp>P</stp>
        <stp>0</stp>
        <stp>STK</stp>
        <stp>N079900</stp>
        <stp>누적거래대금</stp>
        <stp/>
        <stp/>
        <tr r="N385" s="1"/>
      </tp>
      <tp>
        <v>18731658200</v>
        <stp/>
        <stp>P</stp>
        <stp>0</stp>
        <stp>STK</stp>
        <stp>N064400</stp>
        <stp>누적거래대금</stp>
        <stp/>
        <stp/>
        <tr r="N94" s="1"/>
      </tp>
      <tp>
        <v>499535950</v>
        <stp/>
        <stp>P</stp>
        <stp>0</stp>
        <stp>STK</stp>
        <stp>N265520</stp>
        <stp>누적거래대금</stp>
        <stp/>
        <stp/>
        <tr r="N642" s="1"/>
      </tp>
      <tp>
        <v>571113100</v>
        <stp/>
        <stp>P</stp>
        <stp>0</stp>
        <stp>STK</stp>
        <stp>N456040</stp>
        <stp>누적거래대금</stp>
        <stp/>
        <stp/>
        <tr r="N412" s="1"/>
      </tp>
      <tp>
        <v>6464672100</v>
        <stp/>
        <stp>P</stp>
        <stp>0</stp>
        <stp>STK</stp>
        <stp>N257720</stp>
        <stp>누적거래대금</stp>
        <stp/>
        <stp/>
        <tr r="N159" s="1"/>
      </tp>
      <tp>
        <v>2756267050</v>
        <stp/>
        <stp>P</stp>
        <stp>0</stp>
        <stp>STK</stp>
        <stp>N052400</stp>
        <stp>누적거래대금</stp>
        <stp/>
        <stp/>
        <tr r="N421" s="1"/>
      </tp>
      <tp>
        <v>83685500</v>
        <stp/>
        <stp>P</stp>
        <stp>0</stp>
        <stp>STK</stp>
        <stp>N453340</stp>
        <stp>누적거래대금</stp>
        <stp/>
        <stp/>
        <tr r="N483" s="1"/>
      </tp>
      <tp>
        <v>405862000</v>
        <stp/>
        <stp>P</stp>
        <stp>0</stp>
        <stp>STK</stp>
        <stp>N053800</stp>
        <stp>누적거래대금</stp>
        <stp/>
        <stp/>
        <tr r="N404" s="1"/>
      </tp>
      <tp>
        <v>1100211500</v>
        <stp/>
        <stp>P</stp>
        <stp>0</stp>
        <stp>STK</stp>
        <stp>N051600</stp>
        <stp>누적거래대금</stp>
        <stp/>
        <stp/>
        <tr r="N169" s="1"/>
      </tp>
      <tp>
        <v>115748700</v>
        <stp/>
        <stp>P</stp>
        <stp>0</stp>
        <stp>STK</stp>
        <stp>N051500</stp>
        <stp>누적거래대금</stp>
        <stp/>
        <stp/>
        <tr r="N608" s="1"/>
      </tp>
      <tp>
        <v>2033691500</v>
        <stp/>
        <stp>P</stp>
        <stp>0</stp>
        <stp>STK</stp>
        <stp>N051900</stp>
        <stp>누적거래대금</stp>
        <stp/>
        <stp/>
        <tr r="N127" s="1"/>
      </tp>
      <tp>
        <v>502754300</v>
        <stp/>
        <stp>P</stp>
        <stp>0</stp>
        <stp>STK</stp>
        <stp>N144510</stp>
        <stp>누적거래대금</stp>
        <stp/>
        <stp/>
        <tr r="N578" s="1"/>
      </tp>
      <tp>
        <v>1232300375</v>
        <stp/>
        <stp>P</stp>
        <stp>0</stp>
        <stp>STK</stp>
        <stp>N045100</stp>
        <stp>누적거래대금</stp>
        <stp/>
        <stp/>
        <tr r="N503" s="1"/>
      </tp>
      <tp>
        <v>89631900700</v>
        <stp/>
        <stp>P</stp>
        <stp>0</stp>
        <stp>STK</stp>
        <stp>N042700</stp>
        <stp>누적거래대금</stp>
        <stp/>
        <stp/>
        <tr r="N54" s="1"/>
      </tp>
      <tp>
        <v>988290200</v>
        <stp/>
        <stp>P</stp>
        <stp>0</stp>
        <stp>STK</stp>
        <stp>N042000</stp>
        <stp>누적거래대금</stp>
        <stp/>
        <stp/>
        <tr r="N370" s="1"/>
      </tp>
      <tp>
        <v>13761044100</v>
        <stp/>
        <stp>P</stp>
        <stp>0</stp>
        <stp>STK</stp>
        <stp>N140410</stp>
        <stp>누적거래대금</stp>
        <stp/>
        <stp/>
        <tr r="N154" s="1"/>
      </tp>
      <tp>
        <v>3482562500</v>
        <stp/>
        <stp>P</stp>
        <stp>0</stp>
        <stp>STK</stp>
        <stp>N249420</stp>
        <stp>누적거래대금</stp>
        <stp/>
        <stp/>
        <tr r="N288" s="1"/>
      </tp>
      <tp>
        <v>3540386630</v>
        <stp/>
        <stp>P</stp>
        <stp>0</stp>
        <stp>STK</stp>
        <stp>N036200</stp>
        <stp>누적거래대금</stp>
        <stp/>
        <stp/>
        <tr r="N629" s="1"/>
      </tp>
      <tp>
        <v>23640750</v>
        <stp/>
        <stp>P</stp>
        <stp>0</stp>
        <stp>STK</stp>
        <stp>N036800</stp>
        <stp>누적거래대금</stp>
        <stp/>
        <stp/>
        <tr r="N691" s="1"/>
      </tp>
      <tp>
        <v>453871900</v>
        <stp/>
        <stp>P</stp>
        <stp>0</stp>
        <stp>STK</stp>
        <stp>N137310</stp>
        <stp>누적거래대금</stp>
        <stp/>
        <stp/>
        <tr r="N315" s="1"/>
      </tp>
      <tp>
        <v>665741610</v>
        <stp/>
        <stp>P</stp>
        <stp>0</stp>
        <stp>STK</stp>
        <stp>N035600</stp>
        <stp>누적거래대금</stp>
        <stp/>
        <stp/>
        <tr r="N655" s="1"/>
      </tp>
      <tp>
        <v>9067327700</v>
        <stp/>
        <stp>P</stp>
        <stp>0</stp>
        <stp>STK</stp>
        <stp>N035900</stp>
        <stp>누적거래대금</stp>
        <stp/>
        <stp/>
        <tr r="N188" s="1"/>
      </tp>
      <tp>
        <v>1499482860</v>
        <stp/>
        <stp>P</stp>
        <stp>0</stp>
        <stp>STK</stp>
        <stp>N032500</stp>
        <stp>누적거래대금</stp>
        <stp/>
        <stp/>
        <tr r="N416" s="1"/>
      </tp>
      <tp>
        <v>878100100</v>
        <stp/>
        <stp>P</stp>
        <stp>0</stp>
        <stp>STK</stp>
        <stp>N033500</stp>
        <stp>누적거래대금</stp>
        <stp/>
        <stp/>
        <tr r="N347" s="1"/>
      </tp>
      <tp>
        <v>6988048600</v>
        <stp/>
        <stp>P</stp>
        <stp>0</stp>
        <stp>STK</stp>
        <stp>N033100</stp>
        <stp>누적거래대금</stp>
        <stp/>
        <stp/>
        <tr r="N406" s="1"/>
      </tp>
      <tp>
        <v>2389074200</v>
        <stp/>
        <stp>P</stp>
        <stp>0</stp>
        <stp>STK</stp>
        <stp>N030200</stp>
        <stp>누적거래대금</stp>
        <stp/>
        <stp/>
        <tr r="N62" s="1"/>
      </tp>
      <tp>
        <v>492105600</v>
        <stp/>
        <stp>P</stp>
        <stp>0</stp>
        <stp>STK</stp>
        <stp>N030000</stp>
        <stp>누적거래대금</stp>
        <stp/>
        <stp/>
        <tr r="N187" s="1"/>
      </tp>
      <tp>
        <v>2264850600</v>
        <stp/>
        <stp>P</stp>
        <stp>0</stp>
        <stp>STK</stp>
        <stp>N138610</stp>
        <stp>누적거래대금</stp>
        <stp/>
        <stp/>
        <tr r="N548" s="1"/>
      </tp>
      <tp>
        <v>4433778350</v>
        <stp/>
        <stp>P</stp>
        <stp>0</stp>
        <stp>STK</stp>
        <stp>N039200</stp>
        <stp>누적거래대금</stp>
        <stp/>
        <stp/>
        <tr r="N239" s="1"/>
      </tp>
      <tp>
        <v>13592130</v>
        <stp/>
        <stp>P</stp>
        <stp>0</stp>
        <stp>STK</stp>
        <stp>N226320</stp>
        <stp>누적거래대금</stp>
        <stp/>
        <stp/>
        <tr r="N679" s="1"/>
      </tp>
      <tp>
        <v>2541924700</v>
        <stp/>
        <stp>P</stp>
        <stp>0</stp>
        <stp>STK</stp>
        <stp>N326030</stp>
        <stp>누적거래대금</stp>
        <stp/>
        <stp/>
        <tr r="N81" s="1"/>
      </tp>
      <tp>
        <v>522862720</v>
        <stp/>
        <stp>P</stp>
        <stp>0</stp>
        <stp>STK</stp>
        <stp>N025900</stp>
        <stp>누적거래대금</stp>
        <stp/>
        <stp/>
        <tr r="N530" s="1"/>
      </tp>
      <tp>
        <v>8740740250</v>
        <stp/>
        <stp>P</stp>
        <stp>0</stp>
        <stp>STK</stp>
        <stp>N022100</stp>
        <stp>누적거래대금</stp>
        <stp/>
        <stp/>
        <tr r="N98" s="1"/>
      </tp>
      <tp>
        <v>3875016700</v>
        <stp/>
        <stp>P</stp>
        <stp>0</stp>
        <stp>STK</stp>
        <stp>N120110</stp>
        <stp>누적거래대금</stp>
        <stp/>
        <stp/>
        <tr r="N280" s="1"/>
      </tp>
      <tp>
        <v>198058770</v>
        <stp/>
        <stp>P</stp>
        <stp>0</stp>
        <stp>STK</stp>
        <stp>N020000</stp>
        <stp>누적거래대금</stp>
        <stp/>
        <stp/>
        <tr r="N587" s="1"/>
      </tp>
      <tp>
        <v>33611439450</v>
        <stp/>
        <stp>P</stp>
        <stp>0</stp>
        <stp>STK</stp>
        <stp>N028300</stp>
        <stp>누적거래대금</stp>
        <stp/>
        <stp/>
        <tr r="N96" s="1"/>
      </tp>
      <tp>
        <v>3759469275</v>
        <stp/>
        <stp>P</stp>
        <stp>0</stp>
        <stp>STK</stp>
        <stp>N328130</stp>
        <stp>누적거래대금</stp>
        <stp/>
        <stp/>
        <tr r="N298" s="1"/>
      </tp>
      <tp>
        <v>976550</v>
        <stp/>
        <stp>P</stp>
        <stp>0</stp>
        <stp>STK</stp>
        <stp>N016800</stp>
        <stp>누적거래대금</stp>
        <stp/>
        <stp/>
        <tr r="N478" s="1"/>
      </tp>
      <tp>
        <v>1146050600</v>
        <stp/>
        <stp>P</stp>
        <stp>0</stp>
        <stp>STK</stp>
        <stp>N317330</stp>
        <stp>누적거래대금</stp>
        <stp/>
        <stp/>
        <tr r="N577" s="1"/>
      </tp>
      <tp>
        <v>5217661800</v>
        <stp/>
        <stp>P</stp>
        <stp>0</stp>
        <stp>STK</stp>
        <stp>N017800</stp>
        <stp>누적거래대금</stp>
        <stp/>
        <stp/>
        <tr r="N140" s="1"/>
      </tp>
      <tp>
        <v>99561220</v>
        <stp/>
        <stp>P</stp>
        <stp>0</stp>
        <stp>STK</stp>
        <stp>N214320</stp>
        <stp>누적거래대금</stp>
        <stp/>
        <stp/>
        <tr r="N378" s="1"/>
      </tp>
      <tp>
        <v>275304150</v>
        <stp/>
        <stp>P</stp>
        <stp>0</stp>
        <stp>STK</stp>
        <stp>N314930</stp>
        <stp>누적거래대금</stp>
        <stp/>
        <stp/>
        <tr r="N576" s="1"/>
      </tp>
      <tp>
        <v>2490769990</v>
        <stp/>
        <stp>P</stp>
        <stp>0</stp>
        <stp>STK</stp>
        <stp>N114810</stp>
        <stp>누적거래대금</stp>
        <stp/>
        <stp/>
        <tr r="N606" s="1"/>
      </tp>
      <tp>
        <v>1775055225</v>
        <stp/>
        <stp>P</stp>
        <stp>0</stp>
        <stp>STK</stp>
        <stp>N112610</stp>
        <stp>누적거래대금</stp>
        <stp/>
        <stp/>
        <tr r="N240" s="1"/>
      </tp>
      <tp>
        <v>1157573050</v>
        <stp/>
        <stp>P</stp>
        <stp>0</stp>
        <stp>STK</stp>
        <stp>N213420</stp>
        <stp>누적거래대금</stp>
        <stp/>
        <stp/>
        <tr r="N338" s="1"/>
      </tp>
      <tp>
        <v>6403654725</v>
        <stp/>
        <stp>P</stp>
        <stp>0</stp>
        <stp>STK</stp>
        <stp>N011500</stp>
        <stp>누적거래대금</stp>
        <stp/>
        <stp/>
        <tr r="N634" s="1"/>
      </tp>
      <tp>
        <v>4823434290</v>
        <stp/>
        <stp>P</stp>
        <stp>0</stp>
        <stp>STK</stp>
        <stp>N011200</stp>
        <stp>누적거래대금</stp>
        <stp/>
        <stp/>
        <tr r="N46" s="1"/>
      </tp>
      <tp>
        <v>108974485000</v>
        <stp/>
        <stp>P</stp>
        <stp>0</stp>
        <stp>STK</stp>
        <stp>N006400</stp>
        <stp>누적거래대금</stp>
        <stp/>
        <stp/>
        <tr r="N34" s="1"/>
      </tp>
      <tp>
        <v>113581391675</v>
        <stp/>
        <stp>P</stp>
        <stp>0</stp>
        <stp>STK</stp>
        <stp>N006800</stp>
        <stp>누적거래대금</stp>
        <stp/>
        <stp/>
        <tr r="N51" s="1"/>
      </tp>
      <tp>
        <v>35561440</v>
        <stp/>
        <stp>P</stp>
        <stp>0</stp>
        <stp>STK</stp>
        <stp>N007700</stp>
        <stp>누적거래대금</stp>
        <stp/>
        <stp/>
        <tr r="N365" s="1"/>
      </tp>
      <tp>
        <v>2586208600</v>
        <stp/>
        <stp>P</stp>
        <stp>0</stp>
        <stp>STK</stp>
        <stp>N004700</stp>
        <stp>누적거래대금</stp>
        <stp/>
        <stp/>
        <tr r="N500" s="1"/>
      </tp>
      <tp>
        <v>9052666700</v>
        <stp/>
        <stp>P</stp>
        <stp>0</stp>
        <stp>STK</stp>
        <stp>N204320</stp>
        <stp>누적거래대금</stp>
        <stp/>
        <stp/>
        <tr r="N142" s="1"/>
      </tp>
      <tp>
        <v>201091000</v>
        <stp/>
        <stp>P</stp>
        <stp>0</stp>
        <stp>STK</stp>
        <stp>N004000</stp>
        <stp>누적거래대금</stp>
        <stp/>
        <stp/>
        <tr r="N290" s="1"/>
      </tp>
      <tp>
        <v>597517100</v>
        <stp/>
        <stp>P</stp>
        <stp>0</stp>
        <stp>STK</stp>
        <stp>N004800</stp>
        <stp>누적거래대금</stp>
        <stp/>
        <stp/>
        <tr r="N177" s="1"/>
      </tp>
      <tp>
        <v>23584010</v>
        <stp/>
        <stp>P</stp>
        <stp>0</stp>
        <stp>STK</stp>
        <stp>N005500</stp>
        <stp>누적거래대금</stp>
        <stp/>
        <stp/>
        <tr r="N669" s="1"/>
      </tp>
      <tp>
        <v>242386100</v>
        <stp/>
        <stp>P</stp>
        <stp>0</stp>
        <stp>STK</stp>
        <stp>N005300</stp>
        <stp>누적거래대금</stp>
        <stp/>
        <stp/>
        <tr r="N284" s="1"/>
      </tp>
      <tp>
        <v>1628105400</v>
        <stp/>
        <stp>P</stp>
        <stp>0</stp>
        <stp>STK</stp>
        <stp>N102710</stp>
        <stp>누적거래대금</stp>
        <stp/>
        <stp/>
        <tr r="N401" s="1"/>
      </tp>
      <tp>
        <v>24127601000</v>
        <stp/>
        <stp>P</stp>
        <stp>0</stp>
        <stp>STK</stp>
        <stp>N402340</stp>
        <stp>누적거래대금</stp>
        <stp/>
        <stp/>
        <tr r="N18" s="1"/>
      </tp>
      <tp>
        <v>8176330</v>
        <stp/>
        <stp>P</stp>
        <stp>0</stp>
        <stp>STK</stp>
        <stp>N003300</stp>
        <stp>누적거래대금</stp>
        <stp/>
        <stp/>
        <tr r="N492" s="1"/>
      </tp>
      <tp>
        <v>118548760</v>
        <stp/>
        <stp>P</stp>
        <stp>0</stp>
        <stp>STK</stp>
        <stp>N003200</stp>
        <stp>누적거래대금</stp>
        <stp/>
        <stp/>
        <tr r="N621" s="1"/>
      </tp>
      <tp>
        <v>1022403000</v>
        <stp/>
        <stp>P</stp>
        <stp>0</stp>
        <stp>STK</stp>
        <stp>N000500</stp>
        <stp>누적거래대금</stp>
        <stp/>
        <stp/>
        <tr r="N252" s="1"/>
      </tp>
      <tp>
        <v>6494924800</v>
        <stp/>
        <stp>P</stp>
        <stp>0</stp>
        <stp>STK</stp>
        <stp>N000100</stp>
        <stp>누적거래대금</stp>
        <stp/>
        <stp/>
        <tr r="N87" s="1"/>
      </tp>
      <tp>
        <v>368503320</v>
        <stp/>
        <stp>P</stp>
        <stp>0</stp>
        <stp>STK</stp>
        <stp>N001500</stp>
        <stp>누적거래대금</stp>
        <stp/>
        <stp/>
        <tr r="N462" s="1"/>
      </tp>
      <tp>
        <v>156842450</v>
        <stp/>
        <stp>P</stp>
        <stp>0</stp>
        <stp>STK</stp>
        <stp>N001800</stp>
        <stp>누적거래대금</stp>
        <stp/>
        <stp/>
        <tr r="N270" s="1"/>
      </tp>
      <tp>
        <v>707417200</v>
        <stp/>
        <stp>P</stp>
        <stp>0</stp>
        <stp>STK</stp>
        <stp>N308430</stp>
        <stp>누적거래대금</stp>
        <stp/>
        <stp/>
        <tr r="N625" s="1"/>
      </tp>
      <tp>
        <v>239777350</v>
        <stp/>
        <stp>P</stp>
        <stp>0</stp>
        <stp>STK</stp>
        <stp>N009900</stp>
        <stp>누적거래대금</stp>
        <stp/>
        <stp/>
        <tr r="N467" s="1"/>
      </tp>
      <tp>
        <v>82743910</v>
        <stp/>
        <stp>P</stp>
        <stp>0</stp>
        <stp>STK</stp>
        <stp>N194700</stp>
        <stp>누적거래대금</stp>
        <stp/>
        <stp/>
        <tr r="N671" s="1"/>
      </tp>
      <tp>
        <v>7840246350</v>
        <stp/>
        <stp>P</stp>
        <stp>0</stp>
        <stp>STK</stp>
        <stp>N095610</stp>
        <stp>누적거래대금</stp>
        <stp/>
        <stp/>
        <tr r="N322" s="1"/>
      </tp>
      <tp>
        <v>58135750</v>
        <stp/>
        <stp>P</stp>
        <stp>0</stp>
        <stp>STK</stp>
        <stp>N192400</stp>
        <stp>누적거래대금</stp>
        <stp/>
        <stp/>
        <tr r="N323" s="1"/>
      </tp>
      <tp>
        <v>4284296600</v>
        <stp/>
        <stp>P</stp>
        <stp>0</stp>
        <stp>STK</stp>
        <stp>N399720</stp>
        <stp>누적거래대금</stp>
        <stp/>
        <stp/>
        <tr r="N386" s="1"/>
      </tp>
      <tp>
        <v>332494400</v>
        <stp/>
        <stp>P</stp>
        <stp>0</stp>
        <stp>STK</stp>
        <stp>N299030</stp>
        <stp>누적거래대금</stp>
        <stp/>
        <stp/>
        <tr r="N694" s="1"/>
      </tp>
      <tp>
        <v>665603600</v>
        <stp/>
        <stp>P</stp>
        <stp>0</stp>
        <stp>STK</stp>
        <stp>N199800</stp>
        <stp>누적거래대금</stp>
        <stp/>
        <stp/>
        <tr r="N474" s="1"/>
      </tp>
      <tp>
        <v>19700997250</v>
        <stp/>
        <stp>P</stp>
        <stp>0</stp>
        <stp>STK</stp>
        <stp>N087010</stp>
        <stp>누적거래대금</stp>
        <stp/>
        <stp/>
        <tr r="N111" s="1"/>
      </tp>
      <tp>
        <v>439138550</v>
        <stp/>
        <stp>P</stp>
        <stp>0</stp>
        <stp>STK</stp>
        <stp>N084110</stp>
        <stp>누적거래대금</stp>
        <stp/>
        <stp/>
        <tr r="N426" s="1"/>
      </tp>
      <tp>
        <v>22802780</v>
        <stp/>
        <stp>P</stp>
        <stp>0</stp>
        <stp>STK</stp>
        <stp>N084010</stp>
        <stp>누적거래대금</stp>
        <stp/>
        <stp/>
        <tr r="N687" s="1"/>
      </tp>
      <tp>
        <v>391047550</v>
        <stp/>
        <stp>P</stp>
        <stp>0</stp>
        <stp>STK</stp>
        <stp>N285130</stp>
        <stp>누적거래대금</stp>
        <stp/>
        <stp/>
        <tr r="N295" s="1"/>
      </tp>
      <tp>
        <v>198131800</v>
        <stp/>
        <stp>P</stp>
        <stp>0</stp>
        <stp>STK</stp>
        <stp>N282330</stp>
        <stp>누적거래대금</stp>
        <stp/>
        <stp/>
        <tr r="N213" s="1"/>
      </tp>
      <tp>
        <v>5767194000</v>
        <stp/>
        <stp>P</stp>
        <stp>0</stp>
        <stp>STK</stp>
        <stp>N483650</stp>
        <stp>누적거래대금</stp>
        <stp/>
        <stp/>
        <tr r="N236" s="1"/>
      </tp>
      <tp>
        <v>3620818600</v>
        <stp/>
        <stp>P</stp>
        <stp>0</stp>
        <stp>STK</stp>
        <stp>N183300</stp>
        <stp>누적거래대금</stp>
        <stp/>
        <stp/>
        <tr r="N306" s="1"/>
      </tp>
      <tp>
        <v>659724600</v>
        <stp/>
        <stp>P</stp>
        <stp>0</stp>
        <stp>STK</stp>
        <stp>N383220</stp>
        <stp>누적거래대금</stp>
        <stp/>
        <stp/>
        <tr r="N178" s="1"/>
      </tp>
      <tp>
        <v>14428421500</v>
        <stp/>
        <stp>P</stp>
        <stp>0</stp>
        <stp>STK</stp>
        <stp>N388720</stp>
        <stp>누적거래대금</stp>
        <stp/>
        <stp/>
        <tr r="N286" s="1"/>
      </tp>
      <tp>
        <v>4832943200</v>
        <stp/>
        <stp>P</stp>
        <stp>0</stp>
        <stp>STK</stp>
        <stp>N189300</stp>
        <stp>누적거래대금</stp>
        <stp/>
        <stp/>
        <tr r="N359" s="1"/>
      </tp>
      <tp>
        <v>8567499900</v>
        <stp/>
        <stp>P</stp>
        <stp>0</stp>
        <stp>STK</stp>
        <stp>N089010</stp>
        <stp>누적거래대금</stp>
        <stp/>
        <stp/>
        <tr r="N466" s="1"/>
      </tp>
      <tp>
        <v>1301588270</v>
        <stp/>
        <stp>P</stp>
        <stp>0</stp>
        <stp>STK</stp>
        <stp>N475150</stp>
        <stp>누적거래대금</stp>
        <stp/>
        <stp/>
        <tr r="N402" s="1"/>
      </tp>
      <tp>
        <v>128080800</v>
        <stp/>
        <stp>P</stp>
        <stp>0</stp>
        <stp>STK</stp>
        <stp>N072710</stp>
        <stp>누적거래대금</stp>
        <stp/>
        <stp/>
        <tr r="N539" s="1"/>
      </tp>
      <tp>
        <v>817914250</v>
        <stp/>
        <stp>P</stp>
        <stp>0</stp>
        <stp>STK</stp>
        <stp>N372320</stp>
        <stp>누적거래대금</stp>
        <stp/>
        <stp/>
        <tr r="N403" s="1"/>
      </tp>
      <tp>
        <v>98361620</v>
        <stp/>
        <stp>P</stp>
        <stp>0</stp>
        <stp>STK</stp>
        <stp>N472850</stp>
        <stp>누적거래대금</stp>
        <stp/>
        <stp/>
        <tr r="N640" s="1"/>
      </tp>
      <tp>
        <v>19008025250</v>
        <stp/>
        <stp>P</stp>
        <stp>0</stp>
        <stp>STK</stp>
        <stp>N373220</stp>
        <stp>누적거래대금</stp>
        <stp/>
        <stp/>
        <tr r="N12" s="1"/>
      </tp>
      <tp>
        <v>131077300</v>
        <stp/>
        <stp>P</stp>
        <stp>0</stp>
        <stp>STK</stp>
        <stp>N170900</stp>
        <stp>누적거래대금</stp>
        <stp/>
        <stp/>
        <tr r="N499" s="1"/>
      </tp>
      <tp>
        <v>292896200</v>
        <stp/>
        <stp>P</stp>
        <stp>0</stp>
        <stp>STK</stp>
        <stp>N179900</stp>
        <stp>누적거래대금</stp>
        <stp/>
        <stp/>
        <tr r="N528" s="1"/>
      </tp>
      <tp>
        <v>16551941800</v>
        <stp/>
        <stp>P</stp>
        <stp>0</stp>
        <stp>STK</stp>
        <stp>N067310</stp>
        <stp>누적거래대금</stp>
        <stp/>
        <stp/>
        <tr r="N233" s="1"/>
      </tp>
      <tp>
        <v>9532950780</v>
        <stp/>
        <stp>P</stp>
        <stp>0</stp>
        <stp>STK</stp>
        <stp>N161000</stp>
        <stp>누적거래대금</stp>
        <stp/>
        <stp/>
        <tr r="N524" s="1"/>
      </tp>
      <tp>
        <v>16792683250</v>
        <stp/>
        <stp>P</stp>
        <stp>0</stp>
        <stp>STK</stp>
        <stp>N352820</stp>
        <stp>누적거래대금</stp>
        <stp/>
        <stp/>
        <tr r="N59" s="1"/>
      </tp>
      <tp>
        <v>33399671200</v>
        <stp/>
        <stp>P</stp>
        <stp>0</stp>
        <stp>STK</stp>
        <stp>N053610</stp>
        <stp>누적거래대금</stp>
        <stp/>
        <stp/>
        <tr r="N541" s="1"/>
      </tp>
      <tp>
        <v>6082593675</v>
        <stp/>
        <stp>P</stp>
        <stp>0</stp>
        <stp>STK</stp>
        <stp>N450950</stp>
        <stp>누적거래대금</stp>
        <stp/>
        <stp/>
        <tr r="N501" s="1"/>
      </tp>
      <tp>
        <v>13436053500</v>
        <stp/>
        <stp>P</stp>
        <stp>0</stp>
        <stp>STK</stp>
        <stp>N051910</stp>
        <stp>누적거래대금</stp>
        <stp/>
        <stp/>
        <tr r="N36" s="1"/>
      </tp>
      <tp>
        <v>38273283900</v>
        <stp/>
        <stp>P</stp>
        <stp>0</stp>
        <stp>STK</stp>
        <stp>N058610</stp>
        <stp>누적거래대금</stp>
        <stp/>
        <stp/>
        <tr r="N181" s="1"/>
      </tp>
      <tp>
        <v>15108999950</v>
        <stp/>
        <stp>P</stp>
        <stp>0</stp>
        <stp>STK</stp>
        <stp>N047810</stp>
        <stp>누적거래대금</stp>
        <stp/>
        <stp/>
        <tr r="N56" s="1"/>
      </tp>
      <tp>
        <v>93436750</v>
        <stp/>
        <stp>P</stp>
        <stp>0</stp>
        <stp>STK</stp>
        <stp>N344820</stp>
        <stp>누적거래대금</stp>
        <stp/>
        <stp/>
        <tr r="N519" s="1"/>
      </tp>
      <tp>
        <v>3098071300</v>
        <stp/>
        <stp>P</stp>
        <stp>0</stp>
        <stp>STK</stp>
        <stp>N041510</stp>
        <stp>누적거래대금</stp>
        <stp/>
        <stp/>
        <tr r="N180" s="1"/>
      </tp>
      <tp>
        <v>0</v>
        <stp/>
        <stp>P</stp>
        <stp>0</stp>
        <stp>STK</stp>
        <stp>N048410</stp>
        <stp>누적거래대금</stp>
        <stp/>
        <stp/>
        <tr r="N455" s="1"/>
      </tp>
      <tp>
        <v>6336996400</v>
        <stp/>
        <stp>P</stp>
        <stp>0</stp>
        <stp>STK</stp>
        <stp>N036810</stp>
        <stp>누적거래대금</stp>
        <stp/>
        <stp/>
        <tr r="N382" s="1"/>
      </tp>
      <tp>
        <v>89542300</v>
        <stp/>
        <stp>P</stp>
        <stp>0</stp>
        <stp>STK</stp>
        <stp>N037710</stp>
        <stp>누적거래대금</stp>
        <stp/>
        <stp/>
        <tr r="N676" s="1"/>
      </tp>
      <tp>
        <v>10885689050</v>
        <stp/>
        <stp>P</stp>
        <stp>0</stp>
        <stp>STK</stp>
        <stp>N137400</stp>
        <stp>누적거래대금</stp>
        <stp/>
        <stp/>
        <tr r="N325" s="1"/>
      </tp>
      <tp>
        <v>53902880</v>
        <stp/>
        <stp>P</stp>
        <stp>0</stp>
        <stp>STK</stp>
        <stp>N034310</stp>
        <stp>누적거래대금</stp>
        <stp/>
        <stp/>
        <tr r="N491" s="1"/>
      </tp>
      <tp>
        <v>301770760</v>
        <stp/>
        <stp>P</stp>
        <stp>0</stp>
        <stp>STK</stp>
        <stp>N030610</stp>
        <stp>누적거래대금</stp>
        <stp/>
        <stp/>
        <tr r="N289" s="1"/>
      </tp>
      <tp>
        <v>103930350</v>
        <stp/>
        <stp>P</stp>
        <stp>0</stp>
        <stp>STK</stp>
        <stp>N031210</stp>
        <stp>누적거래대금</stp>
        <stp/>
        <stp/>
        <tr r="N143" s="1"/>
      </tp>
      <tp>
        <v>739848625</v>
        <stp/>
        <stp>P</stp>
        <stp>0</stp>
        <stp>STK</stp>
        <stp>N338220</stp>
        <stp>누적거래대금</stp>
        <stp/>
        <stp/>
        <tr r="N646" s="1"/>
      </tp>
      <tp>
        <v>3015030050</v>
        <stp/>
        <stp>P</stp>
        <stp>0</stp>
        <stp>STK</stp>
        <stp>N024110</stp>
        <stp>누적거래대금</stp>
        <stp/>
        <stp/>
        <tr r="N55" s="1"/>
      </tp>
      <tp>
        <v>3295616850</v>
        <stp/>
        <stp>P</stp>
        <stp>0</stp>
        <stp>STK</stp>
        <stp>N121600</stp>
        <stp>누적거래대금</stp>
        <stp/>
        <stp/>
        <tr r="N419" s="1"/>
      </tp>
      <tp>
        <v>195407680</v>
        <stp/>
        <stp>P</stp>
        <stp>0</stp>
        <stp>STK</stp>
        <stp>N016610</stp>
        <stp>누적거래대금</stp>
        <stp/>
        <stp/>
        <tr r="N486" s="1"/>
      </tp>
      <tp>
        <v>162385980</v>
        <stp/>
        <stp>P</stp>
        <stp>0</stp>
        <stp>STK</stp>
        <stp>N017810</stp>
        <stp>누적거래대금</stp>
        <stp/>
        <stp/>
        <tr r="N482" s="1"/>
      </tp>
      <tp>
        <v>2897364400</v>
        <stp/>
        <stp>P</stp>
        <stp>0</stp>
        <stp>STK</stp>
        <stp>N214430</stp>
        <stp>누적거래대금</stp>
        <stp/>
        <stp/>
        <tr r="N417" s="1"/>
      </tp>
      <tp>
        <v>3589708500</v>
        <stp/>
        <stp>P</stp>
        <stp>0</stp>
        <stp>STK</stp>
        <stp>N012510</stp>
        <stp>누적거래대금</stp>
        <stp/>
        <stp/>
        <tr r="N158" s="1"/>
      </tp>
      <tp>
        <v>7025635500</v>
        <stp/>
        <stp>P</stp>
        <stp>0</stp>
        <stp>STK</stp>
        <stp>N011210</stp>
        <stp>누적거래대금</stp>
        <stp/>
        <stp/>
        <tr r="N167" s="1"/>
      </tp>
      <tp>
        <v>5746120</v>
        <stp/>
        <stp>P</stp>
        <stp>0</stp>
        <stp>STK</stp>
        <stp>N018310</stp>
        <stp>누적거래대금</stp>
        <stp/>
        <stp/>
        <tr r="N647" s="1"/>
      </tp>
      <tp>
        <v>3630213975</v>
        <stp/>
        <stp>P</stp>
        <stp>0</stp>
        <stp>STK</stp>
        <stp>N006110</stp>
        <stp>누적거래대금</stp>
        <stp/>
        <stp/>
        <tr r="N571" s="1"/>
      </tp>
      <tp>
        <v>83580000</v>
        <stp/>
        <stp>P</stp>
        <stp>0</stp>
        <stp>STK</stp>
        <stp>N007310</stp>
        <stp>누적거래대금</stp>
        <stp/>
        <stp/>
        <tr r="N247" s="1"/>
      </tp>
      <tp>
        <v>0</v>
        <stp/>
        <stp>P</stp>
        <stp>0</stp>
        <stp>STK</stp>
        <stp>N007810</stp>
        <stp>누적거래대금</stp>
        <stp/>
        <stp/>
        <tr r="N253" s="1"/>
      </tp>
      <tp>
        <v>10731110</v>
        <stp/>
        <stp>P</stp>
        <stp>0</stp>
        <stp>STK</stp>
        <stp>N104700</stp>
        <stp>누적거래대금</stp>
        <stp/>
        <stp/>
        <tr r="N568" s="1"/>
      </tp>
      <tp>
        <v>20299280</v>
        <stp/>
        <stp>P</stp>
        <stp>0</stp>
        <stp>STK</stp>
        <stp>N005710</stp>
        <stp>누적거래대금</stp>
        <stp/>
        <stp/>
        <tr r="N659" s="1"/>
      </tp>
      <tp>
        <v>11643000</v>
        <stp/>
        <stp>P</stp>
        <stp>0</stp>
        <stp>STK</stp>
        <stp>N005610</stp>
        <stp>누적거래대금</stp>
        <stp/>
        <stp/>
        <tr r="N514" s="1"/>
      </tp>
      <tp>
        <v>184365300</v>
        <stp/>
        <stp>P</stp>
        <stp>0</stp>
        <stp>STK</stp>
        <stp>N005810</stp>
        <stp>누적거래대금</stp>
        <stp/>
        <stp/>
        <tr r="N449" s="1"/>
      </tp>
      <tp>
        <v>1126015710</v>
        <stp/>
        <stp>P</stp>
        <stp>0</stp>
        <stp>STK</stp>
        <stp>N002710</stp>
        <stp>누적거래대금</stp>
        <stp/>
        <stp/>
        <tr r="N570" s="1"/>
      </tp>
      <tp>
        <v>18635670</v>
        <stp/>
        <stp>P</stp>
        <stp>0</stp>
        <stp>STK</stp>
        <stp>N002810</stp>
        <stp>누적거래대금</stp>
        <stp/>
        <stp/>
        <tr r="N619" s="1"/>
      </tp>
      <tp>
        <v>9471930</v>
        <stp/>
        <stp>P</stp>
        <stp>0</stp>
        <stp>STK</stp>
        <stp>N403550</stp>
        <stp>누적거래대금</stp>
        <stp/>
        <stp/>
        <tr r="N540" s="1"/>
      </tp>
      <tp>
        <v>352247100</v>
        <stp/>
        <stp>P</stp>
        <stp>0</stp>
        <stp>STK</stp>
        <stp>N403850</stp>
        <stp>누적거래대금</stp>
        <stp/>
        <stp/>
        <tr r="N581" s="1"/>
      </tp>
      <tp>
        <v>186798020</v>
        <stp/>
        <stp>P</stp>
        <stp>0</stp>
        <stp>STK</stp>
        <stp>N300720</stp>
        <stp>누적거래대금</stp>
        <stp/>
        <stp/>
        <tr r="N282" s="1"/>
      </tp>
      <tp>
        <v>4279023675</v>
        <stp/>
        <stp>P</stp>
        <stp>0</stp>
        <stp>STK</stp>
        <stp>N000210</stp>
        <stp>누적거래대금</stp>
        <stp/>
        <stp/>
        <tr r="N368" s="1"/>
      </tp>
      <tp>
        <v>99885580</v>
        <stp/>
        <stp>P</stp>
        <stp>0</stp>
        <stp>STK</stp>
        <stp>N200130</stp>
        <stp>누적거래대금</stp>
        <stp/>
        <stp/>
        <tr r="N565" s="1"/>
      </tp>
      <tp>
        <v>1021054500</v>
        <stp/>
        <stp>P</stp>
        <stp>0</stp>
        <stp>STK</stp>
        <stp>N000810</stp>
        <stp>누적거래대금</stp>
        <stp/>
        <stp/>
        <tr r="N38" s="1"/>
      </tp>
      <tp>
        <v>373896550</v>
        <stp/>
        <stp>P</stp>
        <stp>0</stp>
        <stp>STK</stp>
        <stp>N097520</stp>
        <stp>누적거래대금</stp>
        <stp/>
        <stp/>
        <tr r="N450" s="1"/>
      </tp>
      <tp>
        <v>322529800</v>
        <stp/>
        <stp>P</stp>
        <stp>0</stp>
        <stp>STK</stp>
        <stp>N093520</stp>
        <stp>누적거래대금</stp>
        <stp/>
        <stp/>
        <tr r="N630" s="1"/>
      </tp>
      <tp>
        <v>129474300</v>
        <stp/>
        <stp>P</stp>
        <stp>0</stp>
        <stp>STK</stp>
        <stp>N093320</stp>
        <stp>누적거래대금</stp>
        <stp/>
        <stp/>
        <tr r="N432" s="1"/>
      </tp>
      <tp>
        <v>1833424650</v>
        <stp/>
        <stp>P</stp>
        <stp>0</stp>
        <stp>STK</stp>
        <stp>N199430</stp>
        <stp>누적거래대금</stp>
        <stp/>
        <stp/>
        <tr r="N488" s="1"/>
      </tp>
      <tp>
        <v>351668915850</v>
        <stp/>
        <stp>P</stp>
        <stp>0</stp>
        <stp>STK</stp>
        <stp>N086520</stp>
        <stp>누적거래대금</stp>
        <stp/>
        <stp/>
        <tr r="N67" s="1"/>
      </tp>
      <tp>
        <v>92554920</v>
        <stp/>
        <stp>P</stp>
        <stp>0</stp>
        <stp>STK</stp>
        <stp>N085620</stp>
        <stp>누적거래대금</stp>
        <stp/>
        <stp/>
        <tr r="N244" s="1"/>
      </tp>
      <tp>
        <v>806626450</v>
        <stp/>
        <stp>P</stp>
        <stp>0</stp>
        <stp>STK</stp>
        <stp>N082920</stp>
        <stp>누적거래대금</stp>
        <stp/>
        <stp/>
        <tr r="N331" s="1"/>
      </tp>
      <tp>
        <v>49964309000</v>
        <stp/>
        <stp>P</stp>
        <stp>0</stp>
        <stp>STK</stp>
        <stp>N383310</stp>
        <stp>누적거래대금</stp>
        <stp/>
        <stp/>
        <tr r="N479" s="1"/>
      </tp>
      <tp>
        <v>89795437875</v>
        <stp/>
        <stp>P</stp>
        <stp>0</stp>
        <stp>STK</stp>
        <stp>N080220</stp>
        <stp>누적거래대금</stp>
        <stp/>
        <stp/>
        <tr r="N307" s="1"/>
      </tp>
      <tp>
        <v>3937798400</v>
        <stp/>
        <stp>P</stp>
        <stp>0</stp>
        <stp>STK</stp>
        <stp>N388210</stp>
        <stp>누적거래대금</stp>
        <stp/>
        <stp/>
        <tr r="N305" s="1"/>
      </tp>
      <tp>
        <v>2039902140</v>
        <stp/>
        <stp>P</stp>
        <stp>0</stp>
        <stp>STK</stp>
        <stp>N476060</stp>
        <stp>누적거래대금</stp>
        <stp/>
        <stp/>
        <tr r="N343" s="1"/>
      </tp>
      <tp>
        <v>90379950</v>
        <stp/>
        <stp>P</stp>
        <stp>0</stp>
        <stp>STK</stp>
        <stp>N475560</stp>
        <stp>누적거래대금</stp>
        <stp/>
        <stp/>
        <tr r="N574" s="1"/>
      </tp>
      <tp>
        <v>215076500</v>
        <stp/>
        <stp>P</stp>
        <stp>0</stp>
        <stp>STK</stp>
        <stp>N175330</stp>
        <stp>누적거래대금</stp>
        <stp/>
        <stp/>
        <tr r="N121" s="1"/>
      </tp>
      <tp>
        <v>2198120100</v>
        <stp/>
        <stp>P</stp>
        <stp>0</stp>
        <stp>STK</stp>
        <stp>N475960</stp>
        <stp>누적거래대금</stp>
        <stp/>
        <stp/>
        <tr r="N431" s="1"/>
      </tp>
      <tp>
        <v>131615000</v>
        <stp/>
        <stp>P</stp>
        <stp>0</stp>
        <stp>STK</stp>
        <stp>N071320</stp>
        <stp>누적거래대금</stp>
        <stp/>
        <stp/>
        <tr r="N274" s="1"/>
      </tp>
      <tp>
        <v>242131310</v>
        <stp/>
        <stp>P</stp>
        <stp>0</stp>
        <stp>STK</stp>
        <stp>N078520</stp>
        <stp>누적거래대금</stp>
        <stp/>
        <stp/>
        <tr r="N673" s="1"/>
      </tp>
      <tp>
        <v>497700700</v>
        <stp/>
        <stp>P</stp>
        <stp>0</stp>
        <stp>STK</stp>
        <stp>N064820</stp>
        <stp>누적거래대금</stp>
        <stp/>
        <stp/>
        <tr r="N551" s="1"/>
      </tp>
      <tp>
        <v>9162600640</v>
        <stp/>
        <stp>P</stp>
        <stp>0</stp>
        <stp>STK</stp>
        <stp>N060720</stp>
        <stp>누적거래대금</stp>
        <stp/>
        <stp/>
        <tr r="N573" s="1"/>
      </tp>
      <tp>
        <v>674255850</v>
        <stp/>
        <stp>P</stp>
        <stp>0</stp>
        <stp>STK</stp>
        <stp>N460860</stp>
        <stp>누적거래대금</stp>
        <stp/>
        <stp/>
        <tr r="N536" s="1"/>
      </tp>
      <tp>
        <v>867824350</v>
        <stp/>
        <stp>P</stp>
        <stp>0</stp>
        <stp>STK</stp>
        <stp>N361610</stp>
        <stp>누적거래대금</stp>
        <stp/>
        <stp/>
        <tr r="N214" s="1"/>
      </tp>
      <tp>
        <v>256997100</v>
        <stp/>
        <stp>P</stp>
        <stp>0</stp>
        <stp>STK</stp>
        <stp>N069620</stp>
        <stp>누적거래대금</stp>
        <stp/>
        <stp/>
        <tr r="N220" s="1"/>
      </tp>
      <tp>
        <v>10255517200</v>
        <stp/>
        <stp>P</stp>
        <stp>0</stp>
        <stp>STK</stp>
        <stp>N456160</stp>
        <stp>누적거래대금</stp>
        <stp/>
        <stp/>
        <tr r="N281" s="1"/>
      </tp>
      <tp>
        <v>1684521400</v>
        <stp/>
        <stp>P</stp>
        <stp>0</stp>
        <stp>STK</stp>
        <stp>N047920</stp>
        <stp>누적거래대금</stp>
        <stp/>
        <stp/>
        <tr r="N451" s="1"/>
      </tp>
      <tp>
        <v>5409431925</v>
        <stp/>
        <stp>P</stp>
        <stp>0</stp>
        <stp>STK</stp>
        <stp>N042520</stp>
        <stp>누적거래대금</stp>
        <stp/>
        <stp/>
        <tr r="N607" s="1"/>
      </tp>
      <tp>
        <v>1557229000</v>
        <stp/>
        <stp>P</stp>
        <stp>0</stp>
        <stp>STK</stp>
        <stp>N443060</stp>
        <stp>누적거래대금</stp>
        <stp/>
        <stp/>
        <tr r="N86" s="1"/>
      </tp>
      <tp>
        <v>786212000</v>
        <stp/>
        <stp>P</stp>
        <stp>0</stp>
        <stp>STK</stp>
        <stp>N348210</stp>
        <stp>누적거래대금</stp>
        <stp/>
        <stp/>
        <tr r="N363" s="1"/>
      </tp>
      <tp>
        <v>1180102480</v>
        <stp/>
        <stp>P</stp>
        <stp>0</stp>
        <stp>STK</stp>
        <stp>N036620</stp>
        <stp>누적거래대금</stp>
        <stp/>
        <stp/>
        <tr r="N481" s="1"/>
      </tp>
      <tp>
        <v>500681600</v>
        <stp/>
        <stp>P</stp>
        <stp>0</stp>
        <stp>STK</stp>
        <stp>N236200</stp>
        <stp>누적거래대금</stp>
        <stp/>
        <stp/>
        <tr r="N667" s="1"/>
      </tp>
      <tp>
        <v>3022402830</v>
        <stp/>
        <stp>P</stp>
        <stp>0</stp>
        <stp>STK</stp>
        <stp>N034220</stp>
        <stp>누적거래대금</stp>
        <stp/>
        <stp/>
        <tr r="N102" s="1"/>
      </tp>
      <tp>
        <v>23764080</v>
        <stp/>
        <stp>P</stp>
        <stp>0</stp>
        <stp>STK</stp>
        <stp>N034120</stp>
        <stp>누적거래대금</stp>
        <stp/>
        <stp/>
        <tr r="N584" s="1"/>
      </tp>
      <tp>
        <v>150234467750</v>
        <stp/>
        <stp>P</stp>
        <stp>0</stp>
        <stp>STK</stp>
        <stp>N034020</stp>
        <stp>누적거래대금</stp>
        <stp/>
        <stp/>
        <tr r="N17" s="1"/>
      </tp>
      <tp>
        <v>25329316500</v>
        <stp/>
        <stp>P</stp>
        <stp>0</stp>
        <stp>STK</stp>
        <stp>N035720</stp>
        <stp>누적거래대금</stp>
        <stp/>
        <stp/>
        <tr r="N35" s="1"/>
      </tp>
      <tp>
        <v>100377481000</v>
        <stp/>
        <stp>P</stp>
        <stp>0</stp>
        <stp>STK</stp>
        <stp>N035420</stp>
        <stp>누적거래대금</stp>
        <stp/>
        <stp/>
        <tr r="N26" s="1"/>
      </tp>
      <tp>
        <v>1422900850</v>
        <stp/>
        <stp>P</stp>
        <stp>0</stp>
        <stp>STK</stp>
        <stp>N030520</stp>
        <stp>누적거래대금</stp>
        <stp/>
        <stp/>
        <tr r="N457" s="1"/>
      </tp>
      <tp>
        <v>320823340</v>
        <stp/>
        <stp>P</stp>
        <stp>0</stp>
        <stp>STK</stp>
        <stp>N138930</stp>
        <stp>누적거래대금</stp>
        <stp/>
        <stp/>
        <tr r="N115" s="1"/>
      </tp>
      <tp>
        <v>11008602050</v>
        <stp/>
        <stp>P</stp>
        <stp>0</stp>
        <stp>STK</stp>
        <stp>N439260</stp>
        <stp>누적거래대금</stp>
        <stp/>
        <stp/>
        <tr r="N172" s="1"/>
      </tp>
      <tp>
        <v>310893970</v>
        <stp/>
        <stp>P</stp>
        <stp>0</stp>
        <stp>STK</stp>
        <stp>N139130</stp>
        <stp>누적거래대금</stp>
        <stp/>
        <stp/>
        <tr r="N196" s="1"/>
      </tp>
      <tp>
        <v>108914430</v>
        <stp/>
        <stp>P</stp>
        <stp>0</stp>
        <stp>STK</stp>
        <stp>N024720</stp>
        <stp>누적거래대금</stp>
        <stp/>
        <stp/>
        <tr r="N605" s="1"/>
      </tp>
      <tp>
        <v>2334086960</v>
        <stp/>
        <stp>P</stp>
        <stp>0</stp>
        <stp>STK</stp>
        <stp>N025320</stp>
        <stp>누적거래대금</stp>
        <stp/>
        <stp/>
        <tr r="N476" s="1"/>
      </tp>
      <tp>
        <v>38000329600</v>
        <stp/>
        <stp>P</stp>
        <stp>0</stp>
        <stp>STK</stp>
        <stp>N222800</stp>
        <stp>누적거래대금</stp>
        <stp/>
        <stp/>
        <tr r="N223" s="1"/>
      </tp>
      <tp>
        <v>3541022475</v>
        <stp/>
        <stp>P</stp>
        <stp>0</stp>
        <stp>STK</stp>
        <stp>N323410</stp>
        <stp>누적거래대금</stp>
        <stp/>
        <stp/>
        <tr r="N75" s="1"/>
      </tp>
      <tp>
        <v>1609195100</v>
        <stp/>
        <stp>P</stp>
        <stp>0</stp>
        <stp>STK</stp>
        <stp>N220100</stp>
        <stp>누적거래대금</stp>
        <stp/>
        <stp/>
        <tr r="N461" s="1"/>
      </tp>
      <tp>
        <v>3551523500</v>
        <stp/>
        <stp>P</stp>
        <stp>0</stp>
        <stp>STK</stp>
        <stp>N117730</stp>
        <stp>누적거래대금</stp>
        <stp/>
        <stp/>
        <tr r="N414" s="1"/>
      </tp>
      <tp>
        <v>930302100</v>
        <stp/>
        <stp>P</stp>
        <stp>0</stp>
        <stp>STK</stp>
        <stp>N014620</stp>
        <stp>누적거래대금</stp>
        <stp/>
        <stp/>
        <tr r="N364" s="1"/>
      </tp>
      <tp>
        <v>339652550</v>
        <stp/>
        <stp>P</stp>
        <stp>0</stp>
        <stp>STK</stp>
        <stp>N014820</stp>
        <stp>누적거래대금</stp>
        <stp/>
        <stp/>
        <tr r="N384" s="1"/>
      </tp>
      <tp>
        <v>89692750</v>
        <stp/>
        <stp>P</stp>
        <stp>0</stp>
        <stp>STK</stp>
        <stp>N215200</stp>
        <stp>누적거래대금</stp>
        <stp/>
        <stp/>
        <tr r="N538" s="1"/>
      </tp>
      <tp>
        <v>106363100</v>
        <stp/>
        <stp>P</stp>
        <stp>0</stp>
        <stp>STK</stp>
        <stp>N215000</stp>
        <stp>누적거래대금</stp>
        <stp/>
        <stp/>
        <tr r="N595" s="1"/>
      </tp>
      <tp>
        <v>4548523000</v>
        <stp/>
        <stp>P</stp>
        <stp>0</stp>
        <stp>STK</stp>
        <stp>N310210</stp>
        <stp>누적거래대금</stp>
        <stp/>
        <stp/>
        <tr r="N148" s="1"/>
      </tp>
      <tp>
        <v>13814559000</v>
        <stp/>
        <stp>P</stp>
        <stp>0</stp>
        <stp>STK</stp>
        <stp>N010120</stp>
        <stp>누적거래대금</stp>
        <stp/>
        <stp/>
        <tr r="N58" s="1"/>
      </tp>
      <tp>
        <v>12440249990</v>
        <stp/>
        <stp>P</stp>
        <stp>0</stp>
        <stp>STK</stp>
        <stp>N006220</stp>
        <stp>누적거래대금</stp>
        <stp/>
        <stp/>
        <tr r="N515" s="1"/>
      </tp>
      <tp>
        <v>94460600</v>
        <stp/>
        <stp>P</stp>
        <stp>0</stp>
        <stp>STK</stp>
        <stp>N006120</stp>
        <stp>누적거래대금</stp>
        <stp/>
        <stp/>
        <tr r="N294" s="1"/>
      </tp>
      <tp>
        <v>2605649700</v>
        <stp/>
        <stp>P</stp>
        <stp>0</stp>
        <stp>STK</stp>
        <stp>N004020</stp>
        <stp>누적거래대금</stp>
        <stp/>
        <stp/>
        <tr r="N125" s="1"/>
      </tp>
      <tp>
        <v>884080400</v>
        <stp/>
        <stp>P</stp>
        <stp>0</stp>
        <stp>STK</stp>
        <stp>N104830</stp>
        <stp>누적거래대금</stp>
        <stp/>
        <stp/>
        <tr r="N507" s="1"/>
      </tp>
      <tp>
        <v>137747020</v>
        <stp/>
        <stp>P</stp>
        <stp>0</stp>
        <stp>STK</stp>
        <stp>N105630</stp>
        <stp>누적거래대금</stp>
        <stp/>
        <stp/>
        <tr r="N444" s="1"/>
      </tp>
      <tp>
        <v>1089397070</v>
        <stp/>
        <stp>P</stp>
        <stp>0</stp>
        <stp>STK</stp>
        <stp>N005420</stp>
        <stp>누적거래대금</stp>
        <stp/>
        <stp/>
        <tr r="N446" s="1"/>
      </tp>
      <tp>
        <v>28522870</v>
        <stp/>
        <stp>P</stp>
        <stp>0</stp>
        <stp>STK</stp>
        <stp>N002320</stp>
        <stp>누적거래대금</stp>
        <stp/>
        <stp/>
        <tr r="N622" s="1"/>
      </tp>
      <tp>
        <v>1010677300</v>
        <stp/>
        <stp>P</stp>
        <stp>0</stp>
        <stp>STK</stp>
        <stp>N002020</stp>
        <stp>누적거래대금</stp>
        <stp/>
        <stp/>
        <tr r="N443" s="1"/>
      </tp>
      <tp>
        <v>66170290</v>
        <stp/>
        <stp>P</stp>
        <stp>0</stp>
        <stp>STK</stp>
        <stp>N003220</stp>
        <stp>누적거래대금</stp>
        <stp/>
        <stp/>
        <tr r="N670" s="1"/>
      </tp>
      <tp>
        <v>5016238025</v>
        <stp/>
        <stp>P</stp>
        <stp>0</stp>
        <stp>STK</stp>
        <stp>N003120</stp>
        <stp>누적거래대금</stp>
        <stp/>
        <stp/>
        <tr r="N633" s="1"/>
      </tp>
      <tp>
        <v>70959950</v>
        <stp/>
        <stp>P</stp>
        <stp>0</stp>
        <stp>STK</stp>
        <stp>N003920</stp>
        <stp>누적거래대금</stp>
        <stp/>
        <stp/>
        <tr r="N620" s="1"/>
      </tp>
      <tp>
        <v>17743772200</v>
        <stp/>
        <stp>P</stp>
        <stp>0</stp>
        <stp>STK</stp>
        <stp>N000720</stp>
        <stp>누적거래대금</stp>
        <stp/>
        <stp/>
        <tr r="N68" s="1"/>
      </tp>
      <tp>
        <v>78106850</v>
        <stp/>
        <stp>P</stp>
        <stp>0</stp>
        <stp>STK</stp>
        <stp>N000320</stp>
        <stp>누적거래대금</stp>
        <stp/>
        <stp/>
        <tr r="N657" s="1"/>
      </tp>
      <tp>
        <v>421508100</v>
        <stp/>
        <stp>P</stp>
        <stp>0</stp>
        <stp>STK</stp>
        <stp>N000120</stp>
        <stp>누적거래대금</stp>
        <stp/>
        <stp/>
        <tr r="N197" s="1"/>
      </tp>
      <tp>
        <v>3559409900</v>
        <stp/>
        <stp>P</stp>
        <stp>0</stp>
        <stp>STK</stp>
        <stp>N001720</stp>
        <stp>누적거래대금</stp>
        <stp/>
        <stp/>
        <tr r="N184" s="1"/>
      </tp>
      <tp>
        <v>264984330</v>
        <stp/>
        <stp>P</stp>
        <stp>0</stp>
        <stp>STK</stp>
        <stp>N101730</stp>
        <stp>누적거래대금</stp>
        <stp/>
        <stp/>
        <tr r="N475" s="1"/>
      </tp>
      <tp>
        <v>740409150</v>
        <stp/>
        <stp>P</stp>
        <stp>0</stp>
        <stp>STK</stp>
        <stp>N001120</stp>
        <stp>누적거래대금</stp>
        <stp/>
        <stp/>
        <tr r="N260" s="1"/>
      </tp>
      <tp>
        <v>49699550</v>
        <stp/>
        <stp>P</stp>
        <stp>0</stp>
        <stp>STK</stp>
        <stp>N101930</stp>
        <stp>누적거래대금</stp>
        <stp/>
        <stp/>
        <tr r="N525" s="1"/>
      </tp>
      <tp>
        <v>346178850</v>
        <stp/>
        <stp>P</stp>
        <stp>0</stp>
        <stp>STK</stp>
        <stp>N001820</stp>
        <stp>누적거래대금</stp>
        <stp/>
        <stp/>
        <tr r="N598" s="1"/>
      </tp>
      <tp>
        <v>2730667400</v>
        <stp/>
        <stp>P</stp>
        <stp>0</stp>
        <stp>STK</stp>
        <stp>N309710</stp>
        <stp>누적거래대금</stp>
        <stp/>
        <stp/>
        <tr r="N517" s="1"/>
      </tp>
      <tp>
        <v>3479734410</v>
        <stp/>
        <stp>P</stp>
        <stp>0</stp>
        <stp>STK</stp>
        <stp>N009520</stp>
        <stp>누적거래대금</stp>
        <stp/>
        <stp/>
        <tr r="N366" s="1"/>
      </tp>
      <tp>
        <v>4023304950</v>
        <stp/>
        <stp>P</stp>
        <stp>0</stp>
        <stp>STK</stp>
        <stp>N009420</stp>
        <stp>누적거래대금</stp>
        <stp/>
        <stp/>
        <tr r="N190" s="1"/>
      </tp>
      <tp>
        <v>7897512750</v>
        <stp/>
        <stp>P</stp>
        <stp>0</stp>
        <stp>STK</stp>
        <stp>N096530</stp>
        <stp>누적거래대금</stp>
        <stp/>
        <stp/>
        <tr r="N278" s="1"/>
      </tp>
      <tp>
        <v>4869622000</v>
        <stp/>
        <stp>P</stp>
        <stp>0</stp>
        <stp>STK</stp>
        <stp>N097230</stp>
        <stp>누적거래대금</stp>
        <stp/>
        <stp/>
        <tr r="N198" s="1"/>
      </tp>
      <tp>
        <v>38086765280</v>
        <stp/>
        <stp>P</stp>
        <stp>0</stp>
        <stp>STK</stp>
        <stp>N394800</stp>
        <stp>누적거래대금</stp>
        <stp/>
        <stp/>
        <tr r="N498" s="1"/>
      </tp>
      <tp>
        <v>7015883150</v>
        <stp/>
        <stp>P</stp>
        <stp>0</stp>
        <stp>STK</stp>
        <stp>N295310</stp>
        <stp>누적거래대금</stp>
        <stp/>
        <stp/>
        <tr r="N308" s="1"/>
      </tp>
      <tp>
        <v>89626620</v>
        <stp/>
        <stp>P</stp>
        <stp>0</stp>
        <stp>STK</stp>
        <stp>N092730</stp>
        <stp>누적거래대금</stp>
        <stp/>
        <stp/>
        <tr r="N648" s="1"/>
      </tp>
      <tp>
        <v>8762300</v>
        <stp/>
        <stp>P</stp>
        <stp>0</stp>
        <stp>STK</stp>
        <stp>N092230</stp>
        <stp>누적거래대금</stp>
        <stp/>
        <stp/>
        <tr r="N618" s="1"/>
      </tp>
      <tp>
        <v>1928741400</v>
        <stp/>
        <stp>P</stp>
        <stp>0</stp>
        <stp>STK</stp>
        <stp>N192820</stp>
        <stp>누적거래대금</stp>
        <stp/>
        <stp/>
        <tr r="N208" s="1"/>
      </tp>
      <tp>
        <v>3630596200</v>
        <stp/>
        <stp>P</stp>
        <stp>0</stp>
        <stp>STK</stp>
        <stp>N090430</stp>
        <stp>누적거래대금</stp>
        <stp/>
        <stp/>
        <tr r="N93" s="1"/>
      </tp>
      <tp>
        <v>1219010300</v>
        <stp/>
        <stp>P</stp>
        <stp>0</stp>
        <stp>STK</stp>
        <stp>N484870</stp>
        <stp>누적거래대금</stp>
        <stp/>
        <stp/>
        <tr r="N259" s="1"/>
      </tp>
      <tp>
        <v>451138850</v>
        <stp/>
        <stp>P</stp>
        <stp>0</stp>
        <stp>STK</stp>
        <stp>N382900</stp>
        <stp>누적거래대금</stp>
        <stp/>
        <stp/>
        <tr r="N654" s="1"/>
      </tp>
      <tp>
        <v>244948870</v>
        <stp/>
        <stp>P</stp>
        <stp>0</stp>
        <stp>STK</stp>
        <stp>N383800</stp>
        <stp>누적거래대금</stp>
        <stp/>
        <stp/>
        <tr r="N420" s="1"/>
      </tp>
      <tp>
        <v>120746950</v>
        <stp/>
        <stp>P</stp>
        <stp>0</stp>
        <stp>STK</stp>
        <stp>N481070</stp>
        <stp>누적거래대금</stp>
        <stp/>
        <stp/>
        <tr r="N591" s="1"/>
      </tp>
      <tp>
        <v>19071985750</v>
        <stp/>
        <stp>P</stp>
        <stp>0</stp>
        <stp>STK</stp>
        <stp>N089030</stp>
        <stp>누적거래대금</stp>
        <stp/>
        <stp/>
        <tr r="N250" s="1"/>
      </tp>
      <tp>
        <v>1039062450</v>
        <stp/>
        <stp>P</stp>
        <stp>0</stp>
        <stp>STK</stp>
        <stp>N376300</stp>
        <stp>누적거래대금</stp>
        <stp/>
        <stp/>
        <tr r="N367" s="1"/>
      </tp>
      <tp>
        <v>7899425550</v>
        <stp/>
        <stp>P</stp>
        <stp>0</stp>
        <stp>STK</stp>
        <stp>N376900</stp>
        <stp>누적거래대금</stp>
        <stp/>
        <stp/>
        <tr r="N313" s="1"/>
      </tp>
      <tp>
        <v>85464862950</v>
        <stp/>
        <stp>P</stp>
        <stp>0</stp>
        <stp>STK</stp>
        <stp>N377300</stp>
        <stp>누적거래대금</stp>
        <stp/>
        <stp/>
        <tr r="N95" s="1"/>
      </tp>
      <tp>
        <v>61461889000</v>
        <stp/>
        <stp>P</stp>
        <stp>0</stp>
        <stp>STK</stp>
        <stp>N277810</stp>
        <stp>누적거래대금</stp>
        <stp/>
        <stp/>
        <tr r="N74" s="1"/>
      </tp>
      <tp>
        <v>1991276850</v>
        <stp/>
        <stp>P</stp>
        <stp>0</stp>
        <stp>STK</stp>
        <stp>N375500</stp>
        <stp>누적거래대금</stp>
        <stp/>
        <stp/>
        <tr r="N238" s="1"/>
      </tp>
      <tp>
        <v>49330235100</v>
        <stp/>
        <stp>P</stp>
        <stp>0</stp>
        <stp>STK</stp>
        <stp>N272210</stp>
        <stp>누적거래대금</stp>
        <stp/>
        <stp/>
        <tr r="N53" s="1"/>
      </tp>
      <tp>
        <v>9908909400</v>
        <stp/>
        <stp>P</stp>
        <stp>0</stp>
        <stp>STK</stp>
        <stp>N178320</stp>
        <stp>누적거래대금</stp>
        <stp/>
        <stp/>
        <tr r="N231" s="1"/>
      </tp>
      <tp>
        <v>2473198600</v>
        <stp/>
        <stp>P</stp>
        <stp>0</stp>
        <stp>STK</stp>
        <stp>N078930</stp>
        <stp>누적거래대금</stp>
        <stp/>
        <stp/>
        <tr r="N104" s="1"/>
      </tp>
      <tp>
        <v>496329710</v>
        <stp/>
        <stp>P</stp>
        <stp>0</stp>
        <stp>STK</stp>
        <stp>N178920</stp>
        <stp>누적거래대금</stp>
        <stp/>
        <stp/>
        <tr r="N504" s="1"/>
      </tp>
      <tp>
        <v>1472231400</v>
        <stp/>
        <stp>P</stp>
        <stp>0</stp>
        <stp>STK</stp>
        <stp>N462870</stp>
        <stp>누적거래대금</stp>
        <stp/>
        <stp/>
        <tr r="N217" s="1"/>
      </tp>
      <tp>
        <v>26737289950</v>
        <stp/>
        <stp>P</stp>
        <stp>0</stp>
        <stp>STK</stp>
        <stp>N353200</stp>
        <stp>누적거래대금</stp>
        <stp/>
        <stp/>
        <tr r="N179" s="1"/>
      </tp>
      <tp>
        <v>1264646980</v>
        <stp/>
        <stp>P</stp>
        <stp>0</stp>
        <stp>STK</stp>
        <stp>N053030</stp>
        <stp>누적거래대금</stp>
        <stp/>
        <stp/>
        <tr r="N509" s="1"/>
      </tp>
      <tp>
        <v>0</v>
        <stp/>
        <stp>P</stp>
        <stp>0</stp>
        <stp>STK</stp>
        <stp>N458870</stp>
        <stp>누적거래대금</stp>
        <stp/>
        <stp/>
        <tr r="N224" s="1"/>
      </tp>
      <tp>
        <v>174469600</v>
        <stp/>
        <stp>P</stp>
        <stp>0</stp>
        <stp>STK</stp>
        <stp>N145720</stp>
        <stp>누적거래대금</stp>
        <stp/>
        <stp/>
        <tr r="N470" s="1"/>
      </tp>
      <tp>
        <v>3046901750</v>
        <stp/>
        <stp>P</stp>
        <stp>0</stp>
        <stp>STK</stp>
        <stp>N145020</stp>
        <stp>누적거래대금</stp>
        <stp/>
        <stp/>
        <tr r="N161" s="1"/>
      </tp>
      <tp>
        <v>0</v>
        <stp/>
        <stp>P</stp>
        <stp>0</stp>
        <stp>STK</stp>
        <stp>N240810</stp>
        <stp>누적거래대금</stp>
        <stp/>
        <stp/>
        <tr r="N133" s="1"/>
      </tp>
      <tp>
        <v>1338181300</v>
        <stp/>
        <stp>P</stp>
        <stp>0</stp>
        <stp>STK</stp>
        <stp>N241710</stp>
        <stp>누적거래대금</stp>
        <stp/>
        <stp/>
        <tr r="N360" s="1"/>
      </tp>
      <tp>
        <v>393211190</v>
        <stp/>
        <stp>P</stp>
        <stp>0</stp>
        <stp>STK</stp>
        <stp>N441270</stp>
        <stp>누적거래대금</stp>
        <stp/>
        <stp/>
        <tr r="N572" s="1"/>
      </tp>
      <tp>
        <v>94251050</v>
        <stp/>
        <stp>P</stp>
        <stp>0</stp>
        <stp>STK</stp>
        <stp>N041830</stp>
        <stp>누적거래대금</stp>
        <stp/>
        <stp/>
        <tr r="N546" s="1"/>
      </tp>
      <tp>
        <v>200501300</v>
        <stp/>
        <stp>P</stp>
        <stp>0</stp>
        <stp>STK</stp>
        <stp>N036530</stp>
        <stp>누적거래대금</stp>
        <stp/>
        <stp/>
        <tr r="N328" s="1"/>
      </tp>
      <tp>
        <v>35332880325</v>
        <stp/>
        <stp>P</stp>
        <stp>0</stp>
        <stp>STK</stp>
        <stp>N036930</stp>
        <stp>누적거래대금</stp>
        <stp/>
        <stp/>
        <tr r="N251" s="1"/>
      </tp>
      <tp>
        <v>1408580100</v>
        <stp/>
        <stp>P</stp>
        <stp>0</stp>
        <stp>STK</stp>
        <stp>N036830</stp>
        <stp>누적거래대금</stp>
        <stp/>
        <stp/>
        <tr r="N352" s="1"/>
      </tp>
      <tp>
        <v>10577795000</v>
        <stp/>
        <stp>P</stp>
        <stp>0</stp>
        <stp>STK</stp>
        <stp>N034730</stp>
        <stp>누적거래대금</stp>
        <stp/>
        <stp/>
        <tr r="N41" s="1"/>
      </tp>
      <tp>
        <v>3295392700</v>
        <stp/>
        <stp>P</stp>
        <stp>0</stp>
        <stp>STK</stp>
        <stp>N034230</stp>
        <stp>누적거래대금</stp>
        <stp/>
        <stp/>
        <tr r="N245" s="1"/>
      </tp>
      <tp>
        <v>1834569500</v>
        <stp/>
        <stp>P</stp>
        <stp>0</stp>
        <stp>STK</stp>
        <stp>N032830</stp>
        <stp>누적거래대금</stp>
        <stp/>
        <stp/>
        <tr r="N27" s="1"/>
      </tp>
      <tp>
        <v>12134237025</v>
        <stp/>
        <stp>P</stp>
        <stp>0</stp>
        <stp>STK</stp>
        <stp>N030530</stp>
        <stp>누적거래대금</stp>
        <stp/>
        <stp/>
        <tr r="N149" s="1"/>
      </tp>
      <tp>
        <v>140696140</v>
        <stp/>
        <stp>P</stp>
        <stp>0</stp>
        <stp>STK</stp>
        <stp>N031430</stp>
        <stp>누적거래대금</stp>
        <stp/>
        <stp/>
        <tr r="N550" s="1"/>
      </tp>
      <tp>
        <v>535549600</v>
        <stp/>
        <stp>P</stp>
        <stp>0</stp>
        <stp>STK</stp>
        <stp>N039130</stp>
        <stp>누적거래대금</stp>
        <stp/>
        <stp/>
        <tr r="N388" s="1"/>
      </tp>
      <tp>
        <v>4917641500</v>
        <stp/>
        <stp>P</stp>
        <stp>0</stp>
        <stp>STK</stp>
        <stp>N039030</stp>
        <stp>누적거래대금</stp>
        <stp/>
        <stp/>
        <tr r="N139" s="1"/>
      </tp>
      <tp>
        <v>156285550</v>
        <stp/>
        <stp>P</stp>
        <stp>0</stp>
        <stp>STK</stp>
        <stp>N126720</stp>
        <stp>누적거래대금</stp>
        <stp/>
        <stp/>
        <tr r="N547" s="1"/>
      </tp>
      <tp>
        <v>793196320</v>
        <stp/>
        <stp>P</stp>
        <stp>0</stp>
        <stp>STK</stp>
        <stp>N127120</stp>
        <stp>누적거래대금</stp>
        <stp/>
        <stp/>
        <tr r="N405" s="1"/>
      </tp>
      <tp>
        <v>1659580950</v>
        <stp/>
        <stp>P</stp>
        <stp>0</stp>
        <stp>STK</stp>
        <stp>N424870</stp>
        <stp>누적거래대금</stp>
        <stp/>
        <stp/>
        <tr r="N356" s="1"/>
      </tp>
      <tp>
        <v>949442300</v>
        <stp/>
        <stp>P</stp>
        <stp>0</stp>
        <stp>STK</stp>
        <stp>N322000</stp>
        <stp>누적거래대금</stp>
        <stp/>
        <stp/>
        <tr r="N423" s="1"/>
      </tp>
      <tp>
        <v>1852309000</v>
        <stp/>
        <stp>P</stp>
        <stp>0</stp>
        <stp>STK</stp>
        <stp>N023530</stp>
        <stp>누적거래대금</stp>
        <stp/>
        <stp/>
        <tr r="N203" s="1"/>
      </tp>
      <tp>
        <v>945754900</v>
        <stp/>
        <stp>P</stp>
        <stp>0</stp>
        <stp>STK</stp>
        <stp>N420770</stp>
        <stp>누적거래대금</stp>
        <stp/>
        <stp/>
        <tr r="N387" s="1"/>
      </tp>
      <tp>
        <v>566286300</v>
        <stp/>
        <stp>P</stp>
        <stp>0</stp>
        <stp>STK</stp>
        <stp>N029530</stp>
        <stp>누적거래대금</stp>
        <stp/>
        <stp/>
        <tr r="N502" s="1"/>
      </tp>
      <tp>
        <v>672076200</v>
        <stp/>
        <stp>P</stp>
        <stp>0</stp>
        <stp>STK</stp>
        <stp>N014830</stp>
        <stp>누적거래대금</stp>
        <stp/>
        <stp/>
        <tr r="N487" s="1"/>
      </tp>
      <tp>
        <v>325175070</v>
        <stp/>
        <stp>P</stp>
        <stp>0</stp>
        <stp>STK</stp>
        <stp>N012630</stp>
        <stp>누적거래대금</stp>
        <stp/>
        <stp/>
        <tr r="N312" s="1"/>
      </tp>
      <tp>
        <v>13922612500</v>
        <stp/>
        <stp>P</stp>
        <stp>0</stp>
        <stp>STK</stp>
        <stp>N012330</stp>
        <stp>누적거래대금</stp>
        <stp/>
        <stp/>
        <tr r="N22" s="1"/>
      </tp>
      <tp>
        <v>271556650</v>
        <stp/>
        <stp>P</stp>
        <stp>0</stp>
        <stp>STK</stp>
        <stp>N013030</stp>
        <stp>누적거래대금</stp>
        <stp/>
        <stp/>
        <tr r="N558" s="1"/>
      </tp>
      <tp>
        <v>68780184000</v>
        <stp/>
        <stp>P</stp>
        <stp>0</stp>
        <stp>STK</stp>
        <stp>N010130</stp>
        <stp>누적거래대금</stp>
        <stp/>
        <stp/>
        <tr r="N28" s="1"/>
      </tp>
      <tp>
        <v>3811329950</v>
        <stp/>
        <stp>P</stp>
        <stp>0</stp>
        <stp>STK</stp>
        <stp>N218410</stp>
        <stp>누적거래대금</stp>
        <stp/>
        <stp/>
        <tr r="N327" s="1"/>
      </tp>
      <tp>
        <v>32161572915</v>
        <stp/>
        <stp>P</stp>
        <stp>0</stp>
        <stp>STK</stp>
        <stp>N006730</stp>
        <stp>누적거래대금</stp>
        <stp/>
        <stp/>
        <tr r="N326" s="1"/>
      </tp>
      <tp>
        <v>185861400</v>
        <stp/>
        <stp>P</stp>
        <stp>0</stp>
        <stp>STK</stp>
        <stp>N306200</stp>
        <stp>누적거래대금</stp>
        <stp/>
        <stp/>
        <tr r="N592" s="1"/>
      </tp>
      <tp>
        <v>2047149850</v>
        <stp/>
        <stp>P</stp>
        <stp>0</stp>
        <stp>STK</stp>
        <stp>N304100</stp>
        <stp>누적거래대금</stp>
        <stp/>
        <stp/>
        <tr r="N594" s="1"/>
      </tp>
      <tp>
        <v>670233538400</v>
        <stp/>
        <stp>P</stp>
        <stp>0</stp>
        <stp>STK</stp>
        <stp>N005930</stp>
        <stp>누적거래대금</stp>
        <stp/>
        <stp/>
        <tr r="N9" s="1"/>
      </tp>
      <tp>
        <v>1133014400</v>
        <stp/>
        <stp>P</stp>
        <stp>0</stp>
        <stp>STK</stp>
        <stp>N005830</stp>
        <stp>누적거래대금</stp>
        <stp/>
        <stp/>
        <tr r="N78" s="1"/>
      </tp>
      <tp>
        <v>6838500</v>
        <stp/>
        <stp>P</stp>
        <stp>0</stp>
        <stp>STK</stp>
        <stp>N002030</stp>
        <stp>누적거래대금</stp>
        <stp/>
        <stp/>
        <tr r="N433" s="1"/>
      </tp>
      <tp>
        <v>13616912000</v>
        <stp/>
        <stp>P</stp>
        <stp>0</stp>
        <stp>STK</stp>
        <stp>N003230</stp>
        <stp>누적거래대금</stp>
        <stp/>
        <stp/>
        <tr r="N80" s="1"/>
      </tp>
      <tp>
        <v>25223500</v>
        <stp/>
        <stp>P</stp>
        <stp>0</stp>
        <stp>STK</stp>
        <stp>N003030</stp>
        <stp>누적거래대금</stp>
        <stp/>
        <stp/>
        <tr r="N469" s="1"/>
      </tp>
      <tp>
        <v>25107164900</v>
        <stp/>
        <stp>P</stp>
        <stp>0</stp>
        <stp>STK</stp>
        <stp>N403870</stp>
        <stp>누적거래대금</stp>
        <stp/>
        <stp/>
        <tr r="N160" s="1"/>
      </tp>
      <tp>
        <v>4580317050</v>
        <stp/>
        <stp>P</stp>
        <stp>0</stp>
        <stp>STK</stp>
        <stp>N200710</stp>
        <stp>누적거래대금</stp>
        <stp/>
        <stp/>
        <tr r="N494" s="1"/>
      </tp>
      <tp>
        <v>51910400</v>
        <stp/>
        <stp>P</stp>
        <stp>0</stp>
        <stp>STK</stp>
        <stp>N001630</stp>
        <stp>누적거래대금</stp>
        <stp/>
        <stp/>
        <tr r="N684" s="1"/>
      </tp>
      <tp>
        <v>224446030</v>
        <stp/>
        <stp>P</stp>
        <stp>0</stp>
        <stp>STK</stp>
        <stp>N001530</stp>
        <stp>누적거래대금</stp>
        <stp/>
        <stp/>
        <tr r="N549" s="1"/>
      </tp>
      <tp>
        <v>4654067900</v>
        <stp/>
        <stp>P</stp>
        <stp>0</stp>
        <stp>STK</stp>
        <stp>N001430</stp>
        <stp>누적거래대금</stp>
        <stp/>
        <stp/>
        <tr r="N166" s="1"/>
      </tp>
      <tp>
        <v>16231200</v>
        <stp/>
        <stp>P</stp>
        <stp>0</stp>
        <stp>STK</stp>
        <stp>N001130</stp>
        <stp>누적거래대금</stp>
        <stp/>
        <stp/>
        <tr r="N683" s="1"/>
      </tp>
      <tp>
        <v>234248750</v>
        <stp/>
        <stp>P</stp>
        <stp>0</stp>
        <stp>STK</stp>
        <stp>N008730</stp>
        <stp>누적거래대금</stp>
        <stp/>
        <stp/>
        <tr r="N400" s="1"/>
      </tp>
      <tp>
        <v>668756200</v>
        <stp/>
        <stp>P</stp>
        <stp>0</stp>
        <stp>STK</stp>
        <stp>N108320</stp>
        <stp>누적거래대금</stp>
        <stp/>
        <stp/>
        <tr r="N348" s="1"/>
      </tp>
      <tp>
        <v>689158450</v>
        <stp/>
        <stp>P</stp>
        <stp>0</stp>
        <stp>STK</stp>
        <stp>N008930</stp>
        <stp>누적거래대금</stp>
        <stp/>
        <stp/>
        <tr r="N168" s="1"/>
      </tp>
      <tp>
        <v>6696774275</v>
        <stp/>
        <stp>P</stp>
        <stp>0</stp>
        <stp>STK</stp>
        <stp>N009830</stp>
        <stp>누적거래대금</stp>
        <stp/>
        <stp/>
        <tr r="N116" s="1"/>
      </tp>
      <tp>
        <v>3312398100</v>
        <stp/>
        <stp>P</stp>
        <stp>0</stp>
        <stp>STK</stp>
        <stp>N095340</stp>
        <stp>누적거래대금</stp>
        <stp/>
        <stp/>
        <tr r="N201" s="1"/>
      </tp>
      <tp>
        <v>495606000</v>
        <stp/>
        <stp>P</stp>
        <stp>0</stp>
        <stp>STK</stp>
        <stp>N185750</stp>
        <stp>누적거래대금</stp>
        <stp/>
        <stp/>
        <tr r="N293" s="1"/>
      </tp>
      <tp>
        <v>4736056600</v>
        <stp/>
        <stp>P</stp>
        <stp>0</stp>
        <stp>STK</stp>
        <stp>N082740</stp>
        <stp>누적거래대금</stp>
        <stp/>
        <stp/>
        <tr r="N119" s="1"/>
      </tp>
      <tp>
        <v>100643800</v>
        <stp/>
        <stp>P</stp>
        <stp>0</stp>
        <stp>STK</stp>
        <stp>N280360</stp>
        <stp>누적거래대금</stp>
        <stp/>
        <stp/>
        <tr r="N310" s="1"/>
      </tp>
      <tp>
        <v>78514910</v>
        <stp/>
        <stp>P</stp>
        <stp>0</stp>
        <stp>STK</stp>
        <stp>N381970</stp>
        <stp>누적거래대금</stp>
        <stp/>
        <stp/>
        <tr r="N379" s="1"/>
      </tp>
      <tp>
        <v>1829010600</v>
        <stp/>
        <stp>P</stp>
        <stp>0</stp>
        <stp>STK</stp>
        <stp>N389470</stp>
        <stp>누적거래대금</stp>
        <stp/>
        <stp/>
        <tr r="N329" s="1"/>
      </tp>
      <tp>
        <v>725675220</v>
        <stp/>
        <stp>P</stp>
        <stp>0</stp>
        <stp>STK</stp>
        <stp>N176750</stp>
        <stp>누적거래대금</stp>
        <stp/>
        <stp/>
        <tr r="N678" s="1"/>
      </tp>
      <tp>
        <v>1038110000</v>
        <stp/>
        <stp>P</stp>
        <stp>0</stp>
        <stp>STK</stp>
        <stp>N376270</stp>
        <stp>누적거래대금</stp>
        <stp/>
        <stp/>
        <tr r="N555" s="1"/>
      </tp>
      <tp>
        <v>18500882750</v>
        <stp/>
        <stp>P</stp>
        <stp>0</stp>
        <stp>STK</stp>
        <stp>N475400</stp>
        <stp>누적거래대금</stp>
        <stp/>
        <stp/>
        <tr r="N463" s="1"/>
      </tp>
      <tp>
        <v>364530600</v>
        <stp/>
        <stp>P</stp>
        <stp>0</stp>
        <stp>STK</stp>
        <stp>N372170</stp>
        <stp>누적거래대금</stp>
        <stp/>
        <stp/>
        <tr r="N680" s="1"/>
      </tp>
      <tp>
        <v>234897630</v>
        <stp/>
        <stp>P</stp>
        <stp>0</stp>
        <stp>STK</stp>
        <stp>N073240</stp>
        <stp>누적거래대금</stp>
        <stp/>
        <stp/>
        <tr r="N227" s="1"/>
      </tp>
      <tp>
        <v>1165472700</v>
        <stp/>
        <stp>P</stp>
        <stp>0</stp>
        <stp>STK</stp>
        <stp>N270660</stp>
        <stp>누적거래대금</stp>
        <stp/>
        <stp/>
        <tr r="N542" s="1"/>
      </tp>
      <tp>
        <v>399607500</v>
        <stp/>
        <stp>P</stp>
        <stp>0</stp>
        <stp>STK</stp>
        <stp>N271560</stp>
        <stp>누적거래대금</stp>
        <stp/>
        <stp/>
        <tr r="N117" s="1"/>
      </tp>
      <tp>
        <v>363802100</v>
        <stp/>
        <stp>P</stp>
        <stp>0</stp>
        <stp>STK</stp>
        <stp>N078340</stp>
        <stp>누적거래대금</stp>
        <stp/>
        <stp/>
        <tr r="N543" s="1"/>
      </tp>
      <tp>
        <v>22057900</v>
        <stp/>
        <stp>P</stp>
        <stp>0</stp>
        <stp>STK</stp>
        <stp>N079940</stp>
        <stp>누적거래대금</stp>
        <stp/>
        <stp/>
        <tr r="N520" s="1"/>
      </tp>
      <tp>
        <v>20557189800</v>
        <stp/>
        <stp>P</stp>
        <stp>0</stp>
        <stp>STK</stp>
        <stp>N466100</stp>
        <stp>누적거래대금</stp>
        <stp/>
        <stp/>
        <tr r="N219" s="1"/>
      </tp>
      <tp>
        <v>14998695500</v>
        <stp/>
        <stp>P</stp>
        <stp>0</stp>
        <stp>STK</stp>
        <stp>N267260</stp>
        <stp>누적거래대금</stp>
        <stp/>
        <stp/>
        <tr r="N29" s="1"/>
      </tp>
      <tp>
        <v>6744640400</v>
        <stp/>
        <stp>P</stp>
        <stp>0</stp>
        <stp>STK</stp>
        <stp>N062040</stp>
        <stp>누적거래대금</stp>
        <stp/>
        <stp/>
        <tr r="N122" s="1"/>
      </tp>
      <tp>
        <v>1849223050</v>
        <stp/>
        <stp>P</stp>
        <stp>0</stp>
        <stp>STK</stp>
        <stp>N455900</stp>
        <stp>누적거래대금</stp>
        <stp/>
        <stp/>
        <tr r="N418" s="1"/>
      </tp>
      <tp>
        <v>3106121190</v>
        <stp/>
        <stp>P</stp>
        <stp>0</stp>
        <stp>STK</stp>
        <stp>N358570</stp>
        <stp>누적거래대금</stp>
        <stp/>
        <stp/>
        <tr r="N339" s="1"/>
      </tp>
      <tp>
        <v>1762839750</v>
        <stp/>
        <stp>P</stp>
        <stp>0</stp>
        <stp>STK</stp>
        <stp>N259960</stp>
        <stp>누적거래대금</stp>
        <stp/>
        <stp/>
        <tr r="N70" s="1"/>
      </tp>
      <tp>
        <v>4112604869</v>
        <stp/>
        <stp>P</stp>
        <stp>0</stp>
        <stp>STK</stp>
        <stp>N047040</stp>
        <stp>누적거래대금</stp>
        <stp/>
        <stp/>
        <tr r="N211" s="1"/>
      </tp>
      <tp>
        <v>1633977700</v>
        <stp/>
        <stp>P</stp>
        <stp>0</stp>
        <stp>STK</stp>
        <stp>N340570</stp>
        <stp>누적거래대금</stp>
        <stp/>
        <stp/>
        <tr r="N575" s="1"/>
      </tp>
      <tp>
        <v>964160800</v>
        <stp/>
        <stp>P</stp>
        <stp>0</stp>
        <stp>STK</stp>
        <stp>N241560</stp>
        <stp>누적거래대금</stp>
        <stp/>
        <stp/>
        <tr r="N103" s="1"/>
      </tp>
      <tp>
        <v>19566695300</v>
        <stp/>
        <stp>P</stp>
        <stp>0</stp>
        <stp>STK</stp>
        <stp>N348370</stp>
        <stp>누적거래대금</stp>
        <stp/>
        <stp/>
        <tr r="N266" s="1"/>
      </tp>
      <tp>
        <v>1929493900</v>
        <stp/>
        <stp>P</stp>
        <stp>0</stp>
        <stp>STK</stp>
        <stp>N448900</stp>
        <stp>누적거래대금</stp>
        <stp/>
        <stp/>
        <tr r="N489" s="1"/>
      </tp>
      <tp>
        <v>14678615450</v>
        <stp/>
        <stp>P</stp>
        <stp>0</stp>
        <stp>STK</stp>
        <stp>N036540</stp>
        <stp>누적거래대금</stp>
        <stp/>
        <stp/>
        <tr r="N334" s="1"/>
      </tp>
      <tp>
        <v>7243034975</v>
        <stp/>
        <stp>P</stp>
        <stp>0</stp>
        <stp>STK</stp>
        <stp>N336570</stp>
        <stp>누적거래대금</stp>
        <stp/>
        <stp/>
        <tr r="N375" s="1"/>
      </tp>
      <tp>
        <v>354282240</v>
        <stp/>
        <stp>P</stp>
        <stp>0</stp>
        <stp>STK</stp>
        <stp>N336370</stp>
        <stp>누적거래대금</stp>
        <stp/>
        <stp/>
        <tr r="N460" s="1"/>
      </tp>
      <tp>
        <v>287119090</v>
        <stp/>
        <stp>P</stp>
        <stp>0</stp>
        <stp>STK</stp>
        <stp>N032640</stp>
        <stp>누적거래대금</stp>
        <stp/>
        <stp/>
        <tr r="N99" s="1"/>
      </tp>
      <tp>
        <v>1668043030</v>
        <stp/>
        <stp>P</stp>
        <stp>0</stp>
        <stp>STK</stp>
        <stp>N033640</stp>
        <stp>누적거래대금</stp>
        <stp/>
        <stp/>
        <tr r="N564" s="1"/>
      </tp>
      <tp>
        <v>4936981600</v>
        <stp/>
        <stp>P</stp>
        <stp>0</stp>
        <stp>STK</stp>
        <stp>N033240</stp>
        <stp>누적거래대금</stp>
        <stp/>
        <stp/>
        <tr r="N464" s="1"/>
      </tp>
      <tp>
        <v>108245420</v>
        <stp/>
        <stp>P</stp>
        <stp>0</stp>
        <stp>STK</stp>
        <stp>N230360</stp>
        <stp>누적거래대금</stp>
        <stp/>
        <stp/>
        <tr r="N485" s="1"/>
      </tp>
      <tp>
        <v>7600272600</v>
        <stp/>
        <stp>P</stp>
        <stp>0</stp>
        <stp>STK</stp>
        <stp>N039440</stp>
        <stp>누적거래대금</stp>
        <stp/>
        <stp/>
        <tr r="N497" s="1"/>
      </tp>
      <tp>
        <v>18607640</v>
        <stp/>
        <stp>P</stp>
        <stp>0</stp>
        <stp>STK</stp>
        <stp>N039840</stp>
        <stp>누적거래대금</stp>
        <stp/>
        <stp/>
        <tr r="N696" s="1"/>
      </tp>
      <tp>
        <v>450570000</v>
        <stp/>
        <stp>P</stp>
        <stp>0</stp>
        <stp>STK</stp>
        <stp>N025540</stp>
        <stp>누적거래대금</stp>
        <stp/>
        <stp/>
        <tr r="N355" s="1"/>
      </tp>
      <tp>
        <v>417549000</v>
        <stp/>
        <stp>P</stp>
        <stp>0</stp>
        <stp>STK</stp>
        <stp>N021240</stp>
        <stp>누적거래대금</stp>
        <stp/>
        <stp/>
        <tr r="N106" s="1"/>
      </tp>
      <tp>
        <v>1323743100</v>
        <stp/>
        <stp>P</stp>
        <stp>0</stp>
        <stp>STK</stp>
        <stp>N228760</stp>
        <stp>누적거래대금</stp>
        <stp/>
        <stp/>
        <tr r="N452" s="1"/>
      </tp>
      <tp>
        <v>17487602955</v>
        <stp/>
        <stp>P</stp>
        <stp>0</stp>
        <stp>STK</stp>
        <stp>N417200</stp>
        <stp>누적거래대금</stp>
        <stp/>
        <stp/>
        <tr r="N336" s="1"/>
      </tp>
      <tp>
        <v>119119000</v>
        <stp/>
        <stp>P</stp>
        <stp>0</stp>
        <stp>STK</stp>
        <stp>N017940</stp>
        <stp>누적거래대금</stp>
        <stp/>
        <stp/>
        <tr r="N447" s="1"/>
      </tp>
      <tp>
        <v>590854240</v>
        <stp/>
        <stp>P</stp>
        <stp>0</stp>
        <stp>STK</stp>
        <stp>N014940</stp>
        <stp>누적거래대금</stp>
        <stp/>
        <stp/>
        <tr r="N553" s="1"/>
      </tp>
      <tp>
        <v>28782205325</v>
        <stp/>
        <stp>P</stp>
        <stp>0</stp>
        <stp>STK</stp>
        <stp>N010140</stp>
        <stp>누적거래대금</stp>
        <stp/>
        <stp/>
        <tr r="N33" s="1"/>
      </tp>
      <tp>
        <v>3146211075</v>
        <stp/>
        <stp>P</stp>
        <stp>0</stp>
        <stp>STK</stp>
        <stp>N119850</stp>
        <stp>누적거래대금</stp>
        <stp/>
        <stp/>
        <tr r="N435" s="1"/>
      </tp>
      <tp>
        <v>163238350</v>
        <stp/>
        <stp>P</stp>
        <stp>0</stp>
        <stp>STK</stp>
        <stp>N006040</stp>
        <stp>누적거래대금</stp>
        <stp/>
        <stp/>
        <tr r="N230" s="1"/>
      </tp>
      <tp>
        <v>358902400</v>
        <stp/>
        <stp>P</stp>
        <stp>0</stp>
        <stp>STK</stp>
        <stp>N007340</stp>
        <stp>누적거래대금</stp>
        <stp/>
        <stp/>
        <tr r="N254" s="1"/>
      </tp>
      <tp>
        <v>232802330</v>
        <stp/>
        <stp>P</stp>
        <stp>0</stp>
        <stp>STK</stp>
        <stp>N005440</stp>
        <stp>누적거래대금</stp>
        <stp/>
        <stp/>
        <tr r="N268" s="1"/>
      </tp>
      <tp>
        <v>2687429450</v>
        <stp/>
        <stp>P</stp>
        <stp>0</stp>
        <stp>STK</stp>
        <stp>N005940</stp>
        <stp>누적거래대금</stp>
        <stp/>
        <stp/>
        <tr r="N88" s="1"/>
      </tp>
      <tp>
        <v>71908750</v>
        <stp/>
        <stp>P</stp>
        <stp>0</stp>
        <stp>STK</stp>
        <stp>N002240</stp>
        <stp>누적거래대금</stp>
        <stp/>
        <stp/>
        <tr r="N429" s="1"/>
      </tp>
      <tp>
        <v>1532800</v>
        <stp/>
        <stp>P</stp>
        <stp>0</stp>
        <stp>STK</stp>
        <stp>N002840</stp>
        <stp>누적거래대금</stp>
        <stp/>
        <stp/>
        <tr r="N395" s="1"/>
      </tp>
      <tp>
        <v>1197408950</v>
        <stp/>
        <stp>P</stp>
        <stp>0</stp>
        <stp>STK</stp>
        <stp>N003540</stp>
        <stp>누적거래대금</stp>
        <stp/>
        <stp/>
        <tr r="N262" s="1"/>
      </tp>
      <tp>
        <v>2648553000</v>
        <stp/>
        <stp>P</stp>
        <stp>0</stp>
        <stp>STK</stp>
        <stp>N003240</stp>
        <stp>누적거래대금</stp>
        <stp/>
        <stp/>
        <tr r="N344" s="1"/>
      </tp>
      <tp>
        <v>68269300</v>
        <stp/>
        <stp>P</stp>
        <stp>0</stp>
        <stp>STK</stp>
        <stp>N000640</stp>
        <stp>누적거래대금</stp>
        <stp/>
        <stp/>
        <tr r="N397" s="1"/>
      </tp>
      <tp>
        <v>62259500</v>
        <stp/>
        <stp>P</stp>
        <stp>0</stp>
        <stp>STK</stp>
        <stp>N000240</stp>
        <stp>누적거래대금</stp>
        <stp/>
        <stp/>
        <tr r="N174" s="1"/>
      </tp>
      <tp>
        <v>33407832375</v>
        <stp/>
        <stp>P</stp>
        <stp>0</stp>
        <stp>STK</stp>
        <stp>N001440</stp>
        <stp>누적거래대금</stp>
        <stp/>
        <stp/>
        <tr r="N110" s="1"/>
      </tp>
      <tp>
        <v>4133080250</v>
        <stp/>
        <stp>P</stp>
        <stp>0</stp>
        <stp>STK</stp>
        <stp>N001040</stp>
        <stp>누적거래대금</stp>
        <stp/>
        <stp/>
        <tr r="N105" s="1"/>
      </tp>
      <tp>
        <v>20665050</v>
        <stp/>
        <stp>P</stp>
        <stp>0</stp>
        <stp>STK</stp>
        <stp>N001940</stp>
        <stp>누적거래대금</stp>
        <stp/>
        <stp/>
        <tr r="N554" s="1"/>
      </tp>
      <tp>
        <v>5172597500</v>
        <stp/>
        <stp>P</stp>
        <stp>0</stp>
        <stp>STK</stp>
        <stp>N009540</stp>
        <stp>누적거래대금</stp>
        <stp/>
        <stp/>
        <tr r="N30" s="1"/>
      </tp>
      <tp>
        <v>293907750</v>
        <stp/>
        <stp>P</stp>
        <stp>0</stp>
        <stp>STK</stp>
        <stp>N009240</stp>
        <stp>누적거래대금</stp>
        <stp/>
        <stp/>
        <tr r="N304" s="1"/>
      </tp>
      <tp>
        <v>833785500</v>
        <stp/>
        <stp>P</stp>
        <stp>0</stp>
        <stp>STK</stp>
        <stp>N097950</stp>
        <stp>누적거래대금</stp>
        <stp/>
        <stp/>
        <tr r="N150" s="1"/>
      </tp>
      <tp>
        <v>2485724450</v>
        <stp/>
        <stp>P</stp>
        <stp>0</stp>
        <stp>STK</stp>
        <stp>N294570</stp>
        <stp>누적거래대금</stp>
        <stp/>
        <stp/>
        <tr r="N650" s="1"/>
      </tp>
      <tp>
        <v>392536150</v>
        <stp/>
        <stp>P</stp>
        <stp>0</stp>
        <stp>STK</stp>
        <stp>N294870</stp>
        <stp>누적거래대금</stp>
        <stp/>
        <stp/>
        <tr r="N267" s="1"/>
      </tp>
      <tp>
        <v>4268624450</v>
        <stp/>
        <stp>P</stp>
        <stp>0</stp>
        <stp>STK</stp>
        <stp>N195940</stp>
        <stp>누적거래대금</stp>
        <stp/>
        <stp/>
        <tr r="N265" s="1"/>
      </tp>
      <tp>
        <v>61433660</v>
        <stp/>
        <stp>P</stp>
        <stp>0</stp>
        <stp>STK</stp>
        <stp>N093050</stp>
        <stp>누적거래대금</stp>
        <stp/>
        <stp/>
        <tr r="N471" s="1"/>
      </tp>
      <tp>
        <v>815059140</v>
        <stp/>
        <stp>P</stp>
        <stp>0</stp>
        <stp>STK</stp>
        <stp>N086450</stp>
        <stp>누적거래대금</stp>
        <stp/>
        <stp/>
        <tr r="N371" s="1"/>
      </tp>
      <tp>
        <v>147203780</v>
        <stp/>
        <stp>P</stp>
        <stp>0</stp>
        <stp>STK</stp>
        <stp>N084850</stp>
        <stp>누적거래대금</stp>
        <stp/>
        <stp/>
        <tr r="N698" s="1"/>
      </tp>
      <tp>
        <v>1986192400</v>
        <stp/>
        <stp>P</stp>
        <stp>0</stp>
        <stp>STK</stp>
        <stp>N484810</stp>
        <stp>누적거래대금</stp>
        <stp/>
        <stp/>
        <tr r="N562" s="1"/>
      </tp>
      <tp>
        <v>10908797800</v>
        <stp/>
        <stp>P</stp>
        <stp>0</stp>
        <stp>STK</stp>
        <stp>N083650</stp>
        <stp>누적거래대금</stp>
        <stp/>
        <stp/>
        <tr r="N215" s="1"/>
      </tp>
      <tp>
        <v>2908142000</v>
        <stp/>
        <stp>P</stp>
        <stp>0</stp>
        <stp>STK</stp>
        <stp>N083450</stp>
        <stp>누적거래대금</stp>
        <stp/>
        <stp/>
        <tr r="N480" s="1"/>
      </tp>
      <tp>
        <v>421165500</v>
        <stp/>
        <stp>P</stp>
        <stp>0</stp>
        <stp>STK</stp>
        <stp>N180640</stp>
        <stp>누적거래대금</stp>
        <stp/>
        <stp/>
        <tr r="N83" s="1"/>
      </tp>
      <tp>
        <v>1551872357</v>
        <stp/>
        <stp>P</stp>
        <stp>0</stp>
        <stp>STK</stp>
        <stp>N088350</stp>
        <stp>누적거래대금</stp>
        <stp/>
        <stp/>
        <tr r="N164" s="1"/>
      </tp>
      <tp>
        <v>132896440</v>
        <stp/>
        <stp>P</stp>
        <stp>0</stp>
        <stp>STK</stp>
        <stp>N389260</stp>
        <stp>누적거래대금</stp>
        <stp/>
        <stp/>
        <tr r="N615" s="1"/>
      </tp>
      <tp>
        <v>4760735250</v>
        <stp/>
        <stp>P</stp>
        <stp>0</stp>
        <stp>STK</stp>
        <stp>N071050</stp>
        <stp>누적거래대금</stp>
        <stp/>
        <stp/>
        <tr r="N73" s="1"/>
      </tp>
      <tp>
        <v>30293993750</v>
        <stp/>
        <stp>P</stp>
        <stp>0</stp>
        <stp>STK</stp>
        <stp>N278470</stp>
        <stp>누적거래대금</stp>
        <stp/>
        <stp/>
        <tr r="N77" s="1"/>
      </tp>
      <tp>
        <v>1114977850</v>
        <stp/>
        <stp>P</stp>
        <stp>0</stp>
        <stp>STK</stp>
        <stp>N078350</stp>
        <stp>누적거래대금</stp>
        <stp/>
        <stp/>
        <tr r="N569" s="1"/>
      </tp>
      <tp>
        <v>12081807250</v>
        <stp/>
        <stp>P</stp>
        <stp>0</stp>
        <stp>STK</stp>
        <stp>N079550</stp>
        <stp>누적거래대금</stp>
        <stp/>
        <stp/>
        <tr r="N69" s="1"/>
      </tp>
      <tp>
        <v>7369147400</v>
        <stp/>
        <stp>P</stp>
        <stp>0</stp>
        <stp>STK</stp>
        <stp>N267270</stp>
        <stp>누적거래대금</stp>
        <stp/>
        <stp/>
        <tr r="N216" s="1"/>
      </tp>
      <tp>
        <v>189783840</v>
        <stp/>
        <stp>P</stp>
        <stp>0</stp>
        <stp>STK</stp>
        <stp>N064550</stp>
        <stp>누적거래대금</stp>
        <stp/>
        <stp/>
        <tr r="N616" s="1"/>
      </tp>
      <tp>
        <v>47079405250</v>
        <stp/>
        <stp>P</stp>
        <stp>0</stp>
        <stp>STK</stp>
        <stp>N064350</stp>
        <stp>누적거래대금</stp>
        <stp/>
        <stp/>
        <tr r="N37" s="1"/>
      </tp>
      <tp>
        <v>8828510950</v>
        <stp/>
        <stp>P</stp>
        <stp>0</stp>
        <stp>STK</stp>
        <stp>N065350</stp>
        <stp>누적거래대금</stp>
        <stp/>
        <stp/>
        <tr r="N242" s="1"/>
      </tp>
      <tp>
        <v>79322438750</v>
        <stp/>
        <stp>P</stp>
        <stp>0</stp>
        <stp>STK</stp>
        <stp>N060250</stp>
        <stp>누적거래대금</stp>
        <stp/>
        <stp/>
        <tr r="N440" s="1"/>
      </tp>
      <tp>
        <v>589769050</v>
        <stp/>
        <stp>P</stp>
        <stp>0</stp>
        <stp>STK</stp>
        <stp>N469610</stp>
        <stp>누적거래대금</stp>
        <stp/>
        <stp/>
        <tr r="N699" s="1"/>
      </tp>
      <tp>
        <v>4029724300</v>
        <stp/>
        <stp>P</stp>
        <stp>0</stp>
        <stp>STK</stp>
        <stp>N356860</stp>
        <stp>누적거래대금</stp>
        <stp/>
        <stp/>
        <tr r="N456" s="1"/>
      </tp>
      <tp>
        <v>60080000</v>
        <stp/>
        <stp>P</stp>
        <stp>0</stp>
        <stp>STK</stp>
        <stp>N057050</stp>
        <stp>누적거래대금</stp>
        <stp/>
        <stp/>
        <tr r="N413" s="1"/>
      </tp>
      <tp>
        <v>177207750</v>
        <stp/>
        <stp>P</stp>
        <stp>0</stp>
        <stp>STK</stp>
        <stp>N054950</stp>
        <stp>누적거래대금</stp>
        <stp/>
        <stp/>
        <tr r="N617" s="1"/>
      </tp>
      <tp>
        <v>13600311800</v>
        <stp/>
        <stp>P</stp>
        <stp>0</stp>
        <stp>STK</stp>
        <stp>N454910</stp>
        <stp>누적거래대금</stp>
        <stp/>
        <stp/>
        <tr r="N90" s="1"/>
      </tp>
      <tp>
        <v>3346951700</v>
        <stp/>
        <stp>P</stp>
        <stp>0</stp>
        <stp>STK</stp>
        <stp>N055550</stp>
        <stp>누적거래대금</stp>
        <stp/>
        <stp/>
        <tr r="N25" s="1"/>
      </tp>
      <tp>
        <v>785067200</v>
        <stp/>
        <stp>P</stp>
        <stp>0</stp>
        <stp>STK</stp>
        <stp>N251270</stp>
        <stp>누적거래대금</stp>
        <stp/>
        <stp/>
        <tr r="N123" s="1"/>
      </tp>
      <tp>
        <v>596682150</v>
        <stp/>
        <stp>P</stp>
        <stp>0</stp>
        <stp>STK</stp>
        <stp>N251970</stp>
        <stp>누적거래대금</stp>
        <stp/>
        <stp/>
        <tr r="N396" s="1"/>
      </tp>
      <tp>
        <v>1872535100</v>
        <stp/>
        <stp>P</stp>
        <stp>0</stp>
        <stp>STK</stp>
        <stp>N459510</stp>
        <stp>누적거래대금</stp>
        <stp/>
        <stp/>
        <tr r="N493" s="1"/>
      </tp>
      <tp>
        <v>5337721400</v>
        <stp/>
        <stp>P</stp>
        <stp>0</stp>
        <stp>STK</stp>
        <stp>N047050</stp>
        <stp>누적거래대금</stp>
        <stp/>
        <stp/>
        <tr r="N71" s="1"/>
      </tp>
      <tp>
        <v>135283900</v>
        <stp/>
        <stp>P</stp>
        <stp>0</stp>
        <stp>STK</stp>
        <stp>N043150</stp>
        <stp>누적거래대금</stp>
        <stp/>
        <stp/>
        <tr r="N645" s="1"/>
      </tp>
      <tp>
        <v>58502250</v>
        <stp/>
        <stp>P</stp>
        <stp>0</stp>
        <stp>STK</stp>
        <stp>N243070</stp>
        <stp>누적거래대금</stp>
        <stp/>
        <stp/>
        <tr r="N614" s="1"/>
      </tp>
      <tp>
        <v>410286500</v>
        <stp/>
        <stp>P</stp>
        <stp>0</stp>
        <stp>STK</stp>
        <stp>N241770</stp>
        <stp>누적거래대금</stp>
        <stp/>
        <stp/>
        <tr r="N686" s="1"/>
      </tp>
      <tp>
        <v>150633830</v>
        <stp/>
        <stp>P</stp>
        <stp>0</stp>
        <stp>STK</stp>
        <stp>N248070</stp>
        <stp>누적거래대금</stp>
        <stp/>
        <stp/>
        <tr r="N380" s="1"/>
      </tp>
      <tp>
        <v>1916818025</v>
        <stp/>
        <stp>P</stp>
        <stp>0</stp>
        <stp>STK</stp>
        <stp>N336260</stp>
        <stp>누적거래대금</stp>
        <stp/>
        <stp/>
        <tr r="N186" s="1"/>
      </tp>
      <tp>
        <v>10892600</v>
        <stp/>
        <stp>P</stp>
        <stp>0</stp>
        <stp>STK</stp>
        <stp>N034950</stp>
        <stp>누적거래대금</stp>
        <stp/>
        <stp/>
        <tr r="N511" s="1"/>
      </tp>
      <tp>
        <v>850445610</v>
        <stp/>
        <stp>P</stp>
        <stp>0</stp>
        <stp>STK</stp>
        <stp>N035250</stp>
        <stp>누적거래대금</stp>
        <stp/>
        <stp/>
        <tr r="N131" s="1"/>
      </tp>
      <tp>
        <v>9627270</v>
        <stp/>
        <stp>P</stp>
        <stp>0</stp>
        <stp>STK</stp>
        <stp>N035150</stp>
        <stp>누적거래대금</stp>
        <stp/>
        <stp/>
        <tr r="N666" s="1"/>
      </tp>
      <tp>
        <v>4609371575</v>
        <stp/>
        <stp>P</stp>
        <stp>0</stp>
        <stp>STK</stp>
        <stp>N032350</stp>
        <stp>누적거래대금</stp>
        <stp/>
        <stp/>
        <tr r="N226" s="1"/>
      </tp>
      <tp>
        <v>5034511000</v>
        <stp/>
        <stp>P</stp>
        <stp>0</stp>
        <stp>STK</stp>
        <stp>N138040</stp>
        <stp>누적거래대금</stp>
        <stp/>
        <stp/>
        <tr r="N47" s="1"/>
      </tp>
      <tp>
        <v>1563609200</v>
        <stp/>
        <stp>P</stp>
        <stp>0</stp>
        <stp>STK</stp>
        <stp>N126340</stp>
        <stp>누적거래대금</stp>
        <stp/>
        <stp/>
        <tr r="N434" s="1"/>
      </tp>
      <tp>
        <v>584317410</v>
        <stp/>
        <stp>P</stp>
        <stp>0</stp>
        <stp>STK</stp>
        <stp>N225570</stp>
        <stp>누적거래대금</stp>
        <stp/>
        <stp/>
        <tr r="N357" s="1"/>
      </tp>
      <tp>
        <v>10924845175</v>
        <stp/>
        <stp>P</stp>
        <stp>0</stp>
        <stp>STK</stp>
        <stp>N122640</stp>
        <stp>누적거래대금</stp>
        <stp/>
        <stp/>
        <tr r="N544" s="1"/>
      </tp>
      <tp>
        <v>2691161575</v>
        <stp/>
        <stp>P</stp>
        <stp>0</stp>
        <stp>STK</stp>
        <stp>N020150</stp>
        <stp>누적거래대금</stp>
        <stp/>
        <stp/>
        <tr r="N228" s="1"/>
      </tp>
      <tp>
        <v>4989304525</v>
        <stp/>
        <stp>P</stp>
        <stp>0</stp>
        <stp>STK</stp>
        <stp>N028050</stp>
        <stp>누적거래대금</stp>
        <stp/>
        <stp/>
        <tr r="N113" s="1"/>
      </tp>
      <tp>
        <v>6791058500</v>
        <stp/>
        <stp>P</stp>
        <stp>0</stp>
        <stp>STK</stp>
        <stp>N128940</stp>
        <stp>누적거래대금</stp>
        <stp/>
        <stp/>
        <tr r="N109" s="1"/>
      </tp>
      <tp>
        <v>0</v>
        <stp/>
        <stp>P</stp>
        <stp>0</stp>
        <stp>STK</stp>
        <stp>N214370</stp>
        <stp>누적거래대금</stp>
        <stp/>
        <stp/>
        <tr r="N129" s="1"/>
      </tp>
      <tp>
        <v>109903860</v>
        <stp/>
        <stp>P</stp>
        <stp>0</stp>
        <stp>STK</stp>
        <stp>N114840</stp>
        <stp>누적거래대금</stp>
        <stp/>
        <stp/>
        <tr r="N664" s="1"/>
      </tp>
      <tp>
        <v>1605574360</v>
        <stp/>
        <stp>P</stp>
        <stp>0</stp>
        <stp>STK</stp>
        <stp>N015750</stp>
        <stp>누적거래대금</stp>
        <stp/>
        <stp/>
        <tr r="N407" s="1"/>
      </tp>
      <tp>
        <v>245666300</v>
        <stp/>
        <stp>P</stp>
        <stp>0</stp>
        <stp>STK</stp>
        <stp>N012750</stp>
        <stp>누적거래대금</stp>
        <stp/>
        <stp/>
        <tr r="N156" s="1"/>
      </tp>
      <tp>
        <v>65864873500</v>
        <stp/>
        <stp>P</stp>
        <stp>0</stp>
        <stp>STK</stp>
        <stp>N012450</stp>
        <stp>누적거래대금</stp>
        <stp/>
        <stp/>
        <tr r="N15" s="1"/>
      </tp>
      <tp>
        <v>2135463350</v>
        <stp/>
        <stp>P</stp>
        <stp>0</stp>
        <stp>STK</stp>
        <stp>N112040</stp>
        <stp>누적거래대금</stp>
        <stp/>
        <stp/>
        <tr r="N337" s="1"/>
      </tp>
      <tp>
        <v>2821495250</v>
        <stp/>
        <stp>P</stp>
        <stp>0</stp>
        <stp>STK</stp>
        <stp>N010950</stp>
        <stp>누적거래대금</stp>
        <stp/>
        <stp/>
        <tr r="N72" s="1"/>
      </tp>
      <tp>
        <v>68663510</v>
        <stp/>
        <stp>P</stp>
        <stp>0</stp>
        <stp>STK</stp>
        <stp>N018250</stp>
        <stp>누적거래대금</stp>
        <stp/>
        <stp/>
        <tr r="N593" s="1"/>
      </tp>
      <tp>
        <v>4684312400</v>
        <stp/>
        <stp>P</stp>
        <stp>0</stp>
        <stp>STK</stp>
        <stp>N319660</stp>
        <stp>누적거래대금</stp>
        <stp/>
        <stp/>
        <tr r="N287" s="1"/>
      </tp>
      <tp>
        <v>231611200</v>
        <stp/>
        <stp>P</stp>
        <stp>0</stp>
        <stp>STK</stp>
        <stp>N006650</stp>
        <stp>누적거래대금</stp>
        <stp/>
        <stp/>
        <tr r="N309" s="1"/>
      </tp>
      <tp>
        <v>4214075550</v>
        <stp/>
        <stp>P</stp>
        <stp>0</stp>
        <stp>STK</stp>
        <stp>N107640</stp>
        <stp>누적거래대금</stp>
        <stp/>
        <stp/>
        <tr r="N527" s="1"/>
      </tp>
      <tp>
        <v>575020000</v>
        <stp/>
        <stp>P</stp>
        <stp>0</stp>
        <stp>STK</stp>
        <stp>N304360</stp>
        <stp>누적거래대금</stp>
        <stp/>
        <stp/>
        <tr r="N560" s="1"/>
      </tp>
      <tp>
        <v>3756754875</v>
        <stp/>
        <stp>P</stp>
        <stp>0</stp>
        <stp>STK</stp>
        <stp>N204270</stp>
        <stp>누적거래대금</stp>
        <stp/>
        <stp/>
        <tr r="N297" s="1"/>
      </tp>
      <tp>
        <v>112915520</v>
        <stp/>
        <stp>P</stp>
        <stp>0</stp>
        <stp>STK</stp>
        <stp>N005250</stp>
        <stp>누적거래대금</stp>
        <stp/>
        <stp/>
        <tr r="N392" s="1"/>
      </tp>
      <tp>
        <v>1591831900</v>
        <stp/>
        <stp>P</stp>
        <stp>0</stp>
        <stp>STK</stp>
        <stp>N005850</stp>
        <stp>누적거래대금</stp>
        <stp/>
        <stp/>
        <tr r="N147" s="1"/>
      </tp>
      <tp>
        <v>3703880925</v>
        <stp/>
        <stp>P</stp>
        <stp>0</stp>
        <stp>STK</stp>
        <stp>N105840</stp>
        <stp>누적거래대금</stp>
        <stp/>
        <stp/>
        <tr r="N454" s="1"/>
      </tp>
      <tp>
        <v>922220350</v>
        <stp/>
        <stp>P</stp>
        <stp>0</stp>
        <stp>STK</stp>
        <stp>N102940</stp>
        <stp>누적거래대금</stp>
        <stp/>
        <stp/>
        <tr r="N427" s="1"/>
      </tp>
      <tp>
        <v>1940582100</v>
        <stp/>
        <stp>P</stp>
        <stp>0</stp>
        <stp>STK</stp>
        <stp>N003550</stp>
        <stp>누적거래대금</stp>
        <stp/>
        <stp/>
        <tr r="N65" s="1"/>
      </tp>
      <tp>
        <v>13047211050</v>
        <stp/>
        <stp>P</stp>
        <stp>0</stp>
        <stp>STK</stp>
        <stp>N103140</stp>
        <stp>누적거래대금</stp>
        <stp/>
        <stp/>
        <tr r="N144" s="1"/>
      </tp>
      <tp>
        <v>611406700</v>
        <stp/>
        <stp>P</stp>
        <stp>0</stp>
        <stp>STK</stp>
        <stp>N003850</stp>
        <stp>누적거래대금</stp>
        <stp/>
        <stp/>
        <tr r="N369" s="1"/>
      </tp>
      <tp>
        <v>892378600</v>
        <stp/>
        <stp>P</stp>
        <stp>0</stp>
        <stp>STK</stp>
        <stp>N200670</stp>
        <stp>누적거래대금</stp>
        <stp/>
        <stp/>
        <tr r="N510" s="1"/>
      </tp>
      <tp>
        <v>24882197750</v>
        <stp/>
        <stp>P</stp>
        <stp>0</stp>
        <stp>STK</stp>
        <stp>N000250</stp>
        <stp>누적거래대금</stp>
        <stp/>
        <stp/>
        <tr r="N100" s="1"/>
      </tp>
      <tp>
        <v>13252883500</v>
        <stp/>
        <stp>P</stp>
        <stp>0</stp>
        <stp>STK</stp>
        <stp>N000150</stp>
        <stp>누적거래대금</stp>
        <stp/>
        <stp/>
        <tr r="N64" s="1"/>
      </tp>
      <tp>
        <v>2505835800</v>
        <stp/>
        <stp>P</stp>
        <stp>0</stp>
        <stp>STK</stp>
        <stp>N100840</stp>
        <stp>누적거래대금</stp>
        <stp/>
        <stp/>
        <tr r="N350" s="1"/>
      </tp>
      <tp>
        <v>144000140</v>
        <stp/>
        <stp>P</stp>
        <stp>0</stp>
        <stp>STK</stp>
        <stp>N001750</stp>
        <stp>누적거래대금</stp>
        <stp/>
        <stp/>
        <tr r="N685" s="1"/>
      </tp>
      <tp>
        <v>1402214050</v>
        <stp/>
        <stp>P</stp>
        <stp>0</stp>
        <stp>STK</stp>
        <stp>N001450</stp>
        <stp>누적거래대금</stp>
        <stp/>
        <stp/>
        <tr r="N183" s="1"/>
      </tp>
      <tp>
        <v>186854300</v>
        <stp/>
        <stp>P</stp>
        <stp>0</stp>
        <stp>STK</stp>
        <stp>N009450</stp>
        <stp>누적거래대금</stp>
        <stp/>
        <stp/>
        <tr r="N351" s="1"/>
      </tp>
      <tp>
        <v>96755246250</v>
        <stp/>
        <stp>P</stp>
        <stp>0</stp>
        <stp>STK</stp>
        <stp>N009150</stp>
        <stp>누적거래대금</stp>
        <stp/>
        <stp/>
        <tr r="N42" s="1"/>
      </tp>
      <tp>
        <v>59263179250</v>
        <stp/>
        <stp>P</stp>
        <stp>0</stp>
        <stp>STK</stp>
        <stp>N196170</stp>
        <stp>누적거래대금</stp>
        <stp/>
        <stp/>
        <tr r="N45" s="1"/>
      </tp>
      <tp>
        <v>1562591930</v>
        <stp/>
        <stp>P</stp>
        <stp>0</stp>
        <stp>STK</stp>
        <stp>N094360</stp>
        <stp>누적거래대금</stp>
        <stp/>
        <stp/>
        <tr r="N559" s="1"/>
      </tp>
      <tp>
        <v>972582465</v>
        <stp/>
        <stp>P</stp>
        <stp>0</stp>
        <stp>STK</stp>
        <stp>N194370</stp>
        <stp>누적거래대금</stp>
        <stp/>
        <stp/>
        <tr r="N602" s="1"/>
      </tp>
      <tp>
        <v>1523283100</v>
        <stp/>
        <stp>P</stp>
        <stp>0</stp>
        <stp>STK</stp>
        <stp>N494120</stp>
        <stp>누적거래대금</stp>
        <stp/>
        <stp/>
        <tr r="N529" s="1"/>
      </tp>
      <tp>
        <v>480253150</v>
        <stp/>
        <stp>P</stp>
        <stp>0</stp>
        <stp>STK</stp>
        <stp>N095660</stp>
        <stp>누적거래대금</stp>
        <stp/>
        <stp/>
        <tr r="N448" s="1"/>
      </tp>
      <tp>
        <v>3432067050</v>
        <stp/>
        <stp>P</stp>
        <stp>0</stp>
        <stp>STK</stp>
        <stp>N195870</stp>
        <stp>누적거래대금</stp>
        <stp/>
        <stp/>
        <tr r="N335" s="1"/>
      </tp>
      <tp>
        <v>203123970</v>
        <stp/>
        <stp>P</stp>
        <stp>0</stp>
        <stp>STK</stp>
        <stp>N092460</stp>
        <stp>누적거래대금</stp>
        <stp/>
        <stp/>
        <tr r="N643" s="1"/>
      </tp>
      <tp>
        <v>497906870</v>
        <stp/>
        <stp>P</stp>
        <stp>0</stp>
        <stp>STK</stp>
        <stp>N090460</stp>
        <stp>누적거래대금</stp>
        <stp/>
        <stp/>
        <tr r="N458" s="1"/>
      </tp>
      <tp>
        <v>5239122300</v>
        <stp/>
        <stp>P</stp>
        <stp>0</stp>
        <stp>STK</stp>
        <stp>N090360</stp>
        <stp>누적거래대금</stp>
        <stp/>
        <stp/>
        <tr r="N332" s="1"/>
      </tp>
      <tp>
        <v>35980624500</v>
        <stp/>
        <stp>P</stp>
        <stp>0</stp>
        <stp>STK</stp>
        <stp>N098460</stp>
        <stp>누적거래대금</stp>
        <stp/>
        <stp/>
        <tr r="N205" s="1"/>
      </tp>
      <tp>
        <v>47568837000</v>
        <stp/>
        <stp>P</stp>
        <stp>0</stp>
        <stp>STK</stp>
        <stp>N298040</stp>
        <stp>누적거래대금</stp>
        <stp/>
        <stp/>
        <tr r="N40" s="1"/>
      </tp>
      <tp>
        <v>1829361900</v>
        <stp/>
        <stp>P</stp>
        <stp>0</stp>
        <stp>STK</stp>
        <stp>N286940</stp>
        <stp>누적거래대금</stp>
        <stp/>
        <stp/>
        <tr r="N596" s="1"/>
      </tp>
      <tp>
        <v>1213718400</v>
        <stp/>
        <stp>P</stp>
        <stp>0</stp>
        <stp>STK</stp>
        <stp>N287840</stp>
        <stp>누적거래대금</stp>
        <stp/>
        <stp/>
        <tr r="N383" s="1"/>
      </tp>
      <tp>
        <v>18363600</v>
        <stp/>
        <stp>P</stp>
        <stp>0</stp>
        <stp>STK</stp>
        <stp>N284740</stp>
        <stp>누적거래대금</stp>
        <stp/>
        <stp/>
        <tr r="N473" s="1"/>
      </tp>
      <tp>
        <v>208062550</v>
        <stp/>
        <stp>P</stp>
        <stp>0</stp>
        <stp>STK</stp>
        <stp>N484120</stp>
        <stp>누적거래대금</stp>
        <stp/>
        <stp/>
        <tr r="N674" s="1"/>
      </tp>
      <tp>
        <v>9672422050</v>
        <stp/>
        <stp>P</stp>
        <stp>0</stp>
        <stp>STK</stp>
        <stp>N085660</stp>
        <stp>누적거래대금</stp>
        <stp/>
        <stp/>
        <tr r="N271" s="1"/>
      </tp>
      <tp>
        <v>133385074625</v>
        <stp/>
        <stp>P</stp>
        <stp>0</stp>
        <stp>STK</stp>
        <stp>N380550</stp>
        <stp>누적거래대금</stp>
        <stp/>
        <stp/>
        <tr r="N663" s="1"/>
      </tp>
      <tp>
        <v>11258444650</v>
        <stp/>
        <stp>P</stp>
        <stp>0</stp>
        <stp>STK</stp>
        <stp>N281740</stp>
        <stp>누적거래대금</stp>
        <stp/>
        <stp/>
        <tr r="N291" s="1"/>
      </tp>
      <tp>
        <v>83459900</v>
        <stp/>
        <stp>P</stp>
        <stp>0</stp>
        <stp>STK</stp>
        <stp>N081660</stp>
        <stp>누적거래대금</stp>
        <stp/>
        <stp/>
        <tr r="N192" s="1"/>
      </tp>
      <tp>
        <v>1690154300</v>
        <stp/>
        <stp>P</stp>
        <stp>0</stp>
        <stp>STK</stp>
        <stp>N389650</stp>
        <stp>누적거래대금</stp>
        <stp/>
        <stp/>
        <tr r="N430" s="1"/>
      </tp>
      <tp>
        <v>186976500</v>
        <stp/>
        <stp>P</stp>
        <stp>0</stp>
        <stp>STK</stp>
        <stp>N089860</stp>
        <stp>누적거래대금</stp>
        <stp/>
        <stp/>
        <tr r="N300" s="1"/>
      </tp>
      <tp>
        <v>87978000</v>
        <stp/>
        <stp>P</stp>
        <stp>0</stp>
        <stp>STK</stp>
        <stp>N271940</stp>
        <stp>누적거래대금</stp>
        <stp/>
        <stp/>
        <tr r="N484" s="1"/>
      </tp>
      <tp>
        <v>1987247600</v>
        <stp/>
        <stp>P</stp>
        <stp>0</stp>
        <stp>STK</stp>
        <stp>N078160</stp>
        <stp>누적거래대금</stp>
        <stp/>
        <stp/>
        <tr r="N438" s="1"/>
      </tp>
      <tp>
        <v>377940500</v>
        <stp/>
        <stp>P</stp>
        <stp>0</stp>
        <stp>STK</stp>
        <stp>N067160</stp>
        <stp>누적거래대금</stp>
        <stp/>
        <stp/>
        <tr r="N373" s="1"/>
      </tp>
      <tp>
        <v>1616570000</v>
        <stp/>
        <stp>P</stp>
        <stp>0</stp>
        <stp>STK</stp>
        <stp>N064760</stp>
        <stp>누적거래대금</stp>
        <stp/>
        <stp/>
        <tr r="N218" s="1"/>
      </tp>
      <tp>
        <v>640098825</v>
        <stp/>
        <stp>P</stp>
        <stp>0</stp>
        <stp>STK</stp>
        <stp>N064960</stp>
        <stp>누적거래대금</stp>
        <stp/>
        <stp/>
        <tr r="N302" s="1"/>
      </tp>
      <tp>
        <v>210122900</v>
        <stp/>
        <stp>P</stp>
        <stp>0</stp>
        <stp>STK</stp>
        <stp>N065660</stp>
        <stp>누적거래대금</stp>
        <stp/>
        <stp/>
        <tr r="N556" s="1"/>
      </tp>
      <tp>
        <v>3195188050</v>
        <stp/>
        <stp>P</stp>
        <stp>0</stp>
        <stp>STK</stp>
        <stp>N068760</stp>
        <stp>누적거래대금</stp>
        <stp/>
        <stp/>
        <tr r="N171" s="1"/>
      </tp>
      <tp>
        <v>64647190</v>
        <stp/>
        <stp>P</stp>
        <stp>0</stp>
        <stp>STK</stp>
        <stp>N069260</stp>
        <stp>누적거래대금</stp>
        <stp/>
        <stp/>
        <tr r="N372" s="1"/>
      </tp>
      <tp>
        <v>1219023600</v>
        <stp/>
        <stp>P</stp>
        <stp>0</stp>
        <stp>STK</stp>
        <stp>N069960</stp>
        <stp>누적거래대금</stp>
        <stp/>
        <stp/>
        <tr r="N206" s="1"/>
      </tp>
      <tp>
        <v>202227600</v>
        <stp/>
        <stp>P</stp>
        <stp>0</stp>
        <stp>STK</stp>
        <stp>N357550</stp>
        <stp>누적거래대금</stp>
        <stp/>
        <stp/>
        <tr r="N612" s="1"/>
      </tp>
      <tp>
        <v>198908970</v>
        <stp/>
        <stp>P</stp>
        <stp>0</stp>
        <stp>STK</stp>
        <stp>N051360</stp>
        <stp>누적거래대금</stp>
        <stp/>
        <stp/>
        <tr r="N675" s="1"/>
      </tp>
      <tp>
        <v>87074577500</v>
        <stp/>
        <stp>P</stp>
        <stp>0</stp>
        <stp>STK</stp>
        <stp>N247540</stp>
        <stp>누적거래대금</stp>
        <stp/>
        <stp/>
        <tr r="N57" s="1"/>
      </tp>
      <tp>
        <v>15538701200</v>
        <stp/>
        <stp>P</stp>
        <stp>0</stp>
        <stp>STK</stp>
        <stp>N347850</stp>
        <stp>누적거래대금</stp>
        <stp/>
        <stp/>
        <tr r="N141" s="1"/>
      </tp>
      <tp>
        <v>81649342650</v>
        <stp/>
        <stp>P</stp>
        <stp>0</stp>
        <stp>STK</stp>
        <stp>N042660</stp>
        <stp>누적거래대금</stp>
        <stp/>
        <stp/>
        <tr r="N23" s="1"/>
      </tp>
      <tp>
        <v>1548661650</v>
        <stp/>
        <stp>P</stp>
        <stp>0</stp>
        <stp>STK</stp>
        <stp>N036460</stp>
        <stp>누적거래대금</stp>
        <stp/>
        <stp/>
        <tr r="N137" s="1"/>
      </tp>
      <tp>
        <v>1079529900</v>
        <stp/>
        <stp>P</stp>
        <stp>0</stp>
        <stp>STK</stp>
        <stp>N035760</stp>
        <stp>누적거래대금</stp>
        <stp/>
        <stp/>
        <tr r="N263" s="1"/>
      </tp>
      <tp>
        <v>5003263980</v>
        <stp/>
        <stp>P</stp>
        <stp>0</stp>
        <stp>STK</stp>
        <stp>N232140</stp>
        <stp>누적거래대금</stp>
        <stp/>
        <stp/>
        <tr r="N283" s="1"/>
      </tp>
      <tp>
        <v>6429003000</v>
        <stp/>
        <stp>P</stp>
        <stp>0</stp>
        <stp>STK</stp>
        <stp>N131970</stp>
        <stp>누적거래대금</stp>
        <stp/>
        <stp/>
        <tr r="N311" s="1"/>
      </tp>
      <tp>
        <v>116289800</v>
        <stp/>
        <stp>P</stp>
        <stp>0</stp>
        <stp>STK</stp>
        <stp>N026960</stp>
        <stp>누적거래대금</stp>
        <stp/>
        <stp/>
        <tr r="N175" s="1"/>
      </tp>
      <tp>
        <v>996295750</v>
        <stp/>
        <stp>P</stp>
        <stp>0</stp>
        <stp>STK</stp>
        <stp>N425420</stp>
        <stp>누적거래대금</stp>
        <stp/>
        <stp/>
        <tr r="N535" s="1"/>
      </tp>
      <tp>
        <v>3376141200</v>
        <stp/>
        <stp>P</stp>
        <stp>0</stp>
        <stp>STK</stp>
        <stp>N122870</stp>
        <stp>누적거래대금</stp>
        <stp/>
        <stp/>
        <tr r="N273" s="1"/>
      </tp>
      <tp>
        <v>868270750</v>
        <stp/>
        <stp>P</stp>
        <stp>0</stp>
        <stp>STK</stp>
        <stp>N023160</stp>
        <stp>누적거래대금</stp>
        <stp/>
        <stp/>
        <tr r="N389" s="1"/>
      </tp>
      <tp>
        <v>235212250</v>
        <stp/>
        <stp>P</stp>
        <stp>0</stp>
        <stp>STK</stp>
        <stp>N020560</stp>
        <stp>누적거래대금</stp>
        <stp/>
        <stp/>
        <tr r="N246" s="1"/>
      </tp>
      <tp>
        <v>7071682500</v>
        <stp/>
        <stp>P</stp>
        <stp>0</stp>
        <stp>STK</stp>
        <stp>N028260</stp>
        <stp>누적거래대금</stp>
        <stp/>
        <stp/>
        <tr r="N20" s="1"/>
      </tp>
      <tp>
        <v>1551078050</v>
        <stp/>
        <stp>P</stp>
        <stp>0</stp>
        <stp>STK</stp>
        <stp>N229640</stp>
        <stp>누적거래대금</stp>
        <stp/>
        <stp/>
        <tr r="N292" s="1"/>
      </tp>
      <tp>
        <v>312854500</v>
        <stp/>
        <stp>P</stp>
        <stp>0</stp>
        <stp>STK</stp>
        <stp>N029460</stp>
        <stp>누적거래대금</stp>
        <stp/>
        <stp/>
        <tr r="N557" s="1"/>
      </tp>
      <tp>
        <v>5714254550</v>
        <stp/>
        <stp>P</stp>
        <stp>0</stp>
        <stp>STK</stp>
        <stp>N016360</stp>
        <stp>누적거래대금</stp>
        <stp/>
        <stp/>
        <tr r="N91" s="1"/>
      </tp>
      <tp>
        <v>404154700</v>
        <stp/>
        <stp>P</stp>
        <stp>0</stp>
        <stp>STK</stp>
        <stp>N317450</stp>
        <stp>누적거래대금</stp>
        <stp/>
        <stp/>
        <tr r="N342" s="1"/>
      </tp>
      <tp>
        <v>1890502350</v>
        <stp/>
        <stp>P</stp>
        <stp>0</stp>
        <stp>STK</stp>
        <stp>N017960</stp>
        <stp>누적거래대금</stp>
        <stp/>
        <stp/>
        <tr r="N221" s="1"/>
      </tp>
      <tp>
        <v>338335970</v>
        <stp/>
        <stp>P</stp>
        <stp>0</stp>
        <stp>STK</stp>
        <stp>N017860</stp>
        <stp>누적거래대금</stp>
        <stp/>
        <stp/>
        <tr r="N597" s="1"/>
      </tp>
      <tp>
        <v>21950325250</v>
        <stp/>
        <stp>P</stp>
        <stp>0</stp>
        <stp>STK</stp>
        <stp>N015760</stp>
        <stp>누적거래대금</stp>
        <stp/>
        <stp/>
        <tr r="N24" s="1"/>
      </tp>
      <tp>
        <v>74934100</v>
        <stp/>
        <stp>P</stp>
        <stp>0</stp>
        <stp>STK</stp>
        <stp>N015360</stp>
        <stp>누적거래대금</stp>
        <stp/>
        <stp/>
        <tr r="N552" s="1"/>
      </tp>
      <tp>
        <v>2135043300</v>
        <stp/>
        <stp>P</stp>
        <stp>0</stp>
        <stp>STK</stp>
        <stp>N010060</stp>
        <stp>누적거래대금</stp>
        <stp/>
        <stp/>
        <tr r="N202" s="1"/>
      </tp>
      <tp>
        <v>166152550</v>
        <stp/>
        <stp>P</stp>
        <stp>0</stp>
        <stp>STK</stp>
        <stp>N011760</stp>
        <stp>누적거래대금</stp>
        <stp/>
        <stp/>
        <tr r="N639" s="1"/>
      </tp>
      <tp>
        <v>592671500</v>
        <stp/>
        <stp>P</stp>
        <stp>0</stp>
        <stp>STK</stp>
        <stp>N111770</stp>
        <stp>누적거래대금</stp>
        <stp/>
        <stp/>
        <tr r="N138" s="1"/>
      </tp>
      <tp>
        <v>2919342500</v>
        <stp/>
        <stp>P</stp>
        <stp>0</stp>
        <stp>STK</stp>
        <stp>N018260</stp>
        <stp>누적거래대금</stp>
        <stp/>
        <stp/>
        <tr r="N63" s="1"/>
      </tp>
      <tp>
        <v>117040170</v>
        <stp/>
        <stp>P</stp>
        <stp>0</stp>
        <stp>STK</stp>
        <stp>N206640</stp>
        <stp>누적거래대금</stp>
        <stp/>
        <stp/>
        <tr r="N632" s="1"/>
      </tp>
      <tp>
        <v>1328725000</v>
        <stp/>
        <stp>P</stp>
        <stp>0</stp>
        <stp>STK</stp>
        <stp>N006360</stp>
        <stp>누적거래대금</stp>
        <stp/>
        <stp/>
        <tr r="N243" s="1"/>
      </tp>
      <tp>
        <v>10909456250</v>
        <stp/>
        <stp>P</stp>
        <stp>0</stp>
        <stp>STK</stp>
        <stp>N006260</stp>
        <stp>누적거래대금</stp>
        <stp/>
        <stp/>
        <tr r="N92" s="1"/>
      </tp>
      <tp>
        <v>21093391050</v>
        <stp/>
        <stp>P</stp>
        <stp>0</stp>
        <stp>STK</stp>
        <stp>N007660</stp>
        <stp>누적거래대금</stp>
        <stp/>
        <stp/>
        <tr r="N89" s="1"/>
      </tp>
      <tp>
        <v>261618300</v>
        <stp/>
        <stp>P</stp>
        <stp>0</stp>
        <stp>STK</stp>
        <stp>N007160</stp>
        <stp>누적거래대금</stp>
        <stp/>
        <stp/>
        <tr r="N652" s="1"/>
      </tp>
      <tp>
        <v>6886308000</v>
        <stp/>
        <stp>P</stp>
        <stp>0</stp>
        <stp>STK</stp>
        <stp>N207940</stp>
        <stp>누적거래대금</stp>
        <stp/>
        <stp/>
        <tr r="N13" s="1"/>
      </tp>
      <tp>
        <v>17962406000</v>
        <stp/>
        <stp>P</stp>
        <stp>0</stp>
        <stp>STK</stp>
        <stp>N307950</stp>
        <stp>누적거래대금</stp>
        <stp/>
        <stp/>
        <tr r="N61" s="1"/>
      </tp>
      <tp>
        <v>53359740</v>
        <stp/>
        <stp>P</stp>
        <stp>0</stp>
        <stp>STK</stp>
        <stp>N004360</stp>
        <stp>누적거래대금</stp>
        <stp/>
        <stp/>
        <tr r="N662" s="1"/>
      </tp>
      <tp>
        <v>122183000</v>
        <stp/>
        <stp>P</stp>
        <stp>0</stp>
        <stp>STK</stp>
        <stp>N002960</stp>
        <stp>누적거래대금</stp>
        <stp/>
        <stp/>
        <tr r="N445" s="1"/>
      </tp>
      <tp>
        <v>4954973400</v>
        <stp/>
        <stp>P</stp>
        <stp>0</stp>
        <stp>STK</stp>
        <stp>N003160</stp>
        <stp>누적거래대금</stp>
        <stp/>
        <stp/>
        <tr r="N345" s="1"/>
      </tp>
      <tp>
        <v>76051200</v>
        <stp/>
        <stp>P</stp>
        <stp>0</stp>
        <stp>STK</stp>
        <stp>N003960</stp>
        <stp>누적거래대금</stp>
        <stp/>
        <stp/>
        <tr r="N601" s="1"/>
      </tp>
      <tp>
        <v>867637691000</v>
        <stp/>
        <stp>P</stp>
        <stp>0</stp>
        <stp>STK</stp>
        <stp>N000660</stp>
        <stp>누적거래대금</stp>
        <stp/>
        <stp/>
        <tr r="N10" s="1"/>
      </tp>
      <tp>
        <v>3893600</v>
        <stp/>
        <stp>P</stp>
        <stp>0</stp>
        <stp>STK</stp>
        <stp>N001460</stp>
        <stp>누적거래대금</stp>
        <stp/>
        <stp/>
        <tr r="N660" s="1"/>
      </tp>
      <tp>
        <v>777198200</v>
        <stp/>
        <stp>P</stp>
        <stp>0</stp>
        <stp>STK</stp>
        <stp>N001060</stp>
        <stp>누적거래대금</stp>
        <stp/>
        <stp/>
        <tr r="N410" s="1"/>
      </tp>
      <tp>
        <v>47474600</v>
        <stp/>
        <stp>P</stp>
        <stp>0</stp>
        <stp>STK</stp>
        <stp>N108670</stp>
        <stp>누적거래대금</stp>
        <stp/>
        <stp/>
        <tr r="N668" s="1"/>
      </tp>
      <tp>
        <v>193741920</v>
        <stp/>
        <stp>P</stp>
        <stp>0</stp>
        <stp>STK</stp>
        <stp>N008060</stp>
        <stp>누적거래대금</stp>
        <stp/>
        <stp/>
        <tr r="N588" s="1"/>
      </tp>
      <tp>
        <v>5834717300</v>
        <stp/>
        <stp>P</stp>
        <stp>0</stp>
        <stp>STK</stp>
        <stp>N096770</stp>
        <stp>누적거래대금</stp>
        <stp/>
        <stp/>
        <tr r="N50" s="1"/>
      </tp>
      <tp>
        <v>2355847050</v>
        <stp/>
        <stp>P</stp>
        <stp>0</stp>
        <stp>STK</stp>
        <stp>N094170</stp>
        <stp>누적거래대금</stp>
        <stp/>
        <stp/>
        <tr r="N439" s="1"/>
      </tp>
      <tp>
        <v>1624872990</v>
        <stp/>
        <stp>P</stp>
        <stp>0</stp>
        <stp>STK</stp>
        <stp>N093370</stp>
        <stp>누적거래대금</stp>
        <stp/>
        <stp/>
        <tr r="N358" s="1"/>
      </tp>
      <tp>
        <v>18710870350</v>
        <stp/>
        <stp>P</stp>
        <stp>0</stp>
        <stp>STK</stp>
        <stp>N290650</stp>
        <stp>누적거래대금</stp>
        <stp/>
        <stp/>
        <tr r="N269" s="1"/>
      </tp>
      <tp>
        <v>501411250</v>
        <stp/>
        <stp>P</stp>
        <stp>0</stp>
        <stp>STK</stp>
        <stp>N098070</stp>
        <stp>누적거래대금</stp>
        <stp/>
        <stp/>
        <tr r="N513" s="1"/>
      </tp>
      <tp>
        <v>1054220000</v>
        <stp/>
        <stp>P</stp>
        <stp>0</stp>
        <stp>STK</stp>
        <stp>N298050</stp>
        <stp>누적거래대금</stp>
        <stp/>
        <stp/>
        <tr r="N321" s="1"/>
      </tp>
      <tp>
        <v>4793253650</v>
        <stp/>
        <stp>P</stp>
        <stp>0</stp>
        <stp>STK</stp>
        <stp>N084370</stp>
        <stp>누적거래대금</stp>
        <stp/>
        <stp/>
        <tr r="N222" s="1"/>
      </tp>
      <tp>
        <v>4345554675</v>
        <stp/>
        <stp>P</stp>
        <stp>0</stp>
        <stp>STK</stp>
        <stp>N082270</stp>
        <stp>누적거래대금</stp>
        <stp/>
        <stp/>
        <tr r="N316" s="1"/>
      </tp>
      <tp>
        <v>4061074150</v>
        <stp/>
        <stp>P</stp>
        <stp>0</stp>
        <stp>STK</stp>
        <stp>N089970</stp>
        <stp>누적거래대금</stp>
        <stp/>
        <stp/>
        <tr r="N409" s="1"/>
      </tp>
      <tp>
        <v>10012285450</v>
        <stp/>
        <stp>P</stp>
        <stp>0</stp>
        <stp>STK</stp>
        <stp>N476830</stp>
        <stp>누적거래대금</stp>
        <stp/>
        <stp/>
        <tr r="N212" s="1"/>
      </tp>
      <tp>
        <v>1104904450</v>
        <stp/>
        <stp>P</stp>
        <stp>0</stp>
        <stp>STK</stp>
        <stp>N077970</stp>
        <stp>누적거래대금</stp>
        <stp/>
        <stp/>
        <tr r="N249" s="1"/>
      </tp>
      <tp>
        <v>6408761000</v>
        <stp/>
        <stp>P</stp>
        <stp>0</stp>
        <stp>STK</stp>
        <stp>N475830</stp>
        <stp>누적거래대금</stp>
        <stp/>
        <stp/>
        <tr r="N200" s="1"/>
      </tp>
      <tp>
        <v>3309035050</v>
        <stp/>
        <stp>P</stp>
        <stp>0</stp>
        <stp>STK</stp>
        <stp>N071970</stp>
        <stp>누적거래대금</stp>
        <stp/>
        <stp/>
        <tr r="N151" s="1"/>
      </tp>
      <tp>
        <v>1668633370</v>
        <stp/>
        <stp>P</stp>
        <stp>0</stp>
        <stp>STK</stp>
        <stp>N378340</stp>
        <stp>누적거래대금</stp>
        <stp/>
        <stp/>
        <tr r="N651" s="1"/>
      </tp>
      <tp>
        <v>4938303420</v>
        <stp/>
        <stp>P</stp>
        <stp>0</stp>
        <stp>STK</stp>
        <stp>N079370</stp>
        <stp>누적거래대금</stp>
        <stp/>
        <stp/>
        <tr r="N490" s="1"/>
      </tp>
      <tp>
        <v>13159595350</v>
        <stp/>
        <stp>P</stp>
        <stp>0</stp>
        <stp>STK</stp>
        <stp>N066570</stp>
        <stp>누적거래대금</stp>
        <stp/>
        <stp/>
        <tr r="N48" s="1"/>
      </tp>
      <tp>
        <v>13503940950</v>
        <stp/>
        <stp>P</stp>
        <stp>0</stp>
        <stp>STK</stp>
        <stp>N066970</stp>
        <stp>누적거래대금</stp>
        <stp/>
        <stp/>
        <tr r="N118" s="1"/>
      </tp>
      <tp>
        <v>2407461000</v>
        <stp/>
        <stp>P</stp>
        <stp>0</stp>
        <stp>STK</stp>
        <stp>N267250</stp>
        <stp>누적거래대금</stp>
        <stp/>
        <stp/>
        <tr r="N44" s="1"/>
      </tp>
      <tp>
        <v>2284291150</v>
        <stp/>
        <stp>P</stp>
        <stp>0</stp>
        <stp>STK</stp>
        <stp>N365340</stp>
        <stp>누적거래대금</stp>
        <stp/>
        <stp/>
        <tr r="N422" s="1"/>
      </tp>
      <tp>
        <v>8473501300</v>
        <stp/>
        <stp>P</stp>
        <stp>0</stp>
        <stp>STK</stp>
        <stp>N263750</stp>
        <stp>누적거래대금</stp>
        <stp/>
        <stp/>
        <tr r="N165" s="1"/>
      </tp>
      <tp>
        <v>2288551000</v>
        <stp/>
        <stp>P</stp>
        <stp>0</stp>
        <stp>STK</stp>
        <stp>N060370</stp>
        <stp>누적거래대금</stp>
        <stp/>
        <stp/>
        <tr r="N256" s="1"/>
      </tp>
      <tp>
        <v>622168570</v>
        <stp/>
        <stp>P</stp>
        <stp>0</stp>
        <stp>STK</stp>
        <stp>N460930</stp>
        <stp>누적거래대금</stp>
        <stp/>
        <stp/>
        <tr r="N399" s="1"/>
      </tp>
      <tp>
        <v>2460561900</v>
        <stp/>
        <stp>P</stp>
        <stp>0</stp>
        <stp>STK</stp>
        <stp>N468530</stp>
        <stp>누적거래대금</stp>
        <stp/>
        <stp/>
        <tr r="N340" s="1"/>
      </tp>
      <tp>
        <v>1396426880</v>
        <stp/>
        <stp>P</stp>
        <stp>0</stp>
        <stp>STK</stp>
        <stp>N168360</stp>
        <stp>누적거래대금</stp>
        <stp/>
        <stp/>
        <tr r="N585" s="1"/>
      </tp>
      <tp>
        <v>19885067750</v>
        <stp/>
        <stp>P</stp>
        <stp>0</stp>
        <stp>STK</stp>
        <stp>N068270</stp>
        <stp>누적거래대금</stp>
        <stp/>
        <stp/>
        <tr r="N21" s="1"/>
      </tp>
      <tp>
        <v>490706850</v>
        <stp/>
        <stp>P</stp>
        <stp>0</stp>
        <stp>STK</stp>
        <stp>N452430</stp>
        <stp>누적거래대금</stp>
        <stp/>
        <stp/>
        <tr r="N661" s="1"/>
      </tp>
      <tp>
        <v>1035515875</v>
        <stp/>
        <stp>P</stp>
        <stp>0</stp>
        <stp>STK</stp>
        <stp>N253450</stp>
        <stp>누적거래대금</stp>
        <stp/>
        <stp/>
        <tr r="N264" s="1"/>
      </tp>
      <tp>
        <v>27243544250</v>
        <stp/>
        <stp>P</stp>
        <stp>0</stp>
        <stp>STK</stp>
        <stp>N058470</stp>
        <stp>누적거래대금</stp>
        <stp/>
        <stp/>
        <tr r="N112" s="1"/>
      </tp>
      <tp>
        <v>657344650</v>
        <stp/>
        <stp>P</stp>
        <stp>0</stp>
        <stp>STK</stp>
        <stp>N058970</stp>
        <stp>누적거래대금</stp>
        <stp/>
        <stp/>
        <tr r="N512" s="1"/>
      </tp>
      <tp>
        <v>189383270</v>
        <stp/>
        <stp>P</stp>
        <stp>0</stp>
        <stp>STK</stp>
        <stp>N043370</stp>
        <stp>누적거래대금</stp>
        <stp/>
        <stp/>
        <tr r="N653" s="1"/>
      </tp>
      <tp>
        <v>1534551500</v>
        <stp/>
        <stp>P</stp>
        <stp>0</stp>
        <stp>STK</stp>
        <stp>N140860</stp>
        <stp>누적거래대금</stp>
        <stp/>
        <stp/>
        <tr r="N241" s="1"/>
      </tp>
      <tp>
        <v>1047578700</v>
        <stp/>
        <stp>P</stp>
        <stp>0</stp>
        <stp>STK</stp>
        <stp>N049070</stp>
        <stp>누적거래대금</stp>
        <stp/>
        <stp/>
        <tr r="N522" s="1"/>
      </tp>
      <tp>
        <v>4830831000</v>
        <stp/>
        <stp>P</stp>
        <stp>0</stp>
        <stp>STK</stp>
        <stp>N036570</stp>
        <stp>누적거래대금</stp>
        <stp/>
        <stp/>
        <tr r="N114" s="1"/>
      </tp>
      <tp>
        <v>3970589950</v>
        <stp/>
        <stp>P</stp>
        <stp>0</stp>
        <stp>STK</stp>
        <stp>N437730</stp>
        <stp>누적거래대금</stp>
        <stp/>
        <stp/>
        <tr r="N195" s="1"/>
      </tp>
      <tp>
        <v>66705340</v>
        <stp/>
        <stp>P</stp>
        <stp>0</stp>
        <stp>STK</stp>
        <stp>N033270</stp>
        <stp>누적거래대금</stp>
        <stp/>
        <stp/>
        <tr r="N628" s="1"/>
      </tp>
      <tp>
        <v>2053746090</v>
        <stp/>
        <stp>P</stp>
        <stp>0</stp>
        <stp>STK</stp>
        <stp>N130660</stp>
        <stp>누적거래대금</stp>
        <stp/>
        <stp/>
        <tr r="N521" s="1"/>
      </tp>
      <tp>
        <v>1255779000</v>
        <stp/>
        <stp>P</stp>
        <stp>0</stp>
        <stp>STK</stp>
        <stp>N338840</stp>
        <stp>누적거래대금</stp>
        <stp/>
        <stp/>
        <tr r="N583" s="1"/>
      </tp>
      <tp>
        <v>9019304550</v>
        <stp/>
        <stp>P</stp>
        <stp>0</stp>
        <stp>STK</stp>
        <stp>N226950</stp>
        <stp>누적거래대금</stp>
        <stp/>
        <stp/>
        <tr r="N189" s="1"/>
      </tp>
      <tp>
        <v>51709670</v>
        <stp/>
        <stp>P</stp>
        <stp>0</stp>
        <stp>STK</stp>
        <stp>N025770</stp>
        <stp>누적거래대금</stp>
        <stp/>
        <stp/>
        <tr r="N636" s="1"/>
      </tp>
      <tp>
        <v>1775251330</v>
        <stp/>
        <stp>P</stp>
        <stp>0</stp>
        <stp>STK</stp>
        <stp>N028670</stp>
        <stp>누적거래대금</stp>
        <stp/>
        <stp/>
        <tr r="N191" s="1"/>
      </tp>
      <tp>
        <v>3582468300</v>
        <stp/>
        <stp>P</stp>
        <stp>0</stp>
        <stp>STK</stp>
        <stp>N316140</stp>
        <stp>누적거래대금</stp>
        <stp/>
        <stp/>
        <tr r="N43" s="1"/>
      </tp>
      <tp>
        <v>9896246300</v>
        <stp/>
        <stp>P</stp>
        <stp>0</stp>
        <stp>STK</stp>
        <stp>N017670</stp>
        <stp>누적거래대금</stp>
        <stp/>
        <stp/>
        <tr r="N66" s="1"/>
      </tp>
      <tp>
        <v>20303515000</v>
        <stp/>
        <stp>P</stp>
        <stp>0</stp>
        <stp>STK</stp>
        <stp>N214450</stp>
        <stp>누적거래대금</stp>
        <stp/>
        <stp/>
        <tr r="N120" s="1"/>
      </tp>
      <tp>
        <v>4838921800</v>
        <stp/>
        <stp>P</stp>
        <stp>0</stp>
        <stp>STK</stp>
        <stp>N214150</stp>
        <stp>누적거래대금</stp>
        <stp/>
        <stp/>
        <tr r="N132" s="1"/>
      </tp>
      <tp>
        <v>1460761100</v>
        <stp/>
        <stp>P</stp>
        <stp>0</stp>
        <stp>STK</stp>
        <stp>N011170</stp>
        <stp>누적거래대금</stp>
        <stp/>
        <stp/>
        <tr r="N152" s="1"/>
      </tp>
      <tp>
        <v>6764074000</v>
        <stp/>
        <stp>P</stp>
        <stp>0</stp>
        <stp>STK</stp>
        <stp>N011070</stp>
        <stp>누적거래대금</stp>
        <stp/>
        <stp/>
        <tr r="N97" s="1"/>
      </tp>
      <tp>
        <v>361414210</v>
        <stp/>
        <stp>P</stp>
        <stp>0</stp>
        <stp>STK</stp>
        <stp>N211050</stp>
        <stp>누적거래대금</stp>
        <stp/>
        <stp/>
        <tr r="N424" s="1"/>
      </tp>
      <tp>
        <v>340368500</v>
        <stp/>
        <stp>P</stp>
        <stp>0</stp>
        <stp>STK</stp>
        <stp>N018670</stp>
        <stp>누적거래대금</stp>
        <stp/>
        <stp/>
        <tr r="N209" s="1"/>
      </tp>
      <tp>
        <v>828686450</v>
        <stp/>
        <stp>P</stp>
        <stp>0</stp>
        <stp>STK</stp>
        <stp>N419530</stp>
        <stp>누적거래대금</stp>
        <stp/>
        <stp/>
        <tr r="N580" s="1"/>
      </tp>
      <tp>
        <v>311583050</v>
        <stp/>
        <stp>P</stp>
        <stp>0</stp>
        <stp>STK</stp>
        <stp>N019170</stp>
        <stp>누적거래대금</stp>
        <stp/>
        <stp/>
        <tr r="N411" s="1"/>
      </tp>
      <tp>
        <v>1737644780</v>
        <stp/>
        <stp>P</stp>
        <stp>0</stp>
        <stp>STK</stp>
        <stp>N206650</stp>
        <stp>누적거래대금</stp>
        <stp/>
        <stp/>
        <tr r="N534" s="1"/>
      </tp>
      <tp>
        <v>229446450</v>
        <stp/>
        <stp>P</stp>
        <stp>0</stp>
        <stp>STK</stp>
        <stp>N007070</stp>
        <stp>누적거래대금</stp>
        <stp/>
        <stp/>
        <tr r="N235" s="1"/>
      </tp>
      <tp>
        <v>667600000</v>
        <stp/>
        <stp>P</stp>
        <stp>0</stp>
        <stp>STK</stp>
        <stp>N004370</stp>
        <stp>누적거래대금</stp>
        <stp/>
        <stp/>
        <tr r="N182" s="1"/>
      </tp>
      <tp>
        <v>3864800000</v>
        <stp/>
        <stp>P</stp>
        <stp>0</stp>
        <stp>STK</stp>
        <stp>N004170</stp>
        <stp>누적거래대금</stp>
        <stp/>
        <stp/>
        <tr r="N163" s="1"/>
      </tp>
      <tp>
        <v>6248268300</v>
        <stp/>
        <stp>P</stp>
        <stp>0</stp>
        <stp>STK</stp>
        <stp>N105560</stp>
        <stp>누적거래대금</stp>
        <stp/>
        <stp/>
        <tr r="N19" s="1"/>
      </tp>
      <tp>
        <v>6161076450</v>
        <stp/>
        <stp>P</stp>
        <stp>0</stp>
        <stp>STK</stp>
        <stp>N005070</stp>
        <stp>누적거래대금</stp>
        <stp/>
        <stp/>
        <tr r="N255" s="1"/>
      </tp>
      <tp>
        <v>1262852700</v>
        <stp/>
        <stp>P</stp>
        <stp>0</stp>
        <stp>STK</stp>
        <stp>N302440</stp>
        <stp>누적거래대금</stp>
        <stp/>
        <stp/>
        <tr r="N134" s="1"/>
      </tp>
      <tp>
        <v>239058300</v>
        <stp/>
        <stp>P</stp>
        <stp>0</stp>
        <stp>STK</stp>
        <stp>N402030</stp>
        <stp>누적거래대금</stp>
        <stp/>
        <stp/>
        <tr r="N644" s="1"/>
      </tp>
      <tp>
        <v>32481193500</v>
        <stp/>
        <stp>P</stp>
        <stp>0</stp>
        <stp>STK</stp>
        <stp>N003670</stp>
        <stp>누적거래대금</stp>
        <stp/>
        <stp/>
        <tr r="N49" s="1"/>
      </tp>
      <tp>
        <v>1303511750</v>
        <stp/>
        <stp>P</stp>
        <stp>0</stp>
        <stp>STK</stp>
        <stp>N003570</stp>
        <stp>누적거래대금</stp>
        <stp/>
        <stp/>
        <tr r="N237" s="1"/>
      </tp>
      <tp>
        <v>903609300</v>
        <stp/>
        <stp>P</stp>
        <stp>0</stp>
        <stp>STK</stp>
        <stp>N000670</stp>
        <stp>누적거래대금</stp>
        <stp/>
        <stp/>
        <tr r="N324" s="1"/>
      </tp>
      <tp>
        <v>13894383450</v>
        <stp/>
        <stp>P</stp>
        <stp>0</stp>
        <stp>STK</stp>
        <stp>N000270</stp>
        <stp>누적거래대금</stp>
        <stp/>
        <stp/>
        <tr r="N14" s="1"/>
      </tp>
      <tp>
        <v>39828100</v>
        <stp/>
        <stp>P</stp>
        <stp>0</stp>
        <stp>STK</stp>
        <stp>N000070</stp>
        <stp>누적거래대금</stp>
        <stp/>
        <stp/>
        <tr r="N505" s="1"/>
      </tp>
      <tp>
        <v>1369809350</v>
        <stp/>
        <stp>P</stp>
        <stp>0</stp>
        <stp>STK</stp>
        <stp>N101360</stp>
        <stp>누적거래대금</stp>
        <stp/>
        <stp/>
        <tr r="N600" s="1"/>
      </tp>
      <tp>
        <v>5058253800</v>
        <stp/>
        <stp>P</stp>
        <stp>0</stp>
        <stp>STK</stp>
        <stp>N001270</stp>
        <stp>누적거래대금</stp>
        <stp/>
        <stp/>
        <tr r="N415" s="1"/>
      </tp>
      <tp>
        <v>1696709350</v>
        <stp/>
        <stp>P</stp>
        <stp>0</stp>
        <stp>STK</stp>
        <stp>N101160</stp>
        <stp>누적거래대금</stp>
        <stp/>
        <stp/>
        <tr r="N561" s="1"/>
      </tp>
      <tp>
        <v>5585181375</v>
        <stp/>
        <stp>P</stp>
        <stp>0</stp>
        <stp>STK</stp>
        <stp>N008770</stp>
        <stp>누적거래대금</stp>
        <stp/>
        <stp/>
        <tr r="N229" s="1"/>
      </tp>
      <tp>
        <v>1118789890</v>
        <stp/>
        <stp>P</stp>
        <stp>0</stp>
        <stp>STK</stp>
        <stp>N108860</stp>
        <stp>누적거래대금</stp>
        <stp/>
        <stp/>
        <tr r="N603" s="1"/>
      </tp>
      <tp>
        <v>182946000</v>
        <stp/>
        <stp>P</stp>
        <stp>0</stp>
        <stp>STK</stp>
        <stp>N009970</stp>
        <stp>누적거래대금</stp>
        <stp/>
        <stp/>
        <tr r="N176" s="1"/>
      </tp>
      <tp>
        <v>272368265670</v>
        <stp/>
        <stp>P</stp>
        <stp>0</stp>
        <stp>STK</stp>
        <stp>N078520</stp>
        <stp>시가총액</stp>
        <stp/>
        <stp/>
        <tr r="I673" s="1"/>
      </tp>
      <tp>
        <v>956817405180</v>
        <stp/>
        <stp>P</stp>
        <stp>0</stp>
        <stp>STK</stp>
        <stp>N358570</stp>
        <stp>시가총액</stp>
        <stp/>
        <stp/>
        <tr r="I339" s="1"/>
      </tp>
      <tp>
        <v>854373388000</v>
        <stp/>
        <stp>P</stp>
        <stp>0</stp>
        <stp>STK</stp>
        <stp>N468530</stp>
        <stp>시가총액</stp>
        <stp/>
        <stp/>
        <tr r="I340" s="1"/>
      </tp>
      <tp>
        <v>314371995000</v>
        <stp/>
        <stp>P</stp>
        <stp>0</stp>
        <stp>STK</stp>
        <stp>N308430</stp>
        <stp>시가총액</stp>
        <stp/>
        <stp/>
        <tr r="I625" s="1"/>
      </tp>
      <tp>
        <v>1080460800000</v>
        <stp/>
        <stp>P</stp>
        <stp>0</stp>
        <stp>STK</stp>
        <stp>N048410</stp>
        <stp>시가총액</stp>
        <stp/>
        <stp/>
        <tr r="I455" s="1"/>
      </tp>
      <tp>
        <v>1285416937000</v>
        <stp/>
        <stp>P</stp>
        <stp>0</stp>
        <stp>STK</stp>
        <stp>N218410</stp>
        <stp>시가총액</stp>
        <stp/>
        <stp/>
        <tr r="I327" s="1"/>
      </tp>
      <tp>
        <v>10330860780000</v>
        <stp/>
        <stp>P</stp>
        <stp>0</stp>
        <stp>STK</stp>
        <stp>N278470</stp>
        <stp>시가총액</stp>
        <stp/>
        <stp/>
        <tr r="I77" s="1"/>
      </tp>
      <tp>
        <v>2354858096500</v>
        <stp/>
        <stp>P</stp>
        <stp>0</stp>
        <stp>STK</stp>
        <stp>N098460</stp>
        <stp>시가총액</stp>
        <stp/>
        <stp/>
        <tr r="I205" s="1"/>
      </tp>
      <tp>
        <v>7621185000000</v>
        <stp/>
        <stp>P</stp>
        <stp>0</stp>
        <stp>STK</stp>
        <stp>N058470</stp>
        <stp>시가총액</stp>
        <stp/>
        <stp/>
        <tr r="I112" s="1"/>
      </tp>
      <tp>
        <v>5092245756000</v>
        <stp/>
        <stp>P</stp>
        <stp>0</stp>
        <stp>STK</stp>
        <stp>N108490</stp>
        <stp>시가총액</stp>
        <stp/>
        <stp/>
        <tr r="I135" s="1"/>
      </tp>
      <tp>
        <v>361380000000</v>
        <stp/>
        <stp>P</stp>
        <stp>0</stp>
        <stp>STK</stp>
        <stp>N138490</stp>
        <stp>시가총액</stp>
        <stp/>
        <stp/>
        <tr r="I611" s="1"/>
      </tp>
      <tp>
        <v>244686739950</v>
        <stp/>
        <stp>P</stp>
        <stp>0</stp>
        <stp>STK</stp>
        <stp>N008490</stp>
        <stp>시가총액</stp>
        <stp/>
        <stp/>
        <tr r="I689" s="1"/>
      </tp>
      <tp>
        <v>1607139633000</v>
        <stp/>
        <stp>P</stp>
        <stp>0</stp>
        <stp>STK</stp>
        <stp>N388720</stp>
        <stp>시가총액</stp>
        <stp/>
        <stp/>
        <tr r="I286" s="1"/>
      </tp>
      <tp>
        <v>673320000000</v>
        <stp/>
        <stp>P</stp>
        <stp>0</stp>
        <stp>STK</stp>
        <stp>N008730</stp>
        <stp>시가총액</stp>
        <stp/>
        <stp/>
        <tr r="I400" s="1"/>
      </tp>
      <tp>
        <v>568866097800</v>
        <stp/>
        <stp>P</stp>
        <stp>0</stp>
        <stp>STK</stp>
        <stp>N228760</stp>
        <stp>시가총액</stp>
        <stp/>
        <stp/>
        <tr r="I452" s="1"/>
      </tp>
      <tp>
        <v>3088311744000</v>
        <stp/>
        <stp>P</stp>
        <stp>0</stp>
        <stp>STK</stp>
        <stp>N068760</stp>
        <stp>시가총액</stp>
        <stp/>
        <stp/>
        <tr r="I171" s="1"/>
      </tp>
      <tp>
        <v>1838774468850</v>
        <stp/>
        <stp>P</stp>
        <stp>0</stp>
        <stp>STK</stp>
        <stp>N008770</stp>
        <stp>시가총액</stp>
        <stp/>
        <stp/>
        <tr r="I229" s="1"/>
      </tp>
      <tp>
        <v>393796210500</v>
        <stp/>
        <stp>P</stp>
        <stp>0</stp>
        <stp>STK</stp>
        <stp>N138610</stp>
        <stp>시가총액</stp>
        <stp/>
        <stp/>
        <tr r="I548" s="1"/>
      </tp>
      <tp>
        <v>1196649838900</v>
        <stp/>
        <stp>P</stp>
        <stp>0</stp>
        <stp>STK</stp>
        <stp>N078600</stp>
        <stp>시가총액</stp>
        <stp/>
        <stp/>
        <tr r="I320" s="1"/>
      </tp>
      <tp>
        <v>3579425904000</v>
        <stp/>
        <stp>P</stp>
        <stp>0</stp>
        <stp>STK</stp>
        <stp>N058610</stp>
        <stp>시가총액</stp>
        <stp/>
        <stp/>
        <tr r="I181" s="1"/>
      </tp>
      <tp>
        <v>257372129000</v>
        <stp/>
        <stp>P</stp>
        <stp>0</stp>
        <stp>STK</stp>
        <stp>N108670</stp>
        <stp>시가총액</stp>
        <stp/>
        <stp/>
        <tr r="I668" s="1"/>
      </tp>
      <tp>
        <v>2107915632000</v>
        <stp/>
        <stp>P</stp>
        <stp>0</stp>
        <stp>STK</stp>
        <stp>N018670</stp>
        <stp>시가총액</stp>
        <stp/>
        <stp/>
        <tr r="I209" s="1"/>
      </tp>
      <tp>
        <v>2528513791760</v>
        <stp/>
        <stp>P</stp>
        <stp>0</stp>
        <stp>STK</stp>
        <stp>N028670</stp>
        <stp>시가총액</stp>
        <stp/>
        <stp/>
        <tr r="I191" s="1"/>
      </tp>
      <tp>
        <v>1114682022600</v>
        <stp/>
        <stp>P</stp>
        <stp>0</stp>
        <stp>STK</stp>
        <stp>N328130</stp>
        <stp>시가총액</stp>
        <stp/>
        <stp/>
        <tr r="I298" s="1"/>
      </tp>
      <tp>
        <v>970313924250</v>
        <stp/>
        <stp>P</stp>
        <stp>0</stp>
        <stp>STK</stp>
        <stp>N078160</stp>
        <stp>시가총액</stp>
        <stp/>
        <stp/>
        <tr r="I438" s="1"/>
      </tp>
      <tp>
        <v>1588259294000</v>
        <stp/>
        <stp>P</stp>
        <stp>0</stp>
        <stp>STK</stp>
        <stp>N298020</stp>
        <stp>시가총액</stp>
        <stp/>
        <stp/>
        <tr r="I234" s="1"/>
      </tp>
      <tp>
        <v>6164200000000</v>
        <stp/>
        <stp>P</stp>
        <stp>0</stp>
        <stp>STK</stp>
        <stp>N028050</stp>
        <stp>시가총액</stp>
        <stp/>
        <stp/>
        <tr r="I113" s="1"/>
      </tp>
      <tp>
        <v>21131745823800</v>
        <stp/>
        <stp>P</stp>
        <stp>0</stp>
        <stp>STK</stp>
        <stp>N138040</stp>
        <stp>시가총액</stp>
        <stp/>
        <stp/>
        <tr r="I47" s="1"/>
      </tp>
      <tp>
        <v>744976956880</v>
        <stp/>
        <stp>P</stp>
        <stp>0</stp>
        <stp>STK</stp>
        <stp>N248070</stp>
        <stp>시가총액</stp>
        <stp/>
        <stp/>
        <tr r="I380" s="1"/>
      </tp>
      <tp>
        <v>375841763500</v>
        <stp/>
        <stp>P</stp>
        <stp>0</stp>
        <stp>STK</stp>
        <stp>N008060</stp>
        <stp>시가총액</stp>
        <stp/>
        <stp/>
        <tr r="I588" s="1"/>
      </tp>
      <tp>
        <v>22406888844000</v>
        <stp/>
        <stp>P</stp>
        <stp>0</stp>
        <stp>STK</stp>
        <stp>N298040</stp>
        <stp>시가총액</stp>
        <stp/>
        <stp/>
        <tr r="I40" s="1"/>
      </tp>
      <tp>
        <v>393688391400</v>
        <stp/>
        <stp>P</stp>
        <stp>0</stp>
        <stp>STK</stp>
        <stp>N098070</stp>
        <stp>시가총액</stp>
        <stp/>
        <stp/>
        <tr r="I513" s="1"/>
      </tp>
      <tp>
        <v>1041587910000</v>
        <stp/>
        <stp>P</stp>
        <stp>0</stp>
        <stp>STK</stp>
        <stp>N298050</stp>
        <stp>시가총액</stp>
        <stp/>
        <stp/>
        <tr r="I321" s="1"/>
      </tp>
      <tp>
        <v>7491486929300</v>
        <stp/>
        <stp>P</stp>
        <stp>0</stp>
        <stp>STK</stp>
        <stp>N028300</stp>
        <stp>시가총액</stp>
        <stp/>
        <stp/>
        <tr r="I96" s="1"/>
      </tp>
      <tp>
        <v>692015460000</v>
        <stp/>
        <stp>P</stp>
        <stp>0</stp>
        <stp>STK</stp>
        <stp>N478340</stp>
        <stp>시가총액</stp>
        <stp/>
        <stp/>
        <tr r="I425" s="1"/>
      </tp>
      <tp>
        <v>286650000000</v>
        <stp/>
        <stp>P</stp>
        <stp>0</stp>
        <stp>STK</stp>
        <stp>N018310</stp>
        <stp>시가총액</stp>
        <stp/>
        <stp/>
        <tr r="I647" s="1"/>
      </tp>
      <tp>
        <v>886404350000</v>
        <stp/>
        <stp>P</stp>
        <stp>0</stp>
        <stp>STK</stp>
        <stp>N108320</stp>
        <stp>시가총액</stp>
        <stp/>
        <stp/>
        <tr r="I348" s="1"/>
      </tp>
      <tp>
        <v>2103628954350</v>
        <stp/>
        <stp>P</stp>
        <stp>0</stp>
        <stp>STK</stp>
        <stp>N178320</stp>
        <stp>시가총액</stp>
        <stp/>
        <stp/>
        <tr r="I231" s="1"/>
      </tp>
      <tp>
        <v>2053912784000</v>
        <stp/>
        <stp>P</stp>
        <stp>0</stp>
        <stp>STK</stp>
        <stp>N348370</stp>
        <stp>시가총액</stp>
        <stp/>
        <stp/>
        <tr r="I266" s="1"/>
      </tp>
      <tp>
        <v>432869005400</v>
        <stp/>
        <stp>P</stp>
        <stp>0</stp>
        <stp>STK</stp>
        <stp>N078340</stp>
        <stp>시가총액</stp>
        <stp/>
        <stp/>
        <tr r="I543" s="1"/>
      </tp>
      <tp>
        <v>400927246600</v>
        <stp/>
        <stp>P</stp>
        <stp>0</stp>
        <stp>STK</stp>
        <stp>N078350</stp>
        <stp>시가총액</stp>
        <stp/>
        <stp/>
        <tr r="I569" s="1"/>
      </tp>
      <tp>
        <v>3044197650000</v>
        <stp/>
        <stp>P</stp>
        <stp>0</stp>
        <stp>STK</stp>
        <stp>N088350</stp>
        <stp>시가총액</stp>
        <stp/>
        <stp/>
        <tr r="I164" s="1"/>
      </tp>
      <tp>
        <v>400858387720</v>
        <stp/>
        <stp>P</stp>
        <stp>0</stp>
        <stp>STK</stp>
        <stp>N168360</stp>
        <stp>시가총액</stp>
        <stp/>
        <stp/>
        <tr r="I585" s="1"/>
      </tp>
      <tp>
        <v>362293448160</v>
        <stp/>
        <stp>P</stp>
        <stp>0</stp>
        <stp>STK</stp>
        <stp>N378340</stp>
        <stp>시가총액</stp>
        <stp/>
        <stp/>
        <tr r="I651" s="1"/>
      </tp>
      <tp>
        <v>274104090450</v>
        <stp/>
        <stp>P</stp>
        <stp>0</stp>
        <stp>STK</stp>
        <stp>N108380</stp>
        <stp>시가총액</stp>
        <stp/>
        <stp/>
        <tr r="I672" s="1"/>
      </tp>
      <tp>
        <v>11114841318000</v>
        <stp/>
        <stp>P</stp>
        <stp>0</stp>
        <stp>STK</stp>
        <stp>N298380</stp>
        <stp>시가총액</stp>
        <stp/>
        <stp/>
        <tr r="I76" s="1"/>
      </tp>
      <tp>
        <v>290537827250</v>
        <stp/>
        <stp>P</stp>
        <stp>0</stp>
        <stp>STK</stp>
        <stp>N338220</stp>
        <stp>시가총액</stp>
        <stp/>
        <stp/>
        <tr r="I646" s="1"/>
      </tp>
      <tp>
        <v>984838470000</v>
        <stp/>
        <stp>P</stp>
        <stp>0</stp>
        <stp>STK</stp>
        <stp>N348210</stp>
        <stp>시가총액</stp>
        <stp/>
        <stp/>
        <tr r="I363" s="1"/>
      </tp>
      <tp>
        <v>1192467676800</v>
        <stp/>
        <stp>P</stp>
        <stp>0</stp>
        <stp>STK</stp>
        <stp>N388210</stp>
        <stp>시가총액</stp>
        <stp/>
        <stp/>
        <tr r="I305" s="1"/>
      </tp>
      <tp>
        <v>328539591400</v>
        <stp/>
        <stp>P</stp>
        <stp>0</stp>
        <stp>STK</stp>
        <stp>N018250</stp>
        <stp>시가총액</stp>
        <stp/>
        <stp/>
        <tr r="I593" s="1"/>
      </tp>
      <tp>
        <v>13154226000000</v>
        <stp/>
        <stp>P</stp>
        <stp>0</stp>
        <stp>STK</stp>
        <stp>N018260</stp>
        <stp>시가총액</stp>
        <stp/>
        <stp/>
        <tr r="I63" s="1"/>
      </tp>
      <tp>
        <v>50992963200000</v>
        <stp/>
        <stp>P</stp>
        <stp>0</stp>
        <stp>STK</stp>
        <stp>N028260</stp>
        <stp>시가총액</stp>
        <stp/>
        <stp/>
        <tr r="I20" s="1"/>
      </tp>
      <tp>
        <v>48039881552000</v>
        <stp/>
        <stp>P</stp>
        <stp>0</stp>
        <stp>STK</stp>
        <stp>N068270</stp>
        <stp>시가총액</stp>
        <stp/>
        <stp/>
        <tr r="I21" s="1"/>
      </tp>
      <tp>
        <v>732031506100</v>
        <stp/>
        <stp>P</stp>
        <stp>0</stp>
        <stp>STK</stp>
        <stp>N018290</stp>
        <stp>시가총액</stp>
        <stp/>
        <stp/>
        <tr r="I442" s="1"/>
      </tp>
      <tp>
        <v>665500000000</v>
        <stp/>
        <stp>P</stp>
        <stp>0</stp>
        <stp>STK</stp>
        <stp>N268280</stp>
        <stp>시가총액</stp>
        <stp/>
        <stp/>
        <tr r="I391" s="1"/>
      </tp>
      <tp>
        <v>695656939500</v>
        <stp/>
        <stp>P</stp>
        <stp>0</stp>
        <stp>STK</stp>
        <stp>N278280</stp>
        <stp>시가총액</stp>
        <stp/>
        <stp/>
        <tr r="I437" s="1"/>
      </tp>
      <tp>
        <v>320905127070</v>
        <stp/>
        <stp>P</stp>
        <stp>0</stp>
        <stp>STK</stp>
        <stp>N448280</stp>
        <stp>시가총액</stp>
        <stp/>
        <stp/>
        <tr r="I641" s="1"/>
      </tp>
      <tp>
        <v>248360827900</v>
        <stp/>
        <stp>P</stp>
        <stp>0</stp>
        <stp>STK</stp>
        <stp>N488280</stp>
        <stp>시가총액</stp>
        <stp/>
        <stp/>
        <tr r="I690" s="1"/>
      </tp>
      <tp>
        <v>5232113776380</v>
        <stp/>
        <stp>P</stp>
        <stp>0</stp>
        <stp>STK</stp>
        <stp>N138930</stp>
        <stp>시가총액</stp>
        <stp/>
        <stp/>
        <tr r="I115" s="1"/>
      </tp>
      <tp>
        <v>2797214395000</v>
        <stp/>
        <stp>P</stp>
        <stp>0</stp>
        <stp>STK</stp>
        <stp>N008930</stp>
        <stp>시가총액</stp>
        <stp/>
        <stp/>
        <tr r="I168" s="1"/>
      </tp>
      <tp>
        <v>6202101481500</v>
        <stp/>
        <stp>P</stp>
        <stp>0</stp>
        <stp>STK</stp>
        <stp>N078930</stp>
        <stp>시가총액</stp>
        <stp/>
        <stp/>
        <tr r="I104" s="1"/>
      </tp>
      <tp>
        <v>472797784200</v>
        <stp/>
        <stp>P</stp>
        <stp>0</stp>
        <stp>STK</stp>
        <stp>N178920</stp>
        <stp>시가총액</stp>
        <stp/>
        <stp/>
        <tr r="I504" s="1"/>
      </tp>
      <tp>
        <v>420311990000</v>
        <stp/>
        <stp>P</stp>
        <stp>0</stp>
        <stp>STK</stp>
        <stp>N448900</stp>
        <stp>시가총액</stp>
        <stp/>
        <stp/>
        <tr r="I489" s="1"/>
      </tp>
      <tp>
        <v>6098031716000</v>
        <stp/>
        <stp>P</stp>
        <stp>0</stp>
        <stp>STK</stp>
        <stp>N128940</stp>
        <stp>시가총액</stp>
        <stp/>
        <stp/>
        <tr r="I109" s="1"/>
      </tp>
      <tp>
        <v>498762476400</v>
        <stp/>
        <stp>P</stp>
        <stp>0</stp>
        <stp>STK</stp>
        <stp>N058970</stp>
        <stp>시가총액</stp>
        <stp/>
        <stp/>
        <tr r="I512" s="1"/>
      </tp>
      <tp>
        <v>2078470908000</v>
        <stp/>
        <stp>P</stp>
        <stp>0</stp>
        <stp>STK</stp>
        <stp>N458870</stp>
        <stp>시가총액</stp>
        <stp/>
        <stp/>
        <tr r="I224" s="1"/>
      </tp>
      <tp>
        <v>349353974200</v>
        <stp/>
        <stp>P</stp>
        <stp>0</stp>
        <stp>STK</stp>
        <stp>N108860</stp>
        <stp>시가총액</stp>
        <stp/>
        <stp/>
        <tr r="I603" s="1"/>
      </tp>
      <tp>
        <v>361238327800</v>
        <stp/>
        <stp>P</stp>
        <stp>0</stp>
        <stp>STK</stp>
        <stp>N338840</stp>
        <stp>시가총액</stp>
        <stp/>
        <stp/>
        <tr r="I583" s="1"/>
      </tp>
      <tp>
        <v>3350747232280</v>
        <stp/>
        <stp>P</stp>
        <stp>0</stp>
        <stp>STK</stp>
        <stp>N018880</stp>
        <stp>시가총액</stp>
        <stp/>
        <stp/>
        <tr r="I145" s="1"/>
      </tp>
      <tp>
        <v>837018330300</v>
        <stp/>
        <stp>P</stp>
        <stp>0</stp>
        <stp>STK</stp>
        <stp>N009520</stp>
        <stp>시가총액</stp>
        <stp/>
        <stp/>
        <tr r="I366" s="1"/>
      </tp>
      <tp>
        <v>553393592100</v>
        <stp/>
        <stp>P</stp>
        <stp>0</stp>
        <stp>STK</stp>
        <stp>N029530</stp>
        <stp>시가총액</stp>
        <stp/>
        <stp/>
        <tr r="I502" s="1"/>
      </tp>
      <tp>
        <v>29193910350000</v>
        <stp/>
        <stp>P</stp>
        <stp>0</stp>
        <stp>STK</stp>
        <stp>N009540</stp>
        <stp>시가총액</stp>
        <stp/>
        <stp/>
        <tr r="I30" s="1"/>
      </tp>
      <tp>
        <v>406798994800</v>
        <stp/>
        <stp>P</stp>
        <stp>0</stp>
        <stp>STK</stp>
        <stp>N459510</stp>
        <stp>시가총액</stp>
        <stp/>
        <stp/>
        <tr r="I493" s="1"/>
      </tp>
      <tp>
        <v>10439000000000</v>
        <stp/>
        <stp>P</stp>
        <stp>0</stp>
        <stp>STK</stp>
        <stp>N079550</stp>
        <stp>시가총액</stp>
        <stp/>
        <stp/>
        <tr r="I69" s="1"/>
      </tp>
      <tp>
        <v>359577249000</v>
        <stp/>
        <stp>P</stp>
        <stp>0</stp>
        <stp>STK</stp>
        <stp>N419530</stp>
        <stp>시가총액</stp>
        <stp/>
        <stp/>
        <tr r="I580" s="1"/>
      </tp>
      <tp>
        <v>1183270624800</v>
        <stp/>
        <stp>P</stp>
        <stp>0</stp>
        <stp>STK</stp>
        <stp>N249420</stp>
        <stp>시가총액</stp>
        <stp/>
        <stp/>
        <tr r="I288" s="1"/>
      </tp>
      <tp>
        <v>2690392857000</v>
        <stp/>
        <stp>P</stp>
        <stp>0</stp>
        <stp>STK</stp>
        <stp>N009420</stp>
        <stp>시가총액</stp>
        <stp/>
        <stp/>
        <tr r="I190" s="1"/>
      </tp>
      <tp>
        <v>376682972750</v>
        <stp/>
        <stp>P</stp>
        <stp>0</stp>
        <stp>STK</stp>
        <stp>N199430</stp>
        <stp>시가총액</stp>
        <stp/>
        <stp/>
        <tr r="I488" s="1"/>
      </tp>
      <tp>
        <v>564456510800</v>
        <stp/>
        <stp>P</stp>
        <stp>0</stp>
        <stp>STK</stp>
        <stp>N039440</stp>
        <stp>시가총액</stp>
        <stp/>
        <stp/>
        <tr r="I497" s="1"/>
      </tp>
      <tp>
        <v>955443375000</v>
        <stp/>
        <stp>P</stp>
        <stp>0</stp>
        <stp>STK</stp>
        <stp>N389470</stp>
        <stp>시가총액</stp>
        <stp/>
        <stp/>
        <tr r="I329" s="1"/>
      </tp>
      <tp>
        <v>831866603200</v>
        <stp/>
        <stp>P</stp>
        <stp>0</stp>
        <stp>STK</stp>
        <stp>N009450</stp>
        <stp>시가총액</stp>
        <stp/>
        <stp/>
        <tr r="I351" s="1"/>
      </tp>
      <tp>
        <v>432000736950</v>
        <stp/>
        <stp>P</stp>
        <stp>0</stp>
        <stp>STK</stp>
        <stp>N029460</stp>
        <stp>시가총액</stp>
        <stp/>
        <stp/>
        <tr r="I557" s="1"/>
      </tp>
      <tp>
        <v>11688624765000</v>
        <stp/>
        <stp>P</stp>
        <stp>0</stp>
        <stp>STK</stp>
        <stp>N039490</stp>
        <stp>시가총액</stp>
        <stp/>
        <stp/>
        <tr r="I85" s="1"/>
      </tp>
      <tp>
        <v>2475344964300</v>
        <stp/>
        <stp>P</stp>
        <stp>0</stp>
        <stp>STK</stp>
        <stp>N139480</stp>
        <stp>시가총액</stp>
        <stp/>
        <stp/>
        <tr r="I194" s="1"/>
      </tp>
      <tp>
        <v>805069148000</v>
        <stp/>
        <stp>P</stp>
        <stp>0</stp>
        <stp>STK</stp>
        <stp>N399720</stp>
        <stp>시가총액</stp>
        <stp/>
        <stp/>
        <tr r="I386" s="1"/>
      </tp>
      <tp>
        <v>471692736900</v>
        <stp/>
        <stp>P</stp>
        <stp>0</stp>
        <stp>STK</stp>
        <stp>N309710</stp>
        <stp>시가총액</stp>
        <stp/>
        <stp/>
        <tr r="I517" s="1"/>
      </tp>
      <tp>
        <v>6557613230600</v>
        <stp/>
        <stp>P</stp>
        <stp>0</stp>
        <stp>STK</stp>
        <stp>N029780</stp>
        <stp>시가총액</stp>
        <stp/>
        <stp/>
        <tr r="I101" s="1"/>
      </tp>
      <tp>
        <v>3019205722000</v>
        <stp/>
        <stp>P</stp>
        <stp>0</stp>
        <stp>STK</stp>
        <stp>N489790</stp>
        <stp>시가총액</stp>
        <stp/>
        <stp/>
        <tr r="I173" s="1"/>
      </tp>
      <tp>
        <v>999474386400</v>
        <stp/>
        <stp>P</stp>
        <stp>0</stp>
        <stp>STK</stp>
        <stp>N499790</stp>
        <stp>시가총액</stp>
        <stp/>
        <stp/>
        <tr r="I362" s="1"/>
      </tp>
      <tp>
        <v>1909467560000</v>
        <stp/>
        <stp>P</stp>
        <stp>0</stp>
        <stp>STK</stp>
        <stp>N069620</stp>
        <stp>시가총액</stp>
        <stp/>
        <stp/>
        <tr r="I220" s="1"/>
      </tp>
      <tp>
        <v>1790142925200</v>
        <stp/>
        <stp>P</stp>
        <stp>0</stp>
        <stp>STK</stp>
        <stp>N319660</stp>
        <stp>시가총액</stp>
        <stp/>
        <stp/>
        <tr r="I287" s="1"/>
      </tp>
      <tp>
        <v>214820980000</v>
        <stp/>
        <stp>P</stp>
        <stp>0</stp>
        <stp>STK</stp>
        <stp>N469610</stp>
        <stp>시가총액</stp>
        <stp/>
        <stp/>
        <tr r="I699" s="1"/>
      </tp>
      <tp>
        <v>1244901331350</v>
        <stp/>
        <stp>P</stp>
        <stp>0</stp>
        <stp>STK</stp>
        <stp>N229640</stp>
        <stp>시가총액</stp>
        <stp/>
        <stp/>
        <tr r="I292" s="1"/>
      </tp>
      <tp>
        <v>610369118400</v>
        <stp/>
        <stp>P</stp>
        <stp>0</stp>
        <stp>STK</stp>
        <stp>N389650</stp>
        <stp>시가총액</stp>
        <stp/>
        <stp/>
        <tr r="I430" s="1"/>
      </tp>
      <tp>
        <v>287232000000</v>
        <stp/>
        <stp>P</stp>
        <stp>0</stp>
        <stp>STK</stp>
        <stp>N009680</stp>
        <stp>시가총액</stp>
        <stp/>
        <stp/>
        <tr r="I635" s="1"/>
      </tp>
      <tp>
        <v>2510562232290</v>
        <stp/>
        <stp>P</stp>
        <stp>0</stp>
        <stp>STK</stp>
        <stp>N139130</stp>
        <stp>시가총액</stp>
        <stp/>
        <stp/>
        <tr r="I196" s="1"/>
      </tp>
      <tp>
        <v>708664389000</v>
        <stp/>
        <stp>P</stp>
        <stp>0</stp>
        <stp>STK</stp>
        <stp>N039130</stp>
        <stp>시가총액</stp>
        <stp/>
        <stp/>
        <tr r="I388" s="1"/>
      </tp>
      <tp>
        <v>21586478144000</v>
        <stp/>
        <stp>P</stp>
        <stp>0</stp>
        <stp>STK</stp>
        <stp>N009150</stp>
        <stp>시가총액</stp>
        <stp/>
        <stp/>
        <tr r="I42" s="1"/>
      </tp>
      <tp>
        <v>684036220900</v>
        <stp/>
        <stp>P</stp>
        <stp>0</stp>
        <stp>STK</stp>
        <stp>N019170</stp>
        <stp>시가총액</stp>
        <stp/>
        <stp/>
        <tr r="I411" s="1"/>
      </tp>
      <tp>
        <v>459119809380</v>
        <stp/>
        <stp>P</stp>
        <stp>0</stp>
        <stp>STK</stp>
        <stp>N099190</stp>
        <stp>시가총액</stp>
        <stp/>
        <stp/>
        <tr r="I532" s="1"/>
      </tp>
      <tp>
        <v>59617975800000</v>
        <stp/>
        <stp>P</stp>
        <stp>0</stp>
        <stp>STK</stp>
        <stp>N329180</stp>
        <stp>시가총액</stp>
        <stp/>
        <stp/>
        <tr r="I16" s="1"/>
      </tp>
      <tp>
        <v>592300458750</v>
        <stp/>
        <stp>P</stp>
        <stp>0</stp>
        <stp>STK</stp>
        <stp>N089010</stp>
        <stp>시가총액</stp>
        <stp/>
        <stp/>
        <tr r="I466" s="1"/>
      </tp>
      <tp>
        <v>250640428500</v>
        <stp/>
        <stp>P</stp>
        <stp>0</stp>
        <stp>STK</stp>
        <stp>N299030</stp>
        <stp>시가총액</stp>
        <stp/>
        <stp/>
        <tr r="I694" s="1"/>
      </tp>
      <tp>
        <v>4508955300000</v>
        <stp/>
        <stp>P</stp>
        <stp>0</stp>
        <stp>STK</stp>
        <stp>N039030</stp>
        <stp>시가총액</stp>
        <stp/>
        <stp/>
        <tr r="I139" s="1"/>
      </tp>
      <tp>
        <v>1860092979000</v>
        <stp/>
        <stp>P</stp>
        <stp>0</stp>
        <stp>STK</stp>
        <stp>N089030</stp>
        <stp>시가총액</stp>
        <stp/>
        <stp/>
        <tr r="I250" s="1"/>
      </tp>
      <tp>
        <v>374100000000</v>
        <stp/>
        <stp>P</stp>
        <stp>0</stp>
        <stp>STK</stp>
        <stp>N049070</stp>
        <stp>시가총액</stp>
        <stp/>
        <stp/>
        <tr r="I522" s="1"/>
      </tp>
      <tp>
        <v>546693967200</v>
        <stp/>
        <stp>P</stp>
        <stp>0</stp>
        <stp>STK</stp>
        <stp>N069080</stp>
        <stp>시가총액</stp>
        <stp/>
        <stp/>
        <tr r="I526" s="1"/>
      </tp>
      <tp>
        <v>581786104980</v>
        <stp/>
        <stp>P</stp>
        <stp>0</stp>
        <stp>STK</stp>
        <stp>N059090</stp>
        <stp>시가총액</stp>
        <stp/>
        <stp/>
        <tr r="I518" s="1"/>
      </tp>
      <tp>
        <v>231331631200</v>
        <stp/>
        <stp>P</stp>
        <stp>0</stp>
        <stp>STK</stp>
        <stp>N439090</stp>
        <stp>시가총액</stp>
        <stp/>
        <stp/>
        <tr r="I695" s="1"/>
      </tp>
      <tp>
        <v>1117340069400</v>
        <stp/>
        <stp>P</stp>
        <stp>0</stp>
        <stp>STK</stp>
        <stp>N189300</stp>
        <stp>시가총액</stp>
        <stp/>
        <stp/>
        <tr r="I359" s="1"/>
      </tp>
      <tp>
        <v>618788950500</v>
        <stp/>
        <stp>P</stp>
        <stp>0</stp>
        <stp>STK</stp>
        <stp>N079370</stp>
        <stp>시가총액</stp>
        <stp/>
        <stp/>
        <tr r="I490" s="1"/>
      </tp>
      <tp>
        <v>2077418956800</v>
        <stp/>
        <stp>P</stp>
        <stp>0</stp>
        <stp>STK</stp>
        <stp>N039200</stp>
        <stp>시가총액</stp>
        <stp/>
        <stp/>
        <tr r="I239" s="1"/>
      </tp>
      <tp>
        <v>2558147116800</v>
        <stp/>
        <stp>P</stp>
        <stp>0</stp>
        <stp>STK</stp>
        <stp>N439260</stp>
        <stp>시가총액</stp>
        <stp/>
        <stp/>
        <tr r="I172" s="1"/>
      </tp>
      <tp>
        <v>1080207295200</v>
        <stp/>
        <stp>P</stp>
        <stp>0</stp>
        <stp>STK</stp>
        <stp>N009240</stp>
        <stp>시가총액</stp>
        <stp/>
        <stp/>
        <tr r="I304" s="1"/>
      </tp>
      <tp>
        <v>305294178000</v>
        <stp/>
        <stp>P</stp>
        <stp>0</stp>
        <stp>STK</stp>
        <stp>N389260</stp>
        <stp>시가총액</stp>
        <stp/>
        <stp/>
        <tr r="I615" s="1"/>
      </tp>
      <tp>
        <v>813892687080</v>
        <stp/>
        <stp>P</stp>
        <stp>0</stp>
        <stp>STK</stp>
        <stp>N069260</stp>
        <stp>시가총액</stp>
        <stp/>
        <stp/>
        <tr r="I372" s="1"/>
      </tp>
      <tp>
        <v>479052314290</v>
        <stp/>
        <stp>P</stp>
        <stp>0</stp>
        <stp>STK</stp>
        <stp>N009900</stp>
        <stp>시가총액</stp>
        <stp/>
        <stp/>
        <tr r="I467" s="1"/>
      </tp>
      <tp>
        <v>739842031500</v>
        <stp/>
        <stp>P</stp>
        <stp>0</stp>
        <stp>STK</stp>
        <stp>N079900</stp>
        <stp>시가총액</stp>
        <stp/>
        <stp/>
        <tr r="I385" s="1"/>
      </tp>
      <tp>
        <v>472001326200</v>
        <stp/>
        <stp>P</stp>
        <stp>0</stp>
        <stp>STK</stp>
        <stp>N179900</stp>
        <stp>시가총액</stp>
        <stp/>
        <stp/>
        <tr r="I528" s="1"/>
      </tp>
      <tp>
        <v>11779852003500</v>
        <stp/>
        <stp>P</stp>
        <stp>0</stp>
        <stp>STK</stp>
        <stp>N259960</stp>
        <stp>시가총액</stp>
        <stp/>
        <stp/>
        <tr r="I70" s="1"/>
      </tp>
      <tp>
        <v>440198435200</v>
        <stp/>
        <stp>P</stp>
        <stp>0</stp>
        <stp>STK</stp>
        <stp>N079940</stp>
        <stp>시가총액</stp>
        <stp/>
        <stp/>
        <tr r="I520" s="1"/>
      </tp>
      <tp>
        <v>2142948591100</v>
        <stp/>
        <stp>P</stp>
        <stp>0</stp>
        <stp>STK</stp>
        <stp>N069960</stp>
        <stp>시가총액</stp>
        <stp/>
        <stp/>
        <tr r="I206" s="1"/>
      </tp>
      <tp>
        <v>2753844348000</v>
        <stp/>
        <stp>P</stp>
        <stp>0</stp>
        <stp>STK</stp>
        <stp>N009970</stp>
        <stp>시가총액</stp>
        <stp/>
        <stp/>
        <tr r="I176" s="1"/>
      </tp>
      <tp>
        <v>700615646500</v>
        <stp/>
        <stp>P</stp>
        <stp>0</stp>
        <stp>STK</stp>
        <stp>N089970</stp>
        <stp>시가총액</stp>
        <stp/>
        <stp/>
        <tr r="I409" s="1"/>
      </tp>
      <tp>
        <v>272932861590</v>
        <stp/>
        <stp>P</stp>
        <stp>0</stp>
        <stp>STK</stp>
        <stp>N089980</stp>
        <stp>시가총액</stp>
        <stp/>
        <stp/>
        <tr r="I681" s="1"/>
      </tp>
      <tp>
        <v>551964775500</v>
        <stp/>
        <stp>P</stp>
        <stp>0</stp>
        <stp>STK</stp>
        <stp>N199800</stp>
        <stp>시가총액</stp>
        <stp/>
        <stp/>
        <tr r="I474" s="1"/>
      </tp>
      <tp>
        <v>4709855486400</v>
        <stp/>
        <stp>P</stp>
        <stp>0</stp>
        <stp>STK</stp>
        <stp>N009830</stp>
        <stp>시가총액</stp>
        <stp/>
        <stp/>
        <tr r="I116" s="1"/>
      </tp>
      <tp>
        <v>593805614900</v>
        <stp/>
        <stp>P</stp>
        <stp>0</stp>
        <stp>STK</stp>
        <stp>N119850</stp>
        <stp>시가총액</stp>
        <stp/>
        <stp/>
        <tr r="I435" s="1"/>
      </tp>
      <tp>
        <v>227413876340</v>
        <stp/>
        <stp>P</stp>
        <stp>0</stp>
        <stp>STK</stp>
        <stp>N039840</stp>
        <stp>시가총액</stp>
        <stp/>
        <stp/>
        <tr r="I696" s="1"/>
      </tp>
      <tp>
        <v>1105620864600</v>
        <stp/>
        <stp>P</stp>
        <stp>0</stp>
        <stp>STK</stp>
        <stp>N089860</stp>
        <stp>시가총액</stp>
        <stp/>
        <stp/>
        <tr r="I300" s="1"/>
      </tp>
      <tp>
        <v>417941042400</v>
        <stp/>
        <stp>P</stp>
        <stp>0</stp>
        <stp>STK</stp>
        <stp>N089890</stp>
        <stp>시가총액</stp>
        <stp/>
        <stp/>
        <tr r="I523" s="1"/>
      </tp>
      <tp>
        <v>23353498144000</v>
        <stp/>
        <stp>P</stp>
        <stp>0</stp>
        <stp>STK</stp>
        <stp>N086520</stp>
        <stp>시가총액</stp>
        <stp/>
        <stp/>
        <tr r="I67" s="1"/>
      </tp>
      <tp>
        <v>872257901000</v>
        <stp/>
        <stp>P</stp>
        <stp>0</stp>
        <stp>STK</stp>
        <stp>N036530</stp>
        <stp>시가총액</stp>
        <stp/>
        <stp/>
        <tr r="I328" s="1"/>
      </tp>
      <tp>
        <v>1485829529300</v>
        <stp/>
        <stp>P</stp>
        <stp>0</stp>
        <stp>STK</stp>
        <stp>N096530</stp>
        <stp>시가총액</stp>
        <stp/>
        <stp/>
        <tr r="I278" s="1"/>
      </tp>
      <tp>
        <v>1228518463410</v>
        <stp/>
        <stp>P</stp>
        <stp>0</stp>
        <stp>STK</stp>
        <stp>N036540</stp>
        <stp>시가총액</stp>
        <stp/>
        <stp/>
        <tr r="I334" s="1"/>
      </tp>
      <tp>
        <v>879895812660</v>
        <stp/>
        <stp>P</stp>
        <stp>0</stp>
        <stp>STK</stp>
        <stp>N336570</stp>
        <stp>시가총액</stp>
        <stp/>
        <stp/>
        <tr r="I375" s="1"/>
      </tp>
      <tp>
        <v>4868948972000</v>
        <stp/>
        <stp>P</stp>
        <stp>0</stp>
        <stp>STK</stp>
        <stp>N036570</stp>
        <stp>시가총액</stp>
        <stp/>
        <stp/>
        <tr r="I114" s="1"/>
      </tp>
      <tp>
        <v>16142040951700</v>
        <stp/>
        <stp>P</stp>
        <stp>0</stp>
        <stp>STK</stp>
        <stp>N066570</stp>
        <stp>시가총액</stp>
        <stp/>
        <stp/>
        <tr r="I48" s="1"/>
      </tp>
      <tp>
        <v>492842338600</v>
        <stp/>
        <stp>P</stp>
        <stp>0</stp>
        <stp>STK</stp>
        <stp>N016590</stp>
        <stp>시가총액</stp>
        <stp/>
        <stp/>
        <tr r="I465" s="1"/>
      </tp>
      <tp>
        <v>30944843520000</v>
        <stp/>
        <stp>P</stp>
        <stp>0</stp>
        <stp>STK</stp>
        <stp>N006400</stp>
        <stp>시가총액</stp>
        <stp/>
        <stp/>
        <tr r="I34" s="1"/>
      </tp>
      <tp>
        <v>834048944800</v>
        <stp/>
        <stp>P</stp>
        <stp>0</stp>
        <stp>STK</stp>
        <stp>N086450</stp>
        <stp>시가총액</stp>
        <stp/>
        <stp/>
        <tr r="I371" s="1"/>
      </tp>
      <tp>
        <v>3660210450000</v>
        <stp/>
        <stp>P</stp>
        <stp>0</stp>
        <stp>STK</stp>
        <stp>N036460</stp>
        <stp>시가총액</stp>
        <stp/>
        <stp/>
        <tr r="I137" s="1"/>
      </tp>
      <tp>
        <v>1182319267830</v>
        <stp/>
        <stp>P</stp>
        <stp>0</stp>
        <stp>STK</stp>
        <stp>N006730</stp>
        <stp>시가총액</stp>
        <stp/>
        <stp/>
        <tr r="I326" s="1"/>
      </tp>
      <tp>
        <v>346435500000</v>
        <stp/>
        <stp>P</stp>
        <stp>0</stp>
        <stp>STK</stp>
        <stp>N126720</stp>
        <stp>시가총액</stp>
        <stp/>
        <stp/>
        <tr r="I547" s="1"/>
      </tp>
      <tp>
        <v>295649735800</v>
        <stp/>
        <stp>P</stp>
        <stp>0</stp>
        <stp>STK</stp>
        <stp>N176750</stp>
        <stp>시가총액</stp>
        <stp/>
        <stp/>
        <tr r="I678" s="1"/>
      </tp>
      <tp>
        <v>18849385862000</v>
        <stp/>
        <stp>P</stp>
        <stp>0</stp>
        <stp>STK</stp>
        <stp>N096770</stp>
        <stp>시가총액</stp>
        <stp/>
        <stp/>
        <tr r="I50" s="1"/>
      </tp>
      <tp>
        <v>29224210470000</v>
        <stp/>
        <stp>P</stp>
        <stp>0</stp>
        <stp>STK</stp>
        <stp>N086790</stp>
        <stp>시가총액</stp>
        <stp/>
        <stp/>
        <tr r="I32" s="1"/>
      </tp>
      <tp>
        <v>563263582030</v>
        <stp/>
        <stp>P</stp>
        <stp>0</stp>
        <stp>STK</stp>
        <stp>N016610</stp>
        <stp>시가총액</stp>
        <stp/>
        <stp/>
        <tr r="I486" s="1"/>
      </tp>
      <tp>
        <v>597324888600</v>
        <stp/>
        <stp>P</stp>
        <stp>0</stp>
        <stp>STK</stp>
        <stp>N036620</stp>
        <stp>시가총액</stp>
        <stp/>
        <stp/>
        <tr r="I481" s="1"/>
      </tp>
      <tp>
        <v>1001000000000</v>
        <stp/>
        <stp>P</stp>
        <stp>0</stp>
        <stp>STK</stp>
        <stp>N006650</stp>
        <stp>시가총액</stp>
        <stp/>
        <stp/>
        <tr r="I309" s="1"/>
      </tp>
      <tp>
        <v>300862833600</v>
        <stp/>
        <stp>P</stp>
        <stp>0</stp>
        <stp>STK</stp>
        <stp>N206640</stp>
        <stp>시가총액</stp>
        <stp/>
        <stp/>
        <tr r="I632" s="1"/>
      </tp>
      <tp>
        <v>465004852760</v>
        <stp/>
        <stp>P</stp>
        <stp>0</stp>
        <stp>STK</stp>
        <stp>N206650</stp>
        <stp>시가총액</stp>
        <stp/>
        <stp/>
        <tr r="I534" s="1"/>
      </tp>
      <tp>
        <v>214932494760</v>
        <stp/>
        <stp>P</stp>
        <stp>0</stp>
        <stp>STK</stp>
        <stp>N356680</stp>
        <stp>시가총액</stp>
        <stp/>
        <stp/>
        <tr r="I697" s="1"/>
      </tp>
      <tp>
        <v>467838928800</v>
        <stp/>
        <stp>P</stp>
        <stp>0</stp>
        <stp>STK</stp>
        <stp>N006110</stp>
        <stp>시가총액</stp>
        <stp/>
        <stp/>
        <tr r="I571" s="1"/>
      </tp>
      <tp>
        <v>1027479880000</v>
        <stp/>
        <stp>P</stp>
        <stp>0</stp>
        <stp>STK</stp>
        <stp>N006120</stp>
        <stp>시가총액</stp>
        <stp/>
        <stp/>
        <tr r="I294" s="1"/>
      </tp>
      <tp>
        <v>1277519568000</v>
        <stp/>
        <stp>P</stp>
        <stp>0</stp>
        <stp>STK</stp>
        <stp>N456160</stp>
        <stp>시가총액</stp>
        <stp/>
        <stp/>
        <tr r="I281" s="1"/>
      </tp>
      <tp>
        <v>1906900205700</v>
        <stp/>
        <stp>P</stp>
        <stp>0</stp>
        <stp>STK</stp>
        <stp>N466100</stp>
        <stp>시가총액</stp>
        <stp/>
        <stp/>
        <tr r="I219" s="1"/>
      </tp>
      <tp>
        <v>21402315200000</v>
        <stp/>
        <stp>P</stp>
        <stp>0</stp>
        <stp>STK</stp>
        <stp>N196170</stp>
        <stp>시가총액</stp>
        <stp/>
        <stp/>
        <tr r="I45" s="1"/>
      </tp>
      <tp>
        <v>22279216312000</v>
        <stp/>
        <stp>P</stp>
        <stp>0</stp>
        <stp>STK</stp>
        <stp>N316140</stp>
        <stp>시가총액</stp>
        <stp/>
        <stp/>
        <tr r="I43" s="1"/>
      </tp>
      <tp>
        <v>1192170832000</v>
        <stp/>
        <stp>P</stp>
        <stp>0</stp>
        <stp>STK</stp>
        <stp>N056190</stp>
        <stp>시가총액</stp>
        <stp/>
        <stp/>
        <tr r="I330" s="1"/>
      </tp>
      <tp>
        <v>357071231000</v>
        <stp/>
        <stp>P</stp>
        <stp>0</stp>
        <stp>STK</stp>
        <stp>N416180</stp>
        <stp>시가총액</stp>
        <stp/>
        <stp/>
        <tr r="I637" s="1"/>
      </tp>
      <tp>
        <v>9045180375000</v>
        <stp/>
        <stp>P</stp>
        <stp>0</stp>
        <stp>STK</stp>
        <stp>N326030</stp>
        <stp>시가총액</stp>
        <stp/>
        <stp/>
        <tr r="I81" s="1"/>
      </tp>
      <tp>
        <v>629360398500</v>
        <stp/>
        <stp>P</stp>
        <stp>0</stp>
        <stp>STK</stp>
        <stp>N456040</stp>
        <stp>시가총액</stp>
        <stp/>
        <stp/>
        <tr r="I412" s="1"/>
      </tp>
      <tp>
        <v>816958688000</v>
        <stp/>
        <stp>P</stp>
        <stp>0</stp>
        <stp>STK</stp>
        <stp>N476060</stp>
        <stp>시가총액</stp>
        <stp/>
        <stp/>
        <tr r="I343" s="1"/>
      </tp>
      <tp>
        <v>1812274825300</v>
        <stp/>
        <stp>P</stp>
        <stp>0</stp>
        <stp>STK</stp>
        <stp>N006040</stp>
        <stp>시가총액</stp>
        <stp/>
        <stp/>
        <tr r="I230" s="1"/>
      </tp>
      <tp>
        <v>1263793368600</v>
        <stp/>
        <stp>P</stp>
        <stp>0</stp>
        <stp>STK</stp>
        <stp>N166090</stp>
        <stp>시가총액</stp>
        <stp/>
        <stp/>
        <tr r="I303" s="1"/>
      </tp>
      <tp>
        <v>248678432100</v>
        <stp/>
        <stp>P</stp>
        <stp>0</stp>
        <stp>STK</stp>
        <stp>N226320</stp>
        <stp>시가총액</stp>
        <stp/>
        <stp/>
        <tr r="I679" s="1"/>
      </tp>
      <tp>
        <v>871199500200</v>
        <stp/>
        <stp>P</stp>
        <stp>0</stp>
        <stp>STK</stp>
        <stp>N376300</stp>
        <stp>시가총액</stp>
        <stp/>
        <stp/>
        <tr r="I367" s="1"/>
      </tp>
      <tp>
        <v>558930058240</v>
        <stp/>
        <stp>P</stp>
        <stp>0</stp>
        <stp>STK</stp>
        <stp>N336370</stp>
        <stp>시가총액</stp>
        <stp/>
        <stp/>
        <tr r="I460" s="1"/>
      </tp>
      <tp>
        <v>664616979600</v>
        <stp/>
        <stp>P</stp>
        <stp>0</stp>
        <stp>STK</stp>
        <stp>N126340</stp>
        <stp>시가총액</stp>
        <stp/>
        <stp/>
        <tr r="I434" s="1"/>
      </tp>
      <tp>
        <v>1594383158700</v>
        <stp/>
        <stp>P</stp>
        <stp>0</stp>
        <stp>STK</stp>
        <stp>N006360</stp>
        <stp>시가총액</stp>
        <stp/>
        <stp/>
        <tr r="I243" s="1"/>
      </tp>
      <tp>
        <v>7929840000000</v>
        <stp/>
        <stp>P</stp>
        <stp>0</stp>
        <stp>STK</stp>
        <stp>N016360</stp>
        <stp>시가총액</stp>
        <stp/>
        <stp/>
        <tr r="I91" s="1"/>
      </tp>
      <tp>
        <v>304754096920</v>
        <stp/>
        <stp>P</stp>
        <stp>0</stp>
        <stp>STK</stp>
        <stp>N086390</stp>
        <stp>시가총액</stp>
        <stp/>
        <stp/>
        <tr r="I677" s="1"/>
      </tp>
      <tp>
        <v>342519370910</v>
        <stp/>
        <stp>P</stp>
        <stp>0</stp>
        <stp>STK</stp>
        <stp>N036200</stp>
        <stp>시가총액</stp>
        <stp/>
        <stp/>
        <tr r="I629" s="1"/>
      </tp>
      <tp>
        <v>537117494970</v>
        <stp/>
        <stp>P</stp>
        <stp>0</stp>
        <stp>STK</stp>
        <stp>N006220</stp>
        <stp>시가총액</stp>
        <stp/>
        <stp/>
        <tr r="I515" s="1"/>
      </tp>
      <tp>
        <v>314602784550</v>
        <stp/>
        <stp>P</stp>
        <stp>0</stp>
        <stp>STK</stp>
        <stp>N236200</stp>
        <stp>시가총액</stp>
        <stp/>
        <stp/>
        <tr r="I667" s="1"/>
      </tp>
      <tp>
        <v>333548880000</v>
        <stp/>
        <stp>P</stp>
        <stp>0</stp>
        <stp>STK</stp>
        <stp>N306200</stp>
        <stp>시가총액</stp>
        <stp/>
        <stp/>
        <tr r="I592" s="1"/>
      </tp>
      <tp>
        <v>619143385500</v>
        <stp/>
        <stp>P</stp>
        <stp>0</stp>
        <stp>STK</stp>
        <stp>N376270</stp>
        <stp>시가총액</stp>
        <stp/>
        <stp/>
        <tr r="I555" s="1"/>
      </tp>
      <tp>
        <v>2177666389500</v>
        <stp/>
        <stp>P</stp>
        <stp>0</stp>
        <stp>STK</stp>
        <stp>N336260</stp>
        <stp>시가총액</stp>
        <stp/>
        <stp/>
        <tr r="I186" s="1"/>
      </tp>
      <tp>
        <v>6752100000000</v>
        <stp/>
        <stp>P</stp>
        <stp>0</stp>
        <stp>STK</stp>
        <stp>N006260</stp>
        <stp>시가총액</stp>
        <stp/>
        <stp/>
        <tr r="I92" s="1"/>
      </tp>
      <tp>
        <v>1901399732600</v>
        <stp/>
        <stp>P</stp>
        <stp>0</stp>
        <stp>STK</stp>
        <stp>N006280</stp>
        <stp>시가총액</stp>
        <stp/>
        <stp/>
        <tr r="I232" s="1"/>
      </tp>
      <tp>
        <v>18525000000000</v>
        <stp/>
        <stp>P</stp>
        <stp>0</stp>
        <stp>STK</stp>
        <stp>N086280</stp>
        <stp>시가총액</stp>
        <stp/>
        <stp/>
        <tr r="I39" s="1"/>
      </tp>
      <tp>
        <v>960482205200</v>
        <stp/>
        <stp>P</stp>
        <stp>0</stp>
        <stp>STK</stp>
        <stp>N086900</stp>
        <stp>시가총액</stp>
        <stp/>
        <stp/>
        <tr r="I341" s="1"/>
      </tp>
      <tp>
        <v>2018357306700</v>
        <stp/>
        <stp>P</stp>
        <stp>0</stp>
        <stp>STK</stp>
        <stp>N036930</stp>
        <stp>시가총액</stp>
        <stp/>
        <stp/>
        <tr r="I251" s="1"/>
      </tp>
      <tp>
        <v>963181573500</v>
        <stp/>
        <stp>P</stp>
        <stp>0</stp>
        <stp>STK</stp>
        <stp>N376900</stp>
        <stp>시가총액</stp>
        <stp/>
        <stp/>
        <tr r="I313" s="1"/>
      </tp>
      <tp>
        <v>2562290000000</v>
        <stp/>
        <stp>P</stp>
        <stp>0</stp>
        <stp>STK</stp>
        <stp>N026960</stp>
        <stp>시가총액</stp>
        <stp/>
        <stp/>
        <tr r="I175" s="1"/>
      </tp>
      <tp>
        <v>337384884100</v>
        <stp/>
        <stp>P</stp>
        <stp>0</stp>
        <stp>STK</stp>
        <stp>N286940</stp>
        <stp>시가총액</stp>
        <stp/>
        <stp/>
        <tr r="I596" s="1"/>
      </tp>
      <tp>
        <v>2818507666800</v>
        <stp/>
        <stp>P</stp>
        <stp>0</stp>
        <stp>STK</stp>
        <stp>N226950</stp>
        <stp>시가총액</stp>
        <stp/>
        <stp/>
        <tr r="I189" s="1"/>
      </tp>
      <tp>
        <v>5279453100800</v>
        <stp/>
        <stp>P</stp>
        <stp>0</stp>
        <stp>STK</stp>
        <stp>N066970</stp>
        <stp>시가총액</stp>
        <stp/>
        <stp/>
        <tr r="I118" s="1"/>
      </tp>
      <tp>
        <v>894543058500</v>
        <stp/>
        <stp>P</stp>
        <stp>0</stp>
        <stp>STK</stp>
        <stp>N486990</stp>
        <stp>시가총액</stp>
        <stp/>
        <stp/>
        <tr r="I318" s="1"/>
      </tp>
      <tp>
        <v>23902663688100</v>
        <stp/>
        <stp>P</stp>
        <stp>0</stp>
        <stp>STK</stp>
        <stp>N006800</stp>
        <stp>시가총액</stp>
        <stp/>
        <stp/>
        <tr r="I51" s="1"/>
      </tp>
      <tp>
        <v>492775000000</v>
        <stp/>
        <stp>P</stp>
        <stp>0</stp>
        <stp>STK</stp>
        <stp>N016800</stp>
        <stp>시가총액</stp>
        <stp/>
        <stp/>
        <tr r="I478" s="1"/>
      </tp>
      <tp>
        <v>239500000000</v>
        <stp/>
        <stp>P</stp>
        <stp>0</stp>
        <stp>STK</stp>
        <stp>N036800</stp>
        <stp>시가총액</stp>
        <stp/>
        <stp/>
        <tr r="I691" s="1"/>
      </tp>
      <tp>
        <v>994622564400</v>
        <stp/>
        <stp>P</stp>
        <stp>0</stp>
        <stp>STK</stp>
        <stp>N036810</stp>
        <stp>시가총액</stp>
        <stp/>
        <stp/>
        <tr r="I382" s="1"/>
      </tp>
      <tp>
        <v>1167697919200</v>
        <stp/>
        <stp>P</stp>
        <stp>0</stp>
        <stp>STK</stp>
        <stp>N036830</stp>
        <stp>시가총액</stp>
        <stp/>
        <stp/>
        <tr r="I352" s="1"/>
      </tp>
      <tp>
        <v>608639797000</v>
        <stp/>
        <stp>P</stp>
        <stp>0</stp>
        <stp>STK</stp>
        <stp>N356860</stp>
        <stp>시가총액</stp>
        <stp/>
        <stp/>
        <tr r="I456" s="1"/>
      </tp>
      <tp>
        <v>2071962305400</v>
        <stp/>
        <stp>P</stp>
        <stp>0</stp>
        <stp>STK</stp>
        <stp>N476830</stp>
        <stp>시가총액</stp>
        <stp/>
        <stp/>
        <tr r="I212" s="1"/>
      </tp>
      <tp>
        <v>480549357750</v>
        <stp/>
        <stp>P</stp>
        <stp>0</stp>
        <stp>STK</stp>
        <stp>N026890</stp>
        <stp>시가총액</stp>
        <stp/>
        <stp/>
        <tr r="I533" s="1"/>
      </tp>
      <tp>
        <v>309778679380</v>
        <stp/>
        <stp>P</stp>
        <stp>0</stp>
        <stp>STK</stp>
        <stp>N036890</stp>
        <stp>시가총액</stp>
        <stp/>
        <stp/>
        <tr r="I624" s="1"/>
      </tp>
      <tp>
        <v>433792176000</v>
        <stp/>
        <stp>P</stp>
        <stp>0</stp>
        <stp>STK</stp>
        <stp>N046890</stp>
        <stp>시가총액</stp>
        <stp/>
        <stp/>
        <tr r="I579" s="1"/>
      </tp>
      <tp>
        <v>516824550000</v>
        <stp/>
        <stp>P</stp>
        <stp>0</stp>
        <stp>STK</stp>
        <stp>N097520</stp>
        <stp>시가총액</stp>
        <stp/>
        <stp/>
        <tr r="I450" s="1"/>
      </tp>
      <tp>
        <v>22787713152000</v>
        <stp/>
        <stp>P</stp>
        <stp>0</stp>
        <stp>STK</stp>
        <stp>N247540</stp>
        <stp>시가총액</stp>
        <stp/>
        <stp/>
        <tr r="I57" s="1"/>
      </tp>
      <tp>
        <v>305480000000</v>
        <stp/>
        <stp>P</stp>
        <stp>0</stp>
        <stp>STK</stp>
        <stp>N357550</stp>
        <stp>시가총액</stp>
        <stp/>
        <stp/>
        <tr r="I612" s="1"/>
      </tp>
      <tp>
        <v>359003952500</v>
        <stp/>
        <stp>P</stp>
        <stp>0</stp>
        <stp>STK</stp>
        <stp>N217590</stp>
        <stp>시가총액</stp>
        <stp/>
        <stp/>
        <tr r="I545" s="1"/>
      </tp>
      <tp>
        <v>1333787986400</v>
        <stp/>
        <stp>P</stp>
        <stp>0</stp>
        <stp>STK</stp>
        <stp>N137400</stp>
        <stp>시가총액</stp>
        <stp/>
        <stp/>
        <tr r="I325" s="1"/>
      </tp>
      <tp>
        <v>900820000000</v>
        <stp/>
        <stp>P</stp>
        <stp>0</stp>
        <stp>STK</stp>
        <stp>N317450</stp>
        <stp>시가총액</stp>
        <stp/>
        <stp/>
        <tr r="I342" s="1"/>
      </tp>
      <tp>
        <v>797933086800</v>
        <stp/>
        <stp>P</stp>
        <stp>0</stp>
        <stp>STK</stp>
        <stp>N007700</stp>
        <stp>시가총액</stp>
        <stp/>
        <stp/>
        <tr r="I365" s="1"/>
      </tp>
      <tp>
        <v>3217642360800</v>
        <stp/>
        <stp>P</stp>
        <stp>0</stp>
        <stp>STK</stp>
        <stp>N257720</stp>
        <stp>시가총액</stp>
        <stp/>
        <stp/>
        <tr r="I159" s="1"/>
      </tp>
      <tp>
        <v>249457906500</v>
        <stp/>
        <stp>P</stp>
        <stp>0</stp>
        <stp>STK</stp>
        <stp>N037710</stp>
        <stp>시가총액</stp>
        <stp/>
        <stp/>
        <tr r="I676" s="1"/>
      </tp>
      <tp>
        <v>540255235200</v>
        <stp/>
        <stp>P</stp>
        <stp>0</stp>
        <stp>STK</stp>
        <stp>N117730</stp>
        <stp>시가총액</stp>
        <stp/>
        <stp/>
        <tr r="I414" s="1"/>
      </tp>
      <tp>
        <v>2076845638500</v>
        <stp/>
        <stp>P</stp>
        <stp>0</stp>
        <stp>STK</stp>
        <stp>N437730</stp>
        <stp>시가총액</stp>
        <stp/>
        <stp/>
        <tr r="I195" s="1"/>
      </tp>
      <tp>
        <v>3469240436000</v>
        <stp/>
        <stp>P</stp>
        <stp>0</stp>
        <stp>STK</stp>
        <stp>N357780</stp>
        <stp>시가총액</stp>
        <stp/>
        <stp/>
        <tr r="I170" s="1"/>
      </tp>
      <tp>
        <v>455060289200</v>
        <stp/>
        <stp>P</stp>
        <stp>0</stp>
        <stp>STK</stp>
        <stp>N107640</stp>
        <stp>시가총액</stp>
        <stp/>
        <stp/>
        <tr r="I527" s="1"/>
      </tp>
      <tp>
        <v>8464082950700</v>
        <stp/>
        <stp>P</stp>
        <stp>0</stp>
        <stp>STK</stp>
        <stp>N007660</stp>
        <stp>시가총액</stp>
        <stp/>
        <stp/>
        <tr r="I89" s="1"/>
      </tp>
      <tp>
        <v>15282312270950</v>
        <stp/>
        <stp>P</stp>
        <stp>0</stp>
        <stp>STK</stp>
        <stp>N017670</stp>
        <stp>시가총액</stp>
        <stp/>
        <stp/>
        <tr r="I66" s="1"/>
      </tp>
      <tp>
        <v>333389952000</v>
        <stp/>
        <stp>P</stp>
        <stp>0</stp>
        <stp>STK</stp>
        <stp>N007690</stp>
        <stp>시가총액</stp>
        <stp/>
        <stp/>
        <tr r="I589" s="1"/>
      </tp>
      <tp>
        <v>3204620683200</v>
        <stp/>
        <stp>P</stp>
        <stp>0</stp>
        <stp>STK</stp>
        <stp>N237690</stp>
        <stp>시가총액</stp>
        <stp/>
        <stp/>
        <tr r="I185" s="1"/>
      </tp>
      <tp>
        <v>699394671600</v>
        <stp/>
        <stp>P</stp>
        <stp>0</stp>
        <stp>STK</stp>
        <stp>N127120</stp>
        <stp>시가총액</stp>
        <stp/>
        <stp/>
        <tr r="I405" s="1"/>
      </tp>
      <tp>
        <v>292500000000</v>
        <stp/>
        <stp>P</stp>
        <stp>0</stp>
        <stp>STK</stp>
        <stp>N007160</stp>
        <stp>시가총액</stp>
        <stp/>
        <stp/>
        <tr r="I652" s="1"/>
      </tp>
      <tp>
        <v>823025317200</v>
        <stp/>
        <stp>P</stp>
        <stp>0</stp>
        <stp>STK</stp>
        <stp>N067160</stp>
        <stp>시가총액</stp>
        <stp/>
        <stp/>
        <tr r="I373" s="1"/>
      </tp>
      <tp>
        <v>3383327360000</v>
        <stp/>
        <stp>P</stp>
        <stp>0</stp>
        <stp>STK</stp>
        <stp>N457190</stp>
        <stp>시가총액</stp>
        <stp/>
        <stp/>
        <tr r="I162" s="1"/>
      </tp>
      <tp>
        <v>1442574286800</v>
        <stp/>
        <stp>P</stp>
        <stp>0</stp>
        <stp>STK</stp>
        <stp>N397030</stp>
        <stp>시가총액</stp>
        <stp/>
        <stp/>
        <tr r="I296" s="1"/>
      </tp>
      <tp>
        <v>7170085125000</v>
        <stp/>
        <stp>P</stp>
        <stp>0</stp>
        <stp>STK</stp>
        <stp>N087010</stp>
        <stp>시가총액</stp>
        <stp/>
        <stp/>
        <tr r="I111" s="1"/>
      </tp>
      <tp>
        <v>1999144888780</v>
        <stp/>
        <stp>P</stp>
        <stp>0</stp>
        <stp>STK</stp>
        <stp>N047040</stp>
        <stp>시가총액</stp>
        <stp/>
        <stp/>
        <tr r="I211" s="1"/>
      </tp>
      <tp>
        <v>10942397413600</v>
        <stp/>
        <stp>P</stp>
        <stp>0</stp>
        <stp>STK</stp>
        <stp>N047050</stp>
        <stp>시가총액</stp>
        <stp/>
        <stp/>
        <tr r="I71" s="1"/>
      </tp>
      <tp>
        <v>690000000000</v>
        <stp/>
        <stp>P</stp>
        <stp>0</stp>
        <stp>STK</stp>
        <stp>N057050</stp>
        <stp>시가총액</stp>
        <stp/>
        <stp/>
        <tr r="I413" s="1"/>
      </tp>
      <tp>
        <v>1864445354500</v>
        <stp/>
        <stp>P</stp>
        <stp>0</stp>
        <stp>STK</stp>
        <stp>N007070</stp>
        <stp>시가총액</stp>
        <stp/>
        <stp/>
        <tr r="I235" s="1"/>
      </tp>
      <tp>
        <v>299634981750</v>
        <stp/>
        <stp>P</stp>
        <stp>0</stp>
        <stp>STK</stp>
        <stp>N067080</stp>
        <stp>시가총액</stp>
        <stp/>
        <stp/>
        <tr r="I623" s="1"/>
      </tp>
      <tp>
        <v>402979173120</v>
        <stp/>
        <stp>P</stp>
        <stp>0</stp>
        <stp>STK</stp>
        <stp>N317330</stp>
        <stp>시가총액</stp>
        <stp/>
        <stp/>
        <tr r="I577" s="1"/>
      </tp>
      <tp>
        <v>1100611882080</v>
        <stp/>
        <stp>P</stp>
        <stp>0</stp>
        <stp>STK</stp>
        <stp>N137310</stp>
        <stp>시가총액</stp>
        <stp/>
        <stp/>
        <tr r="I315" s="1"/>
      </tp>
      <tp>
        <v>1541010635000</v>
        <stp/>
        <stp>P</stp>
        <stp>0</stp>
        <stp>STK</stp>
        <stp>N007310</stp>
        <stp>시가총액</stp>
        <stp/>
        <stp/>
        <tr r="I247" s="1"/>
      </tp>
      <tp>
        <v>2516110922900</v>
        <stp/>
        <stp>P</stp>
        <stp>0</stp>
        <stp>STK</stp>
        <stp>N067310</stp>
        <stp>시가총액</stp>
        <stp/>
        <stp/>
        <tr r="I233" s="1"/>
      </tp>
      <tp>
        <v>8703347660000</v>
        <stp/>
        <stp>P</stp>
        <stp>0</stp>
        <stp>STK</stp>
        <stp>N377300</stp>
        <stp>시가총액</stp>
        <stp/>
        <stp/>
        <tr r="I95" s="1"/>
      </tp>
      <tp>
        <v>1459846081750</v>
        <stp/>
        <stp>P</stp>
        <stp>0</stp>
        <stp>STK</stp>
        <stp>N007340</stp>
        <stp>시가총액</stp>
        <stp/>
        <stp/>
        <tr r="I254" s="1"/>
      </tp>
      <tp>
        <v>1601211141600</v>
        <stp/>
        <stp>P</stp>
        <stp>0</stp>
        <stp>STK</stp>
        <stp>N007390</stp>
        <stp>시가총액</stp>
        <stp/>
        <stp/>
        <tr r="I275" s="1"/>
      </tp>
      <tp>
        <v>325500000000</v>
        <stp/>
        <stp>P</stp>
        <stp>0</stp>
        <stp>STK</stp>
        <stp>N017390</stp>
        <stp>시가총액</stp>
        <stp/>
        <stp/>
        <tr r="I604" s="1"/>
      </tp>
      <tp>
        <v>2230294996800</v>
        <stp/>
        <stp>P</stp>
        <stp>0</stp>
        <stp>STK</stp>
        <stp>N097230</stp>
        <stp>시가총액</stp>
        <stp/>
        <stp/>
        <tr r="I198" s="1"/>
      </tp>
      <tp>
        <v>1179862372960</v>
        <stp/>
        <stp>P</stp>
        <stp>0</stp>
        <stp>STK</stp>
        <stp>N417200</stp>
        <stp>시가총액</stp>
        <stp/>
        <stp/>
        <tr r="I336" s="1"/>
      </tp>
      <tp>
        <v>31072630370000</v>
        <stp/>
        <stp>P</stp>
        <stp>0</stp>
        <stp>STK</stp>
        <stp>N267260</stp>
        <stp>시가총액</stp>
        <stp/>
        <stp/>
        <tr r="I29" s="1"/>
      </tp>
      <tp>
        <v>5176407332200</v>
        <stp/>
        <stp>P</stp>
        <stp>0</stp>
        <stp>STK</stp>
        <stp>N267270</stp>
        <stp>시가총액</stp>
        <stp/>
        <stp/>
        <tr r="I216" s="1"/>
      </tp>
      <tp>
        <v>18168409550000</v>
        <stp/>
        <stp>P</stp>
        <stp>0</stp>
        <stp>STK</stp>
        <stp>N267250</stp>
        <stp>시가총액</stp>
        <stp/>
        <stp/>
        <tr r="I44" s="1"/>
      </tp>
      <tp>
        <v>548077238760</v>
        <stp/>
        <stp>P</stp>
        <stp>0</stp>
        <stp>STK</stp>
        <stp>N047920</stp>
        <stp>시가총액</stp>
        <stp/>
        <stp/>
        <tr r="I451" s="1"/>
      </tp>
      <tp>
        <v>598878000000</v>
        <stp/>
        <stp>P</stp>
        <stp>0</stp>
        <stp>STK</stp>
        <stp>N017940</stp>
        <stp>시가총액</stp>
        <stp/>
        <stp/>
        <tr r="I447" s="1"/>
      </tp>
      <tp>
        <v>3191487432000</v>
        <stp/>
        <stp>P</stp>
        <stp>0</stp>
        <stp>STK</stp>
        <stp>N097950</stp>
        <stp>시가총액</stp>
        <stp/>
        <stp/>
        <tr r="I150" s="1"/>
      </tp>
      <tp>
        <v>80129636181000</v>
        <stp/>
        <stp>P</stp>
        <stp>0</stp>
        <stp>STK</stp>
        <stp>N207940</stp>
        <stp>시가총액</stp>
        <stp/>
        <stp/>
        <tr r="I13" s="1"/>
      </tp>
      <tp>
        <v>12491623801000</v>
        <stp/>
        <stp>P</stp>
        <stp>0</stp>
        <stp>STK</stp>
        <stp>N307950</stp>
        <stp>시가총액</stp>
        <stp/>
        <stp/>
        <tr r="I61" s="1"/>
      </tp>
      <tp>
        <v>1707788070800</v>
        <stp/>
        <stp>P</stp>
        <stp>0</stp>
        <stp>STK</stp>
        <stp>N017960</stp>
        <stp>시가총액</stp>
        <stp/>
        <stp/>
        <tr r="I221" s="1"/>
      </tp>
      <tp>
        <v>1340945304200</v>
        <stp/>
        <stp>P</stp>
        <stp>0</stp>
        <stp>STK</stp>
        <stp>N077970</stp>
        <stp>시가총액</stp>
        <stp/>
        <stp/>
        <tr r="I249" s="1"/>
      </tp>
      <tp>
        <v>270526421400</v>
        <stp/>
        <stp>P</stp>
        <stp>0</stp>
        <stp>STK</stp>
        <stp>N267980</stp>
        <stp>시가총액</stp>
        <stp/>
        <stp/>
        <tr r="I658" s="1"/>
      </tp>
      <tp>
        <v>3768505914000</v>
        <stp/>
        <stp>P</stp>
        <stp>0</stp>
        <stp>STK</stp>
        <stp>N017800</stp>
        <stp>시가총액</stp>
        <stp/>
        <stp/>
        <tr r="I140" s="1"/>
      </tp>
      <tp>
        <v>1669987095700</v>
        <stp/>
        <stp>P</stp>
        <stp>0</stp>
        <stp>STK</stp>
        <stp>N007810</stp>
        <stp>시가총액</stp>
        <stp/>
        <stp/>
        <tr r="I253" s="1"/>
      </tp>
      <tp>
        <v>494042224320</v>
        <stp/>
        <stp>P</stp>
        <stp>0</stp>
        <stp>STK</stp>
        <stp>N017810</stp>
        <stp>시가총액</stp>
        <stp/>
        <stp/>
        <tr r="I482" s="1"/>
      </tp>
      <tp>
        <v>16375817976000</v>
        <stp/>
        <stp>P</stp>
        <stp>0</stp>
        <stp>STK</stp>
        <stp>N047810</stp>
        <stp>시가총액</stp>
        <stp/>
        <stp/>
        <tr r="I56" s="1"/>
      </tp>
      <tp>
        <v>14627492932000</v>
        <stp/>
        <stp>P</stp>
        <stp>0</stp>
        <stp>STK</stp>
        <stp>N277810</stp>
        <stp>시가총액</stp>
        <stp/>
        <stp/>
        <tr r="I74" s="1"/>
      </tp>
      <tp>
        <v>337616870400</v>
        <stp/>
        <stp>P</stp>
        <stp>0</stp>
        <stp>STK</stp>
        <stp>N017860</stp>
        <stp>시가총액</stp>
        <stp/>
        <stp/>
        <tr r="I597" s="1"/>
      </tp>
      <tp>
        <v>4070562705000</v>
        <stp/>
        <stp>P</stp>
        <stp>0</stp>
        <stp>STK</stp>
        <stp>N347850</stp>
        <stp>시가총액</stp>
        <stp/>
        <stp/>
        <tr r="I141" s="1"/>
      </tp>
      <tp>
        <v>745343814000</v>
        <stp/>
        <stp>P</stp>
        <stp>0</stp>
        <stp>STK</stp>
        <stp>N287840</stp>
        <stp>시가총액</stp>
        <stp/>
        <stp/>
        <tr r="I383" s="1"/>
      </tp>
      <tp>
        <v>237819005480</v>
        <stp/>
        <stp>P</stp>
        <stp>0</stp>
        <stp>STK</stp>
        <stp>N237880</stp>
        <stp>시가총액</stp>
        <stp/>
        <stp/>
        <tr r="I693" s="1"/>
      </tp>
      <tp>
        <v>408438892400</v>
        <stp/>
        <stp>P</stp>
        <stp>0</stp>
        <stp>STK</stp>
        <stp>N144510</stp>
        <stp>시가총액</stp>
        <stp/>
        <stp/>
        <tr r="I578" s="1"/>
      </tp>
      <tp>
        <v>344567384850</v>
        <stp/>
        <stp>P</stp>
        <stp>0</stp>
        <stp>STK</stp>
        <stp>N064550</stp>
        <stp>시가총액</stp>
        <stp/>
        <stp/>
        <tr r="I616" s="1"/>
      </tp>
      <tp>
        <v>339082195200</v>
        <stp/>
        <stp>P</stp>
        <stp>0</stp>
        <stp>STK</stp>
        <stp>N294570</stp>
        <stp>시가총액</stp>
        <stp/>
        <stp/>
        <tr r="I650" s="1"/>
      </tp>
      <tp>
        <v>532439014000</v>
        <stp/>
        <stp>P</stp>
        <stp>0</stp>
        <stp>STK</stp>
        <stp>N484590</stp>
        <stp>시가총액</stp>
        <stp/>
        <stp/>
        <tr r="I453" s="1"/>
      </tp>
      <tp>
        <v>6704507601600</v>
        <stp/>
        <stp>P</stp>
        <stp>0</stp>
        <stp>STK</stp>
        <stp>N064400</stp>
        <stp>시가총액</stp>
        <stp/>
        <stp/>
        <tr r="I94" s="1"/>
      </tp>
      <tp>
        <v>924362697500</v>
        <stp/>
        <stp>P</stp>
        <stp>0</stp>
        <stp>STK</stp>
        <stp>N214430</stp>
        <stp>시가총액</stp>
        <stp/>
        <stp/>
        <tr r="I417" s="1"/>
      </tp>
      <tp>
        <v>4805212200000</v>
        <stp/>
        <stp>P</stp>
        <stp>0</stp>
        <stp>STK</stp>
        <stp>N214450</stp>
        <stp>시가총액</stp>
        <stp/>
        <stp/>
        <tr r="I120" s="1"/>
      </tp>
      <tp>
        <v>446435556440</v>
        <stp/>
        <stp>P</stp>
        <stp>0</stp>
        <stp>STK</stp>
        <stp>N094480</stp>
        <stp>시가총액</stp>
        <stp/>
        <stp/>
        <tr r="I567" s="1"/>
      </tp>
      <tp>
        <v>873180000000</v>
        <stp/>
        <stp>P</stp>
        <stp>0</stp>
        <stp>STK</stp>
        <stp>N004490</stp>
        <stp>시가총액</stp>
        <stp/>
        <stp/>
        <tr r="I333" s="1"/>
      </tp>
      <tp>
        <v>597220322850</v>
        <stp/>
        <stp>P</stp>
        <stp>0</stp>
        <stp>STK</stp>
        <stp>N044490</stp>
        <stp>시가총액</stp>
        <stp/>
        <stp/>
        <tr r="I394" s="1"/>
      </tp>
      <tp>
        <v>446352720000</v>
        <stp/>
        <stp>P</stp>
        <stp>0</stp>
        <stp>STK</stp>
        <stp>N194480</stp>
        <stp>시가총액</stp>
        <stp/>
        <stp/>
        <tr r="I537" s="1"/>
      </tp>
      <tp>
        <v>501345005200</v>
        <stp/>
        <stp>P</stp>
        <stp>0</stp>
        <stp>STK</stp>
        <stp>N004700</stp>
        <stp>시가총액</stp>
        <stp/>
        <stp/>
        <tr r="I500" s="1"/>
      </tp>
      <tp>
        <v>339349500000</v>
        <stp/>
        <stp>P</stp>
        <stp>0</stp>
        <stp>STK</stp>
        <stp>N104700</stp>
        <stp>시가총액</stp>
        <stp/>
        <stp/>
        <tr r="I568" s="1"/>
      </tp>
      <tp>
        <v>260879935680</v>
        <stp/>
        <stp>P</stp>
        <stp>0</stp>
        <stp>STK</stp>
        <stp>N194700</stp>
        <stp>시가총액</stp>
        <stp/>
        <stp/>
        <tr r="I671" s="1"/>
      </tp>
      <tp>
        <v>341247777050</v>
        <stp/>
        <stp>P</stp>
        <stp>0</stp>
        <stp>STK</stp>
        <stp>N024720</stp>
        <stp>시가총액</stp>
        <stp/>
        <stp/>
        <tr r="I605" s="1"/>
      </tp>
      <tp>
        <v>23309619014500</v>
        <stp/>
        <stp>P</stp>
        <stp>0</stp>
        <stp>STK</stp>
        <stp>N034730</stp>
        <stp>시가총액</stp>
        <stp/>
        <stp/>
        <tr r="I41" s="1"/>
      </tp>
      <tp>
        <v>2481830352000</v>
        <stp/>
        <stp>P</stp>
        <stp>0</stp>
        <stp>STK</stp>
        <stp>N064760</stp>
        <stp>시가총액</stp>
        <stp/>
        <stp/>
        <tr r="I218" s="1"/>
      </tp>
      <tp>
        <v>518302323000</v>
        <stp/>
        <stp>P</stp>
        <stp>0</stp>
        <stp>STK</stp>
        <stp>N284740</stp>
        <stp>시가총액</stp>
        <stp/>
        <stp/>
        <tr r="I473" s="1"/>
      </tp>
      <tp>
        <v>732120800000</v>
        <stp/>
        <stp>P</stp>
        <stp>0</stp>
        <stp>STK</stp>
        <stp>N074600</stp>
        <stp>시가총액</stp>
        <stp/>
        <stp/>
        <tr r="I408" s="1"/>
      </tp>
      <tp>
        <v>832573361400</v>
        <stp/>
        <stp>P</stp>
        <stp>0</stp>
        <stp>STK</stp>
        <stp>N014620</stp>
        <stp>시가총액</stp>
        <stp/>
        <stp/>
        <tr r="I364" s="1"/>
      </tp>
      <tp>
        <v>3213527782500</v>
        <stp/>
        <stp>P</stp>
        <stp>0</stp>
        <stp>STK</stp>
        <stp>N014680</stp>
        <stp>시가총액</stp>
        <stp/>
        <stp/>
        <tr r="I155" s="1"/>
      </tp>
      <tp>
        <v>573380535000</v>
        <stp/>
        <stp>P</stp>
        <stp>0</stp>
        <stp>STK</stp>
        <stp>N004690</stp>
        <stp>시가총액</stp>
        <stp/>
        <stp/>
        <tr r="I468" s="1"/>
      </tp>
      <tp>
        <v>354882872400</v>
        <stp/>
        <stp>P</stp>
        <stp>0</stp>
        <stp>STK</stp>
        <stp>N084690</stp>
        <stp>시가총액</stp>
        <stp/>
        <stp/>
        <tr r="I590" s="1"/>
      </tp>
      <tp>
        <v>17662982998350</v>
        <stp/>
        <stp>P</stp>
        <stp>0</stp>
        <stp>STK</stp>
        <stp>N024110</stp>
        <stp>시가총액</stp>
        <stp/>
        <stp/>
        <tr r="I55" s="1"/>
      </tp>
      <tp>
        <v>650714336800</v>
        <stp/>
        <stp>P</stp>
        <stp>0</stp>
        <stp>STK</stp>
        <stp>N084110</stp>
        <stp>시가총액</stp>
        <stp/>
        <stp/>
        <tr r="I426" s="1"/>
      </tp>
      <tp>
        <v>342641365860</v>
        <stp/>
        <stp>P</stp>
        <stp>0</stp>
        <stp>STK</stp>
        <stp>N034120</stp>
        <stp>시가총액</stp>
        <stp/>
        <stp/>
        <tr r="I584" s="1"/>
      </tp>
      <tp>
        <v>377815650000</v>
        <stp/>
        <stp>P</stp>
        <stp>0</stp>
        <stp>STK</stp>
        <stp>N304100</stp>
        <stp>시가총액</stp>
        <stp/>
        <stp/>
        <tr r="I594" s="1"/>
      </tp>
      <tp>
        <v>261882385800</v>
        <stp/>
        <stp>P</stp>
        <stp>0</stp>
        <stp>STK</stp>
        <stp>N484120</stp>
        <stp>시가총액</stp>
        <stp/>
        <stp/>
        <tr r="I674" s="1"/>
      </tp>
      <tp>
        <v>511827590400</v>
        <stp/>
        <stp>P</stp>
        <stp>0</stp>
        <stp>STK</stp>
        <stp>N494120</stp>
        <stp>시가총액</stp>
        <stp/>
        <stp/>
        <tr r="I529" s="1"/>
      </tp>
      <tp>
        <v>3062344967500</v>
        <stp/>
        <stp>P</stp>
        <stp>0</stp>
        <stp>STK</stp>
        <stp>N004170</stp>
        <stp>시가총액</stp>
        <stp/>
        <stp/>
        <tr r="I163" s="1"/>
      </tp>
      <tp>
        <v>4912924425000</v>
        <stp/>
        <stp>P</stp>
        <stp>0</stp>
        <stp>STK</stp>
        <stp>N214150</stp>
        <stp>시가총액</stp>
        <stp/>
        <stp/>
        <tr r="I132" s="1"/>
      </tp>
      <tp>
        <v>640889538400</v>
        <stp/>
        <stp>P</stp>
        <stp>0</stp>
        <stp>STK</stp>
        <stp>N094170</stp>
        <stp>시가총액</stp>
        <stp/>
        <stp/>
        <tr r="I439" s="1"/>
      </tp>
      <tp>
        <v>447487640940</v>
        <stp/>
        <stp>P</stp>
        <stp>0</stp>
        <stp>STK</stp>
        <stp>N114190</stp>
        <stp>시가총액</stp>
        <stp/>
        <stp/>
        <tr r="I566" s="1"/>
      </tp>
      <tp>
        <v>1204860000000</v>
        <stp/>
        <stp>P</stp>
        <stp>0</stp>
        <stp>STK</stp>
        <stp>N004000</stp>
        <stp>시가총액</stp>
        <stp/>
        <stp/>
        <tr r="I290" s="1"/>
      </tp>
      <tp>
        <v>354714870720</v>
        <stp/>
        <stp>P</stp>
        <stp>0</stp>
        <stp>STK</stp>
        <stp>N084010</stp>
        <stp>시가총액</stp>
        <stp/>
        <stp/>
        <tr r="I687" s="1"/>
      </tp>
      <tp>
        <v>4043407285500</v>
        <stp/>
        <stp>P</stp>
        <stp>0</stp>
        <stp>STK</stp>
        <stp>N004020</stp>
        <stp>시가총액</stp>
        <stp/>
        <stp/>
        <tr r="I125" s="1"/>
      </tp>
      <tp>
        <v>57138054223200</v>
        <stp/>
        <stp>P</stp>
        <stp>0</stp>
        <stp>STK</stp>
        <stp>N034020</stp>
        <stp>시가총액</stp>
        <stp/>
        <stp/>
        <tr r="I17" s="1"/>
      </tp>
      <tp>
        <v>792371132700</v>
        <stp/>
        <stp>P</stp>
        <stp>0</stp>
        <stp>STK</stp>
        <stp>N114090</stp>
        <stp>시가총액</stp>
        <stp/>
        <stp/>
        <tr r="I354" s="1"/>
      </tp>
      <tp>
        <v>2962994272000</v>
        <stp/>
        <stp>P</stp>
        <stp>0</stp>
        <stp>STK</stp>
        <stp>N204320</stp>
        <stp>시가총액</stp>
        <stp/>
        <stp/>
        <tr r="I142" s="1"/>
      </tp>
      <tp>
        <v>754000000000</v>
        <stp/>
        <stp>P</stp>
        <stp>0</stp>
        <stp>STK</stp>
        <stp>N214320</stp>
        <stp>시가총액</stp>
        <stp/>
        <stp/>
        <tr r="I378" s="1"/>
      </tp>
      <tp>
        <v>502102764620</v>
        <stp/>
        <stp>P</stp>
        <stp>0</stp>
        <stp>STK</stp>
        <stp>N034310</stp>
        <stp>시가총액</stp>
        <stp/>
        <stp/>
        <tr r="I491" s="1"/>
      </tp>
      <tp>
        <v>411805506000</v>
        <stp/>
        <stp>P</stp>
        <stp>0</stp>
        <stp>STK</stp>
        <stp>N304360</stp>
        <stp>시가총액</stp>
        <stp/>
        <stp/>
        <tr r="I560" s="1"/>
      </tp>
      <tp>
        <v>6741232500000</v>
        <stp/>
        <stp>P</stp>
        <stp>0</stp>
        <stp>STK</stp>
        <stp>N214370</stp>
        <stp>시가총액</stp>
        <stp/>
        <stp/>
        <tr r="I129" s="1"/>
      </tp>
      <tp>
        <v>25211869683000</v>
        <stp/>
        <stp>P</stp>
        <stp>0</stp>
        <stp>STK</stp>
        <stp>N064350</stp>
        <stp>시가총액</stp>
        <stp/>
        <stp/>
        <tr r="I37" s="1"/>
      </tp>
      <tp>
        <v>271823874660</v>
        <stp/>
        <stp>P</stp>
        <stp>0</stp>
        <stp>STK</stp>
        <stp>N004360</stp>
        <stp>시가총액</stp>
        <stp/>
        <stp/>
        <tr r="I662" s="1"/>
      </tp>
      <tp>
        <v>388772335980</v>
        <stp/>
        <stp>P</stp>
        <stp>0</stp>
        <stp>STK</stp>
        <stp>N094360</stp>
        <stp>시가총액</stp>
        <stp/>
        <stp/>
        <tr r="I559" s="1"/>
      </tp>
      <tp>
        <v>364450480480</v>
        <stp/>
        <stp>P</stp>
        <stp>0</stp>
        <stp>STK</stp>
        <stp>N194370</stp>
        <stp>시가총액</stp>
        <stp/>
        <stp/>
        <tr r="I602" s="1"/>
      </tp>
      <tp>
        <v>2457387368000</v>
        <stp/>
        <stp>P</stp>
        <stp>0</stp>
        <stp>STK</stp>
        <stp>N004370</stp>
        <stp>시가총액</stp>
        <stp/>
        <stp/>
        <tr r="I182" s="1"/>
      </tp>
      <tp>
        <v>2447433285600</v>
        <stp/>
        <stp>P</stp>
        <stp>0</stp>
        <stp>STK</stp>
        <stp>N084370</stp>
        <stp>시가총액</stp>
        <stp/>
        <stp/>
        <tr r="I222" s="1"/>
      </tp>
      <tp>
        <v>5720000000000</v>
        <stp/>
        <stp>P</stp>
        <stp>0</stp>
        <stp>STK</stp>
        <stp>N034220</stp>
        <stp>시가총액</stp>
        <stp/>
        <stp/>
        <tr r="I102" s="1"/>
      </tp>
      <tp>
        <v>1630958116350</v>
        <stp/>
        <stp>P</stp>
        <stp>0</stp>
        <stp>STK</stp>
        <stp>N034230</stp>
        <stp>시가총액</stp>
        <stp/>
        <stp/>
        <tr r="I245" s="1"/>
      </tp>
      <tp>
        <v>1368116220900</v>
        <stp/>
        <stp>P</stp>
        <stp>0</stp>
        <stp>STK</stp>
        <stp>N204270</stp>
        <stp>시가총액</stp>
        <stp/>
        <stp/>
        <tr r="I297" s="1"/>
      </tp>
      <tp>
        <v>331555472370</v>
        <stp/>
        <stp>P</stp>
        <stp>0</stp>
        <stp>STK</stp>
        <stp>N394280</stp>
        <stp>시가총액</stp>
        <stp/>
        <stp/>
        <tr r="I627" s="1"/>
      </tp>
      <tp>
        <v>394969646810</v>
        <stp/>
        <stp>P</stp>
        <stp>0</stp>
        <stp>STK</stp>
        <stp>N314930</stp>
        <stp>시가총액</stp>
        <stp/>
        <stp/>
        <tr r="I576" s="1"/>
      </tp>
      <tp>
        <v>373704020200</v>
        <stp/>
        <stp>P</stp>
        <stp>0</stp>
        <stp>STK</stp>
        <stp>N014940</stp>
        <stp>시가총액</stp>
        <stp/>
        <stp/>
        <tr r="I553" s="1"/>
      </tp>
      <tp>
        <v>437251498200</v>
        <stp/>
        <stp>P</stp>
        <stp>0</stp>
        <stp>STK</stp>
        <stp>N034950</stp>
        <stp>시가총액</stp>
        <stp/>
        <stp/>
        <tr r="I511" s="1"/>
      </tp>
      <tp>
        <v>301642805400</v>
        <stp/>
        <stp>P</stp>
        <stp>0</stp>
        <stp>STK</stp>
        <stp>N054950</stp>
        <stp>시가총액</stp>
        <stp/>
        <stp/>
        <tr r="I617" s="1"/>
      </tp>
      <tp>
        <v>7415405712000</v>
        <stp/>
        <stp>P</stp>
        <stp>0</stp>
        <stp>STK</stp>
        <stp>N454910</stp>
        <stp>시가총액</stp>
        <stp/>
        <stp/>
        <tr r="I90" s="1"/>
      </tp>
      <tp>
        <v>923601465600</v>
        <stp/>
        <stp>P</stp>
        <stp>0</stp>
        <stp>STK</stp>
        <stp>N064960</stp>
        <stp>시가총액</stp>
        <stp/>
        <stp/>
        <tr r="I302" s="1"/>
      </tp>
      <tp>
        <v>238296229560</v>
        <stp/>
        <stp>P</stp>
        <stp>0</stp>
        <stp>STK</stp>
        <stp>N004980</stp>
        <stp>시가총액</stp>
        <stp/>
        <stp/>
        <tr r="I692" s="1"/>
      </tp>
      <tp>
        <v>3252186347000</v>
        <stp/>
        <stp>P</stp>
        <stp>0</stp>
        <stp>STK</stp>
        <stp>N004990</stp>
        <stp>시가총액</stp>
        <stp/>
        <stp/>
        <tr r="I153" s="1"/>
      </tp>
      <tp>
        <v>2455817706900</v>
        <stp/>
        <stp>P</stp>
        <stp>0</stp>
        <stp>STK</stp>
        <stp>N004800</stp>
        <stp>시가총액</stp>
        <stp/>
        <stp/>
        <tr r="I177" s="1"/>
      </tp>
      <tp>
        <v>408310524720</v>
        <stp/>
        <stp>P</stp>
        <stp>0</stp>
        <stp>STK</stp>
        <stp>N114810</stp>
        <stp>시가총액</stp>
        <stp/>
        <stp/>
        <tr r="I606" s="1"/>
      </tp>
      <tp>
        <v>424815619200</v>
        <stp/>
        <stp>P</stp>
        <stp>0</stp>
        <stp>STK</stp>
        <stp>N344820</stp>
        <stp>시가총액</stp>
        <stp/>
        <stp/>
        <tr r="I519" s="1"/>
      </tp>
      <tp>
        <v>492342400000</v>
        <stp/>
        <stp>P</stp>
        <stp>0</stp>
        <stp>STK</stp>
        <stp>N104830</stp>
        <stp>시가총액</stp>
        <stp/>
        <stp/>
        <tr r="I507" s="1"/>
      </tp>
      <tp>
        <v>826251537000</v>
        <stp/>
        <stp>P</stp>
        <stp>0</stp>
        <stp>STK</stp>
        <stp>N014820</stp>
        <stp>시가총액</stp>
        <stp/>
        <stp/>
        <tr r="I384" s="1"/>
      </tp>
      <tp>
        <v>351661664640</v>
        <stp/>
        <stp>P</stp>
        <stp>0</stp>
        <stp>STK</stp>
        <stp>N064820</stp>
        <stp>시가총액</stp>
        <stp/>
        <stp/>
        <tr r="I551" s="1"/>
      </tp>
      <tp>
        <v>524489000000</v>
        <stp/>
        <stp>P</stp>
        <stp>0</stp>
        <stp>STK</stp>
        <stp>N014830</stp>
        <stp>시가총액</stp>
        <stp/>
        <stp/>
        <tr r="I487" s="1"/>
      </tp>
      <tp>
        <v>797274491750</v>
        <stp/>
        <stp>P</stp>
        <stp>0</stp>
        <stp>STK</stp>
        <stp>N424870</stp>
        <stp>시가총액</stp>
        <stp/>
        <stp/>
        <tr r="I356" s="1"/>
      </tp>
      <tp>
        <v>1320907770000</v>
        <stp/>
        <stp>P</stp>
        <stp>0</stp>
        <stp>STK</stp>
        <stp>N484870</stp>
        <stp>시가총액</stp>
        <stp/>
        <stp/>
        <tr r="I259" s="1"/>
      </tp>
      <tp>
        <v>507230771720</v>
        <stp/>
        <stp>P</stp>
        <stp>0</stp>
        <stp>STK</stp>
        <stp>N394800</stp>
        <stp>시가총액</stp>
        <stp/>
        <stp/>
        <tr r="I498" s="1"/>
      </tp>
      <tp>
        <v>256334520000</v>
        <stp/>
        <stp>P</stp>
        <stp>0</stp>
        <stp>STK</stp>
        <stp>N114840</stp>
        <stp>시가총액</stp>
        <stp/>
        <stp/>
        <tr r="I664" s="1"/>
      </tp>
      <tp>
        <v>239531783040</v>
        <stp/>
        <stp>P</stp>
        <stp>0</stp>
        <stp>STK</stp>
        <stp>N084850</stp>
        <stp>시가총액</stp>
        <stp/>
        <stp/>
        <tr r="I698" s="1"/>
      </tp>
      <tp>
        <v>339920130000</v>
        <stp/>
        <stp>P</stp>
        <stp>0</stp>
        <stp>STK</stp>
        <stp>N484810</stp>
        <stp>시가총액</stp>
        <stp/>
        <stp/>
        <tr r="I562" s="1"/>
      </tp>
      <tp>
        <v>1341214165500</v>
        <stp/>
        <stp>P</stp>
        <stp>0</stp>
        <stp>STK</stp>
        <stp>N294870</stp>
        <stp>시가총액</stp>
        <stp/>
        <stp/>
        <tr r="I267" s="1"/>
      </tp>
      <tp>
        <v>254278800000</v>
        <stp/>
        <stp>P</stp>
        <stp>0</stp>
        <stp>STK</stp>
        <stp>N005500</stp>
        <stp>시가총액</stp>
        <stp/>
        <stp/>
        <tr r="I669" s="1"/>
      </tp>
      <tp>
        <v>318324864150</v>
        <stp/>
        <stp>P</stp>
        <stp>0</stp>
        <stp>STK</stp>
        <stp>N265520</stp>
        <stp>시가총액</stp>
        <stp/>
        <stp/>
        <tr r="I642" s="1"/>
      </tp>
      <tp>
        <v>366228088190</v>
        <stp/>
        <stp>P</stp>
        <stp>0</stp>
        <stp>STK</stp>
        <stp>N095500</stp>
        <stp>시가총액</stp>
        <stp/>
        <stp/>
        <tr r="I599" s="1"/>
      </tp>
      <tp>
        <v>353900528000</v>
        <stp/>
        <stp>P</stp>
        <stp>0</stp>
        <stp>STK</stp>
        <stp>N475560</stp>
        <stp>시가총액</stp>
        <stp/>
        <stp/>
        <tr r="I574" s="1"/>
      </tp>
      <tp>
        <v>1706388774300</v>
        <stp/>
        <stp>P</stp>
        <stp>0</stp>
        <stp>STK</stp>
        <stp>N375500</stp>
        <stp>시가총액</stp>
        <stp/>
        <stp/>
        <tr r="I238" s="1"/>
      </tp>
      <tp>
        <v>746487000000</v>
        <stp/>
        <stp>P</stp>
        <stp>0</stp>
        <stp>STK</stp>
        <stp>N025540</stp>
        <stp>시가총액</stp>
        <stp/>
        <stp/>
        <tr r="I355" s="1"/>
      </tp>
      <tp>
        <v>848279041120</v>
        <stp/>
        <stp>P</stp>
        <stp>0</stp>
        <stp>STK</stp>
        <stp>N225570</stp>
        <stp>시가총액</stp>
        <stp/>
        <stp/>
        <tr r="I357" s="1"/>
      </tp>
      <tp>
        <v>41218519896600</v>
        <stp/>
        <stp>P</stp>
        <stp>0</stp>
        <stp>STK</stp>
        <stp>N055550</stp>
        <stp>시가총액</stp>
        <stp/>
        <stp/>
        <tr r="I25" s="1"/>
      </tp>
      <tp>
        <v>52489185372800</v>
        <stp/>
        <stp>P</stp>
        <stp>0</stp>
        <stp>STK</stp>
        <stp>N105560</stp>
        <stp>시가총액</stp>
        <stp/>
        <stp/>
        <tr r="I19" s="1"/>
      </tp>
      <tp>
        <v>1081845147680</v>
        <stp/>
        <stp>P</stp>
        <stp>0</stp>
        <stp>STK</stp>
        <stp>N075580</stp>
        <stp>시가총액</stp>
        <stp/>
        <stp/>
        <tr r="I299" s="1"/>
      </tp>
      <tp>
        <v>648714970920</v>
        <stp/>
        <stp>P</stp>
        <stp>0</stp>
        <stp>STK</stp>
        <stp>N005420</stp>
        <stp>시가총액</stp>
        <stp/>
        <stp/>
        <tr r="I446" s="1"/>
      </tp>
      <tp>
        <v>43016835971500</v>
        <stp/>
        <stp>P</stp>
        <stp>0</stp>
        <stp>STK</stp>
        <stp>N035420</stp>
        <stp>시가총액</stp>
        <stp/>
        <stp/>
        <tr r="I26" s="1"/>
      </tp>
      <tp>
        <v>1442114784250</v>
        <stp/>
        <stp>P</stp>
        <stp>0</stp>
        <stp>STK</stp>
        <stp>N005440</stp>
        <stp>시가총액</stp>
        <stp/>
        <stp/>
        <tr r="I268" s="1"/>
      </tp>
      <tp>
        <v>512532795600</v>
        <stp/>
        <stp>P</stp>
        <stp>0</stp>
        <stp>STK</stp>
        <stp>N475400</stp>
        <stp>시가총액</stp>
        <stp/>
        <stp/>
        <tr r="I463" s="1"/>
      </tp>
      <tp>
        <v>446732518500</v>
        <stp/>
        <stp>P</stp>
        <stp>0</stp>
        <stp>STK</stp>
        <stp>N425420</stp>
        <stp>시가총액</stp>
        <stp/>
        <stp/>
        <tr r="I535" s="1"/>
      </tp>
      <tp>
        <v>907083447200</v>
        <stp/>
        <stp>P</stp>
        <stp>0</stp>
        <stp>STK</stp>
        <stp>N125490</stp>
        <stp>시가총액</stp>
        <stp/>
        <stp/>
        <tr r="I377" s="1"/>
      </tp>
      <tp>
        <v>28225367010000</v>
        <stp/>
        <stp>P</stp>
        <stp>0</stp>
        <stp>STK</stp>
        <stp>N005490</stp>
        <stp>시가총액</stp>
        <stp/>
        <stp/>
        <tr r="I31" s="1"/>
      </tp>
      <tp>
        <v>258885792000</v>
        <stp/>
        <stp>P</stp>
        <stp>0</stp>
        <stp>STK</stp>
        <stp>N005710</stp>
        <stp>시가총액</stp>
        <stp/>
        <stp/>
        <tr r="I659" s="1"/>
      </tp>
      <tp>
        <v>26549713200000</v>
        <stp/>
        <stp>P</stp>
        <stp>0</stp>
        <stp>STK</stp>
        <stp>N035720</stp>
        <stp>시가총액</stp>
        <stp/>
        <stp/>
        <tr r="I35" s="1"/>
      </tp>
      <tp>
        <v>518021244000</v>
        <stp/>
        <stp>P</stp>
        <stp>0</stp>
        <stp>STK</stp>
        <stp>N145720</stp>
        <stp>시가총액</stp>
        <stp/>
        <stp/>
        <tr r="I470" s="1"/>
      </tp>
      <tp>
        <v>1167715188000</v>
        <stp/>
        <stp>P</stp>
        <stp>0</stp>
        <stp>STK</stp>
        <stp>N185750</stp>
        <stp>시가총액</stp>
        <stp/>
        <stp/>
        <tr r="I293" s="1"/>
      </tp>
      <tp>
        <v>627200000000</v>
        <stp/>
        <stp>P</stp>
        <stp>0</stp>
        <stp>STK</stp>
        <stp>N015750</stp>
        <stp>시가총액</stp>
        <stp/>
        <stp/>
        <tr r="I407" s="1"/>
      </tp>
      <tp>
        <v>37362309281400</v>
        <stp/>
        <stp>P</stp>
        <stp>0</stp>
        <stp>STK</stp>
        <stp>N015760</stp>
        <stp>시가총액</stp>
        <stp/>
        <stp/>
        <tr r="I24" s="1"/>
      </tp>
      <tp>
        <v>1561355764800</v>
        <stp/>
        <stp>P</stp>
        <stp>0</stp>
        <stp>STK</stp>
        <stp>N035760</stp>
        <stp>시가총액</stp>
        <stp/>
        <stp/>
        <tr r="I263" s="1"/>
      </tp>
      <tp>
        <v>295809740900</v>
        <stp/>
        <stp>P</stp>
        <stp>0</stp>
        <stp>STK</stp>
        <stp>N025770</stp>
        <stp>시가총액</stp>
        <stp/>
        <stp/>
        <tr r="I636" s="1"/>
      </tp>
      <tp>
        <v>318253712700</v>
        <stp/>
        <stp>P</stp>
        <stp>0</stp>
        <stp>STK</stp>
        <stp>N035600</stp>
        <stp>시가총액</stp>
        <stp/>
        <stp/>
        <tr r="I655" s="1"/>
      </tp>
      <tp>
        <v>436627855400</v>
        <stp/>
        <stp>P</stp>
        <stp>0</stp>
        <stp>STK</stp>
        <stp>N005610</stp>
        <stp>시가총액</stp>
        <stp/>
        <stp/>
        <tr r="I514" s="1"/>
      </tp>
      <tp>
        <v>1411451336400</v>
        <stp/>
        <stp>P</stp>
        <stp>0</stp>
        <stp>STK</stp>
        <stp>N095610</stp>
        <stp>시가총액</stp>
        <stp/>
        <stp/>
        <tr r="I322" s="1"/>
      </tp>
      <tp>
        <v>564800000000</v>
        <stp/>
        <stp>P</stp>
        <stp>0</stp>
        <stp>STK</stp>
        <stp>N105630</stp>
        <stp>시가총액</stp>
        <stp/>
        <stp/>
        <tr r="I444" s="1"/>
      </tp>
      <tp>
        <v>1665722338490</v>
        <stp/>
        <stp>P</stp>
        <stp>0</stp>
        <stp>STK</stp>
        <stp>N085620</stp>
        <stp>시가총액</stp>
        <stp/>
        <stp/>
        <tr r="I244" s="1"/>
      </tp>
      <tp>
        <v>412751625000</v>
        <stp/>
        <stp>P</stp>
        <stp>0</stp>
        <stp>STK</stp>
        <stp>N065660</stp>
        <stp>시가총액</stp>
        <stp/>
        <stp/>
        <tr r="I556" s="1"/>
      </tp>
      <tp>
        <v>1712605028050</v>
        <stp/>
        <stp>P</stp>
        <stp>0</stp>
        <stp>STK</stp>
        <stp>N085660</stp>
        <stp>시가총액</stp>
        <stp/>
        <stp/>
        <tr r="I271" s="1"/>
      </tp>
      <tp>
        <v>656797320800</v>
        <stp/>
        <stp>P</stp>
        <stp>0</stp>
        <stp>STK</stp>
        <stp>N095660</stp>
        <stp>시가총액</stp>
        <stp/>
        <stp/>
        <tr r="I448" s="1"/>
      </tp>
      <tp>
        <v>292922930700</v>
        <stp/>
        <stp>P</stp>
        <stp>0</stp>
        <stp>STK</stp>
        <stp>N065680</stp>
        <stp>시가총액</stp>
        <stp/>
        <stp/>
        <tr r="I638" s="1"/>
      </tp>
      <tp>
        <v>827633933560</v>
        <stp/>
        <stp>P</stp>
        <stp>0</stp>
        <stp>STK</stp>
        <stp>N005690</stp>
        <stp>시가총액</stp>
        <stp/>
        <stp/>
        <tr r="I361" s="1"/>
      </tp>
      <tp>
        <v>2095467559200</v>
        <stp/>
        <stp>P</stp>
        <stp>0</stp>
        <stp>STK</stp>
        <stp>N445680</stp>
        <stp>시가총액</stp>
        <stp/>
        <stp/>
        <tr r="I207" s="1"/>
      </tp>
      <tp>
        <v>558900000000</v>
        <stp/>
        <stp>P</stp>
        <stp>0</stp>
        <stp>STK</stp>
        <stp>N045100</stp>
        <stp>시가총액</stp>
        <stp/>
        <stp/>
        <tr r="I503" s="1"/>
      </tp>
      <tp>
        <v>666979869920</v>
        <stp/>
        <stp>P</stp>
        <stp>0</stp>
        <stp>STK</stp>
        <stp>N475150</stp>
        <stp>시가총액</stp>
        <stp/>
        <stp/>
        <tr r="I402" s="1"/>
      </tp>
      <tp>
        <v>1139988679400</v>
        <stp/>
        <stp>P</stp>
        <stp>0</stp>
        <stp>STK</stp>
        <stp>N285130</stp>
        <stp>시가총액</stp>
        <stp/>
        <stp/>
        <tr r="I295" s="1"/>
      </tp>
      <tp>
        <v>259864078880</v>
        <stp/>
        <stp>P</stp>
        <stp>0</stp>
        <stp>STK</stp>
        <stp>N035150</stp>
        <stp>시가총액</stp>
        <stp/>
        <stp/>
        <tr r="I666" s="1"/>
      </tp>
      <tp>
        <v>709033162600</v>
        <stp/>
        <stp>P</stp>
        <stp>0</stp>
        <stp>STK</stp>
        <stp>N005180</stp>
        <stp>시가총액</stp>
        <stp/>
        <stp/>
        <tr r="I381" s="1"/>
      </tp>
      <tp>
        <v>372132109500</v>
        <stp/>
        <stp>P</stp>
        <stp>0</stp>
        <stp>STK</stp>
        <stp>N215000</stp>
        <stp>시가총액</stp>
        <stp/>
        <stp/>
        <tr r="I595" s="1"/>
      </tp>
      <tp>
        <v>3414369157500</v>
        <stp/>
        <stp>P</stp>
        <stp>0</stp>
        <stp>STK</stp>
        <stp>N145020</stp>
        <stp>시가총액</stp>
        <stp/>
        <stp/>
        <tr r="I161" s="1"/>
      </tp>
      <tp>
        <v>1713316841200</v>
        <stp/>
        <stp>P</stp>
        <stp>0</stp>
        <stp>STK</stp>
        <stp>N005070</stp>
        <stp>시가총액</stp>
        <stp/>
        <stp/>
        <tr r="I255" s="1"/>
      </tp>
      <tp>
        <v>311962059450</v>
        <stp/>
        <stp>P</stp>
        <stp>0</stp>
        <stp>STK</stp>
        <stp>N005090</stp>
        <stp>시가총액</stp>
        <stp/>
        <stp/>
        <tr r="I626" s="1"/>
      </tp>
      <tp>
        <v>340880529600</v>
        <stp/>
        <stp>P</stp>
        <stp>0</stp>
        <stp>STK</stp>
        <stp>N445090</stp>
        <stp>시가총액</stp>
        <stp/>
        <stp/>
        <tr r="I609" s="1"/>
      </tp>
      <tp>
        <v>1240586790800</v>
        <stp/>
        <stp>P</stp>
        <stp>0</stp>
        <stp>STK</stp>
        <stp>N005300</stp>
        <stp>시가총액</stp>
        <stp/>
        <stp/>
        <tr r="I284" s="1"/>
      </tp>
      <tp>
        <v>714847343280</v>
        <stp/>
        <stp>P</stp>
        <stp>0</stp>
        <stp>STK</stp>
        <stp>N025320</stp>
        <stp>시가총액</stp>
        <stp/>
        <stp/>
        <tr r="I476" s="1"/>
      </tp>
      <tp>
        <v>4851551555550</v>
        <stp/>
        <stp>P</stp>
        <stp>0</stp>
        <stp>STK</stp>
        <stp>N175330</stp>
        <stp>시가총액</stp>
        <stp/>
        <stp/>
        <tr r="I121" s="1"/>
      </tp>
      <tp>
        <v>1055701279700</v>
        <stp/>
        <stp>P</stp>
        <stp>0</stp>
        <stp>STK</stp>
        <stp>N295310</stp>
        <stp>시가총액</stp>
        <stp/>
        <stp/>
        <tr r="I308" s="1"/>
      </tp>
      <tp>
        <v>3115967526000</v>
        <stp/>
        <stp>P</stp>
        <stp>0</stp>
        <stp>STK</stp>
        <stp>N095340</stp>
        <stp>시가총액</stp>
        <stp/>
        <stp/>
        <tr r="I201" s="1"/>
      </tp>
      <tp>
        <v>2217954603600</v>
        <stp/>
        <stp>P</stp>
        <stp>0</stp>
        <stp>STK</stp>
        <stp>N065350</stp>
        <stp>시가총액</stp>
        <stp/>
        <stp/>
        <tr r="I242" s="1"/>
      </tp>
      <tp>
        <v>440040000000</v>
        <stp/>
        <stp>P</stp>
        <stp>0</stp>
        <stp>STK</stp>
        <stp>N015360</stp>
        <stp>시가총액</stp>
        <stp/>
        <stp/>
        <tr r="I552" s="1"/>
      </tp>
      <tp>
        <v>835680961800</v>
        <stp/>
        <stp>P</stp>
        <stp>0</stp>
        <stp>STK</stp>
        <stp>N365340</stp>
        <stp>시가총액</stp>
        <stp/>
        <stp/>
        <tr r="I422" s="1"/>
      </tp>
      <tp>
        <v>101150336404000</v>
        <stp/>
        <stp>P</stp>
        <stp>0</stp>
        <stp>STK</stp>
        <stp>N005380</stp>
        <stp>시가총액</stp>
        <stp/>
        <stp/>
        <tr r="I11" s="1"/>
      </tp>
      <tp>
        <v>463843416000</v>
        <stp/>
        <stp>P</stp>
        <stp>0</stp>
        <stp>STK</stp>
        <stp>N215200</stp>
        <stp>시가총액</stp>
        <stp/>
        <stp/>
        <tr r="I538" s="1"/>
      </tp>
      <tp>
        <v>719061330900</v>
        <stp/>
        <stp>P</stp>
        <stp>0</stp>
        <stp>STK</stp>
        <stp>N005250</stp>
        <stp>시가총액</stp>
        <stp/>
        <stp/>
        <tr r="I392" s="1"/>
      </tp>
      <tp>
        <v>3690473625000</v>
        <stp/>
        <stp>P</stp>
        <stp>0</stp>
        <stp>STK</stp>
        <stp>N035250</stp>
        <stp>시가총액</stp>
        <stp/>
        <stp/>
        <tr r="I131" s="1"/>
      </tp>
      <tp>
        <v>2766099777200</v>
        <stp/>
        <stp>P</stp>
        <stp>0</stp>
        <stp>STK</stp>
        <stp>N005290</stp>
        <stp>시가총액</stp>
        <stp/>
        <stp/>
        <tr r="I204" s="1"/>
      </tp>
      <tp>
        <v>531357065350</v>
        <stp/>
        <stp>P</stp>
        <stp>0</stp>
        <stp>STK</stp>
        <stp>N025900</stp>
        <stp>시가총액</stp>
        <stp/>
        <stp/>
        <tr r="I530" s="1"/>
      </tp>
      <tp>
        <v>2540573178000</v>
        <stp/>
        <stp>P</stp>
        <stp>0</stp>
        <stp>STK</stp>
        <stp>N035900</stp>
        <stp>시가총액</stp>
        <stp/>
        <stp/>
        <tr r="I188" s="1"/>
      </tp>
      <tp>
        <v>633698023900</v>
        <stp/>
        <stp>P</stp>
        <stp>0</stp>
        <stp>STK</stp>
        <stp>N475960</stp>
        <stp>시가총액</stp>
        <stp/>
        <stp/>
        <tr r="I431" s="1"/>
      </tp>
      <tp>
        <v>931159045130600</v>
        <stp/>
        <stp>P</stp>
        <stp>0</stp>
        <stp>STK</stp>
        <stp>N005930</stp>
        <stp>시가총액</stp>
        <stp/>
        <stp/>
        <tr r="I9" s="1"/>
      </tp>
      <tp>
        <v>9425308560050</v>
        <stp/>
        <stp>P</stp>
        <stp>0</stp>
        <stp>STK</stp>
        <stp>N005940</stp>
        <stp>시가총액</stp>
        <stp/>
        <stp/>
        <tr r="I88" s="1"/>
      </tp>
      <tp>
        <v>558502545100</v>
        <stp/>
        <stp>P</stp>
        <stp>0</stp>
        <stp>STK</stp>
        <stp>N455900</stp>
        <stp>시가총액</stp>
        <stp/>
        <stp/>
        <tr r="I418" s="1"/>
      </tp>
      <tp>
        <v>1597805852400</v>
        <stp/>
        <stp>P</stp>
        <stp>0</stp>
        <stp>STK</stp>
        <stp>N195940</stp>
        <stp>시가총액</stp>
        <stp/>
        <stp/>
        <tr r="I265" s="1"/>
      </tp>
      <tp>
        <v>768013236960</v>
        <stp/>
        <stp>P</stp>
        <stp>0</stp>
        <stp>STK</stp>
        <stp>N025980</stp>
        <stp>시가총액</stp>
        <stp/>
        <stp/>
        <tr r="I376" s="1"/>
      </tp>
      <tp>
        <v>484732103000</v>
        <stp/>
        <stp>P</stp>
        <stp>0</stp>
        <stp>STK</stp>
        <stp>N145990</stp>
        <stp>시가총액</stp>
        <stp/>
        <stp/>
        <tr r="I495" s="1"/>
      </tp>
      <tp>
        <v>579575138400</v>
        <stp/>
        <stp>P</stp>
        <stp>0</stp>
        <stp>STK</stp>
        <stp>N005810</stp>
        <stp>시가총액</stp>
        <stp/>
        <stp/>
        <tr r="I449" s="1"/>
      </tp>
      <tp>
        <v>10046803200000</v>
        <stp/>
        <stp>P</stp>
        <stp>0</stp>
        <stp>STK</stp>
        <stp>N005830</stp>
        <stp>시가총액</stp>
        <stp/>
        <stp/>
        <tr r="I78" s="1"/>
      </tp>
      <tp>
        <v>2540734044000</v>
        <stp/>
        <stp>P</stp>
        <stp>0</stp>
        <stp>STK</stp>
        <stp>N005850</stp>
        <stp>시가총액</stp>
        <stp/>
        <stp/>
        <tr r="I147" s="1"/>
      </tp>
      <tp>
        <v>511001051000</v>
        <stp/>
        <stp>P</stp>
        <stp>0</stp>
        <stp>STK</stp>
        <stp>N105840</stp>
        <stp>시가총액</stp>
        <stp/>
        <stp/>
        <tr r="I454" s="1"/>
      </tp>
      <tp>
        <v>1098200000000</v>
        <stp/>
        <stp>P</stp>
        <stp>0</stp>
        <stp>STK</stp>
        <stp>N195870</stp>
        <stp>시가총액</stp>
        <stp/>
        <stp/>
        <tr r="I335" s="1"/>
      </tp>
      <tp>
        <v>2367409032000</v>
        <stp/>
        <stp>P</stp>
        <stp>0</stp>
        <stp>STK</stp>
        <stp>N475830</stp>
        <stp>시가총액</stp>
        <stp/>
        <stp/>
        <tr r="I200" s="1"/>
      </tp>
      <tp>
        <v>767030242660</v>
        <stp/>
        <stp>P</stp>
        <stp>0</stp>
        <stp>STK</stp>
        <stp>N032500</stp>
        <stp>시가총액</stp>
        <stp/>
        <stp/>
        <tr r="I416" s="1"/>
      </tp>
      <tp>
        <v>2862058252800</v>
        <stp/>
        <stp>P</stp>
        <stp>0</stp>
        <stp>STK</stp>
        <stp>N012510</stp>
        <stp>시가총액</stp>
        <stp/>
        <stp/>
        <tr r="I158" s="1"/>
      </tp>
      <tp>
        <v>568230543300</v>
        <stp/>
        <stp>P</stp>
        <stp>0</stp>
        <stp>STK</stp>
        <stp>N042520</stp>
        <stp>시가총액</stp>
        <stp/>
        <stp/>
        <tr r="I607" s="1"/>
      </tp>
      <tp>
        <v>856321510800</v>
        <stp/>
        <stp>P</stp>
        <stp>0</stp>
        <stp>STK</stp>
        <stp>N052400</stp>
        <stp>시가총액</stp>
        <stp/>
        <stp/>
        <tr r="I421" s="1"/>
      </tp>
      <tp>
        <v>967291432000</v>
        <stp/>
        <stp>P</stp>
        <stp>0</stp>
        <stp>STK</stp>
        <stp>N192400</stp>
        <stp>시가총액</stp>
        <stp/>
        <stp/>
        <tr r="I323" s="1"/>
      </tp>
      <tp>
        <v>68837140335000</v>
        <stp/>
        <stp>P</stp>
        <stp>0</stp>
        <stp>STK</stp>
        <stp>N012450</stp>
        <stp>시가총액</stp>
        <stp/>
        <stp/>
        <tr r="I15" s="1"/>
      </tp>
      <tp>
        <v>269990750400</v>
        <stp/>
        <stp>P</stp>
        <stp>0</stp>
        <stp>STK</stp>
        <stp>N092460</stp>
        <stp>시가총액</stp>
        <stp/>
        <stp/>
        <tr r="I643" s="1"/>
      </tp>
      <tp>
        <v>3917813314950</v>
        <stp/>
        <stp>P</stp>
        <stp>0</stp>
        <stp>STK</stp>
        <stp>N302440</stp>
        <stp>시가총액</stp>
        <stp/>
        <stp/>
        <tr r="I134" s="1"/>
      </tp>
      <tp>
        <v>313107552600</v>
        <stp/>
        <stp>P</stp>
        <stp>0</stp>
        <stp>STK</stp>
        <stp>N452430</stp>
        <stp>시가총액</stp>
        <stp/>
        <stp/>
        <tr r="I661" s="1"/>
      </tp>
      <tp>
        <v>502943346900</v>
        <stp/>
        <stp>P</stp>
        <stp>0</stp>
        <stp>STK</stp>
        <stp>N352480</stp>
        <stp>시가총액</stp>
        <stp/>
        <stp/>
        <tr r="I531" s="1"/>
      </tp>
      <tp>
        <v>811549084800</v>
        <stp/>
        <stp>P</stp>
        <stp>0</stp>
        <stp>STK</stp>
        <stp>N102710</stp>
        <stp>시가총액</stp>
        <stp/>
        <stp/>
        <tr r="I401" s="1"/>
      </tp>
      <tp>
        <v>19062440000000</v>
        <stp/>
        <stp>P</stp>
        <stp>0</stp>
        <stp>STK</stp>
        <stp>N042700</stp>
        <stp>시가총액</stp>
        <stp/>
        <stp/>
        <tr r="I54" s="1"/>
      </tp>
      <tp>
        <v>444584301120</v>
        <stp/>
        <stp>P</stp>
        <stp>0</stp>
        <stp>STK</stp>
        <stp>N002710</stp>
        <stp>시가총액</stp>
        <stp/>
        <stp/>
        <tr r="I570" s="1"/>
      </tp>
      <tp>
        <v>405342846000</v>
        <stp/>
        <stp>P</stp>
        <stp>0</stp>
        <stp>STK</stp>
        <stp>N072710</stp>
        <stp>시가총액</stp>
        <stp/>
        <stp/>
        <tr r="I539" s="1"/>
      </tp>
      <tp>
        <v>305653750230</v>
        <stp/>
        <stp>P</stp>
        <stp>0</stp>
        <stp>STK</stp>
        <stp>N092730</stp>
        <stp>시가총액</stp>
        <stp/>
        <stp/>
        <tr r="I648" s="1"/>
      </tp>
      <tp>
        <v>4514490382200</v>
        <stp/>
        <stp>P</stp>
        <stp>0</stp>
        <stp>STK</stp>
        <stp>N082740</stp>
        <stp>시가총액</stp>
        <stp/>
        <stp/>
        <tr r="I119" s="1"/>
      </tp>
      <tp>
        <v>3119732513800</v>
        <stp/>
        <stp>P</stp>
        <stp>0</stp>
        <stp>STK</stp>
        <stp>N012750</stp>
        <stp>시가총액</stp>
        <stp/>
        <stp/>
        <tr r="I156" s="1"/>
      </tp>
      <tp>
        <v>2252639403000</v>
        <stp/>
        <stp>P</stp>
        <stp>0</stp>
        <stp>STK</stp>
        <stp>N002790</stp>
        <stp>시가총액</stp>
        <stp/>
        <stp/>
        <tr r="I210" s="1"/>
      </tp>
      <tp>
        <v>284981920000</v>
        <stp/>
        <stp>P</stp>
        <stp>0</stp>
        <stp>STK</stp>
        <stp>N092790</stp>
        <stp>시가총액</stp>
        <stp/>
        <stp/>
        <tr r="I610" s="1"/>
      </tp>
      <tp>
        <v>1688964690150</v>
        <stp/>
        <stp>P</stp>
        <stp>0</stp>
        <stp>STK</stp>
        <stp>N112610</stp>
        <stp>시가총액</stp>
        <stp/>
        <stp/>
        <tr r="I240" s="1"/>
      </tp>
      <tp>
        <v>1133897864580</v>
        <stp/>
        <stp>P</stp>
        <stp>0</stp>
        <stp>STK</stp>
        <stp>N012630</stp>
        <stp>시가총액</stp>
        <stp/>
        <stp/>
        <tr r="I312" s="1"/>
      </tp>
      <tp>
        <v>6855762262250</v>
        <stp/>
        <stp>P</stp>
        <stp>0</stp>
        <stp>STK</stp>
        <stp>N032640</stp>
        <stp>시가총액</stp>
        <stp/>
        <stp/>
        <tr r="I99" s="1"/>
      </tp>
      <tp>
        <v>481438463550</v>
        <stp/>
        <stp>P</stp>
        <stp>0</stp>
        <stp>STK</stp>
        <stp>N122640</stp>
        <stp>시가총액</stp>
        <stp/>
        <stp/>
        <tr r="I544" s="1"/>
      </tp>
      <tp>
        <v>42928516499400</v>
        <stp/>
        <stp>P</stp>
        <stp>0</stp>
        <stp>STK</stp>
        <stp>N042660</stp>
        <stp>시가총액</stp>
        <stp/>
        <stp/>
        <tr r="I23" s="1"/>
      </tp>
      <tp>
        <v>4926558000000</v>
        <stp/>
        <stp>P</stp>
        <stp>0</stp>
        <stp>STK</stp>
        <stp>N052690</stp>
        <stp>시가총액</stp>
        <stp/>
        <stp/>
        <tr r="I107" s="1"/>
      </tp>
      <tp>
        <v>15054244645000</v>
        <stp/>
        <stp>P</stp>
        <stp>0</stp>
        <stp>STK</stp>
        <stp>N0126Z0</stp>
        <stp>시가총액</stp>
        <stp/>
        <stp/>
        <tr r="I60" s="1"/>
      </tp>
      <tp>
        <v>5815328384250</v>
        <stp/>
        <stp>P</stp>
        <stp>0</stp>
        <stp>STK</stp>
        <stp>N022100</stp>
        <stp>시가총액</stp>
        <stp/>
        <stp/>
        <tr r="I98" s="1"/>
      </tp>
      <tp>
        <v>290038394800</v>
        <stp/>
        <stp>P</stp>
        <stp>0</stp>
        <stp>STK</stp>
        <stp>N372170</stp>
        <stp>시가총액</stp>
        <stp/>
        <stp/>
        <tr r="I680" s="1"/>
      </tp>
      <tp>
        <v>1580193441000</v>
        <stp/>
        <stp>P</stp>
        <stp>0</stp>
        <stp>STK</stp>
        <stp>N232140</stp>
        <stp>시가총액</stp>
        <stp/>
        <stp/>
        <tr r="I283" s="1"/>
      </tp>
      <tp>
        <v>1022610000000</v>
        <stp/>
        <stp>P</stp>
        <stp>0</stp>
        <stp>STK</stp>
        <stp>N032190</stp>
        <stp>시가총액</stp>
        <stp/>
        <stp/>
        <tr r="I390" s="1"/>
      </tp>
      <tp>
        <v>892512387200</v>
        <stp/>
        <stp>P</stp>
        <stp>0</stp>
        <stp>STK</stp>
        <stp>N042000</stp>
        <stp>시가총액</stp>
        <stp/>
        <stp/>
        <tr r="I370" s="1"/>
      </tp>
      <tp>
        <v>771879264000</v>
        <stp/>
        <stp>P</stp>
        <stp>0</stp>
        <stp>STK</stp>
        <stp>N002020</stp>
        <stp>시가총액</stp>
        <stp/>
        <stp/>
        <tr r="I443" s="1"/>
      </tp>
      <tp>
        <v>587595141000</v>
        <stp/>
        <stp>P</stp>
        <stp>0</stp>
        <stp>STK</stp>
        <stp>N002030</stp>
        <stp>시가총액</stp>
        <stp/>
        <stp/>
        <tr r="I433" s="1"/>
      </tp>
      <tp>
        <v>584640000000</v>
        <stp/>
        <stp>P</stp>
        <stp>0</stp>
        <stp>STK</stp>
        <stp>N322000</stp>
        <stp>시가총액</stp>
        <stp/>
        <stp/>
        <tr r="I423" s="1"/>
      </tp>
      <tp>
        <v>4371018120000</v>
        <stp/>
        <stp>P</stp>
        <stp>0</stp>
        <stp>STK</stp>
        <stp>N062040</stp>
        <stp>시가총액</stp>
        <stp/>
        <stp/>
        <tr r="I122" s="1"/>
      </tp>
      <tp>
        <v>1057495245450</v>
        <stp/>
        <stp>P</stp>
        <stp>0</stp>
        <stp>STK</stp>
        <stp>N112040</stp>
        <stp>시가총액</stp>
        <stp/>
        <stp/>
        <tr r="I337" s="1"/>
      </tp>
      <tp>
        <v>280391731200</v>
        <stp/>
        <stp>P</stp>
        <stp>0</stp>
        <stp>STK</stp>
        <stp>N402030</stp>
        <stp>시가총액</stp>
        <stp/>
        <stp/>
        <tr r="I644" s="1"/>
      </tp>
      <tp>
        <v>1107372376400</v>
        <stp/>
        <stp>P</stp>
        <stp>0</stp>
        <stp>STK</stp>
        <stp>N192080</stp>
        <stp>시가총액</stp>
        <stp/>
        <stp/>
        <tr r="I301" s="1"/>
      </tp>
      <tp>
        <v>1053030728790</v>
        <stp/>
        <stp>P</stp>
        <stp>0</stp>
        <stp>STK</stp>
        <stp>N222080</stp>
        <stp>시가총액</stp>
        <stp/>
        <stp/>
        <tr r="I441" s="1"/>
      </tp>
      <tp>
        <v>670715474000</v>
        <stp/>
        <stp>P</stp>
        <stp>0</stp>
        <stp>STK</stp>
        <stp>N0120G0</stp>
        <stp>시가총액</stp>
        <stp/>
        <stp/>
        <tr r="I436" s="1"/>
      </tp>
      <tp>
        <v>71459129215000</v>
        <stp/>
        <stp>P</stp>
        <stp>0</stp>
        <stp>STK</stp>
        <stp>N402340</stp>
        <stp>시가총액</stp>
        <stp/>
        <stp/>
        <tr r="I18" s="1"/>
      </tp>
      <tp>
        <v>700530216600</v>
        <stp/>
        <stp>P</stp>
        <stp>0</stp>
        <stp>STK</stp>
        <stp>N372320</stp>
        <stp>시가총액</stp>
        <stp/>
        <stp/>
        <tr r="I403" s="1"/>
      </tp>
      <tp>
        <v>2065426767000</v>
        <stp/>
        <stp>P</stp>
        <stp>0</stp>
        <stp>STK</stp>
        <stp>N282330</stp>
        <stp>시가총액</stp>
        <stp/>
        <stp/>
        <tr r="I213" s="1"/>
      </tp>
      <tp>
        <v>301957898200</v>
        <stp/>
        <stp>P</stp>
        <stp>0</stp>
        <stp>STK</stp>
        <stp>N002320</stp>
        <stp>시가총액</stp>
        <stp/>
        <stp/>
        <tr r="I622" s="1"/>
      </tp>
      <tp>
        <v>41147226390500</v>
        <stp/>
        <stp>P</stp>
        <stp>0</stp>
        <stp>STK</stp>
        <stp>N012330</stp>
        <stp>시가총액</stp>
        <stp/>
        <stp/>
        <tr r="I22" s="1"/>
      </tp>
      <tp>
        <v>1992464074200</v>
        <stp/>
        <stp>P</stp>
        <stp>0</stp>
        <stp>STK</stp>
        <stp>N032350</stp>
        <stp>시가총액</stp>
        <stp/>
        <stp/>
        <tr r="I226" s="1"/>
      </tp>
      <tp>
        <v>4345484319000</v>
        <stp/>
        <stp>P</stp>
        <stp>0</stp>
        <stp>STK</stp>
        <stp>N002380</stp>
        <stp>시가총액</stp>
        <stp/>
        <stp/>
        <tr r="I130" s="1"/>
      </tp>
      <tp>
        <v>18400748488600</v>
        <stp/>
        <stp>P</stp>
        <stp>0</stp>
        <stp>STK</stp>
        <stp>N272210</stp>
        <stp>시가총액</stp>
        <stp/>
        <stp/>
        <tr r="I53" s="1"/>
      </tp>
      <tp>
        <v>321073096000</v>
        <stp/>
        <stp>P</stp>
        <stp>0</stp>
        <stp>STK</stp>
        <stp>N092230</stp>
        <stp>시가총액</stp>
        <stp/>
        <stp/>
        <tr r="I618" s="1"/>
      </tp>
      <tp>
        <v>576450000000</v>
        <stp/>
        <stp>P</stp>
        <stp>0</stp>
        <stp>STK</stp>
        <stp>N002240</stp>
        <stp>시가총액</stp>
        <stp/>
        <stp/>
        <tr r="I429" s="1"/>
      </tp>
      <tp>
        <v>1694411443300</v>
        <stp/>
        <stp>P</stp>
        <stp>0</stp>
        <stp>STK</stp>
        <stp>N082270</stp>
        <stp>시가총액</stp>
        <stp/>
        <stp/>
        <tr r="I316" s="1"/>
      </tp>
      <tp>
        <v>641670587600</v>
        <stp/>
        <stp>P</stp>
        <stp>0</stp>
        <stp>STK</stp>
        <stp>N272290</stp>
        <stp>시가총액</stp>
        <stp/>
        <stp/>
        <tr r="I472" s="1"/>
      </tp>
      <tp>
        <v>956662964700</v>
        <stp/>
        <stp>P</stp>
        <stp>0</stp>
        <stp>STK</stp>
        <stp>N082920</stp>
        <stp>시가총액</stp>
        <stp/>
        <stp/>
        <tr r="I331" s="1"/>
      </tp>
      <tp>
        <v>269400750000</v>
        <stp/>
        <stp>P</stp>
        <stp>0</stp>
        <stp>STK</stp>
        <stp>N382900</stp>
        <stp>시가총액</stp>
        <stp/>
        <stp/>
        <tr r="I654" s="1"/>
      </tp>
      <tp>
        <v>849624960000</v>
        <stp/>
        <stp>P</stp>
        <stp>0</stp>
        <stp>STK</stp>
        <stp>N102940</stp>
        <stp>시가총액</stp>
        <stp/>
        <stp/>
        <tr r="I427" s="1"/>
      </tp>
      <tp>
        <v>559000000000</v>
        <stp/>
        <stp>P</stp>
        <stp>0</stp>
        <stp>STK</stp>
        <stp>N002960</stp>
        <stp>시가총액</stp>
        <stp/>
        <stp/>
        <tr r="I445" s="1"/>
      </tp>
      <tp>
        <v>316154149760</v>
        <stp/>
        <stp>P</stp>
        <stp>0</stp>
        <stp>STK</stp>
        <stp>N002810</stp>
        <stp>시가총액</stp>
        <stp/>
        <stp/>
        <tr r="I619" s="1"/>
      </tp>
      <tp>
        <v>15704233807500</v>
        <stp/>
        <stp>P</stp>
        <stp>0</stp>
        <stp>STK</stp>
        <stp>N352820</stp>
        <stp>시가총액</stp>
        <stp/>
        <stp/>
        <tr r="I59" s="1"/>
      </tp>
      <tp>
        <v>328158416400</v>
        <stp/>
        <stp>P</stp>
        <stp>0</stp>
        <stp>STK</stp>
        <stp>N472850</stp>
        <stp>시가총액</stp>
        <stp/>
        <stp/>
        <tr r="I640" s="1"/>
      </tp>
      <tp>
        <v>2322685959600</v>
        <stp/>
        <stp>P</stp>
        <stp>0</stp>
        <stp>STK</stp>
        <stp>N222800</stp>
        <stp>시가총액</stp>
        <stp/>
        <stp/>
        <tr r="I223" s="1"/>
      </tp>
      <tp>
        <v>36780000000000</v>
        <stp/>
        <stp>P</stp>
        <stp>0</stp>
        <stp>STK</stp>
        <stp>N032830</stp>
        <stp>시가총액</stp>
        <stp/>
        <stp/>
        <tr r="I27" s="1"/>
      </tp>
      <tp>
        <v>1975208240000</v>
        <stp/>
        <stp>P</stp>
        <stp>0</stp>
        <stp>STK</stp>
        <stp>N462870</stp>
        <stp>시가총액</stp>
        <stp/>
        <stp/>
        <tr r="I217" s="1"/>
      </tp>
      <tp>
        <v>2255147438300</v>
        <stp/>
        <stp>P</stp>
        <stp>0</stp>
        <stp>STK</stp>
        <stp>N192820</stp>
        <stp>시가총액</stp>
        <stp/>
        <stp/>
        <tr r="I208" s="1"/>
      </tp>
      <tp>
        <v>664050000000</v>
        <stp/>
        <stp>P</stp>
        <stp>0</stp>
        <stp>STK</stp>
        <stp>N002840</stp>
        <stp>시가총액</stp>
        <stp/>
        <stp/>
        <tr r="I395" s="1"/>
      </tp>
      <tp>
        <v>1351362842700</v>
        <stp/>
        <stp>P</stp>
        <stp>0</stp>
        <stp>STK</stp>
        <stp>N122870</stp>
        <stp>시가총액</stp>
        <stp/>
        <stp/>
        <tr r="I273" s="1"/>
      </tp>
      <tp>
        <v>823211610300</v>
        <stp/>
        <stp>P</stp>
        <stp>0</stp>
        <stp>STK</stp>
        <stp>N033500</stp>
        <stp>시가총액</stp>
        <stp/>
        <stp/>
        <tr r="I347" s="1"/>
      </tp>
      <tp>
        <v>391475471840</v>
        <stp/>
        <stp>P</stp>
        <stp>0</stp>
        <stp>STK</stp>
        <stp>N403550</stp>
        <stp>시가총액</stp>
        <stp/>
        <stp/>
        <tr r="I540" s="1"/>
      </tp>
      <tp>
        <v>330000043600</v>
        <stp/>
        <stp>P</stp>
        <stp>0</stp>
        <stp>STK</stp>
        <stp>N093520</stp>
        <stp>시가총액</stp>
        <stp/>
        <stp/>
        <tr r="I630" s="1"/>
      </tp>
      <tp>
        <v>2390399797500</v>
        <stp/>
        <stp>P</stp>
        <stp>0</stp>
        <stp>STK</stp>
        <stp>N023530</stp>
        <stp>시가총액</stp>
        <stp/>
        <stp/>
        <tr r="I203" s="1"/>
      </tp>
      <tp>
        <v>1538434020000</v>
        <stp/>
        <stp>P</stp>
        <stp>0</stp>
        <stp>STK</stp>
        <stp>N003540</stp>
        <stp>시가총액</stp>
        <stp/>
        <stp/>
        <tr r="I262" s="1"/>
      </tp>
      <tp>
        <v>13879942650000</v>
        <stp/>
        <stp>P</stp>
        <stp>0</stp>
        <stp>STK</stp>
        <stp>N003550</stp>
        <stp>시가총액</stp>
        <stp/>
        <stp/>
        <tr r="I65" s="1"/>
      </tp>
      <tp>
        <v>1705863356100</v>
        <stp/>
        <stp>P</stp>
        <stp>0</stp>
        <stp>STK</stp>
        <stp>N003570</stp>
        <stp>시가총액</stp>
        <stp/>
        <stp/>
        <tr r="I237" s="1"/>
      </tp>
      <tp>
        <v>3090013272000</v>
        <stp/>
        <stp>P</stp>
        <stp>0</stp>
        <stp>STK</stp>
        <stp>N103590</stp>
        <stp>시가총액</stp>
        <stp/>
        <stp/>
        <tr r="I157" s="1"/>
      </tp>
      <tp>
        <v>2265764158500</v>
        <stp/>
        <stp>P</stp>
        <stp>0</stp>
        <stp>STK</stp>
        <stp>N023590</stp>
        <stp>시가총액</stp>
        <stp/>
        <stp/>
        <tr r="I225" s="1"/>
      </tp>
      <tp>
        <v>682165500200</v>
        <stp/>
        <stp>P</stp>
        <stp>0</stp>
        <stp>STK</stp>
        <stp>N253590</stp>
        <stp>시가총액</stp>
        <stp/>
        <stp/>
        <tr r="I477" s="1"/>
      </tp>
      <tp>
        <v>943584802000</v>
        <stp/>
        <stp>P</stp>
        <stp>0</stp>
        <stp>STK</stp>
        <stp>N213420</stp>
        <stp>시가총액</stp>
        <stp/>
        <stp/>
        <tr r="I338" s="1"/>
      </tp>
      <tp>
        <v>10756607904350</v>
        <stp/>
        <stp>P</stp>
        <stp>0</stp>
        <stp>STK</stp>
        <stp>N323410</stp>
        <stp>시가총액</stp>
        <stp/>
        <stp/>
        <tr r="I75" s="1"/>
      </tp>
      <tp>
        <v>525255000000</v>
        <stp/>
        <stp>P</stp>
        <stp>0</stp>
        <stp>STK</stp>
        <stp>N083450</stp>
        <stp>시가총액</stp>
        <stp/>
        <stp/>
        <tr r="I480" s="1"/>
      </tp>
      <tp>
        <v>1420264030500</v>
        <stp/>
        <stp>P</stp>
        <stp>0</stp>
        <stp>STK</stp>
        <stp>N253450</stp>
        <stp>시가총액</stp>
        <stp/>
        <stp/>
        <tr r="I264" s="1"/>
      </tp>
      <tp>
        <v>8469075203000</v>
        <stp/>
        <stp>P</stp>
        <stp>0</stp>
        <stp>STK</stp>
        <stp>N003490</stp>
        <stp>시가총액</stp>
        <stp/>
        <stp/>
        <tr r="I82" s="1"/>
      </tp>
      <tp>
        <v>1494054199040</v>
        <stp/>
        <stp>P</stp>
        <stp>0</stp>
        <stp>STK</stp>
        <stp>N293490</stp>
        <stp>시가총액</stp>
        <stp/>
        <stp/>
        <tr r="I276" s="1"/>
      </tp>
      <tp>
        <v>3623579022000</v>
        <stp/>
        <stp>P</stp>
        <stp>0</stp>
        <stp>STK</stp>
        <stp>N263750</stp>
        <stp>시가총액</stp>
        <stp/>
        <stp/>
        <tr r="I165" s="1"/>
      </tp>
      <tp>
        <v>18085819678500</v>
        <stp/>
        <stp>P</stp>
        <stp>0</stp>
        <stp>STK</stp>
        <stp>N033780</stp>
        <stp>시가총액</stp>
        <stp/>
        <stp/>
        <tr r="I52" s="1"/>
      </tp>
      <tp>
        <v>586300000000</v>
        <stp/>
        <stp>P</stp>
        <stp>0</stp>
        <stp>STK</stp>
        <stp>N053610</stp>
        <stp>시가총액</stp>
        <stp/>
        <stp/>
        <tr r="I541" s="1"/>
      </tp>
      <tp>
        <v>1986544199500</v>
        <stp/>
        <stp>P</stp>
        <stp>0</stp>
        <stp>STK</stp>
        <stp>N483650</stp>
        <stp>시가총액</stp>
        <stp/>
        <stp/>
        <tr r="I236" s="1"/>
      </tp>
      <tp>
        <v>425672868920</v>
        <stp/>
        <stp>P</stp>
        <stp>0</stp>
        <stp>STK</stp>
        <stp>N033640</stp>
        <stp>시가총액</stp>
        <stp/>
        <stp/>
        <tr r="I564" s="1"/>
      </tp>
      <tp>
        <v>2197050625000</v>
        <stp/>
        <stp>P</stp>
        <stp>0</stp>
        <stp>STK</stp>
        <stp>N083650</stp>
        <stp>시가총액</stp>
        <stp/>
        <stp/>
        <tr r="I215" s="1"/>
      </tp>
      <tp>
        <v>20502103710000</v>
        <stp/>
        <stp>P</stp>
        <stp>0</stp>
        <stp>STK</stp>
        <stp>N003670</stp>
        <stp>시가총액</stp>
        <stp/>
        <stp/>
        <tr r="I49" s="1"/>
      </tp>
      <tp>
        <v>2316422058590</v>
        <stp/>
        <stp>P</stp>
        <stp>0</stp>
        <stp>STK</stp>
        <stp>N003690</stp>
        <stp>시가총액</stp>
        <stp/>
        <stp/>
        <tr r="I199" s="1"/>
      </tp>
      <tp>
        <v>749311379850</v>
        <stp/>
        <stp>P</stp>
        <stp>0</stp>
        <stp>STK</stp>
        <stp>N033100</stp>
        <stp>시가총액</stp>
        <stp/>
        <stp/>
        <tr r="I406" s="1"/>
      </tp>
      <tp>
        <v>318535000000</v>
        <stp/>
        <stp>P</stp>
        <stp>0</stp>
        <stp>STK</stp>
        <stp>N003120</stp>
        <stp>시가총액</stp>
        <stp/>
        <stp/>
        <tr r="I633" s="1"/>
      </tp>
      <tp>
        <v>3556280878200</v>
        <stp/>
        <stp>P</stp>
        <stp>0</stp>
        <stp>STK</stp>
        <stp>N103140</stp>
        <stp>시가총액</stp>
        <stp/>
        <stp/>
        <tr r="I144" s="1"/>
      </tp>
      <tp>
        <v>300055971200</v>
        <stp/>
        <stp>P</stp>
        <stp>0</stp>
        <stp>STK</stp>
        <stp>N043150</stp>
        <stp>시가총액</stp>
        <stp/>
        <stp/>
        <tr r="I645" s="1"/>
      </tp>
      <tp>
        <v>940975000000</v>
        <stp/>
        <stp>P</stp>
        <stp>0</stp>
        <stp>STK</stp>
        <stp>N003160</stp>
        <stp>시가총액</stp>
        <stp/>
        <stp/>
        <tr r="I345" s="1"/>
      </tp>
      <tp>
        <v>723450000000</v>
        <stp/>
        <stp>P</stp>
        <stp>0</stp>
        <stp>STK</stp>
        <stp>N023160</stp>
        <stp>시가총액</stp>
        <stp/>
        <stp/>
        <tr r="I389" s="1"/>
      </tp>
      <tp>
        <v>460487895260</v>
        <stp/>
        <stp>P</stp>
        <stp>0</stp>
        <stp>STK</stp>
        <stp>N183190</stp>
        <stp>시가총액</stp>
        <stp/>
        <stp/>
        <tr r="I516" s="1"/>
      </tp>
      <tp>
        <v>8159302970000</v>
        <stp/>
        <stp>P</stp>
        <stp>0</stp>
        <stp>STK</stp>
        <stp>N443060</stp>
        <stp>시가총액</stp>
        <stp/>
        <stp/>
        <tr r="I86" s="1"/>
      </tp>
      <tp>
        <v>552082878100</v>
        <stp/>
        <stp>P</stp>
        <stp>0</stp>
        <stp>STK</stp>
        <stp>N003030</stp>
        <stp>시가총액</stp>
        <stp/>
        <stp/>
        <tr r="I469" s="1"/>
      </tp>
      <tp>
        <v>383641494400</v>
        <stp/>
        <stp>P</stp>
        <stp>0</stp>
        <stp>STK</stp>
        <stp>N013030</stp>
        <stp>시가총액</stp>
        <stp/>
        <stp/>
        <tr r="I558" s="1"/>
      </tp>
      <tp>
        <v>521966482360</v>
        <stp/>
        <stp>P</stp>
        <stp>0</stp>
        <stp>STK</stp>
        <stp>N053030</stp>
        <stp>시가총액</stp>
        <stp/>
        <stp/>
        <tr r="I509" s="1"/>
      </tp>
      <tp>
        <v>328841804250</v>
        <stp/>
        <stp>P</stp>
        <stp>0</stp>
        <stp>STK</stp>
        <stp>N243070</stp>
        <stp>시가총액</stp>
        <stp/>
        <stp/>
        <tr r="I614" s="1"/>
      </tp>
      <tp>
        <v>556144800000</v>
        <stp/>
        <stp>P</stp>
        <stp>0</stp>
        <stp>STK</stp>
        <stp>N093050</stp>
        <stp>시가총액</stp>
        <stp/>
        <stp/>
        <tr r="I471" s="1"/>
      </tp>
      <tp>
        <v>1375057827000</v>
        <stp/>
        <stp>P</stp>
        <stp>0</stp>
        <stp>STK</stp>
        <stp>N003090</stp>
        <stp>시가총액</stp>
        <stp/>
        <stp/>
        <tr r="I272" s="1"/>
      </tp>
      <tp>
        <v>482842963440</v>
        <stp/>
        <stp>P</stp>
        <stp>0</stp>
        <stp>STK</stp>
        <stp>N003300</stp>
        <stp>시가총액</stp>
        <stp/>
        <stp/>
        <tr r="I492" s="1"/>
      </tp>
      <tp>
        <v>500495026500</v>
        <stp/>
        <stp>P</stp>
        <stp>0</stp>
        <stp>STK</stp>
        <stp>N453340</stp>
        <stp>시가총액</stp>
        <stp/>
        <stp/>
        <tr r="I483" s="1"/>
      </tp>
      <tp>
        <v>1279341653200</v>
        <stp/>
        <stp>P</stp>
        <stp>0</stp>
        <stp>STK</stp>
        <stp>N183300</stp>
        <stp>시가총액</stp>
        <stp/>
        <stp/>
        <tr r="I306" s="1"/>
      </tp>
      <tp>
        <v>901922076000</v>
        <stp/>
        <stp>P</stp>
        <stp>0</stp>
        <stp>STK</stp>
        <stp>N383310</stp>
        <stp>시가총액</stp>
        <stp/>
        <stp/>
        <tr r="I479" s="1"/>
      </tp>
      <tp>
        <v>663680000000</v>
        <stp/>
        <stp>P</stp>
        <stp>0</stp>
        <stp>STK</stp>
        <stp>N093320</stp>
        <stp>시가총액</stp>
        <stp/>
        <stp/>
        <tr r="I432" s="1"/>
      </tp>
      <tp>
        <v>247590000000</v>
        <stp/>
        <stp>P</stp>
        <stp>0</stp>
        <stp>STK</stp>
        <stp>N043370</stp>
        <stp>시가총액</stp>
        <stp/>
        <stp/>
        <tr r="I653" s="1"/>
      </tp>
      <tp>
        <v>893436898900</v>
        <stp/>
        <stp>P</stp>
        <stp>0</stp>
        <stp>STK</stp>
        <stp>N093370</stp>
        <stp>시가총액</stp>
        <stp/>
        <stp/>
        <tr r="I358" s="1"/>
      </tp>
      <tp>
        <v>1639762291440</v>
        <stp/>
        <stp>P</stp>
        <stp>0</stp>
        <stp>STK</stp>
        <stp>N003380</stp>
        <stp>시가총액</stp>
        <stp/>
        <stp/>
        <tr r="I279" s="1"/>
      </tp>
      <tp>
        <v>307664000000</v>
        <stp/>
        <stp>P</stp>
        <stp>0</stp>
        <stp>STK</stp>
        <stp>N003200</stp>
        <stp>시가총액</stp>
        <stp/>
        <stp/>
        <tr r="I621" s="1"/>
      </tp>
      <tp>
        <v>92547000000000</v>
        <stp/>
        <stp>P</stp>
        <stp>0</stp>
        <stp>STK</stp>
        <stp>N373220</stp>
        <stp>시가총액</stp>
        <stp/>
        <stp/>
        <tr r="I12" s="1"/>
      </tp>
      <tp>
        <v>2796416475000</v>
        <stp/>
        <stp>P</stp>
        <stp>0</stp>
        <stp>STK</stp>
        <stp>N383220</stp>
        <stp>시가총액</stp>
        <stp/>
        <stp/>
        <tr r="I178" s="1"/>
      </tp>
      <tp>
        <v>254328791220</v>
        <stp/>
        <stp>P</stp>
        <stp>0</stp>
        <stp>STK</stp>
        <stp>N003220</stp>
        <stp>시가총액</stp>
        <stp/>
        <stp/>
        <tr r="I670" s="1"/>
      </tp>
      <tp>
        <v>8723231370000</v>
        <stp/>
        <stp>P</stp>
        <stp>0</stp>
        <stp>STK</stp>
        <stp>N003230</stp>
        <stp>시가총액</stp>
        <stp/>
        <stp/>
        <tr r="I80" s="1"/>
      </tp>
      <tp>
        <v>3103382890000</v>
        <stp/>
        <stp>P</stp>
        <stp>0</stp>
        <stp>STK</stp>
        <stp>N353200</stp>
        <stp>시가총액</stp>
        <stp/>
        <stp/>
        <tr r="I179" s="1"/>
      </tp>
      <tp>
        <v>1035462000000</v>
        <stp/>
        <stp>P</stp>
        <stp>0</stp>
        <stp>STK</stp>
        <stp>N003240</stp>
        <stp>시가총액</stp>
        <stp/>
        <stp/>
        <tr r="I344" s="1"/>
      </tp>
      <tp>
        <v>667928725200</v>
        <stp/>
        <stp>P</stp>
        <stp>0</stp>
        <stp>STK</stp>
        <stp>N033240</stp>
        <stp>시가총액</stp>
        <stp/>
        <stp/>
        <tr r="I464" s="1"/>
      </tp>
      <tp>
        <v>1717816516260</v>
        <stp/>
        <stp>P</stp>
        <stp>0</stp>
        <stp>STK</stp>
        <stp>N073240</stp>
        <stp>시가총액</stp>
        <stp/>
        <stp/>
        <tr r="I227" s="1"/>
      </tp>
      <tp>
        <v>308709235800</v>
        <stp/>
        <stp>P</stp>
        <stp>0</stp>
        <stp>STK</stp>
        <stp>N033270</stp>
        <stp>시가총액</stp>
        <stp/>
        <stp/>
        <tr r="I628" s="1"/>
      </tp>
      <tp>
        <v>2259810520000</v>
        <stp/>
        <stp>P</stp>
        <stp>0</stp>
        <stp>STK</stp>
        <stp>N323280</stp>
        <stp>시가총액</stp>
        <stp/>
        <stp/>
        <tr r="I258" s="1"/>
      </tp>
      <tp>
        <v>282600000000</v>
        <stp/>
        <stp>P</stp>
        <stp>0</stp>
        <stp>STK</stp>
        <stp>N003920</stp>
        <stp>시가총액</stp>
        <stp/>
        <stp/>
        <tr r="I620" s="1"/>
      </tp>
      <tp>
        <v>328087918600</v>
        <stp/>
        <stp>P</stp>
        <stp>0</stp>
        <stp>STK</stp>
        <stp>N003960</stp>
        <stp>시가총액</stp>
        <stp/>
        <stp/>
        <tr r="I601" s="1"/>
      </tp>
      <tp>
        <v>258188468700</v>
        <stp/>
        <stp>P</stp>
        <stp>0</stp>
        <stp>STK</stp>
        <stp>N473980</stp>
        <stp>시가총액</stp>
        <stp/>
        <stp/>
        <tr r="I649" s="1"/>
      </tp>
      <tp>
        <v>722110239400</v>
        <stp/>
        <stp>P</stp>
        <stp>0</stp>
        <stp>STK</stp>
        <stp>N053800</stp>
        <stp>시가총액</stp>
        <stp/>
        <stp/>
        <tr r="I404" s="1"/>
      </tp>
      <tp>
        <v>329355679500</v>
        <stp/>
        <stp>P</stp>
        <stp>0</stp>
        <stp>STK</stp>
        <stp>N403850</stp>
        <stp>시가총액</stp>
        <stp/>
        <stp/>
        <tr r="I581" s="1"/>
      </tp>
      <tp>
        <v>3796760224000</v>
        <stp/>
        <stp>P</stp>
        <stp>0</stp>
        <stp>STK</stp>
        <stp>N403870</stp>
        <stp>시가총액</stp>
        <stp/>
        <stp/>
        <tr r="I160" s="1"/>
      </tp>
      <tp>
        <v>654488320200</v>
        <stp/>
        <stp>P</stp>
        <stp>0</stp>
        <stp>STK</stp>
        <stp>N383800</stp>
        <stp>시가총액</stp>
        <stp/>
        <stp/>
        <tr r="I420" s="1"/>
      </tp>
      <tp>
        <v>783237199910</v>
        <stp/>
        <stp>P</stp>
        <stp>0</stp>
        <stp>STK</stp>
        <stp>N003850</stp>
        <stp>시가총액</stp>
        <stp/>
        <stp/>
        <tr r="I369" s="1"/>
      </tp>
      <tp>
        <v>270838189920</v>
        <stp/>
        <stp>P</stp>
        <stp>0</stp>
        <stp>STK</stp>
        <stp>N013890</stp>
        <stp>시가총액</stp>
        <stp/>
        <stp/>
        <tr r="I656" s="1"/>
      </tp>
      <tp>
        <v>1396238906000</v>
        <stp/>
        <stp>P</stp>
        <stp>0</stp>
        <stp>STK</stp>
        <stp>N000500</stp>
        <stp>시가총액</stp>
        <stp/>
        <stp/>
        <tr r="I252" s="1"/>
      </tp>
      <tp>
        <v>334980810450</v>
        <stp/>
        <stp>P</stp>
        <stp>0</stp>
        <stp>STK</stp>
        <stp>N190510</stp>
        <stp>시가총액</stp>
        <stp/>
        <stp/>
        <tr r="I582" s="1"/>
      </tp>
      <tp>
        <v>609329548800</v>
        <stp/>
        <stp>P</stp>
        <stp>0</stp>
        <stp>STK</stp>
        <stp>N030520</stp>
        <stp>시가총액</stp>
        <stp/>
        <stp/>
        <tr r="I457" s="1"/>
      </tp>
      <tp>
        <v>3232409504850</v>
        <stp/>
        <stp>P</stp>
        <stp>0</stp>
        <stp>STK</stp>
        <stp>N030530</stp>
        <stp>시가총액</stp>
        <stp/>
        <stp/>
        <tr r="I149" s="1"/>
      </tp>
      <tp>
        <v>455980800000</v>
        <stp/>
        <stp>P</stp>
        <stp>0</stp>
        <stp>STK</stp>
        <stp>N340570</stp>
        <stp>시가총액</stp>
        <stp/>
        <stp/>
        <tr r="I575" s="1"/>
      </tp>
      <tp>
        <v>1555229868050</v>
        <stp/>
        <stp>P</stp>
        <stp>0</stp>
        <stp>STK</stp>
        <stp>N020560</stp>
        <stp>시가총액</stp>
        <stp/>
        <stp/>
        <tr r="I246" s="1"/>
      </tp>
      <tp>
        <v>374116786450</v>
        <stp/>
        <stp>P</stp>
        <stp>0</stp>
        <stp>STK</stp>
        <stp>N380550</stp>
        <stp>시가총액</stp>
        <stp/>
        <stp/>
        <tr r="I663" s="1"/>
      </tp>
      <tp>
        <v>4879480979800</v>
        <stp/>
        <stp>P</stp>
        <stp>0</stp>
        <stp>STK</stp>
        <stp>N140410</stp>
        <stp>시가총액</stp>
        <stp/>
        <stp/>
        <tr r="I154" s="1"/>
      </tp>
      <tp>
        <v>8036905086600</v>
        <stp/>
        <stp>P</stp>
        <stp>0</stp>
        <stp>STK</stp>
        <stp>N090430</stp>
        <stp>시가총액</stp>
        <stp/>
        <stp/>
        <tr r="I93" s="1"/>
      </tp>
      <tp>
        <v>605796337860</v>
        <stp/>
        <stp>P</stp>
        <stp>0</stp>
        <stp>STK</stp>
        <stp>N090460</stp>
        <stp>시가총액</stp>
        <stp/>
        <stp/>
        <tr r="I458" s="1"/>
      </tp>
      <tp>
        <v>281926739700</v>
        <stp/>
        <stp>P</stp>
        <stp>0</stp>
        <stp>STK</stp>
        <stp>N000490</stp>
        <stp>시가총액</stp>
        <stp/>
        <stp/>
        <tr r="I631" s="1"/>
      </tp>
      <tp>
        <v>1247326744640</v>
        <stp/>
        <stp>P</stp>
        <stp>0</stp>
        <stp>STK</stp>
        <stp>N300720</stp>
        <stp>시가총액</stp>
        <stp/>
        <stp/>
        <tr r="I282" s="1"/>
      </tp>
      <tp>
        <v>11313745724000</v>
        <stp/>
        <stp>P</stp>
        <stp>0</stp>
        <stp>STK</stp>
        <stp>N000720</stp>
        <stp>시가총액</stp>
        <stp/>
        <stp/>
        <tr r="I68" s="1"/>
      </tp>
      <tp>
        <v>442531390980</v>
        <stp/>
        <stp>P</stp>
        <stp>0</stp>
        <stp>STK</stp>
        <stp>N060720</stp>
        <stp>시가총액</stp>
        <stp/>
        <stp/>
        <tr r="I573" s="1"/>
      </tp>
      <tp>
        <v>505374907200</v>
        <stp/>
        <stp>P</stp>
        <stp>0</stp>
        <stp>STK</stp>
        <stp>N200710</stp>
        <stp>시가총액</stp>
        <stp/>
        <stp/>
        <tr r="I494" s="1"/>
      </tp>
      <tp>
        <v>687026083600</v>
        <stp/>
        <stp>P</stp>
        <stp>0</stp>
        <stp>STK</stp>
        <stp>N420770</stp>
        <stp>시가총액</stp>
        <stp/>
        <stp/>
        <tr r="I387" s="1"/>
      </tp>
      <tp>
        <v>945087238860</v>
        <stp/>
        <stp>P</stp>
        <stp>0</stp>
        <stp>STK</stp>
        <stp>N100790</stp>
        <stp>시가총액</stp>
        <stp/>
        <stp/>
        <tr r="I393" s="1"/>
      </tp>
      <tp>
        <v>716940680000</v>
        <stp/>
        <stp>P</stp>
        <stp>0</stp>
        <stp>STK</stp>
        <stp>N010780</stp>
        <stp>시가총액</stp>
        <stp/>
        <stp/>
        <tr r="I398" s="1"/>
      </tp>
      <tp>
        <v>356546385600</v>
        <stp/>
        <stp>P</stp>
        <stp>0</stp>
        <stp>STK</stp>
        <stp>N0007C0</stp>
        <stp>시가총액</stp>
        <stp/>
        <stp/>
        <tr r="I688" s="1"/>
      </tp>
      <tp>
        <v>1331087384480</v>
        <stp/>
        <stp>P</stp>
        <stp>0</stp>
        <stp>STK</stp>
        <stp>N030610</stp>
        <stp>시가총액</stp>
        <stp/>
        <stp/>
        <tr r="I289" s="1"/>
      </tp>
      <tp>
        <v>699398438000</v>
        <stp/>
        <stp>P</stp>
        <stp>0</stp>
        <stp>STK</stp>
        <stp>N000640</stp>
        <stp>시가총액</stp>
        <stp/>
        <stp/>
        <tr r="I397" s="1"/>
      </tp>
      <tp>
        <v>329320628850</v>
        <stp/>
        <stp>P</stp>
        <stp>0</stp>
        <stp>STK</stp>
        <stp>N270660</stp>
        <stp>시가총액</stp>
        <stp/>
        <stp/>
        <tr r="I542" s="1"/>
      </tp>
      <tp>
        <v>482325493500</v>
        <stp/>
        <stp>P</stp>
        <stp>0</stp>
        <stp>STK</stp>
        <stp>N200670</stp>
        <stp>시가총액</stp>
        <stp/>
        <stp/>
        <tr r="I510" s="1"/>
      </tp>
      <tp>
        <v>7410612969000</v>
        <stp/>
        <stp>P</stp>
        <stp>0</stp>
        <stp>STK</stp>
        <stp>N180640</stp>
        <stp>시가총액</stp>
        <stp/>
        <stp/>
        <tr r="I83" s="1"/>
      </tp>
      <tp>
        <v>637730071740000</v>
        <stp/>
        <stp>P</stp>
        <stp>0</stp>
        <stp>STK</stp>
        <stp>N000660</stp>
        <stp>시가총액</stp>
        <stp/>
        <stp/>
        <tr r="I10" s="1"/>
      </tp>
      <tp>
        <v>1066599050000</v>
        <stp/>
        <stp>P</stp>
        <stp>0</stp>
        <stp>STK</stp>
        <stp>N000670</stp>
        <stp>시가총액</stp>
        <stp/>
        <stp/>
        <tr r="I324" s="1"/>
      </tp>
      <tp>
        <v>434558000000</v>
        <stp/>
        <stp>P</stp>
        <stp>0</stp>
        <stp>STK</stp>
        <stp>N130660</stp>
        <stp>시가총액</stp>
        <stp/>
        <stp/>
        <tr r="I521" s="1"/>
      </tp>
      <tp>
        <v>2198522575500</v>
        <stp/>
        <stp>P</stp>
        <stp>0</stp>
        <stp>STK</stp>
        <stp>N290650</stp>
        <stp>시가총액</stp>
        <stp/>
        <stp/>
        <tr r="I269" s="1"/>
      </tp>
      <tp>
        <v>317077322800</v>
        <stp/>
        <stp>P</stp>
        <stp>0</stp>
        <stp>STK</stp>
        <stp>N010690</stp>
        <stp>시가총액</stp>
        <stp/>
        <stp/>
        <tr r="I563" s="1"/>
      </tp>
      <tp>
        <v>8508641696800</v>
        <stp/>
        <stp>P</stp>
        <stp>0</stp>
        <stp>STK</stp>
        <stp>N000100</stp>
        <stp>시가총액</stp>
        <stp/>
        <stp/>
        <tr r="I87" s="1"/>
      </tp>
      <tp>
        <v>1419985095600</v>
        <stp/>
        <stp>P</stp>
        <stp>0</stp>
        <stp>STK</stp>
        <stp>N120110</stp>
        <stp>시가총액</stp>
        <stp/>
        <stp/>
        <tr r="I280" s="1"/>
      </tp>
      <tp>
        <v>422995724040</v>
        <stp/>
        <stp>P</stp>
        <stp>0</stp>
        <stp>STK</stp>
        <stp>N200130</stp>
        <stp>시가총액</stp>
        <stp/>
        <stp/>
        <tr r="I565" s="1"/>
      </tp>
      <tp>
        <v>2335984025600</v>
        <stp/>
        <stp>P</stp>
        <stp>0</stp>
        <stp>STK</stp>
        <stp>N000120</stp>
        <stp>시가총액</stp>
        <stp/>
        <stp/>
        <tr r="I197" s="1"/>
      </tp>
      <tp>
        <v>16410000000000</v>
        <stp/>
        <stp>P</stp>
        <stp>0</stp>
        <stp>STK</stp>
        <stp>N010120</stp>
        <stp>시가총액</stp>
        <stp/>
        <stp/>
        <tr r="I58" s="1"/>
      </tp>
      <tp>
        <v>574141952000</v>
        <stp/>
        <stp>P</stp>
        <stp>0</stp>
        <stp>STK</stp>
        <stp>N220100</stp>
        <stp>시가총액</stp>
        <stp/>
        <stp/>
        <tr r="I461" s="1"/>
      </tp>
      <tp>
        <v>35275317610000</v>
        <stp/>
        <stp>P</stp>
        <stp>0</stp>
        <stp>STK</stp>
        <stp>N010130</stp>
        <stp>시가총액</stp>
        <stp/>
        <stp/>
        <tr r="I28" s="1"/>
      </tp>
      <tp>
        <v>24948000000000</v>
        <stp/>
        <stp>P</stp>
        <stp>0</stp>
        <stp>STK</stp>
        <stp>N010140</stp>
        <stp>시가총액</stp>
        <stp/>
        <stp/>
        <tr r="I33" s="1"/>
      </tp>
      <tp>
        <v>13732372080000</v>
        <stp/>
        <stp>P</stp>
        <stp>0</stp>
        <stp>STK</stp>
        <stp>N000150</stp>
        <stp>시가총액</stp>
        <stp/>
        <stp/>
        <tr r="I64" s="1"/>
      </tp>
      <tp>
        <v>2052726149600</v>
        <stp/>
        <stp>P</stp>
        <stp>0</stp>
        <stp>STK</stp>
        <stp>N020150</stp>
        <stp>시가총액</stp>
        <stp/>
        <stp/>
        <tr r="I228" s="1"/>
      </tp>
      <tp>
        <v>2557526400000</v>
        <stp/>
        <stp>P</stp>
        <stp>0</stp>
        <stp>STK</stp>
        <stp>N160190</stp>
        <stp>시가총액</stp>
        <stp/>
        <stp/>
        <tr r="I193" s="1"/>
      </tp>
      <tp>
        <v>1013278264400</v>
        <stp/>
        <stp>P</stp>
        <stp>0</stp>
        <stp>STK</stp>
        <stp>N030190</stp>
        <stp>시가총액</stp>
        <stp/>
        <stp/>
        <tr r="I317" s="1"/>
      </tp>
      <tp>
        <v>419137113960</v>
        <stp/>
        <stp>P</stp>
        <stp>0</stp>
        <stp>STK</stp>
        <stp>N020000</stp>
        <stp>시가총액</stp>
        <stp/>
        <stp/>
        <tr r="I587" s="1"/>
      </tp>
      <tp>
        <v>2479138398750</v>
        <stp/>
        <stp>P</stp>
        <stp>0</stp>
        <stp>STK</stp>
        <stp>N030000</stp>
        <stp>시가총액</stp>
        <stp/>
        <stp/>
        <tr r="I187" s="1"/>
      </tp>
      <tp>
        <v>2113470262400</v>
        <stp/>
        <stp>P</stp>
        <stp>0</stp>
        <stp>STK</stp>
        <stp>N010060</stp>
        <stp>시가총액</stp>
        <stp/>
        <stp/>
        <tr r="I202" s="1"/>
      </tp>
      <tp>
        <v>468120417300</v>
        <stp/>
        <stp>P</stp>
        <stp>0</stp>
        <stp>STK</stp>
        <stp>N000070</stp>
        <stp>시가총액</stp>
        <stp/>
        <stp/>
        <tr r="I505" s="1"/>
      </tp>
      <tp>
        <v>1230143536940</v>
        <stp/>
        <stp>P</stp>
        <stp>0</stp>
        <stp>STK</stp>
        <stp>N000080</stp>
        <stp>시가총액</stp>
        <stp/>
        <stp/>
        <tr r="I277" s="1"/>
      </tp>
      <tp>
        <v>1111485914910</v>
        <stp/>
        <stp>P</stp>
        <stp>0</stp>
        <stp>STK</stp>
        <stp>N100090</stp>
        <stp>시가총액</stp>
        <stp/>
        <stp/>
        <tr r="I285" s="1"/>
      </tp>
      <tp>
        <v>260786125800</v>
        <stp/>
        <stp>P</stp>
        <stp>0</stp>
        <stp>STK</stp>
        <stp>N300080</stp>
        <stp>시가총액</stp>
        <stp/>
        <stp/>
        <tr r="I665" s="1"/>
      </tp>
      <tp>
        <v>4875609901400</v>
        <stp/>
        <stp>P</stp>
        <stp>0</stp>
        <stp>STK</stp>
        <stp>N450080</stp>
        <stp>시가총액</stp>
        <stp/>
        <stp/>
        <tr r="I124" s="1"/>
      </tp>
      <tp>
        <v>279778728550</v>
        <stp/>
        <stp>P</stp>
        <stp>0</stp>
        <stp>STK</stp>
        <stp>N000320</stp>
        <stp>시가총액</stp>
        <stp/>
        <stp/>
        <tr r="I657" s="1"/>
      </tp>
      <tp>
        <v>492880252200</v>
        <stp/>
        <stp>P</stp>
        <stp>0</stp>
        <stp>STK</stp>
        <stp>N230360</stp>
        <stp>시가총액</stp>
        <stp/>
        <stp/>
        <tr r="I485" s="1"/>
      </tp>
      <tp>
        <v>1102592019000</v>
        <stp/>
        <stp>P</stp>
        <stp>0</stp>
        <stp>STK</stp>
        <stp>N280360</stp>
        <stp>시가총액</stp>
        <stp/>
        <stp/>
        <tr r="I310" s="1"/>
      </tp>
      <tp>
        <v>873600000000</v>
        <stp/>
        <stp>P</stp>
        <stp>0</stp>
        <stp>STK</stp>
        <stp>N090360</stp>
        <stp>시가총액</stp>
        <stp/>
        <stp/>
        <tr r="I332" s="1"/>
      </tp>
      <tp>
        <v>1645523901000</v>
        <stp/>
        <stp>P</stp>
        <stp>0</stp>
        <stp>STK</stp>
        <stp>N060370</stp>
        <stp>시가총액</stp>
        <stp/>
        <stp/>
        <tr r="I256" s="1"/>
      </tp>
      <tp>
        <v>14289629539500</v>
        <stp/>
        <stp>P</stp>
        <stp>0</stp>
        <stp>STK</stp>
        <stp>N030200</stp>
        <stp>시가총액</stp>
        <stp/>
        <stp/>
        <tr r="I62" s="1"/>
      </tp>
      <tp>
        <v>900055217800</v>
        <stp/>
        <stp>P</stp>
        <stp>0</stp>
        <stp>STK</stp>
        <stp>N000210</stp>
        <stp>시가총액</stp>
        <stp/>
        <stp/>
        <tr r="I368" s="1"/>
      </tp>
      <tp>
        <v>4018984338500</v>
        <stp/>
        <stp>P</stp>
        <stp>0</stp>
        <stp>STK</stp>
        <stp>N310210</stp>
        <stp>시가총액</stp>
        <stp/>
        <stp/>
        <tr r="I148" s="1"/>
      </tp>
      <tp>
        <v>1432821852800</v>
        <stp/>
        <stp>P</stp>
        <stp>0</stp>
        <stp>STK</stp>
        <stp>N080220</stp>
        <stp>시가총액</stp>
        <stp/>
        <stp/>
        <tr r="I307" s="1"/>
      </tp>
      <tp>
        <v>2525277384000</v>
        <stp/>
        <stp>P</stp>
        <stp>0</stp>
        <stp>STK</stp>
        <stp>N000240</stp>
        <stp>시가총액</stp>
        <stp/>
        <stp/>
        <tr r="I174" s="1"/>
      </tp>
      <tp>
        <v>11212671616000</v>
        <stp/>
        <stp>P</stp>
        <stp>0</stp>
        <stp>STK</stp>
        <stp>N000250</stp>
        <stp>시가총액</stp>
        <stp/>
        <stp/>
        <tr r="I100" s="1"/>
      </tp>
      <tp>
        <v>931726175200</v>
        <stp/>
        <stp>P</stp>
        <stp>0</stp>
        <stp>STK</stp>
        <stp>N060250</stp>
        <stp>시가총액</stp>
        <stp/>
        <stp/>
        <tr r="I440" s="1"/>
      </tp>
      <tp>
        <v>60631138589400</v>
        <stp/>
        <stp>P</stp>
        <stp>0</stp>
        <stp>STK</stp>
        <stp>N000270</stp>
        <stp>시가총액</stp>
        <stp/>
        <stp/>
        <tr r="I14" s="1"/>
      </tp>
      <tp>
        <v>885489284500</v>
        <stp/>
        <stp>P</stp>
        <stp>0</stp>
        <stp>STK</stp>
        <stp>N060280</stp>
        <stp>시가총액</stp>
        <stp/>
        <stp/>
        <tr r="I349" s="1"/>
      </tp>
      <tp>
        <v>559230741720</v>
        <stp/>
        <stp>P</stp>
        <stp>0</stp>
        <stp>STK</stp>
        <stp>N450950</stp>
        <stp>시가총액</stp>
        <stp/>
        <stp/>
        <tr r="I501" s="1"/>
      </tp>
      <tp>
        <v>505043154000</v>
        <stp/>
        <stp>P</stp>
        <stp>0</stp>
        <stp>STK</stp>
        <stp>N170900</stp>
        <stp>시가총액</stp>
        <stp/>
        <stp/>
        <tr r="I499" s="1"/>
      </tp>
      <tp>
        <v>11539736180000</v>
        <stp/>
        <stp>P</stp>
        <stp>0</stp>
        <stp>STK</stp>
        <stp>N010950</stp>
        <stp>시가총액</stp>
        <stp/>
        <stp/>
        <tr r="I72" s="1"/>
      </tp>
      <tp>
        <v>625342916310</v>
        <stp/>
        <stp>P</stp>
        <stp>0</stp>
        <stp>STK</stp>
        <stp>N460930</stp>
        <stp>시가총액</stp>
        <stp/>
        <stp/>
        <tr r="I399" s="1"/>
      </tp>
      <tp>
        <v>422415000000</v>
        <stp/>
        <stp>P</stp>
        <stp>0</stp>
        <stp>STK</stp>
        <stp>N110990</stp>
        <stp>시가총액</stp>
        <stp/>
        <stp/>
        <tr r="I586" s="1"/>
      </tp>
      <tp>
        <v>415988486550</v>
        <stp/>
        <stp>P</stp>
        <stp>0</stp>
        <stp>STK</stp>
        <stp>N060980</stp>
        <stp>시가총액</stp>
        <stp/>
        <stp/>
        <tr r="I508" s="1"/>
      </tp>
      <tp>
        <v>4820308350400</v>
        <stp/>
        <stp>P</stp>
        <stp>0</stp>
        <stp>STK</stp>
        <stp>N000990</stp>
        <stp>시가총액</stp>
        <stp/>
        <stp/>
        <tr r="I128" s="1"/>
      </tp>
      <tp>
        <v>3401703068600</v>
        <stp/>
        <stp>P</stp>
        <stp>0</stp>
        <stp>STK</stp>
        <stp>N0009K0</stp>
        <stp>시가총액</stp>
        <stp/>
        <stp/>
        <tr r="I146" s="1"/>
      </tp>
      <tp>
        <v>22637488260000</v>
        <stp/>
        <stp>P</stp>
        <stp>0</stp>
        <stp>STK</stp>
        <stp>N000810</stp>
        <stp>시가총액</stp>
        <stp/>
        <stp/>
        <tr r="I38" s="1"/>
      </tp>
      <tp>
        <v>421668144500</v>
        <stp/>
        <stp>P</stp>
        <stp>0</stp>
        <stp>STK</stp>
        <stp>N460860</stp>
        <stp>시가총액</stp>
        <stp/>
        <stp/>
        <tr r="I536" s="1"/>
      </tp>
      <tp>
        <v>5615198274400</v>
        <stp/>
        <stp>P</stp>
        <stp>0</stp>
        <stp>STK</stp>
        <stp>N240810</stp>
        <stp>시가총액</stp>
        <stp/>
        <stp/>
        <tr r="I133" s="1"/>
      </tp>
      <tp>
        <v>868592886000</v>
        <stp/>
        <stp>P</stp>
        <stp>0</stp>
        <stp>STK</stp>
        <stp>N100840</stp>
        <stp>시가총액</stp>
        <stp/>
        <stp/>
        <tr r="I350" s="1"/>
      </tp>
      <tp>
        <v>2032476568500</v>
        <stp/>
        <stp>P</stp>
        <stp>0</stp>
        <stp>STK</stp>
        <stp>N140860</stp>
        <stp>시가총액</stp>
        <stp/>
        <stp/>
        <tr r="I241" s="1"/>
      </tp>
      <tp>
        <v>8590271031000</v>
        <stp/>
        <stp>P</stp>
        <stp>0</stp>
        <stp>STK</stp>
        <stp>N000880</stp>
        <stp>시가총액</stp>
        <stp/>
        <stp/>
        <tr r="I79" s="1"/>
      </tp>
      <tp>
        <v>512177581620</v>
        <stp/>
        <stp>P</stp>
        <stp>0</stp>
        <stp>STK</stp>
        <stp>N050890</stp>
        <stp>시가총액</stp>
        <stp/>
        <stp/>
        <tr r="I496" s="1"/>
      </tp>
      <tp>
        <v>411102526770</v>
        <stp/>
        <stp>P</stp>
        <stp>0</stp>
        <stp>STK</stp>
        <stp>N200880</stp>
        <stp>시가총액</stp>
        <stp/>
        <stp/>
        <tr r="I506" s="1"/>
      </tp>
      <tp>
        <v>308103814600</v>
        <stp/>
        <stp>P</stp>
        <stp>0</stp>
        <stp>STK</stp>
        <stp>N0008Z0</stp>
        <stp>시가총액</stp>
        <stp/>
        <stp/>
        <tr r="I613" s="1"/>
      </tp>
      <tp>
        <v>573192317880</v>
        <stp/>
        <stp>P</stp>
        <stp>0</stp>
        <stp>STK</stp>
        <stp>N001500</stp>
        <stp>시가총액</stp>
        <stp/>
        <stp/>
        <tr r="I462" s="1"/>
      </tp>
      <tp>
        <v>414381613000</v>
        <stp/>
        <stp>P</stp>
        <stp>0</stp>
        <stp>STK</stp>
        <stp>N011500</stp>
        <stp>시가총액</stp>
        <stp/>
        <stp/>
        <tr r="I634" s="1"/>
      </tp>
      <tp>
        <v>332404408000</v>
        <stp/>
        <stp>P</stp>
        <stp>0</stp>
        <stp>STK</stp>
        <stp>N051500</stp>
        <stp>시가총액</stp>
        <stp/>
        <stp/>
        <tr r="I608" s="1"/>
      </tp>
      <tp>
        <v>2568784218000</v>
        <stp/>
        <stp>P</stp>
        <stp>0</stp>
        <stp>STK</stp>
        <stp>N041510</stp>
        <stp>시가총액</stp>
        <stp/>
        <stp/>
        <tr r="I180" s="1"/>
      </tp>
      <tp>
        <v>390639744000</v>
        <stp/>
        <stp>P</stp>
        <stp>0</stp>
        <stp>STK</stp>
        <stp>N001530</stp>
        <stp>시가총액</stp>
        <stp/>
        <stp/>
        <tr r="I549" s="1"/>
      </tp>
      <tp>
        <v>5693850261000</v>
        <stp/>
        <stp>P</stp>
        <stp>0</stp>
        <stp>STK</stp>
        <stp>N241560</stp>
        <stp>시가총액</stp>
        <stp/>
        <stp/>
        <tr r="I103" s="1"/>
      </tp>
      <tp>
        <v>4665263576000</v>
        <stp/>
        <stp>P</stp>
        <stp>0</stp>
        <stp>STK</stp>
        <stp>N271560</stp>
        <stp>시가총액</stp>
        <stp/>
        <stp/>
        <tr r="I117" s="1"/>
      </tp>
      <tp>
        <v>1329276029600</v>
        <stp/>
        <stp>P</stp>
        <stp>0</stp>
        <stp>STK</stp>
        <stp>N161580</stp>
        <stp>시가총액</stp>
        <stp/>
        <stp/>
        <tr r="I314" s="1"/>
      </tp>
      <tp>
        <v>2607176051300</v>
        <stp/>
        <stp>P</stp>
        <stp>0</stp>
        <stp>STK</stp>
        <stp>N001430</stp>
        <stp>시가총액</stp>
        <stp/>
        <stp/>
        <tr r="I166" s="1"/>
      </tp>
      <tp>
        <v>423409140000</v>
        <stp/>
        <stp>P</stp>
        <stp>0</stp>
        <stp>STK</stp>
        <stp>N031430</stp>
        <stp>시가총액</stp>
        <stp/>
        <stp/>
        <tr r="I550" s="1"/>
      </tp>
      <tp>
        <v>5257813860000</v>
        <stp/>
        <stp>P</stp>
        <stp>0</stp>
        <stp>STK</stp>
        <stp>N001440</stp>
        <stp>시가총액</stp>
        <stp/>
        <stp/>
        <tr r="I110" s="1"/>
      </tp>
      <tp>
        <v>2498730000000</v>
        <stp/>
        <stp>P</stp>
        <stp>0</stp>
        <stp>STK</stp>
        <stp>N001450</stp>
        <stp>시가총액</stp>
        <stp/>
        <stp/>
        <tr r="I183" s="1"/>
      </tp>
      <tp>
        <v>262650607500</v>
        <stp/>
        <stp>P</stp>
        <stp>0</stp>
        <stp>STK</stp>
        <stp>N001460</stp>
        <stp>시가총액</stp>
        <stp/>
        <stp/>
        <tr r="I660" s="1"/>
      </tp>
      <tp>
        <v>1881736327800</v>
        <stp/>
        <stp>P</stp>
        <stp>0</stp>
        <stp>STK</stp>
        <stp>N101490</stp>
        <stp>시가총액</stp>
        <stp/>
        <stp/>
        <tr r="I257" s="1"/>
      </tp>
      <tp>
        <v>1031723878500</v>
        <stp/>
        <stp>P</stp>
        <stp>0</stp>
        <stp>STK</stp>
        <stp>N181710</stp>
        <stp>시가총액</stp>
        <stp/>
        <stp/>
        <tr r="I319" s="1"/>
      </tp>
      <tp>
        <v>2865492000000</v>
        <stp/>
        <stp>P</stp>
        <stp>0</stp>
        <stp>STK</stp>
        <stp>N001720</stp>
        <stp>시가총액</stp>
        <stp/>
        <stp/>
        <tr r="I184" s="1"/>
      </tp>
      <tp>
        <v>600869560620</v>
        <stp/>
        <stp>P</stp>
        <stp>0</stp>
        <stp>STK</stp>
        <stp>N101730</stp>
        <stp>시가총액</stp>
        <stp/>
        <stp/>
        <tr r="I475" s="1"/>
      </tp>
      <tp>
        <v>1002852000000</v>
        <stp/>
        <stp>P</stp>
        <stp>0</stp>
        <stp>STK</stp>
        <stp>N241710</stp>
        <stp>시가총액</stp>
        <stp/>
        <stp/>
        <tr r="I360" s="1"/>
      </tp>
      <tp>
        <v>252788685240</v>
        <stp/>
        <stp>P</stp>
        <stp>0</stp>
        <stp>STK</stp>
        <stp>N001750</stp>
        <stp>시가총액</stp>
        <stp/>
        <stp/>
        <tr r="I685" s="1"/>
      </tp>
      <tp>
        <v>253796736000</v>
        <stp/>
        <stp>P</stp>
        <stp>0</stp>
        <stp>STK</stp>
        <stp>N241770</stp>
        <stp>시가총액</stp>
        <stp/>
        <stp/>
        <tr r="I686" s="1"/>
      </tp>
      <tp>
        <v>296990286700</v>
        <stp/>
        <stp>P</stp>
        <stp>0</stp>
        <stp>STK</stp>
        <stp>N011760</stp>
        <stp>시가총액</stp>
        <stp/>
        <stp/>
        <tr r="I639" s="1"/>
      </tp>
      <tp>
        <v>3868391156400</v>
        <stp/>
        <stp>P</stp>
        <stp>0</stp>
        <stp>STK</stp>
        <stp>N111770</stp>
        <stp>시가총액</stp>
        <stp/>
        <stp/>
        <tr r="I138" s="1"/>
      </tp>
      <tp>
        <v>1801017015200</v>
        <stp/>
        <stp>P</stp>
        <stp>0</stp>
        <stp>STK</stp>
        <stp>N281740</stp>
        <stp>시가총액</stp>
        <stp/>
        <stp/>
        <tr r="I291" s="1"/>
      </tp>
      <tp>
        <v>3735554977000</v>
        <stp/>
        <stp>P</stp>
        <stp>0</stp>
        <stp>STK</stp>
        <stp>N011780</stp>
        <stp>시가총액</stp>
        <stp/>
        <stp/>
        <tr r="I136" s="1"/>
      </tp>
      <tp>
        <v>4544195760000</v>
        <stp/>
        <stp>P</stp>
        <stp>0</stp>
        <stp>STK</stp>
        <stp>N011790</stp>
        <stp>시가총액</stp>
        <stp/>
        <stp/>
        <tr r="I126" s="1"/>
      </tp>
      <tp>
        <v>2493000000000</v>
        <stp/>
        <stp>P</stp>
        <stp>0</stp>
        <stp>STK</stp>
        <stp>N051600</stp>
        <stp>시가총액</stp>
        <stp/>
        <stp/>
        <tr r="I169" s="1"/>
      </tp>
      <tp>
        <v>877984632900</v>
        <stp/>
        <stp>P</stp>
        <stp>0</stp>
        <stp>STK</stp>
        <stp>N121600</stp>
        <stp>시가총액</stp>
        <stp/>
        <stp/>
        <tr r="I419" s="1"/>
      </tp>
      <tp>
        <v>2232787830000</v>
        <stp/>
        <stp>P</stp>
        <stp>0</stp>
        <stp>STK</stp>
        <stp>N361610</stp>
        <stp>시가총액</stp>
        <stp/>
        <stp/>
        <tr r="I214" s="1"/>
      </tp>
      <tp>
        <v>248739598650</v>
        <stp/>
        <stp>P</stp>
        <stp>0</stp>
        <stp>STK</stp>
        <stp>N001630</stp>
        <stp>시가총액</stp>
        <stp/>
        <stp/>
        <tr r="I684" s="1"/>
      </tp>
      <tp>
        <v>2460806784000</v>
        <stp/>
        <stp>P</stp>
        <stp>0</stp>
        <stp>STK</stp>
        <stp>N081660</stp>
        <stp>시가총액</stp>
        <stp/>
        <stp/>
        <tr r="I192" s="1"/>
      </tp>
      <tp>
        <v>748397340000</v>
        <stp/>
        <stp>P</stp>
        <stp>0</stp>
        <stp>STK</stp>
        <stp>N001680</stp>
        <stp>시가총액</stp>
        <stp/>
        <stp/>
        <tr r="I374" s="1"/>
      </tp>
      <tp>
        <v>1459314000000</v>
        <stp/>
        <stp>P</stp>
        <stp>0</stp>
        <stp>STK</stp>
        <stp>N001120</stp>
        <stp>시가총액</stp>
        <stp/>
        <stp/>
        <tr r="I260" s="1"/>
      </tp>
      <tp>
        <v>243360000000</v>
        <stp/>
        <stp>P</stp>
        <stp>0</stp>
        <stp>STK</stp>
        <stp>N001130</stp>
        <stp>시가총액</stp>
        <stp/>
        <stp/>
        <tr r="I683" s="1"/>
      </tp>
      <tp>
        <v>419379222200</v>
        <stp/>
        <stp>P</stp>
        <stp>0</stp>
        <stp>STK</stp>
        <stp>N101160</stp>
        <stp>시가총액</stp>
        <stp/>
        <stp/>
        <tr r="I561" s="1"/>
      </tp>
      <tp>
        <v>3451976313300</v>
        <stp/>
        <stp>P</stp>
        <stp>0</stp>
        <stp>STK</stp>
        <stp>N011170</stp>
        <stp>시가총액</stp>
        <stp/>
        <stp/>
        <tr r="I152" s="1"/>
      </tp>
      <tp>
        <v>678720000000</v>
        <stp/>
        <stp>P</stp>
        <stp>0</stp>
        <stp>STK</stp>
        <stp>N041190</stp>
        <stp>시가총액</stp>
        <stp/>
        <stp/>
        <tr r="I428" s="1"/>
      </tp>
      <tp>
        <v>491351960900</v>
        <stp/>
        <stp>P</stp>
        <stp>0</stp>
        <stp>STK</stp>
        <stp>N161000</stp>
        <stp>시가총액</stp>
        <stp/>
        <stp/>
        <tr r="I524" s="1"/>
      </tp>
      <tp>
        <v>389400000000</v>
        <stp/>
        <stp>P</stp>
        <stp>0</stp>
        <stp>STK</stp>
        <stp>N481070</stp>
        <stp>시가총액</stp>
        <stp/>
        <stp/>
        <tr r="I591" s="1"/>
      </tp>
      <tp>
        <v>6491882055000</v>
        <stp/>
        <stp>P</stp>
        <stp>0</stp>
        <stp>STK</stp>
        <stp>N001040</stp>
        <stp>시가총액</stp>
        <stp/>
        <stp/>
        <tr r="I105" s="1"/>
      </tp>
      <tp>
        <v>11646732328000</v>
        <stp/>
        <stp>P</stp>
        <stp>0</stp>
        <stp>STK</stp>
        <stp>N071050</stp>
        <stp>시가총액</stp>
        <stp/>
        <stp/>
        <tr r="I73" s="1"/>
      </tp>
      <tp>
        <v>720699533500</v>
        <stp/>
        <stp>P</stp>
        <stp>0</stp>
        <stp>STK</stp>
        <stp>N001060</stp>
        <stp>시가총액</stp>
        <stp/>
        <stp/>
        <tr r="I410" s="1"/>
      </tp>
      <tp>
        <v>5691939233500</v>
        <stp/>
        <stp>P</stp>
        <stp>0</stp>
        <stp>STK</stp>
        <stp>N011070</stp>
        <stp>시가총액</stp>
        <stp/>
        <stp/>
        <tr r="I97" s="1"/>
      </tp>
      <tp>
        <v>735999035580</v>
        <stp/>
        <stp>P</stp>
        <stp>0</stp>
        <stp>STK</stp>
        <stp>N211050</stp>
        <stp>시가총액</stp>
        <stp/>
        <stp/>
        <tr r="I424" s="1"/>
      </tp>
      <tp>
        <v>631317178800</v>
        <stp/>
        <stp>P</stp>
        <stp>0</stp>
        <stp>STK</stp>
        <stp>N171090</stp>
        <stp>시가총액</stp>
        <stp/>
        <stp/>
        <tr r="I459" s="1"/>
      </tp>
      <tp>
        <v>7307423464800</v>
        <stp/>
        <stp>P</stp>
        <stp>0</stp>
        <stp>STK</stp>
        <stp>N141080</stp>
        <stp>시가총액</stp>
        <stp/>
        <stp/>
        <tr r="I108" s="1"/>
      </tp>
      <tp>
        <v>256380141600</v>
        <stp/>
        <stp>P</stp>
        <stp>0</stp>
        <stp>STK</stp>
        <stp>N061090</stp>
        <stp>시가총액</stp>
        <stp/>
        <stp/>
        <tr r="I682" s="1"/>
      </tp>
      <tp>
        <v>1148611404800</v>
        <stp/>
        <stp>P</stp>
        <stp>0</stp>
        <stp>STK</stp>
        <stp>N071320</stp>
        <stp>시가총액</stp>
        <stp/>
        <stp/>
        <tr r="I274" s="1"/>
      </tp>
      <tp>
        <v>230524038520</v>
        <stp/>
        <stp>P</stp>
        <stp>0</stp>
        <stp>STK</stp>
        <stp>N051360</stp>
        <stp>시가총액</stp>
        <stp/>
        <stp/>
        <tr r="I675" s="1"/>
      </tp>
      <tp>
        <v>401076870700</v>
        <stp/>
        <stp>P</stp>
        <stp>0</stp>
        <stp>STK</stp>
        <stp>N101360</stp>
        <stp>시가총액</stp>
        <stp/>
        <stp/>
        <tr r="I600" s="1"/>
      </tp>
      <tp>
        <v>7977554443600</v>
        <stp/>
        <stp>P</stp>
        <stp>0</stp>
        <stp>STK</stp>
        <stp>N161390</stp>
        <stp>시가총액</stp>
        <stp/>
        <stp/>
        <tr r="I84" s="1"/>
      </tp>
      <tp>
        <v>18685544185700</v>
        <stp/>
        <stp>P</stp>
        <stp>0</stp>
        <stp>STK</stp>
        <stp>N011200</stp>
        <stp>시가총액</stp>
        <stp/>
        <stp/>
        <tr r="I46" s="1"/>
      </tp>
      <tp>
        <v>2306143038400</v>
        <stp/>
        <stp>P</stp>
        <stp>0</stp>
        <stp>STK</stp>
        <stp>N011210</stp>
        <stp>시가총액</stp>
        <stp/>
        <stp/>
        <tr r="I167" s="1"/>
      </tp>
      <tp>
        <v>3470133420600</v>
        <stp/>
        <stp>P</stp>
        <stp>0</stp>
        <stp>STK</stp>
        <stp>N031210</stp>
        <stp>시가총액</stp>
        <stp/>
        <stp/>
        <tr r="I143" s="1"/>
      </tp>
      <tp>
        <v>368236719900</v>
        <stp/>
        <stp>P</stp>
        <stp>0</stp>
        <stp>STK</stp>
        <stp>N441270</stp>
        <stp>시가총액</stp>
        <stp/>
        <stp/>
        <tr r="I572" s="1"/>
      </tp>
      <tp>
        <v>5860594339500</v>
        <stp/>
        <stp>P</stp>
        <stp>0</stp>
        <stp>STK</stp>
        <stp>N021240</stp>
        <stp>시가총액</stp>
        <stp/>
        <stp/>
        <tr r="I106" s="1"/>
      </tp>
      <tp>
        <v>4435200703200</v>
        <stp/>
        <stp>P</stp>
        <stp>0</stp>
        <stp>STK</stp>
        <stp>N251270</stp>
        <stp>시가총액</stp>
        <stp/>
        <stp/>
        <tr r="I123" s="1"/>
      </tp>
      <tp>
        <v>757001678000</v>
        <stp/>
        <stp>P</stp>
        <stp>0</stp>
        <stp>STK</stp>
        <stp>N001270</stp>
        <stp>시가총액</stp>
        <stp/>
        <stp/>
        <tr r="I415" s="1"/>
      </tp>
      <tp>
        <v>879383605500</v>
        <stp/>
        <stp>P</stp>
        <stp>0</stp>
        <stp>STK</stp>
        <stp>N131290</stp>
        <stp>시가총액</stp>
        <stp/>
        <stp/>
        <tr r="I346" s="1"/>
      </tp>
      <tp>
        <v>3963336881000</v>
        <stp/>
        <stp>P</stp>
        <stp>0</stp>
        <stp>STK</stp>
        <stp>N051900</stp>
        <stp>시가총액</stp>
        <stp/>
        <stp/>
        <tr r="I127" s="1"/>
      </tp>
      <tp>
        <v>21848330158500</v>
        <stp/>
        <stp>P</stp>
        <stp>0</stp>
        <stp>STK</stp>
        <stp>N051910</stp>
        <stp>시가총액</stp>
        <stp/>
        <stp/>
        <tr r="I36" s="1"/>
      </tp>
      <tp>
        <v>392397485000</v>
        <stp/>
        <stp>P</stp>
        <stp>0</stp>
        <stp>STK</stp>
        <stp>N101930</stp>
        <stp>시가총액</stp>
        <stp/>
        <stp/>
        <tr r="I525" s="1"/>
      </tp>
      <tp>
        <v>335271387000</v>
        <stp/>
        <stp>P</stp>
        <stp>0</stp>
        <stp>STK</stp>
        <stp>N001940</stp>
        <stp>시가총액</stp>
        <stp/>
        <stp/>
        <tr r="I554" s="1"/>
      </tp>
      <tp>
        <v>747447182880</v>
        <stp/>
        <stp>P</stp>
        <stp>0</stp>
        <stp>STK</stp>
        <stp>N381970</stp>
        <stp>시가총액</stp>
        <stp/>
        <stp/>
        <tr r="I379" s="1"/>
      </tp>
      <tp>
        <v>781200000000</v>
        <stp/>
        <stp>P</stp>
        <stp>0</stp>
        <stp>STK</stp>
        <stp>N251970</stp>
        <stp>시가총액</stp>
        <stp/>
        <stp/>
        <tr r="I396" s="1"/>
      </tp>
      <tp>
        <v>1271732260400</v>
        <stp/>
        <stp>P</stp>
        <stp>0</stp>
        <stp>STK</stp>
        <stp>N131970</stp>
        <stp>시가총액</stp>
        <stp/>
        <stp/>
        <tr r="I311" s="1"/>
      </tp>
      <tp>
        <v>502574549600</v>
        <stp/>
        <stp>P</stp>
        <stp>0</stp>
        <stp>STK</stp>
        <stp>N271940</stp>
        <stp>시가총액</stp>
        <stp/>
        <stp/>
        <tr r="I484" s="1"/>
      </tp>
      <tp>
        <v>2944385766000</v>
        <stp/>
        <stp>P</stp>
        <stp>0</stp>
        <stp>STK</stp>
        <stp>N071970</stp>
        <stp>시가총액</stp>
        <stp/>
        <stp/>
        <tr r="I151" s="1"/>
      </tp>
      <tp>
        <v>1699116726000</v>
        <stp/>
        <stp>P</stp>
        <stp>0</stp>
        <stp>STK</stp>
        <stp>N031980</stp>
        <stp>시가총액</stp>
        <stp/>
        <stp/>
        <tr r="I261" s="1"/>
      </tp>
      <tp>
        <v>1303024777600</v>
        <stp/>
        <stp>P</stp>
        <stp>0</stp>
        <stp>STK</stp>
        <stp>N001800</stp>
        <stp>시가총액</stp>
        <stp/>
        <stp/>
        <tr r="I270" s="1"/>
      </tp>
      <tp>
        <v>950720341850</v>
        <stp/>
        <stp>P</stp>
        <stp>0</stp>
        <stp>STK</stp>
        <stp>N281820</stp>
        <stp>시가총액</stp>
        <stp/>
        <stp/>
        <tr r="I353" s="1"/>
      </tp>
      <tp>
        <v>329521500000</v>
        <stp/>
        <stp>P</stp>
        <stp>0</stp>
        <stp>STK</stp>
        <stp>N001820</stp>
        <stp>시가총액</stp>
        <stp/>
        <stp/>
        <tr r="I598" s="1"/>
      </tp>
      <tp>
        <v>430040135800</v>
        <stp/>
        <stp>P</stp>
        <stp>0</stp>
        <stp>STK</stp>
        <stp>N041830</stp>
        <stp>시가총액</stp>
        <stp/>
        <stp/>
        <tr r="I546" s="1"/>
      </tp>
      <tp>
        <v>1626389805300</v>
        <stp/>
        <stp>P</stp>
        <stp>0</stp>
        <stp>STK</stp>
        <stp>N161890</stp>
        <stp>시가총액</stp>
        <stp/>
        <stp/>
        <tr r="I24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520C91-4883-439B-9D98-9F0C7B5081A4}" name="표.실시간" displayName="표.실시간" ref="B8:W699" totalsRowShown="0">
  <autoFilter ref="B8:W699" xr:uid="{C7BAA266-D32F-4F0E-8BCB-260FADC737BF}"/>
  <tableColumns count="22">
    <tableColumn id="1" xr3:uid="{B0DFA1AC-1650-4DD6-91DD-82666D5494B4}" name="연번"/>
    <tableColumn id="18" xr3:uid="{9127C162-1F17-4EC0-932A-A31DB7C5566B}" name="거래소"/>
    <tableColumn id="6" xr3:uid="{0DCF65BC-10CF-449C-A031-CF7FF3497016}" name="k200">
      <calculatedColumnFormula>IF(IFERROR(INDEX(표.kospi200[code],MATCH(표.실시간[[#This Row],[코드]],표.kospi200[code],0)),0)=0,0,1)</calculatedColumnFormula>
    </tableColumn>
    <tableColumn id="3" xr3:uid="{2220D633-583F-4106-A3ED-BB2532DB70FE}" name="종목명"/>
    <tableColumn id="2" xr3:uid="{AC79D488-DC37-433C-9FB6-E936D7FC4299}" name="코드"/>
    <tableColumn id="22" xr3:uid="{BF2C969D-E953-4A23-957E-C067F976EB19}" name="nxt_code">
      <calculatedColumnFormula>ConvertStockCode(표.실시간[[#This Row],[코드]])</calculatedColumnFormula>
    </tableColumn>
    <tableColumn id="4" xr3:uid="{2B5F1AE3-51C7-4187-8920-1B112D9A330D}" name="현재가" dataCellStyle="쉼표 [0]">
      <calculatedColumnFormula>_xll.IMDP("STK",표.실시간[[#This Row],[nxt_code]],"현재가")</calculatedColumnFormula>
    </tableColumn>
    <tableColumn id="5" xr3:uid="{B7F5CD50-5E13-4513-A5DA-D9F14317C15E}" name="시가총액 (조원)">
      <calculatedColumnFormula>_xll.IMDP("STK",표.실시간[[#This Row],[nxt_code]],"시가총액")/10^12</calculatedColumnFormula>
    </tableColumn>
    <tableColumn id="23" xr3:uid="{B4F592C2-317A-4531-A411-E6C939DD4221}" name="전 시가총액" dataDxfId="2" dataCellStyle="쉼표 [0]">
      <calculatedColumnFormula>표.실시간[[#This Row],[시가총액 (조원)]]/표.실시간[[#This Row],[현재가]]*(표.실시간[[#This Row],[현재가]]-표.실시간[[#This Row],[대비]])</calculatedColumnFormula>
    </tableColumn>
    <tableColumn id="7" xr3:uid="{0979AACF-1791-4416-A06F-28F32F91008B}" name="대비" dataDxfId="1" dataCellStyle="쉼표 [0]">
      <calculatedColumnFormula>_xll.IMDP("STK",표.실시간[[#This Row],[nxt_code]],"전일대비")</calculatedColumnFormula>
    </tableColumn>
    <tableColumn id="8" xr3:uid="{993E9430-22F7-4710-94D9-D72E3A94BC21}" name="%">
      <calculatedColumnFormula>_xll.IMDP("STK",표.실시간[[#This Row],[nxt_code]],"등락률")</calculatedColumnFormula>
    </tableColumn>
    <tableColumn id="9" xr3:uid="{C4AB2991-E51B-4055-B24C-BD37FE040FE2}" name="거래량" dataCellStyle="쉼표 [0]">
      <calculatedColumnFormula>_xll.IMDP("STK",표.실시간[[#This Row],[nxt_code]],"누적거래량")</calculatedColumnFormula>
    </tableColumn>
    <tableColumn id="10" xr3:uid="{49E25E39-1A87-4894-8F24-D32C87AF911A}" name="대금(억)" dataDxfId="0" dataCellStyle="쉼표 [0]">
      <calculatedColumnFormula>_xll.IMDP("STK",표.실시간[[#This Row],[nxt_code]],"누적거래대금")/10^8</calculatedColumnFormula>
    </tableColumn>
    <tableColumn id="11" xr3:uid="{2653CB10-AC28-42F8-84A8-1856829F3C6B}" name="가중평균가" dataCellStyle="쉼표 [0]">
      <calculatedColumnFormula>_xll.IMDP("STK",표.실시간[[#This Row],[nxt_code]],"가중평균가")</calculatedColumnFormula>
    </tableColumn>
    <tableColumn id="12" xr3:uid="{ABC69B7D-B0C3-4FE5-9A61-C82F13CFE6F8}" name="시가" dataCellStyle="쉼표 [0]">
      <calculatedColumnFormula>_xll.IMDP("STK",표.실시간[[#This Row],[nxt_code]],"시가")</calculatedColumnFormula>
    </tableColumn>
    <tableColumn id="13" xr3:uid="{36721F19-9CE4-46D1-8D89-D5AAD52CE12D}" name="고가" dataCellStyle="쉼표 [0]">
      <calculatedColumnFormula>_xll.IMDP("STK",표.실시간[[#This Row],[nxt_code]],"고가")</calculatedColumnFormula>
    </tableColumn>
    <tableColumn id="14" xr3:uid="{5D65B84F-4936-4E57-A534-0EC52C683D2F}" name="저가" dataCellStyle="쉼표 [0]">
      <calculatedColumnFormula>_xll.IMDP("STK",표.실시간[[#This Row],[nxt_code]],"저가")</calculatedColumnFormula>
    </tableColumn>
    <tableColumn id="15" xr3:uid="{55BF21A3-D2BC-4459-B193-A710D58BA43A}" name="마켓세션">
      <calculatedColumnFormula>_xll.IMDP("STK",표.실시간[[#This Row],[nxt_code]],"세션명")</calculatedColumnFormula>
    </tableColumn>
    <tableColumn id="16" xr3:uid="{B4E765F4-9531-49E4-A603-5D98AF90CF7A}" name="세로 막대형3">
      <calculatedColumnFormula>_xll.IMDP("STK",표.실시간[[#This Row],[nxt_code]],"체결시간")</calculatedColumnFormula>
    </tableColumn>
    <tableColumn id="17" xr3:uid="{14119FD9-5E63-46BF-86A2-28420ED690B0}" name="KRX현재가" dataCellStyle="쉼표 [0]"/>
    <tableColumn id="20" xr3:uid="{82425DD3-4562-412A-9AC6-BEAE10F6FDD5}" name="KRX거래량"/>
    <tableColumn id="21" xr3:uid="{3EA915E4-5BD2-44A6-B359-70345CE62D6F}" name="KRX거래량%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90A953B-2F15-48D1-83AC-DED54E1C7BE9}" name="표7" displayName="표7" ref="H2:K5" totalsRowShown="0">
  <autoFilter ref="H2:K5" xr:uid="{384F05A2-E2FA-4BC8-B493-9539A929AFAA}"/>
  <tableColumns count="4">
    <tableColumn id="1" xr3:uid="{D75DEAA4-AEB5-4572-B451-E8ED5769753C}" name="구분"/>
    <tableColumn id="2" xr3:uid="{9CE290CB-8C0E-4639-8BE6-B5AA09DBC842}" name="시가총액" dataCellStyle="쉼표 [0]"/>
    <tableColumn id="3" xr3:uid="{F61FD484-2AD2-4E6C-9361-499586850762}" name="전 시가총액" dataCellStyle="쉼표 [0]"/>
    <tableColumn id="4" xr3:uid="{A8A03EBE-F732-442D-8735-5EC389EF93EC}" name="변동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AE6243-682F-40CE-A1C4-28AA554DF56F}" name="표.kospi200" displayName="표.kospi200" ref="B2:C202" totalsRowShown="0">
  <autoFilter ref="B2:C202" xr:uid="{DD61F212-6DDA-4CE4-B524-421E4EB8AEC4}"/>
  <tableColumns count="2">
    <tableColumn id="1" xr3:uid="{CCCF1236-6AB4-4916-8BAE-B0D5709F43F3}" name="name"/>
    <tableColumn id="2" xr3:uid="{0067FE70-3245-426C-AA8D-6AD00917DF80}" name="c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4388A-F83B-4CE0-97FE-DA813B4FECF8}">
  <sheetPr codeName="Sheet1"/>
  <dimension ref="B2:W699"/>
  <sheetViews>
    <sheetView tabSelected="1" workbookViewId="0">
      <selection activeCell="L9" sqref="L9"/>
    </sheetView>
  </sheetViews>
  <sheetFormatPr defaultRowHeight="16.5" x14ac:dyDescent="0.3"/>
  <cols>
    <col min="2" max="4" width="5.75" customWidth="1"/>
    <col min="5" max="5" width="23.5" customWidth="1"/>
    <col min="6" max="7" width="5.625" customWidth="1"/>
    <col min="8" max="8" width="14.5" customWidth="1"/>
    <col min="9" max="10" width="13.875" customWidth="1"/>
    <col min="12" max="12" width="6.5" customWidth="1"/>
    <col min="13" max="13" width="10" customWidth="1"/>
    <col min="14" max="14" width="10.5" customWidth="1"/>
    <col min="15" max="17" width="10.875" bestFit="1" customWidth="1"/>
    <col min="18" max="18" width="10.25" customWidth="1"/>
    <col min="19" max="19" width="13.875" customWidth="1"/>
    <col min="20" max="20" width="12.125" customWidth="1"/>
    <col min="21" max="21" width="10.25" customWidth="1"/>
    <col min="22" max="22" width="11.875" customWidth="1"/>
    <col min="23" max="23" width="12.125" customWidth="1"/>
    <col min="24" max="24" width="13.75" customWidth="1"/>
  </cols>
  <sheetData>
    <row r="2" spans="2:23" x14ac:dyDescent="0.3">
      <c r="H2" t="s">
        <v>720</v>
      </c>
      <c r="I2" t="s">
        <v>719</v>
      </c>
      <c r="J2" t="s">
        <v>718</v>
      </c>
      <c r="K2" t="s">
        <v>721</v>
      </c>
    </row>
    <row r="3" spans="2:23" x14ac:dyDescent="0.3">
      <c r="H3" t="s">
        <v>715</v>
      </c>
      <c r="I3" s="2">
        <f>SUMIFS(표.실시간[시가총액 (조원)],표.실시간[거래소],1)</f>
        <v>4037.2694261390034</v>
      </c>
      <c r="J3" s="2">
        <f>SUMIFS(표.실시간[전 시가총액],표.실시간[거래소],1)</f>
        <v>4103.3243341363632</v>
      </c>
      <c r="K3" s="4">
        <f>표7[[#This Row],[시가총액]]/표7[[#This Row],[전 시가총액]]-1</f>
        <v>-1.6097900779579177E-2</v>
      </c>
    </row>
    <row r="4" spans="2:23" x14ac:dyDescent="0.3">
      <c r="H4" t="s">
        <v>727</v>
      </c>
      <c r="I4" s="2">
        <f>SUMIFS(표.실시간[시가총액 (조원)],표.실시간[k200],1)</f>
        <v>3888.821336889057</v>
      </c>
      <c r="J4" s="2">
        <f>SUMIFS(표.실시간[전 시가총액],표.실시간[k200],1)</f>
        <v>3953.2860203768623</v>
      </c>
      <c r="K4" s="4">
        <f>표7[[#This Row],[시가총액]]/표7[[#This Row],[전 시가총액]]-1</f>
        <v>-1.6306607504624759E-2</v>
      </c>
    </row>
    <row r="5" spans="2:23" x14ac:dyDescent="0.3">
      <c r="H5" t="s">
        <v>717</v>
      </c>
      <c r="I5" s="2">
        <f>SUMIFS(표.실시간[시가총액 (조원)],표.실시간[거래소],0)</f>
        <v>446.43420850984967</v>
      </c>
      <c r="J5" s="2">
        <f>SUMIFS(표.실시간[전 시가총액],표.실시간[거래소],0)</f>
        <v>450.08090975827724</v>
      </c>
      <c r="K5" s="4">
        <f>표7[[#This Row],[시가총액]]/표7[[#This Row],[전 시가총액]]-1</f>
        <v>-8.1023237586017594E-3</v>
      </c>
    </row>
    <row r="7" spans="2:23" x14ac:dyDescent="0.3">
      <c r="B7" t="s">
        <v>714</v>
      </c>
      <c r="D7" t="s">
        <v>726</v>
      </c>
    </row>
    <row r="8" spans="2:23" x14ac:dyDescent="0.3">
      <c r="B8" t="s">
        <v>0</v>
      </c>
      <c r="C8" t="s">
        <v>715</v>
      </c>
      <c r="D8" t="s">
        <v>722</v>
      </c>
      <c r="E8" t="s">
        <v>2</v>
      </c>
      <c r="F8" t="s">
        <v>1</v>
      </c>
      <c r="G8" t="s">
        <v>711</v>
      </c>
      <c r="H8" t="s">
        <v>712</v>
      </c>
      <c r="I8" t="s">
        <v>713</v>
      </c>
      <c r="J8" t="s">
        <v>718</v>
      </c>
      <c r="K8" t="s">
        <v>3</v>
      </c>
      <c r="L8" t="s">
        <v>4</v>
      </c>
      <c r="M8" t="s">
        <v>5</v>
      </c>
      <c r="N8" t="s">
        <v>716</v>
      </c>
      <c r="O8" t="s">
        <v>6</v>
      </c>
      <c r="P8" t="s">
        <v>7</v>
      </c>
      <c r="Q8" t="s">
        <v>8</v>
      </c>
      <c r="R8" t="s">
        <v>9</v>
      </c>
      <c r="S8" t="s">
        <v>10</v>
      </c>
      <c r="T8" t="s">
        <v>710</v>
      </c>
      <c r="U8" t="s">
        <v>11</v>
      </c>
      <c r="V8" t="s">
        <v>12</v>
      </c>
      <c r="W8" t="s">
        <v>13</v>
      </c>
    </row>
    <row r="9" spans="2:23" x14ac:dyDescent="0.3">
      <c r="B9">
        <v>1</v>
      </c>
      <c r="C9">
        <v>1</v>
      </c>
      <c r="D9">
        <f>IF(IFERROR(INDEX(표.kospi200[code],MATCH(표.실시간[[#This Row],[코드]],표.kospi200[code],0)),0)=0,0,1)</f>
        <v>1</v>
      </c>
      <c r="E9" t="s">
        <v>14</v>
      </c>
      <c r="F9">
        <v>5930</v>
      </c>
      <c r="G9" t="str">
        <f>ConvertStockCode(표.실시간[[#This Row],[코드]])</f>
        <v>N005930</v>
      </c>
      <c r="H9" s="2">
        <f>_xll.IMDP("STK",표.실시간[[#This Row],[nxt_code]],"현재가")</f>
        <v>157300</v>
      </c>
      <c r="I9" s="2">
        <f>_xll.IMDP("STK",표.실시간[[#This Row],[nxt_code]],"시가총액")/10^12</f>
        <v>931.15904513060002</v>
      </c>
      <c r="J9" s="2">
        <f>표.실시간[[#This Row],[시가총액 (조원)]]/표.실시간[[#This Row],[현재가]]*(표.실시간[[#This Row],[현재가]]-표.실시간[[#This Row],[대비]])</f>
        <v>950.10188648099995</v>
      </c>
      <c r="K9" s="3">
        <f>_xll.IMDP("STK",표.실시간[[#This Row],[nxt_code]],"전일대비")</f>
        <v>-3200</v>
      </c>
      <c r="L9">
        <f>_xll.IMDP("STK",표.실시간[[#This Row],[nxt_code]],"등락률")</f>
        <v>-1.99</v>
      </c>
      <c r="M9" s="2">
        <f>_xll.IMDP("STK",표.실시간[[#This Row],[nxt_code]],"누적거래량")</f>
        <v>4257726</v>
      </c>
      <c r="N9" s="2">
        <f>_xll.IMDP("STK",표.실시간[[#This Row],[nxt_code]],"누적거래대금")/10^8</f>
        <v>6702.335384</v>
      </c>
      <c r="O9" s="2">
        <f>_xll.IMDP("STK",표.실시간[[#This Row],[nxt_code]],"가중평균가")</f>
        <v>157415.84554800001</v>
      </c>
      <c r="P9" s="2">
        <f>_xll.IMDP("STK",표.실시간[[#This Row],[nxt_code]],"시가")</f>
        <v>158000</v>
      </c>
      <c r="Q9" s="2">
        <f>_xll.IMDP("STK",표.실시간[[#This Row],[nxt_code]],"고가")</f>
        <v>158900</v>
      </c>
      <c r="R9" s="2">
        <f>_xll.IMDP("STK",표.실시간[[#This Row],[nxt_code]],"저가")</f>
        <v>155200</v>
      </c>
      <c r="S9">
        <f>_xll.IMDP("STK",표.실시간[[#This Row],[nxt_code]],"세션명")</f>
        <v>0</v>
      </c>
      <c r="T9">
        <f>_xll.IMDP("STK",표.실시간[[#This Row],[nxt_code]],"체결시간")</f>
        <v>0</v>
      </c>
      <c r="U9" s="2">
        <f>_xll.IMDP("STK","005930","현재가")</f>
        <v>157600</v>
      </c>
      <c r="V9">
        <f>_xll.IMDP("STK","005930","누적거래량")</f>
        <v>4885512</v>
      </c>
      <c r="W9">
        <v>825.9</v>
      </c>
    </row>
    <row r="10" spans="2:23" x14ac:dyDescent="0.3">
      <c r="B10">
        <v>2</v>
      </c>
      <c r="C10">
        <v>1</v>
      </c>
      <c r="D10">
        <f>IF(IFERROR(INDEX(표.kospi200[code],MATCH(표.실시간[[#This Row],[코드]],표.kospi200[code],0)),0)=0,0,1)</f>
        <v>1</v>
      </c>
      <c r="E10" t="s">
        <v>15</v>
      </c>
      <c r="F10">
        <v>660</v>
      </c>
      <c r="G10" t="str">
        <f>ConvertStockCode(표.실시간[[#This Row],[코드]])</f>
        <v>N000660</v>
      </c>
      <c r="H10" s="2">
        <f>_xll.IMDP("STK",표.실시간[[#This Row],[nxt_code]],"현재가")</f>
        <v>876000</v>
      </c>
      <c r="I10" s="2">
        <f>_xll.IMDP("STK",표.실시간[[#This Row],[nxt_code]],"시가총액")/10^12</f>
        <v>637.73007173999997</v>
      </c>
      <c r="J10" s="2">
        <f>표.실시간[[#This Row],[시가총액 (조원)]]/표.실시간[[#This Row],[현재가]]*(표.실시간[[#This Row],[현재가]]-표.실시간[[#This Row],[대비]])</f>
        <v>661.75414978499998</v>
      </c>
      <c r="K10" s="3">
        <f>_xll.IMDP("STK",표.실시간[[#This Row],[nxt_code]],"전일대비")</f>
        <v>-33000</v>
      </c>
      <c r="L10">
        <f>_xll.IMDP("STK",표.실시간[[#This Row],[nxt_code]],"등락률")</f>
        <v>-3.63</v>
      </c>
      <c r="M10" s="2">
        <f>_xll.IMDP("STK",표.실시간[[#This Row],[nxt_code]],"누적거래량")</f>
        <v>986905</v>
      </c>
      <c r="N10" s="2">
        <f>_xll.IMDP("STK",표.실시간[[#This Row],[nxt_code]],"누적거래대금")/10^8</f>
        <v>8676.3769100000009</v>
      </c>
      <c r="O10" s="2">
        <f>_xll.IMDP("STK",표.실시간[[#This Row],[nxt_code]],"가중평균가")</f>
        <v>879097.61297100002</v>
      </c>
      <c r="P10" s="2">
        <f>_xll.IMDP("STK",표.실시간[[#This Row],[nxt_code]],"시가")</f>
        <v>900000</v>
      </c>
      <c r="Q10" s="2">
        <f>_xll.IMDP("STK",표.실시간[[#This Row],[nxt_code]],"고가")</f>
        <v>900000</v>
      </c>
      <c r="R10" s="2">
        <f>_xll.IMDP("STK",표.실시간[[#This Row],[nxt_code]],"저가")</f>
        <v>862000</v>
      </c>
      <c r="S10">
        <f>_xll.IMDP("STK",표.실시간[[#This Row],[nxt_code]],"세션명")</f>
        <v>0</v>
      </c>
      <c r="T10">
        <f>_xll.IMDP("STK",표.실시간[[#This Row],[nxt_code]],"체결시간")</f>
        <v>0</v>
      </c>
      <c r="U10" s="2">
        <f>_xll.IMDP("STK","000660","현재가")</f>
        <v>879000</v>
      </c>
      <c r="V10">
        <f>_xll.IMDP("STK","000660","누적거래량")</f>
        <v>989440</v>
      </c>
      <c r="W10" s="1">
        <v>1052.33</v>
      </c>
    </row>
    <row r="11" spans="2:23" x14ac:dyDescent="0.3">
      <c r="B11">
        <v>3</v>
      </c>
      <c r="C11">
        <v>1</v>
      </c>
      <c r="D11">
        <f>IF(IFERROR(INDEX(표.kospi200[code],MATCH(표.실시간[[#This Row],[코드]],표.kospi200[code],0)),0)=0,0,1)</f>
        <v>1</v>
      </c>
      <c r="E11" t="s">
        <v>16</v>
      </c>
      <c r="F11">
        <v>5380</v>
      </c>
      <c r="G11" t="str">
        <f>ConvertStockCode(표.실시간[[#This Row],[코드]])</f>
        <v>N005380</v>
      </c>
      <c r="H11" s="2">
        <f>_xll.IMDP("STK",표.실시간[[#This Row],[nxt_code]],"현재가")</f>
        <v>494000</v>
      </c>
      <c r="I11" s="2">
        <f>_xll.IMDP("STK",표.실시간[[#This Row],[nxt_code]],"시가총액")/10^12</f>
        <v>101.150336404</v>
      </c>
      <c r="J11" s="2">
        <f>표.실시간[[#This Row],[시가총액 (조원)]]/표.실시간[[#This Row],[현재가]]*(표.실시간[[#This Row],[현재가]]-표.실시간[[#This Row],[대비]])</f>
        <v>102.378883</v>
      </c>
      <c r="K11" s="3">
        <f>_xll.IMDP("STK",표.실시간[[#This Row],[nxt_code]],"전일대비")</f>
        <v>-6000</v>
      </c>
      <c r="L11">
        <f>_xll.IMDP("STK",표.실시간[[#This Row],[nxt_code]],"등락률")</f>
        <v>-1.2</v>
      </c>
      <c r="M11" s="2">
        <f>_xll.IMDP("STK",표.실시간[[#This Row],[nxt_code]],"누적거래량")</f>
        <v>472778</v>
      </c>
      <c r="N11" s="2">
        <f>_xll.IMDP("STK",표.실시간[[#This Row],[nxt_code]],"누적거래대금")/10^8</f>
        <v>2299.25387</v>
      </c>
      <c r="O11" s="2">
        <f>_xll.IMDP("STK",표.실시간[[#This Row],[nxt_code]],"가중평균가")</f>
        <v>486328.439564</v>
      </c>
      <c r="P11" s="2">
        <f>_xll.IMDP("STK",표.실시간[[#This Row],[nxt_code]],"시가")</f>
        <v>495000</v>
      </c>
      <c r="Q11" s="2">
        <f>_xll.IMDP("STK",표.실시간[[#This Row],[nxt_code]],"고가")</f>
        <v>495000</v>
      </c>
      <c r="R11" s="2">
        <f>_xll.IMDP("STK",표.실시간[[#This Row],[nxt_code]],"저가")</f>
        <v>482000</v>
      </c>
      <c r="S11">
        <f>_xll.IMDP("STK",표.실시간[[#This Row],[nxt_code]],"세션명")</f>
        <v>0</v>
      </c>
      <c r="T11">
        <f>_xll.IMDP("STK",표.실시간[[#This Row],[nxt_code]],"체결시간")</f>
        <v>0</v>
      </c>
      <c r="U11" s="2">
        <f>_xll.IMDP("STK","005380","현재가")</f>
        <v>495500</v>
      </c>
      <c r="V11">
        <f>_xll.IMDP("STK","005380","누적거래량")</f>
        <v>264730</v>
      </c>
      <c r="W11" s="1">
        <v>5440.58</v>
      </c>
    </row>
    <row r="12" spans="2:23" x14ac:dyDescent="0.3">
      <c r="B12">
        <v>4</v>
      </c>
      <c r="C12">
        <v>1</v>
      </c>
      <c r="D12">
        <f>IF(IFERROR(INDEX(표.kospi200[code],MATCH(표.실시간[[#This Row],[코드]],표.kospi200[code],0)),0)=0,0,1)</f>
        <v>1</v>
      </c>
      <c r="E12" t="s">
        <v>17</v>
      </c>
      <c r="F12">
        <v>373220</v>
      </c>
      <c r="G12" t="str">
        <f>ConvertStockCode(표.실시간[[#This Row],[코드]])</f>
        <v>N373220</v>
      </c>
      <c r="H12" s="2">
        <f>_xll.IMDP("STK",표.실시간[[#This Row],[nxt_code]],"현재가")</f>
        <v>396000</v>
      </c>
      <c r="I12" s="2">
        <f>_xll.IMDP("STK",표.실시간[[#This Row],[nxt_code]],"시가총액")/10^12</f>
        <v>92.546999999999997</v>
      </c>
      <c r="J12" s="2">
        <f>표.실시간[[#This Row],[시가총액 (조원)]]/표.실시간[[#This Row],[현재가]]*(표.실시간[[#This Row],[현재가]]-표.실시간[[#This Row],[대비]])</f>
        <v>93.131261363636369</v>
      </c>
      <c r="K12" s="3">
        <f>_xll.IMDP("STK",표.실시간[[#This Row],[nxt_code]],"전일대비")</f>
        <v>-2500</v>
      </c>
      <c r="L12">
        <f>_xll.IMDP("STK",표.실시간[[#This Row],[nxt_code]],"등락률")</f>
        <v>-0.5</v>
      </c>
      <c r="M12" s="2">
        <f>_xll.IMDP("STK",표.실시간[[#This Row],[nxt_code]],"누적거래량")</f>
        <v>48684</v>
      </c>
      <c r="N12" s="2">
        <f>_xll.IMDP("STK",표.실시간[[#This Row],[nxt_code]],"누적거래대금")/10^8</f>
        <v>190.0802525</v>
      </c>
      <c r="O12" s="2">
        <f>_xll.IMDP("STK",표.실시간[[#This Row],[nxt_code]],"가중평균가")</f>
        <v>390436.80161899998</v>
      </c>
      <c r="P12" s="2">
        <f>_xll.IMDP("STK",표.실시간[[#This Row],[nxt_code]],"시가")</f>
        <v>400000</v>
      </c>
      <c r="Q12" s="2">
        <f>_xll.IMDP("STK",표.실시간[[#This Row],[nxt_code]],"고가")</f>
        <v>400000</v>
      </c>
      <c r="R12" s="2">
        <f>_xll.IMDP("STK",표.실시간[[#This Row],[nxt_code]],"저가")</f>
        <v>385500</v>
      </c>
      <c r="S12">
        <f>_xll.IMDP("STK",표.실시간[[#This Row],[nxt_code]],"세션명")</f>
        <v>0</v>
      </c>
      <c r="T12">
        <f>_xll.IMDP("STK",표.실시간[[#This Row],[nxt_code]],"체결시간")</f>
        <v>0</v>
      </c>
      <c r="U12" s="2">
        <f>_xll.IMDP("STK","373220","현재가")</f>
        <v>395000</v>
      </c>
      <c r="V12">
        <f>_xll.IMDP("STK","373220","누적거래량")</f>
        <v>44414</v>
      </c>
      <c r="W12" s="1">
        <v>2369.0700000000002</v>
      </c>
    </row>
    <row r="13" spans="2:23" x14ac:dyDescent="0.3">
      <c r="B13">
        <v>5</v>
      </c>
      <c r="C13">
        <v>1</v>
      </c>
      <c r="D13">
        <f>IF(IFERROR(INDEX(표.kospi200[code],MATCH(표.실시간[[#This Row],[코드]],표.kospi200[code],0)),0)=0,0,1)</f>
        <v>1</v>
      </c>
      <c r="E13" t="s">
        <v>18</v>
      </c>
      <c r="F13">
        <v>207940</v>
      </c>
      <c r="G13" t="str">
        <f>ConvertStockCode(표.실시간[[#This Row],[코드]])</f>
        <v>N207940</v>
      </c>
      <c r="H13" s="2">
        <f>_xll.IMDP("STK",표.실시간[[#This Row],[nxt_code]],"현재가")</f>
        <v>1731000</v>
      </c>
      <c r="I13" s="2">
        <f>_xll.IMDP("STK",표.실시간[[#This Row],[nxt_code]],"시가총액")/10^12</f>
        <v>80.129636180999995</v>
      </c>
      <c r="J13" s="2">
        <f>표.실시간[[#This Row],[시가총액 (조원)]]/표.실시간[[#This Row],[현재가]]*(표.실시간[[#This Row],[현재가]]-표.실시간[[#This Row],[대비]])</f>
        <v>80.777709494999996</v>
      </c>
      <c r="K13" s="3">
        <f>_xll.IMDP("STK",표.실시간[[#This Row],[nxt_code]],"전일대비")</f>
        <v>-14000</v>
      </c>
      <c r="L13">
        <f>_xll.IMDP("STK",표.실시간[[#This Row],[nxt_code]],"등락률")</f>
        <v>-0.8</v>
      </c>
      <c r="M13" s="2">
        <f>_xll.IMDP("STK",표.실시간[[#This Row],[nxt_code]],"누적거래량")</f>
        <v>3994</v>
      </c>
      <c r="N13" s="2">
        <f>_xll.IMDP("STK",표.실시간[[#This Row],[nxt_code]],"누적거래대금")/10^8</f>
        <v>68.863079999999997</v>
      </c>
      <c r="O13" s="2">
        <f>_xll.IMDP("STK",표.실시간[[#This Row],[nxt_code]],"가중평균가")</f>
        <v>1724163.244867</v>
      </c>
      <c r="P13" s="2">
        <f>_xll.IMDP("STK",표.실시간[[#This Row],[nxt_code]],"시가")</f>
        <v>1752000</v>
      </c>
      <c r="Q13" s="2">
        <f>_xll.IMDP("STK",표.실시간[[#This Row],[nxt_code]],"고가")</f>
        <v>1761000</v>
      </c>
      <c r="R13" s="2">
        <f>_xll.IMDP("STK",표.실시간[[#This Row],[nxt_code]],"저가")</f>
        <v>1718000</v>
      </c>
      <c r="S13">
        <f>_xll.IMDP("STK",표.실시간[[#This Row],[nxt_code]],"세션명")</f>
        <v>0</v>
      </c>
      <c r="T13">
        <f>_xll.IMDP("STK",표.실시간[[#This Row],[nxt_code]],"체결시간")</f>
        <v>0</v>
      </c>
      <c r="U13" s="2">
        <f>_xll.IMDP("STK","207940","현재가")</f>
        <v>1731000</v>
      </c>
      <c r="V13">
        <f>_xll.IMDP("STK","207940","누적거래량")</f>
        <v>3884</v>
      </c>
      <c r="W13">
        <v>295.33</v>
      </c>
    </row>
    <row r="14" spans="2:23" x14ac:dyDescent="0.3">
      <c r="B14">
        <v>6</v>
      </c>
      <c r="C14">
        <v>1</v>
      </c>
      <c r="D14">
        <f>IF(IFERROR(INDEX(표.kospi200[code],MATCH(표.실시간[[#This Row],[코드]],표.kospi200[code],0)),0)=0,0,1)</f>
        <v>1</v>
      </c>
      <c r="E14" t="s">
        <v>19</v>
      </c>
      <c r="F14">
        <v>270</v>
      </c>
      <c r="G14" t="str">
        <f>ConvertStockCode(표.실시간[[#This Row],[코드]])</f>
        <v>N000270</v>
      </c>
      <c r="H14" s="2">
        <f>_xll.IMDP("STK",표.실시간[[#This Row],[nxt_code]],"현재가")</f>
        <v>155300</v>
      </c>
      <c r="I14" s="2">
        <f>_xll.IMDP("STK",표.실시간[[#This Row],[nxt_code]],"시가총액")/10^12</f>
        <v>60.631138589400003</v>
      </c>
      <c r="J14" s="2">
        <f>표.실시간[[#This Row],[시가총액 (조원)]]/표.실시간[[#This Row],[현재가]]*(표.실시간[[#This Row],[현재가]]-표.실시간[[#This Row],[대비]])</f>
        <v>59.811271293600001</v>
      </c>
      <c r="K14" s="3">
        <f>_xll.IMDP("STK",표.실시간[[#This Row],[nxt_code]],"전일대비")</f>
        <v>2100</v>
      </c>
      <c r="L14">
        <f>_xll.IMDP("STK",표.실시간[[#This Row],[nxt_code]],"등락률")</f>
        <v>1.77</v>
      </c>
      <c r="M14" s="2">
        <f>_xll.IMDP("STK",표.실시간[[#This Row],[nxt_code]],"누적거래량")</f>
        <v>91971</v>
      </c>
      <c r="N14" s="2">
        <f>_xll.IMDP("STK",표.실시간[[#This Row],[nxt_code]],"누적거래대금")/10^8</f>
        <v>138.94383450000001</v>
      </c>
      <c r="O14" s="2">
        <f>_xll.IMDP("STK",표.실시간[[#This Row],[nxt_code]],"가중평균가")</f>
        <v>151027.54866900001</v>
      </c>
      <c r="P14" s="2">
        <f>_xll.IMDP("STK",표.실시간[[#This Row],[nxt_code]],"시가")</f>
        <v>152200</v>
      </c>
      <c r="Q14" s="2">
        <f>_xll.IMDP("STK",표.실시간[[#This Row],[nxt_code]],"고가")</f>
        <v>155300</v>
      </c>
      <c r="R14" s="2">
        <f>_xll.IMDP("STK",표.실시간[[#This Row],[nxt_code]],"저가")</f>
        <v>149300</v>
      </c>
      <c r="S14">
        <f>_xll.IMDP("STK",표.실시간[[#This Row],[nxt_code]],"세션명")</f>
        <v>0</v>
      </c>
      <c r="T14">
        <f>_xll.IMDP("STK",표.실시간[[#This Row],[nxt_code]],"체결시간")</f>
        <v>0</v>
      </c>
      <c r="U14" s="2">
        <f>_xll.IMDP("STK","000270","현재가")</f>
        <v>155400</v>
      </c>
      <c r="V14">
        <f>_xll.IMDP("STK","000270","누적거래량")</f>
        <v>160074</v>
      </c>
      <c r="W14" s="1">
        <v>2173.19</v>
      </c>
    </row>
    <row r="15" spans="2:23" x14ac:dyDescent="0.3">
      <c r="B15">
        <v>7</v>
      </c>
      <c r="C15">
        <v>1</v>
      </c>
      <c r="D15">
        <f>IF(IFERROR(INDEX(표.kospi200[code],MATCH(표.실시간[[#This Row],[코드]],표.kospi200[code],0)),0)=0,0,1)</f>
        <v>1</v>
      </c>
      <c r="E15" t="s">
        <v>20</v>
      </c>
      <c r="F15">
        <v>12450</v>
      </c>
      <c r="G15" t="str">
        <f>ConvertStockCode(표.실시간[[#This Row],[코드]])</f>
        <v>N012450</v>
      </c>
      <c r="H15" s="2">
        <f>_xll.IMDP("STK",표.실시간[[#This Row],[nxt_code]],"현재가")</f>
        <v>1335000</v>
      </c>
      <c r="I15" s="2">
        <f>_xll.IMDP("STK",표.실시간[[#This Row],[nxt_code]],"시가총액")/10^12</f>
        <v>68.837140335000001</v>
      </c>
      <c r="J15" s="2">
        <f>표.실시간[[#This Row],[시가총액 (조원)]]/표.실시간[[#This Row],[현재가]]*(표.실시간[[#This Row],[현재가]]-표.실시간[[#This Row],[대비]])</f>
        <v>67.083984700999991</v>
      </c>
      <c r="K15" s="3">
        <f>_xll.IMDP("STK",표.실시간[[#This Row],[nxt_code]],"전일대비")</f>
        <v>34000</v>
      </c>
      <c r="L15">
        <f>_xll.IMDP("STK",표.실시간[[#This Row],[nxt_code]],"등락률")</f>
        <v>2.69</v>
      </c>
      <c r="M15" s="2">
        <f>_xll.IMDP("STK",표.실시간[[#This Row],[nxt_code]],"누적거래량")</f>
        <v>47104</v>
      </c>
      <c r="N15" s="2">
        <f>_xll.IMDP("STK",표.실시간[[#This Row],[nxt_code]],"누적거래대금")/10^8</f>
        <v>658.64873499999999</v>
      </c>
      <c r="O15" s="2">
        <f>_xll.IMDP("STK",표.실시간[[#This Row],[nxt_code]],"가중평균가")</f>
        <v>1324183.222758</v>
      </c>
      <c r="P15" s="2">
        <f>_xll.IMDP("STK",표.실시간[[#This Row],[nxt_code]],"시가")</f>
        <v>1321000</v>
      </c>
      <c r="Q15" s="2">
        <f>_xll.IMDP("STK",표.실시간[[#This Row],[nxt_code]],"고가")</f>
        <v>1365000</v>
      </c>
      <c r="R15" s="2">
        <f>_xll.IMDP("STK",표.실시간[[#This Row],[nxt_code]],"저가")</f>
        <v>1306000</v>
      </c>
      <c r="S15">
        <f>_xll.IMDP("STK",표.실시간[[#This Row],[nxt_code]],"세션명")</f>
        <v>0</v>
      </c>
      <c r="T15">
        <f>_xll.IMDP("STK",표.실시간[[#This Row],[nxt_code]],"체결시간")</f>
        <v>0</v>
      </c>
      <c r="U15" s="2">
        <f>_xll.IMDP("STK","012450","현재가")</f>
        <v>1331000</v>
      </c>
      <c r="V15">
        <f>_xll.IMDP("STK","012450","누적거래량")</f>
        <v>33051</v>
      </c>
      <c r="W15" s="1">
        <v>2138.23</v>
      </c>
    </row>
    <row r="16" spans="2:23" x14ac:dyDescent="0.3">
      <c r="B16">
        <v>8</v>
      </c>
      <c r="C16">
        <v>1</v>
      </c>
      <c r="D16">
        <f>IF(IFERROR(INDEX(표.kospi200[code],MATCH(표.실시간[[#This Row],[코드]],표.kospi200[code],0)),0)=0,0,1)</f>
        <v>1</v>
      </c>
      <c r="E16" t="s">
        <v>21</v>
      </c>
      <c r="F16">
        <v>329180</v>
      </c>
      <c r="G16" t="str">
        <f>ConvertStockCode(표.실시간[[#This Row],[코드]])</f>
        <v>N329180</v>
      </c>
      <c r="H16" s="2">
        <f>_xll.IMDP("STK",표.실시간[[#This Row],[nxt_code]],"현재가")</f>
        <v>568000</v>
      </c>
      <c r="I16" s="2">
        <f>_xll.IMDP("STK",표.실시간[[#This Row],[nxt_code]],"시가총액")/10^12</f>
        <v>59.617975800000004</v>
      </c>
      <c r="J16" s="2">
        <f>표.실시간[[#This Row],[시가총액 (조원)]]/표.실시간[[#This Row],[현재가]]*(표.실시간[[#This Row],[현재가]]-표.실시간[[#This Row],[대비]])</f>
        <v>60.352704375000002</v>
      </c>
      <c r="K16" s="3">
        <f>_xll.IMDP("STK",표.실시간[[#This Row],[nxt_code]],"전일대비")</f>
        <v>-7000</v>
      </c>
      <c r="L16">
        <f>_xll.IMDP("STK",표.실시간[[#This Row],[nxt_code]],"등락률")</f>
        <v>-1.22</v>
      </c>
      <c r="M16" s="2">
        <f>_xll.IMDP("STK",표.실시간[[#This Row],[nxt_code]],"누적거래량")</f>
        <v>21777</v>
      </c>
      <c r="N16" s="2">
        <f>_xll.IMDP("STK",표.실시간[[#This Row],[nxt_code]],"누적거래대금")/10^8</f>
        <v>123.922545</v>
      </c>
      <c r="O16" s="2">
        <f>_xll.IMDP("STK",표.실시간[[#This Row],[nxt_code]],"가중평균가")</f>
        <v>569052.41768800002</v>
      </c>
      <c r="P16" s="2">
        <f>_xll.IMDP("STK",표.실시간[[#This Row],[nxt_code]],"시가")</f>
        <v>570000</v>
      </c>
      <c r="Q16" s="2">
        <f>_xll.IMDP("STK",표.실시간[[#This Row],[nxt_code]],"고가")</f>
        <v>580000</v>
      </c>
      <c r="R16" s="2">
        <f>_xll.IMDP("STK",표.실시간[[#This Row],[nxt_code]],"저가")</f>
        <v>562000</v>
      </c>
      <c r="S16">
        <f>_xll.IMDP("STK",표.실시간[[#This Row],[nxt_code]],"세션명")</f>
        <v>0</v>
      </c>
      <c r="T16">
        <f>_xll.IMDP("STK",표.실시간[[#This Row],[nxt_code]],"체결시간")</f>
        <v>0</v>
      </c>
      <c r="U16" s="2">
        <f>_xll.IMDP("STK","329180","현재가")</f>
        <v>568000</v>
      </c>
      <c r="V16">
        <f>_xll.IMDP("STK","329180","누적거래량")</f>
        <v>20608</v>
      </c>
      <c r="W16" s="1">
        <v>1177.71</v>
      </c>
    </row>
    <row r="17" spans="2:23" x14ac:dyDescent="0.3">
      <c r="B17">
        <v>9</v>
      </c>
      <c r="C17">
        <v>1</v>
      </c>
      <c r="D17">
        <f>IF(IFERROR(INDEX(표.kospi200[code],MATCH(표.실시간[[#This Row],[코드]],표.kospi200[code],0)),0)=0,0,1)</f>
        <v>1</v>
      </c>
      <c r="E17" t="s">
        <v>22</v>
      </c>
      <c r="F17">
        <v>34020</v>
      </c>
      <c r="G17" t="str">
        <f>ConvertStockCode(표.실시간[[#This Row],[코드]])</f>
        <v>N034020</v>
      </c>
      <c r="H17" s="2">
        <f>_xll.IMDP("STK",표.실시간[[#This Row],[nxt_code]],"현재가")</f>
        <v>88800</v>
      </c>
      <c r="I17" s="2">
        <f>_xll.IMDP("STK",표.실시간[[#This Row],[nxt_code]],"시가총액")/10^12</f>
        <v>57.138054223200001</v>
      </c>
      <c r="J17" s="2">
        <f>표.실시간[[#This Row],[시가총액 (조원)]]/표.실시간[[#This Row],[현재가]]*(표.실시간[[#This Row],[현재가]]-표.실시간[[#This Row],[대비]])</f>
        <v>58.038879402394599</v>
      </c>
      <c r="K17" s="3">
        <f>_xll.IMDP("STK",표.실시간[[#This Row],[nxt_code]],"전일대비")</f>
        <v>-1400</v>
      </c>
      <c r="L17">
        <f>_xll.IMDP("STK",표.실시간[[#This Row],[nxt_code]],"등락률")</f>
        <v>-1.55</v>
      </c>
      <c r="M17" s="2">
        <f>_xll.IMDP("STK",표.실시간[[#This Row],[nxt_code]],"누적거래량")</f>
        <v>1705356</v>
      </c>
      <c r="N17" s="2">
        <f>_xll.IMDP("STK",표.실시간[[#This Row],[nxt_code]],"누적거래대금")/10^8</f>
        <v>1502.3446775</v>
      </c>
      <c r="O17" s="2">
        <f>_xll.IMDP("STK",표.실시간[[#This Row],[nxt_code]],"가중평균가")</f>
        <v>88095.043269000002</v>
      </c>
      <c r="P17" s="2">
        <f>_xll.IMDP("STK",표.실시간[[#This Row],[nxt_code]],"시가")</f>
        <v>90200</v>
      </c>
      <c r="Q17" s="2">
        <f>_xll.IMDP("STK",표.실시간[[#This Row],[nxt_code]],"고가")</f>
        <v>90400</v>
      </c>
      <c r="R17" s="2">
        <f>_xll.IMDP("STK",표.실시간[[#This Row],[nxt_code]],"저가")</f>
        <v>87000</v>
      </c>
      <c r="S17">
        <f>_xll.IMDP("STK",표.실시간[[#This Row],[nxt_code]],"세션명")</f>
        <v>0</v>
      </c>
      <c r="T17">
        <f>_xll.IMDP("STK",표.실시간[[#This Row],[nxt_code]],"체결시간")</f>
        <v>0</v>
      </c>
      <c r="U17" s="2">
        <f>_xll.IMDP("STK","034020","현재가")</f>
        <v>89200</v>
      </c>
      <c r="V17">
        <f>_xll.IMDP("STK","034020","누적거래량")</f>
        <v>760963</v>
      </c>
      <c r="W17" s="1">
        <v>5705.15</v>
      </c>
    </row>
    <row r="18" spans="2:23" x14ac:dyDescent="0.3">
      <c r="B18">
        <v>10</v>
      </c>
      <c r="C18">
        <v>1</v>
      </c>
      <c r="D18">
        <f>IF(IFERROR(INDEX(표.kospi200[code],MATCH(표.실시간[[#This Row],[코드]],표.kospi200[code],0)),0)=0,0,1)</f>
        <v>1</v>
      </c>
      <c r="E18" t="s">
        <v>23</v>
      </c>
      <c r="F18">
        <v>402340</v>
      </c>
      <c r="G18" t="str">
        <f>ConvertStockCode(표.실시간[[#This Row],[코드]])</f>
        <v>N402340</v>
      </c>
      <c r="H18" s="2">
        <f>_xll.IMDP("STK",표.실시간[[#This Row],[nxt_code]],"현재가")</f>
        <v>541000</v>
      </c>
      <c r="I18" s="2">
        <f>_xll.IMDP("STK",표.실시간[[#This Row],[nxt_code]],"시가총액")/10^12</f>
        <v>71.459129215000004</v>
      </c>
      <c r="J18" s="2">
        <f>표.실시간[[#This Row],[시가총액 (조원)]]/표.실시간[[#This Row],[현재가]]*(표.실시간[[#This Row],[현재가]]-표.실시간[[#This Row],[대비]])</f>
        <v>75.157568435000002</v>
      </c>
      <c r="K18" s="3">
        <f>_xll.IMDP("STK",표.실시간[[#This Row],[nxt_code]],"전일대비")</f>
        <v>-28000</v>
      </c>
      <c r="L18">
        <f>_xll.IMDP("STK",표.실시간[[#This Row],[nxt_code]],"등락률")</f>
        <v>-5.09</v>
      </c>
      <c r="M18" s="2">
        <f>_xll.IMDP("STK",표.실시간[[#This Row],[nxt_code]],"누적거래량")</f>
        <v>43650</v>
      </c>
      <c r="N18" s="2">
        <f>_xll.IMDP("STK",표.실시간[[#This Row],[nxt_code]],"누적거래대금")/10^8</f>
        <v>241.27601000000001</v>
      </c>
      <c r="O18" s="2">
        <f>_xll.IMDP("STK",표.실시간[[#This Row],[nxt_code]],"가중평균가")</f>
        <v>552751.45475399995</v>
      </c>
      <c r="P18" s="2">
        <f>_xll.IMDP("STK",표.실시간[[#This Row],[nxt_code]],"시가")</f>
        <v>567000</v>
      </c>
      <c r="Q18" s="2">
        <f>_xll.IMDP("STK",표.실시간[[#This Row],[nxt_code]],"고가")</f>
        <v>569000</v>
      </c>
      <c r="R18" s="2">
        <f>_xll.IMDP("STK",표.실시간[[#This Row],[nxt_code]],"저가")</f>
        <v>532000</v>
      </c>
      <c r="S18">
        <f>_xll.IMDP("STK",표.실시간[[#This Row],[nxt_code]],"세션명")</f>
        <v>0</v>
      </c>
      <c r="T18">
        <f>_xll.IMDP("STK",표.실시간[[#This Row],[nxt_code]],"체결시간")</f>
        <v>0</v>
      </c>
      <c r="U18" s="2">
        <f>_xll.IMDP("STK","402340","현재가")</f>
        <v>543000</v>
      </c>
      <c r="V18">
        <f>_xll.IMDP("STK","402340","누적거래량")</f>
        <v>109331</v>
      </c>
      <c r="W18" s="1">
        <v>1064.3499999999999</v>
      </c>
    </row>
    <row r="19" spans="2:23" x14ac:dyDescent="0.3">
      <c r="B19">
        <v>11</v>
      </c>
      <c r="C19">
        <v>1</v>
      </c>
      <c r="D19">
        <f>IF(IFERROR(INDEX(표.kospi200[code],MATCH(표.실시간[[#This Row],[코드]],표.kospi200[code],0)),0)=0,0,1)</f>
        <v>1</v>
      </c>
      <c r="E19" t="s">
        <v>24</v>
      </c>
      <c r="F19">
        <v>105560</v>
      </c>
      <c r="G19" t="str">
        <f>ConvertStockCode(표.실시간[[#This Row],[코드]])</f>
        <v>N105560</v>
      </c>
      <c r="H19" s="2">
        <f>_xll.IMDP("STK",표.실시간[[#This Row],[nxt_code]],"현재가")</f>
        <v>137600</v>
      </c>
      <c r="I19" s="2">
        <f>_xll.IMDP("STK",표.실시간[[#This Row],[nxt_code]],"시가총액")/10^12</f>
        <v>52.489185372800002</v>
      </c>
      <c r="J19" s="2">
        <f>표.실시간[[#This Row],[시가총액 (조원)]]/표.실시간[[#This Row],[현재가]]*(표.실시간[[#This Row],[현재가]]-표.실시간[[#This Row],[대비]])</f>
        <v>51.535530115300006</v>
      </c>
      <c r="K19" s="3">
        <f>_xll.IMDP("STK",표.실시간[[#This Row],[nxt_code]],"전일대비")</f>
        <v>2500</v>
      </c>
      <c r="L19">
        <f>_xll.IMDP("STK",표.실시간[[#This Row],[nxt_code]],"등락률")</f>
        <v>1.78</v>
      </c>
      <c r="M19" s="2">
        <f>_xll.IMDP("STK",표.실시간[[#This Row],[nxt_code]],"누적거래량")</f>
        <v>45608</v>
      </c>
      <c r="N19" s="2">
        <f>_xll.IMDP("STK",표.실시간[[#This Row],[nxt_code]],"누적거래대금")/10^8</f>
        <v>62.482683000000002</v>
      </c>
      <c r="O19" s="2">
        <f>_xll.IMDP("STK",표.실시간[[#This Row],[nxt_code]],"가중평균가")</f>
        <v>136840.37362299999</v>
      </c>
      <c r="P19" s="2">
        <f>_xll.IMDP("STK",표.실시간[[#This Row],[nxt_code]],"시가")</f>
        <v>136100</v>
      </c>
      <c r="Q19" s="2">
        <f>_xll.IMDP("STK",표.실시간[[#This Row],[nxt_code]],"고가")</f>
        <v>138600</v>
      </c>
      <c r="R19" s="2">
        <f>_xll.IMDP("STK",표.실시간[[#This Row],[nxt_code]],"저가")</f>
        <v>134600</v>
      </c>
      <c r="S19">
        <f>_xll.IMDP("STK",표.실시간[[#This Row],[nxt_code]],"세션명")</f>
        <v>0</v>
      </c>
      <c r="T19">
        <f>_xll.IMDP("STK",표.실시간[[#This Row],[nxt_code]],"체결시간")</f>
        <v>0</v>
      </c>
      <c r="U19" s="2">
        <f>_xll.IMDP("STK","105560","현재가")</f>
        <v>137600</v>
      </c>
      <c r="V19">
        <f>_xll.IMDP("STK","105560","누적거래량")</f>
        <v>154001</v>
      </c>
      <c r="W19">
        <v>296.72000000000003</v>
      </c>
    </row>
    <row r="20" spans="2:23" x14ac:dyDescent="0.3">
      <c r="B20">
        <v>12</v>
      </c>
      <c r="C20">
        <v>1</v>
      </c>
      <c r="D20">
        <f>IF(IFERROR(INDEX(표.kospi200[code],MATCH(표.실시간[[#This Row],[코드]],표.kospi200[code],0)),0)=0,0,1)</f>
        <v>1</v>
      </c>
      <c r="E20" t="s">
        <v>25</v>
      </c>
      <c r="F20">
        <v>28260</v>
      </c>
      <c r="G20" t="str">
        <f>ConvertStockCode(표.실시간[[#This Row],[코드]])</f>
        <v>N028260</v>
      </c>
      <c r="H20" s="2">
        <f>_xll.IMDP("STK",표.실시간[[#This Row],[nxt_code]],"현재가")</f>
        <v>300000</v>
      </c>
      <c r="I20" s="2">
        <f>_xll.IMDP("STK",표.실시간[[#This Row],[nxt_code]],"시가총액")/10^12</f>
        <v>50.992963199999998</v>
      </c>
      <c r="J20" s="2">
        <f>표.실시간[[#This Row],[시가총액 (조원)]]/표.실시간[[#This Row],[현재가]]*(표.실시간[[#This Row],[현재가]]-표.실시간[[#This Row],[대비]])</f>
        <v>51.247928015999996</v>
      </c>
      <c r="K20" s="3">
        <f>_xll.IMDP("STK",표.실시간[[#This Row],[nxt_code]],"전일대비")</f>
        <v>-1500</v>
      </c>
      <c r="L20">
        <f>_xll.IMDP("STK",표.실시간[[#This Row],[nxt_code]],"등락률")</f>
        <v>-0.5</v>
      </c>
      <c r="M20" s="2">
        <f>_xll.IMDP("STK",표.실시간[[#This Row],[nxt_code]],"누적거래량")</f>
        <v>23965</v>
      </c>
      <c r="N20" s="2">
        <f>_xll.IMDP("STK",표.실시간[[#This Row],[nxt_code]],"누적거래대금")/10^8</f>
        <v>70.716825</v>
      </c>
      <c r="O20" s="2">
        <f>_xll.IMDP("STK",표.실시간[[#This Row],[nxt_code]],"가중평균가")</f>
        <v>295083.767995</v>
      </c>
      <c r="P20" s="2">
        <f>_xll.IMDP("STK",표.실시간[[#This Row],[nxt_code]],"시가")</f>
        <v>302500</v>
      </c>
      <c r="Q20" s="2">
        <f>_xll.IMDP("STK",표.실시간[[#This Row],[nxt_code]],"고가")</f>
        <v>302500</v>
      </c>
      <c r="R20" s="2">
        <f>_xll.IMDP("STK",표.실시간[[#This Row],[nxt_code]],"저가")</f>
        <v>290000</v>
      </c>
      <c r="S20">
        <f>_xll.IMDP("STK",표.실시간[[#This Row],[nxt_code]],"세션명")</f>
        <v>0</v>
      </c>
      <c r="T20">
        <f>_xll.IMDP("STK",표.실시간[[#This Row],[nxt_code]],"체결시간")</f>
        <v>0</v>
      </c>
      <c r="U20" s="2">
        <f>_xll.IMDP("STK","028260","현재가")</f>
        <v>300500</v>
      </c>
      <c r="V20">
        <f>_xll.IMDP("STK","028260","누적거래량")</f>
        <v>26409</v>
      </c>
      <c r="W20" s="1">
        <v>1345.97</v>
      </c>
    </row>
    <row r="21" spans="2:23" x14ac:dyDescent="0.3">
      <c r="B21">
        <v>13</v>
      </c>
      <c r="C21">
        <v>1</v>
      </c>
      <c r="D21">
        <f>IF(IFERROR(INDEX(표.kospi200[code],MATCH(표.실시간[[#This Row],[코드]],표.kospi200[code],0)),0)=0,0,1)</f>
        <v>1</v>
      </c>
      <c r="E21" t="s">
        <v>26</v>
      </c>
      <c r="F21">
        <v>68270</v>
      </c>
      <c r="G21" t="str">
        <f>ConvertStockCode(표.실시간[[#This Row],[코드]])</f>
        <v>N068270</v>
      </c>
      <c r="H21" s="2">
        <f>_xll.IMDP("STK",표.실시간[[#This Row],[nxt_code]],"현재가")</f>
        <v>208000</v>
      </c>
      <c r="I21" s="2">
        <f>_xll.IMDP("STK",표.실시간[[#This Row],[nxt_code]],"시가총액")/10^12</f>
        <v>48.039881551999997</v>
      </c>
      <c r="J21" s="2">
        <f>표.실시간[[#This Row],[시가총액 (조원)]]/표.실시간[[#This Row],[현재가]]*(표.실시간[[#This Row],[현재가]]-표.실시간[[#This Row],[대비]])</f>
        <v>48.501803489999993</v>
      </c>
      <c r="K21" s="3">
        <f>_xll.IMDP("STK",표.실시간[[#This Row],[nxt_code]],"전일대비")</f>
        <v>-2000</v>
      </c>
      <c r="L21">
        <f>_xll.IMDP("STK",표.실시간[[#This Row],[nxt_code]],"등락률")</f>
        <v>-0.95</v>
      </c>
      <c r="M21" s="2">
        <f>_xll.IMDP("STK",표.실시간[[#This Row],[nxt_code]],"누적거래량")</f>
        <v>96707</v>
      </c>
      <c r="N21" s="2">
        <f>_xll.IMDP("STK",표.실시간[[#This Row],[nxt_code]],"누적거래대금")/10^8</f>
        <v>198.85067749999999</v>
      </c>
      <c r="O21" s="2">
        <f>_xll.IMDP("STK",표.실시간[[#This Row],[nxt_code]],"가중평균가")</f>
        <v>205621.80348900001</v>
      </c>
      <c r="P21" s="2">
        <f>_xll.IMDP("STK",표.실시간[[#This Row],[nxt_code]],"시가")</f>
        <v>207500</v>
      </c>
      <c r="Q21" s="2">
        <f>_xll.IMDP("STK",표.실시간[[#This Row],[nxt_code]],"고가")</f>
        <v>209500</v>
      </c>
      <c r="R21" s="2">
        <f>_xll.IMDP("STK",표.실시간[[#This Row],[nxt_code]],"저가")</f>
        <v>204000</v>
      </c>
      <c r="S21">
        <f>_xll.IMDP("STK",표.실시간[[#This Row],[nxt_code]],"세션명")</f>
        <v>0</v>
      </c>
      <c r="T21">
        <f>_xll.IMDP("STK",표.실시간[[#This Row],[nxt_code]],"체결시간")</f>
        <v>0</v>
      </c>
      <c r="U21" s="2">
        <f>_xll.IMDP("STK","068270","현재가")</f>
        <v>208500</v>
      </c>
      <c r="V21">
        <f>_xll.IMDP("STK","068270","누적거래량")</f>
        <v>64534</v>
      </c>
      <c r="W21" s="1">
        <v>2138.4499999999998</v>
      </c>
    </row>
    <row r="22" spans="2:23" x14ac:dyDescent="0.3">
      <c r="B22">
        <v>14</v>
      </c>
      <c r="C22">
        <v>1</v>
      </c>
      <c r="D22">
        <f>IF(IFERROR(INDEX(표.kospi200[code],MATCH(표.실시간[[#This Row],[코드]],표.kospi200[code],0)),0)=0,0,1)</f>
        <v>1</v>
      </c>
      <c r="E22" t="s">
        <v>27</v>
      </c>
      <c r="F22">
        <v>12330</v>
      </c>
      <c r="G22" t="str">
        <f>ConvertStockCode(표.실시간[[#This Row],[코드]])</f>
        <v>N012330</v>
      </c>
      <c r="H22" s="2">
        <f>_xll.IMDP("STK",표.실시간[[#This Row],[nxt_code]],"현재가")</f>
        <v>453500</v>
      </c>
      <c r="I22" s="2">
        <f>_xll.IMDP("STK",표.실시간[[#This Row],[nxt_code]],"시가총액")/10^12</f>
        <v>41.147226390500002</v>
      </c>
      <c r="J22" s="2">
        <f>표.실시간[[#This Row],[시가총액 (조원)]]/표.실시간[[#This Row],[현재가]]*(표.실시간[[#This Row],[현재가]]-표.실시간[[#This Row],[대비]])</f>
        <v>40.6935634755</v>
      </c>
      <c r="K22" s="3">
        <f>_xll.IMDP("STK",표.실시간[[#This Row],[nxt_code]],"전일대비")</f>
        <v>5000</v>
      </c>
      <c r="L22">
        <f>_xll.IMDP("STK",표.실시간[[#This Row],[nxt_code]],"등락률")</f>
        <v>1</v>
      </c>
      <c r="M22" s="2">
        <f>_xll.IMDP("STK",표.실시간[[#This Row],[nxt_code]],"누적거래량")</f>
        <v>31586</v>
      </c>
      <c r="N22" s="2">
        <f>_xll.IMDP("STK",표.실시간[[#This Row],[nxt_code]],"누적거래대금")/10^8</f>
        <v>139.226125</v>
      </c>
      <c r="O22" s="2">
        <f>_xll.IMDP("STK",표.실시간[[#This Row],[nxt_code]],"가중평균가")</f>
        <v>440784.287342</v>
      </c>
      <c r="P22" s="2">
        <f>_xll.IMDP("STK",표.실시간[[#This Row],[nxt_code]],"시가")</f>
        <v>447500</v>
      </c>
      <c r="Q22" s="2">
        <f>_xll.IMDP("STK",표.실시간[[#This Row],[nxt_code]],"고가")</f>
        <v>454500</v>
      </c>
      <c r="R22" s="2">
        <f>_xll.IMDP("STK",표.실시간[[#This Row],[nxt_code]],"저가")</f>
        <v>435000</v>
      </c>
      <c r="S22">
        <f>_xll.IMDP("STK",표.실시간[[#This Row],[nxt_code]],"세션명")</f>
        <v>0</v>
      </c>
      <c r="T22">
        <f>_xll.IMDP("STK",표.실시간[[#This Row],[nxt_code]],"체결시간")</f>
        <v>0</v>
      </c>
      <c r="U22" s="2">
        <f>_xll.IMDP("STK","012330","현재가")</f>
        <v>453500</v>
      </c>
      <c r="V22">
        <f>_xll.IMDP("STK","012330","누적거래량")</f>
        <v>52808</v>
      </c>
      <c r="W22" s="1">
        <v>1945.62</v>
      </c>
    </row>
    <row r="23" spans="2:23" x14ac:dyDescent="0.3">
      <c r="B23">
        <v>15</v>
      </c>
      <c r="C23">
        <v>1</v>
      </c>
      <c r="D23">
        <f>IF(IFERROR(INDEX(표.kospi200[code],MATCH(표.실시간[[#This Row],[코드]],표.kospi200[code],0)),0)=0,0,1)</f>
        <v>1</v>
      </c>
      <c r="E23" t="s">
        <v>28</v>
      </c>
      <c r="F23">
        <v>42660</v>
      </c>
      <c r="G23" t="str">
        <f>ConvertStockCode(표.실시간[[#This Row],[코드]])</f>
        <v>N042660</v>
      </c>
      <c r="H23" s="2">
        <f>_xll.IMDP("STK",표.실시간[[#This Row],[nxt_code]],"현재가")</f>
        <v>140100</v>
      </c>
      <c r="I23" s="2">
        <f>_xll.IMDP("STK",표.실시간[[#This Row],[nxt_code]],"시가총액")/10^12</f>
        <v>42.928516499399997</v>
      </c>
      <c r="J23" s="2">
        <f>표.실시간[[#This Row],[시가총액 (조원)]]/표.실시간[[#This Row],[현재가]]*(표.실시간[[#This Row],[현재가]]-표.실시간[[#This Row],[대비]])</f>
        <v>42.438255068999993</v>
      </c>
      <c r="K23" s="3">
        <f>_xll.IMDP("STK",표.실시간[[#This Row],[nxt_code]],"전일대비")</f>
        <v>1600</v>
      </c>
      <c r="L23">
        <f>_xll.IMDP("STK",표.실시간[[#This Row],[nxt_code]],"등락률")</f>
        <v>1.1599999999999999</v>
      </c>
      <c r="M23" s="2">
        <f>_xll.IMDP("STK",표.실시간[[#This Row],[nxt_code]],"누적거래량")</f>
        <v>587788</v>
      </c>
      <c r="N23" s="2">
        <f>_xll.IMDP("STK",표.실시간[[#This Row],[nxt_code]],"누적거래대금")/10^8</f>
        <v>816.49342650000006</v>
      </c>
      <c r="O23" s="2">
        <f>_xll.IMDP("STK",표.실시간[[#This Row],[nxt_code]],"가중평균가")</f>
        <v>138909.509296</v>
      </c>
      <c r="P23" s="2">
        <f>_xll.IMDP("STK",표.실시간[[#This Row],[nxt_code]],"시가")</f>
        <v>138500</v>
      </c>
      <c r="Q23" s="2">
        <f>_xll.IMDP("STK",표.실시간[[#This Row],[nxt_code]],"고가")</f>
        <v>141000</v>
      </c>
      <c r="R23" s="2">
        <f>_xll.IMDP("STK",표.실시간[[#This Row],[nxt_code]],"저가")</f>
        <v>135500</v>
      </c>
      <c r="S23">
        <f>_xll.IMDP("STK",표.실시간[[#This Row],[nxt_code]],"세션명")</f>
        <v>0</v>
      </c>
      <c r="T23">
        <f>_xll.IMDP("STK",표.실시간[[#This Row],[nxt_code]],"체결시간")</f>
        <v>0</v>
      </c>
      <c r="U23" s="2">
        <f>_xll.IMDP("STK","042660","현재가")</f>
        <v>140400</v>
      </c>
      <c r="V23">
        <f>_xll.IMDP("STK","042660","누적거래량")</f>
        <v>302786</v>
      </c>
      <c r="W23" s="1">
        <v>3423.24</v>
      </c>
    </row>
    <row r="24" spans="2:23" x14ac:dyDescent="0.3">
      <c r="B24">
        <v>16</v>
      </c>
      <c r="C24">
        <v>1</v>
      </c>
      <c r="D24">
        <f>IF(IFERROR(INDEX(표.kospi200[code],MATCH(표.실시간[[#This Row],[코드]],표.kospi200[code],0)),0)=0,0,1)</f>
        <v>1</v>
      </c>
      <c r="E24" t="s">
        <v>29</v>
      </c>
      <c r="F24">
        <v>15760</v>
      </c>
      <c r="G24" t="str">
        <f>ConvertStockCode(표.실시간[[#This Row],[코드]])</f>
        <v>N015760</v>
      </c>
      <c r="H24" s="2">
        <f>_xll.IMDP("STK",표.실시간[[#This Row],[nxt_code]],"현재가")</f>
        <v>58200</v>
      </c>
      <c r="I24" s="2">
        <f>_xll.IMDP("STK",표.실시간[[#This Row],[nxt_code]],"시가총액")/10^12</f>
        <v>37.362309281400002</v>
      </c>
      <c r="J24" s="2">
        <f>표.실시간[[#This Row],[시가총액 (조원)]]/표.실시간[[#This Row],[현재가]]*(표.실시간[[#This Row],[현재가]]-표.실시간[[#This Row],[대비]])</f>
        <v>37.426505689099997</v>
      </c>
      <c r="K24" s="3">
        <f>_xll.IMDP("STK",표.실시간[[#This Row],[nxt_code]],"전일대비")</f>
        <v>-100</v>
      </c>
      <c r="L24">
        <f>_xll.IMDP("STK",표.실시간[[#This Row],[nxt_code]],"등락률")</f>
        <v>-0.17</v>
      </c>
      <c r="M24" s="2">
        <f>_xll.IMDP("STK",표.실시간[[#This Row],[nxt_code]],"누적거래량")</f>
        <v>383139</v>
      </c>
      <c r="N24" s="2">
        <f>_xll.IMDP("STK",표.실시간[[#This Row],[nxt_code]],"누적거래대금")/10^8</f>
        <v>219.5032525</v>
      </c>
      <c r="O24" s="2">
        <f>_xll.IMDP("STK",표.실시간[[#This Row],[nxt_code]],"가중평균가")</f>
        <v>57290.313383000001</v>
      </c>
      <c r="P24" s="2">
        <f>_xll.IMDP("STK",표.실시간[[#This Row],[nxt_code]],"시가")</f>
        <v>58000</v>
      </c>
      <c r="Q24" s="2">
        <f>_xll.IMDP("STK",표.실시간[[#This Row],[nxt_code]],"고가")</f>
        <v>58500</v>
      </c>
      <c r="R24" s="2">
        <f>_xll.IMDP("STK",표.실시간[[#This Row],[nxt_code]],"저가")</f>
        <v>56800</v>
      </c>
      <c r="S24">
        <f>_xll.IMDP("STK",표.실시간[[#This Row],[nxt_code]],"세션명")</f>
        <v>0</v>
      </c>
      <c r="T24">
        <f>_xll.IMDP("STK",표.실시간[[#This Row],[nxt_code]],"체결시간")</f>
        <v>0</v>
      </c>
      <c r="U24" s="2">
        <f>_xll.IMDP("STK","015760","현재가")</f>
        <v>58300</v>
      </c>
      <c r="V24">
        <f>_xll.IMDP("STK","015760","누적거래량")</f>
        <v>296023</v>
      </c>
      <c r="W24" s="1">
        <v>4153.51</v>
      </c>
    </row>
    <row r="25" spans="2:23" x14ac:dyDescent="0.3">
      <c r="B25">
        <v>17</v>
      </c>
      <c r="C25">
        <v>1</v>
      </c>
      <c r="D25">
        <f>IF(IFERROR(INDEX(표.kospi200[code],MATCH(표.실시간[[#This Row],[코드]],표.kospi200[code],0)),0)=0,0,1)</f>
        <v>1</v>
      </c>
      <c r="E25" t="s">
        <v>30</v>
      </c>
      <c r="F25">
        <v>55550</v>
      </c>
      <c r="G25" t="str">
        <f>ConvertStockCode(표.실시간[[#This Row],[코드]])</f>
        <v>N055550</v>
      </c>
      <c r="H25" s="2">
        <f>_xll.IMDP("STK",표.실시간[[#This Row],[nxt_code]],"현재가")</f>
        <v>84900</v>
      </c>
      <c r="I25" s="2">
        <f>_xll.IMDP("STK",표.실시간[[#This Row],[nxt_code]],"시가총액")/10^12</f>
        <v>41.2185198966</v>
      </c>
      <c r="J25" s="2">
        <f>표.실시간[[#This Row],[시가총액 (조원)]]/표.실시간[[#This Row],[현재가]]*(표.실시간[[#This Row],[현재가]]-표.실시간[[#This Row],[대비]])</f>
        <v>40.927222936200003</v>
      </c>
      <c r="K25" s="3">
        <f>_xll.IMDP("STK",표.실시간[[#This Row],[nxt_code]],"전일대비")</f>
        <v>600</v>
      </c>
      <c r="L25">
        <f>_xll.IMDP("STK",표.실시간[[#This Row],[nxt_code]],"등락률")</f>
        <v>0.71</v>
      </c>
      <c r="M25" s="2">
        <f>_xll.IMDP("STK",표.실시간[[#This Row],[nxt_code]],"누적거래량")</f>
        <v>39262</v>
      </c>
      <c r="N25" s="2">
        <f>_xll.IMDP("STK",표.실시간[[#This Row],[nxt_code]],"누적거래대금")/10^8</f>
        <v>33.469517000000003</v>
      </c>
      <c r="O25" s="2">
        <f>_xll.IMDP("STK",표.실시간[[#This Row],[nxt_code]],"가중평균가")</f>
        <v>85246.592124999996</v>
      </c>
      <c r="P25" s="2">
        <f>_xll.IMDP("STK",표.실시간[[#This Row],[nxt_code]],"시가")</f>
        <v>84500</v>
      </c>
      <c r="Q25" s="2">
        <f>_xll.IMDP("STK",표.실시간[[#This Row],[nxt_code]],"고가")</f>
        <v>86000</v>
      </c>
      <c r="R25" s="2">
        <f>_xll.IMDP("STK",표.실시간[[#This Row],[nxt_code]],"저가")</f>
        <v>83900</v>
      </c>
      <c r="S25">
        <f>_xll.IMDP("STK",표.실시간[[#This Row],[nxt_code]],"세션명")</f>
        <v>0</v>
      </c>
      <c r="T25">
        <f>_xll.IMDP("STK",표.실시간[[#This Row],[nxt_code]],"체결시간")</f>
        <v>0</v>
      </c>
      <c r="U25" s="2">
        <f>_xll.IMDP("STK","055550","현재가")</f>
        <v>85500</v>
      </c>
      <c r="V25">
        <f>_xll.IMDP("STK","055550","누적거래량")</f>
        <v>142026</v>
      </c>
      <c r="W25">
        <v>745.83</v>
      </c>
    </row>
    <row r="26" spans="2:23" x14ac:dyDescent="0.3">
      <c r="B26">
        <v>18</v>
      </c>
      <c r="C26">
        <v>1</v>
      </c>
      <c r="D26">
        <f>IF(IFERROR(INDEX(표.kospi200[code],MATCH(표.실시간[[#This Row],[코드]],표.kospi200[code],0)),0)=0,0,1)</f>
        <v>1</v>
      </c>
      <c r="E26" t="s">
        <v>31</v>
      </c>
      <c r="F26">
        <v>35420</v>
      </c>
      <c r="G26" t="str">
        <f>ConvertStockCode(표.실시간[[#This Row],[코드]])</f>
        <v>N035420</v>
      </c>
      <c r="H26" s="2">
        <f>_xll.IMDP("STK",표.실시간[[#This Row],[nxt_code]],"현재가")</f>
        <v>274250</v>
      </c>
      <c r="I26" s="2">
        <f>_xll.IMDP("STK",표.실시간[[#This Row],[nxt_code]],"시가총액")/10^12</f>
        <v>43.016835971500001</v>
      </c>
      <c r="J26" s="2">
        <f>표.실시간[[#This Row],[시가총액 (조원)]]/표.실시간[[#This Row],[현재가]]*(표.실시간[[#This Row],[현재가]]-표.실시간[[#This Row],[대비]])</f>
        <v>43.134475449999996</v>
      </c>
      <c r="K26" s="3">
        <f>_xll.IMDP("STK",표.실시간[[#This Row],[nxt_code]],"전일대비")</f>
        <v>-750</v>
      </c>
      <c r="L26">
        <f>_xll.IMDP("STK",표.실시간[[#This Row],[nxt_code]],"등락률")</f>
        <v>-0.27</v>
      </c>
      <c r="M26" s="2">
        <f>_xll.IMDP("STK",표.실시간[[#This Row],[nxt_code]],"누적거래량")</f>
        <v>371759</v>
      </c>
      <c r="N26" s="2">
        <f>_xll.IMDP("STK",표.실시간[[#This Row],[nxt_code]],"누적거래대금")/10^8</f>
        <v>1003.77481</v>
      </c>
      <c r="O26" s="2">
        <f>_xll.IMDP("STK",표.실시간[[#This Row],[nxt_code]],"가중평균가")</f>
        <v>269928.432554</v>
      </c>
      <c r="P26" s="2">
        <f>_xll.IMDP("STK",표.실시간[[#This Row],[nxt_code]],"시가")</f>
        <v>269500</v>
      </c>
      <c r="Q26" s="2">
        <f>_xll.IMDP("STK",표.실시간[[#This Row],[nxt_code]],"고가")</f>
        <v>277000</v>
      </c>
      <c r="R26" s="2">
        <f>_xll.IMDP("STK",표.실시간[[#This Row],[nxt_code]],"저가")</f>
        <v>266000</v>
      </c>
      <c r="S26">
        <f>_xll.IMDP("STK",표.실시간[[#This Row],[nxt_code]],"세션명")</f>
        <v>0</v>
      </c>
      <c r="T26">
        <f>_xll.IMDP("STK",표.실시간[[#This Row],[nxt_code]],"체결시간")</f>
        <v>0</v>
      </c>
      <c r="U26" s="2">
        <f>_xll.IMDP("STK","035420","현재가")</f>
        <v>274500</v>
      </c>
      <c r="V26">
        <f>_xll.IMDP("STK","035420","누적거래량")</f>
        <v>206819</v>
      </c>
      <c r="W26" s="1">
        <v>1111.6300000000001</v>
      </c>
    </row>
    <row r="27" spans="2:23" x14ac:dyDescent="0.3">
      <c r="B27">
        <v>19</v>
      </c>
      <c r="C27">
        <v>1</v>
      </c>
      <c r="D27">
        <f>IF(IFERROR(INDEX(표.kospi200[code],MATCH(표.실시간[[#This Row],[코드]],표.kospi200[code],0)),0)=0,0,1)</f>
        <v>1</v>
      </c>
      <c r="E27" t="s">
        <v>32</v>
      </c>
      <c r="F27">
        <v>32830</v>
      </c>
      <c r="G27" t="str">
        <f>ConvertStockCode(표.실시간[[#This Row],[코드]])</f>
        <v>N032830</v>
      </c>
      <c r="H27" s="2">
        <f>_xll.IMDP("STK",표.실시간[[#This Row],[nxt_code]],"현재가")</f>
        <v>183900</v>
      </c>
      <c r="I27" s="2">
        <f>_xll.IMDP("STK",표.실시간[[#This Row],[nxt_code]],"시가총액")/10^12</f>
        <v>36.78</v>
      </c>
      <c r="J27" s="2">
        <f>표.실시간[[#This Row],[시가총액 (조원)]]/표.실시간[[#This Row],[현재가]]*(표.실시간[[#This Row],[현재가]]-표.실시간[[#This Row],[대비]])</f>
        <v>37.64</v>
      </c>
      <c r="K27" s="3">
        <f>_xll.IMDP("STK",표.실시간[[#This Row],[nxt_code]],"전일대비")</f>
        <v>-4300</v>
      </c>
      <c r="L27">
        <f>_xll.IMDP("STK",표.실시간[[#This Row],[nxt_code]],"등락률")</f>
        <v>-2.34</v>
      </c>
      <c r="M27" s="2">
        <f>_xll.IMDP("STK",표.실시간[[#This Row],[nxt_code]],"누적거래량")</f>
        <v>9922</v>
      </c>
      <c r="N27" s="2">
        <f>_xll.IMDP("STK",표.실시간[[#This Row],[nxt_code]],"누적거래대금")/10^8</f>
        <v>18.345694999999999</v>
      </c>
      <c r="O27" s="2">
        <f>_xll.IMDP("STK",표.실시간[[#This Row],[nxt_code]],"가중평균가")</f>
        <v>184843.27455900001</v>
      </c>
      <c r="P27" s="2">
        <f>_xll.IMDP("STK",표.실시간[[#This Row],[nxt_code]],"시가")</f>
        <v>187000</v>
      </c>
      <c r="Q27" s="2">
        <f>_xll.IMDP("STK",표.실시간[[#This Row],[nxt_code]],"고가")</f>
        <v>187000</v>
      </c>
      <c r="R27" s="2">
        <f>_xll.IMDP("STK",표.실시간[[#This Row],[nxt_code]],"저가")</f>
        <v>183700</v>
      </c>
      <c r="S27">
        <f>_xll.IMDP("STK",표.실시간[[#This Row],[nxt_code]],"세션명")</f>
        <v>0</v>
      </c>
      <c r="T27">
        <f>_xll.IMDP("STK",표.실시간[[#This Row],[nxt_code]],"체결시간")</f>
        <v>0</v>
      </c>
      <c r="U27" s="2">
        <f>_xll.IMDP("STK","032830","현재가")</f>
        <v>185200</v>
      </c>
      <c r="V27">
        <f>_xll.IMDP("STK","032830","누적거래량")</f>
        <v>18189</v>
      </c>
      <c r="W27" s="1">
        <v>4466.7700000000004</v>
      </c>
    </row>
    <row r="28" spans="2:23" x14ac:dyDescent="0.3">
      <c r="B28">
        <v>20</v>
      </c>
      <c r="C28">
        <v>1</v>
      </c>
      <c r="D28">
        <f>IF(IFERROR(INDEX(표.kospi200[code],MATCH(표.실시간[[#This Row],[코드]],표.kospi200[code],0)),0)=0,0,1)</f>
        <v>1</v>
      </c>
      <c r="E28" t="s">
        <v>33</v>
      </c>
      <c r="F28">
        <v>10130</v>
      </c>
      <c r="G28" t="str">
        <f>ConvertStockCode(표.실시간[[#This Row],[코드]])</f>
        <v>N010130</v>
      </c>
      <c r="H28" s="2">
        <f>_xll.IMDP("STK",표.실시간[[#This Row],[nxt_code]],"현재가")</f>
        <v>1690000</v>
      </c>
      <c r="I28" s="2">
        <f>_xll.IMDP("STK",표.실시간[[#This Row],[nxt_code]],"시가총액")/10^12</f>
        <v>35.275317610000002</v>
      </c>
      <c r="J28" s="2">
        <f>표.실시간[[#This Row],[시가총액 (조원)]]/표.실시간[[#This Row],[현재가]]*(표.실시간[[#This Row],[현재가]]-표.실시간[[#This Row],[대비]])</f>
        <v>39.929989697000003</v>
      </c>
      <c r="K28" s="3">
        <f>_xll.IMDP("STK",표.실시간[[#This Row],[nxt_code]],"전일대비")</f>
        <v>-223000</v>
      </c>
      <c r="L28">
        <f>_xll.IMDP("STK",표.실시간[[#This Row],[nxt_code]],"등락률")</f>
        <v>-10.3</v>
      </c>
      <c r="M28" s="2">
        <f>_xll.IMDP("STK",표.실시간[[#This Row],[nxt_code]],"누적거래량")</f>
        <v>40747</v>
      </c>
      <c r="N28" s="2">
        <f>_xll.IMDP("STK",표.실시간[[#This Row],[nxt_code]],"누적거래대금")/10^8</f>
        <v>687.80183999999997</v>
      </c>
      <c r="O28" s="2">
        <f>_xll.IMDP("STK",표.실시간[[#This Row],[nxt_code]],"가중평균가")</f>
        <v>1687940.0692080001</v>
      </c>
      <c r="P28" s="2">
        <f>_xll.IMDP("STK",표.실시간[[#This Row],[nxt_code]],"시가")</f>
        <v>1800000</v>
      </c>
      <c r="Q28" s="2">
        <f>_xll.IMDP("STK",표.실시간[[#This Row],[nxt_code]],"고가")</f>
        <v>1800000</v>
      </c>
      <c r="R28" s="2">
        <f>_xll.IMDP("STK",표.실시간[[#This Row],[nxt_code]],"저가")</f>
        <v>1652000</v>
      </c>
      <c r="S28">
        <f>_xll.IMDP("STK",표.실시간[[#This Row],[nxt_code]],"세션명")</f>
        <v>0</v>
      </c>
      <c r="T28">
        <f>_xll.IMDP("STK",표.실시간[[#This Row],[nxt_code]],"체결시간")</f>
        <v>0</v>
      </c>
      <c r="U28" s="2">
        <f>_xll.IMDP("STK","010130","현재가")</f>
        <v>1690000</v>
      </c>
      <c r="V28">
        <f>_xll.IMDP("STK","010130","누적거래량")</f>
        <v>17092</v>
      </c>
      <c r="W28" s="1">
        <v>2937.5</v>
      </c>
    </row>
    <row r="29" spans="2:23" x14ac:dyDescent="0.3">
      <c r="B29">
        <v>21</v>
      </c>
      <c r="C29">
        <v>1</v>
      </c>
      <c r="D29">
        <f>IF(IFERROR(INDEX(표.kospi200[code],MATCH(표.실시간[[#This Row],[코드]],표.kospi200[code],0)),0)=0,0,1)</f>
        <v>1</v>
      </c>
      <c r="E29" t="s">
        <v>34</v>
      </c>
      <c r="F29">
        <v>267260</v>
      </c>
      <c r="G29" t="str">
        <f>ConvertStockCode(표.실시간[[#This Row],[코드]])</f>
        <v>N267260</v>
      </c>
      <c r="H29" s="2">
        <f>_xll.IMDP("STK",표.실시간[[#This Row],[nxt_code]],"현재가")</f>
        <v>862000</v>
      </c>
      <c r="I29" s="2">
        <f>_xll.IMDP("STK",표.실시간[[#This Row],[nxt_code]],"시가총액")/10^12</f>
        <v>31.072630369999999</v>
      </c>
      <c r="J29" s="2">
        <f>표.실시간[[#This Row],[시가총액 (조원)]]/표.실시간[[#This Row],[현재가]]*(표.실시간[[#This Row],[현재가]]-표.실시간[[#This Row],[대비]])</f>
        <v>32.045903015</v>
      </c>
      <c r="K29" s="3">
        <f>_xll.IMDP("STK",표.실시간[[#This Row],[nxt_code]],"전일대비")</f>
        <v>-27000</v>
      </c>
      <c r="L29">
        <f>_xll.IMDP("STK",표.실시간[[#This Row],[nxt_code]],"등락률")</f>
        <v>-3.04</v>
      </c>
      <c r="M29" s="2">
        <f>_xll.IMDP("STK",표.실시간[[#This Row],[nxt_code]],"누적거래량")</f>
        <v>17218</v>
      </c>
      <c r="N29" s="2">
        <f>_xll.IMDP("STK",표.실시간[[#This Row],[nxt_code]],"누적거래대금")/10^8</f>
        <v>149.98695499999999</v>
      </c>
      <c r="O29" s="2">
        <f>_xll.IMDP("STK",표.실시간[[#This Row],[nxt_code]],"가중평균가")</f>
        <v>871105.55813699996</v>
      </c>
      <c r="P29" s="2">
        <f>_xll.IMDP("STK",표.실시간[[#This Row],[nxt_code]],"시가")</f>
        <v>887000</v>
      </c>
      <c r="Q29" s="2">
        <f>_xll.IMDP("STK",표.실시간[[#This Row],[nxt_code]],"고가")</f>
        <v>894000</v>
      </c>
      <c r="R29" s="2">
        <f>_xll.IMDP("STK",표.실시간[[#This Row],[nxt_code]],"저가")</f>
        <v>850000</v>
      </c>
      <c r="S29">
        <f>_xll.IMDP("STK",표.실시간[[#This Row],[nxt_code]],"세션명")</f>
        <v>0</v>
      </c>
      <c r="T29">
        <f>_xll.IMDP("STK",표.실시간[[#This Row],[nxt_code]],"체결시간")</f>
        <v>0</v>
      </c>
      <c r="U29" s="2">
        <f>_xll.IMDP("STK","267260","현재가")</f>
        <v>862000</v>
      </c>
      <c r="V29">
        <f>_xll.IMDP("STK","267260","누적거래량")</f>
        <v>24869</v>
      </c>
      <c r="W29" s="1">
        <v>4119.37</v>
      </c>
    </row>
    <row r="30" spans="2:23" x14ac:dyDescent="0.3">
      <c r="B30">
        <v>22</v>
      </c>
      <c r="C30">
        <v>1</v>
      </c>
      <c r="D30">
        <f>IF(IFERROR(INDEX(표.kospi200[code],MATCH(표.실시간[[#This Row],[코드]],표.kospi200[code],0)),0)=0,0,1)</f>
        <v>1</v>
      </c>
      <c r="E30" t="s">
        <v>35</v>
      </c>
      <c r="F30">
        <v>9540</v>
      </c>
      <c r="G30" t="str">
        <f>ConvertStockCode(표.실시간[[#This Row],[코드]])</f>
        <v>N009540</v>
      </c>
      <c r="H30" s="2">
        <f>_xll.IMDP("STK",표.실시간[[#This Row],[nxt_code]],"현재가")</f>
        <v>412500</v>
      </c>
      <c r="I30" s="2">
        <f>_xll.IMDP("STK",표.실시간[[#This Row],[nxt_code]],"시가총액")/10^12</f>
        <v>29.193910349999999</v>
      </c>
      <c r="J30" s="2">
        <f>표.실시간[[#This Row],[시가총액 (조원)]]/표.실시간[[#This Row],[현재가]]*(표.실시간[[#This Row],[현재가]]-표.실시간[[#This Row],[대비]])</f>
        <v>29.406229697999997</v>
      </c>
      <c r="K30" s="3">
        <f>_xll.IMDP("STK",표.실시간[[#This Row],[nxt_code]],"전일대비")</f>
        <v>-3000</v>
      </c>
      <c r="L30">
        <f>_xll.IMDP("STK",표.실시간[[#This Row],[nxt_code]],"등락률")</f>
        <v>-0.24</v>
      </c>
      <c r="M30" s="2">
        <f>_xll.IMDP("STK",표.실시간[[#This Row],[nxt_code]],"누적거래량")</f>
        <v>12644</v>
      </c>
      <c r="N30" s="2">
        <f>_xll.IMDP("STK",표.실시간[[#This Row],[nxt_code]],"누적거래대금")/10^8</f>
        <v>51.725974999999998</v>
      </c>
      <c r="O30" s="2">
        <f>_xll.IMDP("STK",표.실시간[[#This Row],[nxt_code]],"가중평균가")</f>
        <v>409095.02530799998</v>
      </c>
      <c r="P30" s="2">
        <f>_xll.IMDP("STK",표.실시간[[#This Row],[nxt_code]],"시가")</f>
        <v>412500</v>
      </c>
      <c r="Q30" s="2">
        <f>_xll.IMDP("STK",표.실시간[[#This Row],[nxt_code]],"고가")</f>
        <v>414000</v>
      </c>
      <c r="R30" s="2">
        <f>_xll.IMDP("STK",표.실시간[[#This Row],[nxt_code]],"저가")</f>
        <v>405000</v>
      </c>
      <c r="S30">
        <f>_xll.IMDP("STK",표.실시간[[#This Row],[nxt_code]],"세션명")</f>
        <v>0</v>
      </c>
      <c r="T30">
        <f>_xll.IMDP("STK",표.실시간[[#This Row],[nxt_code]],"체결시간")</f>
        <v>0</v>
      </c>
      <c r="U30" s="2">
        <f>_xll.IMDP("STK","009540","현재가")</f>
        <v>410500</v>
      </c>
      <c r="V30">
        <f>_xll.IMDP("STK","009540","누적거래량")</f>
        <v>13338</v>
      </c>
      <c r="W30" s="1">
        <v>2894.1</v>
      </c>
    </row>
    <row r="31" spans="2:23" x14ac:dyDescent="0.3">
      <c r="B31">
        <v>23</v>
      </c>
      <c r="C31">
        <v>1</v>
      </c>
      <c r="D31">
        <f>IF(IFERROR(INDEX(표.kospi200[code],MATCH(표.실시간[[#This Row],[코드]],표.kospi200[code],0)),0)=0,0,1)</f>
        <v>1</v>
      </c>
      <c r="E31" t="s">
        <v>36</v>
      </c>
      <c r="F31">
        <v>5490</v>
      </c>
      <c r="G31" t="str">
        <f>ConvertStockCode(표.실시간[[#This Row],[코드]])</f>
        <v>N005490</v>
      </c>
      <c r="H31" s="2">
        <f>_xll.IMDP("STK",표.실시간[[#This Row],[nxt_code]],"현재가")</f>
        <v>348750</v>
      </c>
      <c r="I31" s="2">
        <f>_xll.IMDP("STK",표.실시간[[#This Row],[nxt_code]],"시가총액")/10^12</f>
        <v>28.225367009999999</v>
      </c>
      <c r="J31" s="2">
        <f>표.실시간[[#This Row],[시가총액 (조원)]]/표.실시간[[#This Row],[현재가]]*(표.실시간[[#This Row],[현재가]]-표.실시간[[#This Row],[대비]])</f>
        <v>28.124200819999999</v>
      </c>
      <c r="K31" s="3">
        <f>_xll.IMDP("STK",표.실시간[[#This Row],[nxt_code]],"전일대비")</f>
        <v>1250</v>
      </c>
      <c r="L31">
        <f>_xll.IMDP("STK",표.실시간[[#This Row],[nxt_code]],"등락률")</f>
        <v>0.36</v>
      </c>
      <c r="M31" s="2">
        <f>_xll.IMDP("STK",표.실시간[[#This Row],[nxt_code]],"누적거래량")</f>
        <v>102714</v>
      </c>
      <c r="N31" s="2">
        <f>_xll.IMDP("STK",표.실시간[[#This Row],[nxt_code]],"누적거래대금")/10^8</f>
        <v>352.69777499999998</v>
      </c>
      <c r="O31" s="2">
        <f>_xll.IMDP("STK",표.실시간[[#This Row],[nxt_code]],"가중평균가")</f>
        <v>343368.40171000001</v>
      </c>
      <c r="P31" s="2">
        <f>_xll.IMDP("STK",표.실시간[[#This Row],[nxt_code]],"시가")</f>
        <v>347500</v>
      </c>
      <c r="Q31" s="2">
        <f>_xll.IMDP("STK",표.실시간[[#This Row],[nxt_code]],"고가")</f>
        <v>350500</v>
      </c>
      <c r="R31" s="2">
        <f>_xll.IMDP("STK",표.실시간[[#This Row],[nxt_code]],"저가")</f>
        <v>339000</v>
      </c>
      <c r="S31">
        <f>_xll.IMDP("STK",표.실시간[[#This Row],[nxt_code]],"세션명")</f>
        <v>0</v>
      </c>
      <c r="T31">
        <f>_xll.IMDP("STK",표.실시간[[#This Row],[nxt_code]],"체결시간")</f>
        <v>0</v>
      </c>
      <c r="U31" s="2">
        <f>_xll.IMDP("STK","005490","현재가")</f>
        <v>350500</v>
      </c>
      <c r="V31">
        <f>_xll.IMDP("STK","005490","누적거래량")</f>
        <v>74278</v>
      </c>
      <c r="W31" s="1">
        <v>5709.59</v>
      </c>
    </row>
    <row r="32" spans="2:23" x14ac:dyDescent="0.3">
      <c r="B32">
        <v>24</v>
      </c>
      <c r="C32">
        <v>1</v>
      </c>
      <c r="D32">
        <f>IF(IFERROR(INDEX(표.kospi200[code],MATCH(표.실시간[[#This Row],[코드]],표.kospi200[code],0)),0)=0,0,1)</f>
        <v>1</v>
      </c>
      <c r="E32" t="s">
        <v>37</v>
      </c>
      <c r="F32">
        <v>86790</v>
      </c>
      <c r="G32" t="str">
        <f>ConvertStockCode(표.실시간[[#This Row],[코드]])</f>
        <v>N086790</v>
      </c>
      <c r="H32" s="2">
        <f>_xll.IMDP("STK",표.실시간[[#This Row],[nxt_code]],"현재가")</f>
        <v>105000</v>
      </c>
      <c r="I32" s="2">
        <f>_xll.IMDP("STK",표.실시간[[#This Row],[nxt_code]],"시가총액")/10^12</f>
        <v>29.224210469999999</v>
      </c>
      <c r="J32" s="2">
        <f>표.실시간[[#This Row],[시가총액 (조원)]]/표.실시간[[#This Row],[현재가]]*(표.실시간[[#This Row],[현재가]]-표.실시간[[#This Row],[대비]])</f>
        <v>28.138739795399999</v>
      </c>
      <c r="K32" s="3">
        <f>_xll.IMDP("STK",표.실시간[[#This Row],[nxt_code]],"전일대비")</f>
        <v>3900</v>
      </c>
      <c r="L32">
        <f>_xll.IMDP("STK",표.실시간[[#This Row],[nxt_code]],"등락률")</f>
        <v>4.9000000000000004</v>
      </c>
      <c r="M32" s="2">
        <f>_xll.IMDP("STK",표.실시간[[#This Row],[nxt_code]],"누적거래량")</f>
        <v>91696</v>
      </c>
      <c r="N32" s="2">
        <f>_xll.IMDP("STK",표.실시간[[#This Row],[nxt_code]],"누적거래대금")/10^8</f>
        <v>94.500996499999999</v>
      </c>
      <c r="O32" s="2">
        <f>_xll.IMDP("STK",표.실시간[[#This Row],[nxt_code]],"가중평균가")</f>
        <v>103028.680375</v>
      </c>
      <c r="P32" s="2">
        <f>_xll.IMDP("STK",표.실시간[[#This Row],[nxt_code]],"시가")</f>
        <v>100100</v>
      </c>
      <c r="Q32" s="2">
        <f>_xll.IMDP("STK",표.실시간[[#This Row],[nxt_code]],"고가")</f>
        <v>105100</v>
      </c>
      <c r="R32" s="2">
        <f>_xll.IMDP("STK",표.실시간[[#This Row],[nxt_code]],"저가")</f>
        <v>100000</v>
      </c>
      <c r="S32">
        <f>_xll.IMDP("STK",표.실시간[[#This Row],[nxt_code]],"세션명")</f>
        <v>0</v>
      </c>
      <c r="T32">
        <f>_xll.IMDP("STK",표.실시간[[#This Row],[nxt_code]],"체결시간")</f>
        <v>0</v>
      </c>
      <c r="U32" s="2">
        <f>_xll.IMDP("STK","086790","현재가")</f>
        <v>105000</v>
      </c>
      <c r="V32">
        <f>_xll.IMDP("STK","086790","누적거래량")</f>
        <v>209637</v>
      </c>
      <c r="W32" s="1">
        <v>1519.36</v>
      </c>
    </row>
    <row r="33" spans="2:23" x14ac:dyDescent="0.3">
      <c r="B33">
        <v>25</v>
      </c>
      <c r="C33">
        <v>1</v>
      </c>
      <c r="D33">
        <f>IF(IFERROR(INDEX(표.kospi200[code],MATCH(표.실시간[[#This Row],[코드]],표.kospi200[code],0)),0)=0,0,1)</f>
        <v>1</v>
      </c>
      <c r="E33" t="s">
        <v>38</v>
      </c>
      <c r="F33">
        <v>10140</v>
      </c>
      <c r="G33" t="str">
        <f>ConvertStockCode(표.실시간[[#This Row],[코드]])</f>
        <v>N010140</v>
      </c>
      <c r="H33" s="2">
        <f>_xll.IMDP("STK",표.실시간[[#This Row],[nxt_code]],"현재가")</f>
        <v>28350</v>
      </c>
      <c r="I33" s="2">
        <f>_xll.IMDP("STK",표.실시간[[#This Row],[nxt_code]],"시가총액")/10^12</f>
        <v>24.948</v>
      </c>
      <c r="J33" s="2">
        <f>표.실시간[[#This Row],[시가총액 (조원)]]/표.실시간[[#This Row],[현재가]]*(표.실시간[[#This Row],[현재가]]-표.실시간[[#This Row],[대비]])</f>
        <v>25.916</v>
      </c>
      <c r="K33" s="3">
        <f>_xll.IMDP("STK",표.실시간[[#This Row],[nxt_code]],"전일대비")</f>
        <v>-1100</v>
      </c>
      <c r="L33">
        <f>_xll.IMDP("STK",표.실시간[[#This Row],[nxt_code]],"등락률")</f>
        <v>-3.74</v>
      </c>
      <c r="M33" s="2">
        <f>_xll.IMDP("STK",표.실시간[[#This Row],[nxt_code]],"누적거래량")</f>
        <v>1001841</v>
      </c>
      <c r="N33" s="2">
        <f>_xll.IMDP("STK",표.실시간[[#This Row],[nxt_code]],"누적거래대금")/10^8</f>
        <v>287.82205325000001</v>
      </c>
      <c r="O33" s="2">
        <f>_xll.IMDP("STK",표.실시간[[#This Row],[nxt_code]],"가중평균가")</f>
        <v>28729.314656999999</v>
      </c>
      <c r="P33" s="2">
        <f>_xll.IMDP("STK",표.실시간[[#This Row],[nxt_code]],"시가")</f>
        <v>29500</v>
      </c>
      <c r="Q33" s="2">
        <f>_xll.IMDP("STK",표.실시간[[#This Row],[nxt_code]],"고가")</f>
        <v>29500</v>
      </c>
      <c r="R33" s="2">
        <f>_xll.IMDP("STK",표.실시간[[#This Row],[nxt_code]],"저가")</f>
        <v>28000</v>
      </c>
      <c r="S33">
        <f>_xll.IMDP("STK",표.실시간[[#This Row],[nxt_code]],"세션명")</f>
        <v>0</v>
      </c>
      <c r="T33">
        <f>_xll.IMDP("STK",표.실시간[[#This Row],[nxt_code]],"체결시간")</f>
        <v>0</v>
      </c>
      <c r="U33" s="2">
        <f>_xll.IMDP("STK","010140","현재가")</f>
        <v>28500</v>
      </c>
      <c r="V33">
        <f>_xll.IMDP("STK","010140","누적거래량")</f>
        <v>899943</v>
      </c>
      <c r="W33" s="1">
        <v>3196.07</v>
      </c>
    </row>
    <row r="34" spans="2:23" x14ac:dyDescent="0.3">
      <c r="B34">
        <v>26</v>
      </c>
      <c r="C34">
        <v>1</v>
      </c>
      <c r="D34">
        <f>IF(IFERROR(INDEX(표.kospi200[code],MATCH(표.실시간[[#This Row],[코드]],표.kospi200[code],0)),0)=0,0,1)</f>
        <v>1</v>
      </c>
      <c r="E34" t="s">
        <v>39</v>
      </c>
      <c r="F34">
        <v>6400</v>
      </c>
      <c r="G34" t="str">
        <f>ConvertStockCode(표.실시간[[#This Row],[코드]])</f>
        <v>N006400</v>
      </c>
      <c r="H34" s="2">
        <f>_xll.IMDP("STK",표.실시간[[#This Row],[nxt_code]],"현재가")</f>
        <v>384000</v>
      </c>
      <c r="I34" s="2">
        <f>_xll.IMDP("STK",표.실시간[[#This Row],[nxt_code]],"시가총액")/10^12</f>
        <v>30.944843519999999</v>
      </c>
      <c r="J34" s="2">
        <f>표.실시간[[#This Row],[시가총액 (조원)]]/표.실시간[[#This Row],[현재가]]*(표.실시간[[#This Row],[현재가]]-표.실시간[[#This Row],[대비]])</f>
        <v>31.428356699999998</v>
      </c>
      <c r="K34" s="3">
        <f>_xll.IMDP("STK",표.실시간[[#This Row],[nxt_code]],"전일대비")</f>
        <v>-6000</v>
      </c>
      <c r="L34">
        <f>_xll.IMDP("STK",표.실시간[[#This Row],[nxt_code]],"등락률")</f>
        <v>-1.54</v>
      </c>
      <c r="M34" s="2">
        <f>_xll.IMDP("STK",표.실시간[[#This Row],[nxt_code]],"누적거래량")</f>
        <v>288190</v>
      </c>
      <c r="N34" s="2">
        <f>_xll.IMDP("STK",표.실시간[[#This Row],[nxt_code]],"누적거래대금")/10^8</f>
        <v>1089.74485</v>
      </c>
      <c r="O34" s="2">
        <f>_xll.IMDP("STK",표.실시간[[#This Row],[nxt_code]],"가중평균가")</f>
        <v>378134.16496099997</v>
      </c>
      <c r="P34" s="2">
        <f>_xll.IMDP("STK",표.실시간[[#This Row],[nxt_code]],"시가")</f>
        <v>390000</v>
      </c>
      <c r="Q34" s="2">
        <f>_xll.IMDP("STK",표.실시간[[#This Row],[nxt_code]],"고가")</f>
        <v>390000</v>
      </c>
      <c r="R34" s="2">
        <f>_xll.IMDP("STK",표.실시간[[#This Row],[nxt_code]],"저가")</f>
        <v>373500</v>
      </c>
      <c r="S34">
        <f>_xll.IMDP("STK",표.실시간[[#This Row],[nxt_code]],"세션명")</f>
        <v>0</v>
      </c>
      <c r="T34">
        <f>_xll.IMDP("STK",표.실시간[[#This Row],[nxt_code]],"체결시간")</f>
        <v>0</v>
      </c>
      <c r="U34" s="2">
        <f>_xll.IMDP("STK","006400","현재가")</f>
        <v>384000</v>
      </c>
      <c r="V34">
        <f>_xll.IMDP("STK","006400","누적거래량")</f>
        <v>132620</v>
      </c>
      <c r="W34" s="1">
        <v>3384.51</v>
      </c>
    </row>
    <row r="35" spans="2:23" x14ac:dyDescent="0.3">
      <c r="B35">
        <v>27</v>
      </c>
      <c r="C35">
        <v>1</v>
      </c>
      <c r="D35">
        <f>IF(IFERROR(INDEX(표.kospi200[code],MATCH(표.실시간[[#This Row],[코드]],표.kospi200[code],0)),0)=0,0,1)</f>
        <v>1</v>
      </c>
      <c r="E35" t="s">
        <v>40</v>
      </c>
      <c r="F35">
        <v>35720</v>
      </c>
      <c r="G35" t="str">
        <f>ConvertStockCode(표.실시간[[#This Row],[코드]])</f>
        <v>N035720</v>
      </c>
      <c r="H35" s="2">
        <f>_xll.IMDP("STK",표.실시간[[#This Row],[nxt_code]],"현재가")</f>
        <v>60000</v>
      </c>
      <c r="I35" s="2">
        <f>_xll.IMDP("STK",표.실시간[[#This Row],[nxt_code]],"시가총액")/10^12</f>
        <v>26.549713199999999</v>
      </c>
      <c r="J35" s="2">
        <f>표.실시간[[#This Row],[시가총액 (조원)]]/표.실시간[[#This Row],[현재가]]*(표.실시간[[#This Row],[현재가]]-표.실시간[[#This Row],[대비]])</f>
        <v>27.169206507999998</v>
      </c>
      <c r="K35" s="3">
        <f>_xll.IMDP("STK",표.실시간[[#This Row],[nxt_code]],"전일대비")</f>
        <v>-1400</v>
      </c>
      <c r="L35">
        <f>_xll.IMDP("STK",표.실시간[[#This Row],[nxt_code]],"등락률")</f>
        <v>-2.2799999999999998</v>
      </c>
      <c r="M35" s="2">
        <f>_xll.IMDP("STK",표.실시간[[#This Row],[nxt_code]],"누적거래량")</f>
        <v>420085</v>
      </c>
      <c r="N35" s="2">
        <f>_xll.IMDP("STK",표.실시간[[#This Row],[nxt_code]],"누적거래대금")/10^8</f>
        <v>253.29316499999999</v>
      </c>
      <c r="O35" s="2">
        <f>_xll.IMDP("STK",표.실시간[[#This Row],[nxt_code]],"가중평균가")</f>
        <v>60295.693728999999</v>
      </c>
      <c r="P35" s="2">
        <f>_xll.IMDP("STK",표.실시간[[#This Row],[nxt_code]],"시가")</f>
        <v>61100</v>
      </c>
      <c r="Q35" s="2">
        <f>_xll.IMDP("STK",표.실시간[[#This Row],[nxt_code]],"고가")</f>
        <v>61200</v>
      </c>
      <c r="R35" s="2">
        <f>_xll.IMDP("STK",표.실시간[[#This Row],[nxt_code]],"저가")</f>
        <v>59800</v>
      </c>
      <c r="S35">
        <f>_xll.IMDP("STK",표.실시간[[#This Row],[nxt_code]],"세션명")</f>
        <v>0</v>
      </c>
      <c r="T35">
        <f>_xll.IMDP("STK",표.실시간[[#This Row],[nxt_code]],"체결시간")</f>
        <v>0</v>
      </c>
      <c r="U35" s="2">
        <f>_xll.IMDP("STK","035720","현재가")</f>
        <v>60000</v>
      </c>
      <c r="V35">
        <f>_xll.IMDP("STK","035720","누적거래량")</f>
        <v>306027</v>
      </c>
      <c r="W35" s="1">
        <v>3143.41</v>
      </c>
    </row>
    <row r="36" spans="2:23" x14ac:dyDescent="0.3">
      <c r="B36">
        <v>28</v>
      </c>
      <c r="C36">
        <v>1</v>
      </c>
      <c r="D36">
        <f>IF(IFERROR(INDEX(표.kospi200[code],MATCH(표.실시간[[#This Row],[코드]],표.kospi200[code],0)),0)=0,0,1)</f>
        <v>1</v>
      </c>
      <c r="E36" t="s">
        <v>41</v>
      </c>
      <c r="F36">
        <v>51910</v>
      </c>
      <c r="G36" t="str">
        <f>ConvertStockCode(표.실시간[[#This Row],[코드]])</f>
        <v>N051910</v>
      </c>
      <c r="H36" s="2">
        <f>_xll.IMDP("STK",표.실시간[[#This Row],[nxt_code]],"현재가")</f>
        <v>309500</v>
      </c>
      <c r="I36" s="2">
        <f>_xll.IMDP("STK",표.실시간[[#This Row],[nxt_code]],"시가총액")/10^12</f>
        <v>21.848330158500001</v>
      </c>
      <c r="J36" s="2">
        <f>표.실시간[[#This Row],[시가총액 (조원)]]/표.실시간[[#This Row],[현재가]]*(표.실시간[[#This Row],[현재가]]-표.실시간[[#This Row],[대비]])</f>
        <v>21.918922501499999</v>
      </c>
      <c r="K36" s="3">
        <f>_xll.IMDP("STK",표.실시간[[#This Row],[nxt_code]],"전일대비")</f>
        <v>-1000</v>
      </c>
      <c r="L36">
        <f>_xll.IMDP("STK",표.실시간[[#This Row],[nxt_code]],"등락률")</f>
        <v>-0.16</v>
      </c>
      <c r="M36" s="2">
        <f>_xll.IMDP("STK",표.실시간[[#This Row],[nxt_code]],"누적거래량")</f>
        <v>43418</v>
      </c>
      <c r="N36" s="2">
        <f>_xll.IMDP("STK",표.실시간[[#This Row],[nxt_code]],"누적거래대금")/10^8</f>
        <v>134.360535</v>
      </c>
      <c r="O36" s="2">
        <f>_xll.IMDP("STK",표.실시간[[#This Row],[nxt_code]],"가중평균가")</f>
        <v>308745.30148800003</v>
      </c>
      <c r="P36" s="2">
        <f>_xll.IMDP("STK",표.실시간[[#This Row],[nxt_code]],"시가")</f>
        <v>314500</v>
      </c>
      <c r="Q36" s="2">
        <f>_xll.IMDP("STK",표.실시간[[#This Row],[nxt_code]],"고가")</f>
        <v>314500</v>
      </c>
      <c r="R36" s="2">
        <f>_xll.IMDP("STK",표.실시간[[#This Row],[nxt_code]],"저가")</f>
        <v>304500</v>
      </c>
      <c r="S36">
        <f>_xll.IMDP("STK",표.실시간[[#This Row],[nxt_code]],"세션명")</f>
        <v>0</v>
      </c>
      <c r="T36">
        <f>_xll.IMDP("STK",표.실시간[[#This Row],[nxt_code]],"체결시간")</f>
        <v>0</v>
      </c>
      <c r="U36" s="2">
        <f>_xll.IMDP("STK","051910","현재가")</f>
        <v>309500</v>
      </c>
      <c r="V36">
        <f>_xll.IMDP("STK","051910","누적거래량")</f>
        <v>44908</v>
      </c>
      <c r="W36" s="1">
        <v>6859.14</v>
      </c>
    </row>
    <row r="37" spans="2:23" x14ac:dyDescent="0.3">
      <c r="B37">
        <v>29</v>
      </c>
      <c r="C37">
        <v>1</v>
      </c>
      <c r="D37">
        <f>IF(IFERROR(INDEX(표.kospi200[code],MATCH(표.실시간[[#This Row],[코드]],표.kospi200[code],0)),0)=0,0,1)</f>
        <v>1</v>
      </c>
      <c r="E37" t="s">
        <v>42</v>
      </c>
      <c r="F37">
        <v>64350</v>
      </c>
      <c r="G37" t="str">
        <f>ConvertStockCode(표.실시간[[#This Row],[코드]])</f>
        <v>N064350</v>
      </c>
      <c r="H37" s="2">
        <f>_xll.IMDP("STK",표.실시간[[#This Row],[nxt_code]],"현재가")</f>
        <v>231000</v>
      </c>
      <c r="I37" s="2">
        <f>_xll.IMDP("STK",표.실시간[[#This Row],[nxt_code]],"시가총액")/10^12</f>
        <v>25.211869683</v>
      </c>
      <c r="J37" s="2">
        <f>표.실시간[[#This Row],[시가총액 (조원)]]/표.실시간[[#This Row],[현재가]]*(표.실시간[[#This Row],[현재가]]-표.실시간[[#This Row],[대비]])</f>
        <v>25.157298536500001</v>
      </c>
      <c r="K37" s="3">
        <f>_xll.IMDP("STK",표.실시간[[#This Row],[nxt_code]],"전일대비")</f>
        <v>500</v>
      </c>
      <c r="L37">
        <f>_xll.IMDP("STK",표.실시간[[#This Row],[nxt_code]],"등락률")</f>
        <v>0.22</v>
      </c>
      <c r="M37" s="2">
        <f>_xll.IMDP("STK",표.실시간[[#This Row],[nxt_code]],"누적거래량")</f>
        <v>208623</v>
      </c>
      <c r="N37" s="2">
        <f>_xll.IMDP("STK",표.실시간[[#This Row],[nxt_code]],"누적거래대금")/10^8</f>
        <v>470.79405250000002</v>
      </c>
      <c r="O37" s="2">
        <f>_xll.IMDP("STK",표.실시간[[#This Row],[nxt_code]],"가중평균가")</f>
        <v>225661.968911</v>
      </c>
      <c r="P37" s="2">
        <f>_xll.IMDP("STK",표.실시간[[#This Row],[nxt_code]],"시가")</f>
        <v>227500</v>
      </c>
      <c r="Q37" s="2">
        <f>_xll.IMDP("STK",표.실시간[[#This Row],[nxt_code]],"고가")</f>
        <v>234000</v>
      </c>
      <c r="R37" s="2">
        <f>_xll.IMDP("STK",표.실시간[[#This Row],[nxt_code]],"저가")</f>
        <v>217000</v>
      </c>
      <c r="S37">
        <f>_xll.IMDP("STK",표.실시간[[#This Row],[nxt_code]],"세션명")</f>
        <v>0</v>
      </c>
      <c r="T37">
        <f>_xll.IMDP("STK",표.실시간[[#This Row],[nxt_code]],"체결시간")</f>
        <v>0</v>
      </c>
      <c r="U37" s="2">
        <f>_xll.IMDP("STK","064350","현재가")</f>
        <v>231000</v>
      </c>
      <c r="V37">
        <f>_xll.IMDP("STK","064350","누적거래량")</f>
        <v>188385</v>
      </c>
      <c r="W37" s="1">
        <v>2923.59</v>
      </c>
    </row>
    <row r="38" spans="2:23" x14ac:dyDescent="0.3">
      <c r="B38">
        <v>30</v>
      </c>
      <c r="C38">
        <v>1</v>
      </c>
      <c r="D38">
        <f>IF(IFERROR(INDEX(표.kospi200[code],MATCH(표.실시간[[#This Row],[코드]],표.kospi200[code],0)),0)=0,0,1)</f>
        <v>1</v>
      </c>
      <c r="E38" t="s">
        <v>43</v>
      </c>
      <c r="F38">
        <v>810</v>
      </c>
      <c r="G38" t="str">
        <f>ConvertStockCode(표.실시간[[#This Row],[코드]])</f>
        <v>N000810</v>
      </c>
      <c r="H38" s="2">
        <f>_xll.IMDP("STK",표.실시간[[#This Row],[nxt_code]],"현재가")</f>
        <v>492000</v>
      </c>
      <c r="I38" s="2">
        <f>_xll.IMDP("STK",표.실시간[[#This Row],[nxt_code]],"시가총액")/10^12</f>
        <v>22.637488260000001</v>
      </c>
      <c r="J38" s="2">
        <f>표.실시간[[#This Row],[시가총액 (조원)]]/표.실시간[[#This Row],[현재가]]*(표.실시간[[#This Row],[현재가]]-표.실시간[[#This Row],[대비]])</f>
        <v>23.051588655</v>
      </c>
      <c r="K38" s="3">
        <f>_xll.IMDP("STK",표.실시간[[#This Row],[nxt_code]],"전일대비")</f>
        <v>-9000</v>
      </c>
      <c r="L38">
        <f>_xll.IMDP("STK",표.실시간[[#This Row],[nxt_code]],"등락률")</f>
        <v>-1.8</v>
      </c>
      <c r="M38" s="2">
        <f>_xll.IMDP("STK",표.실시간[[#This Row],[nxt_code]],"누적거래량")</f>
        <v>2056</v>
      </c>
      <c r="N38" s="2">
        <f>_xll.IMDP("STK",표.실시간[[#This Row],[nxt_code]],"누적거래대금")/10^8</f>
        <v>10.210545</v>
      </c>
      <c r="O38" s="2">
        <f>_xll.IMDP("STK",표.실시간[[#This Row],[nxt_code]],"가중평균가")</f>
        <v>496139.21282800002</v>
      </c>
      <c r="P38" s="2">
        <f>_xll.IMDP("STK",표.실시간[[#This Row],[nxt_code]],"시가")</f>
        <v>501000</v>
      </c>
      <c r="Q38" s="2">
        <f>_xll.IMDP("STK",표.실시간[[#This Row],[nxt_code]],"고가")</f>
        <v>502000</v>
      </c>
      <c r="R38" s="2">
        <f>_xll.IMDP("STK",표.실시간[[#This Row],[nxt_code]],"저가")</f>
        <v>492000</v>
      </c>
      <c r="S38">
        <f>_xll.IMDP("STK",표.실시간[[#This Row],[nxt_code]],"세션명")</f>
        <v>0</v>
      </c>
      <c r="T38">
        <f>_xll.IMDP("STK",표.실시간[[#This Row],[nxt_code]],"체결시간")</f>
        <v>0</v>
      </c>
      <c r="U38" s="2">
        <f>_xll.IMDP("STK","000810","현재가")</f>
        <v>493500</v>
      </c>
      <c r="V38">
        <f>_xll.IMDP("STK","000810","누적거래량")</f>
        <v>6472</v>
      </c>
      <c r="W38" s="1">
        <v>1808.57</v>
      </c>
    </row>
    <row r="39" spans="2:23" x14ac:dyDescent="0.3">
      <c r="B39">
        <v>31</v>
      </c>
      <c r="C39">
        <v>1</v>
      </c>
      <c r="D39">
        <f>IF(IFERROR(INDEX(표.kospi200[code],MATCH(표.실시간[[#This Row],[코드]],표.kospi200[code],0)),0)=0,0,1)</f>
        <v>1</v>
      </c>
      <c r="E39" t="s">
        <v>44</v>
      </c>
      <c r="F39">
        <v>86280</v>
      </c>
      <c r="G39" t="str">
        <f>ConvertStockCode(표.실시간[[#This Row],[코드]])</f>
        <v>N086280</v>
      </c>
      <c r="H39" s="2">
        <f>_xll.IMDP("STK",표.실시간[[#This Row],[nxt_code]],"현재가")</f>
        <v>247000</v>
      </c>
      <c r="I39" s="2">
        <f>_xll.IMDP("STK",표.실시간[[#This Row],[nxt_code]],"시가총액")/10^12</f>
        <v>18.524999999999999</v>
      </c>
      <c r="J39" s="2">
        <f>표.실시간[[#This Row],[시가총액 (조원)]]/표.실시간[[#This Row],[현재가]]*(표.실시간[[#This Row],[현재가]]-표.실시간[[#This Row],[대비]])</f>
        <v>18.149999999999999</v>
      </c>
      <c r="K39" s="3">
        <f>_xll.IMDP("STK",표.실시간[[#This Row],[nxt_code]],"전일대비")</f>
        <v>5000</v>
      </c>
      <c r="L39">
        <f>_xll.IMDP("STK",표.실시간[[#This Row],[nxt_code]],"등락률")</f>
        <v>2.0699999999999998</v>
      </c>
      <c r="M39" s="2">
        <f>_xll.IMDP("STK",표.실시간[[#This Row],[nxt_code]],"누적거래량")</f>
        <v>58622</v>
      </c>
      <c r="N39" s="2">
        <f>_xll.IMDP("STK",표.실시간[[#This Row],[nxt_code]],"누적거래대금")/10^8</f>
        <v>139.545975</v>
      </c>
      <c r="O39" s="2">
        <f>_xll.IMDP("STK",표.실시간[[#This Row],[nxt_code]],"가중평균가")</f>
        <v>238043.69519999999</v>
      </c>
      <c r="P39" s="2">
        <f>_xll.IMDP("STK",표.실시간[[#This Row],[nxt_code]],"시가")</f>
        <v>242500</v>
      </c>
      <c r="Q39" s="2">
        <f>_xll.IMDP("STK",표.실시간[[#This Row],[nxt_code]],"고가")</f>
        <v>247000</v>
      </c>
      <c r="R39" s="2">
        <f>_xll.IMDP("STK",표.실시간[[#This Row],[nxt_code]],"저가")</f>
        <v>234500</v>
      </c>
      <c r="S39">
        <f>_xll.IMDP("STK",표.실시간[[#This Row],[nxt_code]],"세션명")</f>
        <v>0</v>
      </c>
      <c r="T39">
        <f>_xll.IMDP("STK",표.실시간[[#This Row],[nxt_code]],"체결시간")</f>
        <v>0</v>
      </c>
      <c r="U39" s="2">
        <f>_xll.IMDP("STK","086280","현재가")</f>
        <v>246500</v>
      </c>
      <c r="V39">
        <f>_xll.IMDP("STK","086280","누적거래량")</f>
        <v>70071</v>
      </c>
      <c r="W39" s="1">
        <v>11772.12</v>
      </c>
    </row>
    <row r="40" spans="2:23" x14ac:dyDescent="0.3">
      <c r="B40">
        <v>32</v>
      </c>
      <c r="C40">
        <v>1</v>
      </c>
      <c r="D40">
        <f>IF(IFERROR(INDEX(표.kospi200[code],MATCH(표.실시간[[#This Row],[코드]],표.kospi200[code],0)),0)=0,0,1)</f>
        <v>1</v>
      </c>
      <c r="E40" t="s">
        <v>45</v>
      </c>
      <c r="F40">
        <v>298040</v>
      </c>
      <c r="G40" t="str">
        <f>ConvertStockCode(표.실시간[[#This Row],[코드]])</f>
        <v>N298040</v>
      </c>
      <c r="H40" s="2">
        <f>_xll.IMDP("STK",표.실시간[[#This Row],[nxt_code]],"현재가")</f>
        <v>2403000</v>
      </c>
      <c r="I40" s="2">
        <f>_xll.IMDP("STK",표.실시간[[#This Row],[nxt_code]],"시가총액")/10^12</f>
        <v>22.406888844000001</v>
      </c>
      <c r="J40" s="2">
        <f>표.실시간[[#This Row],[시가총액 (조원)]]/표.실시간[[#This Row],[현재가]]*(표.실시간[[#This Row],[현재가]]-표.실시간[[#This Row],[대비]])</f>
        <v>24.271798443999998</v>
      </c>
      <c r="K40" s="3">
        <f>_xll.IMDP("STK",표.실시간[[#This Row],[nxt_code]],"전일대비")</f>
        <v>-200000</v>
      </c>
      <c r="L40">
        <f>_xll.IMDP("STK",표.실시간[[#This Row],[nxt_code]],"등락률")</f>
        <v>-7.68</v>
      </c>
      <c r="M40" s="2">
        <f>_xll.IMDP("STK",표.실시간[[#This Row],[nxt_code]],"누적거래량")</f>
        <v>19355</v>
      </c>
      <c r="N40" s="2">
        <f>_xll.IMDP("STK",표.실시간[[#This Row],[nxt_code]],"누적거래대금")/10^8</f>
        <v>475.68837000000002</v>
      </c>
      <c r="O40" s="2">
        <f>_xll.IMDP("STK",표.실시간[[#This Row],[nxt_code]],"가중평균가")</f>
        <v>2457702.7641440001</v>
      </c>
      <c r="P40" s="2">
        <f>_xll.IMDP("STK",표.실시간[[#This Row],[nxt_code]],"시가")</f>
        <v>2494000</v>
      </c>
      <c r="Q40" s="2">
        <f>_xll.IMDP("STK",표.실시간[[#This Row],[nxt_code]],"고가")</f>
        <v>2530000</v>
      </c>
      <c r="R40" s="2">
        <f>_xll.IMDP("STK",표.실시간[[#This Row],[nxt_code]],"저가")</f>
        <v>2365000</v>
      </c>
      <c r="S40">
        <f>_xll.IMDP("STK",표.실시간[[#This Row],[nxt_code]],"세션명")</f>
        <v>0</v>
      </c>
      <c r="T40">
        <f>_xll.IMDP("STK",표.실시간[[#This Row],[nxt_code]],"체결시간")</f>
        <v>0</v>
      </c>
      <c r="U40" s="2">
        <f>_xll.IMDP("STK","298040","현재가")</f>
        <v>2403000</v>
      </c>
      <c r="V40">
        <f>_xll.IMDP("STK","298040","누적거래량")</f>
        <v>20431</v>
      </c>
    </row>
    <row r="41" spans="2:23" x14ac:dyDescent="0.3">
      <c r="B41">
        <v>33</v>
      </c>
      <c r="C41">
        <v>1</v>
      </c>
      <c r="D41">
        <f>IF(IFERROR(INDEX(표.kospi200[code],MATCH(표.실시간[[#This Row],[코드]],표.kospi200[code],0)),0)=0,0,1)</f>
        <v>1</v>
      </c>
      <c r="E41" t="s">
        <v>46</v>
      </c>
      <c r="F41">
        <v>34730</v>
      </c>
      <c r="G41" t="str">
        <f>ConvertStockCode(표.실시간[[#This Row],[코드]])</f>
        <v>N034730</v>
      </c>
      <c r="H41" s="2">
        <f>_xll.IMDP("STK",표.실시간[[#This Row],[nxt_code]],"현재가")</f>
        <v>321500</v>
      </c>
      <c r="I41" s="2">
        <f>_xll.IMDP("STK",표.실시간[[#This Row],[nxt_code]],"시가총액")/10^12</f>
        <v>23.309619014500001</v>
      </c>
      <c r="J41" s="2">
        <f>표.실시간[[#This Row],[시가총액 (조원)]]/표.실시간[[#This Row],[현재가]]*(표.실시간[[#This Row],[현재가]]-표.실시간[[#This Row],[대비]])</f>
        <v>24.1796514505</v>
      </c>
      <c r="K41" s="3">
        <f>_xll.IMDP("STK",표.실시간[[#This Row],[nxt_code]],"전일대비")</f>
        <v>-12000</v>
      </c>
      <c r="L41">
        <f>_xll.IMDP("STK",표.실시간[[#This Row],[nxt_code]],"등락률")</f>
        <v>-3.6</v>
      </c>
      <c r="M41" s="2">
        <f>_xll.IMDP("STK",표.실시간[[#This Row],[nxt_code]],"누적거래량")</f>
        <v>32860</v>
      </c>
      <c r="N41" s="2">
        <f>_xll.IMDP("STK",표.실시간[[#This Row],[nxt_code]],"누적거래대금")/10^8</f>
        <v>105.77795</v>
      </c>
      <c r="O41" s="2">
        <f>_xll.IMDP("STK",표.실시간[[#This Row],[nxt_code]],"가중평균가")</f>
        <v>321904.89957399998</v>
      </c>
      <c r="P41" s="2">
        <f>_xll.IMDP("STK",표.실시간[[#This Row],[nxt_code]],"시가")</f>
        <v>330000</v>
      </c>
      <c r="Q41" s="2">
        <f>_xll.IMDP("STK",표.실시간[[#This Row],[nxt_code]],"고가")</f>
        <v>330000</v>
      </c>
      <c r="R41" s="2">
        <f>_xll.IMDP("STK",표.실시간[[#This Row],[nxt_code]],"저가")</f>
        <v>317500</v>
      </c>
      <c r="S41">
        <f>_xll.IMDP("STK",표.실시간[[#This Row],[nxt_code]],"세션명")</f>
        <v>0</v>
      </c>
      <c r="T41">
        <f>_xll.IMDP("STK",표.실시간[[#This Row],[nxt_code]],"체결시간")</f>
        <v>0</v>
      </c>
      <c r="U41" s="2">
        <f>_xll.IMDP("STK","034730","현재가")</f>
        <v>321500</v>
      </c>
      <c r="V41">
        <f>_xll.IMDP("STK","034730","누적거래량")</f>
        <v>18608</v>
      </c>
    </row>
    <row r="42" spans="2:23" x14ac:dyDescent="0.3">
      <c r="B42">
        <v>34</v>
      </c>
      <c r="C42">
        <v>1</v>
      </c>
      <c r="D42">
        <f>IF(IFERROR(INDEX(표.kospi200[code],MATCH(표.실시간[[#This Row],[코드]],표.kospi200[code],0)),0)=0,0,1)</f>
        <v>1</v>
      </c>
      <c r="E42" t="s">
        <v>47</v>
      </c>
      <c r="F42">
        <v>9150</v>
      </c>
      <c r="G42" t="str">
        <f>ConvertStockCode(표.실시간[[#This Row],[코드]])</f>
        <v>N009150</v>
      </c>
      <c r="H42" s="2">
        <f>_xll.IMDP("STK",표.실시간[[#This Row],[nxt_code]],"현재가")</f>
        <v>289000</v>
      </c>
      <c r="I42" s="2">
        <f>_xll.IMDP("STK",표.실시간[[#This Row],[nxt_code]],"시가총액")/10^12</f>
        <v>21.586478144000001</v>
      </c>
      <c r="J42" s="2">
        <f>표.실시간[[#This Row],[시가총액 (조원)]]/표.실시간[[#This Row],[현재가]]*(표.실시간[[#This Row],[현재가]]-표.실시간[[#This Row],[대비]])</f>
        <v>20.839541184000002</v>
      </c>
      <c r="K42" s="3">
        <f>_xll.IMDP("STK",표.실시간[[#This Row],[nxt_code]],"전일대비")</f>
        <v>10000</v>
      </c>
      <c r="L42">
        <f>_xll.IMDP("STK",표.실시간[[#This Row],[nxt_code]],"등락률")</f>
        <v>3.58</v>
      </c>
      <c r="M42" s="2">
        <f>_xll.IMDP("STK",표.실시간[[#This Row],[nxt_code]],"누적거래량")</f>
        <v>335905</v>
      </c>
      <c r="N42" s="2">
        <f>_xll.IMDP("STK",표.실시간[[#This Row],[nxt_code]],"누적거래대금")/10^8</f>
        <v>967.55246250000005</v>
      </c>
      <c r="O42" s="2">
        <f>_xll.IMDP("STK",표.실시간[[#This Row],[nxt_code]],"가중평균가")</f>
        <v>288043.48327700002</v>
      </c>
      <c r="P42" s="2">
        <f>_xll.IMDP("STK",표.실시간[[#This Row],[nxt_code]],"시가")</f>
        <v>288000</v>
      </c>
      <c r="Q42" s="2">
        <f>_xll.IMDP("STK",표.실시간[[#This Row],[nxt_code]],"고가")</f>
        <v>292000</v>
      </c>
      <c r="R42" s="2">
        <f>_xll.IMDP("STK",표.실시간[[#This Row],[nxt_code]],"저가")</f>
        <v>283000</v>
      </c>
      <c r="S42">
        <f>_xll.IMDP("STK",표.실시간[[#This Row],[nxt_code]],"세션명")</f>
        <v>0</v>
      </c>
      <c r="T42">
        <f>_xll.IMDP("STK",표.실시간[[#This Row],[nxt_code]],"체결시간")</f>
        <v>0</v>
      </c>
      <c r="U42" s="2">
        <f>_xll.IMDP("STK","009150","현재가")</f>
        <v>289500</v>
      </c>
      <c r="V42">
        <f>_xll.IMDP("STK","009150","누적거래량")</f>
        <v>154060</v>
      </c>
    </row>
    <row r="43" spans="2:23" x14ac:dyDescent="0.3">
      <c r="B43">
        <v>35</v>
      </c>
      <c r="C43">
        <v>1</v>
      </c>
      <c r="D43">
        <f>IF(IFERROR(INDEX(표.kospi200[code],MATCH(표.실시간[[#This Row],[코드]],표.kospi200[code],0)),0)=0,0,1)</f>
        <v>1</v>
      </c>
      <c r="E43" t="s">
        <v>48</v>
      </c>
      <c r="F43">
        <v>316140</v>
      </c>
      <c r="G43" t="str">
        <f>ConvertStockCode(표.실시간[[#This Row],[코드]])</f>
        <v>N316140</v>
      </c>
      <c r="H43" s="2">
        <f>_xll.IMDP("STK",표.실시간[[#This Row],[nxt_code]],"현재가")</f>
        <v>30350</v>
      </c>
      <c r="I43" s="2">
        <f>_xll.IMDP("STK",표.실시간[[#This Row],[nxt_code]],"시가총액")/10^12</f>
        <v>22.279216311999999</v>
      </c>
      <c r="J43" s="2">
        <f>표.실시간[[#This Row],[시가총액 (조원)]]/표.실시간[[#This Row],[현재가]]*(표.실시간[[#This Row],[현재가]]-표.실시간[[#This Row],[대비]])</f>
        <v>22.205808680000001</v>
      </c>
      <c r="K43" s="3">
        <f>_xll.IMDP("STK",표.실시간[[#This Row],[nxt_code]],"전일대비")</f>
        <v>100</v>
      </c>
      <c r="L43">
        <f>_xll.IMDP("STK",표.실시간[[#This Row],[nxt_code]],"등락률")</f>
        <v>0.33</v>
      </c>
      <c r="M43" s="2">
        <f>_xll.IMDP("STK",표.실시간[[#This Row],[nxt_code]],"누적거래량")</f>
        <v>118709</v>
      </c>
      <c r="N43" s="2">
        <f>_xll.IMDP("STK",표.실시간[[#This Row],[nxt_code]],"누적거래대금")/10^8</f>
        <v>35.824683</v>
      </c>
      <c r="O43" s="2">
        <f>_xll.IMDP("STK",표.실시간[[#This Row],[nxt_code]],"가중평균가")</f>
        <v>30178.573655</v>
      </c>
      <c r="P43" s="2">
        <f>_xll.IMDP("STK",표.실시간[[#This Row],[nxt_code]],"시가")</f>
        <v>30200</v>
      </c>
      <c r="Q43" s="2">
        <f>_xll.IMDP("STK",표.실시간[[#This Row],[nxt_code]],"고가")</f>
        <v>30700</v>
      </c>
      <c r="R43" s="2">
        <f>_xll.IMDP("STK",표.실시간[[#This Row],[nxt_code]],"저가")</f>
        <v>29900</v>
      </c>
      <c r="S43">
        <f>_xll.IMDP("STK",표.실시간[[#This Row],[nxt_code]],"세션명")</f>
        <v>0</v>
      </c>
      <c r="T43">
        <f>_xll.IMDP("STK",표.실시간[[#This Row],[nxt_code]],"체결시간")</f>
        <v>0</v>
      </c>
      <c r="U43" s="2">
        <f>_xll.IMDP("STK","316140","현재가")</f>
        <v>30500</v>
      </c>
      <c r="V43">
        <f>_xll.IMDP("STK","316140","누적거래량")</f>
        <v>176512</v>
      </c>
      <c r="W43" s="1">
        <v>1983.46</v>
      </c>
    </row>
    <row r="44" spans="2:23" x14ac:dyDescent="0.3">
      <c r="B44">
        <v>36</v>
      </c>
      <c r="C44">
        <v>1</v>
      </c>
      <c r="D44">
        <f>IF(IFERROR(INDEX(표.kospi200[code],MATCH(표.실시간[[#This Row],[코드]],표.kospi200[code],0)),0)=0,0,1)</f>
        <v>1</v>
      </c>
      <c r="E44" t="s">
        <v>49</v>
      </c>
      <c r="F44">
        <v>267250</v>
      </c>
      <c r="G44" t="str">
        <f>ConvertStockCode(표.실시간[[#This Row],[코드]])</f>
        <v>N267250</v>
      </c>
      <c r="H44" s="2">
        <f>_xll.IMDP("STK",표.실시간[[#This Row],[nxt_code]],"현재가")</f>
        <v>230000</v>
      </c>
      <c r="I44" s="2">
        <f>_xll.IMDP("STK",표.실시간[[#This Row],[nxt_code]],"시가총액")/10^12</f>
        <v>18.16840955</v>
      </c>
      <c r="J44" s="2">
        <f>표.실시간[[#This Row],[시가총액 (조원)]]/표.실시간[[#This Row],[현재가]]*(표.실시간[[#This Row],[현재가]]-표.실시간[[#This Row],[대비]])</f>
        <v>18.484381889999998</v>
      </c>
      <c r="K44" s="3">
        <f>_xll.IMDP("STK",표.실시간[[#This Row],[nxt_code]],"전일대비")</f>
        <v>-4000</v>
      </c>
      <c r="L44">
        <f>_xll.IMDP("STK",표.실시간[[#This Row],[nxt_code]],"등락률")</f>
        <v>-1.71</v>
      </c>
      <c r="M44" s="2">
        <f>_xll.IMDP("STK",표.실시간[[#This Row],[nxt_code]],"누적거래량")</f>
        <v>10453</v>
      </c>
      <c r="N44" s="2">
        <f>_xll.IMDP("STK",표.실시간[[#This Row],[nxt_code]],"누적거래대금")/10^8</f>
        <v>24.07461</v>
      </c>
      <c r="O44" s="2">
        <f>_xll.IMDP("STK",표.실시간[[#This Row],[nxt_code]],"가중평균가")</f>
        <v>230312.95445799999</v>
      </c>
      <c r="P44" s="2">
        <f>_xll.IMDP("STK",표.실시간[[#This Row],[nxt_code]],"시가")</f>
        <v>231500</v>
      </c>
      <c r="Q44" s="2">
        <f>_xll.IMDP("STK",표.실시간[[#This Row],[nxt_code]],"고가")</f>
        <v>235500</v>
      </c>
      <c r="R44" s="2">
        <f>_xll.IMDP("STK",표.실시간[[#This Row],[nxt_code]],"저가")</f>
        <v>228000</v>
      </c>
      <c r="S44">
        <f>_xll.IMDP("STK",표.실시간[[#This Row],[nxt_code]],"세션명")</f>
        <v>0</v>
      </c>
      <c r="T44">
        <f>_xll.IMDP("STK",표.실시간[[#This Row],[nxt_code]],"체결시간")</f>
        <v>0</v>
      </c>
      <c r="U44" s="2">
        <f>_xll.IMDP("STK","267250","현재가")</f>
        <v>229500</v>
      </c>
      <c r="V44">
        <f>_xll.IMDP("STK","267250","누적거래량")</f>
        <v>9595</v>
      </c>
    </row>
    <row r="45" spans="2:23" x14ac:dyDescent="0.3">
      <c r="B45">
        <v>37</v>
      </c>
      <c r="C45">
        <v>0</v>
      </c>
      <c r="D45">
        <f>IF(IFERROR(INDEX(표.kospi200[code],MATCH(표.실시간[[#This Row],[코드]],표.kospi200[code],0)),0)=0,0,1)</f>
        <v>0</v>
      </c>
      <c r="E45" t="s">
        <v>50</v>
      </c>
      <c r="F45">
        <v>196170</v>
      </c>
      <c r="G45" t="str">
        <f>ConvertStockCode(표.실시간[[#This Row],[코드]])</f>
        <v>N196170</v>
      </c>
      <c r="H45" s="2">
        <f>_xll.IMDP("STK",표.실시간[[#This Row],[nxt_code]],"현재가")</f>
        <v>400000</v>
      </c>
      <c r="I45" s="2">
        <f>_xll.IMDP("STK",표.실시간[[#This Row],[nxt_code]],"시가총액")/10^12</f>
        <v>21.4023152</v>
      </c>
      <c r="J45" s="2">
        <f>표.실시간[[#This Row],[시가총액 (조원)]]/표.실시간[[#This Row],[현재가]]*(표.실시간[[#This Row],[현재가]]-표.실시간[[#This Row],[대비]])</f>
        <v>22.097890444000001</v>
      </c>
      <c r="K45" s="3">
        <f>_xll.IMDP("STK",표.실시간[[#This Row],[nxt_code]],"전일대비")</f>
        <v>-13000</v>
      </c>
      <c r="L45">
        <f>_xll.IMDP("STK",표.실시간[[#This Row],[nxt_code]],"등락률")</f>
        <v>-3.15</v>
      </c>
      <c r="M45" s="2">
        <f>_xll.IMDP("STK",표.실시간[[#This Row],[nxt_code]],"누적거래량")</f>
        <v>148654</v>
      </c>
      <c r="N45" s="2">
        <f>_xll.IMDP("STK",표.실시간[[#This Row],[nxt_code]],"누적거래대금")/10^8</f>
        <v>592.63179249999996</v>
      </c>
      <c r="O45" s="2">
        <f>_xll.IMDP("STK",표.실시간[[#This Row],[nxt_code]],"가중평균가")</f>
        <v>398665.21755200002</v>
      </c>
      <c r="P45" s="2">
        <f>_xll.IMDP("STK",표.실시간[[#This Row],[nxt_code]],"시가")</f>
        <v>413500</v>
      </c>
      <c r="Q45" s="2">
        <f>_xll.IMDP("STK",표.실시간[[#This Row],[nxt_code]],"고가")</f>
        <v>413500</v>
      </c>
      <c r="R45" s="2">
        <f>_xll.IMDP("STK",표.실시간[[#This Row],[nxt_code]],"저가")</f>
        <v>395000</v>
      </c>
      <c r="S45">
        <f>_xll.IMDP("STK",표.실시간[[#This Row],[nxt_code]],"세션명")</f>
        <v>0</v>
      </c>
      <c r="T45">
        <f>_xll.IMDP("STK",표.실시간[[#This Row],[nxt_code]],"체결시간")</f>
        <v>0</v>
      </c>
      <c r="U45" s="2">
        <f>_xll.IMDP("STK","196170","현재가")</f>
        <v>401500</v>
      </c>
      <c r="V45">
        <f>_xll.IMDP("STK","196170","누적거래량")</f>
        <v>84583</v>
      </c>
    </row>
    <row r="46" spans="2:23" x14ac:dyDescent="0.3">
      <c r="B46">
        <v>38</v>
      </c>
      <c r="C46">
        <v>1</v>
      </c>
      <c r="D46">
        <f>IF(IFERROR(INDEX(표.kospi200[code],MATCH(표.실시간[[#This Row],[코드]],표.kospi200[code],0)),0)=0,0,1)</f>
        <v>1</v>
      </c>
      <c r="E46" t="s">
        <v>51</v>
      </c>
      <c r="F46">
        <v>11200</v>
      </c>
      <c r="G46" t="str">
        <f>ConvertStockCode(표.실시간[[#This Row],[코드]])</f>
        <v>N011200</v>
      </c>
      <c r="H46" s="2">
        <f>_xll.IMDP("STK",표.실시간[[#This Row],[nxt_code]],"현재가")</f>
        <v>19810</v>
      </c>
      <c r="I46" s="2">
        <f>_xll.IMDP("STK",표.실시간[[#This Row],[nxt_code]],"시가총액")/10^12</f>
        <v>18.6855441857</v>
      </c>
      <c r="J46" s="2">
        <f>표.실시간[[#This Row],[시가총액 (조원)]]/표.실시간[[#This Row],[현재가]]*(표.실시간[[#This Row],[현재가]]-표.실시간[[#This Row],[대비]])</f>
        <v>18.874191779699999</v>
      </c>
      <c r="K46" s="3">
        <f>_xll.IMDP("STK",표.실시간[[#This Row],[nxt_code]],"전일대비")</f>
        <v>-200</v>
      </c>
      <c r="L46">
        <f>_xll.IMDP("STK",표.실시간[[#This Row],[nxt_code]],"등락률")</f>
        <v>-0.95</v>
      </c>
      <c r="M46" s="2">
        <f>_xll.IMDP("STK",표.실시간[[#This Row],[nxt_code]],"누적거래량")</f>
        <v>242421</v>
      </c>
      <c r="N46" s="2">
        <f>_xll.IMDP("STK",표.실시간[[#This Row],[nxt_code]],"누적거래대금")/10^8</f>
        <v>48.234342900000001</v>
      </c>
      <c r="O46" s="2">
        <f>_xll.IMDP("STK",표.실시간[[#This Row],[nxt_code]],"가중평균가")</f>
        <v>19877.008085000001</v>
      </c>
      <c r="P46" s="2">
        <f>_xll.IMDP("STK",표.실시간[[#This Row],[nxt_code]],"시가")</f>
        <v>20000</v>
      </c>
      <c r="Q46" s="2">
        <f>_xll.IMDP("STK",표.실시간[[#This Row],[nxt_code]],"고가")</f>
        <v>20000</v>
      </c>
      <c r="R46" s="2">
        <f>_xll.IMDP("STK",표.실시간[[#This Row],[nxt_code]],"저가")</f>
        <v>19770</v>
      </c>
      <c r="S46">
        <f>_xll.IMDP("STK",표.실시간[[#This Row],[nxt_code]],"세션명")</f>
        <v>0</v>
      </c>
      <c r="T46">
        <f>_xll.IMDP("STK",표.실시간[[#This Row],[nxt_code]],"체결시간")</f>
        <v>0</v>
      </c>
      <c r="U46" s="2">
        <f>_xll.IMDP("STK","011200","현재가")</f>
        <v>19840</v>
      </c>
      <c r="V46">
        <f>_xll.IMDP("STK","011200","누적거래량")</f>
        <v>251491</v>
      </c>
    </row>
    <row r="47" spans="2:23" x14ac:dyDescent="0.3">
      <c r="B47">
        <v>39</v>
      </c>
      <c r="C47">
        <v>1</v>
      </c>
      <c r="D47">
        <f>IF(IFERROR(INDEX(표.kospi200[code],MATCH(표.실시간[[#This Row],[코드]],표.kospi200[code],0)),0)=0,0,1)</f>
        <v>1</v>
      </c>
      <c r="E47" t="s">
        <v>52</v>
      </c>
      <c r="F47">
        <v>138040</v>
      </c>
      <c r="G47" t="str">
        <f>ConvertStockCode(표.실시간[[#This Row],[코드]])</f>
        <v>N138040</v>
      </c>
      <c r="H47" s="2">
        <f>_xll.IMDP("STK",표.실시간[[#This Row],[nxt_code]],"현재가")</f>
        <v>120600</v>
      </c>
      <c r="I47" s="2">
        <f>_xll.IMDP("STK",표.실시간[[#This Row],[nxt_code]],"시가총액")/10^12</f>
        <v>21.131745823799999</v>
      </c>
      <c r="J47" s="2">
        <f>표.실시간[[#This Row],[시가총액 (조원)]]/표.실시간[[#This Row],[현재가]]*(표.실시간[[#This Row],[현재가]]-표.실시간[[#This Row],[대비]])</f>
        <v>20.500947440999997</v>
      </c>
      <c r="K47" s="3">
        <f>_xll.IMDP("STK",표.실시간[[#This Row],[nxt_code]],"전일대비")</f>
        <v>3600</v>
      </c>
      <c r="L47">
        <f>_xll.IMDP("STK",표.실시간[[#This Row],[nxt_code]],"등락률")</f>
        <v>3.43</v>
      </c>
      <c r="M47" s="2">
        <f>_xll.IMDP("STK",표.실시간[[#This Row],[nxt_code]],"누적거래량")</f>
        <v>42853</v>
      </c>
      <c r="N47" s="2">
        <f>_xll.IMDP("STK",표.실시간[[#This Row],[nxt_code]],"누적거래대금")/10^8</f>
        <v>50.345109999999998</v>
      </c>
      <c r="O47" s="2">
        <f>_xll.IMDP("STK",표.실시간[[#This Row],[nxt_code]],"가중평균가")</f>
        <v>117466.833104</v>
      </c>
      <c r="P47" s="2">
        <f>_xll.IMDP("STK",표.실시간[[#This Row],[nxt_code]],"시가")</f>
        <v>113300</v>
      </c>
      <c r="Q47" s="2">
        <f>_xll.IMDP("STK",표.실시간[[#This Row],[nxt_code]],"고가")</f>
        <v>121200</v>
      </c>
      <c r="R47" s="2">
        <f>_xll.IMDP("STK",표.실시간[[#This Row],[nxt_code]],"저가")</f>
        <v>113300</v>
      </c>
      <c r="S47">
        <f>_xll.IMDP("STK",표.실시간[[#This Row],[nxt_code]],"세션명")</f>
        <v>0</v>
      </c>
      <c r="T47">
        <f>_xll.IMDP("STK",표.실시간[[#This Row],[nxt_code]],"체결시간")</f>
        <v>0</v>
      </c>
      <c r="U47" s="2">
        <f>_xll.IMDP("STK","138040","현재가")</f>
        <v>120700</v>
      </c>
      <c r="V47">
        <f>_xll.IMDP("STK","138040","누적거래량")</f>
        <v>78194</v>
      </c>
    </row>
    <row r="48" spans="2:23" x14ac:dyDescent="0.3">
      <c r="B48">
        <v>40</v>
      </c>
      <c r="C48">
        <v>1</v>
      </c>
      <c r="D48">
        <f>IF(IFERROR(INDEX(표.kospi200[code],MATCH(표.실시간[[#This Row],[코드]],표.kospi200[code],0)),0)=0,0,1)</f>
        <v>1</v>
      </c>
      <c r="E48" t="s">
        <v>53</v>
      </c>
      <c r="F48">
        <v>66570</v>
      </c>
      <c r="G48" t="str">
        <f>ConvertStockCode(표.실시간[[#This Row],[코드]])</f>
        <v>N066570</v>
      </c>
      <c r="H48" s="2">
        <f>_xll.IMDP("STK",표.실시간[[#This Row],[nxt_code]],"현재가")</f>
        <v>99100</v>
      </c>
      <c r="I48" s="2">
        <f>_xll.IMDP("STK",표.실시간[[#This Row],[nxt_code]],"시가총액")/10^12</f>
        <v>16.1420409517</v>
      </c>
      <c r="J48" s="2">
        <f>표.실시간[[#This Row],[시가총액 (조원)]]/표.실시간[[#This Row],[현재가]]*(표.실시간[[#This Row],[현재가]]-표.실시간[[#This Row],[대비]])</f>
        <v>16.1420409517</v>
      </c>
      <c r="K48" s="3">
        <f>_xll.IMDP("STK",표.실시간[[#This Row],[nxt_code]],"전일대비")</f>
        <v>0</v>
      </c>
      <c r="L48">
        <f>_xll.IMDP("STK",표.실시간[[#This Row],[nxt_code]],"등락률")</f>
        <v>0</v>
      </c>
      <c r="M48" s="2">
        <f>_xll.IMDP("STK",표.실시간[[#This Row],[nxt_code]],"누적거래량")</f>
        <v>133007</v>
      </c>
      <c r="N48" s="2">
        <f>_xll.IMDP("STK",표.실시간[[#This Row],[nxt_code]],"누적거래대금")/10^8</f>
        <v>131.59595350000001</v>
      </c>
      <c r="O48" s="2">
        <f>_xll.IMDP("STK",표.실시간[[#This Row],[nxt_code]],"가중평균가")</f>
        <v>98333.622390000004</v>
      </c>
      <c r="P48" s="2">
        <f>_xll.IMDP("STK",표.실시간[[#This Row],[nxt_code]],"시가")</f>
        <v>99100</v>
      </c>
      <c r="Q48" s="2">
        <f>_xll.IMDP("STK",표.실시간[[#This Row],[nxt_code]],"고가")</f>
        <v>100000</v>
      </c>
      <c r="R48" s="2">
        <f>_xll.IMDP("STK",표.실시간[[#This Row],[nxt_code]],"저가")</f>
        <v>97100</v>
      </c>
      <c r="S48">
        <f>_xll.IMDP("STK",표.실시간[[#This Row],[nxt_code]],"세션명")</f>
        <v>0</v>
      </c>
      <c r="T48">
        <f>_xll.IMDP("STK",표.실시간[[#This Row],[nxt_code]],"체결시간")</f>
        <v>0</v>
      </c>
      <c r="U48" s="2">
        <f>_xll.IMDP("STK","066570","현재가")</f>
        <v>99000</v>
      </c>
      <c r="V48">
        <f>_xll.IMDP("STK","066570","누적거래량")</f>
        <v>123998</v>
      </c>
    </row>
    <row r="49" spans="2:22" x14ac:dyDescent="0.3">
      <c r="B49">
        <v>41</v>
      </c>
      <c r="C49">
        <v>1</v>
      </c>
      <c r="D49">
        <f>IF(IFERROR(INDEX(표.kospi200[code],MATCH(표.실시간[[#This Row],[코드]],표.kospi200[code],0)),0)=0,0,1)</f>
        <v>1</v>
      </c>
      <c r="E49" t="s">
        <v>54</v>
      </c>
      <c r="F49">
        <v>3670</v>
      </c>
      <c r="G49" t="str">
        <f>ConvertStockCode(표.실시간[[#This Row],[코드]])</f>
        <v>N003670</v>
      </c>
      <c r="H49" s="2">
        <f>_xll.IMDP("STK",표.실시간[[#This Row],[nxt_code]],"현재가")</f>
        <v>230500</v>
      </c>
      <c r="I49" s="2">
        <f>_xll.IMDP("STK",표.실시간[[#This Row],[nxt_code]],"시가총액")/10^12</f>
        <v>20.50210371</v>
      </c>
      <c r="J49" s="2">
        <f>표.실시간[[#This Row],[시가총액 (조원)]]/표.실시간[[#This Row],[현재가]]*(표.실시간[[#This Row],[현재가]]-표.실시간[[#This Row],[대비]])</f>
        <v>19.923953279999999</v>
      </c>
      <c r="K49" s="3">
        <f>_xll.IMDP("STK",표.실시간[[#This Row],[nxt_code]],"전일대비")</f>
        <v>6500</v>
      </c>
      <c r="L49">
        <f>_xll.IMDP("STK",표.실시간[[#This Row],[nxt_code]],"등락률")</f>
        <v>3.13</v>
      </c>
      <c r="M49" s="2">
        <f>_xll.IMDP("STK",표.실시간[[#This Row],[nxt_code]],"누적거래량")</f>
        <v>146948</v>
      </c>
      <c r="N49" s="2">
        <f>_xll.IMDP("STK",표.실시간[[#This Row],[nxt_code]],"누적거래대금")/10^8</f>
        <v>324.81193500000001</v>
      </c>
      <c r="O49" s="2">
        <f>_xll.IMDP("STK",표.실시간[[#This Row],[nxt_code]],"가중평균가")</f>
        <v>221038.69055699999</v>
      </c>
      <c r="P49" s="2">
        <f>_xll.IMDP("STK",표.실시간[[#This Row],[nxt_code]],"시가")</f>
        <v>221000</v>
      </c>
      <c r="Q49" s="2">
        <f>_xll.IMDP("STK",표.실시간[[#This Row],[nxt_code]],"고가")</f>
        <v>230500</v>
      </c>
      <c r="R49" s="2">
        <f>_xll.IMDP("STK",표.실시간[[#This Row],[nxt_code]],"저가")</f>
        <v>213000</v>
      </c>
      <c r="S49">
        <f>_xll.IMDP("STK",표.실시간[[#This Row],[nxt_code]],"세션명")</f>
        <v>0</v>
      </c>
      <c r="T49">
        <f>_xll.IMDP("STK",표.실시간[[#This Row],[nxt_code]],"체결시간")</f>
        <v>0</v>
      </c>
      <c r="U49" s="2">
        <f>_xll.IMDP("STK","003670","현재가")</f>
        <v>231000</v>
      </c>
      <c r="V49">
        <f>_xll.IMDP("STK","003670","누적거래량")</f>
        <v>139497</v>
      </c>
    </row>
    <row r="50" spans="2:22" x14ac:dyDescent="0.3">
      <c r="B50">
        <v>42</v>
      </c>
      <c r="C50">
        <v>1</v>
      </c>
      <c r="D50">
        <f>IF(IFERROR(INDEX(표.kospi200[code],MATCH(표.실시간[[#This Row],[코드]],표.kospi200[code],0)),0)=0,0,1)</f>
        <v>1</v>
      </c>
      <c r="E50" t="s">
        <v>55</v>
      </c>
      <c r="F50">
        <v>96770</v>
      </c>
      <c r="G50" t="str">
        <f>ConvertStockCode(표.실시간[[#This Row],[코드]])</f>
        <v>N096770</v>
      </c>
      <c r="H50" s="2">
        <f>_xll.IMDP("STK",표.실시간[[#This Row],[nxt_code]],"현재가")</f>
        <v>111500</v>
      </c>
      <c r="I50" s="2">
        <f>_xll.IMDP("STK",표.실시간[[#This Row],[nxt_code]],"시가총액")/10^12</f>
        <v>18.849385861999998</v>
      </c>
      <c r="J50" s="2">
        <f>표.실시간[[#This Row],[시가총액 (조원)]]/표.실시간[[#This Row],[현재가]]*(표.실시간[[#This Row],[현재가]]-표.실시간[[#This Row],[대비]])</f>
        <v>18.933912255999999</v>
      </c>
      <c r="K50" s="3">
        <f>_xll.IMDP("STK",표.실시간[[#This Row],[nxt_code]],"전일대비")</f>
        <v>-500</v>
      </c>
      <c r="L50">
        <f>_xll.IMDP("STK",표.실시간[[#This Row],[nxt_code]],"등락률")</f>
        <v>-0.45</v>
      </c>
      <c r="M50" s="2">
        <f>_xll.IMDP("STK",표.실시간[[#This Row],[nxt_code]],"누적거래량")</f>
        <v>52529</v>
      </c>
      <c r="N50" s="2">
        <f>_xll.IMDP("STK",표.실시간[[#This Row],[nxt_code]],"누적거래대금")/10^8</f>
        <v>58.347172999999998</v>
      </c>
      <c r="O50" s="2">
        <f>_xll.IMDP("STK",표.실시간[[#This Row],[nxt_code]],"가중평균가")</f>
        <v>111076.11605</v>
      </c>
      <c r="P50" s="2">
        <f>_xll.IMDP("STK",표.실시간[[#This Row],[nxt_code]],"시가")</f>
        <v>116100</v>
      </c>
      <c r="Q50" s="2">
        <f>_xll.IMDP("STK",표.실시간[[#This Row],[nxt_code]],"고가")</f>
        <v>116100</v>
      </c>
      <c r="R50" s="2">
        <f>_xll.IMDP("STK",표.실시간[[#This Row],[nxt_code]],"저가")</f>
        <v>109600</v>
      </c>
      <c r="S50">
        <f>_xll.IMDP("STK",표.실시간[[#This Row],[nxt_code]],"세션명")</f>
        <v>0</v>
      </c>
      <c r="T50">
        <f>_xll.IMDP("STK",표.실시간[[#This Row],[nxt_code]],"체결시간")</f>
        <v>0</v>
      </c>
      <c r="U50" s="2">
        <f>_xll.IMDP("STK","096770","현재가")</f>
        <v>111900</v>
      </c>
      <c r="V50">
        <f>_xll.IMDP("STK","096770","누적거래량")</f>
        <v>63969</v>
      </c>
    </row>
    <row r="51" spans="2:22" x14ac:dyDescent="0.3">
      <c r="B51">
        <v>43</v>
      </c>
      <c r="C51">
        <v>1</v>
      </c>
      <c r="D51">
        <f>IF(IFERROR(INDEX(표.kospi200[code],MATCH(표.실시간[[#This Row],[코드]],표.kospi200[code],0)),0)=0,0,1)</f>
        <v>1</v>
      </c>
      <c r="E51" t="s">
        <v>56</v>
      </c>
      <c r="F51">
        <v>6800</v>
      </c>
      <c r="G51" t="str">
        <f>ConvertStockCode(표.실시간[[#This Row],[코드]])</f>
        <v>N006800</v>
      </c>
      <c r="H51" s="2">
        <f>_xll.IMDP("STK",표.실시간[[#This Row],[nxt_code]],"현재가")</f>
        <v>42150</v>
      </c>
      <c r="I51" s="2">
        <f>_xll.IMDP("STK",표.실시간[[#This Row],[nxt_code]],"시가총액")/10^12</f>
        <v>23.902663688099999</v>
      </c>
      <c r="J51" s="2">
        <f>표.실시간[[#This Row],[시가총액 (조원)]]/표.실시간[[#This Row],[현재가]]*(표.실시간[[#This Row],[현재가]]-표.실시간[[#This Row],[대비]])</f>
        <v>24.242915128499998</v>
      </c>
      <c r="K51" s="3">
        <f>_xll.IMDP("STK",표.실시간[[#This Row],[nxt_code]],"전일대비")</f>
        <v>-600</v>
      </c>
      <c r="L51">
        <f>_xll.IMDP("STK",표.실시간[[#This Row],[nxt_code]],"등락률")</f>
        <v>-1.4</v>
      </c>
      <c r="M51" s="2">
        <f>_xll.IMDP("STK",표.실시간[[#This Row],[nxt_code]],"누적거래량")</f>
        <v>2628361</v>
      </c>
      <c r="N51" s="2">
        <f>_xll.IMDP("STK",표.실시간[[#This Row],[nxt_code]],"누적거래대금")/10^8</f>
        <v>1135.8139167500001</v>
      </c>
      <c r="O51" s="2">
        <f>_xll.IMDP("STK",표.실시간[[#This Row],[nxt_code]],"가중평균가")</f>
        <v>43213.771501000003</v>
      </c>
      <c r="P51" s="2">
        <f>_xll.IMDP("STK",표.실시간[[#This Row],[nxt_code]],"시가")</f>
        <v>42500</v>
      </c>
      <c r="Q51" s="2">
        <f>_xll.IMDP("STK",표.실시간[[#This Row],[nxt_code]],"고가")</f>
        <v>44350</v>
      </c>
      <c r="R51" s="2">
        <f>_xll.IMDP("STK",표.실시간[[#This Row],[nxt_code]],"저가")</f>
        <v>41200</v>
      </c>
      <c r="S51">
        <f>_xll.IMDP("STK",표.실시간[[#This Row],[nxt_code]],"세션명")</f>
        <v>0</v>
      </c>
      <c r="T51">
        <f>_xll.IMDP("STK",표.실시간[[#This Row],[nxt_code]],"체결시간")</f>
        <v>0</v>
      </c>
      <c r="U51" s="2">
        <f>_xll.IMDP("STK","006800","현재가")</f>
        <v>42150</v>
      </c>
      <c r="V51">
        <f>_xll.IMDP("STK","006800","누적거래량")</f>
        <v>762933</v>
      </c>
    </row>
    <row r="52" spans="2:22" x14ac:dyDescent="0.3">
      <c r="B52">
        <v>44</v>
      </c>
      <c r="C52">
        <v>1</v>
      </c>
      <c r="D52">
        <f>IF(IFERROR(INDEX(표.kospi200[code],MATCH(표.실시간[[#This Row],[코드]],표.kospi200[code],0)),0)=0,0,1)</f>
        <v>1</v>
      </c>
      <c r="E52" t="s">
        <v>57</v>
      </c>
      <c r="F52">
        <v>33780</v>
      </c>
      <c r="G52" t="str">
        <f>ConvertStockCode(표.실시간[[#This Row],[코드]])</f>
        <v>N033780</v>
      </c>
      <c r="H52" s="2">
        <f>_xll.IMDP("STK",표.실시간[[#This Row],[nxt_code]],"현재가")</f>
        <v>153300</v>
      </c>
      <c r="I52" s="2">
        <f>_xll.IMDP("STK",표.실시간[[#This Row],[nxt_code]],"시가총액")/10^12</f>
        <v>18.085819678499998</v>
      </c>
      <c r="J52" s="2">
        <f>표.실시간[[#This Row],[시가총액 (조원)]]/표.실시간[[#This Row],[현재가]]*(표.실시간[[#This Row],[현재가]]-표.실시간[[#This Row],[대비]])</f>
        <v>18.156605665499999</v>
      </c>
      <c r="K52" s="3">
        <f>_xll.IMDP("STK",표.실시간[[#This Row],[nxt_code]],"전일대비")</f>
        <v>-600</v>
      </c>
      <c r="L52">
        <f>_xll.IMDP("STK",표.실시간[[#This Row],[nxt_code]],"등락률")</f>
        <v>-0.45</v>
      </c>
      <c r="M52" s="2">
        <f>_xll.IMDP("STK",표.실시간[[#This Row],[nxt_code]],"누적거래량")</f>
        <v>12768</v>
      </c>
      <c r="N52" s="2">
        <f>_xll.IMDP("STK",표.실시간[[#This Row],[nxt_code]],"누적거래대금")/10^8</f>
        <v>19.477205999999999</v>
      </c>
      <c r="O52" s="2">
        <f>_xll.IMDP("STK",표.실시간[[#This Row],[nxt_code]],"가중평균가")</f>
        <v>152547.03947399999</v>
      </c>
      <c r="P52" s="2">
        <f>_xll.IMDP("STK",표.실시간[[#This Row],[nxt_code]],"시가")</f>
        <v>150100</v>
      </c>
      <c r="Q52" s="2">
        <f>_xll.IMDP("STK",표.실시간[[#This Row],[nxt_code]],"고가")</f>
        <v>153900</v>
      </c>
      <c r="R52" s="2">
        <f>_xll.IMDP("STK",표.실시간[[#This Row],[nxt_code]],"저가")</f>
        <v>150100</v>
      </c>
      <c r="S52">
        <f>_xll.IMDP("STK",표.실시간[[#This Row],[nxt_code]],"세션명")</f>
        <v>0</v>
      </c>
      <c r="T52">
        <f>_xll.IMDP("STK",표.실시간[[#This Row],[nxt_code]],"체결시간")</f>
        <v>0</v>
      </c>
      <c r="U52" s="2">
        <f>_xll.IMDP("STK","033780","현재가")</f>
        <v>153300</v>
      </c>
      <c r="V52">
        <f>_xll.IMDP("STK","033780","누적거래량")</f>
        <v>30433</v>
      </c>
    </row>
    <row r="53" spans="2:22" x14ac:dyDescent="0.3">
      <c r="B53">
        <v>45</v>
      </c>
      <c r="C53">
        <v>1</v>
      </c>
      <c r="D53">
        <f>IF(IFERROR(INDEX(표.kospi200[code],MATCH(표.실시간[[#This Row],[코드]],표.kospi200[code],0)),0)=0,0,1)</f>
        <v>1</v>
      </c>
      <c r="E53" t="s">
        <v>58</v>
      </c>
      <c r="F53">
        <v>272210</v>
      </c>
      <c r="G53" t="str">
        <f>ConvertStockCode(표.실시간[[#This Row],[코드]])</f>
        <v>N272210</v>
      </c>
      <c r="H53" s="2">
        <f>_xll.IMDP("STK",표.실시간[[#This Row],[nxt_code]],"현재가")</f>
        <v>97400</v>
      </c>
      <c r="I53" s="2">
        <f>_xll.IMDP("STK",표.실시간[[#This Row],[nxt_code]],"시가총액")/10^12</f>
        <v>18.400748488600001</v>
      </c>
      <c r="J53" s="2">
        <f>표.실시간[[#This Row],[시가총액 (조원)]]/표.실시간[[#This Row],[현재가]]*(표.실시간[[#This Row],[현재가]]-표.실시간[[#This Row],[대비]])</f>
        <v>17.796206443799999</v>
      </c>
      <c r="K53" s="3">
        <f>_xll.IMDP("STK",표.실시간[[#This Row],[nxt_code]],"전일대비")</f>
        <v>3200</v>
      </c>
      <c r="L53">
        <f>_xll.IMDP("STK",표.실시간[[#This Row],[nxt_code]],"등락률")</f>
        <v>3.4</v>
      </c>
      <c r="M53" s="2">
        <f>_xll.IMDP("STK",표.실시간[[#This Row],[nxt_code]],"누적거래량")</f>
        <v>526089</v>
      </c>
      <c r="N53" s="2">
        <f>_xll.IMDP("STK",표.실시간[[#This Row],[nxt_code]],"누적거래대금")/10^8</f>
        <v>493.30235099999999</v>
      </c>
      <c r="O53" s="2">
        <f>_xll.IMDP("STK",표.실시간[[#This Row],[nxt_code]],"가중평균가")</f>
        <v>93767.851257000002</v>
      </c>
      <c r="P53" s="2">
        <f>_xll.IMDP("STK",표.실시간[[#This Row],[nxt_code]],"시가")</f>
        <v>91300</v>
      </c>
      <c r="Q53" s="2">
        <f>_xll.IMDP("STK",표.실시간[[#This Row],[nxt_code]],"고가")</f>
        <v>97900</v>
      </c>
      <c r="R53" s="2">
        <f>_xll.IMDP("STK",표.실시간[[#This Row],[nxt_code]],"저가")</f>
        <v>91000</v>
      </c>
      <c r="S53">
        <f>_xll.IMDP("STK",표.실시간[[#This Row],[nxt_code]],"세션명")</f>
        <v>0</v>
      </c>
      <c r="T53">
        <f>_xll.IMDP("STK",표.실시간[[#This Row],[nxt_code]],"체결시간")</f>
        <v>0</v>
      </c>
      <c r="U53" s="2">
        <f>_xll.IMDP("STK","272210","현재가")</f>
        <v>97400</v>
      </c>
      <c r="V53">
        <f>_xll.IMDP("STK","272210","누적거래량")</f>
        <v>526845</v>
      </c>
    </row>
    <row r="54" spans="2:22" x14ac:dyDescent="0.3">
      <c r="B54">
        <v>46</v>
      </c>
      <c r="C54">
        <v>1</v>
      </c>
      <c r="D54">
        <f>IF(IFERROR(INDEX(표.kospi200[code],MATCH(표.실시간[[#This Row],[코드]],표.kospi200[code],0)),0)=0,0,1)</f>
        <v>1</v>
      </c>
      <c r="E54" t="s">
        <v>59</v>
      </c>
      <c r="F54">
        <v>42700</v>
      </c>
      <c r="G54" t="str">
        <f>ConvertStockCode(표.실시간[[#This Row],[코드]])</f>
        <v>N042700</v>
      </c>
      <c r="H54" s="2">
        <f>_xll.IMDP("STK",표.실시간[[#This Row],[nxt_code]],"현재가")</f>
        <v>200000</v>
      </c>
      <c r="I54" s="2">
        <f>_xll.IMDP("STK",표.실시간[[#This Row],[nxt_code]],"시가총액")/10^12</f>
        <v>19.062439999999999</v>
      </c>
      <c r="J54" s="2">
        <f>표.실시간[[#This Row],[시가총액 (조원)]]/표.실시간[[#This Row],[현재가]]*(표.실시간[[#This Row],[현재가]]-표.실시간[[#This Row],[대비]])</f>
        <v>20.110874200000001</v>
      </c>
      <c r="K54" s="3">
        <f>_xll.IMDP("STK",표.실시간[[#This Row],[nxt_code]],"전일대비")</f>
        <v>-11000</v>
      </c>
      <c r="L54">
        <f>_xll.IMDP("STK",표.실시간[[#This Row],[nxt_code]],"등락률")</f>
        <v>-5.21</v>
      </c>
      <c r="M54" s="2">
        <f>_xll.IMDP("STK",표.실시간[[#This Row],[nxt_code]],"누적거래량")</f>
        <v>446561</v>
      </c>
      <c r="N54" s="2">
        <f>_xll.IMDP("STK",표.실시간[[#This Row],[nxt_code]],"누적거래대금")/10^8</f>
        <v>896.31900700000006</v>
      </c>
      <c r="O54" s="2">
        <f>_xll.IMDP("STK",표.실시간[[#This Row],[nxt_code]],"가중평균가")</f>
        <v>200715.91719800001</v>
      </c>
      <c r="P54" s="2">
        <f>_xll.IMDP("STK",표.실시간[[#This Row],[nxt_code]],"시가")</f>
        <v>207000</v>
      </c>
      <c r="Q54" s="2">
        <f>_xll.IMDP("STK",표.실시간[[#This Row],[nxt_code]],"고가")</f>
        <v>209000</v>
      </c>
      <c r="R54" s="2">
        <f>_xll.IMDP("STK",표.실시간[[#This Row],[nxt_code]],"저가")</f>
        <v>197900</v>
      </c>
      <c r="S54">
        <f>_xll.IMDP("STK",표.실시간[[#This Row],[nxt_code]],"세션명")</f>
        <v>0</v>
      </c>
      <c r="T54">
        <f>_xll.IMDP("STK",표.실시간[[#This Row],[nxt_code]],"체결시간")</f>
        <v>0</v>
      </c>
      <c r="U54" s="2">
        <f>_xll.IMDP("STK","042700","현재가")</f>
        <v>200500</v>
      </c>
      <c r="V54">
        <f>_xll.IMDP("STK","042700","누적거래량")</f>
        <v>264593</v>
      </c>
    </row>
    <row r="55" spans="2:22" x14ac:dyDescent="0.3">
      <c r="B55">
        <v>47</v>
      </c>
      <c r="C55">
        <v>1</v>
      </c>
      <c r="D55">
        <f>IF(IFERROR(INDEX(표.kospi200[code],MATCH(표.실시간[[#This Row],[코드]],표.kospi200[code],0)),0)=0,0,1)</f>
        <v>1</v>
      </c>
      <c r="E55" t="s">
        <v>60</v>
      </c>
      <c r="F55">
        <v>24110</v>
      </c>
      <c r="G55" t="str">
        <f>ConvertStockCode(표.실시간[[#This Row],[코드]])</f>
        <v>N024110</v>
      </c>
      <c r="H55" s="2">
        <f>_xll.IMDP("STK",표.실시간[[#This Row],[nxt_code]],"현재가")</f>
        <v>22150</v>
      </c>
      <c r="I55" s="2">
        <f>_xll.IMDP("STK",표.실시간[[#This Row],[nxt_code]],"시가총액")/10^12</f>
        <v>17.66298299835</v>
      </c>
      <c r="J55" s="2">
        <f>표.실시간[[#This Row],[시가총액 (조원)]]/표.실시간[[#This Row],[현재가]]*(표.실시간[[#This Row],[현재가]]-표.실시간[[#This Row],[대비]])</f>
        <v>17.66298299835</v>
      </c>
      <c r="K55" s="3">
        <f>_xll.IMDP("STK",표.실시간[[#This Row],[nxt_code]],"전일대비")</f>
        <v>0</v>
      </c>
      <c r="L55">
        <f>_xll.IMDP("STK",표.실시간[[#This Row],[nxt_code]],"등락률")</f>
        <v>0</v>
      </c>
      <c r="M55" s="2">
        <f>_xll.IMDP("STK",표.실시간[[#This Row],[nxt_code]],"누적거래량")</f>
        <v>137695</v>
      </c>
      <c r="N55" s="2">
        <f>_xll.IMDP("STK",표.실시간[[#This Row],[nxt_code]],"누적거래대금")/10^8</f>
        <v>30.1503005</v>
      </c>
      <c r="O55" s="2">
        <f>_xll.IMDP("STK",표.실시간[[#This Row],[nxt_code]],"가중평균가")</f>
        <v>21896.438141999999</v>
      </c>
      <c r="P55" s="2">
        <f>_xll.IMDP("STK",표.실시간[[#This Row],[nxt_code]],"시가")</f>
        <v>22200</v>
      </c>
      <c r="Q55" s="2">
        <f>_xll.IMDP("STK",표.실시간[[#This Row],[nxt_code]],"고가")</f>
        <v>22350</v>
      </c>
      <c r="R55" s="2">
        <f>_xll.IMDP("STK",표.실시간[[#This Row],[nxt_code]],"저가")</f>
        <v>21550</v>
      </c>
      <c r="S55">
        <f>_xll.IMDP("STK",표.실시간[[#This Row],[nxt_code]],"세션명")</f>
        <v>0</v>
      </c>
      <c r="T55">
        <f>_xll.IMDP("STK",표.실시간[[#This Row],[nxt_code]],"체결시간")</f>
        <v>0</v>
      </c>
      <c r="U55" s="2">
        <f>_xll.IMDP("STK","024110","현재가")</f>
        <v>22200</v>
      </c>
      <c r="V55">
        <f>_xll.IMDP("STK","024110","누적거래량")</f>
        <v>142918</v>
      </c>
    </row>
    <row r="56" spans="2:22" x14ac:dyDescent="0.3">
      <c r="B56">
        <v>48</v>
      </c>
      <c r="C56">
        <v>1</v>
      </c>
      <c r="D56">
        <f>IF(IFERROR(INDEX(표.kospi200[code],MATCH(표.실시간[[#This Row],[코드]],표.kospi200[code],0)),0)=0,0,1)</f>
        <v>1</v>
      </c>
      <c r="E56" t="s">
        <v>61</v>
      </c>
      <c r="F56">
        <v>47810</v>
      </c>
      <c r="G56" t="str">
        <f>ConvertStockCode(표.실시간[[#This Row],[코드]])</f>
        <v>N047810</v>
      </c>
      <c r="H56" s="2">
        <f>_xll.IMDP("STK",표.실시간[[#This Row],[nxt_code]],"현재가")</f>
        <v>168000</v>
      </c>
      <c r="I56" s="2">
        <f>_xll.IMDP("STK",표.실시간[[#This Row],[nxt_code]],"시가총액")/10^12</f>
        <v>16.375817976</v>
      </c>
      <c r="J56" s="2">
        <f>표.실시간[[#This Row],[시가총액 (조원)]]/표.실시간[[#This Row],[현재가]]*(표.실시간[[#This Row],[현재가]]-표.실시간[[#This Row],[대비]])</f>
        <v>16.4050605081</v>
      </c>
      <c r="K56" s="3">
        <f>_xll.IMDP("STK",표.실시간[[#This Row],[nxt_code]],"전일대비")</f>
        <v>-300</v>
      </c>
      <c r="L56">
        <f>_xll.IMDP("STK",표.실시간[[#This Row],[nxt_code]],"등락률")</f>
        <v>-0.18</v>
      </c>
      <c r="M56" s="2">
        <f>_xll.IMDP("STK",표.실시간[[#This Row],[nxt_code]],"누적거래량")</f>
        <v>91090</v>
      </c>
      <c r="N56" s="2">
        <f>_xll.IMDP("STK",표.실시간[[#This Row],[nxt_code]],"누적거래대금")/10^8</f>
        <v>151.0899995</v>
      </c>
      <c r="O56" s="2">
        <f>_xll.IMDP("STK",표.실시간[[#This Row],[nxt_code]],"가중평균가")</f>
        <v>165796.114891</v>
      </c>
      <c r="P56" s="2">
        <f>_xll.IMDP("STK",표.실시간[[#This Row],[nxt_code]],"시가")</f>
        <v>167100</v>
      </c>
      <c r="Q56" s="2">
        <f>_xll.IMDP("STK",표.실시간[[#This Row],[nxt_code]],"고가")</f>
        <v>168100</v>
      </c>
      <c r="R56" s="2">
        <f>_xll.IMDP("STK",표.실시간[[#This Row],[nxt_code]],"저가")</f>
        <v>163600</v>
      </c>
      <c r="S56">
        <f>_xll.IMDP("STK",표.실시간[[#This Row],[nxt_code]],"세션명")</f>
        <v>0</v>
      </c>
      <c r="T56">
        <f>_xll.IMDP("STK",표.실시간[[#This Row],[nxt_code]],"체결시간")</f>
        <v>0</v>
      </c>
      <c r="U56" s="2">
        <f>_xll.IMDP("STK","047810","현재가")</f>
        <v>168000</v>
      </c>
      <c r="V56">
        <f>_xll.IMDP("STK","047810","누적거래량")</f>
        <v>84607</v>
      </c>
    </row>
    <row r="57" spans="2:22" x14ac:dyDescent="0.3">
      <c r="B57">
        <v>49</v>
      </c>
      <c r="C57">
        <v>0</v>
      </c>
      <c r="D57">
        <f>IF(IFERROR(INDEX(표.kospi200[code],MATCH(표.실시간[[#This Row],[코드]],표.kospi200[code],0)),0)=0,0,1)</f>
        <v>0</v>
      </c>
      <c r="E57" t="s">
        <v>62</v>
      </c>
      <c r="F57">
        <v>247540</v>
      </c>
      <c r="G57" t="str">
        <f>ConvertStockCode(표.실시간[[#This Row],[코드]])</f>
        <v>N247540</v>
      </c>
      <c r="H57" s="2">
        <f>_xll.IMDP("STK",표.실시간[[#This Row],[nxt_code]],"현재가")</f>
        <v>233000</v>
      </c>
      <c r="I57" s="2">
        <f>_xll.IMDP("STK",표.실시간[[#This Row],[nxt_code]],"시가총액")/10^12</f>
        <v>22.787713151999998</v>
      </c>
      <c r="J57" s="2">
        <f>표.실시간[[#This Row],[시가총액 (조원)]]/표.실시간[[#This Row],[현재가]]*(표.실시간[[#This Row],[현재가]]-표.실시간[[#This Row],[대비]])</f>
        <v>22.689911807999998</v>
      </c>
      <c r="K57" s="3">
        <f>_xll.IMDP("STK",표.실시간[[#This Row],[nxt_code]],"전일대비")</f>
        <v>1000</v>
      </c>
      <c r="L57">
        <f>_xll.IMDP("STK",표.실시간[[#This Row],[nxt_code]],"등락률")</f>
        <v>0.43</v>
      </c>
      <c r="M57" s="2">
        <f>_xll.IMDP("STK",표.실시간[[#This Row],[nxt_code]],"누적거래량")</f>
        <v>378826</v>
      </c>
      <c r="N57" s="2">
        <f>_xll.IMDP("STK",표.실시간[[#This Row],[nxt_code]],"누적거래대금")/10^8</f>
        <v>870.74577499999998</v>
      </c>
      <c r="O57" s="2">
        <f>_xll.IMDP("STK",표.실시간[[#This Row],[nxt_code]],"가중평균가")</f>
        <v>229853.752118</v>
      </c>
      <c r="P57" s="2">
        <f>_xll.IMDP("STK",표.실시간[[#This Row],[nxt_code]],"시가")</f>
        <v>224000</v>
      </c>
      <c r="Q57" s="2">
        <f>_xll.IMDP("STK",표.실시간[[#This Row],[nxt_code]],"고가")</f>
        <v>235500</v>
      </c>
      <c r="R57" s="2">
        <f>_xll.IMDP("STK",표.실시간[[#This Row],[nxt_code]],"저가")</f>
        <v>219500</v>
      </c>
      <c r="S57">
        <f>_xll.IMDP("STK",표.실시간[[#This Row],[nxt_code]],"세션명")</f>
        <v>0</v>
      </c>
      <c r="T57">
        <f>_xll.IMDP("STK",표.실시간[[#This Row],[nxt_code]],"체결시간")</f>
        <v>0</v>
      </c>
      <c r="U57" s="2">
        <f>_xll.IMDP("STK","247540","현재가")</f>
        <v>232000</v>
      </c>
      <c r="V57">
        <f>_xll.IMDP("STK","247540","누적거래량")</f>
        <v>238946</v>
      </c>
    </row>
    <row r="58" spans="2:22" x14ac:dyDescent="0.3">
      <c r="B58">
        <v>50</v>
      </c>
      <c r="C58">
        <v>1</v>
      </c>
      <c r="D58">
        <f>IF(IFERROR(INDEX(표.kospi200[code],MATCH(표.실시간[[#This Row],[코드]],표.kospi200[code],0)),0)=0,0,1)</f>
        <v>1</v>
      </c>
      <c r="E58" t="s">
        <v>63</v>
      </c>
      <c r="F58">
        <v>10120</v>
      </c>
      <c r="G58" t="str">
        <f>ConvertStockCode(표.실시간[[#This Row],[코드]])</f>
        <v>N010120</v>
      </c>
      <c r="H58" s="2">
        <f>_xll.IMDP("STK",표.실시간[[#This Row],[nxt_code]],"현재가")</f>
        <v>547000</v>
      </c>
      <c r="I58" s="2">
        <f>_xll.IMDP("STK",표.실시간[[#This Row],[nxt_code]],"시가총액")/10^12</f>
        <v>16.41</v>
      </c>
      <c r="J58" s="2">
        <f>표.실시간[[#This Row],[시가총액 (조원)]]/표.실시간[[#This Row],[현재가]]*(표.실시간[[#This Row],[현재가]]-표.실시간[[#This Row],[대비]])</f>
        <v>17.010000000000002</v>
      </c>
      <c r="K58" s="3">
        <f>_xll.IMDP("STK",표.실시간[[#This Row],[nxt_code]],"전일대비")</f>
        <v>-20000</v>
      </c>
      <c r="L58">
        <f>_xll.IMDP("STK",표.실시간[[#This Row],[nxt_code]],"등락률")</f>
        <v>-3.36</v>
      </c>
      <c r="M58" s="2">
        <f>_xll.IMDP("STK",표.실시간[[#This Row],[nxt_code]],"누적거래량")</f>
        <v>25236</v>
      </c>
      <c r="N58" s="2">
        <f>_xll.IMDP("STK",표.실시간[[#This Row],[nxt_code]],"누적거래대금")/10^8</f>
        <v>138.14559</v>
      </c>
      <c r="O58" s="2">
        <f>_xll.IMDP("STK",표.실시간[[#This Row],[nxt_code]],"가중평균가")</f>
        <v>547393.07366200001</v>
      </c>
      <c r="P58" s="2">
        <f>_xll.IMDP("STK",표.실시간[[#This Row],[nxt_code]],"시가")</f>
        <v>558000</v>
      </c>
      <c r="Q58" s="2">
        <f>_xll.IMDP("STK",표.실시간[[#This Row],[nxt_code]],"고가")</f>
        <v>562000</v>
      </c>
      <c r="R58" s="2">
        <f>_xll.IMDP("STK",표.실시간[[#This Row],[nxt_code]],"저가")</f>
        <v>535000</v>
      </c>
      <c r="S58">
        <f>_xll.IMDP("STK",표.실시간[[#This Row],[nxt_code]],"세션명")</f>
        <v>0</v>
      </c>
      <c r="T58">
        <f>_xll.IMDP("STK",표.실시간[[#This Row],[nxt_code]],"체결시간")</f>
        <v>0</v>
      </c>
      <c r="U58" s="2">
        <f>_xll.IMDP("STK","010120","현재가")</f>
        <v>547000</v>
      </c>
      <c r="V58">
        <f>_xll.IMDP("STK","010120","누적거래량")</f>
        <v>25329</v>
      </c>
    </row>
    <row r="59" spans="2:22" x14ac:dyDescent="0.3">
      <c r="B59">
        <v>51</v>
      </c>
      <c r="C59">
        <v>1</v>
      </c>
      <c r="D59">
        <f>IF(IFERROR(INDEX(표.kospi200[code],MATCH(표.실시간[[#This Row],[코드]],표.kospi200[code],0)),0)=0,0,1)</f>
        <v>1</v>
      </c>
      <c r="E59" t="s">
        <v>64</v>
      </c>
      <c r="F59">
        <v>352820</v>
      </c>
      <c r="G59" t="str">
        <f>ConvertStockCode(표.실시간[[#This Row],[코드]])</f>
        <v>N352820</v>
      </c>
      <c r="H59" s="2">
        <f>_xll.IMDP("STK",표.실시간[[#This Row],[nxt_code]],"현재가")</f>
        <v>367500</v>
      </c>
      <c r="I59" s="2">
        <f>_xll.IMDP("STK",표.실시간[[#This Row],[nxt_code]],"시가총액")/10^12</f>
        <v>15.7042338075</v>
      </c>
      <c r="J59" s="2">
        <f>표.실시간[[#This Row],[시가총액 (조원)]]/표.실시간[[#This Row],[현재가]]*(표.실시간[[#This Row],[현재가]]-표.실시간[[#This Row],[대비]])</f>
        <v>15.981995765999999</v>
      </c>
      <c r="K59" s="3">
        <f>_xll.IMDP("STK",표.실시간[[#This Row],[nxt_code]],"전일대비")</f>
        <v>-6500</v>
      </c>
      <c r="L59">
        <f>_xll.IMDP("STK",표.실시간[[#This Row],[nxt_code]],"등락률")</f>
        <v>-1.74</v>
      </c>
      <c r="M59" s="2">
        <f>_xll.IMDP("STK",표.실시간[[#This Row],[nxt_code]],"누적거래량")</f>
        <v>45886</v>
      </c>
      <c r="N59" s="2">
        <f>_xll.IMDP("STK",표.실시간[[#This Row],[nxt_code]],"누적거래대금")/10^8</f>
        <v>167.92683249999999</v>
      </c>
      <c r="O59" s="2">
        <f>_xll.IMDP("STK",표.실시간[[#This Row],[nxt_code]],"가중평균가")</f>
        <v>365965.28897699999</v>
      </c>
      <c r="P59" s="2">
        <f>_xll.IMDP("STK",표.실시간[[#This Row],[nxt_code]],"시가")</f>
        <v>367500</v>
      </c>
      <c r="Q59" s="2">
        <f>_xll.IMDP("STK",표.실시간[[#This Row],[nxt_code]],"고가")</f>
        <v>372000</v>
      </c>
      <c r="R59" s="2">
        <f>_xll.IMDP("STK",표.실시간[[#This Row],[nxt_code]],"저가")</f>
        <v>362000</v>
      </c>
      <c r="S59">
        <f>_xll.IMDP("STK",표.실시간[[#This Row],[nxt_code]],"세션명")</f>
        <v>0</v>
      </c>
      <c r="T59">
        <f>_xll.IMDP("STK",표.실시간[[#This Row],[nxt_code]],"체결시간")</f>
        <v>0</v>
      </c>
      <c r="U59" s="2">
        <f>_xll.IMDP("STK","352820","현재가")</f>
        <v>367000</v>
      </c>
      <c r="V59">
        <f>_xll.IMDP("STK","352820","누적거래량")</f>
        <v>24168</v>
      </c>
    </row>
    <row r="60" spans="2:22" x14ac:dyDescent="0.3">
      <c r="B60">
        <v>52</v>
      </c>
      <c r="C60">
        <v>1</v>
      </c>
      <c r="D60">
        <f>IF(IFERROR(INDEX(표.kospi200[code],MATCH(표.실시간[[#This Row],[코드]],표.kospi200[code],0)),0)=0,0,1)</f>
        <v>1</v>
      </c>
      <c r="E60" t="s">
        <v>65</v>
      </c>
      <c r="F60" t="s">
        <v>705</v>
      </c>
      <c r="G60" t="str">
        <f>ConvertStockCode(표.실시간[[#This Row],[코드]])</f>
        <v>N0126Z0</v>
      </c>
      <c r="H60" s="2">
        <f>_xll.IMDP("STK",표.실시간[[#This Row],[nxt_code]],"현재가")</f>
        <v>605000</v>
      </c>
      <c r="I60" s="2">
        <f>_xll.IMDP("STK",표.실시간[[#This Row],[nxt_code]],"시가총액")/10^12</f>
        <v>15.054244645000001</v>
      </c>
      <c r="J60" s="2">
        <f>표.실시간[[#This Row],[시가총액 (조원)]]/표.실시간[[#This Row],[현재가]]*(표.실시간[[#This Row],[현재가]]-표.실시간[[#This Row],[대비]])</f>
        <v>15.104010743</v>
      </c>
      <c r="K60" s="3">
        <f>_xll.IMDP("STK",표.실시간[[#This Row],[nxt_code]],"전일대비")</f>
        <v>-2000</v>
      </c>
      <c r="L60">
        <f>_xll.IMDP("STK",표.실시간[[#This Row],[nxt_code]],"등락률")</f>
        <v>-0.17</v>
      </c>
      <c r="M60" s="2">
        <f>_xll.IMDP("STK",표.실시간[[#This Row],[nxt_code]],"누적거래량")</f>
        <v>24170</v>
      </c>
      <c r="N60" s="2">
        <f>_xll.IMDP("STK",표.실시간[[#This Row],[nxt_code]],"누적거래대금")/10^8</f>
        <v>144.24843000000001</v>
      </c>
      <c r="O60" s="2">
        <f>_xll.IMDP("STK",표.실시간[[#This Row],[nxt_code]],"가중평균가")</f>
        <v>596783.04579899996</v>
      </c>
      <c r="P60" s="2">
        <f>_xll.IMDP("STK",표.실시간[[#This Row],[nxt_code]],"시가")</f>
        <v>609000</v>
      </c>
      <c r="Q60" s="2">
        <f>_xll.IMDP("STK",표.실시간[[#This Row],[nxt_code]],"고가")</f>
        <v>609000</v>
      </c>
      <c r="R60" s="2">
        <f>_xll.IMDP("STK",표.실시간[[#This Row],[nxt_code]],"저가")</f>
        <v>592000</v>
      </c>
      <c r="S60">
        <f>_xll.IMDP("STK",표.실시간[[#This Row],[nxt_code]],"세션명")</f>
        <v>0</v>
      </c>
      <c r="T60">
        <f>_xll.IMDP("STK",표.실시간[[#This Row],[nxt_code]],"체결시간")</f>
        <v>0</v>
      </c>
      <c r="U60" s="2">
        <f>_xll.IMDP("STK","0126Z0","현재가")</f>
        <v>605000</v>
      </c>
      <c r="V60">
        <f>_xll.IMDP("STK","0126Z0","누적거래량")</f>
        <v>13211</v>
      </c>
    </row>
    <row r="61" spans="2:22" x14ac:dyDescent="0.3">
      <c r="B61">
        <v>53</v>
      </c>
      <c r="C61">
        <v>1</v>
      </c>
      <c r="D61">
        <f>IF(IFERROR(INDEX(표.kospi200[code],MATCH(표.실시간[[#This Row],[코드]],표.kospi200[code],0)),0)=0,0,1)</f>
        <v>1</v>
      </c>
      <c r="E61" t="s">
        <v>66</v>
      </c>
      <c r="F61">
        <v>307950</v>
      </c>
      <c r="G61" t="str">
        <f>ConvertStockCode(표.실시간[[#This Row],[코드]])</f>
        <v>N307950</v>
      </c>
      <c r="H61" s="2">
        <f>_xll.IMDP("STK",표.실시간[[#This Row],[nxt_code]],"현재가")</f>
        <v>455500</v>
      </c>
      <c r="I61" s="2">
        <f>_xll.IMDP("STK",표.실시간[[#This Row],[nxt_code]],"시가총액")/10^12</f>
        <v>12.491623800999999</v>
      </c>
      <c r="J61" s="2">
        <f>표.실시간[[#This Row],[시가총액 (조원)]]/표.실시간[[#This Row],[현재가]]*(표.실시간[[#This Row],[현재가]]-표.실시간[[#This Row],[대비]])</f>
        <v>12.656167692999999</v>
      </c>
      <c r="K61" s="3">
        <f>_xll.IMDP("STK",표.실시간[[#This Row],[nxt_code]],"전일대비")</f>
        <v>-6000</v>
      </c>
      <c r="L61">
        <f>_xll.IMDP("STK",표.실시간[[#This Row],[nxt_code]],"등락률")</f>
        <v>-1.3</v>
      </c>
      <c r="M61" s="2">
        <f>_xll.IMDP("STK",표.실시간[[#This Row],[nxt_code]],"누적거래량")</f>
        <v>40101</v>
      </c>
      <c r="N61" s="2">
        <f>_xll.IMDP("STK",표.실시간[[#This Row],[nxt_code]],"누적거래대금")/10^8</f>
        <v>179.62405999999999</v>
      </c>
      <c r="O61" s="2">
        <f>_xll.IMDP("STK",표.실시간[[#This Row],[nxt_code]],"가중평균가")</f>
        <v>447929.12894899998</v>
      </c>
      <c r="P61" s="2">
        <f>_xll.IMDP("STK",표.실시간[[#This Row],[nxt_code]],"시가")</f>
        <v>463000</v>
      </c>
      <c r="Q61" s="2">
        <f>_xll.IMDP("STK",표.실시간[[#This Row],[nxt_code]],"고가")</f>
        <v>464500</v>
      </c>
      <c r="R61" s="2">
        <f>_xll.IMDP("STK",표.실시간[[#This Row],[nxt_code]],"저가")</f>
        <v>444000</v>
      </c>
      <c r="S61">
        <f>_xll.IMDP("STK",표.실시간[[#This Row],[nxt_code]],"세션명")</f>
        <v>0</v>
      </c>
      <c r="T61">
        <f>_xll.IMDP("STK",표.실시간[[#This Row],[nxt_code]],"체결시간")</f>
        <v>0</v>
      </c>
      <c r="U61" s="2">
        <f>_xll.IMDP("STK","307950","현재가")</f>
        <v>457000</v>
      </c>
      <c r="V61">
        <f>_xll.IMDP("STK","307950","누적거래량")</f>
        <v>17745</v>
      </c>
    </row>
    <row r="62" spans="2:22" x14ac:dyDescent="0.3">
      <c r="B62">
        <v>54</v>
      </c>
      <c r="C62">
        <v>1</v>
      </c>
      <c r="D62">
        <f>IF(IFERROR(INDEX(표.kospi200[code],MATCH(표.실시간[[#This Row],[코드]],표.kospi200[code],0)),0)=0,0,1)</f>
        <v>1</v>
      </c>
      <c r="E62" t="s">
        <v>67</v>
      </c>
      <c r="F62">
        <v>30200</v>
      </c>
      <c r="G62" t="str">
        <f>ConvertStockCode(표.실시간[[#This Row],[코드]])</f>
        <v>N030200</v>
      </c>
      <c r="H62" s="2">
        <f>_xll.IMDP("STK",표.실시간[[#This Row],[nxt_code]],"현재가")</f>
        <v>56700</v>
      </c>
      <c r="I62" s="2">
        <f>_xll.IMDP("STK",표.실시간[[#This Row],[nxt_code]],"시가총액")/10^12</f>
        <v>14.2896295395</v>
      </c>
      <c r="J62" s="2">
        <f>표.실시간[[#This Row],[시가총액 (조원)]]/표.실시간[[#This Row],[현재가]]*(표.실시간[[#This Row],[현재가]]-표.실시간[[#This Row],[대비]])</f>
        <v>14.340033876499998</v>
      </c>
      <c r="K62" s="3">
        <f>_xll.IMDP("STK",표.실시간[[#This Row],[nxt_code]],"전일대비")</f>
        <v>-200</v>
      </c>
      <c r="L62">
        <f>_xll.IMDP("STK",표.실시간[[#This Row],[nxt_code]],"등락률")</f>
        <v>-0.35</v>
      </c>
      <c r="M62" s="2">
        <f>_xll.IMDP("STK",표.실시간[[#This Row],[nxt_code]],"누적거래량")</f>
        <v>42262</v>
      </c>
      <c r="N62" s="2">
        <f>_xll.IMDP("STK",표.실시간[[#This Row],[nxt_code]],"누적거래대금")/10^8</f>
        <v>23.890741999999999</v>
      </c>
      <c r="O62" s="2">
        <f>_xll.IMDP("STK",표.실시간[[#This Row],[nxt_code]],"가중평균가")</f>
        <v>56530.079031000001</v>
      </c>
      <c r="P62" s="2">
        <f>_xll.IMDP("STK",표.실시간[[#This Row],[nxt_code]],"시가")</f>
        <v>57000</v>
      </c>
      <c r="Q62" s="2">
        <f>_xll.IMDP("STK",표.실시간[[#This Row],[nxt_code]],"고가")</f>
        <v>57000</v>
      </c>
      <c r="R62" s="2">
        <f>_xll.IMDP("STK",표.실시간[[#This Row],[nxt_code]],"저가")</f>
        <v>56300</v>
      </c>
      <c r="S62">
        <f>_xll.IMDP("STK",표.실시간[[#This Row],[nxt_code]],"세션명")</f>
        <v>0</v>
      </c>
      <c r="T62">
        <f>_xll.IMDP("STK",표.실시간[[#This Row],[nxt_code]],"체결시간")</f>
        <v>0</v>
      </c>
      <c r="U62" s="2">
        <f>_xll.IMDP("STK","030200","현재가")</f>
        <v>56900</v>
      </c>
      <c r="V62">
        <f>_xll.IMDP("STK","030200","누적거래량")</f>
        <v>38604</v>
      </c>
    </row>
    <row r="63" spans="2:22" x14ac:dyDescent="0.3">
      <c r="B63">
        <v>55</v>
      </c>
      <c r="C63">
        <v>1</v>
      </c>
      <c r="D63">
        <f>IF(IFERROR(INDEX(표.kospi200[code],MATCH(표.실시간[[#This Row],[코드]],표.kospi200[code],0)),0)=0,0,1)</f>
        <v>1</v>
      </c>
      <c r="E63" t="s">
        <v>68</v>
      </c>
      <c r="F63">
        <v>18260</v>
      </c>
      <c r="G63" t="str">
        <f>ConvertStockCode(표.실시간[[#This Row],[코드]])</f>
        <v>N018260</v>
      </c>
      <c r="H63" s="2">
        <f>_xll.IMDP("STK",표.실시간[[#This Row],[nxt_code]],"현재가")</f>
        <v>170000</v>
      </c>
      <c r="I63" s="2">
        <f>_xll.IMDP("STK",표.실시간[[#This Row],[nxt_code]],"시가총액")/10^12</f>
        <v>13.154226</v>
      </c>
      <c r="J63" s="2">
        <f>표.실시간[[#This Row],[시가총액 (조원)]]/표.실시간[[#This Row],[현재가]]*(표.실시간[[#This Row],[현재가]]-표.실시간[[#This Row],[대비]])</f>
        <v>13.40183496</v>
      </c>
      <c r="K63" s="3">
        <f>_xll.IMDP("STK",표.실시간[[#This Row],[nxt_code]],"전일대비")</f>
        <v>-3200</v>
      </c>
      <c r="L63">
        <f>_xll.IMDP("STK",표.실시간[[#This Row],[nxt_code]],"등락률")</f>
        <v>-1.79</v>
      </c>
      <c r="M63" s="2">
        <f>_xll.IMDP("STK",표.실시간[[#This Row],[nxt_code]],"누적거래량")</f>
        <v>17112</v>
      </c>
      <c r="N63" s="2">
        <f>_xll.IMDP("STK",표.실시간[[#This Row],[nxt_code]],"누적거래대금")/10^8</f>
        <v>29.193425000000001</v>
      </c>
      <c r="O63" s="2">
        <f>_xll.IMDP("STK",표.실시간[[#This Row],[nxt_code]],"가중평균가")</f>
        <v>170602.06288000001</v>
      </c>
      <c r="P63" s="2">
        <f>_xll.IMDP("STK",표.실시간[[#This Row],[nxt_code]],"시가")</f>
        <v>173300</v>
      </c>
      <c r="Q63" s="2">
        <f>_xll.IMDP("STK",표.실시간[[#This Row],[nxt_code]],"고가")</f>
        <v>173300</v>
      </c>
      <c r="R63" s="2">
        <f>_xll.IMDP("STK",표.실시간[[#This Row],[nxt_code]],"저가")</f>
        <v>169600</v>
      </c>
      <c r="S63">
        <f>_xll.IMDP("STK",표.실시간[[#This Row],[nxt_code]],"세션명")</f>
        <v>0</v>
      </c>
      <c r="T63">
        <f>_xll.IMDP("STK",표.실시간[[#This Row],[nxt_code]],"체결시간")</f>
        <v>0</v>
      </c>
      <c r="U63" s="2">
        <f>_xll.IMDP("STK","018260","현재가")</f>
        <v>170300</v>
      </c>
      <c r="V63">
        <f>_xll.IMDP("STK","018260","누적거래량")</f>
        <v>17979</v>
      </c>
    </row>
    <row r="64" spans="2:22" x14ac:dyDescent="0.3">
      <c r="B64">
        <v>56</v>
      </c>
      <c r="C64">
        <v>1</v>
      </c>
      <c r="D64">
        <f>IF(IFERROR(INDEX(표.kospi200[code],MATCH(표.실시간[[#This Row],[코드]],표.kospi200[code],0)),0)=0,0,1)</f>
        <v>1</v>
      </c>
      <c r="E64" t="s">
        <v>69</v>
      </c>
      <c r="F64">
        <v>150</v>
      </c>
      <c r="G64" t="str">
        <f>ConvertStockCode(표.실시간[[#This Row],[코드]])</f>
        <v>N000150</v>
      </c>
      <c r="H64" s="2">
        <f>_xll.IMDP("STK",표.실시간[[#This Row],[nxt_code]],"현재가")</f>
        <v>848000</v>
      </c>
      <c r="I64" s="2">
        <f>_xll.IMDP("STK",표.실시간[[#This Row],[nxt_code]],"시가총액")/10^12</f>
        <v>13.732372079999999</v>
      </c>
      <c r="J64" s="2">
        <f>표.실시간[[#This Row],[시가총액 (조원)]]/표.실시간[[#This Row],[현재가]]*(표.실시간[[#This Row],[현재가]]-표.실시간[[#This Row],[대비]])</f>
        <v>13.878116595</v>
      </c>
      <c r="K64" s="3">
        <f>_xll.IMDP("STK",표.실시간[[#This Row],[nxt_code]],"전일대비")</f>
        <v>-9000</v>
      </c>
      <c r="L64">
        <f>_xll.IMDP("STK",표.실시간[[#This Row],[nxt_code]],"등락률")</f>
        <v>-0.35</v>
      </c>
      <c r="M64" s="2">
        <f>_xll.IMDP("STK",표.실시간[[#This Row],[nxt_code]],"누적거래량")</f>
        <v>15924</v>
      </c>
      <c r="N64" s="2">
        <f>_xll.IMDP("STK",표.실시간[[#This Row],[nxt_code]],"누적거래대금")/10^8</f>
        <v>132.52883499999999</v>
      </c>
      <c r="O64" s="2">
        <f>_xll.IMDP("STK",표.실시간[[#This Row],[nxt_code]],"가중평균가")</f>
        <v>832258.44637000002</v>
      </c>
      <c r="P64" s="2">
        <f>_xll.IMDP("STK",표.실시간[[#This Row],[nxt_code]],"시가")</f>
        <v>840000</v>
      </c>
      <c r="Q64" s="2">
        <f>_xll.IMDP("STK",표.실시간[[#This Row],[nxt_code]],"고가")</f>
        <v>848000</v>
      </c>
      <c r="R64" s="2">
        <f>_xll.IMDP("STK",표.실시간[[#This Row],[nxt_code]],"저가")</f>
        <v>826000</v>
      </c>
      <c r="S64">
        <f>_xll.IMDP("STK",표.실시간[[#This Row],[nxt_code]],"세션명")</f>
        <v>0</v>
      </c>
      <c r="T64">
        <f>_xll.IMDP("STK",표.실시간[[#This Row],[nxt_code]],"체결시간")</f>
        <v>0</v>
      </c>
      <c r="U64" s="2">
        <f>_xll.IMDP("STK","000150","현재가")</f>
        <v>848000</v>
      </c>
      <c r="V64">
        <f>_xll.IMDP("STK","000150","누적거래량")</f>
        <v>7633</v>
      </c>
    </row>
    <row r="65" spans="2:22" x14ac:dyDescent="0.3">
      <c r="B65">
        <v>57</v>
      </c>
      <c r="C65">
        <v>1</v>
      </c>
      <c r="D65">
        <f>IF(IFERROR(INDEX(표.kospi200[code],MATCH(표.실시간[[#This Row],[코드]],표.kospi200[code],0)),0)=0,0,1)</f>
        <v>1</v>
      </c>
      <c r="E65" t="s">
        <v>70</v>
      </c>
      <c r="F65">
        <v>3550</v>
      </c>
      <c r="G65" t="str">
        <f>ConvertStockCode(표.실시간[[#This Row],[코드]])</f>
        <v>N003550</v>
      </c>
      <c r="H65" s="2">
        <f>_xll.IMDP("STK",표.실시간[[#This Row],[nxt_code]],"현재가")</f>
        <v>90000</v>
      </c>
      <c r="I65" s="2">
        <f>_xll.IMDP("STK",표.실시간[[#This Row],[nxt_code]],"시가총액")/10^12</f>
        <v>13.87994265</v>
      </c>
      <c r="J65" s="2">
        <f>표.실시간[[#This Row],[시가총액 (조원)]]/표.실시간[[#This Row],[현재가]]*(표.실시간[[#This Row],[현재가]]-표.실시간[[#This Row],[대비]])</f>
        <v>14.142119344500001</v>
      </c>
      <c r="K65" s="3">
        <f>_xll.IMDP("STK",표.실시간[[#This Row],[nxt_code]],"전일대비")</f>
        <v>-1700</v>
      </c>
      <c r="L65">
        <f>_xll.IMDP("STK",표.실시간[[#This Row],[nxt_code]],"등락률")</f>
        <v>-1.85</v>
      </c>
      <c r="M65" s="2">
        <f>_xll.IMDP("STK",표.실시간[[#This Row],[nxt_code]],"누적거래량")</f>
        <v>21591</v>
      </c>
      <c r="N65" s="2">
        <f>_xll.IMDP("STK",표.실시간[[#This Row],[nxt_code]],"누적거래대금")/10^8</f>
        <v>19.405821</v>
      </c>
      <c r="O65" s="2">
        <f>_xll.IMDP("STK",표.실시간[[#This Row],[nxt_code]],"가중평균가")</f>
        <v>89879.213560999997</v>
      </c>
      <c r="P65" s="2">
        <f>_xll.IMDP("STK",표.실시간[[#This Row],[nxt_code]],"시가")</f>
        <v>93900</v>
      </c>
      <c r="Q65" s="2">
        <f>_xll.IMDP("STK",표.실시간[[#This Row],[nxt_code]],"고가")</f>
        <v>93900</v>
      </c>
      <c r="R65" s="2">
        <f>_xll.IMDP("STK",표.실시간[[#This Row],[nxt_code]],"저가")</f>
        <v>89300</v>
      </c>
      <c r="S65">
        <f>_xll.IMDP("STK",표.실시간[[#This Row],[nxt_code]],"세션명")</f>
        <v>0</v>
      </c>
      <c r="T65">
        <f>_xll.IMDP("STK",표.실시간[[#This Row],[nxt_code]],"체결시간")</f>
        <v>0</v>
      </c>
      <c r="U65" s="2">
        <f>_xll.IMDP("STK","003550","현재가")</f>
        <v>90100</v>
      </c>
      <c r="V65">
        <f>_xll.IMDP("STK","003550","누적거래량")</f>
        <v>18414</v>
      </c>
    </row>
    <row r="66" spans="2:22" x14ac:dyDescent="0.3">
      <c r="B66">
        <v>58</v>
      </c>
      <c r="C66">
        <v>1</v>
      </c>
      <c r="D66">
        <f>IF(IFERROR(INDEX(표.kospi200[code],MATCH(표.실시간[[#This Row],[코드]],표.kospi200[code],0)),0)=0,0,1)</f>
        <v>1</v>
      </c>
      <c r="E66" t="s">
        <v>71</v>
      </c>
      <c r="F66">
        <v>17670</v>
      </c>
      <c r="G66" t="str">
        <f>ConvertStockCode(표.실시간[[#This Row],[코드]])</f>
        <v>N017670</v>
      </c>
      <c r="H66" s="2">
        <f>_xll.IMDP("STK",표.실시간[[#This Row],[nxt_code]],"현재가")</f>
        <v>71150</v>
      </c>
      <c r="I66" s="2">
        <f>_xll.IMDP("STK",표.실시간[[#This Row],[nxt_code]],"시가총액")/10^12</f>
        <v>15.282312270949999</v>
      </c>
      <c r="J66" s="2">
        <f>표.실시간[[#This Row],[시가총액 (조원)]]/표.실시간[[#This Row],[현재가]]*(표.실시간[[#This Row],[현재가]]-표.실시간[[#This Row],[대비]])</f>
        <v>15.572278842499999</v>
      </c>
      <c r="K66" s="3">
        <f>_xll.IMDP("STK",표.실시간[[#This Row],[nxt_code]],"전일대비")</f>
        <v>-1350</v>
      </c>
      <c r="L66">
        <f>_xll.IMDP("STK",표.실시간[[#This Row],[nxt_code]],"등락률")</f>
        <v>-1.86</v>
      </c>
      <c r="M66" s="2">
        <f>_xll.IMDP("STK",표.실시간[[#This Row],[nxt_code]],"누적거래량")</f>
        <v>139772</v>
      </c>
      <c r="N66" s="2">
        <f>_xll.IMDP("STK",표.실시간[[#This Row],[nxt_code]],"누적거래대금")/10^8</f>
        <v>98.962463</v>
      </c>
      <c r="O66" s="2">
        <f>_xll.IMDP("STK",표.실시간[[#This Row],[nxt_code]],"가중평균가")</f>
        <v>70802.780958000003</v>
      </c>
      <c r="P66" s="2">
        <f>_xll.IMDP("STK",표.실시간[[#This Row],[nxt_code]],"시가")</f>
        <v>72000</v>
      </c>
      <c r="Q66" s="2">
        <f>_xll.IMDP("STK",표.실시간[[#This Row],[nxt_code]],"고가")</f>
        <v>72000</v>
      </c>
      <c r="R66" s="2">
        <f>_xll.IMDP("STK",표.실시간[[#This Row],[nxt_code]],"저가")</f>
        <v>70100</v>
      </c>
      <c r="S66">
        <f>_xll.IMDP("STK",표.실시간[[#This Row],[nxt_code]],"세션명")</f>
        <v>0</v>
      </c>
      <c r="T66">
        <f>_xll.IMDP("STK",표.실시간[[#This Row],[nxt_code]],"체결시간")</f>
        <v>0</v>
      </c>
      <c r="U66" s="2">
        <f>_xll.IMDP("STK","017670","현재가")</f>
        <v>71300</v>
      </c>
      <c r="V66">
        <f>_xll.IMDP("STK","017670","누적거래량")</f>
        <v>139774</v>
      </c>
    </row>
    <row r="67" spans="2:22" x14ac:dyDescent="0.3">
      <c r="B67">
        <v>59</v>
      </c>
      <c r="C67">
        <v>0</v>
      </c>
      <c r="D67">
        <f>IF(IFERROR(INDEX(표.kospi200[code],MATCH(표.실시간[[#This Row],[코드]],표.kospi200[code],0)),0)=0,0,1)</f>
        <v>0</v>
      </c>
      <c r="E67" t="s">
        <v>72</v>
      </c>
      <c r="F67">
        <v>86520</v>
      </c>
      <c r="G67" t="str">
        <f>ConvertStockCode(표.실시간[[#This Row],[코드]])</f>
        <v>N086520</v>
      </c>
      <c r="H67" s="2">
        <f>_xll.IMDP("STK",표.실시간[[#This Row],[nxt_code]],"현재가")</f>
        <v>172000</v>
      </c>
      <c r="I67" s="2">
        <f>_xll.IMDP("STK",표.실시간[[#This Row],[nxt_code]],"시가총액")/10^12</f>
        <v>23.353498144</v>
      </c>
      <c r="J67" s="2">
        <f>표.실시간[[#This Row],[시가총액 (조원)]]/표.실시간[[#This Row],[현재가]]*(표.실시간[[#This Row],[현재가]]-표.실시간[[#This Row],[대비]])</f>
        <v>22.063624699999998</v>
      </c>
      <c r="K67" s="3">
        <f>_xll.IMDP("STK",표.실시간[[#This Row],[nxt_code]],"전일대비")</f>
        <v>9500</v>
      </c>
      <c r="L67">
        <f>_xll.IMDP("STK",표.실시간[[#This Row],[nxt_code]],"등락률")</f>
        <v>5.85</v>
      </c>
      <c r="M67" s="2">
        <f>_xll.IMDP("STK",표.실시간[[#This Row],[nxt_code]],"누적거래량")</f>
        <v>2116677</v>
      </c>
      <c r="N67" s="2">
        <f>_xll.IMDP("STK",표.실시간[[#This Row],[nxt_code]],"누적거래대금")/10^8</f>
        <v>3516.6891584999998</v>
      </c>
      <c r="O67" s="2">
        <f>_xll.IMDP("STK",표.실시간[[#This Row],[nxt_code]],"가중평균가")</f>
        <v>166110.98529000001</v>
      </c>
      <c r="P67" s="2">
        <f>_xll.IMDP("STK",표.실시간[[#This Row],[nxt_code]],"시가")</f>
        <v>164500</v>
      </c>
      <c r="Q67" s="2">
        <f>_xll.IMDP("STK",표.실시간[[#This Row],[nxt_code]],"고가")</f>
        <v>171900</v>
      </c>
      <c r="R67" s="2">
        <f>_xll.IMDP("STK",표.실시간[[#This Row],[nxt_code]],"저가")</f>
        <v>160000</v>
      </c>
      <c r="S67">
        <f>_xll.IMDP("STK",표.실시간[[#This Row],[nxt_code]],"세션명")</f>
        <v>0</v>
      </c>
      <c r="T67">
        <f>_xll.IMDP("STK",표.실시간[[#This Row],[nxt_code]],"체결시간")</f>
        <v>0</v>
      </c>
      <c r="U67" s="2">
        <f>_xll.IMDP("STK","086520","현재가")</f>
        <v>171900</v>
      </c>
      <c r="V67">
        <f>_xll.IMDP("STK","086520","누적거래량")</f>
        <v>1059981</v>
      </c>
    </row>
    <row r="68" spans="2:22" x14ac:dyDescent="0.3">
      <c r="B68">
        <v>60</v>
      </c>
      <c r="C68">
        <v>1</v>
      </c>
      <c r="D68">
        <f>IF(IFERROR(INDEX(표.kospi200[code],MATCH(표.실시간[[#This Row],[코드]],표.kospi200[code],0)),0)=0,0,1)</f>
        <v>1</v>
      </c>
      <c r="E68" t="s">
        <v>73</v>
      </c>
      <c r="F68">
        <v>720</v>
      </c>
      <c r="G68" t="str">
        <f>ConvertStockCode(표.실시간[[#This Row],[코드]])</f>
        <v>N000720</v>
      </c>
      <c r="H68" s="2">
        <f>_xll.IMDP("STK",표.실시간[[#This Row],[nxt_code]],"현재가")</f>
        <v>101600</v>
      </c>
      <c r="I68" s="2">
        <f>_xll.IMDP("STK",표.실시간[[#This Row],[nxt_code]],"시가총액")/10^12</f>
        <v>11.313745724</v>
      </c>
      <c r="J68" s="2">
        <f>표.실시간[[#This Row],[시가총액 (조원)]]/표.실시간[[#This Row],[현재가]]*(표.실시간[[#This Row],[현재가]]-표.실시간[[#This Row],[대비]])</f>
        <v>11.425101488999999</v>
      </c>
      <c r="K68" s="3">
        <f>_xll.IMDP("STK",표.실시간[[#This Row],[nxt_code]],"전일대비")</f>
        <v>-1000</v>
      </c>
      <c r="L68">
        <f>_xll.IMDP("STK",표.실시간[[#This Row],[nxt_code]],"등락률")</f>
        <v>-0.97</v>
      </c>
      <c r="M68" s="2">
        <f>_xll.IMDP("STK",표.실시간[[#This Row],[nxt_code]],"누적거래량")</f>
        <v>178400</v>
      </c>
      <c r="N68" s="2">
        <f>_xll.IMDP("STK",표.실시간[[#This Row],[nxt_code]],"누적거래대금")/10^8</f>
        <v>177.43772200000001</v>
      </c>
      <c r="O68" s="2">
        <f>_xll.IMDP("STK",표.실시간[[#This Row],[nxt_code]],"가중평균가")</f>
        <v>99460.606501999995</v>
      </c>
      <c r="P68" s="2">
        <f>_xll.IMDP("STK",표.실시간[[#This Row],[nxt_code]],"시가")</f>
        <v>101500</v>
      </c>
      <c r="Q68" s="2">
        <f>_xll.IMDP("STK",표.실시간[[#This Row],[nxt_code]],"고가")</f>
        <v>101900</v>
      </c>
      <c r="R68" s="2">
        <f>_xll.IMDP("STK",표.실시간[[#This Row],[nxt_code]],"저가")</f>
        <v>98500</v>
      </c>
      <c r="S68">
        <f>_xll.IMDP("STK",표.실시간[[#This Row],[nxt_code]],"세션명")</f>
        <v>0</v>
      </c>
      <c r="T68">
        <f>_xll.IMDP("STK",표.실시간[[#This Row],[nxt_code]],"체결시간")</f>
        <v>0</v>
      </c>
      <c r="U68" s="2">
        <f>_xll.IMDP("STK","000720","현재가")</f>
        <v>102700</v>
      </c>
      <c r="V68">
        <f>_xll.IMDP("STK","000720","누적거래량")</f>
        <v>184592</v>
      </c>
    </row>
    <row r="69" spans="2:22" x14ac:dyDescent="0.3">
      <c r="B69">
        <v>61</v>
      </c>
      <c r="C69">
        <v>1</v>
      </c>
      <c r="D69">
        <f>IF(IFERROR(INDEX(표.kospi200[code],MATCH(표.실시간[[#This Row],[코드]],표.kospi200[code],0)),0)=0,0,1)</f>
        <v>1</v>
      </c>
      <c r="E69" t="s">
        <v>74</v>
      </c>
      <c r="F69">
        <v>79550</v>
      </c>
      <c r="G69" t="str">
        <f>ConvertStockCode(표.실시간[[#This Row],[코드]])</f>
        <v>N079550</v>
      </c>
      <c r="H69" s="2">
        <f>_xll.IMDP("STK",표.실시간[[#This Row],[nxt_code]],"현재가")</f>
        <v>474500</v>
      </c>
      <c r="I69" s="2">
        <f>_xll.IMDP("STK",표.실시간[[#This Row],[nxt_code]],"시가총액")/10^12</f>
        <v>10.439</v>
      </c>
      <c r="J69" s="2">
        <f>표.실시간[[#This Row],[시가총액 (조원)]]/표.실시간[[#This Row],[현재가]]*(표.실시간[[#This Row],[현재가]]-표.실시간[[#This Row],[대비]])</f>
        <v>10.593</v>
      </c>
      <c r="K69" s="3">
        <f>_xll.IMDP("STK",표.실시간[[#This Row],[nxt_code]],"전일대비")</f>
        <v>-7000</v>
      </c>
      <c r="L69">
        <f>_xll.IMDP("STK",표.실시간[[#This Row],[nxt_code]],"등락률")</f>
        <v>-1.45</v>
      </c>
      <c r="M69" s="2">
        <f>_xll.IMDP("STK",표.실시간[[#This Row],[nxt_code]],"누적거래량")</f>
        <v>25399</v>
      </c>
      <c r="N69" s="2">
        <f>_xll.IMDP("STK",표.실시간[[#This Row],[nxt_code]],"누적거래대금")/10^8</f>
        <v>120.8180725</v>
      </c>
      <c r="O69" s="2">
        <f>_xll.IMDP("STK",표.실시간[[#This Row],[nxt_code]],"가중평균가")</f>
        <v>474932.49272699998</v>
      </c>
      <c r="P69" s="2">
        <f>_xll.IMDP("STK",표.실시간[[#This Row],[nxt_code]],"시가")</f>
        <v>483500</v>
      </c>
      <c r="Q69" s="2">
        <f>_xll.IMDP("STK",표.실시간[[#This Row],[nxt_code]],"고가")</f>
        <v>486000</v>
      </c>
      <c r="R69" s="2">
        <f>_xll.IMDP("STK",표.실시간[[#This Row],[nxt_code]],"저가")</f>
        <v>469000</v>
      </c>
      <c r="S69">
        <f>_xll.IMDP("STK",표.실시간[[#This Row],[nxt_code]],"세션명")</f>
        <v>0</v>
      </c>
      <c r="T69">
        <f>_xll.IMDP("STK",표.실시간[[#This Row],[nxt_code]],"체결시간")</f>
        <v>0</v>
      </c>
      <c r="U69" s="2">
        <f>_xll.IMDP("STK","079550","현재가")</f>
        <v>480500</v>
      </c>
      <c r="V69">
        <f>_xll.IMDP("STK","079550","누적거래량")</f>
        <v>18910</v>
      </c>
    </row>
    <row r="70" spans="2:22" x14ac:dyDescent="0.3">
      <c r="B70">
        <v>62</v>
      </c>
      <c r="C70">
        <v>1</v>
      </c>
      <c r="D70">
        <f>IF(IFERROR(INDEX(표.kospi200[code],MATCH(표.실시간[[#This Row],[코드]],표.kospi200[code],0)),0)=0,0,1)</f>
        <v>1</v>
      </c>
      <c r="E70" t="s">
        <v>75</v>
      </c>
      <c r="F70">
        <v>259960</v>
      </c>
      <c r="G70" t="str">
        <f>ConvertStockCode(표.실시간[[#This Row],[코드]])</f>
        <v>N259960</v>
      </c>
      <c r="H70" s="2">
        <f>_xll.IMDP("STK",표.실시간[[#This Row],[nxt_code]],"현재가")</f>
        <v>248500</v>
      </c>
      <c r="I70" s="2">
        <f>_xll.IMDP("STK",표.실시간[[#This Row],[nxt_code]],"시가총액")/10^12</f>
        <v>11.7798520035</v>
      </c>
      <c r="J70" s="2">
        <f>표.실시간[[#This Row],[시가총액 (조원)]]/표.실시간[[#This Row],[현재가]]*(표.실시간[[#This Row],[현재가]]-표.실시간[[#This Row],[대비]])</f>
        <v>12.016871158500001</v>
      </c>
      <c r="K70" s="3">
        <f>_xll.IMDP("STK",표.실시간[[#This Row],[nxt_code]],"전일대비")</f>
        <v>-5000</v>
      </c>
      <c r="L70">
        <f>_xll.IMDP("STK",표.실시간[[#This Row],[nxt_code]],"등락률")</f>
        <v>-2.17</v>
      </c>
      <c r="M70" s="2">
        <f>_xll.IMDP("STK",표.실시간[[#This Row],[nxt_code]],"누적거래량")</f>
        <v>6970</v>
      </c>
      <c r="N70" s="2">
        <f>_xll.IMDP("STK",표.실시간[[#This Row],[nxt_code]],"누적거래대금")/10^8</f>
        <v>17.628397499999998</v>
      </c>
      <c r="O70" s="2">
        <f>_xll.IMDP("STK",표.실시간[[#This Row],[nxt_code]],"가중평균가")</f>
        <v>248707.639673</v>
      </c>
      <c r="P70" s="2">
        <f>_xll.IMDP("STK",표.실시간[[#This Row],[nxt_code]],"시가")</f>
        <v>254000</v>
      </c>
      <c r="Q70" s="2">
        <f>_xll.IMDP("STK",표.실시간[[#This Row],[nxt_code]],"고가")</f>
        <v>254000</v>
      </c>
      <c r="R70" s="2">
        <f>_xll.IMDP("STK",표.실시간[[#This Row],[nxt_code]],"저가")</f>
        <v>247500</v>
      </c>
      <c r="S70">
        <f>_xll.IMDP("STK",표.실시간[[#This Row],[nxt_code]],"세션명")</f>
        <v>0</v>
      </c>
      <c r="T70">
        <f>_xll.IMDP("STK",표.실시간[[#This Row],[nxt_code]],"체결시간")</f>
        <v>0</v>
      </c>
      <c r="U70" s="2">
        <f>_xll.IMDP("STK","259960","현재가")</f>
        <v>248500</v>
      </c>
      <c r="V70">
        <f>_xll.IMDP("STK","259960","누적거래량")</f>
        <v>8981</v>
      </c>
    </row>
    <row r="71" spans="2:22" x14ac:dyDescent="0.3">
      <c r="B71">
        <v>63</v>
      </c>
      <c r="C71">
        <v>1</v>
      </c>
      <c r="D71">
        <f>IF(IFERROR(INDEX(표.kospi200[code],MATCH(표.실시간[[#This Row],[코드]],표.kospi200[code],0)),0)=0,0,1)</f>
        <v>1</v>
      </c>
      <c r="E71" t="s">
        <v>76</v>
      </c>
      <c r="F71">
        <v>47050</v>
      </c>
      <c r="G71" t="str">
        <f>ConvertStockCode(표.실시간[[#This Row],[코드]])</f>
        <v>N047050</v>
      </c>
      <c r="H71" s="2">
        <f>_xll.IMDP("STK",표.실시간[[#This Row],[nxt_code]],"현재가")</f>
        <v>62200</v>
      </c>
      <c r="I71" s="2">
        <f>_xll.IMDP("STK",표.실시간[[#This Row],[nxt_code]],"시가총액")/10^12</f>
        <v>10.9423974136</v>
      </c>
      <c r="J71" s="2">
        <f>표.실시간[[#This Row],[시가총액 (조원)]]/표.실시간[[#This Row],[현재가]]*(표.실시간[[#This Row],[현재가]]-표.실시간[[#This Row],[대비]])</f>
        <v>10.977581971200001</v>
      </c>
      <c r="K71" s="3">
        <f>_xll.IMDP("STK",표.실시간[[#This Row],[nxt_code]],"전일대비")</f>
        <v>-200</v>
      </c>
      <c r="L71">
        <f>_xll.IMDP("STK",표.실시간[[#This Row],[nxt_code]],"등락률")</f>
        <v>-0.32</v>
      </c>
      <c r="M71" s="2">
        <f>_xll.IMDP("STK",표.실시간[[#This Row],[nxt_code]],"누적거래량")</f>
        <v>87152</v>
      </c>
      <c r="N71" s="2">
        <f>_xll.IMDP("STK",표.실시간[[#This Row],[nxt_code]],"누적거래대금")/10^8</f>
        <v>53.377214000000002</v>
      </c>
      <c r="O71" s="2">
        <f>_xll.IMDP("STK",표.실시간[[#This Row],[nxt_code]],"가중평균가")</f>
        <v>61246.114834</v>
      </c>
      <c r="P71" s="2">
        <f>_xll.IMDP("STK",표.실시간[[#This Row],[nxt_code]],"시가")</f>
        <v>61600</v>
      </c>
      <c r="Q71" s="2">
        <f>_xll.IMDP("STK",표.실시간[[#This Row],[nxt_code]],"고가")</f>
        <v>62600</v>
      </c>
      <c r="R71" s="2">
        <f>_xll.IMDP("STK",표.실시간[[#This Row],[nxt_code]],"저가")</f>
        <v>60400</v>
      </c>
      <c r="S71">
        <f>_xll.IMDP("STK",표.실시간[[#This Row],[nxt_code]],"세션명")</f>
        <v>0</v>
      </c>
      <c r="T71">
        <f>_xll.IMDP("STK",표.실시간[[#This Row],[nxt_code]],"체결시간")</f>
        <v>0</v>
      </c>
      <c r="U71" s="2">
        <f>_xll.IMDP("STK","047050","현재가")</f>
        <v>62400</v>
      </c>
      <c r="V71">
        <f>_xll.IMDP("STK","047050","누적거래량")</f>
        <v>49579</v>
      </c>
    </row>
    <row r="72" spans="2:22" x14ac:dyDescent="0.3">
      <c r="B72">
        <v>64</v>
      </c>
      <c r="C72">
        <v>1</v>
      </c>
      <c r="D72">
        <f>IF(IFERROR(INDEX(표.kospi200[code],MATCH(표.실시간[[#This Row],[코드]],표.kospi200[code],0)),0)=0,0,1)</f>
        <v>1</v>
      </c>
      <c r="E72" t="s">
        <v>77</v>
      </c>
      <c r="F72">
        <v>10950</v>
      </c>
      <c r="G72" t="str">
        <f>ConvertStockCode(표.실시간[[#This Row],[코드]])</f>
        <v>N010950</v>
      </c>
      <c r="H72" s="2">
        <f>_xll.IMDP("STK",표.실시간[[#This Row],[nxt_code]],"현재가")</f>
        <v>102500</v>
      </c>
      <c r="I72" s="2">
        <f>_xll.IMDP("STK",표.실시간[[#This Row],[nxt_code]],"시가총액")/10^12</f>
        <v>11.53973618</v>
      </c>
      <c r="J72" s="2">
        <f>표.실시간[[#This Row],[시가총액 (조원)]]/표.실시간[[#This Row],[현재가]]*(표.실시간[[#This Row],[현재가]]-표.실시간[[#This Row],[대비]])</f>
        <v>11.9112593936</v>
      </c>
      <c r="K72" s="3">
        <f>_xll.IMDP("STK",표.실시간[[#This Row],[nxt_code]],"전일대비")</f>
        <v>-3300</v>
      </c>
      <c r="L72">
        <f>_xll.IMDP("STK",표.실시간[[#This Row],[nxt_code]],"등락률")</f>
        <v>-3.21</v>
      </c>
      <c r="M72" s="2">
        <f>_xll.IMDP("STK",표.실시간[[#This Row],[nxt_code]],"누적거래량")</f>
        <v>27214</v>
      </c>
      <c r="N72" s="2">
        <f>_xll.IMDP("STK",표.실시간[[#This Row],[nxt_code]],"누적거래대금")/10^8</f>
        <v>28.214952499999999</v>
      </c>
      <c r="O72" s="2">
        <f>_xll.IMDP("STK",표.실시간[[#This Row],[nxt_code]],"가중평균가")</f>
        <v>103678.079297</v>
      </c>
      <c r="P72" s="2">
        <f>_xll.IMDP("STK",표.실시간[[#This Row],[nxt_code]],"시가")</f>
        <v>106000</v>
      </c>
      <c r="Q72" s="2">
        <f>_xll.IMDP("STK",표.실시간[[#This Row],[nxt_code]],"고가")</f>
        <v>106000</v>
      </c>
      <c r="R72" s="2">
        <f>_xll.IMDP("STK",표.실시간[[#This Row],[nxt_code]],"저가")</f>
        <v>102500</v>
      </c>
      <c r="S72">
        <f>_xll.IMDP("STK",표.실시간[[#This Row],[nxt_code]],"세션명")</f>
        <v>0</v>
      </c>
      <c r="T72">
        <f>_xll.IMDP("STK",표.실시간[[#This Row],[nxt_code]],"체결시간")</f>
        <v>0</v>
      </c>
      <c r="U72" s="2">
        <f>_xll.IMDP("STK","010950","현재가")</f>
        <v>103300</v>
      </c>
      <c r="V72">
        <f>_xll.IMDP("STK","010950","누적거래량")</f>
        <v>24960</v>
      </c>
    </row>
    <row r="73" spans="2:22" x14ac:dyDescent="0.3">
      <c r="B73">
        <v>65</v>
      </c>
      <c r="C73">
        <v>1</v>
      </c>
      <c r="D73">
        <f>IF(IFERROR(INDEX(표.kospi200[code],MATCH(표.실시간[[#This Row],[코드]],표.kospi200[code],0)),0)=0,0,1)</f>
        <v>1</v>
      </c>
      <c r="E73" t="s">
        <v>78</v>
      </c>
      <c r="F73">
        <v>71050</v>
      </c>
      <c r="G73" t="str">
        <f>ConvertStockCode(표.실시간[[#This Row],[코드]])</f>
        <v>N071050</v>
      </c>
      <c r="H73" s="2">
        <f>_xll.IMDP("STK",표.실시간[[#This Row],[nxt_code]],"현재가")</f>
        <v>209000</v>
      </c>
      <c r="I73" s="2">
        <f>_xll.IMDP("STK",표.실시간[[#This Row],[nxt_code]],"시가총액")/10^12</f>
        <v>11.646732328000001</v>
      </c>
      <c r="J73" s="2">
        <f>표.실시간[[#This Row],[시가총액 (조원)]]/표.실시간[[#This Row],[현재가]]*(표.실시간[[#This Row],[현재가]]-표.실시간[[#This Row],[대비]])</f>
        <v>12.008951275999999</v>
      </c>
      <c r="K73" s="3">
        <f>_xll.IMDP("STK",표.실시간[[#This Row],[nxt_code]],"전일대비")</f>
        <v>-6500</v>
      </c>
      <c r="L73">
        <f>_xll.IMDP("STK",표.실시간[[#This Row],[nxt_code]],"등락률")</f>
        <v>-3.02</v>
      </c>
      <c r="M73" s="2">
        <f>_xll.IMDP("STK",표.실시간[[#This Row],[nxt_code]],"누적거래량")</f>
        <v>22853</v>
      </c>
      <c r="N73" s="2">
        <f>_xll.IMDP("STK",표.실시간[[#This Row],[nxt_code]],"누적거래대금")/10^8</f>
        <v>47.607352499999998</v>
      </c>
      <c r="O73" s="2">
        <f>_xll.IMDP("STK",표.실시간[[#This Row],[nxt_code]],"가중평균가")</f>
        <v>208292.581817</v>
      </c>
      <c r="P73" s="2">
        <f>_xll.IMDP("STK",표.실시간[[#This Row],[nxt_code]],"시가")</f>
        <v>210500</v>
      </c>
      <c r="Q73" s="2">
        <f>_xll.IMDP("STK",표.실시간[[#This Row],[nxt_code]],"고가")</f>
        <v>214000</v>
      </c>
      <c r="R73" s="2">
        <f>_xll.IMDP("STK",표.실시간[[#This Row],[nxt_code]],"저가")</f>
        <v>205500</v>
      </c>
      <c r="S73">
        <f>_xll.IMDP("STK",표.실시간[[#This Row],[nxt_code]],"세션명")</f>
        <v>0</v>
      </c>
      <c r="T73">
        <f>_xll.IMDP("STK",표.실시간[[#This Row],[nxt_code]],"체결시간")</f>
        <v>0</v>
      </c>
      <c r="U73" s="2">
        <f>_xll.IMDP("STK","071050","현재가")</f>
        <v>209000</v>
      </c>
      <c r="V73">
        <f>_xll.IMDP("STK","071050","누적거래량")</f>
        <v>25388</v>
      </c>
    </row>
    <row r="74" spans="2:22" x14ac:dyDescent="0.3">
      <c r="B74">
        <v>66</v>
      </c>
      <c r="C74">
        <v>0</v>
      </c>
      <c r="D74">
        <f>IF(IFERROR(INDEX(표.kospi200[code],MATCH(표.실시간[[#This Row],[코드]],표.kospi200[code],0)),0)=0,0,1)</f>
        <v>0</v>
      </c>
      <c r="E74" t="s">
        <v>79</v>
      </c>
      <c r="F74">
        <v>277810</v>
      </c>
      <c r="G74" t="str">
        <f>ConvertStockCode(표.실시간[[#This Row],[코드]])</f>
        <v>N277810</v>
      </c>
      <c r="H74" s="2">
        <f>_xll.IMDP("STK",표.실시간[[#This Row],[nxt_code]],"현재가")</f>
        <v>754000</v>
      </c>
      <c r="I74" s="2">
        <f>_xll.IMDP("STK",표.실시간[[#This Row],[nxt_code]],"시가총액")/10^12</f>
        <v>14.627492931999999</v>
      </c>
      <c r="J74" s="2">
        <f>표.실시간[[#This Row],[시가총액 (조원)]]/표.실시간[[#This Row],[현재가]]*(표.실시간[[#This Row],[현재가]]-표.실시간[[#This Row],[대비]])</f>
        <v>14.123096623999999</v>
      </c>
      <c r="K74" s="3">
        <f>_xll.IMDP("STK",표.실시간[[#This Row],[nxt_code]],"전일대비")</f>
        <v>26000</v>
      </c>
      <c r="L74">
        <f>_xll.IMDP("STK",표.실시간[[#This Row],[nxt_code]],"등락률")</f>
        <v>3.57</v>
      </c>
      <c r="M74" s="2">
        <f>_xll.IMDP("STK",표.실시간[[#This Row],[nxt_code]],"누적거래량")</f>
        <v>85887</v>
      </c>
      <c r="N74" s="2">
        <f>_xll.IMDP("STK",표.실시간[[#This Row],[nxt_code]],"누적거래대금")/10^8</f>
        <v>614.61888999999996</v>
      </c>
      <c r="O74" s="2">
        <f>_xll.IMDP("STK",표.실시간[[#This Row],[nxt_code]],"가중평균가")</f>
        <v>715605.07870700001</v>
      </c>
      <c r="P74" s="2">
        <f>_xll.IMDP("STK",표.실시간[[#This Row],[nxt_code]],"시가")</f>
        <v>715000</v>
      </c>
      <c r="Q74" s="2">
        <f>_xll.IMDP("STK",표.실시간[[#This Row],[nxt_code]],"고가")</f>
        <v>755000</v>
      </c>
      <c r="R74" s="2">
        <f>_xll.IMDP("STK",표.실시간[[#This Row],[nxt_code]],"저가")</f>
        <v>697000</v>
      </c>
      <c r="S74">
        <f>_xll.IMDP("STK",표.실시간[[#This Row],[nxt_code]],"세션명")</f>
        <v>0</v>
      </c>
      <c r="T74">
        <f>_xll.IMDP("STK",표.실시간[[#This Row],[nxt_code]],"체결시간")</f>
        <v>0</v>
      </c>
      <c r="U74" s="2">
        <f>_xll.IMDP("STK","277810","현재가")</f>
        <v>755000</v>
      </c>
      <c r="V74">
        <f>_xll.IMDP("STK","277810","누적거래량")</f>
        <v>60274</v>
      </c>
    </row>
    <row r="75" spans="2:22" x14ac:dyDescent="0.3">
      <c r="B75">
        <v>67</v>
      </c>
      <c r="C75">
        <v>1</v>
      </c>
      <c r="D75">
        <f>IF(IFERROR(INDEX(표.kospi200[code],MATCH(표.실시간[[#This Row],[코드]],표.kospi200[code],0)),0)=0,0,1)</f>
        <v>1</v>
      </c>
      <c r="E75" t="s">
        <v>80</v>
      </c>
      <c r="F75">
        <v>323410</v>
      </c>
      <c r="G75" t="str">
        <f>ConvertStockCode(표.실시간[[#This Row],[코드]])</f>
        <v>N323410</v>
      </c>
      <c r="H75" s="2">
        <f>_xll.IMDP("STK",표.실시간[[#This Row],[nxt_code]],"현재가")</f>
        <v>22550</v>
      </c>
      <c r="I75" s="2">
        <f>_xll.IMDP("STK",표.실시간[[#This Row],[nxt_code]],"시가총액")/10^12</f>
        <v>10.75660790435</v>
      </c>
      <c r="J75" s="2">
        <f>표.실시간[[#This Row],[시가총액 (조원)]]/표.실시간[[#This Row],[현재가]]*(표.실시간[[#This Row],[현재가]]-표.실시간[[#This Row],[대비]])</f>
        <v>10.9235619073</v>
      </c>
      <c r="K75" s="3">
        <f>_xll.IMDP("STK",표.실시간[[#This Row],[nxt_code]],"전일대비")</f>
        <v>-350</v>
      </c>
      <c r="L75">
        <f>_xll.IMDP("STK",표.실시간[[#This Row],[nxt_code]],"등락률")</f>
        <v>-1.53</v>
      </c>
      <c r="M75" s="2">
        <f>_xll.IMDP("STK",표.실시간[[#This Row],[nxt_code]],"누적거래량")</f>
        <v>156198</v>
      </c>
      <c r="N75" s="2">
        <f>_xll.IMDP("STK",표.실시간[[#This Row],[nxt_code]],"누적거래대금")/10^8</f>
        <v>35.410224749999998</v>
      </c>
      <c r="O75" s="2">
        <f>_xll.IMDP("STK",표.실시간[[#This Row],[nxt_code]],"가중평균가")</f>
        <v>22670.088445000001</v>
      </c>
      <c r="P75" s="2">
        <f>_xll.IMDP("STK",표.실시간[[#This Row],[nxt_code]],"시가")</f>
        <v>22700</v>
      </c>
      <c r="Q75" s="2">
        <f>_xll.IMDP("STK",표.실시간[[#This Row],[nxt_code]],"고가")</f>
        <v>23050</v>
      </c>
      <c r="R75" s="2">
        <f>_xll.IMDP("STK",표.실시간[[#This Row],[nxt_code]],"저가")</f>
        <v>22500</v>
      </c>
      <c r="S75">
        <f>_xll.IMDP("STK",표.실시간[[#This Row],[nxt_code]],"세션명")</f>
        <v>0</v>
      </c>
      <c r="T75">
        <f>_xll.IMDP("STK",표.실시간[[#This Row],[nxt_code]],"체결시간")</f>
        <v>0</v>
      </c>
      <c r="U75" s="2">
        <f>_xll.IMDP("STK","323410","현재가")</f>
        <v>22600</v>
      </c>
      <c r="V75">
        <f>_xll.IMDP("STK","323410","누적거래량")</f>
        <v>152403</v>
      </c>
    </row>
    <row r="76" spans="2:22" x14ac:dyDescent="0.3">
      <c r="B76">
        <v>68</v>
      </c>
      <c r="C76">
        <v>0</v>
      </c>
      <c r="D76">
        <f>IF(IFERROR(INDEX(표.kospi200[code],MATCH(표.실시간[[#This Row],[코드]],표.kospi200[code],0)),0)=0,0,1)</f>
        <v>0</v>
      </c>
      <c r="E76" t="s">
        <v>81</v>
      </c>
      <c r="F76">
        <v>298380</v>
      </c>
      <c r="G76" t="str">
        <f>ConvertStockCode(표.실시간[[#This Row],[코드]])</f>
        <v>N298380</v>
      </c>
      <c r="H76" s="2">
        <f>_xll.IMDP("STK",표.실시간[[#This Row],[nxt_code]],"현재가")</f>
        <v>201000</v>
      </c>
      <c r="I76" s="2">
        <f>_xll.IMDP("STK",표.실시간[[#This Row],[nxt_code]],"시가총액")/10^12</f>
        <v>11.114841318</v>
      </c>
      <c r="J76" s="2">
        <f>표.실시간[[#This Row],[시가총액 (조원)]]/표.실시간[[#This Row],[현재가]]*(표.실시간[[#This Row],[현재가]]-표.실시간[[#This Row],[대비]])</f>
        <v>10.9323588486</v>
      </c>
      <c r="K76" s="3">
        <f>_xll.IMDP("STK",표.실시간[[#This Row],[nxt_code]],"전일대비")</f>
        <v>3300</v>
      </c>
      <c r="L76">
        <f>_xll.IMDP("STK",표.실시간[[#This Row],[nxt_code]],"등락률")</f>
        <v>1.67</v>
      </c>
      <c r="M76" s="2">
        <f>_xll.IMDP("STK",표.실시간[[#This Row],[nxt_code]],"누적거래량")</f>
        <v>592399</v>
      </c>
      <c r="N76" s="2">
        <f>_xll.IMDP("STK",표.실시간[[#This Row],[nxt_code]],"누적거래대금")/10^8</f>
        <v>1167.0888315</v>
      </c>
      <c r="O76" s="2">
        <f>_xll.IMDP("STK",표.실시간[[#This Row],[nxt_code]],"가중평균가")</f>
        <v>197010.60121600001</v>
      </c>
      <c r="P76" s="2">
        <f>_xll.IMDP("STK",표.실시간[[#This Row],[nxt_code]],"시가")</f>
        <v>199000</v>
      </c>
      <c r="Q76" s="2">
        <f>_xll.IMDP("STK",표.실시간[[#This Row],[nxt_code]],"고가")</f>
        <v>203500</v>
      </c>
      <c r="R76" s="2">
        <f>_xll.IMDP("STK",표.실시간[[#This Row],[nxt_code]],"저가")</f>
        <v>191500</v>
      </c>
      <c r="S76">
        <f>_xll.IMDP("STK",표.실시간[[#This Row],[nxt_code]],"세션명")</f>
        <v>0</v>
      </c>
      <c r="T76">
        <f>_xll.IMDP("STK",표.실시간[[#This Row],[nxt_code]],"체결시간")</f>
        <v>0</v>
      </c>
      <c r="U76" s="2">
        <f>_xll.IMDP("STK","298380","현재가")</f>
        <v>201500</v>
      </c>
      <c r="V76">
        <f>_xll.IMDP("STK","298380","누적거래량")</f>
        <v>287329</v>
      </c>
    </row>
    <row r="77" spans="2:22" x14ac:dyDescent="0.3">
      <c r="B77">
        <v>69</v>
      </c>
      <c r="C77">
        <v>1</v>
      </c>
      <c r="D77">
        <f>IF(IFERROR(INDEX(표.kospi200[code],MATCH(표.실시간[[#This Row],[코드]],표.kospi200[code],0)),0)=0,0,1)</f>
        <v>1</v>
      </c>
      <c r="E77" t="s">
        <v>82</v>
      </c>
      <c r="F77">
        <v>278470</v>
      </c>
      <c r="G77" t="str">
        <f>ConvertStockCode(표.실시간[[#This Row],[코드]])</f>
        <v>N278470</v>
      </c>
      <c r="H77" s="2">
        <f>_xll.IMDP("STK",표.실시간[[#This Row],[nxt_code]],"현재가")</f>
        <v>276000</v>
      </c>
      <c r="I77" s="2">
        <f>_xll.IMDP("STK",표.실시간[[#This Row],[nxt_code]],"시가총액")/10^12</f>
        <v>10.33086078</v>
      </c>
      <c r="J77" s="2">
        <f>표.실시간[[#This Row],[시가총액 (조원)]]/표.실시간[[#This Row],[현재가]]*(표.실시간[[#This Row],[현재가]]-표.실시간[[#This Row],[대비]])</f>
        <v>10.106276849999999</v>
      </c>
      <c r="K77" s="3">
        <f>_xll.IMDP("STK",표.실시간[[#This Row],[nxt_code]],"전일대비")</f>
        <v>6000</v>
      </c>
      <c r="L77">
        <f>_xll.IMDP("STK",표.실시간[[#This Row],[nxt_code]],"등락률")</f>
        <v>2.2200000000000002</v>
      </c>
      <c r="M77" s="2">
        <f>_xll.IMDP("STK",표.실시간[[#This Row],[nxt_code]],"누적거래량")</f>
        <v>109739</v>
      </c>
      <c r="N77" s="2">
        <f>_xll.IMDP("STK",표.실시간[[#This Row],[nxt_code]],"누적거래대금")/10^8</f>
        <v>302.93993749999998</v>
      </c>
      <c r="O77" s="2">
        <f>_xll.IMDP("STK",표.실시간[[#This Row],[nxt_code]],"가중평균가")</f>
        <v>276054.94628199999</v>
      </c>
      <c r="P77" s="2">
        <f>_xll.IMDP("STK",표.실시간[[#This Row],[nxt_code]],"시가")</f>
        <v>271500</v>
      </c>
      <c r="Q77" s="2">
        <f>_xll.IMDP("STK",표.실시간[[#This Row],[nxt_code]],"고가")</f>
        <v>283500</v>
      </c>
      <c r="R77" s="2">
        <f>_xll.IMDP("STK",표.실시간[[#This Row],[nxt_code]],"저가")</f>
        <v>269500</v>
      </c>
      <c r="S77">
        <f>_xll.IMDP("STK",표.실시간[[#This Row],[nxt_code]],"세션명")</f>
        <v>0</v>
      </c>
      <c r="T77">
        <f>_xll.IMDP("STK",표.실시간[[#This Row],[nxt_code]],"체결시간")</f>
        <v>0</v>
      </c>
      <c r="U77" s="2">
        <f>_xll.IMDP("STK","278470","현재가")</f>
        <v>275500</v>
      </c>
      <c r="V77">
        <f>_xll.IMDP("STK","278470","누적거래량")</f>
        <v>122980</v>
      </c>
    </row>
    <row r="78" spans="2:22" x14ac:dyDescent="0.3">
      <c r="B78">
        <v>70</v>
      </c>
      <c r="C78">
        <v>1</v>
      </c>
      <c r="D78">
        <f>IF(IFERROR(INDEX(표.kospi200[code],MATCH(표.실시간[[#This Row],[코드]],표.kospi200[code],0)),0)=0,0,1)</f>
        <v>1</v>
      </c>
      <c r="E78" t="s">
        <v>83</v>
      </c>
      <c r="F78">
        <v>5830</v>
      </c>
      <c r="G78" t="str">
        <f>ConvertStockCode(표.실시간[[#This Row],[코드]])</f>
        <v>N005830</v>
      </c>
      <c r="H78" s="2">
        <f>_xll.IMDP("STK",표.실시간[[#This Row],[nxt_code]],"현재가")</f>
        <v>144800</v>
      </c>
      <c r="I78" s="2">
        <f>_xll.IMDP("STK",표.실시간[[#This Row],[nxt_code]],"시가총액")/10^12</f>
        <v>10.046803199999999</v>
      </c>
      <c r="J78" s="2">
        <f>표.실시간[[#This Row],[시가총액 (조원)]]/표.실시간[[#This Row],[현재가]]*(표.실시간[[#This Row],[현재가]]-표.실시간[[#This Row],[대비]])</f>
        <v>9.9149735999999997</v>
      </c>
      <c r="K78" s="3">
        <f>_xll.IMDP("STK",표.실시간[[#This Row],[nxt_code]],"전일대비")</f>
        <v>1900</v>
      </c>
      <c r="L78">
        <f>_xll.IMDP("STK",표.실시간[[#This Row],[nxt_code]],"등락률")</f>
        <v>1.54</v>
      </c>
      <c r="M78" s="2">
        <f>_xll.IMDP("STK",표.실시간[[#This Row],[nxt_code]],"누적거래량")</f>
        <v>7956</v>
      </c>
      <c r="N78" s="2">
        <f>_xll.IMDP("STK",표.실시간[[#This Row],[nxt_code]],"누적거래대금")/10^8</f>
        <v>11.330144000000001</v>
      </c>
      <c r="O78" s="2">
        <f>_xll.IMDP("STK",표.실시간[[#This Row],[nxt_code]],"가중평균가")</f>
        <v>142410.05530400001</v>
      </c>
      <c r="P78" s="2">
        <f>_xll.IMDP("STK",표.실시간[[#This Row],[nxt_code]],"시가")</f>
        <v>142900</v>
      </c>
      <c r="Q78" s="2">
        <f>_xll.IMDP("STK",표.실시간[[#This Row],[nxt_code]],"고가")</f>
        <v>146400</v>
      </c>
      <c r="R78" s="2">
        <f>_xll.IMDP("STK",표.실시간[[#This Row],[nxt_code]],"저가")</f>
        <v>140300</v>
      </c>
      <c r="S78">
        <f>_xll.IMDP("STK",표.실시간[[#This Row],[nxt_code]],"세션명")</f>
        <v>0</v>
      </c>
      <c r="T78">
        <f>_xll.IMDP("STK",표.실시간[[#This Row],[nxt_code]],"체결시간")</f>
        <v>0</v>
      </c>
      <c r="U78" s="2">
        <f>_xll.IMDP("STK","005830","현재가")</f>
        <v>144200</v>
      </c>
      <c r="V78">
        <f>_xll.IMDP("STK","005830","누적거래량")</f>
        <v>16629</v>
      </c>
    </row>
    <row r="79" spans="2:22" x14ac:dyDescent="0.3">
      <c r="B79">
        <v>71</v>
      </c>
      <c r="C79">
        <v>1</v>
      </c>
      <c r="D79">
        <f>IF(IFERROR(INDEX(표.kospi200[code],MATCH(표.실시간[[#This Row],[코드]],표.kospi200[code],0)),0)=0,0,1)</f>
        <v>1</v>
      </c>
      <c r="E79" t="s">
        <v>84</v>
      </c>
      <c r="F79">
        <v>880</v>
      </c>
      <c r="G79" t="str">
        <f>ConvertStockCode(표.실시간[[#This Row],[코드]])</f>
        <v>N000880</v>
      </c>
      <c r="H79" s="2">
        <f>_xll.IMDP("STK",표.실시간[[#This Row],[nxt_code]],"현재가")</f>
        <v>114600</v>
      </c>
      <c r="I79" s="2">
        <f>_xll.IMDP("STK",표.실시간[[#This Row],[nxt_code]],"시가총액")/10^12</f>
        <v>8.5902710310000003</v>
      </c>
      <c r="J79" s="2">
        <f>표.실시간[[#This Row],[시가총액 (조원)]]/표.실시간[[#This Row],[현재가]]*(표.실시간[[#This Row],[현재가]]-표.실시간[[#This Row],[대비]])</f>
        <v>8.5827751575000004</v>
      </c>
      <c r="K79" s="3">
        <f>_xll.IMDP("STK",표.실시간[[#This Row],[nxt_code]],"전일대비")</f>
        <v>100</v>
      </c>
      <c r="L79">
        <f>_xll.IMDP("STK",표.실시간[[#This Row],[nxt_code]],"등락률")</f>
        <v>0.09</v>
      </c>
      <c r="M79" s="2">
        <f>_xll.IMDP("STK",표.실시간[[#This Row],[nxt_code]],"누적거래량")</f>
        <v>44734</v>
      </c>
      <c r="N79" s="2">
        <f>_xll.IMDP("STK",표.실시간[[#This Row],[nxt_code]],"누적거래대금")/10^8</f>
        <v>50.2740455</v>
      </c>
      <c r="O79" s="2">
        <f>_xll.IMDP("STK",표.실시간[[#This Row],[nxt_code]],"가중평균가")</f>
        <v>112384.417892</v>
      </c>
      <c r="P79" s="2">
        <f>_xll.IMDP("STK",표.실시간[[#This Row],[nxt_code]],"시가")</f>
        <v>115000</v>
      </c>
      <c r="Q79" s="2">
        <f>_xll.IMDP("STK",표.실시간[[#This Row],[nxt_code]],"고가")</f>
        <v>115000</v>
      </c>
      <c r="R79" s="2">
        <f>_xll.IMDP("STK",표.실시간[[#This Row],[nxt_code]],"저가")</f>
        <v>111500</v>
      </c>
      <c r="S79">
        <f>_xll.IMDP("STK",표.실시간[[#This Row],[nxt_code]],"세션명")</f>
        <v>0</v>
      </c>
      <c r="T79">
        <f>_xll.IMDP("STK",표.실시간[[#This Row],[nxt_code]],"체결시간")</f>
        <v>0</v>
      </c>
      <c r="U79" s="2">
        <f>_xll.IMDP("STK","000880","현재가")</f>
        <v>113400</v>
      </c>
      <c r="V79">
        <f>_xll.IMDP("STK","000880","누적거래량")</f>
        <v>22454</v>
      </c>
    </row>
    <row r="80" spans="2:22" x14ac:dyDescent="0.3">
      <c r="B80">
        <v>72</v>
      </c>
      <c r="C80">
        <v>1</v>
      </c>
      <c r="D80">
        <f>IF(IFERROR(INDEX(표.kospi200[code],MATCH(표.실시간[[#This Row],[코드]],표.kospi200[code],0)),0)=0,0,1)</f>
        <v>1</v>
      </c>
      <c r="E80" t="s">
        <v>85</v>
      </c>
      <c r="F80">
        <v>3230</v>
      </c>
      <c r="G80" t="str">
        <f>ConvertStockCode(표.실시간[[#This Row],[코드]])</f>
        <v>N003230</v>
      </c>
      <c r="H80" s="2">
        <f>_xll.IMDP("STK",표.실시간[[#This Row],[nxt_code]],"현재가")</f>
        <v>1158000</v>
      </c>
      <c r="I80" s="2">
        <f>_xll.IMDP("STK",표.실시간[[#This Row],[nxt_code]],"시가총액")/10^12</f>
        <v>8.7232313700000006</v>
      </c>
      <c r="J80" s="2">
        <f>표.실시간[[#This Row],[시가총액 (조원)]]/표.실시간[[#This Row],[현재가]]*(표.실시간[[#This Row],[현재가]]-표.실시간[[#This Row],[대비]])</f>
        <v>8.9492218200000018</v>
      </c>
      <c r="K80" s="3">
        <f>_xll.IMDP("STK",표.실시간[[#This Row],[nxt_code]],"전일대비")</f>
        <v>-30000</v>
      </c>
      <c r="L80">
        <f>_xll.IMDP("STK",표.실시간[[#This Row],[nxt_code]],"등락률")</f>
        <v>-1.86</v>
      </c>
      <c r="M80" s="2">
        <f>_xll.IMDP("STK",표.실시간[[#This Row],[nxt_code]],"누적거래량")</f>
        <v>11751</v>
      </c>
      <c r="N80" s="2">
        <f>_xll.IMDP("STK",표.실시간[[#This Row],[nxt_code]],"누적거래대금")/10^8</f>
        <v>136.16911999999999</v>
      </c>
      <c r="O80" s="2">
        <f>_xll.IMDP("STK",표.실시간[[#This Row],[nxt_code]],"가중평균가")</f>
        <v>1158787.5074459999</v>
      </c>
      <c r="P80" s="2">
        <f>_xll.IMDP("STK",표.실시간[[#This Row],[nxt_code]],"시가")</f>
        <v>1179000</v>
      </c>
      <c r="Q80" s="2">
        <f>_xll.IMDP("STK",표.실시간[[#This Row],[nxt_code]],"고가")</f>
        <v>1179000</v>
      </c>
      <c r="R80" s="2">
        <f>_xll.IMDP("STK",표.실시간[[#This Row],[nxt_code]],"저가")</f>
        <v>1140000</v>
      </c>
      <c r="S80">
        <f>_xll.IMDP("STK",표.실시간[[#This Row],[nxt_code]],"세션명")</f>
        <v>0</v>
      </c>
      <c r="T80">
        <f>_xll.IMDP("STK",표.실시간[[#This Row],[nxt_code]],"체결시간")</f>
        <v>0</v>
      </c>
      <c r="U80" s="2">
        <f>_xll.IMDP("STK","003230","현재가")</f>
        <v>1149000</v>
      </c>
      <c r="V80">
        <f>_xll.IMDP("STK","003230","누적거래량")</f>
        <v>9061</v>
      </c>
    </row>
    <row r="81" spans="2:22" x14ac:dyDescent="0.3">
      <c r="B81">
        <v>73</v>
      </c>
      <c r="C81">
        <v>1</v>
      </c>
      <c r="D81">
        <f>IF(IFERROR(INDEX(표.kospi200[code],MATCH(표.실시간[[#This Row],[코드]],표.kospi200[code],0)),0)=0,0,1)</f>
        <v>1</v>
      </c>
      <c r="E81" t="s">
        <v>86</v>
      </c>
      <c r="F81">
        <v>326030</v>
      </c>
      <c r="G81" t="str">
        <f>ConvertStockCode(표.실시간[[#This Row],[코드]])</f>
        <v>N326030</v>
      </c>
      <c r="H81" s="2">
        <f>_xll.IMDP("STK",표.실시간[[#This Row],[nxt_code]],"현재가")</f>
        <v>115500</v>
      </c>
      <c r="I81" s="2">
        <f>_xll.IMDP("STK",표.실시간[[#This Row],[nxt_code]],"시가총액")/10^12</f>
        <v>9.0451803749999993</v>
      </c>
      <c r="J81" s="2">
        <f>표.실시간[[#This Row],[시가총액 (조원)]]/표.실시간[[#This Row],[현재가]]*(표.실시간[[#This Row],[현재가]]-표.실시간[[#This Row],[대비]])</f>
        <v>9.2409634999999994</v>
      </c>
      <c r="K81" s="3">
        <f>_xll.IMDP("STK",표.실시간[[#This Row],[nxt_code]],"전일대비")</f>
        <v>-2500</v>
      </c>
      <c r="L81">
        <f>_xll.IMDP("STK",표.실시간[[#This Row],[nxt_code]],"등락률")</f>
        <v>-2.12</v>
      </c>
      <c r="M81" s="2">
        <f>_xll.IMDP("STK",표.실시간[[#This Row],[nxt_code]],"누적거래량")</f>
        <v>21999</v>
      </c>
      <c r="N81" s="2">
        <f>_xll.IMDP("STK",표.실시간[[#This Row],[nxt_code]],"누적거래대금")/10^8</f>
        <v>25.419246999999999</v>
      </c>
      <c r="O81" s="2">
        <f>_xll.IMDP("STK",표.실시간[[#This Row],[nxt_code]],"가중평균가")</f>
        <v>115536.780146</v>
      </c>
      <c r="P81" s="2">
        <f>_xll.IMDP("STK",표.실시간[[#This Row],[nxt_code]],"시가")</f>
        <v>117100</v>
      </c>
      <c r="Q81" s="2">
        <f>_xll.IMDP("STK",표.실시간[[#This Row],[nxt_code]],"고가")</f>
        <v>117100</v>
      </c>
      <c r="R81" s="2">
        <f>_xll.IMDP("STK",표.실시간[[#This Row],[nxt_code]],"저가")</f>
        <v>114500</v>
      </c>
      <c r="S81">
        <f>_xll.IMDP("STK",표.실시간[[#This Row],[nxt_code]],"세션명")</f>
        <v>0</v>
      </c>
      <c r="T81">
        <f>_xll.IMDP("STK",표.실시간[[#This Row],[nxt_code]],"체결시간")</f>
        <v>0</v>
      </c>
      <c r="U81" s="2">
        <f>_xll.IMDP("STK","326030","현재가")</f>
        <v>115500</v>
      </c>
      <c r="V81">
        <f>_xll.IMDP("STK","326030","누적거래량")</f>
        <v>20066</v>
      </c>
    </row>
    <row r="82" spans="2:22" x14ac:dyDescent="0.3">
      <c r="B82">
        <v>74</v>
      </c>
      <c r="C82">
        <v>1</v>
      </c>
      <c r="D82">
        <f>IF(IFERROR(INDEX(표.kospi200[code],MATCH(표.실시간[[#This Row],[코드]],표.kospi200[code],0)),0)=0,0,1)</f>
        <v>1</v>
      </c>
      <c r="E82" t="s">
        <v>87</v>
      </c>
      <c r="F82">
        <v>3490</v>
      </c>
      <c r="G82" t="str">
        <f>ConvertStockCode(표.실시간[[#This Row],[코드]])</f>
        <v>N003490</v>
      </c>
      <c r="H82" s="2">
        <f>_xll.IMDP("STK",표.실시간[[#This Row],[nxt_code]],"현재가")</f>
        <v>23000</v>
      </c>
      <c r="I82" s="2">
        <f>_xll.IMDP("STK",표.실시간[[#This Row],[nxt_code]],"시가총액")/10^12</f>
        <v>8.4690752029999992</v>
      </c>
      <c r="J82" s="2">
        <f>표.실시간[[#This Row],[시가총액 (조원)]]/표.실시간[[#This Row],[현재가]]*(표.실시간[[#This Row],[현재가]]-표.실시간[[#This Row],[대비]])</f>
        <v>8.5795414012999984</v>
      </c>
      <c r="K82" s="3">
        <f>_xll.IMDP("STK",표.실시간[[#This Row],[nxt_code]],"전일대비")</f>
        <v>-300</v>
      </c>
      <c r="L82">
        <f>_xll.IMDP("STK",표.실시간[[#This Row],[nxt_code]],"등락률")</f>
        <v>-1.29</v>
      </c>
      <c r="M82" s="2">
        <f>_xll.IMDP("STK",표.실시간[[#This Row],[nxt_code]],"누적거래량")</f>
        <v>318341</v>
      </c>
      <c r="N82" s="2">
        <f>_xll.IMDP("STK",표.실시간[[#This Row],[nxt_code]],"누적거래대금")/10^8</f>
        <v>72.929018999999997</v>
      </c>
      <c r="O82" s="2">
        <f>_xll.IMDP("STK",표.실시간[[#This Row],[nxt_code]],"가중평균가")</f>
        <v>22909.087738999999</v>
      </c>
      <c r="P82" s="2">
        <f>_xll.IMDP("STK",표.실시간[[#This Row],[nxt_code]],"시가")</f>
        <v>23300</v>
      </c>
      <c r="Q82" s="2">
        <f>_xll.IMDP("STK",표.실시간[[#This Row],[nxt_code]],"고가")</f>
        <v>23300</v>
      </c>
      <c r="R82" s="2">
        <f>_xll.IMDP("STK",표.실시간[[#This Row],[nxt_code]],"저가")</f>
        <v>22800</v>
      </c>
      <c r="S82">
        <f>_xll.IMDP("STK",표.실시간[[#This Row],[nxt_code]],"세션명")</f>
        <v>0</v>
      </c>
      <c r="T82">
        <f>_xll.IMDP("STK",표.실시간[[#This Row],[nxt_code]],"체결시간")</f>
        <v>0</v>
      </c>
      <c r="U82" s="2">
        <f>_xll.IMDP("STK","003490","현재가")</f>
        <v>22950</v>
      </c>
      <c r="V82">
        <f>_xll.IMDP("STK","003490","누적거래량")</f>
        <v>231094</v>
      </c>
    </row>
    <row r="83" spans="2:22" x14ac:dyDescent="0.3">
      <c r="B83">
        <v>75</v>
      </c>
      <c r="C83">
        <v>1</v>
      </c>
      <c r="D83">
        <f>IF(IFERROR(INDEX(표.kospi200[code],MATCH(표.실시간[[#This Row],[코드]],표.kospi200[code],0)),0)=0,0,1)</f>
        <v>1</v>
      </c>
      <c r="E83" t="s">
        <v>88</v>
      </c>
      <c r="F83">
        <v>180640</v>
      </c>
      <c r="G83" t="str">
        <f>ConvertStockCode(표.실시간[[#This Row],[코드]])</f>
        <v>N180640</v>
      </c>
      <c r="H83" s="2">
        <f>_xll.IMDP("STK",표.실시간[[#This Row],[nxt_code]],"현재가")</f>
        <v>111000</v>
      </c>
      <c r="I83" s="2">
        <f>_xll.IMDP("STK",표.실시간[[#This Row],[nxt_code]],"시가총액")/10^12</f>
        <v>7.4106129689999998</v>
      </c>
      <c r="J83" s="2">
        <f>표.실시간[[#This Row],[시가총액 (조원)]]/표.실시간[[#This Row],[현재가]]*(표.실시간[[#This Row],[현재가]]-표.실시간[[#This Row],[대비]])</f>
        <v>7.5374612990999994</v>
      </c>
      <c r="K83" s="3">
        <f>_xll.IMDP("STK",표.실시간[[#This Row],[nxt_code]],"전일대비")</f>
        <v>-1900</v>
      </c>
      <c r="L83">
        <f>_xll.IMDP("STK",표.실시간[[#This Row],[nxt_code]],"등락률")</f>
        <v>-1.68</v>
      </c>
      <c r="M83" s="2">
        <f>_xll.IMDP("STK",표.실시간[[#This Row],[nxt_code]],"누적거래량")</f>
        <v>3762</v>
      </c>
      <c r="N83" s="2">
        <f>_xll.IMDP("STK",표.실시간[[#This Row],[nxt_code]],"누적거래대금")/10^8</f>
        <v>4.2116550000000004</v>
      </c>
      <c r="O83" s="2">
        <f>_xll.IMDP("STK",표.실시간[[#This Row],[nxt_code]],"가중평균가")</f>
        <v>111952.551834</v>
      </c>
      <c r="P83" s="2">
        <f>_xll.IMDP("STK",표.실시간[[#This Row],[nxt_code]],"시가")</f>
        <v>112600</v>
      </c>
      <c r="Q83" s="2">
        <f>_xll.IMDP("STK",표.실시간[[#This Row],[nxt_code]],"고가")</f>
        <v>114200</v>
      </c>
      <c r="R83" s="2">
        <f>_xll.IMDP("STK",표.실시간[[#This Row],[nxt_code]],"저가")</f>
        <v>110900</v>
      </c>
      <c r="S83">
        <f>_xll.IMDP("STK",표.실시간[[#This Row],[nxt_code]],"세션명")</f>
        <v>0</v>
      </c>
      <c r="T83">
        <f>_xll.IMDP("STK",표.실시간[[#This Row],[nxt_code]],"체결시간")</f>
        <v>0</v>
      </c>
      <c r="U83" s="2">
        <f>_xll.IMDP("STK","180640","현재가")</f>
        <v>111000</v>
      </c>
      <c r="V83">
        <f>_xll.IMDP("STK","180640","누적거래량")</f>
        <v>6377</v>
      </c>
    </row>
    <row r="84" spans="2:22" x14ac:dyDescent="0.3">
      <c r="B84">
        <v>76</v>
      </c>
      <c r="C84">
        <v>1</v>
      </c>
      <c r="D84">
        <f>IF(IFERROR(INDEX(표.kospi200[code],MATCH(표.실시간[[#This Row],[코드]],표.kospi200[code],0)),0)=0,0,1)</f>
        <v>1</v>
      </c>
      <c r="E84" t="s">
        <v>89</v>
      </c>
      <c r="F84">
        <v>161390</v>
      </c>
      <c r="G84" t="str">
        <f>ConvertStockCode(표.실시간[[#This Row],[코드]])</f>
        <v>N161390</v>
      </c>
      <c r="H84" s="2">
        <f>_xll.IMDP("STK",표.실시간[[#This Row],[nxt_code]],"현재가")</f>
        <v>64400</v>
      </c>
      <c r="I84" s="2">
        <f>_xll.IMDP("STK",표.실시간[[#This Row],[nxt_code]],"시가총액")/10^12</f>
        <v>7.9775544435999999</v>
      </c>
      <c r="J84" s="2">
        <f>표.실시간[[#This Row],[시가총액 (조원)]]/표.실시간[[#This Row],[현재가]]*(표.실시간[[#This Row],[현재가]]-표.실시간[[#This Row],[대비]])</f>
        <v>7.866066881500001</v>
      </c>
      <c r="K84" s="3">
        <f>_xll.IMDP("STK",표.실시간[[#This Row],[nxt_code]],"전일대비")</f>
        <v>900</v>
      </c>
      <c r="L84">
        <f>_xll.IMDP("STK",표.실시간[[#This Row],[nxt_code]],"등락률")</f>
        <v>1.42</v>
      </c>
      <c r="M84" s="2">
        <f>_xll.IMDP("STK",표.실시간[[#This Row],[nxt_code]],"누적거래량")</f>
        <v>7793</v>
      </c>
      <c r="N84" s="2">
        <f>_xll.IMDP("STK",표.실시간[[#This Row],[nxt_code]],"누적거래대금")/10^8</f>
        <v>4.9426449999999997</v>
      </c>
      <c r="O84" s="2">
        <f>_xll.IMDP("STK",표.실시간[[#This Row],[nxt_code]],"가중평균가")</f>
        <v>63424.162709999997</v>
      </c>
      <c r="P84" s="2">
        <f>_xll.IMDP("STK",표.실시간[[#This Row],[nxt_code]],"시가")</f>
        <v>63500</v>
      </c>
      <c r="Q84" s="2">
        <f>_xll.IMDP("STK",표.실시간[[#This Row],[nxt_code]],"고가")</f>
        <v>64600</v>
      </c>
      <c r="R84" s="2">
        <f>_xll.IMDP("STK",표.실시간[[#This Row],[nxt_code]],"저가")</f>
        <v>62800</v>
      </c>
      <c r="S84">
        <f>_xll.IMDP("STK",표.실시간[[#This Row],[nxt_code]],"세션명")</f>
        <v>0</v>
      </c>
      <c r="T84">
        <f>_xll.IMDP("STK",표.실시간[[#This Row],[nxt_code]],"체결시간")</f>
        <v>0</v>
      </c>
      <c r="U84" s="2">
        <f>_xll.IMDP("STK","161390","현재가")</f>
        <v>64400</v>
      </c>
      <c r="V84">
        <f>_xll.IMDP("STK","161390","누적거래량")</f>
        <v>18837</v>
      </c>
    </row>
    <row r="85" spans="2:22" x14ac:dyDescent="0.3">
      <c r="B85">
        <v>77</v>
      </c>
      <c r="C85">
        <v>1</v>
      </c>
      <c r="D85">
        <f>IF(IFERROR(INDEX(표.kospi200[code],MATCH(표.실시간[[#This Row],[코드]],표.kospi200[code],0)),0)=0,0,1)</f>
        <v>1</v>
      </c>
      <c r="E85" t="s">
        <v>90</v>
      </c>
      <c r="F85">
        <v>39490</v>
      </c>
      <c r="G85" t="str">
        <f>ConvertStockCode(표.실시간[[#This Row],[코드]])</f>
        <v>N039490</v>
      </c>
      <c r="H85" s="2">
        <f>_xll.IMDP("STK",표.실시간[[#This Row],[nxt_code]],"현재가")</f>
        <v>432500</v>
      </c>
      <c r="I85" s="2">
        <f>_xll.IMDP("STK",표.실시간[[#This Row],[nxt_code]],"시가총액")/10^12</f>
        <v>11.688624765</v>
      </c>
      <c r="J85" s="2">
        <f>표.실시간[[#This Row],[시가총액 (조원)]]/표.실시간[[#This Row],[현재가]]*(표.실시간[[#This Row],[현재가]]-표.실시간[[#This Row],[대비]])</f>
        <v>11.985907707000001</v>
      </c>
      <c r="K85" s="3">
        <f>_xll.IMDP("STK",표.실시간[[#This Row],[nxt_code]],"전일대비")</f>
        <v>-11000</v>
      </c>
      <c r="L85">
        <f>_xll.IMDP("STK",표.실시간[[#This Row],[nxt_code]],"등락률")</f>
        <v>-2.48</v>
      </c>
      <c r="M85" s="2">
        <f>_xll.IMDP("STK",표.실시간[[#This Row],[nxt_code]],"누적거래량")</f>
        <v>8277</v>
      </c>
      <c r="N85" s="2">
        <f>_xll.IMDP("STK",표.실시간[[#This Row],[nxt_code]],"누적거래대금")/10^8</f>
        <v>35.44941</v>
      </c>
      <c r="O85" s="2">
        <f>_xll.IMDP("STK",표.실시간[[#This Row],[nxt_code]],"가중평균가")</f>
        <v>428288.14788</v>
      </c>
      <c r="P85" s="2">
        <f>_xll.IMDP("STK",표.실시간[[#This Row],[nxt_code]],"시가")</f>
        <v>421500</v>
      </c>
      <c r="Q85" s="2">
        <f>_xll.IMDP("STK",표.실시간[[#This Row],[nxt_code]],"고가")</f>
        <v>443000</v>
      </c>
      <c r="R85" s="2">
        <f>_xll.IMDP("STK",표.실시간[[#This Row],[nxt_code]],"저가")</f>
        <v>421000</v>
      </c>
      <c r="S85">
        <f>_xll.IMDP("STK",표.실시간[[#This Row],[nxt_code]],"세션명")</f>
        <v>0</v>
      </c>
      <c r="T85">
        <f>_xll.IMDP("STK",표.실시간[[#This Row],[nxt_code]],"체결시간")</f>
        <v>0</v>
      </c>
      <c r="U85" s="2">
        <f>_xll.IMDP("STK","039490","현재가")</f>
        <v>435000</v>
      </c>
      <c r="V85">
        <f>_xll.IMDP("STK","039490","누적거래량")</f>
        <v>14374</v>
      </c>
    </row>
    <row r="86" spans="2:22" x14ac:dyDescent="0.3">
      <c r="B86">
        <v>78</v>
      </c>
      <c r="C86">
        <v>1</v>
      </c>
      <c r="D86">
        <f>IF(IFERROR(INDEX(표.kospi200[code],MATCH(표.실시간[[#This Row],[코드]],표.kospi200[code],0)),0)=0,0,1)</f>
        <v>1</v>
      </c>
      <c r="E86" t="s">
        <v>91</v>
      </c>
      <c r="F86">
        <v>443060</v>
      </c>
      <c r="G86" t="str">
        <f>ConvertStockCode(표.실시간[[#This Row],[코드]])</f>
        <v>N443060</v>
      </c>
      <c r="H86" s="2">
        <f>_xll.IMDP("STK",표.실시간[[#This Row],[nxt_code]],"현재가")</f>
        <v>182000</v>
      </c>
      <c r="I86" s="2">
        <f>_xll.IMDP("STK",표.실시간[[#This Row],[nxt_code]],"시가총액")/10^12</f>
        <v>8.1593029700000006</v>
      </c>
      <c r="J86" s="2">
        <f>표.실시간[[#This Row],[시가총액 (조원)]]/표.실시간[[#This Row],[현재가]]*(표.실시간[[#This Row],[현재가]]-표.실시간[[#This Row],[대비]])</f>
        <v>8.302763242000001</v>
      </c>
      <c r="K86" s="3">
        <f>_xll.IMDP("STK",표.실시간[[#This Row],[nxt_code]],"전일대비")</f>
        <v>-3200</v>
      </c>
      <c r="L86">
        <f>_xll.IMDP("STK",표.실시간[[#This Row],[nxt_code]],"등락률")</f>
        <v>-0.76</v>
      </c>
      <c r="M86" s="2">
        <f>_xll.IMDP("STK",표.실시간[[#This Row],[nxt_code]],"누적거래량")</f>
        <v>8593</v>
      </c>
      <c r="N86" s="2">
        <f>_xll.IMDP("STK",표.실시간[[#This Row],[nxt_code]],"누적거래대금")/10^8</f>
        <v>15.572290000000001</v>
      </c>
      <c r="O86" s="2">
        <f>_xll.IMDP("STK",표.실시간[[#This Row],[nxt_code]],"가중평균가")</f>
        <v>181220.644711</v>
      </c>
      <c r="P86" s="2">
        <f>_xll.IMDP("STK",표.실시간[[#This Row],[nxt_code]],"시가")</f>
        <v>181900</v>
      </c>
      <c r="Q86" s="2">
        <f>_xll.IMDP("STK",표.실시간[[#This Row],[nxt_code]],"고가")</f>
        <v>183400</v>
      </c>
      <c r="R86" s="2">
        <f>_xll.IMDP("STK",표.실시간[[#This Row],[nxt_code]],"저가")</f>
        <v>179600</v>
      </c>
      <c r="S86">
        <f>_xll.IMDP("STK",표.실시간[[#This Row],[nxt_code]],"세션명")</f>
        <v>0</v>
      </c>
      <c r="T86">
        <f>_xll.IMDP("STK",표.실시간[[#This Row],[nxt_code]],"체결시간")</f>
        <v>0</v>
      </c>
      <c r="U86" s="2">
        <f>_xll.IMDP("STK","443060","현재가")</f>
        <v>180400</v>
      </c>
      <c r="V86">
        <f>_xll.IMDP("STK","443060","누적거래량")</f>
        <v>12719</v>
      </c>
    </row>
    <row r="87" spans="2:22" x14ac:dyDescent="0.3">
      <c r="B87">
        <v>79</v>
      </c>
      <c r="C87">
        <v>1</v>
      </c>
      <c r="D87">
        <f>IF(IFERROR(INDEX(표.kospi200[code],MATCH(표.실시간[[#This Row],[코드]],표.kospi200[code],0)),0)=0,0,1)</f>
        <v>1</v>
      </c>
      <c r="E87" t="s">
        <v>92</v>
      </c>
      <c r="F87">
        <v>100</v>
      </c>
      <c r="G87" t="str">
        <f>ConvertStockCode(표.실시간[[#This Row],[코드]])</f>
        <v>N000100</v>
      </c>
      <c r="H87" s="2">
        <f>_xll.IMDP("STK",표.실시간[[#This Row],[nxt_code]],"현재가")</f>
        <v>106400</v>
      </c>
      <c r="I87" s="2">
        <f>_xll.IMDP("STK",표.실시간[[#This Row],[nxt_code]],"시가총액")/10^12</f>
        <v>8.5086416967999998</v>
      </c>
      <c r="J87" s="2">
        <f>표.실시간[[#This Row],[시가총액 (조원)]]/표.실시간[[#This Row],[현재가]]*(표.실시간[[#This Row],[현재가]]-표.실시간[[#This Row],[대비]])</f>
        <v>8.6365911959999995</v>
      </c>
      <c r="K87" s="3">
        <f>_xll.IMDP("STK",표.실시간[[#This Row],[nxt_code]],"전일대비")</f>
        <v>-1600</v>
      </c>
      <c r="L87">
        <f>_xll.IMDP("STK",표.실시간[[#This Row],[nxt_code]],"등락률")</f>
        <v>-1.48</v>
      </c>
      <c r="M87" s="2">
        <f>_xll.IMDP("STK",표.실시간[[#This Row],[nxt_code]],"누적거래량")</f>
        <v>61341</v>
      </c>
      <c r="N87" s="2">
        <f>_xll.IMDP("STK",표.실시간[[#This Row],[nxt_code]],"누적거래대금")/10^8</f>
        <v>64.949247999999997</v>
      </c>
      <c r="O87" s="2">
        <f>_xll.IMDP("STK",표.실시간[[#This Row],[nxt_code]],"가중평균가")</f>
        <v>105882.277759</v>
      </c>
      <c r="P87" s="2">
        <f>_xll.IMDP("STK",표.실시간[[#This Row],[nxt_code]],"시가")</f>
        <v>107100</v>
      </c>
      <c r="Q87" s="2">
        <f>_xll.IMDP("STK",표.실시간[[#This Row],[nxt_code]],"고가")</f>
        <v>107700</v>
      </c>
      <c r="R87" s="2">
        <f>_xll.IMDP("STK",표.실시간[[#This Row],[nxt_code]],"저가")</f>
        <v>105200</v>
      </c>
      <c r="S87">
        <f>_xll.IMDP("STK",표.실시간[[#This Row],[nxt_code]],"세션명")</f>
        <v>0</v>
      </c>
      <c r="T87">
        <f>_xll.IMDP("STK",표.실시간[[#This Row],[nxt_code]],"체결시간")</f>
        <v>0</v>
      </c>
      <c r="U87" s="2">
        <f>_xll.IMDP("STK","000100","현재가")</f>
        <v>106500</v>
      </c>
      <c r="V87">
        <f>_xll.IMDP("STK","000100","누적거래량")</f>
        <v>32323</v>
      </c>
    </row>
    <row r="88" spans="2:22" x14ac:dyDescent="0.3">
      <c r="B88">
        <v>80</v>
      </c>
      <c r="C88">
        <v>1</v>
      </c>
      <c r="D88">
        <f>IF(IFERROR(INDEX(표.kospi200[code],MATCH(표.실시간[[#This Row],[코드]],표.kospi200[code],0)),0)=0,0,1)</f>
        <v>1</v>
      </c>
      <c r="E88" t="s">
        <v>93</v>
      </c>
      <c r="F88">
        <v>5940</v>
      </c>
      <c r="G88" t="str">
        <f>ConvertStockCode(표.실시간[[#This Row],[코드]])</f>
        <v>N005940</v>
      </c>
      <c r="H88" s="2">
        <f>_xll.IMDP("STK",표.실시간[[#This Row],[nxt_code]],"현재가")</f>
        <v>26450</v>
      </c>
      <c r="I88" s="2">
        <f>_xll.IMDP("STK",표.실시간[[#This Row],[nxt_code]],"시가총액")/10^12</f>
        <v>9.4253085600500004</v>
      </c>
      <c r="J88" s="2">
        <f>표.실시간[[#This Row],[시가총액 (조원)]]/표.실시간[[#This Row],[현재가]]*(표.실시간[[#This Row],[현재가]]-표.실시간[[#This Row],[대비]])</f>
        <v>9.6569323999000005</v>
      </c>
      <c r="K88" s="3">
        <f>_xll.IMDP("STK",표.실시간[[#This Row],[nxt_code]],"전일대비")</f>
        <v>-650</v>
      </c>
      <c r="L88">
        <f>_xll.IMDP("STK",표.실시간[[#This Row],[nxt_code]],"등락률")</f>
        <v>-2.2200000000000002</v>
      </c>
      <c r="M88" s="2">
        <f>_xll.IMDP("STK",표.실시간[[#This Row],[nxt_code]],"누적거래량")</f>
        <v>100327</v>
      </c>
      <c r="N88" s="2">
        <f>_xll.IMDP("STK",표.실시간[[#This Row],[nxt_code]],"누적거래대금")/10^8</f>
        <v>26.874294500000001</v>
      </c>
      <c r="O88" s="2">
        <f>_xll.IMDP("STK",표.실시간[[#This Row],[nxt_code]],"가중평균가")</f>
        <v>26627.457965000001</v>
      </c>
      <c r="P88" s="2">
        <f>_xll.IMDP("STK",표.실시간[[#This Row],[nxt_code]],"시가")</f>
        <v>26850</v>
      </c>
      <c r="Q88" s="2">
        <f>_xll.IMDP("STK",표.실시간[[#This Row],[nxt_code]],"고가")</f>
        <v>27050</v>
      </c>
      <c r="R88" s="2">
        <f>_xll.IMDP("STK",표.실시간[[#This Row],[nxt_code]],"저가")</f>
        <v>26100</v>
      </c>
      <c r="S88">
        <f>_xll.IMDP("STK",표.실시간[[#This Row],[nxt_code]],"세션명")</f>
        <v>0</v>
      </c>
      <c r="T88">
        <f>_xll.IMDP("STK",표.실시간[[#This Row],[nxt_code]],"체결시간")</f>
        <v>0</v>
      </c>
      <c r="U88" s="2">
        <f>_xll.IMDP("STK","005940","현재가")</f>
        <v>26500</v>
      </c>
      <c r="V88">
        <f>_xll.IMDP("STK","005940","누적거래량")</f>
        <v>97715</v>
      </c>
    </row>
    <row r="89" spans="2:22" x14ac:dyDescent="0.3">
      <c r="B89">
        <v>81</v>
      </c>
      <c r="C89">
        <v>1</v>
      </c>
      <c r="D89">
        <f>IF(IFERROR(INDEX(표.kospi200[code],MATCH(표.실시간[[#This Row],[코드]],표.kospi200[code],0)),0)=0,0,1)</f>
        <v>1</v>
      </c>
      <c r="E89" t="s">
        <v>94</v>
      </c>
      <c r="F89">
        <v>7660</v>
      </c>
      <c r="G89" t="str">
        <f>ConvertStockCode(표.실시간[[#This Row],[코드]])</f>
        <v>N007660</v>
      </c>
      <c r="H89" s="2">
        <f>_xll.IMDP("STK",표.실시간[[#This Row],[nxt_code]],"현재가")</f>
        <v>115300</v>
      </c>
      <c r="I89" s="2">
        <f>_xll.IMDP("STK",표.실시간[[#This Row],[nxt_code]],"시가총액")/10^12</f>
        <v>8.4640829506999999</v>
      </c>
      <c r="J89" s="2">
        <f>표.실시간[[#This Row],[시가총액 (조원)]]/표.실시간[[#This Row],[현재가]]*(표.실시간[[#This Row],[현재가]]-표.실시간[[#This Row],[대비]])</f>
        <v>8.6255832324999986</v>
      </c>
      <c r="K89" s="3">
        <f>_xll.IMDP("STK",표.실시간[[#This Row],[nxt_code]],"전일대비")</f>
        <v>-2200</v>
      </c>
      <c r="L89">
        <f>_xll.IMDP("STK",표.실시간[[#This Row],[nxt_code]],"등락률")</f>
        <v>-1.87</v>
      </c>
      <c r="M89" s="2">
        <f>_xll.IMDP("STK",표.실시간[[#This Row],[nxt_code]],"누적거래량")</f>
        <v>182364</v>
      </c>
      <c r="N89" s="2">
        <f>_xll.IMDP("STK",표.실시간[[#This Row],[nxt_code]],"누적거래대금")/10^8</f>
        <v>210.9339105</v>
      </c>
      <c r="O89" s="2">
        <f>_xll.IMDP("STK",표.실시간[[#This Row],[nxt_code]],"가중평균가")</f>
        <v>114393.044513</v>
      </c>
      <c r="P89" s="2">
        <f>_xll.IMDP("STK",표.실시간[[#This Row],[nxt_code]],"시가")</f>
        <v>113200</v>
      </c>
      <c r="Q89" s="2">
        <f>_xll.IMDP("STK",표.실시간[[#This Row],[nxt_code]],"고가")</f>
        <v>116600</v>
      </c>
      <c r="R89" s="2">
        <f>_xll.IMDP("STK",표.실시간[[#This Row],[nxt_code]],"저가")</f>
        <v>113100</v>
      </c>
      <c r="S89">
        <f>_xll.IMDP("STK",표.실시간[[#This Row],[nxt_code]],"세션명")</f>
        <v>0</v>
      </c>
      <c r="T89">
        <f>_xll.IMDP("STK",표.실시간[[#This Row],[nxt_code]],"체결시간")</f>
        <v>0</v>
      </c>
      <c r="U89" s="2">
        <f>_xll.IMDP("STK","007660","현재가")</f>
        <v>115200</v>
      </c>
      <c r="V89">
        <f>_xll.IMDP("STK","007660","누적거래량")</f>
        <v>117445</v>
      </c>
    </row>
    <row r="90" spans="2:22" x14ac:dyDescent="0.3">
      <c r="B90">
        <v>82</v>
      </c>
      <c r="C90">
        <v>1</v>
      </c>
      <c r="D90">
        <f>IF(IFERROR(INDEX(표.kospi200[code],MATCH(표.실시간[[#This Row],[코드]],표.kospi200[code],0)),0)=0,0,1)</f>
        <v>1</v>
      </c>
      <c r="E90" t="s">
        <v>95</v>
      </c>
      <c r="F90">
        <v>454910</v>
      </c>
      <c r="G90" t="str">
        <f>ConvertStockCode(표.실시간[[#This Row],[코드]])</f>
        <v>N454910</v>
      </c>
      <c r="H90" s="2">
        <f>_xll.IMDP("STK",표.실시간[[#This Row],[nxt_code]],"현재가")</f>
        <v>114400</v>
      </c>
      <c r="I90" s="2">
        <f>_xll.IMDP("STK",표.실시간[[#This Row],[nxt_code]],"시가총액")/10^12</f>
        <v>7.4154057120000001</v>
      </c>
      <c r="J90" s="2">
        <f>표.실시간[[#This Row],[시가총액 (조원)]]/표.실시간[[#This Row],[현재가]]*(표.실시간[[#This Row],[현재가]]-표.실시간[[#This Row],[대비]])</f>
        <v>7.3959597180000003</v>
      </c>
      <c r="K90" s="3">
        <f>_xll.IMDP("STK",표.실시간[[#This Row],[nxt_code]],"전일대비")</f>
        <v>300</v>
      </c>
      <c r="L90">
        <f>_xll.IMDP("STK",표.실시간[[#This Row],[nxt_code]],"등락률")</f>
        <v>0.26</v>
      </c>
      <c r="M90" s="2">
        <f>_xll.IMDP("STK",표.실시간[[#This Row],[nxt_code]],"누적거래량")</f>
        <v>123277</v>
      </c>
      <c r="N90" s="2">
        <f>_xll.IMDP("STK",표.실시간[[#This Row],[nxt_code]],"누적거래대금")/10^8</f>
        <v>136.003118</v>
      </c>
      <c r="O90" s="2">
        <f>_xll.IMDP("STK",표.실시간[[#This Row],[nxt_code]],"가중평균가")</f>
        <v>110323.18924000001</v>
      </c>
      <c r="P90" s="2">
        <f>_xll.IMDP("STK",표.실시간[[#This Row],[nxt_code]],"시가")</f>
        <v>114000</v>
      </c>
      <c r="Q90" s="2">
        <f>_xll.IMDP("STK",표.실시간[[#This Row],[nxt_code]],"고가")</f>
        <v>114400</v>
      </c>
      <c r="R90" s="2">
        <f>_xll.IMDP("STK",표.실시간[[#This Row],[nxt_code]],"저가")</f>
        <v>108900</v>
      </c>
      <c r="S90">
        <f>_xll.IMDP("STK",표.실시간[[#This Row],[nxt_code]],"세션명")</f>
        <v>0</v>
      </c>
      <c r="T90">
        <f>_xll.IMDP("STK",표.실시간[[#This Row],[nxt_code]],"체결시간")</f>
        <v>0</v>
      </c>
      <c r="U90" s="2">
        <f>_xll.IMDP("STK","454910","현재가")</f>
        <v>114200</v>
      </c>
      <c r="V90">
        <f>_xll.IMDP("STK","454910","누적거래량")</f>
        <v>99118</v>
      </c>
    </row>
    <row r="91" spans="2:22" x14ac:dyDescent="0.3">
      <c r="B91">
        <v>83</v>
      </c>
      <c r="C91">
        <v>1</v>
      </c>
      <c r="D91">
        <f>IF(IFERROR(INDEX(표.kospi200[code],MATCH(표.실시간[[#This Row],[코드]],표.kospi200[code],0)),0)=0,0,1)</f>
        <v>1</v>
      </c>
      <c r="E91" t="s">
        <v>96</v>
      </c>
      <c r="F91">
        <v>16360</v>
      </c>
      <c r="G91" t="str">
        <f>ConvertStockCode(표.실시간[[#This Row],[코드]])</f>
        <v>N016360</v>
      </c>
      <c r="H91" s="2">
        <f>_xll.IMDP("STK",표.실시간[[#This Row],[nxt_code]],"현재가")</f>
        <v>88800</v>
      </c>
      <c r="I91" s="2">
        <f>_xll.IMDP("STK",표.실시간[[#This Row],[nxt_code]],"시가총액")/10^12</f>
        <v>7.9298400000000004</v>
      </c>
      <c r="J91" s="2">
        <f>표.실시간[[#This Row],[시가총액 (조원)]]/표.실시간[[#This Row],[현재가]]*(표.실시간[[#This Row],[현재가]]-표.실시간[[#This Row],[대비]])</f>
        <v>8.090580000000001</v>
      </c>
      <c r="K91" s="3">
        <f>_xll.IMDP("STK",표.실시간[[#This Row],[nxt_code]],"전일대비")</f>
        <v>-1800</v>
      </c>
      <c r="L91">
        <f>_xll.IMDP("STK",표.실시간[[#This Row],[nxt_code]],"등락률")</f>
        <v>-1.99</v>
      </c>
      <c r="M91" s="2">
        <f>_xll.IMDP("STK",표.실시간[[#This Row],[nxt_code]],"누적거래량")</f>
        <v>64602</v>
      </c>
      <c r="N91" s="2">
        <f>_xll.IMDP("STK",표.실시간[[#This Row],[nxt_code]],"누적거래대금")/10^8</f>
        <v>57.142545499999997</v>
      </c>
      <c r="O91" s="2">
        <f>_xll.IMDP("STK",표.실시간[[#This Row],[nxt_code]],"가중평균가")</f>
        <v>88453.214296999999</v>
      </c>
      <c r="P91" s="2">
        <f>_xll.IMDP("STK",표.실시간[[#This Row],[nxt_code]],"시가")</f>
        <v>90300</v>
      </c>
      <c r="Q91" s="2">
        <f>_xll.IMDP("STK",표.실시간[[#This Row],[nxt_code]],"고가")</f>
        <v>90300</v>
      </c>
      <c r="R91" s="2">
        <f>_xll.IMDP("STK",표.실시간[[#This Row],[nxt_code]],"저가")</f>
        <v>87000</v>
      </c>
      <c r="S91">
        <f>_xll.IMDP("STK",표.실시간[[#This Row],[nxt_code]],"세션명")</f>
        <v>0</v>
      </c>
      <c r="T91">
        <f>_xll.IMDP("STK",표.실시간[[#This Row],[nxt_code]],"체결시간")</f>
        <v>0</v>
      </c>
      <c r="U91" s="2">
        <f>_xll.IMDP("STK","016360","현재가")</f>
        <v>88700</v>
      </c>
      <c r="V91">
        <f>_xll.IMDP("STK","016360","누적거래량")</f>
        <v>34034</v>
      </c>
    </row>
    <row r="92" spans="2:22" x14ac:dyDescent="0.3">
      <c r="B92">
        <v>84</v>
      </c>
      <c r="C92">
        <v>1</v>
      </c>
      <c r="D92">
        <f>IF(IFERROR(INDEX(표.kospi200[code],MATCH(표.실시간[[#This Row],[코드]],표.kospi200[code],0)),0)=0,0,1)</f>
        <v>1</v>
      </c>
      <c r="E92" t="s">
        <v>97</v>
      </c>
      <c r="F92">
        <v>6260</v>
      </c>
      <c r="G92" t="str">
        <f>ConvertStockCode(표.실시간[[#This Row],[코드]])</f>
        <v>N006260</v>
      </c>
      <c r="H92" s="2">
        <f>_xll.IMDP("STK",표.실시간[[#This Row],[nxt_code]],"현재가")</f>
        <v>213000</v>
      </c>
      <c r="I92" s="2">
        <f>_xll.IMDP("STK",표.실시간[[#This Row],[nxt_code]],"시가총액")/10^12</f>
        <v>6.7521000000000004</v>
      </c>
      <c r="J92" s="2">
        <f>표.실시간[[#This Row],[시가총액 (조원)]]/표.실시간[[#This Row],[현재가]]*(표.실시간[[#This Row],[현재가]]-표.실시간[[#This Row],[대비]])</f>
        <v>7.2593000000000014</v>
      </c>
      <c r="K92" s="3">
        <f>_xll.IMDP("STK",표.실시간[[#This Row],[nxt_code]],"전일대비")</f>
        <v>-16000</v>
      </c>
      <c r="L92">
        <f>_xll.IMDP("STK",표.실시간[[#This Row],[nxt_code]],"등락률")</f>
        <v>-6.99</v>
      </c>
      <c r="M92" s="2">
        <f>_xll.IMDP("STK",표.실시간[[#This Row],[nxt_code]],"누적거래량")</f>
        <v>50003</v>
      </c>
      <c r="N92" s="2">
        <f>_xll.IMDP("STK",표.실시간[[#This Row],[nxt_code]],"누적거래대금")/10^8</f>
        <v>109.09456249999999</v>
      </c>
      <c r="O92" s="2">
        <f>_xll.IMDP("STK",표.실시간[[#This Row],[nxt_code]],"가중평균가")</f>
        <v>218176.034438</v>
      </c>
      <c r="P92" s="2">
        <f>_xll.IMDP("STK",표.실시간[[#This Row],[nxt_code]],"시가")</f>
        <v>222000</v>
      </c>
      <c r="Q92" s="2">
        <f>_xll.IMDP("STK",표.실시간[[#This Row],[nxt_code]],"고가")</f>
        <v>224000</v>
      </c>
      <c r="R92" s="2">
        <f>_xll.IMDP("STK",표.실시간[[#This Row],[nxt_code]],"저가")</f>
        <v>211500</v>
      </c>
      <c r="S92">
        <f>_xll.IMDP("STK",표.실시간[[#This Row],[nxt_code]],"세션명")</f>
        <v>0</v>
      </c>
      <c r="T92">
        <f>_xll.IMDP("STK",표.실시간[[#This Row],[nxt_code]],"체결시간")</f>
        <v>0</v>
      </c>
      <c r="U92" s="2">
        <f>_xll.IMDP("STK","006260","현재가")</f>
        <v>214000</v>
      </c>
      <c r="V92">
        <f>_xll.IMDP("STK","006260","누적거래량")</f>
        <v>52037</v>
      </c>
    </row>
    <row r="93" spans="2:22" x14ac:dyDescent="0.3">
      <c r="B93">
        <v>85</v>
      </c>
      <c r="C93">
        <v>1</v>
      </c>
      <c r="D93">
        <f>IF(IFERROR(INDEX(표.kospi200[code],MATCH(표.실시간[[#This Row],[코드]],표.kospi200[code],0)),0)=0,0,1)</f>
        <v>1</v>
      </c>
      <c r="E93" t="s">
        <v>98</v>
      </c>
      <c r="F93">
        <v>90430</v>
      </c>
      <c r="G93" t="str">
        <f>ConvertStockCode(표.실시간[[#This Row],[코드]])</f>
        <v>N090430</v>
      </c>
      <c r="H93" s="2">
        <f>_xll.IMDP("STK",표.실시간[[#This Row],[nxt_code]],"현재가")</f>
        <v>137400</v>
      </c>
      <c r="I93" s="2">
        <f>_xll.IMDP("STK",표.실시간[[#This Row],[nxt_code]],"시가총액")/10^12</f>
        <v>8.0369050865999991</v>
      </c>
      <c r="J93" s="2">
        <f>표.실시간[[#This Row],[시가총액 (조원)]]/표.실시간[[#This Row],[현재가]]*(표.실시간[[#This Row],[현재가]]-표.실시간[[#This Row],[대비]])</f>
        <v>8.118794949199998</v>
      </c>
      <c r="K93" s="3">
        <f>_xll.IMDP("STK",표.실시간[[#This Row],[nxt_code]],"전일대비")</f>
        <v>-1400</v>
      </c>
      <c r="L93">
        <f>_xll.IMDP("STK",표.실시간[[#This Row],[nxt_code]],"등락률")</f>
        <v>-1.01</v>
      </c>
      <c r="M93" s="2">
        <f>_xll.IMDP("STK",표.실시간[[#This Row],[nxt_code]],"누적거래량")</f>
        <v>26780</v>
      </c>
      <c r="N93" s="2">
        <f>_xll.IMDP("STK",표.실시간[[#This Row],[nxt_code]],"누적거래대금")/10^8</f>
        <v>36.305962000000001</v>
      </c>
      <c r="O93" s="2">
        <f>_xll.IMDP("STK",표.실시간[[#This Row],[nxt_code]],"가중평균가")</f>
        <v>135566.11777000001</v>
      </c>
      <c r="P93" s="2">
        <f>_xll.IMDP("STK",표.실시간[[#This Row],[nxt_code]],"시가")</f>
        <v>138200</v>
      </c>
      <c r="Q93" s="2">
        <f>_xll.IMDP("STK",표.실시간[[#This Row],[nxt_code]],"고가")</f>
        <v>138200</v>
      </c>
      <c r="R93" s="2">
        <f>_xll.IMDP("STK",표.실시간[[#This Row],[nxt_code]],"저가")</f>
        <v>134600</v>
      </c>
      <c r="S93">
        <f>_xll.IMDP("STK",표.실시간[[#This Row],[nxt_code]],"세션명")</f>
        <v>0</v>
      </c>
      <c r="T93">
        <f>_xll.IMDP("STK",표.실시간[[#This Row],[nxt_code]],"체결시간")</f>
        <v>0</v>
      </c>
      <c r="U93" s="2">
        <f>_xll.IMDP("STK","090430","현재가")</f>
        <v>137700</v>
      </c>
      <c r="V93">
        <f>_xll.IMDP("STK","090430","누적거래량")</f>
        <v>25056</v>
      </c>
    </row>
    <row r="94" spans="2:22" x14ac:dyDescent="0.3">
      <c r="B94">
        <v>86</v>
      </c>
      <c r="C94">
        <v>1</v>
      </c>
      <c r="D94">
        <f>IF(IFERROR(INDEX(표.kospi200[code],MATCH(표.실시간[[#This Row],[코드]],표.kospi200[code],0)),0)=0,0,1)</f>
        <v>1</v>
      </c>
      <c r="E94" t="s">
        <v>99</v>
      </c>
      <c r="F94">
        <v>64400</v>
      </c>
      <c r="G94" t="str">
        <f>ConvertStockCode(표.실시간[[#This Row],[코드]])</f>
        <v>N064400</v>
      </c>
      <c r="H94" s="2">
        <f>_xll.IMDP("STK",표.실시간[[#This Row],[nxt_code]],"현재가")</f>
        <v>69200</v>
      </c>
      <c r="I94" s="2">
        <f>_xll.IMDP("STK",표.실시간[[#This Row],[nxt_code]],"시가총액")/10^12</f>
        <v>6.7045076015999996</v>
      </c>
      <c r="J94" s="2">
        <f>표.실시간[[#This Row],[시가총액 (조원)]]/표.실시간[[#This Row],[현재가]]*(표.실시간[[#This Row],[현재가]]-표.실시간[[#This Row],[대비]])</f>
        <v>6.7529505755999999</v>
      </c>
      <c r="K94" s="3">
        <f>_xll.IMDP("STK",표.실시간[[#This Row],[nxt_code]],"전일대비")</f>
        <v>-500</v>
      </c>
      <c r="L94">
        <f>_xll.IMDP("STK",표.실시간[[#This Row],[nxt_code]],"등락률")</f>
        <v>-0.72</v>
      </c>
      <c r="M94" s="2">
        <f>_xll.IMDP("STK",표.실시간[[#This Row],[nxt_code]],"누적거래량")</f>
        <v>271351</v>
      </c>
      <c r="N94" s="2">
        <f>_xll.IMDP("STK",표.실시간[[#This Row],[nxt_code]],"누적거래대금")/10^8</f>
        <v>187.31658200000001</v>
      </c>
      <c r="O94" s="2">
        <f>_xll.IMDP("STK",표.실시간[[#This Row],[nxt_code]],"가중평균가")</f>
        <v>69031.100678000003</v>
      </c>
      <c r="P94" s="2">
        <f>_xll.IMDP("STK",표.실시간[[#This Row],[nxt_code]],"시가")</f>
        <v>69700</v>
      </c>
      <c r="Q94" s="2">
        <f>_xll.IMDP("STK",표.실시간[[#This Row],[nxt_code]],"고가")</f>
        <v>69800</v>
      </c>
      <c r="R94" s="2">
        <f>_xll.IMDP("STK",표.실시간[[#This Row],[nxt_code]],"저가")</f>
        <v>68100</v>
      </c>
      <c r="S94">
        <f>_xll.IMDP("STK",표.실시간[[#This Row],[nxt_code]],"세션명")</f>
        <v>0</v>
      </c>
      <c r="T94">
        <f>_xll.IMDP("STK",표.실시간[[#This Row],[nxt_code]],"체결시간")</f>
        <v>0</v>
      </c>
      <c r="U94" s="2">
        <f>_xll.IMDP("STK","064400","현재가")</f>
        <v>69300</v>
      </c>
      <c r="V94">
        <f>_xll.IMDP("STK","064400","누적거래량")</f>
        <v>122291</v>
      </c>
    </row>
    <row r="95" spans="2:22" x14ac:dyDescent="0.3">
      <c r="B95">
        <v>87</v>
      </c>
      <c r="C95">
        <v>1</v>
      </c>
      <c r="D95">
        <f>IF(IFERROR(INDEX(표.kospi200[code],MATCH(표.실시간[[#This Row],[코드]],표.kospi200[code],0)),0)=0,0,1)</f>
        <v>1</v>
      </c>
      <c r="E95" t="s">
        <v>100</v>
      </c>
      <c r="F95">
        <v>377300</v>
      </c>
      <c r="G95" t="str">
        <f>ConvertStockCode(표.실시간[[#This Row],[코드]])</f>
        <v>N377300</v>
      </c>
      <c r="H95" s="2">
        <f>_xll.IMDP("STK",표.실시간[[#This Row],[nxt_code]],"현재가")</f>
        <v>64400</v>
      </c>
      <c r="I95" s="2">
        <f>_xll.IMDP("STK",표.실시간[[#This Row],[nxt_code]],"시가총액")/10^12</f>
        <v>8.7033476600000004</v>
      </c>
      <c r="J95" s="2">
        <f>표.실시간[[#This Row],[시가총액 (조원)]]/표.실시간[[#This Row],[현재가]]*(표.실시간[[#This Row],[현재가]]-표.실시간[[#This Row],[대비]])</f>
        <v>8.5817170249999997</v>
      </c>
      <c r="K95" s="3">
        <f>_xll.IMDP("STK",표.실시간[[#This Row],[nxt_code]],"전일대비")</f>
        <v>900</v>
      </c>
      <c r="L95">
        <f>_xll.IMDP("STK",표.실시간[[#This Row],[nxt_code]],"등락률")</f>
        <v>1.58</v>
      </c>
      <c r="M95" s="2">
        <f>_xll.IMDP("STK",표.실시간[[#This Row],[nxt_code]],"누적거래량")</f>
        <v>1306136</v>
      </c>
      <c r="N95" s="2">
        <f>_xll.IMDP("STK",표.실시간[[#This Row],[nxt_code]],"누적거래대금")/10^8</f>
        <v>854.64862949999997</v>
      </c>
      <c r="O95" s="2">
        <f>_xll.IMDP("STK",표.실시간[[#This Row],[nxt_code]],"가중평균가")</f>
        <v>65431.954142000002</v>
      </c>
      <c r="P95" s="2">
        <f>_xll.IMDP("STK",표.실시간[[#This Row],[nxt_code]],"시가")</f>
        <v>64300</v>
      </c>
      <c r="Q95" s="2">
        <f>_xll.IMDP("STK",표.실시간[[#This Row],[nxt_code]],"고가")</f>
        <v>66900</v>
      </c>
      <c r="R95" s="2">
        <f>_xll.IMDP("STK",표.실시간[[#This Row],[nxt_code]],"저가")</f>
        <v>61800</v>
      </c>
      <c r="S95">
        <f>_xll.IMDP("STK",표.실시간[[#This Row],[nxt_code]],"세션명")</f>
        <v>0</v>
      </c>
      <c r="T95">
        <f>_xll.IMDP("STK",표.실시간[[#This Row],[nxt_code]],"체결시간")</f>
        <v>0</v>
      </c>
      <c r="U95" s="2">
        <f>_xll.IMDP("STK","377300","현재가")</f>
        <v>64300</v>
      </c>
      <c r="V95">
        <f>_xll.IMDP("STK","377300","누적거래량")</f>
        <v>240544</v>
      </c>
    </row>
    <row r="96" spans="2:22" x14ac:dyDescent="0.3">
      <c r="B96">
        <v>88</v>
      </c>
      <c r="C96">
        <v>0</v>
      </c>
      <c r="D96">
        <f>IF(IFERROR(INDEX(표.kospi200[code],MATCH(표.실시간[[#This Row],[코드]],표.kospi200[code],0)),0)=0,0,1)</f>
        <v>0</v>
      </c>
      <c r="E96" t="s">
        <v>101</v>
      </c>
      <c r="F96">
        <v>28300</v>
      </c>
      <c r="G96" t="str">
        <f>ConvertStockCode(표.실시간[[#This Row],[코드]])</f>
        <v>N028300</v>
      </c>
      <c r="H96" s="2">
        <f>_xll.IMDP("STK",표.실시간[[#This Row],[nxt_code]],"현재가")</f>
        <v>56200</v>
      </c>
      <c r="I96" s="2">
        <f>_xll.IMDP("STK",표.실시간[[#This Row],[nxt_code]],"시가총액")/10^12</f>
        <v>7.4914869292999997</v>
      </c>
      <c r="J96" s="2">
        <f>표.실시간[[#This Row],[시가총액 (조원)]]/표.실시간[[#This Row],[현재가]]*(표.실시간[[#This Row],[현재가]]-표.실시간[[#This Row],[대비]])</f>
        <v>7.384846545964769</v>
      </c>
      <c r="K96" s="3">
        <f>_xll.IMDP("STK",표.실시간[[#This Row],[nxt_code]],"전일대비")</f>
        <v>800</v>
      </c>
      <c r="L96">
        <f>_xll.IMDP("STK",표.실시간[[#This Row],[nxt_code]],"등락률")</f>
        <v>1.44</v>
      </c>
      <c r="M96" s="2">
        <f>_xll.IMDP("STK",표.실시간[[#This Row],[nxt_code]],"누적거래량")</f>
        <v>593650</v>
      </c>
      <c r="N96" s="2">
        <f>_xll.IMDP("STK",표.실시간[[#This Row],[nxt_code]],"누적거래대금")/10^8</f>
        <v>336.1143945</v>
      </c>
      <c r="O96" s="2">
        <f>_xll.IMDP("STK",표.실시간[[#This Row],[nxt_code]],"가중평균가")</f>
        <v>56580.152260000003</v>
      </c>
      <c r="P96" s="2">
        <f>_xll.IMDP("STK",표.실시간[[#This Row],[nxt_code]],"시가")</f>
        <v>56000</v>
      </c>
      <c r="Q96" s="2">
        <f>_xll.IMDP("STK",표.실시간[[#This Row],[nxt_code]],"고가")</f>
        <v>57400</v>
      </c>
      <c r="R96" s="2">
        <f>_xll.IMDP("STK",표.실시간[[#This Row],[nxt_code]],"저가")</f>
        <v>55000</v>
      </c>
      <c r="S96">
        <f>_xll.IMDP("STK",표.실시간[[#This Row],[nxt_code]],"세션명")</f>
        <v>0</v>
      </c>
      <c r="T96">
        <f>_xll.IMDP("STK",표.실시간[[#This Row],[nxt_code]],"체결시간")</f>
        <v>0</v>
      </c>
      <c r="U96" s="2">
        <f>_xll.IMDP("STK","028300","현재가")</f>
        <v>56300</v>
      </c>
      <c r="V96">
        <f>_xll.IMDP("STK","028300","누적거래량")</f>
        <v>218931</v>
      </c>
    </row>
    <row r="97" spans="2:22" x14ac:dyDescent="0.3">
      <c r="B97">
        <v>89</v>
      </c>
      <c r="C97">
        <v>1</v>
      </c>
      <c r="D97">
        <f>IF(IFERROR(INDEX(표.kospi200[code],MATCH(표.실시간[[#This Row],[코드]],표.kospi200[code],0)),0)=0,0,1)</f>
        <v>1</v>
      </c>
      <c r="E97" t="s">
        <v>102</v>
      </c>
      <c r="F97">
        <v>11070</v>
      </c>
      <c r="G97" t="str">
        <f>ConvertStockCode(표.실시간[[#This Row],[코드]])</f>
        <v>N011070</v>
      </c>
      <c r="H97" s="2">
        <f>_xll.IMDP("STK",표.실시간[[#This Row],[nxt_code]],"현재가")</f>
        <v>240500</v>
      </c>
      <c r="I97" s="2">
        <f>_xll.IMDP("STK",표.실시간[[#This Row],[nxt_code]],"시가총액")/10^12</f>
        <v>5.6919392335000003</v>
      </c>
      <c r="J97" s="2">
        <f>표.실시간[[#This Row],[시가총액 (조원)]]/표.실시간[[#This Row],[현재가]]*(표.실시간[[#This Row],[현재가]]-표.실시간[[#This Row],[대비]])</f>
        <v>5.8102747685000002</v>
      </c>
      <c r="K97" s="3">
        <f>_xll.IMDP("STK",표.실시간[[#This Row],[nxt_code]],"전일대비")</f>
        <v>-5000</v>
      </c>
      <c r="L97">
        <f>_xll.IMDP("STK",표.실시간[[#This Row],[nxt_code]],"등락률")</f>
        <v>-1.84</v>
      </c>
      <c r="M97" s="2">
        <f>_xll.IMDP("STK",표.실시간[[#This Row],[nxt_code]],"누적거래량")</f>
        <v>28217</v>
      </c>
      <c r="N97" s="2">
        <f>_xll.IMDP("STK",표.실시간[[#This Row],[nxt_code]],"누적거래대금")/10^8</f>
        <v>67.640739999999994</v>
      </c>
      <c r="O97" s="2">
        <f>_xll.IMDP("STK",표.실시간[[#This Row],[nxt_code]],"가중평균가")</f>
        <v>239716.27033299999</v>
      </c>
      <c r="P97" s="2">
        <f>_xll.IMDP("STK",표.실시간[[#This Row],[nxt_code]],"시가")</f>
        <v>245000</v>
      </c>
      <c r="Q97" s="2">
        <f>_xll.IMDP("STK",표.실시간[[#This Row],[nxt_code]],"고가")</f>
        <v>245000</v>
      </c>
      <c r="R97" s="2">
        <f>_xll.IMDP("STK",표.실시간[[#This Row],[nxt_code]],"저가")</f>
        <v>238000</v>
      </c>
      <c r="S97">
        <f>_xll.IMDP("STK",표.실시간[[#This Row],[nxt_code]],"세션명")</f>
        <v>0</v>
      </c>
      <c r="T97">
        <f>_xll.IMDP("STK",표.실시간[[#This Row],[nxt_code]],"체결시간")</f>
        <v>0</v>
      </c>
      <c r="U97" s="2">
        <f>_xll.IMDP("STK","011070","현재가")</f>
        <v>241000</v>
      </c>
      <c r="V97">
        <f>_xll.IMDP("STK","011070","누적거래량")</f>
        <v>20188</v>
      </c>
    </row>
    <row r="98" spans="2:22" x14ac:dyDescent="0.3">
      <c r="B98">
        <v>90</v>
      </c>
      <c r="C98">
        <v>1</v>
      </c>
      <c r="D98">
        <f>IF(IFERROR(INDEX(표.kospi200[code],MATCH(표.실시간[[#This Row],[코드]],표.kospi200[code],0)),0)=0,0,1)</f>
        <v>1</v>
      </c>
      <c r="E98" t="s">
        <v>103</v>
      </c>
      <c r="F98">
        <v>22100</v>
      </c>
      <c r="G98" t="str">
        <f>ConvertStockCode(표.실시간[[#This Row],[코드]])</f>
        <v>N022100</v>
      </c>
      <c r="H98" s="2">
        <f>_xll.IMDP("STK",표.실시간[[#This Row],[nxt_code]],"현재가")</f>
        <v>38250</v>
      </c>
      <c r="I98" s="2">
        <f>_xll.IMDP("STK",표.실시간[[#This Row],[nxt_code]],"시가총액")/10^12</f>
        <v>5.8153283842499999</v>
      </c>
      <c r="J98" s="2">
        <f>표.실시간[[#This Row],[시가총액 (조원)]]/표.실시간[[#This Row],[현재가]]*(표.실시간[[#This Row],[현재가]]-표.실시간[[#This Row],[대비]])</f>
        <v>5.8913457487499992</v>
      </c>
      <c r="K98" s="3">
        <f>_xll.IMDP("STK",표.실시간[[#This Row],[nxt_code]],"전일대비")</f>
        <v>-500</v>
      </c>
      <c r="L98">
        <f>_xll.IMDP("STK",표.실시간[[#This Row],[nxt_code]],"등락률")</f>
        <v>-1.03</v>
      </c>
      <c r="M98" s="2">
        <f>_xll.IMDP("STK",표.실시간[[#This Row],[nxt_code]],"누적거래량")</f>
        <v>232455</v>
      </c>
      <c r="N98" s="2">
        <f>_xll.IMDP("STK",표.실시간[[#This Row],[nxt_code]],"누적거래대금")/10^8</f>
        <v>87.407402500000003</v>
      </c>
      <c r="O98" s="2">
        <f>_xll.IMDP("STK",표.실시간[[#This Row],[nxt_code]],"가중평균가")</f>
        <v>37601.859499999999</v>
      </c>
      <c r="P98" s="2">
        <f>_xll.IMDP("STK",표.실시간[[#This Row],[nxt_code]],"시가")</f>
        <v>37250</v>
      </c>
      <c r="Q98" s="2">
        <f>_xll.IMDP("STK",표.실시간[[#This Row],[nxt_code]],"고가")</f>
        <v>38350</v>
      </c>
      <c r="R98" s="2">
        <f>_xll.IMDP("STK",표.실시간[[#This Row],[nxt_code]],"저가")</f>
        <v>37250</v>
      </c>
      <c r="S98">
        <f>_xll.IMDP("STK",표.실시간[[#This Row],[nxt_code]],"세션명")</f>
        <v>0</v>
      </c>
      <c r="T98">
        <f>_xll.IMDP("STK",표.실시간[[#This Row],[nxt_code]],"체결시간")</f>
        <v>0</v>
      </c>
      <c r="U98" s="2">
        <f>_xll.IMDP("STK","022100","현재가")</f>
        <v>38250</v>
      </c>
      <c r="V98">
        <f>_xll.IMDP("STK","022100","누적거래량")</f>
        <v>117239</v>
      </c>
    </row>
    <row r="99" spans="2:22" x14ac:dyDescent="0.3">
      <c r="B99">
        <v>91</v>
      </c>
      <c r="C99">
        <v>1</v>
      </c>
      <c r="D99">
        <f>IF(IFERROR(INDEX(표.kospi200[code],MATCH(표.실시간[[#This Row],[코드]],표.kospi200[code],0)),0)=0,0,1)</f>
        <v>1</v>
      </c>
      <c r="E99" t="s">
        <v>104</v>
      </c>
      <c r="F99">
        <v>32640</v>
      </c>
      <c r="G99" t="str">
        <f>ConvertStockCode(표.실시간[[#This Row],[코드]])</f>
        <v>N032640</v>
      </c>
      <c r="H99" s="2">
        <f>_xll.IMDP("STK",표.실시간[[#This Row],[nxt_code]],"현재가")</f>
        <v>15950</v>
      </c>
      <c r="I99" s="2">
        <f>_xll.IMDP("STK",표.실시간[[#This Row],[nxt_code]],"시가총액")/10^12</f>
        <v>6.8557622622499998</v>
      </c>
      <c r="J99" s="2">
        <f>표.실시간[[#This Row],[시가총액 (조원)]]/표.실시간[[#This Row],[현재가]]*(표.실시간[[#This Row],[현재가]]-표.실시간[[#This Row],[대비]])</f>
        <v>6.8858502470999996</v>
      </c>
      <c r="K99" s="3">
        <f>_xll.IMDP("STK",표.실시간[[#This Row],[nxt_code]],"전일대비")</f>
        <v>-70</v>
      </c>
      <c r="L99">
        <f>_xll.IMDP("STK",표.실시간[[#This Row],[nxt_code]],"등락률")</f>
        <v>-0.31</v>
      </c>
      <c r="M99" s="2">
        <f>_xll.IMDP("STK",표.실시간[[#This Row],[nxt_code]],"누적거래량")</f>
        <v>18034</v>
      </c>
      <c r="N99" s="2">
        <f>_xll.IMDP("STK",표.실시간[[#This Row],[nxt_code]],"누적거래대금")/10^8</f>
        <v>2.8711909000000002</v>
      </c>
      <c r="O99" s="2">
        <f>_xll.IMDP("STK",표.실시간[[#This Row],[nxt_code]],"가중평균가")</f>
        <v>15905.112453</v>
      </c>
      <c r="P99" s="2">
        <f>_xll.IMDP("STK",표.실시간[[#This Row],[nxt_code]],"시가")</f>
        <v>15900</v>
      </c>
      <c r="Q99" s="2">
        <f>_xll.IMDP("STK",표.실시간[[#This Row],[nxt_code]],"고가")</f>
        <v>16160</v>
      </c>
      <c r="R99" s="2">
        <f>_xll.IMDP("STK",표.실시간[[#This Row],[nxt_code]],"저가")</f>
        <v>15790</v>
      </c>
      <c r="S99">
        <f>_xll.IMDP("STK",표.실시간[[#This Row],[nxt_code]],"세션명")</f>
        <v>0</v>
      </c>
      <c r="T99">
        <f>_xll.IMDP("STK",표.실시간[[#This Row],[nxt_code]],"체결시간")</f>
        <v>0</v>
      </c>
      <c r="U99" s="2">
        <f>_xll.IMDP("STK","032640","현재가")</f>
        <v>15950</v>
      </c>
      <c r="V99">
        <f>_xll.IMDP("STK","032640","누적거래량")</f>
        <v>49386</v>
      </c>
    </row>
    <row r="100" spans="2:22" x14ac:dyDescent="0.3">
      <c r="B100">
        <v>92</v>
      </c>
      <c r="C100">
        <v>0</v>
      </c>
      <c r="D100">
        <f>IF(IFERROR(INDEX(표.kospi200[code],MATCH(표.실시간[[#This Row],[코드]],표.kospi200[code],0)),0)=0,0,1)</f>
        <v>0</v>
      </c>
      <c r="E100" t="s">
        <v>105</v>
      </c>
      <c r="F100">
        <v>250</v>
      </c>
      <c r="G100" t="str">
        <f>ConvertStockCode(표.실시간[[#This Row],[코드]])</f>
        <v>N000250</v>
      </c>
      <c r="H100" s="2">
        <f>_xll.IMDP("STK",표.실시간[[#This Row],[nxt_code]],"현재가")</f>
        <v>478000</v>
      </c>
      <c r="I100" s="2">
        <f>_xll.IMDP("STK",표.실시간[[#This Row],[nxt_code]],"시가총액")/10^12</f>
        <v>11.212671616</v>
      </c>
      <c r="J100" s="2">
        <f>표.실시간[[#This Row],[시가총액 (조원)]]/표.실시간[[#This Row],[현재가]]*(표.실시간[[#This Row],[현재가]]-표.실시간[[#This Row],[대비]])</f>
        <v>11.271315296000001</v>
      </c>
      <c r="K100" s="3">
        <f>_xll.IMDP("STK",표.실시간[[#This Row],[nxt_code]],"전일대비")</f>
        <v>-2500</v>
      </c>
      <c r="L100">
        <f>_xll.IMDP("STK",표.실시간[[#This Row],[nxt_code]],"등락률")</f>
        <v>-0.52</v>
      </c>
      <c r="M100" s="2">
        <f>_xll.IMDP("STK",표.실시간[[#This Row],[nxt_code]],"누적거래량")</f>
        <v>53740</v>
      </c>
      <c r="N100" s="2">
        <f>_xll.IMDP("STK",표.실시간[[#This Row],[nxt_code]],"누적거래대금")/10^8</f>
        <v>248.8219775</v>
      </c>
      <c r="O100" s="2">
        <f>_xll.IMDP("STK",표.실시간[[#This Row],[nxt_code]],"가중평균가")</f>
        <v>462829.89062700002</v>
      </c>
      <c r="P100" s="2">
        <f>_xll.IMDP("STK",표.실시간[[#This Row],[nxt_code]],"시가")</f>
        <v>479500</v>
      </c>
      <c r="Q100" s="2">
        <f>_xll.IMDP("STK",표.실시간[[#This Row],[nxt_code]],"고가")</f>
        <v>479500</v>
      </c>
      <c r="R100" s="2">
        <f>_xll.IMDP("STK",표.실시간[[#This Row],[nxt_code]],"저가")</f>
        <v>453000</v>
      </c>
      <c r="S100">
        <f>_xll.IMDP("STK",표.실시간[[#This Row],[nxt_code]],"세션명")</f>
        <v>0</v>
      </c>
      <c r="T100">
        <f>_xll.IMDP("STK",표.실시간[[#This Row],[nxt_code]],"체결시간")</f>
        <v>0</v>
      </c>
      <c r="U100" s="2">
        <f>_xll.IMDP("STK","000250","현재가")</f>
        <v>478000</v>
      </c>
      <c r="V100">
        <f>_xll.IMDP("STK","000250","누적거래량")</f>
        <v>40418</v>
      </c>
    </row>
    <row r="101" spans="2:22" x14ac:dyDescent="0.3">
      <c r="B101">
        <v>93</v>
      </c>
      <c r="C101">
        <v>1</v>
      </c>
      <c r="D101">
        <f>IF(IFERROR(INDEX(표.kospi200[code],MATCH(표.실시간[[#This Row],[코드]],표.kospi200[code],0)),0)=0,0,1)</f>
        <v>1</v>
      </c>
      <c r="E101" t="s">
        <v>106</v>
      </c>
      <c r="F101">
        <v>29780</v>
      </c>
      <c r="G101" t="str">
        <f>ConvertStockCode(표.실시간[[#This Row],[코드]])</f>
        <v>N029780</v>
      </c>
      <c r="H101" s="2">
        <f>_xll.IMDP("STK",표.실시간[[#This Row],[nxt_code]],"현재가")</f>
        <v>56600</v>
      </c>
      <c r="I101" s="2">
        <f>_xll.IMDP("STK",표.실시간[[#This Row],[nxt_code]],"시가총액")/10^12</f>
        <v>6.5576132306000003</v>
      </c>
      <c r="J101" s="2">
        <f>표.실시간[[#This Row],[시가총액 (조원)]]/표.실시간[[#This Row],[현재가]]*(표.실시간[[#This Row],[현재가]]-표.실시간[[#This Row],[대비]])</f>
        <v>6.5807850088000004</v>
      </c>
      <c r="K101" s="3">
        <f>_xll.IMDP("STK",표.실시간[[#This Row],[nxt_code]],"전일대비")</f>
        <v>-200</v>
      </c>
      <c r="L101">
        <f>_xll.IMDP("STK",표.실시간[[#This Row],[nxt_code]],"등락률")</f>
        <v>-0.35</v>
      </c>
      <c r="M101" s="2">
        <f>_xll.IMDP("STK",표.실시간[[#This Row],[nxt_code]],"누적거래량")</f>
        <v>4030</v>
      </c>
      <c r="N101" s="2">
        <f>_xll.IMDP("STK",표.실시간[[#This Row],[nxt_code]],"누적거래대금")/10^8</f>
        <v>2.2639230000000001</v>
      </c>
      <c r="O101" s="2">
        <f>_xll.IMDP("STK",표.실시간[[#This Row],[nxt_code]],"가중평균가")</f>
        <v>56176.749380000001</v>
      </c>
      <c r="P101" s="2">
        <f>_xll.IMDP("STK",표.실시간[[#This Row],[nxt_code]],"시가")</f>
        <v>56800</v>
      </c>
      <c r="Q101" s="2">
        <f>_xll.IMDP("STK",표.실시간[[#This Row],[nxt_code]],"고가")</f>
        <v>56800</v>
      </c>
      <c r="R101" s="2">
        <f>_xll.IMDP("STK",표.실시간[[#This Row],[nxt_code]],"저가")</f>
        <v>56000</v>
      </c>
      <c r="S101">
        <f>_xll.IMDP("STK",표.실시간[[#This Row],[nxt_code]],"세션명")</f>
        <v>0</v>
      </c>
      <c r="T101">
        <f>_xll.IMDP("STK",표.실시간[[#This Row],[nxt_code]],"체결시간")</f>
        <v>0</v>
      </c>
      <c r="U101" s="2">
        <f>_xll.IMDP("STK","029780","현재가")</f>
        <v>56600</v>
      </c>
      <c r="V101">
        <f>_xll.IMDP("STK","029780","누적거래량")</f>
        <v>3585</v>
      </c>
    </row>
    <row r="102" spans="2:22" x14ac:dyDescent="0.3">
      <c r="B102">
        <v>94</v>
      </c>
      <c r="C102">
        <v>1</v>
      </c>
      <c r="D102">
        <f>IF(IFERROR(INDEX(표.kospi200[code],MATCH(표.실시간[[#This Row],[코드]],표.kospi200[code],0)),0)=0,0,1)</f>
        <v>1</v>
      </c>
      <c r="E102" t="s">
        <v>107</v>
      </c>
      <c r="F102">
        <v>34220</v>
      </c>
      <c r="G102" t="str">
        <f>ConvertStockCode(표.실시간[[#This Row],[코드]])</f>
        <v>N034220</v>
      </c>
      <c r="H102" s="2">
        <f>_xll.IMDP("STK",표.실시간[[#This Row],[nxt_code]],"현재가")</f>
        <v>11440</v>
      </c>
      <c r="I102" s="2">
        <f>_xll.IMDP("STK",표.실시간[[#This Row],[nxt_code]],"시가총액")/10^12</f>
        <v>5.72</v>
      </c>
      <c r="J102" s="2">
        <f>표.실시간[[#This Row],[시가총액 (조원)]]/표.실시간[[#This Row],[현재가]]*(표.실시간[[#This Row],[현재가]]-표.실시간[[#This Row],[대비]])</f>
        <v>5.84</v>
      </c>
      <c r="K102" s="3">
        <f>_xll.IMDP("STK",표.실시간[[#This Row],[nxt_code]],"전일대비")</f>
        <v>-240</v>
      </c>
      <c r="L102">
        <f>_xll.IMDP("STK",표.실시간[[#This Row],[nxt_code]],"등락률")</f>
        <v>-1.97</v>
      </c>
      <c r="M102" s="2">
        <f>_xll.IMDP("STK",표.실시간[[#This Row],[nxt_code]],"누적거래량")</f>
        <v>262900</v>
      </c>
      <c r="N102" s="2">
        <f>_xll.IMDP("STK",표.실시간[[#This Row],[nxt_code]],"누적거래대금")/10^8</f>
        <v>30.224028300000001</v>
      </c>
      <c r="O102" s="2">
        <f>_xll.IMDP("STK",표.실시간[[#This Row],[nxt_code]],"가중평균가")</f>
        <v>11496.397223</v>
      </c>
      <c r="P102" s="2">
        <f>_xll.IMDP("STK",표.실시간[[#This Row],[nxt_code]],"시가")</f>
        <v>11590</v>
      </c>
      <c r="Q102" s="2">
        <f>_xll.IMDP("STK",표.실시간[[#This Row],[nxt_code]],"고가")</f>
        <v>11670</v>
      </c>
      <c r="R102" s="2">
        <f>_xll.IMDP("STK",표.실시간[[#This Row],[nxt_code]],"저가")</f>
        <v>11390</v>
      </c>
      <c r="S102">
        <f>_xll.IMDP("STK",표.실시간[[#This Row],[nxt_code]],"세션명")</f>
        <v>0</v>
      </c>
      <c r="T102">
        <f>_xll.IMDP("STK",표.실시간[[#This Row],[nxt_code]],"체결시간")</f>
        <v>0</v>
      </c>
      <c r="U102" s="2">
        <f>_xll.IMDP("STK","034220","현재가")</f>
        <v>11460</v>
      </c>
      <c r="V102">
        <f>_xll.IMDP("STK","034220","누적거래량")</f>
        <v>212275</v>
      </c>
    </row>
    <row r="103" spans="2:22" x14ac:dyDescent="0.3">
      <c r="B103">
        <v>95</v>
      </c>
      <c r="C103">
        <v>1</v>
      </c>
      <c r="D103">
        <f>IF(IFERROR(INDEX(표.kospi200[code],MATCH(표.실시간[[#This Row],[코드]],표.kospi200[code],0)),0)=0,0,1)</f>
        <v>1</v>
      </c>
      <c r="E103" t="s">
        <v>108</v>
      </c>
      <c r="F103">
        <v>241560</v>
      </c>
      <c r="G103" t="str">
        <f>ConvertStockCode(표.실시간[[#This Row],[코드]])</f>
        <v>N241560</v>
      </c>
      <c r="H103" s="2">
        <f>_xll.IMDP("STK",표.실시간[[#This Row],[nxt_code]],"현재가")</f>
        <v>59400</v>
      </c>
      <c r="I103" s="2">
        <f>_xll.IMDP("STK",표.실시간[[#This Row],[nxt_code]],"시가총액")/10^12</f>
        <v>5.6938502609999997</v>
      </c>
      <c r="J103" s="2">
        <f>표.실시간[[#This Row],[시가총액 (조원)]]/표.실시간[[#This Row],[현재가]]*(표.실시간[[#This Row],[현재가]]-표.실시간[[#This Row],[대비]])</f>
        <v>5.636336622</v>
      </c>
      <c r="K103" s="3">
        <f>_xll.IMDP("STK",표.실시간[[#This Row],[nxt_code]],"전일대비")</f>
        <v>600</v>
      </c>
      <c r="L103">
        <f>_xll.IMDP("STK",표.실시간[[#This Row],[nxt_code]],"등락률")</f>
        <v>1.02</v>
      </c>
      <c r="M103" s="2">
        <f>_xll.IMDP("STK",표.실시간[[#This Row],[nxt_code]],"누적거래량")</f>
        <v>16521</v>
      </c>
      <c r="N103" s="2">
        <f>_xll.IMDP("STK",표.실시간[[#This Row],[nxt_code]],"누적거래대금")/10^8</f>
        <v>9.6416079999999997</v>
      </c>
      <c r="O103" s="2">
        <f>_xll.IMDP("STK",표.실시간[[#This Row],[nxt_code]],"가중평균가")</f>
        <v>58359.711882000003</v>
      </c>
      <c r="P103" s="2">
        <f>_xll.IMDP("STK",표.실시간[[#This Row],[nxt_code]],"시가")</f>
        <v>58500</v>
      </c>
      <c r="Q103" s="2">
        <f>_xll.IMDP("STK",표.실시간[[#This Row],[nxt_code]],"고가")</f>
        <v>59500</v>
      </c>
      <c r="R103" s="2">
        <f>_xll.IMDP("STK",표.실시간[[#This Row],[nxt_code]],"저가")</f>
        <v>57800</v>
      </c>
      <c r="S103">
        <f>_xll.IMDP("STK",표.실시간[[#This Row],[nxt_code]],"세션명")</f>
        <v>0</v>
      </c>
      <c r="T103">
        <f>_xll.IMDP("STK",표.실시간[[#This Row],[nxt_code]],"체결시간")</f>
        <v>0</v>
      </c>
      <c r="U103" s="2">
        <f>_xll.IMDP("STK","241560","현재가")</f>
        <v>59600</v>
      </c>
      <c r="V103">
        <f>_xll.IMDP("STK","241560","누적거래량")</f>
        <v>27621</v>
      </c>
    </row>
    <row r="104" spans="2:22" x14ac:dyDescent="0.3">
      <c r="B104">
        <v>96</v>
      </c>
      <c r="C104">
        <v>1</v>
      </c>
      <c r="D104">
        <f>IF(IFERROR(INDEX(표.kospi200[code],MATCH(표.실시간[[#This Row],[코드]],표.kospi200[code],0)),0)=0,0,1)</f>
        <v>1</v>
      </c>
      <c r="E104" t="s">
        <v>109</v>
      </c>
      <c r="F104">
        <v>78930</v>
      </c>
      <c r="G104" t="str">
        <f>ConvertStockCode(표.실시간[[#This Row],[코드]])</f>
        <v>N078930</v>
      </c>
      <c r="H104" s="2">
        <f>_xll.IMDP("STK",표.실시간[[#This Row],[nxt_code]],"현재가")</f>
        <v>66750</v>
      </c>
      <c r="I104" s="2">
        <f>_xll.IMDP("STK",표.실시간[[#This Row],[nxt_code]],"시가총액")/10^12</f>
        <v>6.2021014814999997</v>
      </c>
      <c r="J104" s="2">
        <f>표.실시간[[#This Row],[시가총액 (조원)]]/표.실시간[[#This Row],[현재가]]*(표.실시간[[#This Row],[현재가]]-표.실시간[[#This Row],[대비]])</f>
        <v>6.3786406997</v>
      </c>
      <c r="K104" s="3">
        <f>_xll.IMDP("STK",표.실시간[[#This Row],[nxt_code]],"전일대비")</f>
        <v>-1900</v>
      </c>
      <c r="L104">
        <f>_xll.IMDP("STK",표.실시간[[#This Row],[nxt_code]],"등락률")</f>
        <v>-2.84</v>
      </c>
      <c r="M104" s="2">
        <f>_xll.IMDP("STK",표.실시간[[#This Row],[nxt_code]],"누적거래량")</f>
        <v>36668</v>
      </c>
      <c r="N104" s="2">
        <f>_xll.IMDP("STK",표.실시간[[#This Row],[nxt_code]],"누적거래대금")/10^8</f>
        <v>24.731985999999999</v>
      </c>
      <c r="O104" s="2">
        <f>_xll.IMDP("STK",표.실시간[[#This Row],[nxt_code]],"가중평균가")</f>
        <v>67448.418239000006</v>
      </c>
      <c r="P104" s="2">
        <f>_xll.IMDP("STK",표.실시간[[#This Row],[nxt_code]],"시가")</f>
        <v>68600</v>
      </c>
      <c r="Q104" s="2">
        <f>_xll.IMDP("STK",표.실시간[[#This Row],[nxt_code]],"고가")</f>
        <v>69000</v>
      </c>
      <c r="R104" s="2">
        <f>_xll.IMDP("STK",표.실시간[[#This Row],[nxt_code]],"저가")</f>
        <v>66200</v>
      </c>
      <c r="S104">
        <f>_xll.IMDP("STK",표.실시간[[#This Row],[nxt_code]],"세션명")</f>
        <v>0</v>
      </c>
      <c r="T104">
        <f>_xll.IMDP("STK",표.실시간[[#This Row],[nxt_code]],"체결시간")</f>
        <v>0</v>
      </c>
      <c r="U104" s="2">
        <f>_xll.IMDP("STK","078930","현재가")</f>
        <v>66700</v>
      </c>
      <c r="V104">
        <f>_xll.IMDP("STK","078930","누적거래량")</f>
        <v>20142</v>
      </c>
    </row>
    <row r="105" spans="2:22" x14ac:dyDescent="0.3">
      <c r="B105">
        <v>97</v>
      </c>
      <c r="C105">
        <v>1</v>
      </c>
      <c r="D105">
        <f>IF(IFERROR(INDEX(표.kospi200[code],MATCH(표.실시간[[#This Row],[코드]],표.kospi200[code],0)),0)=0,0,1)</f>
        <v>1</v>
      </c>
      <c r="E105" t="s">
        <v>110</v>
      </c>
      <c r="F105">
        <v>1040</v>
      </c>
      <c r="G105" t="str">
        <f>ConvertStockCode(표.실시간[[#This Row],[코드]])</f>
        <v>N001040</v>
      </c>
      <c r="H105" s="2">
        <f>_xll.IMDP("STK",표.실시간[[#This Row],[nxt_code]],"현재가")</f>
        <v>222500</v>
      </c>
      <c r="I105" s="2">
        <f>_xll.IMDP("STK",표.실시간[[#This Row],[nxt_code]],"시가총액")/10^12</f>
        <v>6.4918820549999996</v>
      </c>
      <c r="J105" s="2">
        <f>표.실시간[[#This Row],[시가총액 (조원)]]/표.실시간[[#This Row],[현재가]]*(표.실시간[[#This Row],[현재가]]-표.실시간[[#This Row],[대비]])</f>
        <v>6.3459970649999997</v>
      </c>
      <c r="K105" s="3">
        <f>_xll.IMDP("STK",표.실시간[[#This Row],[nxt_code]],"전일대비")</f>
        <v>5000</v>
      </c>
      <c r="L105">
        <f>_xll.IMDP("STK",표.실시간[[#This Row],[nxt_code]],"등락률")</f>
        <v>2.2999999999999998</v>
      </c>
      <c r="M105" s="2">
        <f>_xll.IMDP("STK",표.실시간[[#This Row],[nxt_code]],"누적거래량")</f>
        <v>19164</v>
      </c>
      <c r="N105" s="2">
        <f>_xll.IMDP("STK",표.실시간[[#This Row],[nxt_code]],"누적거래대금")/10^8</f>
        <v>41.330802499999997</v>
      </c>
      <c r="O105" s="2">
        <f>_xll.IMDP("STK",표.실시간[[#This Row],[nxt_code]],"가중평균가")</f>
        <v>215657.722411</v>
      </c>
      <c r="P105" s="2">
        <f>_xll.IMDP("STK",표.실시간[[#This Row],[nxt_code]],"시가")</f>
        <v>217500</v>
      </c>
      <c r="Q105" s="2">
        <f>_xll.IMDP("STK",표.실시간[[#This Row],[nxt_code]],"고가")</f>
        <v>225000</v>
      </c>
      <c r="R105" s="2">
        <f>_xll.IMDP("STK",표.실시간[[#This Row],[nxt_code]],"저가")</f>
        <v>210000</v>
      </c>
      <c r="S105">
        <f>_xll.IMDP("STK",표.실시간[[#This Row],[nxt_code]],"세션명")</f>
        <v>0</v>
      </c>
      <c r="T105">
        <f>_xll.IMDP("STK",표.실시간[[#This Row],[nxt_code]],"체결시간")</f>
        <v>0</v>
      </c>
      <c r="U105" s="2">
        <f>_xll.IMDP("STK","001040","현재가")</f>
        <v>222500</v>
      </c>
      <c r="V105">
        <f>_xll.IMDP("STK","001040","누적거래량")</f>
        <v>21143</v>
      </c>
    </row>
    <row r="106" spans="2:22" x14ac:dyDescent="0.3">
      <c r="B106">
        <v>98</v>
      </c>
      <c r="C106">
        <v>1</v>
      </c>
      <c r="D106">
        <f>IF(IFERROR(INDEX(표.kospi200[code],MATCH(표.실시간[[#This Row],[코드]],표.kospi200[code],0)),0)=0,0,1)</f>
        <v>1</v>
      </c>
      <c r="E106" t="s">
        <v>111</v>
      </c>
      <c r="F106">
        <v>21240</v>
      </c>
      <c r="G106" t="str">
        <f>ConvertStockCode(표.실시간[[#This Row],[코드]])</f>
        <v>N021240</v>
      </c>
      <c r="H106" s="2">
        <f>_xll.IMDP("STK",표.실시간[[#This Row],[nxt_code]],"현재가")</f>
        <v>81500</v>
      </c>
      <c r="I106" s="2">
        <f>_xll.IMDP("STK",표.실시간[[#This Row],[nxt_code]],"시가총액")/10^12</f>
        <v>5.8605943395000004</v>
      </c>
      <c r="J106" s="2">
        <f>표.실시간[[#This Row],[시가총액 (조원)]]/표.실시간[[#This Row],[현재가]]*(표.실시간[[#This Row],[현재가]]-표.실시간[[#This Row],[대비]])</f>
        <v>5.9972216922000001</v>
      </c>
      <c r="K106" s="3">
        <f>_xll.IMDP("STK",표.실시간[[#This Row],[nxt_code]],"전일대비")</f>
        <v>-1900</v>
      </c>
      <c r="L106">
        <f>_xll.IMDP("STK",표.실시간[[#This Row],[nxt_code]],"등락률")</f>
        <v>-2.2799999999999998</v>
      </c>
      <c r="M106" s="2">
        <f>_xll.IMDP("STK",표.실시간[[#This Row],[nxt_code]],"누적거래량")</f>
        <v>5081</v>
      </c>
      <c r="N106" s="2">
        <f>_xll.IMDP("STK",표.실시간[[#This Row],[nxt_code]],"누적거래대금")/10^8</f>
        <v>4.1754899999999999</v>
      </c>
      <c r="O106" s="2">
        <f>_xll.IMDP("STK",표.실시간[[#This Row],[nxt_code]],"가중평균가")</f>
        <v>82178.508168</v>
      </c>
      <c r="P106" s="2">
        <f>_xll.IMDP("STK",표.실시간[[#This Row],[nxt_code]],"시가")</f>
        <v>83400</v>
      </c>
      <c r="Q106" s="2">
        <f>_xll.IMDP("STK",표.실시간[[#This Row],[nxt_code]],"고가")</f>
        <v>83500</v>
      </c>
      <c r="R106" s="2">
        <f>_xll.IMDP("STK",표.실시간[[#This Row],[nxt_code]],"저가")</f>
        <v>81400</v>
      </c>
      <c r="S106">
        <f>_xll.IMDP("STK",표.실시간[[#This Row],[nxt_code]],"세션명")</f>
        <v>0</v>
      </c>
      <c r="T106">
        <f>_xll.IMDP("STK",표.실시간[[#This Row],[nxt_code]],"체결시간")</f>
        <v>0</v>
      </c>
      <c r="U106" s="2">
        <f>_xll.IMDP("STK","021240","현재가")</f>
        <v>81600</v>
      </c>
      <c r="V106">
        <f>_xll.IMDP("STK","021240","누적거래량")</f>
        <v>13191</v>
      </c>
    </row>
    <row r="107" spans="2:22" x14ac:dyDescent="0.3">
      <c r="B107">
        <v>99</v>
      </c>
      <c r="C107">
        <v>1</v>
      </c>
      <c r="D107">
        <f>IF(IFERROR(INDEX(표.kospi200[code],MATCH(표.실시간[[#This Row],[코드]],표.kospi200[code],0)),0)=0,0,1)</f>
        <v>1</v>
      </c>
      <c r="E107" t="s">
        <v>112</v>
      </c>
      <c r="F107">
        <v>52690</v>
      </c>
      <c r="G107" t="str">
        <f>ConvertStockCode(표.실시간[[#This Row],[코드]])</f>
        <v>N052690</v>
      </c>
      <c r="H107" s="2">
        <f>_xll.IMDP("STK",표.실시간[[#This Row],[nxt_code]],"현재가")</f>
        <v>128900</v>
      </c>
      <c r="I107" s="2">
        <f>_xll.IMDP("STK",표.실시간[[#This Row],[nxt_code]],"시가총액")/10^12</f>
        <v>4.926558</v>
      </c>
      <c r="J107" s="2">
        <f>표.실시간[[#This Row],[시가총액 (조원)]]/표.실시간[[#This Row],[현재가]]*(표.실시간[[#This Row],[현재가]]-표.실시간[[#This Row],[대비]])</f>
        <v>5.0221079999999994</v>
      </c>
      <c r="K107" s="3">
        <f>_xll.IMDP("STK",표.실시간[[#This Row],[nxt_code]],"전일대비")</f>
        <v>-2500</v>
      </c>
      <c r="L107">
        <f>_xll.IMDP("STK",표.실시간[[#This Row],[nxt_code]],"등락률")</f>
        <v>-1.9</v>
      </c>
      <c r="M107" s="2">
        <f>_xll.IMDP("STK",표.실시간[[#This Row],[nxt_code]],"누적거래량")</f>
        <v>60026</v>
      </c>
      <c r="N107" s="2">
        <f>_xll.IMDP("STK",표.실시간[[#This Row],[nxt_code]],"누적거래대금")/10^8</f>
        <v>76.134334499999994</v>
      </c>
      <c r="O107" s="2">
        <f>_xll.IMDP("STK",표.실시간[[#This Row],[nxt_code]],"가중평균가")</f>
        <v>126835.595409</v>
      </c>
      <c r="P107" s="2">
        <f>_xll.IMDP("STK",표.실시간[[#This Row],[nxt_code]],"시가")</f>
        <v>129800</v>
      </c>
      <c r="Q107" s="2">
        <f>_xll.IMDP("STK",표.실시간[[#This Row],[nxt_code]],"고가")</f>
        <v>131000</v>
      </c>
      <c r="R107" s="2">
        <f>_xll.IMDP("STK",표.실시간[[#This Row],[nxt_code]],"저가")</f>
        <v>125700</v>
      </c>
      <c r="S107">
        <f>_xll.IMDP("STK",표.실시간[[#This Row],[nxt_code]],"세션명")</f>
        <v>0</v>
      </c>
      <c r="T107">
        <f>_xll.IMDP("STK",표.실시간[[#This Row],[nxt_code]],"체결시간")</f>
        <v>0</v>
      </c>
      <c r="U107" s="2">
        <f>_xll.IMDP("STK","052690","현재가")</f>
        <v>128800</v>
      </c>
      <c r="V107">
        <f>_xll.IMDP("STK","052690","누적거래량")</f>
        <v>29675</v>
      </c>
    </row>
    <row r="108" spans="2:22" x14ac:dyDescent="0.3">
      <c r="B108">
        <v>100</v>
      </c>
      <c r="C108">
        <v>0</v>
      </c>
      <c r="D108">
        <f>IF(IFERROR(INDEX(표.kospi200[code],MATCH(표.실시간[[#This Row],[코드]],표.kospi200[code],0)),0)=0,0,1)</f>
        <v>0</v>
      </c>
      <c r="E108" t="s">
        <v>113</v>
      </c>
      <c r="F108">
        <v>141080</v>
      </c>
      <c r="G108" t="str">
        <f>ConvertStockCode(표.실시간[[#This Row],[코드]])</f>
        <v>N141080</v>
      </c>
      <c r="H108" s="2">
        <f>_xll.IMDP("STK",표.실시간[[#This Row],[nxt_code]],"현재가")</f>
        <v>199600</v>
      </c>
      <c r="I108" s="2">
        <f>_xll.IMDP("STK",표.실시간[[#This Row],[nxt_code]],"시가총액")/10^12</f>
        <v>7.3074234648000003</v>
      </c>
      <c r="J108" s="2">
        <f>표.실시간[[#This Row],[시가총액 (조원)]]/표.실시간[[#This Row],[현재가]]*(표.실시간[[#This Row],[현재가]]-표.실시간[[#This Row],[대비]])</f>
        <v>7.4318986140000005</v>
      </c>
      <c r="K108" s="3">
        <f>_xll.IMDP("STK",표.실시간[[#This Row],[nxt_code]],"전일대비")</f>
        <v>-3400</v>
      </c>
      <c r="L108">
        <f>_xll.IMDP("STK",표.실시간[[#This Row],[nxt_code]],"등락률")</f>
        <v>-1.67</v>
      </c>
      <c r="M108" s="2">
        <f>_xll.IMDP("STK",표.실시간[[#This Row],[nxt_code]],"누적거래량")</f>
        <v>118249</v>
      </c>
      <c r="N108" s="2">
        <f>_xll.IMDP("STK",표.실시간[[#This Row],[nxt_code]],"누적거래대금")/10^8</f>
        <v>229.95862149999999</v>
      </c>
      <c r="O108" s="2">
        <f>_xll.IMDP("STK",표.실시간[[#This Row],[nxt_code]],"가중평균가")</f>
        <v>194469.82342299999</v>
      </c>
      <c r="P108" s="2">
        <f>_xll.IMDP("STK",표.실시간[[#This Row],[nxt_code]],"시가")</f>
        <v>201000</v>
      </c>
      <c r="Q108" s="2">
        <f>_xll.IMDP("STK",표.실시간[[#This Row],[nxt_code]],"고가")</f>
        <v>201500</v>
      </c>
      <c r="R108" s="2">
        <f>_xll.IMDP("STK",표.실시간[[#This Row],[nxt_code]],"저가")</f>
        <v>190400</v>
      </c>
      <c r="S108">
        <f>_xll.IMDP("STK",표.실시간[[#This Row],[nxt_code]],"세션명")</f>
        <v>0</v>
      </c>
      <c r="T108">
        <f>_xll.IMDP("STK",표.실시간[[#This Row],[nxt_code]],"체결시간")</f>
        <v>0</v>
      </c>
      <c r="U108" s="2">
        <f>_xll.IMDP("STK","141080","현재가")</f>
        <v>199900</v>
      </c>
      <c r="V108">
        <f>_xll.IMDP("STK","141080","누적거래량")</f>
        <v>73466</v>
      </c>
    </row>
    <row r="109" spans="2:22" x14ac:dyDescent="0.3">
      <c r="B109">
        <v>101</v>
      </c>
      <c r="C109">
        <v>1</v>
      </c>
      <c r="D109">
        <f>IF(IFERROR(INDEX(표.kospi200[code],MATCH(표.실시간[[#This Row],[코드]],표.kospi200[code],0)),0)=0,0,1)</f>
        <v>1</v>
      </c>
      <c r="E109" t="s">
        <v>114</v>
      </c>
      <c r="F109">
        <v>128940</v>
      </c>
      <c r="G109" t="str">
        <f>ConvertStockCode(표.실시간[[#This Row],[코드]])</f>
        <v>N128940</v>
      </c>
      <c r="H109" s="2">
        <f>_xll.IMDP("STK",표.실시간[[#This Row],[nxt_code]],"현재가")</f>
        <v>476000</v>
      </c>
      <c r="I109" s="2">
        <f>_xll.IMDP("STK",표.실시간[[#This Row],[nxt_code]],"시가총액")/10^12</f>
        <v>6.0980317160000004</v>
      </c>
      <c r="J109" s="2">
        <f>표.실시간[[#This Row],[시가총액 (조원)]]/표.실시간[[#This Row],[현재가]]*(표.실시간[[#This Row],[현재가]]-표.실시간[[#This Row],[대비]])</f>
        <v>6.2005196439999999</v>
      </c>
      <c r="K109" s="3">
        <f>_xll.IMDP("STK",표.실시간[[#This Row],[nxt_code]],"전일대비")</f>
        <v>-8000</v>
      </c>
      <c r="L109">
        <f>_xll.IMDP("STK",표.실시간[[#This Row],[nxt_code]],"등락률")</f>
        <v>-1.65</v>
      </c>
      <c r="M109" s="2">
        <f>_xll.IMDP("STK",표.실시간[[#This Row],[nxt_code]],"누적거래량")</f>
        <v>14416</v>
      </c>
      <c r="N109" s="2">
        <f>_xll.IMDP("STK",표.실시간[[#This Row],[nxt_code]],"누적거래대금")/10^8</f>
        <v>67.910584999999998</v>
      </c>
      <c r="O109" s="2">
        <f>_xll.IMDP("STK",표.실시간[[#This Row],[nxt_code]],"가중평균가")</f>
        <v>471077.86487200001</v>
      </c>
      <c r="P109" s="2">
        <f>_xll.IMDP("STK",표.실시간[[#This Row],[nxt_code]],"시가")</f>
        <v>480500</v>
      </c>
      <c r="Q109" s="2">
        <f>_xll.IMDP("STK",표.실시간[[#This Row],[nxt_code]],"고가")</f>
        <v>480500</v>
      </c>
      <c r="R109" s="2">
        <f>_xll.IMDP("STK",표.실시간[[#This Row],[nxt_code]],"저가")</f>
        <v>467000</v>
      </c>
      <c r="S109">
        <f>_xll.IMDP("STK",표.실시간[[#This Row],[nxt_code]],"세션명")</f>
        <v>0</v>
      </c>
      <c r="T109">
        <f>_xll.IMDP("STK",표.실시간[[#This Row],[nxt_code]],"체결시간")</f>
        <v>0</v>
      </c>
      <c r="U109" s="2">
        <f>_xll.IMDP("STK","128940","현재가")</f>
        <v>477000</v>
      </c>
      <c r="V109">
        <f>_xll.IMDP("STK","128940","누적거래량")</f>
        <v>5666</v>
      </c>
    </row>
    <row r="110" spans="2:22" x14ac:dyDescent="0.3">
      <c r="B110">
        <v>102</v>
      </c>
      <c r="C110">
        <v>1</v>
      </c>
      <c r="D110">
        <f>IF(IFERROR(INDEX(표.kospi200[code],MATCH(표.실시간[[#This Row],[코드]],표.kospi200[code],0)),0)=0,0,1)</f>
        <v>1</v>
      </c>
      <c r="E110" t="s">
        <v>115</v>
      </c>
      <c r="F110">
        <v>1440</v>
      </c>
      <c r="G110" t="str">
        <f>ConvertStockCode(표.실시간[[#This Row],[코드]])</f>
        <v>N001440</v>
      </c>
      <c r="H110" s="2">
        <f>_xll.IMDP("STK",표.실시간[[#This Row],[nxt_code]],"현재가")</f>
        <v>28200</v>
      </c>
      <c r="I110" s="2">
        <f>_xll.IMDP("STK",표.실시간[[#This Row],[nxt_code]],"시가총액")/10^12</f>
        <v>5.2578138599999997</v>
      </c>
      <c r="J110" s="2">
        <f>표.실시간[[#This Row],[시가총액 (조원)]]/표.실시간[[#This Row],[현재가]]*(표.실시간[[#This Row],[현재가]]-표.실시간[[#This Row],[대비]])</f>
        <v>5.4815506199999993</v>
      </c>
      <c r="K110" s="3">
        <f>_xll.IMDP("STK",표.실시간[[#This Row],[nxt_code]],"전일대비")</f>
        <v>-1200</v>
      </c>
      <c r="L110">
        <f>_xll.IMDP("STK",표.실시간[[#This Row],[nxt_code]],"등락률")</f>
        <v>-4.08</v>
      </c>
      <c r="M110" s="2">
        <f>_xll.IMDP("STK",표.실시간[[#This Row],[nxt_code]],"누적거래량")</f>
        <v>1173849</v>
      </c>
      <c r="N110" s="2">
        <f>_xll.IMDP("STK",표.실시간[[#This Row],[nxt_code]],"누적거래대금")/10^8</f>
        <v>334.07832374999998</v>
      </c>
      <c r="O110" s="2">
        <f>_xll.IMDP("STK",표.실시간[[#This Row],[nxt_code]],"가중평균가")</f>
        <v>28460.076529999998</v>
      </c>
      <c r="P110" s="2">
        <f>_xll.IMDP("STK",표.실시간[[#This Row],[nxt_code]],"시가")</f>
        <v>28700</v>
      </c>
      <c r="Q110" s="2">
        <f>_xll.IMDP("STK",표.실시간[[#This Row],[nxt_code]],"고가")</f>
        <v>29300</v>
      </c>
      <c r="R110" s="2">
        <f>_xll.IMDP("STK",표.실시간[[#This Row],[nxt_code]],"저가")</f>
        <v>27900</v>
      </c>
      <c r="S110">
        <f>_xll.IMDP("STK",표.실시간[[#This Row],[nxt_code]],"세션명")</f>
        <v>0</v>
      </c>
      <c r="T110">
        <f>_xll.IMDP("STK",표.실시간[[#This Row],[nxt_code]],"체결시간")</f>
        <v>0</v>
      </c>
      <c r="U110" s="2">
        <f>_xll.IMDP("STK","001440","현재가")</f>
        <v>28200</v>
      </c>
      <c r="V110">
        <f>_xll.IMDP("STK","001440","누적거래량")</f>
        <v>788986</v>
      </c>
    </row>
    <row r="111" spans="2:22" x14ac:dyDescent="0.3">
      <c r="B111">
        <v>103</v>
      </c>
      <c r="C111">
        <v>0</v>
      </c>
      <c r="D111">
        <f>IF(IFERROR(INDEX(표.kospi200[code],MATCH(표.실시간[[#This Row],[코드]],표.kospi200[code],0)),0)=0,0,1)</f>
        <v>0</v>
      </c>
      <c r="E111" t="s">
        <v>116</v>
      </c>
      <c r="F111">
        <v>87010</v>
      </c>
      <c r="G111" t="str">
        <f>ConvertStockCode(표.실시간[[#This Row],[코드]])</f>
        <v>N087010</v>
      </c>
      <c r="H111" s="2">
        <f>_xll.IMDP("STK",표.실시간[[#This Row],[nxt_code]],"현재가")</f>
        <v>305500</v>
      </c>
      <c r="I111" s="2">
        <f>_xll.IMDP("STK",표.실시간[[#This Row],[nxt_code]],"시가총액")/10^12</f>
        <v>7.1700851249999999</v>
      </c>
      <c r="J111" s="2">
        <f>표.실시간[[#This Row],[시가총액 (조원)]]/표.실시간[[#This Row],[현재가]]*(표.실시간[[#This Row],[현재가]]-표.실시간[[#This Row],[대비]])</f>
        <v>7.1231451241816695</v>
      </c>
      <c r="K111" s="3">
        <f>_xll.IMDP("STK",표.실시간[[#This Row],[nxt_code]],"전일대비")</f>
        <v>2000</v>
      </c>
      <c r="L111">
        <f>_xll.IMDP("STK",표.실시간[[#This Row],[nxt_code]],"등락률")</f>
        <v>0.65</v>
      </c>
      <c r="M111" s="2">
        <f>_xll.IMDP("STK",표.실시간[[#This Row],[nxt_code]],"누적거래량")</f>
        <v>64671</v>
      </c>
      <c r="N111" s="2">
        <f>_xll.IMDP("STK",표.실시간[[#This Row],[nxt_code]],"누적거래대금")/10^8</f>
        <v>197.0099725</v>
      </c>
      <c r="O111" s="2">
        <f>_xll.IMDP("STK",표.실시간[[#This Row],[nxt_code]],"가중평균가")</f>
        <v>304634.18301899999</v>
      </c>
      <c r="P111" s="2">
        <f>_xll.IMDP("STK",표.실시간[[#This Row],[nxt_code]],"시가")</f>
        <v>310000</v>
      </c>
      <c r="Q111" s="2">
        <f>_xll.IMDP("STK",표.실시간[[#This Row],[nxt_code]],"고가")</f>
        <v>314500</v>
      </c>
      <c r="R111" s="2">
        <f>_xll.IMDP("STK",표.실시간[[#This Row],[nxt_code]],"저가")</f>
        <v>290500</v>
      </c>
      <c r="S111">
        <f>_xll.IMDP("STK",표.실시간[[#This Row],[nxt_code]],"세션명")</f>
        <v>0</v>
      </c>
      <c r="T111">
        <f>_xll.IMDP("STK",표.실시간[[#This Row],[nxt_code]],"체결시간")</f>
        <v>0</v>
      </c>
      <c r="U111" s="2">
        <f>_xll.IMDP("STK","087010","현재가")</f>
        <v>307500</v>
      </c>
      <c r="V111">
        <f>_xll.IMDP("STK","087010","누적거래량")</f>
        <v>31478</v>
      </c>
    </row>
    <row r="112" spans="2:22" x14ac:dyDescent="0.3">
      <c r="B112">
        <v>104</v>
      </c>
      <c r="C112">
        <v>0</v>
      </c>
      <c r="D112">
        <f>IF(IFERROR(INDEX(표.kospi200[code],MATCH(표.실시간[[#This Row],[코드]],표.kospi200[code],0)),0)=0,0,1)</f>
        <v>0</v>
      </c>
      <c r="E112" t="s">
        <v>117</v>
      </c>
      <c r="F112">
        <v>58470</v>
      </c>
      <c r="G112" t="str">
        <f>ConvertStockCode(표.실시간[[#This Row],[코드]])</f>
        <v>N058470</v>
      </c>
      <c r="H112" s="2">
        <f>_xll.IMDP("STK",표.실시간[[#This Row],[nxt_code]],"현재가")</f>
        <v>100000</v>
      </c>
      <c r="I112" s="2">
        <f>_xll.IMDP("STK",표.실시간[[#This Row],[nxt_code]],"시가총액")/10^12</f>
        <v>7.6211849999999997</v>
      </c>
      <c r="J112" s="2">
        <f>표.실시간[[#This Row],[시가총액 (조원)]]/표.실시간[[#This Row],[현재가]]*(표.실시간[[#This Row],[현재가]]-표.실시간[[#This Row],[대비]])</f>
        <v>8.0632137299999993</v>
      </c>
      <c r="K112" s="3">
        <f>_xll.IMDP("STK",표.실시간[[#This Row],[nxt_code]],"전일대비")</f>
        <v>-5800</v>
      </c>
      <c r="L112">
        <f>_xll.IMDP("STK",표.실시간[[#This Row],[nxt_code]],"등락률")</f>
        <v>-5.57</v>
      </c>
      <c r="M112" s="2">
        <f>_xll.IMDP("STK",표.실시간[[#This Row],[nxt_code]],"누적거래량")</f>
        <v>270273</v>
      </c>
      <c r="N112" s="2">
        <f>_xll.IMDP("STK",표.실시간[[#This Row],[nxt_code]],"누적거래대금")/10^8</f>
        <v>272.43544250000002</v>
      </c>
      <c r="O112" s="2">
        <f>_xll.IMDP("STK",표.실시간[[#This Row],[nxt_code]],"가중평균가")</f>
        <v>100800.095644</v>
      </c>
      <c r="P112" s="2">
        <f>_xll.IMDP("STK",표.실시간[[#This Row],[nxt_code]],"시가")</f>
        <v>103000</v>
      </c>
      <c r="Q112" s="2">
        <f>_xll.IMDP("STK",표.실시간[[#This Row],[nxt_code]],"고가")</f>
        <v>104500</v>
      </c>
      <c r="R112" s="2">
        <f>_xll.IMDP("STK",표.실시간[[#This Row],[nxt_code]],"저가")</f>
        <v>98500</v>
      </c>
      <c r="S112">
        <f>_xll.IMDP("STK",표.실시간[[#This Row],[nxt_code]],"세션명")</f>
        <v>0</v>
      </c>
      <c r="T112">
        <f>_xll.IMDP("STK",표.실시간[[#This Row],[nxt_code]],"체결시간")</f>
        <v>0</v>
      </c>
      <c r="U112" s="2">
        <f>_xll.IMDP("STK","058470","현재가")</f>
        <v>99900</v>
      </c>
      <c r="V112">
        <f>_xll.IMDP("STK","058470","누적거래량")</f>
        <v>313552</v>
      </c>
    </row>
    <row r="113" spans="2:22" x14ac:dyDescent="0.3">
      <c r="B113">
        <v>105</v>
      </c>
      <c r="C113">
        <v>1</v>
      </c>
      <c r="D113">
        <f>IF(IFERROR(INDEX(표.kospi200[code],MATCH(표.실시간[[#This Row],[코드]],표.kospi200[code],0)),0)=0,0,1)</f>
        <v>1</v>
      </c>
      <c r="E113" t="s">
        <v>118</v>
      </c>
      <c r="F113">
        <v>28050</v>
      </c>
      <c r="G113" t="str">
        <f>ConvertStockCode(표.실시간[[#This Row],[코드]])</f>
        <v>N028050</v>
      </c>
      <c r="H113" s="2">
        <f>_xll.IMDP("STK",표.실시간[[#This Row],[nxt_code]],"현재가")</f>
        <v>31450</v>
      </c>
      <c r="I113" s="2">
        <f>_xll.IMDP("STK",표.실시간[[#This Row],[nxt_code]],"시가총액")/10^12</f>
        <v>6.1642000000000001</v>
      </c>
      <c r="J113" s="2">
        <f>표.실시간[[#This Row],[시가총액 (조원)]]/표.실시간[[#This Row],[현재가]]*(표.실시간[[#This Row],[현재가]]-표.실시간[[#This Row],[대비]])</f>
        <v>6.0367999999999995</v>
      </c>
      <c r="K113" s="3">
        <f>_xll.IMDP("STK",표.실시간[[#This Row],[nxt_code]],"전일대비")</f>
        <v>650</v>
      </c>
      <c r="L113">
        <f>_xll.IMDP("STK",표.실시간[[#This Row],[nxt_code]],"등락률")</f>
        <v>2.11</v>
      </c>
      <c r="M113" s="2">
        <f>_xll.IMDP("STK",표.실시간[[#This Row],[nxt_code]],"누적거래량")</f>
        <v>162945</v>
      </c>
      <c r="N113" s="2">
        <f>_xll.IMDP("STK",표.실시간[[#This Row],[nxt_code]],"누적거래대금")/10^8</f>
        <v>49.89304525</v>
      </c>
      <c r="O113" s="2">
        <f>_xll.IMDP("STK",표.실시간[[#This Row],[nxt_code]],"가중평균가")</f>
        <v>30619.561968999998</v>
      </c>
      <c r="P113" s="2">
        <f>_xll.IMDP("STK",표.실시간[[#This Row],[nxt_code]],"시가")</f>
        <v>30900</v>
      </c>
      <c r="Q113" s="2">
        <f>_xll.IMDP("STK",표.실시간[[#This Row],[nxt_code]],"고가")</f>
        <v>31650</v>
      </c>
      <c r="R113" s="2">
        <f>_xll.IMDP("STK",표.실시간[[#This Row],[nxt_code]],"저가")</f>
        <v>29700</v>
      </c>
      <c r="S113">
        <f>_xll.IMDP("STK",표.실시간[[#This Row],[nxt_code]],"세션명")</f>
        <v>0</v>
      </c>
      <c r="T113">
        <f>_xll.IMDP("STK",표.실시간[[#This Row],[nxt_code]],"체결시간")</f>
        <v>0</v>
      </c>
      <c r="U113" s="2">
        <f>_xll.IMDP("STK","028050","현재가")</f>
        <v>31250</v>
      </c>
      <c r="V113">
        <f>_xll.IMDP("STK","028050","누적거래량")</f>
        <v>294635</v>
      </c>
    </row>
    <row r="114" spans="2:22" x14ac:dyDescent="0.3">
      <c r="B114">
        <v>106</v>
      </c>
      <c r="C114">
        <v>1</v>
      </c>
      <c r="D114">
        <f>IF(IFERROR(INDEX(표.kospi200[code],MATCH(표.실시간[[#This Row],[코드]],표.kospi200[code],0)),0)=0,0,1)</f>
        <v>1</v>
      </c>
      <c r="E114" t="s">
        <v>119</v>
      </c>
      <c r="F114">
        <v>36570</v>
      </c>
      <c r="G114" t="str">
        <f>ConvertStockCode(표.실시간[[#This Row],[코드]])</f>
        <v>N036570</v>
      </c>
      <c r="H114" s="2">
        <f>_xll.IMDP("STK",표.실시간[[#This Row],[nxt_code]],"현재가")</f>
        <v>226000</v>
      </c>
      <c r="I114" s="2">
        <f>_xll.IMDP("STK",표.실시간[[#This Row],[nxt_code]],"시가총액")/10^12</f>
        <v>4.8689489720000001</v>
      </c>
      <c r="J114" s="2">
        <f>표.실시간[[#This Row],[시가총액 (조원)]]/표.실시간[[#This Row],[현재가]]*(표.실시간[[#This Row],[현재가]]-표.실시간[[#This Row],[대비]])</f>
        <v>5.0520731589999999</v>
      </c>
      <c r="K114" s="3">
        <f>_xll.IMDP("STK",표.실시간[[#This Row],[nxt_code]],"전일대비")</f>
        <v>-8500</v>
      </c>
      <c r="L114">
        <f>_xll.IMDP("STK",표.실시간[[#This Row],[nxt_code]],"등락률")</f>
        <v>-3.62</v>
      </c>
      <c r="M114" s="2">
        <f>_xll.IMDP("STK",표.실시간[[#This Row],[nxt_code]],"누적거래량")</f>
        <v>21350</v>
      </c>
      <c r="N114" s="2">
        <f>_xll.IMDP("STK",표.실시간[[#This Row],[nxt_code]],"누적거래대금")/10^8</f>
        <v>48.308309999999999</v>
      </c>
      <c r="O114" s="2">
        <f>_xll.IMDP("STK",표.실시간[[#This Row],[nxt_code]],"가중평균가")</f>
        <v>226268.43091299999</v>
      </c>
      <c r="P114" s="2">
        <f>_xll.IMDP("STK",표.실시간[[#This Row],[nxt_code]],"시가")</f>
        <v>225500</v>
      </c>
      <c r="Q114" s="2">
        <f>_xll.IMDP("STK",표.실시간[[#This Row],[nxt_code]],"고가")</f>
        <v>230500</v>
      </c>
      <c r="R114" s="2">
        <f>_xll.IMDP("STK",표.실시간[[#This Row],[nxt_code]],"저가")</f>
        <v>216000</v>
      </c>
      <c r="S114">
        <f>_xll.IMDP("STK",표.실시간[[#This Row],[nxt_code]],"세션명")</f>
        <v>0</v>
      </c>
      <c r="T114">
        <f>_xll.IMDP("STK",표.실시간[[#This Row],[nxt_code]],"체결시간")</f>
        <v>0</v>
      </c>
      <c r="U114" s="2">
        <f>_xll.IMDP("STK","036570","현재가")</f>
        <v>225500</v>
      </c>
      <c r="V114">
        <f>_xll.IMDP("STK","036570","누적거래량")</f>
        <v>14933</v>
      </c>
    </row>
    <row r="115" spans="2:22" x14ac:dyDescent="0.3">
      <c r="B115">
        <v>107</v>
      </c>
      <c r="C115">
        <v>1</v>
      </c>
      <c r="D115">
        <f>IF(IFERROR(INDEX(표.kospi200[code],MATCH(표.실시간[[#This Row],[코드]],표.kospi200[code],0)),0)=0,0,1)</f>
        <v>1</v>
      </c>
      <c r="E115" t="s">
        <v>120</v>
      </c>
      <c r="F115">
        <v>138930</v>
      </c>
      <c r="G115" t="str">
        <f>ConvertStockCode(표.실시간[[#This Row],[코드]])</f>
        <v>N138930</v>
      </c>
      <c r="H115" s="2">
        <f>_xll.IMDP("STK",표.실시간[[#This Row],[nxt_code]],"현재가")</f>
        <v>16860</v>
      </c>
      <c r="I115" s="2">
        <f>_xll.IMDP("STK",표.실시간[[#This Row],[nxt_code]],"시가총액")/10^12</f>
        <v>5.2321137763800003</v>
      </c>
      <c r="J115" s="2">
        <f>표.실시간[[#This Row],[시가총액 (조원)]]/표.실시간[[#This Row],[현재가]]*(표.실시간[[#This Row],[현재가]]-표.실시간[[#This Row],[대비]])</f>
        <v>5.1545320181300003</v>
      </c>
      <c r="K115" s="3">
        <f>_xll.IMDP("STK",표.실시간[[#This Row],[nxt_code]],"전일대비")</f>
        <v>250</v>
      </c>
      <c r="L115">
        <f>_xll.IMDP("STK",표.실시간[[#This Row],[nxt_code]],"등락률")</f>
        <v>1.51</v>
      </c>
      <c r="M115" s="2">
        <f>_xll.IMDP("STK",표.실시간[[#This Row],[nxt_code]],"누적거래량")</f>
        <v>19261</v>
      </c>
      <c r="N115" s="2">
        <f>_xll.IMDP("STK",표.실시간[[#This Row],[nxt_code]],"누적거래대금")/10^8</f>
        <v>3.2082334000000001</v>
      </c>
      <c r="O115" s="2">
        <f>_xll.IMDP("STK",표.실시간[[#This Row],[nxt_code]],"가중평균가")</f>
        <v>16656.629457999999</v>
      </c>
      <c r="P115" s="2">
        <f>_xll.IMDP("STK",표.실시간[[#This Row],[nxt_code]],"시가")</f>
        <v>16600</v>
      </c>
      <c r="Q115" s="2">
        <f>_xll.IMDP("STK",표.실시간[[#This Row],[nxt_code]],"고가")</f>
        <v>16900</v>
      </c>
      <c r="R115" s="2">
        <f>_xll.IMDP("STK",표.실시간[[#This Row],[nxt_code]],"저가")</f>
        <v>16440</v>
      </c>
      <c r="S115">
        <f>_xll.IMDP("STK",표.실시간[[#This Row],[nxt_code]],"세션명")</f>
        <v>0</v>
      </c>
      <c r="T115">
        <f>_xll.IMDP("STK",표.실시간[[#This Row],[nxt_code]],"체결시간")</f>
        <v>0</v>
      </c>
      <c r="U115" s="2">
        <f>_xll.IMDP("STK","138930","현재가")</f>
        <v>16870</v>
      </c>
      <c r="V115">
        <f>_xll.IMDP("STK","138930","누적거래량")</f>
        <v>59436</v>
      </c>
    </row>
    <row r="116" spans="2:22" x14ac:dyDescent="0.3">
      <c r="B116">
        <v>108</v>
      </c>
      <c r="C116">
        <v>1</v>
      </c>
      <c r="D116">
        <f>IF(IFERROR(INDEX(표.kospi200[code],MATCH(표.실시간[[#This Row],[코드]],표.kospi200[code],0)),0)=0,0,1)</f>
        <v>1</v>
      </c>
      <c r="E116" t="s">
        <v>121</v>
      </c>
      <c r="F116">
        <v>9830</v>
      </c>
      <c r="G116" t="str">
        <f>ConvertStockCode(표.실시간[[#This Row],[코드]])</f>
        <v>N009830</v>
      </c>
      <c r="H116" s="2">
        <f>_xll.IMDP("STK",표.실시간[[#This Row],[nxt_code]],"현재가")</f>
        <v>27400</v>
      </c>
      <c r="I116" s="2">
        <f>_xll.IMDP("STK",표.실시간[[#This Row],[nxt_code]],"시가총액")/10^12</f>
        <v>4.7098554864000004</v>
      </c>
      <c r="J116" s="2">
        <f>표.실시간[[#This Row],[시가총액 (조원)]]/표.실시간[[#This Row],[현재가]]*(표.실시간[[#This Row],[현재가]]-표.실시간[[#This Row],[대비]])</f>
        <v>4.7528286204000008</v>
      </c>
      <c r="K116" s="3">
        <f>_xll.IMDP("STK",표.실시간[[#This Row],[nxt_code]],"전일대비")</f>
        <v>-250</v>
      </c>
      <c r="L116">
        <f>_xll.IMDP("STK",표.실시간[[#This Row],[nxt_code]],"등락률")</f>
        <v>-0.9</v>
      </c>
      <c r="M116" s="2">
        <f>_xll.IMDP("STK",표.실시간[[#This Row],[nxt_code]],"누적거래량")</f>
        <v>243604</v>
      </c>
      <c r="N116" s="2">
        <f>_xll.IMDP("STK",표.실시간[[#This Row],[nxt_code]],"누적거래대금")/10^8</f>
        <v>66.967742749999999</v>
      </c>
      <c r="O116" s="2">
        <f>_xll.IMDP("STK",표.실시간[[#This Row],[nxt_code]],"가중평균가")</f>
        <v>27467.409909000002</v>
      </c>
      <c r="P116" s="2">
        <f>_xll.IMDP("STK",표.실시간[[#This Row],[nxt_code]],"시가")</f>
        <v>28000</v>
      </c>
      <c r="Q116" s="2">
        <f>_xll.IMDP("STK",표.실시간[[#This Row],[nxt_code]],"고가")</f>
        <v>28000</v>
      </c>
      <c r="R116" s="2">
        <f>_xll.IMDP("STK",표.실시간[[#This Row],[nxt_code]],"저가")</f>
        <v>27250</v>
      </c>
      <c r="S116">
        <f>_xll.IMDP("STK",표.실시간[[#This Row],[nxt_code]],"세션명")</f>
        <v>0</v>
      </c>
      <c r="T116">
        <f>_xll.IMDP("STK",표.실시간[[#This Row],[nxt_code]],"체결시간")</f>
        <v>0</v>
      </c>
      <c r="U116" s="2">
        <f>_xll.IMDP("STK","009830","현재가")</f>
        <v>27350</v>
      </c>
      <c r="V116">
        <f>_xll.IMDP("STK","009830","누적거래량")</f>
        <v>92023</v>
      </c>
    </row>
    <row r="117" spans="2:22" x14ac:dyDescent="0.3">
      <c r="B117">
        <v>109</v>
      </c>
      <c r="C117">
        <v>1</v>
      </c>
      <c r="D117">
        <f>IF(IFERROR(INDEX(표.kospi200[code],MATCH(표.실시간[[#This Row],[코드]],표.kospi200[code],0)),0)=0,0,1)</f>
        <v>1</v>
      </c>
      <c r="E117" t="s">
        <v>122</v>
      </c>
      <c r="F117">
        <v>271560</v>
      </c>
      <c r="G117" t="str">
        <f>ConvertStockCode(표.실시간[[#This Row],[코드]])</f>
        <v>N271560</v>
      </c>
      <c r="H117" s="2">
        <f>_xll.IMDP("STK",표.실시간[[#This Row],[nxt_code]],"현재가")</f>
        <v>118000</v>
      </c>
      <c r="I117" s="2">
        <f>_xll.IMDP("STK",표.실시간[[#This Row],[nxt_code]],"시가총액")/10^12</f>
        <v>4.6652635760000001</v>
      </c>
      <c r="J117" s="2">
        <f>표.실시간[[#This Row],[시가총액 (조원)]]/표.실시간[[#This Row],[현재가]]*(표.실시간[[#This Row],[현재가]]-표.실시간[[#This Row],[대비]])</f>
        <v>4.6454955100000008</v>
      </c>
      <c r="K117" s="3">
        <f>_xll.IMDP("STK",표.실시간[[#This Row],[nxt_code]],"전일대비")</f>
        <v>500</v>
      </c>
      <c r="L117">
        <f>_xll.IMDP("STK",표.실시간[[#This Row],[nxt_code]],"등락률")</f>
        <v>0.43</v>
      </c>
      <c r="M117" s="2">
        <f>_xll.IMDP("STK",표.실시간[[#This Row],[nxt_code]],"누적거래량")</f>
        <v>3427</v>
      </c>
      <c r="N117" s="2">
        <f>_xll.IMDP("STK",표.실시간[[#This Row],[nxt_code]],"누적거래대금")/10^8</f>
        <v>3.9960749999999998</v>
      </c>
      <c r="O117" s="2">
        <f>_xll.IMDP("STK",표.실시간[[#This Row],[nxt_code]],"가중평균가")</f>
        <v>116605.631748</v>
      </c>
      <c r="P117" s="2">
        <f>_xll.IMDP("STK",표.실시간[[#This Row],[nxt_code]],"시가")</f>
        <v>117600</v>
      </c>
      <c r="Q117" s="2">
        <f>_xll.IMDP("STK",표.실시간[[#This Row],[nxt_code]],"고가")</f>
        <v>118400</v>
      </c>
      <c r="R117" s="2">
        <f>_xll.IMDP("STK",표.실시간[[#This Row],[nxt_code]],"저가")</f>
        <v>115800</v>
      </c>
      <c r="S117">
        <f>_xll.IMDP("STK",표.실시간[[#This Row],[nxt_code]],"세션명")</f>
        <v>0</v>
      </c>
      <c r="T117">
        <f>_xll.IMDP("STK",표.실시간[[#This Row],[nxt_code]],"체결시간")</f>
        <v>0</v>
      </c>
      <c r="U117" s="2">
        <f>_xll.IMDP("STK","271560","현재가")</f>
        <v>118600</v>
      </c>
      <c r="V117">
        <f>_xll.IMDP("STK","271560","누적거래량")</f>
        <v>12370</v>
      </c>
    </row>
    <row r="118" spans="2:22" x14ac:dyDescent="0.3">
      <c r="B118">
        <v>110</v>
      </c>
      <c r="C118">
        <v>1</v>
      </c>
      <c r="D118">
        <f>IF(IFERROR(INDEX(표.kospi200[code],MATCH(표.실시간[[#This Row],[코드]],표.kospi200[code],0)),0)=0,0,1)</f>
        <v>1</v>
      </c>
      <c r="E118" t="s">
        <v>123</v>
      </c>
      <c r="F118">
        <v>66970</v>
      </c>
      <c r="G118" t="str">
        <f>ConvertStockCode(표.실시간[[#This Row],[코드]])</f>
        <v>N066970</v>
      </c>
      <c r="H118" s="2">
        <f>_xll.IMDP("STK",표.실시간[[#This Row],[nxt_code]],"현재가")</f>
        <v>131200</v>
      </c>
      <c r="I118" s="2">
        <f>_xll.IMDP("STK",표.실시간[[#This Row],[nxt_code]],"시가총액")/10^12</f>
        <v>5.2794531007999996</v>
      </c>
      <c r="J118" s="2">
        <f>표.실시간[[#This Row],[시가총액 (조원)]]/표.실시간[[#This Row],[현재가]]*(표.실시간[[#This Row],[현재가]]-표.실시간[[#This Row],[대비]])</f>
        <v>5.0822784042000002</v>
      </c>
      <c r="K118" s="3">
        <f>_xll.IMDP("STK",표.실시간[[#This Row],[nxt_code]],"전일대비")</f>
        <v>4900</v>
      </c>
      <c r="L118">
        <f>_xll.IMDP("STK",표.실시간[[#This Row],[nxt_code]],"등락률")</f>
        <v>3.88</v>
      </c>
      <c r="M118" s="2">
        <f>_xll.IMDP("STK",표.실시간[[#This Row],[nxt_code]],"누적거래량")</f>
        <v>108207</v>
      </c>
      <c r="N118" s="2">
        <f>_xll.IMDP("STK",표.실시간[[#This Row],[nxt_code]],"누적거래대금")/10^8</f>
        <v>135.0394095</v>
      </c>
      <c r="O118" s="2">
        <f>_xll.IMDP("STK",표.실시간[[#This Row],[nxt_code]],"가중평균가")</f>
        <v>124797.295461</v>
      </c>
      <c r="P118" s="2">
        <f>_xll.IMDP("STK",표.실시간[[#This Row],[nxt_code]],"시가")</f>
        <v>124500</v>
      </c>
      <c r="Q118" s="2">
        <f>_xll.IMDP("STK",표.실시간[[#This Row],[nxt_code]],"고가")</f>
        <v>131300</v>
      </c>
      <c r="R118" s="2">
        <f>_xll.IMDP("STK",표.실시간[[#This Row],[nxt_code]],"저가")</f>
        <v>121000</v>
      </c>
      <c r="S118">
        <f>_xll.IMDP("STK",표.실시간[[#This Row],[nxt_code]],"세션명")</f>
        <v>0</v>
      </c>
      <c r="T118">
        <f>_xll.IMDP("STK",표.실시간[[#This Row],[nxt_code]],"체결시간")</f>
        <v>0</v>
      </c>
      <c r="U118" s="2">
        <f>_xll.IMDP("STK","066970","현재가")</f>
        <v>131500</v>
      </c>
      <c r="V118">
        <f>_xll.IMDP("STK","066970","누적거래량")</f>
        <v>95536</v>
      </c>
    </row>
    <row r="119" spans="2:22" x14ac:dyDescent="0.3">
      <c r="B119">
        <v>111</v>
      </c>
      <c r="C119">
        <v>1</v>
      </c>
      <c r="D119">
        <f>IF(IFERROR(INDEX(표.kospi200[code],MATCH(표.실시간[[#This Row],[코드]],표.kospi200[code],0)),0)=0,0,1)</f>
        <v>1</v>
      </c>
      <c r="E119" t="s">
        <v>124</v>
      </c>
      <c r="F119">
        <v>82740</v>
      </c>
      <c r="G119" t="str">
        <f>ConvertStockCode(표.실시간[[#This Row],[코드]])</f>
        <v>N082740</v>
      </c>
      <c r="H119" s="2">
        <f>_xll.IMDP("STK",표.실시간[[#This Row],[nxt_code]],"현재가")</f>
        <v>54100</v>
      </c>
      <c r="I119" s="2">
        <f>_xll.IMDP("STK",표.실시간[[#This Row],[nxt_code]],"시가총액")/10^12</f>
        <v>4.5144903822</v>
      </c>
      <c r="J119" s="2">
        <f>표.실시간[[#This Row],[시가총액 (조원)]]/표.실시간[[#This Row],[현재가]]*(표.실시간[[#This Row],[현재가]]-표.실시간[[#This Row],[대비]])</f>
        <v>4.5395245248</v>
      </c>
      <c r="K119" s="3">
        <f>_xll.IMDP("STK",표.실시간[[#This Row],[nxt_code]],"전일대비")</f>
        <v>-300</v>
      </c>
      <c r="L119">
        <f>_xll.IMDP("STK",표.실시간[[#This Row],[nxt_code]],"등락률")</f>
        <v>-0.55000000000000004</v>
      </c>
      <c r="M119" s="2">
        <f>_xll.IMDP("STK",표.실시간[[#This Row],[nxt_code]],"누적거래량")</f>
        <v>88341</v>
      </c>
      <c r="N119" s="2">
        <f>_xll.IMDP("STK",표.실시간[[#This Row],[nxt_code]],"누적거래대금")/10^8</f>
        <v>47.360565999999999</v>
      </c>
      <c r="O119" s="2">
        <f>_xll.IMDP("STK",표.실시간[[#This Row],[nxt_code]],"가중평균가")</f>
        <v>53568.635125000001</v>
      </c>
      <c r="P119" s="2">
        <f>_xll.IMDP("STK",표.실시간[[#This Row],[nxt_code]],"시가")</f>
        <v>54400</v>
      </c>
      <c r="Q119" s="2">
        <f>_xll.IMDP("STK",표.실시간[[#This Row],[nxt_code]],"고가")</f>
        <v>55000</v>
      </c>
      <c r="R119" s="2">
        <f>_xll.IMDP("STK",표.실시간[[#This Row],[nxt_code]],"저가")</f>
        <v>52900</v>
      </c>
      <c r="S119">
        <f>_xll.IMDP("STK",표.실시간[[#This Row],[nxt_code]],"세션명")</f>
        <v>0</v>
      </c>
      <c r="T119">
        <f>_xll.IMDP("STK",표.실시간[[#This Row],[nxt_code]],"체결시간")</f>
        <v>0</v>
      </c>
      <c r="U119" s="2">
        <f>_xll.IMDP("STK","082740","현재가")</f>
        <v>54100</v>
      </c>
      <c r="V119">
        <f>_xll.IMDP("STK","082740","누적거래량")</f>
        <v>55034</v>
      </c>
    </row>
    <row r="120" spans="2:22" x14ac:dyDescent="0.3">
      <c r="B120">
        <v>112</v>
      </c>
      <c r="C120">
        <v>0</v>
      </c>
      <c r="D120">
        <f>IF(IFERROR(INDEX(표.kospi200[code],MATCH(표.실시간[[#This Row],[코드]],표.kospi200[code],0)),0)=0,0,1)</f>
        <v>0</v>
      </c>
      <c r="E120" t="s">
        <v>125</v>
      </c>
      <c r="F120">
        <v>214450</v>
      </c>
      <c r="G120" t="str">
        <f>ConvertStockCode(표.실시간[[#This Row],[코드]])</f>
        <v>N214450</v>
      </c>
      <c r="H120" s="2">
        <f>_xll.IMDP("STK",표.실시간[[#This Row],[nxt_code]],"현재가")</f>
        <v>462500</v>
      </c>
      <c r="I120" s="2">
        <f>_xll.IMDP("STK",표.실시간[[#This Row],[nxt_code]],"시가총액")/10^12</f>
        <v>4.8052121999999997</v>
      </c>
      <c r="J120" s="2">
        <f>표.실시간[[#This Row],[시가총액 (조원)]]/표.실시간[[#This Row],[현재가]]*(표.실시간[[#This Row],[현재가]]-표.실시간[[#This Row],[대비]])</f>
        <v>4.9194983279999995</v>
      </c>
      <c r="K120" s="3">
        <f>_xll.IMDP("STK",표.실시간[[#This Row],[nxt_code]],"전일대비")</f>
        <v>-11000</v>
      </c>
      <c r="L120">
        <f>_xll.IMDP("STK",표.실시간[[#This Row],[nxt_code]],"등락률")</f>
        <v>-2.3199999999999998</v>
      </c>
      <c r="M120" s="2">
        <f>_xll.IMDP("STK",표.실시간[[#This Row],[nxt_code]],"누적거래량")</f>
        <v>44747</v>
      </c>
      <c r="N120" s="2">
        <f>_xll.IMDP("STK",표.실시간[[#This Row],[nxt_code]],"누적거래대금")/10^8</f>
        <v>203.03514999999999</v>
      </c>
      <c r="O120" s="2">
        <f>_xll.IMDP("STK",표.실시간[[#This Row],[nxt_code]],"가중평균가")</f>
        <v>453740.25074300001</v>
      </c>
      <c r="P120" s="2">
        <f>_xll.IMDP("STK",표.실시간[[#This Row],[nxt_code]],"시가")</f>
        <v>461500</v>
      </c>
      <c r="Q120" s="2">
        <f>_xll.IMDP("STK",표.실시간[[#This Row],[nxt_code]],"고가")</f>
        <v>469000</v>
      </c>
      <c r="R120" s="2">
        <f>_xll.IMDP("STK",표.실시간[[#This Row],[nxt_code]],"저가")</f>
        <v>438500</v>
      </c>
      <c r="S120">
        <f>_xll.IMDP("STK",표.실시간[[#This Row],[nxt_code]],"세션명")</f>
        <v>0</v>
      </c>
      <c r="T120">
        <f>_xll.IMDP("STK",표.실시간[[#This Row],[nxt_code]],"체결시간")</f>
        <v>0</v>
      </c>
      <c r="U120" s="2">
        <f>_xll.IMDP("STK","214450","현재가")</f>
        <v>462000</v>
      </c>
      <c r="V120">
        <f>_xll.IMDP("STK","214450","누적거래량")</f>
        <v>45821</v>
      </c>
    </row>
    <row r="121" spans="2:22" x14ac:dyDescent="0.3">
      <c r="B121">
        <v>113</v>
      </c>
      <c r="C121">
        <v>1</v>
      </c>
      <c r="D121">
        <f>IF(IFERROR(INDEX(표.kospi200[code],MATCH(표.실시간[[#This Row],[코드]],표.kospi200[code],0)),0)=0,0,1)</f>
        <v>1</v>
      </c>
      <c r="E121" t="s">
        <v>126</v>
      </c>
      <c r="F121">
        <v>175330</v>
      </c>
      <c r="G121" t="str">
        <f>ConvertStockCode(표.실시간[[#This Row],[코드]])</f>
        <v>N175330</v>
      </c>
      <c r="H121" s="2">
        <f>_xll.IMDP("STK",표.실시간[[#This Row],[nxt_code]],"현재가")</f>
        <v>25550</v>
      </c>
      <c r="I121" s="2">
        <f>_xll.IMDP("STK",표.실시간[[#This Row],[nxt_code]],"시가총액")/10^12</f>
        <v>4.8515515555500004</v>
      </c>
      <c r="J121" s="2">
        <f>표.실시간[[#This Row],[시가총액 (조원)]]/표.실시간[[#This Row],[현재가]]*(표.실시간[[#This Row],[현재가]]-표.실시간[[#This Row],[대비]])</f>
        <v>4.77559771515</v>
      </c>
      <c r="K121" s="3">
        <f>_xll.IMDP("STK",표.실시간[[#This Row],[nxt_code]],"전일대비")</f>
        <v>400</v>
      </c>
      <c r="L121">
        <f>_xll.IMDP("STK",표.실시간[[#This Row],[nxt_code]],"등락률")</f>
        <v>1.59</v>
      </c>
      <c r="M121" s="2">
        <f>_xll.IMDP("STK",표.실시간[[#This Row],[nxt_code]],"누적거래량")</f>
        <v>8506</v>
      </c>
      <c r="N121" s="2">
        <f>_xll.IMDP("STK",표.실시간[[#This Row],[nxt_code]],"누적거래대금")/10^8</f>
        <v>2.1507649999999998</v>
      </c>
      <c r="O121" s="2">
        <f>_xll.IMDP("STK",표.실시간[[#This Row],[nxt_code]],"가중평균가")</f>
        <v>25285.269221999999</v>
      </c>
      <c r="P121" s="2">
        <f>_xll.IMDP("STK",표.실시간[[#This Row],[nxt_code]],"시가")</f>
        <v>25150</v>
      </c>
      <c r="Q121" s="2">
        <f>_xll.IMDP("STK",표.실시간[[#This Row],[nxt_code]],"고가")</f>
        <v>25650</v>
      </c>
      <c r="R121" s="2">
        <f>_xll.IMDP("STK",표.실시간[[#This Row],[nxt_code]],"저가")</f>
        <v>24850</v>
      </c>
      <c r="S121">
        <f>_xll.IMDP("STK",표.실시간[[#This Row],[nxt_code]],"세션명")</f>
        <v>0</v>
      </c>
      <c r="T121">
        <f>_xll.IMDP("STK",표.실시간[[#This Row],[nxt_code]],"체결시간")</f>
        <v>0</v>
      </c>
      <c r="U121" s="2">
        <f>_xll.IMDP("STK","175330","현재가")</f>
        <v>25500</v>
      </c>
      <c r="V121">
        <f>_xll.IMDP("STK","175330","누적거래량")</f>
        <v>39400</v>
      </c>
    </row>
    <row r="122" spans="2:22" x14ac:dyDescent="0.3">
      <c r="B122">
        <v>114</v>
      </c>
      <c r="C122">
        <v>1</v>
      </c>
      <c r="D122">
        <f>IF(IFERROR(INDEX(표.kospi200[code],MATCH(표.실시간[[#This Row],[코드]],표.kospi200[code],0)),0)=0,0,1)</f>
        <v>1</v>
      </c>
      <c r="E122" t="s">
        <v>127</v>
      </c>
      <c r="F122">
        <v>62040</v>
      </c>
      <c r="G122" t="str">
        <f>ConvertStockCode(표.실시간[[#This Row],[코드]])</f>
        <v>N062040</v>
      </c>
      <c r="H122" s="2">
        <f>_xll.IMDP("STK",표.실시간[[#This Row],[nxt_code]],"현재가")</f>
        <v>143100</v>
      </c>
      <c r="I122" s="2">
        <f>_xll.IMDP("STK",표.실시간[[#This Row],[nxt_code]],"시가총액")/10^12</f>
        <v>4.3710181199999996</v>
      </c>
      <c r="J122" s="2">
        <f>표.실시간[[#This Row],[시가총액 (조원)]]/표.실시간[[#This Row],[현재가]]*(표.실시간[[#This Row],[현재가]]-표.실시간[[#This Row],[대비]])</f>
        <v>4.5054170000000004</v>
      </c>
      <c r="K122" s="3">
        <f>_xll.IMDP("STK",표.실시간[[#This Row],[nxt_code]],"전일대비")</f>
        <v>-4400</v>
      </c>
      <c r="L122">
        <f>_xll.IMDP("STK",표.실시간[[#This Row],[nxt_code]],"등락률")</f>
        <v>-2.98</v>
      </c>
      <c r="M122" s="2">
        <f>_xll.IMDP("STK",표.실시간[[#This Row],[nxt_code]],"누적거래량")</f>
        <v>47157</v>
      </c>
      <c r="N122" s="2">
        <f>_xll.IMDP("STK",표.실시간[[#This Row],[nxt_code]],"누적거래대금")/10^8</f>
        <v>67.446404000000001</v>
      </c>
      <c r="O122" s="2">
        <f>_xll.IMDP("STK",표.실시간[[#This Row],[nxt_code]],"가중평균가")</f>
        <v>143025.22213000001</v>
      </c>
      <c r="P122" s="2">
        <f>_xll.IMDP("STK",표.실시간[[#This Row],[nxt_code]],"시가")</f>
        <v>147300</v>
      </c>
      <c r="Q122" s="2">
        <f>_xll.IMDP("STK",표.실시간[[#This Row],[nxt_code]],"고가")</f>
        <v>147300</v>
      </c>
      <c r="R122" s="2">
        <f>_xll.IMDP("STK",표.실시간[[#This Row],[nxt_code]],"저가")</f>
        <v>140700</v>
      </c>
      <c r="S122">
        <f>_xll.IMDP("STK",표.실시간[[#This Row],[nxt_code]],"세션명")</f>
        <v>0</v>
      </c>
      <c r="T122">
        <f>_xll.IMDP("STK",표.실시간[[#This Row],[nxt_code]],"체결시간")</f>
        <v>0</v>
      </c>
      <c r="U122" s="2">
        <f>_xll.IMDP("STK","062040","현재가")</f>
        <v>143600</v>
      </c>
      <c r="V122">
        <f>_xll.IMDP("STK","062040","누적거래량")</f>
        <v>29212</v>
      </c>
    </row>
    <row r="123" spans="2:22" x14ac:dyDescent="0.3">
      <c r="B123">
        <v>115</v>
      </c>
      <c r="C123">
        <v>1</v>
      </c>
      <c r="D123">
        <f>IF(IFERROR(INDEX(표.kospi200[code],MATCH(표.실시간[[#This Row],[코드]],표.kospi200[code],0)),0)=0,0,1)</f>
        <v>1</v>
      </c>
      <c r="E123" t="s">
        <v>128</v>
      </c>
      <c r="F123">
        <v>251270</v>
      </c>
      <c r="G123" t="str">
        <f>ConvertStockCode(표.실시간[[#This Row],[코드]])</f>
        <v>N251270</v>
      </c>
      <c r="H123" s="2">
        <f>_xll.IMDP("STK",표.실시간[[#This Row],[nxt_code]],"현재가")</f>
        <v>51800</v>
      </c>
      <c r="I123" s="2">
        <f>_xll.IMDP("STK",표.실시간[[#This Row],[nxt_code]],"시가총액")/10^12</f>
        <v>4.4352007031999996</v>
      </c>
      <c r="J123" s="2">
        <f>표.실시간[[#This Row],[시가총액 (조원)]]/표.실시간[[#This Row],[현재가]]*(표.실시간[[#This Row],[현재가]]-표.실시간[[#This Row],[대비]])</f>
        <v>4.5293845019166019</v>
      </c>
      <c r="K123" s="3">
        <f>_xll.IMDP("STK",표.실시간[[#This Row],[nxt_code]],"전일대비")</f>
        <v>-1100</v>
      </c>
      <c r="L123">
        <f>_xll.IMDP("STK",표.실시간[[#This Row],[nxt_code]],"등락률")</f>
        <v>-1.89</v>
      </c>
      <c r="M123" s="2">
        <f>_xll.IMDP("STK",표.실시간[[#This Row],[nxt_code]],"누적거래량")</f>
        <v>15131</v>
      </c>
      <c r="N123" s="2">
        <f>_xll.IMDP("STK",표.실시간[[#This Row],[nxt_code]],"누적거래대금")/10^8</f>
        <v>7.8506720000000003</v>
      </c>
      <c r="O123" s="2">
        <f>_xll.IMDP("STK",표.실시간[[#This Row],[nxt_code]],"가중평균가")</f>
        <v>51884.687065999999</v>
      </c>
      <c r="P123" s="2">
        <f>_xll.IMDP("STK",표.실시간[[#This Row],[nxt_code]],"시가")</f>
        <v>52800</v>
      </c>
      <c r="Q123" s="2">
        <f>_xll.IMDP("STK",표.실시간[[#This Row],[nxt_code]],"고가")</f>
        <v>52800</v>
      </c>
      <c r="R123" s="2">
        <f>_xll.IMDP("STK",표.실시간[[#This Row],[nxt_code]],"저가")</f>
        <v>51300</v>
      </c>
      <c r="S123">
        <f>_xll.IMDP("STK",표.실시간[[#This Row],[nxt_code]],"세션명")</f>
        <v>0</v>
      </c>
      <c r="T123">
        <f>_xll.IMDP("STK",표.실시간[[#This Row],[nxt_code]],"체결시간")</f>
        <v>0</v>
      </c>
      <c r="U123" s="2">
        <f>_xll.IMDP("STK","251270","현재가")</f>
        <v>51700</v>
      </c>
      <c r="V123">
        <f>_xll.IMDP("STK","251270","누적거래량")</f>
        <v>17801</v>
      </c>
    </row>
    <row r="124" spans="2:22" x14ac:dyDescent="0.3">
      <c r="B124">
        <v>116</v>
      </c>
      <c r="C124">
        <v>1</v>
      </c>
      <c r="D124">
        <f>IF(IFERROR(INDEX(표.kospi200[code],MATCH(표.실시간[[#This Row],[코드]],표.kospi200[code],0)),0)=0,0,1)</f>
        <v>1</v>
      </c>
      <c r="E124" t="s">
        <v>129</v>
      </c>
      <c r="F124">
        <v>450080</v>
      </c>
      <c r="G124" t="str">
        <f>ConvertStockCode(표.실시간[[#This Row],[코드]])</f>
        <v>N450080</v>
      </c>
      <c r="H124" s="2">
        <f>_xll.IMDP("STK",표.실시간[[#This Row],[nxt_code]],"현재가")</f>
        <v>69100</v>
      </c>
      <c r="I124" s="2">
        <f>_xll.IMDP("STK",표.실시간[[#This Row],[nxt_code]],"시가총액")/10^12</f>
        <v>4.8756099013999998</v>
      </c>
      <c r="J124" s="2">
        <f>표.실시간[[#This Row],[시가총액 (조원)]]/표.실시간[[#This Row],[현재가]]*(표.실시간[[#This Row],[현재가]]-표.실시간[[#This Row],[대비]])</f>
        <v>4.7627158949999995</v>
      </c>
      <c r="K124" s="3">
        <f>_xll.IMDP("STK",표.실시간[[#This Row],[nxt_code]],"전일대비")</f>
        <v>1600</v>
      </c>
      <c r="L124">
        <f>_xll.IMDP("STK",표.실시간[[#This Row],[nxt_code]],"등락률")</f>
        <v>2.37</v>
      </c>
      <c r="M124" s="2">
        <f>_xll.IMDP("STK",표.실시간[[#This Row],[nxt_code]],"누적거래량")</f>
        <v>344542</v>
      </c>
      <c r="N124" s="2">
        <f>_xll.IMDP("STK",표.실시간[[#This Row],[nxt_code]],"누적거래대금")/10^8</f>
        <v>234.04676900000001</v>
      </c>
      <c r="O124" s="2">
        <f>_xll.IMDP("STK",표.실시간[[#This Row],[nxt_code]],"가중평균가")</f>
        <v>67929.822488999998</v>
      </c>
      <c r="P124" s="2">
        <f>_xll.IMDP("STK",표.실시간[[#This Row],[nxt_code]],"시가")</f>
        <v>66000</v>
      </c>
      <c r="Q124" s="2">
        <f>_xll.IMDP("STK",표.실시간[[#This Row],[nxt_code]],"고가")</f>
        <v>69200</v>
      </c>
      <c r="R124" s="2">
        <f>_xll.IMDP("STK",표.실시간[[#This Row],[nxt_code]],"저가")</f>
        <v>65600</v>
      </c>
      <c r="S124">
        <f>_xll.IMDP("STK",표.실시간[[#This Row],[nxt_code]],"세션명")</f>
        <v>0</v>
      </c>
      <c r="T124">
        <f>_xll.IMDP("STK",표.실시간[[#This Row],[nxt_code]],"체결시간")</f>
        <v>0</v>
      </c>
      <c r="U124" s="2">
        <f>_xll.IMDP("STK","450080","현재가")</f>
        <v>69200</v>
      </c>
      <c r="V124">
        <f>_xll.IMDP("STK","450080","누적거래량")</f>
        <v>104760</v>
      </c>
    </row>
    <row r="125" spans="2:22" x14ac:dyDescent="0.3">
      <c r="B125">
        <v>117</v>
      </c>
      <c r="C125">
        <v>1</v>
      </c>
      <c r="D125">
        <f>IF(IFERROR(INDEX(표.kospi200[code],MATCH(표.실시간[[#This Row],[코드]],표.kospi200[code],0)),0)=0,0,1)</f>
        <v>1</v>
      </c>
      <c r="E125" t="s">
        <v>130</v>
      </c>
      <c r="F125">
        <v>4020</v>
      </c>
      <c r="G125" t="str">
        <f>ConvertStockCode(표.실시간[[#This Row],[코드]])</f>
        <v>N004020</v>
      </c>
      <c r="H125" s="2">
        <f>_xll.IMDP("STK",표.실시간[[#This Row],[nxt_code]],"현재가")</f>
        <v>30300</v>
      </c>
      <c r="I125" s="2">
        <f>_xll.IMDP("STK",표.실시간[[#This Row],[nxt_code]],"시가총액")/10^12</f>
        <v>4.0434072854999998</v>
      </c>
      <c r="J125" s="2">
        <f>표.실시간[[#This Row],[시가총액 (조원)]]/표.실시간[[#This Row],[현재가]]*(표.실시간[[#This Row],[현재가]]-표.실시간[[#This Row],[대비]])</f>
        <v>4.17018078125</v>
      </c>
      <c r="K125" s="3">
        <f>_xll.IMDP("STK",표.실시간[[#This Row],[nxt_code]],"전일대비")</f>
        <v>-950</v>
      </c>
      <c r="L125">
        <f>_xll.IMDP("STK",표.실시간[[#This Row],[nxt_code]],"등락률")</f>
        <v>-3.04</v>
      </c>
      <c r="M125" s="2">
        <f>_xll.IMDP("STK",표.실시간[[#This Row],[nxt_code]],"누적거래량")</f>
        <v>85532</v>
      </c>
      <c r="N125" s="2">
        <f>_xll.IMDP("STK",표.실시간[[#This Row],[nxt_code]],"누적거래대금")/10^8</f>
        <v>26.056497</v>
      </c>
      <c r="O125" s="2">
        <f>_xll.IMDP("STK",표.실시간[[#This Row],[nxt_code]],"가중평균가")</f>
        <v>30466.221773000001</v>
      </c>
      <c r="P125" s="2">
        <f>_xll.IMDP("STK",표.실시간[[#This Row],[nxt_code]],"시가")</f>
        <v>31300</v>
      </c>
      <c r="Q125" s="2">
        <f>_xll.IMDP("STK",표.실시간[[#This Row],[nxt_code]],"고가")</f>
        <v>31300</v>
      </c>
      <c r="R125" s="2">
        <f>_xll.IMDP("STK",표.실시간[[#This Row],[nxt_code]],"저가")</f>
        <v>29700</v>
      </c>
      <c r="S125">
        <f>_xll.IMDP("STK",표.실시간[[#This Row],[nxt_code]],"세션명")</f>
        <v>0</v>
      </c>
      <c r="T125">
        <f>_xll.IMDP("STK",표.실시간[[#This Row],[nxt_code]],"체결시간")</f>
        <v>0</v>
      </c>
      <c r="U125" s="2">
        <f>_xll.IMDP("STK","004020","현재가")</f>
        <v>30250</v>
      </c>
      <c r="V125">
        <f>_xll.IMDP("STK","004020","누적거래량")</f>
        <v>196814</v>
      </c>
    </row>
    <row r="126" spans="2:22" x14ac:dyDescent="0.3">
      <c r="B126">
        <v>118</v>
      </c>
      <c r="C126">
        <v>1</v>
      </c>
      <c r="D126">
        <f>IF(IFERROR(INDEX(표.kospi200[code],MATCH(표.실시간[[#This Row],[코드]],표.kospi200[code],0)),0)=0,0,1)</f>
        <v>1</v>
      </c>
      <c r="E126" t="s">
        <v>131</v>
      </c>
      <c r="F126">
        <v>11790</v>
      </c>
      <c r="G126" t="str">
        <f>ConvertStockCode(표.실시간[[#This Row],[코드]])</f>
        <v>N011790</v>
      </c>
      <c r="H126" s="2">
        <f>_xll.IMDP("STK",표.실시간[[#This Row],[nxt_code]],"현재가")</f>
        <v>120000</v>
      </c>
      <c r="I126" s="2">
        <f>_xll.IMDP("STK",표.실시간[[#This Row],[nxt_code]],"시가총액")/10^12</f>
        <v>4.54419576</v>
      </c>
      <c r="J126" s="2">
        <f>표.실시간[[#This Row],[시가총액 (조원)]]/표.실시간[[#This Row],[현재가]]*(표.실시간[[#This Row],[현재가]]-표.실시간[[#This Row],[대비]])</f>
        <v>4.4305908660000002</v>
      </c>
      <c r="K126" s="3">
        <f>_xll.IMDP("STK",표.실시간[[#This Row],[nxt_code]],"전일대비")</f>
        <v>3000</v>
      </c>
      <c r="L126">
        <f>_xll.IMDP("STK",표.실시간[[#This Row],[nxt_code]],"등락률")</f>
        <v>2.48</v>
      </c>
      <c r="M126" s="2">
        <f>_xll.IMDP("STK",표.실시간[[#This Row],[nxt_code]],"누적거래량")</f>
        <v>75449</v>
      </c>
      <c r="N126" s="2">
        <f>_xll.IMDP("STK",표.실시간[[#This Row],[nxt_code]],"누적거래대금")/10^8</f>
        <v>87.134899000000004</v>
      </c>
      <c r="O126" s="2">
        <f>_xll.IMDP("STK",표.실시간[[#This Row],[nxt_code]],"가중평균가")</f>
        <v>115488.474334</v>
      </c>
      <c r="P126" s="2">
        <f>_xll.IMDP("STK",표.실시간[[#This Row],[nxt_code]],"시가")</f>
        <v>115100</v>
      </c>
      <c r="Q126" s="2">
        <f>_xll.IMDP("STK",표.실시간[[#This Row],[nxt_code]],"고가")</f>
        <v>120200</v>
      </c>
      <c r="R126" s="2">
        <f>_xll.IMDP("STK",표.실시간[[#This Row],[nxt_code]],"저가")</f>
        <v>112700</v>
      </c>
      <c r="S126">
        <f>_xll.IMDP("STK",표.실시간[[#This Row],[nxt_code]],"세션명")</f>
        <v>0</v>
      </c>
      <c r="T126">
        <f>_xll.IMDP("STK",표.실시간[[#This Row],[nxt_code]],"체결시간")</f>
        <v>0</v>
      </c>
      <c r="U126" s="2">
        <f>_xll.IMDP("STK","011790","현재가")</f>
        <v>120100</v>
      </c>
      <c r="V126">
        <f>_xll.IMDP("STK","011790","누적거래량")</f>
        <v>52563</v>
      </c>
    </row>
    <row r="127" spans="2:22" x14ac:dyDescent="0.3">
      <c r="B127">
        <v>119</v>
      </c>
      <c r="C127">
        <v>1</v>
      </c>
      <c r="D127">
        <f>IF(IFERROR(INDEX(표.kospi200[code],MATCH(표.실시간[[#This Row],[코드]],표.kospi200[code],0)),0)=0,0,1)</f>
        <v>1</v>
      </c>
      <c r="E127" t="s">
        <v>132</v>
      </c>
      <c r="F127">
        <v>51900</v>
      </c>
      <c r="G127" t="str">
        <f>ConvertStockCode(표.실시간[[#This Row],[코드]])</f>
        <v>N051900</v>
      </c>
      <c r="H127" s="2">
        <f>_xll.IMDP("STK",표.실시간[[#This Row],[nxt_code]],"현재가")</f>
        <v>259000</v>
      </c>
      <c r="I127" s="2">
        <f>_xll.IMDP("STK",표.실시간[[#This Row],[nxt_code]],"시가총액")/10^12</f>
        <v>3.963336881</v>
      </c>
      <c r="J127" s="2">
        <f>표.실시간[[#This Row],[시가총액 (조원)]]/표.실시간[[#This Row],[현재가]]*(표.실시간[[#This Row],[현재가]]-표.실시간[[#This Row],[대비]])</f>
        <v>4.0168954874999994</v>
      </c>
      <c r="K127" s="3">
        <f>_xll.IMDP("STK",표.실시간[[#This Row],[nxt_code]],"전일대비")</f>
        <v>-3500</v>
      </c>
      <c r="L127">
        <f>_xll.IMDP("STK",표.실시간[[#This Row],[nxt_code]],"등락률")</f>
        <v>-1.33</v>
      </c>
      <c r="M127" s="2">
        <f>_xll.IMDP("STK",표.실시간[[#This Row],[nxt_code]],"누적거래량")</f>
        <v>7816</v>
      </c>
      <c r="N127" s="2">
        <f>_xll.IMDP("STK",표.실시간[[#This Row],[nxt_code]],"누적거래대금")/10^8</f>
        <v>20.336915000000001</v>
      </c>
      <c r="O127" s="2">
        <f>_xll.IMDP("STK",표.실시간[[#This Row],[nxt_code]],"가중평균가")</f>
        <v>260196.709768</v>
      </c>
      <c r="P127" s="2">
        <f>_xll.IMDP("STK",표.실시간[[#This Row],[nxt_code]],"시가")</f>
        <v>262500</v>
      </c>
      <c r="Q127" s="2">
        <f>_xll.IMDP("STK",표.실시간[[#This Row],[nxt_code]],"고가")</f>
        <v>263000</v>
      </c>
      <c r="R127" s="2">
        <f>_xll.IMDP("STK",표.실시간[[#This Row],[nxt_code]],"저가")</f>
        <v>258500</v>
      </c>
      <c r="S127">
        <f>_xll.IMDP("STK",표.실시간[[#This Row],[nxt_code]],"세션명")</f>
        <v>0</v>
      </c>
      <c r="T127">
        <f>_xll.IMDP("STK",표.실시간[[#This Row],[nxt_code]],"체결시간")</f>
        <v>0</v>
      </c>
      <c r="U127" s="2">
        <f>_xll.IMDP("STK","051900","현재가")</f>
        <v>259500</v>
      </c>
      <c r="V127">
        <f>_xll.IMDP("STK","051900","누적거래량")</f>
        <v>6028</v>
      </c>
    </row>
    <row r="128" spans="2:22" x14ac:dyDescent="0.3">
      <c r="B128">
        <v>120</v>
      </c>
      <c r="C128">
        <v>1</v>
      </c>
      <c r="D128">
        <f>IF(IFERROR(INDEX(표.kospi200[code],MATCH(표.실시간[[#This Row],[코드]],표.kospi200[code],0)),0)=0,0,1)</f>
        <v>0</v>
      </c>
      <c r="E128" t="s">
        <v>133</v>
      </c>
      <c r="F128">
        <v>990</v>
      </c>
      <c r="G128" t="str">
        <f>ConvertStockCode(표.실시간[[#This Row],[코드]])</f>
        <v>N000990</v>
      </c>
      <c r="H128" s="2">
        <f>_xll.IMDP("STK",표.실시간[[#This Row],[nxt_code]],"현재가")</f>
        <v>110800</v>
      </c>
      <c r="I128" s="2">
        <f>_xll.IMDP("STK",표.실시간[[#This Row],[nxt_code]],"시가총액")/10^12</f>
        <v>4.8203083504000004</v>
      </c>
      <c r="J128" s="2">
        <f>표.실시간[[#This Row],[시가총액 (조원)]]/표.실시간[[#This Row],[현재가]]*(표.실시간[[#This Row],[현재가]]-표.실시간[[#This Row],[대비]])</f>
        <v>4.6027854104000001</v>
      </c>
      <c r="K128" s="3">
        <f>_xll.IMDP("STK",표.실시간[[#This Row],[nxt_code]],"전일대비")</f>
        <v>5000</v>
      </c>
      <c r="L128">
        <f>_xll.IMDP("STK",표.실시간[[#This Row],[nxt_code]],"등락률")</f>
        <v>4.7300000000000004</v>
      </c>
      <c r="M128" s="2">
        <f>_xll.IMDP("STK",표.실시간[[#This Row],[nxt_code]],"누적거래량")</f>
        <v>85189</v>
      </c>
      <c r="N128" s="2">
        <f>_xll.IMDP("STK",표.실시간[[#This Row],[nxt_code]],"누적거래대금")/10^8</f>
        <v>89.775247500000006</v>
      </c>
      <c r="O128" s="2">
        <f>_xll.IMDP("STK",표.실시간[[#This Row],[nxt_code]],"가중평균가")</f>
        <v>105382.314031</v>
      </c>
      <c r="P128" s="2">
        <f>_xll.IMDP("STK",표.실시간[[#This Row],[nxt_code]],"시가")</f>
        <v>103000</v>
      </c>
      <c r="Q128" s="2">
        <f>_xll.IMDP("STK",표.실시간[[#This Row],[nxt_code]],"고가")</f>
        <v>110800</v>
      </c>
      <c r="R128" s="2">
        <f>_xll.IMDP("STK",표.실시간[[#This Row],[nxt_code]],"저가")</f>
        <v>101600</v>
      </c>
      <c r="S128">
        <f>_xll.IMDP("STK",표.실시간[[#This Row],[nxt_code]],"세션명")</f>
        <v>0</v>
      </c>
      <c r="T128">
        <f>_xll.IMDP("STK",표.실시간[[#This Row],[nxt_code]],"체결시간")</f>
        <v>0</v>
      </c>
      <c r="U128" s="2">
        <f>_xll.IMDP("STK","000990","현재가")</f>
        <v>110800</v>
      </c>
      <c r="V128">
        <f>_xll.IMDP("STK","000990","누적거래량")</f>
        <v>100722</v>
      </c>
    </row>
    <row r="129" spans="2:22" x14ac:dyDescent="0.3">
      <c r="B129">
        <v>121</v>
      </c>
      <c r="C129">
        <v>0</v>
      </c>
      <c r="D129">
        <f>IF(IFERROR(INDEX(표.kospi200[code],MATCH(표.실시간[[#This Row],[코드]],표.kospi200[code],0)),0)=0,0,1)</f>
        <v>0</v>
      </c>
      <c r="E129" t="s">
        <v>134</v>
      </c>
      <c r="F129">
        <v>214370</v>
      </c>
      <c r="G129" t="str">
        <f>ConvertStockCode(표.실시간[[#This Row],[코드]])</f>
        <v>N214370</v>
      </c>
      <c r="H129" s="2">
        <f>_xll.IMDP("STK",표.실시간[[#This Row],[nxt_code]],"현재가")</f>
        <v>125500</v>
      </c>
      <c r="I129" s="2">
        <f>_xll.IMDP("STK",표.실시간[[#This Row],[nxt_code]],"시가총액")/10^12</f>
        <v>6.7412324999999997</v>
      </c>
      <c r="J129" s="2">
        <f>표.실시간[[#This Row],[시가총액 (조원)]]/표.실시간[[#This Row],[현재가]]*(표.실시간[[#This Row],[현재가]]-표.실시간[[#This Row],[대비]])</f>
        <v>6.7412324999999997</v>
      </c>
      <c r="K129" s="3">
        <f>_xll.IMDP("STK",표.실시간[[#This Row],[nxt_code]],"전일대비")</f>
        <v>0</v>
      </c>
      <c r="L129">
        <f>_xll.IMDP("STK",표.실시간[[#This Row],[nxt_code]],"등락률")</f>
        <v>0</v>
      </c>
      <c r="M129" s="2">
        <f>_xll.IMDP("STK",표.실시간[[#This Row],[nxt_code]],"누적거래량")</f>
        <v>0</v>
      </c>
      <c r="N129" s="2">
        <f>_xll.IMDP("STK",표.실시간[[#This Row],[nxt_code]],"누적거래대금")/10^8</f>
        <v>0</v>
      </c>
      <c r="O129" s="2">
        <f>_xll.IMDP("STK",표.실시간[[#This Row],[nxt_code]],"가중평균가")</f>
        <v>0</v>
      </c>
      <c r="P129" s="2">
        <f>_xll.IMDP("STK",표.실시간[[#This Row],[nxt_code]],"시가")</f>
        <v>0</v>
      </c>
      <c r="Q129" s="2">
        <f>_xll.IMDP("STK",표.실시간[[#This Row],[nxt_code]],"고가")</f>
        <v>0</v>
      </c>
      <c r="R129" s="2">
        <f>_xll.IMDP("STK",표.실시간[[#This Row],[nxt_code]],"저가")</f>
        <v>0</v>
      </c>
      <c r="S129">
        <f>_xll.IMDP("STK",표.실시간[[#This Row],[nxt_code]],"세션명")</f>
        <v>0</v>
      </c>
      <c r="T129">
        <f>_xll.IMDP("STK",표.실시간[[#This Row],[nxt_code]],"체결시간")</f>
        <v>0</v>
      </c>
      <c r="U129" s="2">
        <f>_xll.IMDP("STK","214370","현재가")</f>
        <v>109500</v>
      </c>
      <c r="V129">
        <f>_xll.IMDP("STK","214370","누적거래량")</f>
        <v>81560</v>
      </c>
    </row>
    <row r="130" spans="2:22" x14ac:dyDescent="0.3">
      <c r="B130">
        <v>122</v>
      </c>
      <c r="C130">
        <v>1</v>
      </c>
      <c r="D130">
        <f>IF(IFERROR(INDEX(표.kospi200[code],MATCH(표.실시간[[#This Row],[코드]],표.kospi200[code],0)),0)=0,0,1)</f>
        <v>1</v>
      </c>
      <c r="E130" t="s">
        <v>135</v>
      </c>
      <c r="F130">
        <v>2380</v>
      </c>
      <c r="G130" t="str">
        <f>ConvertStockCode(표.실시간[[#This Row],[코드]])</f>
        <v>N002380</v>
      </c>
      <c r="H130" s="2">
        <f>_xll.IMDP("STK",표.실시간[[#This Row],[nxt_code]],"현재가")</f>
        <v>489000</v>
      </c>
      <c r="I130" s="2">
        <f>_xll.IMDP("STK",표.실시간[[#This Row],[nxt_code]],"시가총액")/10^12</f>
        <v>4.3454843189999997</v>
      </c>
      <c r="J130" s="2">
        <f>표.실시간[[#This Row],[시가총액 (조원)]]/표.실시간[[#This Row],[현재가]]*(표.실시간[[#This Row],[현재가]]-표.실시간[[#This Row],[대비]])</f>
        <v>4.3454843189999997</v>
      </c>
      <c r="K130" s="3">
        <f>_xll.IMDP("STK",표.실시간[[#This Row],[nxt_code]],"전일대비")</f>
        <v>0</v>
      </c>
      <c r="L130">
        <f>_xll.IMDP("STK",표.실시간[[#This Row],[nxt_code]],"등락률")</f>
        <v>0</v>
      </c>
      <c r="M130" s="2">
        <f>_xll.IMDP("STK",표.실시간[[#This Row],[nxt_code]],"누적거래량")</f>
        <v>1990</v>
      </c>
      <c r="N130" s="2">
        <f>_xll.IMDP("STK",표.실시간[[#This Row],[nxt_code]],"누적거래대금")/10^8</f>
        <v>9.6058350000000008</v>
      </c>
      <c r="O130" s="2">
        <f>_xll.IMDP("STK",표.실시간[[#This Row],[nxt_code]],"가중평균가")</f>
        <v>477902.23880599998</v>
      </c>
      <c r="P130" s="2">
        <f>_xll.IMDP("STK",표.실시간[[#This Row],[nxt_code]],"시가")</f>
        <v>483500</v>
      </c>
      <c r="Q130" s="2">
        <f>_xll.IMDP("STK",표.실시간[[#This Row],[nxt_code]],"고가")</f>
        <v>489000</v>
      </c>
      <c r="R130" s="2">
        <f>_xll.IMDP("STK",표.실시간[[#This Row],[nxt_code]],"저가")</f>
        <v>474500</v>
      </c>
      <c r="S130">
        <f>_xll.IMDP("STK",표.실시간[[#This Row],[nxt_code]],"세션명")</f>
        <v>0</v>
      </c>
      <c r="T130">
        <f>_xll.IMDP("STK",표.실시간[[#This Row],[nxt_code]],"체결시간")</f>
        <v>0</v>
      </c>
      <c r="U130" s="2">
        <f>_xll.IMDP("STK","002380","현재가")</f>
        <v>488500</v>
      </c>
      <c r="V130">
        <f>_xll.IMDP("STK","002380","누적거래량")</f>
        <v>2635</v>
      </c>
    </row>
    <row r="131" spans="2:22" x14ac:dyDescent="0.3">
      <c r="B131">
        <v>123</v>
      </c>
      <c r="C131">
        <v>1</v>
      </c>
      <c r="D131">
        <f>IF(IFERROR(INDEX(표.kospi200[code],MATCH(표.실시간[[#This Row],[코드]],표.kospi200[code],0)),0)=0,0,1)</f>
        <v>1</v>
      </c>
      <c r="E131" t="s">
        <v>136</v>
      </c>
      <c r="F131">
        <v>35250</v>
      </c>
      <c r="G131" t="str">
        <f>ConvertStockCode(표.실시간[[#This Row],[코드]])</f>
        <v>N035250</v>
      </c>
      <c r="H131" s="2">
        <f>_xll.IMDP("STK",표.실시간[[#This Row],[nxt_code]],"현재가")</f>
        <v>17250</v>
      </c>
      <c r="I131" s="2">
        <f>_xll.IMDP("STK",표.실시간[[#This Row],[nxt_code]],"시가총액")/10^12</f>
        <v>3.6904736250000001</v>
      </c>
      <c r="J131" s="2">
        <f>표.실시간[[#This Row],[시가총액 (조원)]]/표.실시간[[#This Row],[현재가]]*(표.실시간[[#This Row],[현재가]]-표.실시간[[#This Row],[대비]])</f>
        <v>3.7268435100000001</v>
      </c>
      <c r="K131" s="3">
        <f>_xll.IMDP("STK",표.실시간[[#This Row],[nxt_code]],"전일대비")</f>
        <v>-170</v>
      </c>
      <c r="L131">
        <f>_xll.IMDP("STK",표.실시간[[#This Row],[nxt_code]],"등락률")</f>
        <v>-1.0900000000000001</v>
      </c>
      <c r="M131" s="2">
        <f>_xll.IMDP("STK",표.실시간[[#This Row],[nxt_code]],"누적거래량")</f>
        <v>48919</v>
      </c>
      <c r="N131" s="2">
        <f>_xll.IMDP("STK",표.실시간[[#This Row],[nxt_code]],"누적거래대금")/10^8</f>
        <v>8.5044561000000005</v>
      </c>
      <c r="O131" s="2">
        <f>_xll.IMDP("STK",표.실시간[[#This Row],[nxt_code]],"가중평균가")</f>
        <v>17384.770948000001</v>
      </c>
      <c r="P131" s="2">
        <f>_xll.IMDP("STK",표.실시간[[#This Row],[nxt_code]],"시가")</f>
        <v>17370</v>
      </c>
      <c r="Q131" s="2">
        <f>_xll.IMDP("STK",표.실시간[[#This Row],[nxt_code]],"고가")</f>
        <v>17520</v>
      </c>
      <c r="R131" s="2">
        <f>_xll.IMDP("STK",표.실시간[[#This Row],[nxt_code]],"저가")</f>
        <v>17250</v>
      </c>
      <c r="S131">
        <f>_xll.IMDP("STK",표.실시간[[#This Row],[nxt_code]],"세션명")</f>
        <v>0</v>
      </c>
      <c r="T131">
        <f>_xll.IMDP("STK",표.실시간[[#This Row],[nxt_code]],"체결시간")</f>
        <v>0</v>
      </c>
      <c r="U131" s="2">
        <f>_xll.IMDP("STK","035250","현재가")</f>
        <v>17260</v>
      </c>
      <c r="V131">
        <f>_xll.IMDP("STK","035250","누적거래량")</f>
        <v>48585</v>
      </c>
    </row>
    <row r="132" spans="2:22" x14ac:dyDescent="0.3">
      <c r="B132">
        <v>124</v>
      </c>
      <c r="C132">
        <v>0</v>
      </c>
      <c r="D132">
        <f>IF(IFERROR(INDEX(표.kospi200[code],MATCH(표.실시간[[#This Row],[코드]],표.kospi200[code],0)),0)=0,0,1)</f>
        <v>0</v>
      </c>
      <c r="E132" t="s">
        <v>137</v>
      </c>
      <c r="F132">
        <v>214150</v>
      </c>
      <c r="G132" t="str">
        <f>ConvertStockCode(표.실시간[[#This Row],[코드]])</f>
        <v>N214150</v>
      </c>
      <c r="H132" s="2">
        <f>_xll.IMDP("STK",표.실시간[[#This Row],[nxt_code]],"현재가")</f>
        <v>75000</v>
      </c>
      <c r="I132" s="2">
        <f>_xll.IMDP("STK",표.실시간[[#This Row],[nxt_code]],"시가총액")/10^12</f>
        <v>4.9129244249999999</v>
      </c>
      <c r="J132" s="2">
        <f>표.실시간[[#This Row],[시가총액 (조원)]]/표.실시간[[#This Row],[현재가]]*(표.실시간[[#This Row],[현재가]]-표.실시간[[#This Row],[대비]])</f>
        <v>4.8670704637000002</v>
      </c>
      <c r="K132" s="3">
        <f>_xll.IMDP("STK",표.실시간[[#This Row],[nxt_code]],"전일대비")</f>
        <v>700</v>
      </c>
      <c r="L132">
        <f>_xll.IMDP("STK",표.실시간[[#This Row],[nxt_code]],"등락률")</f>
        <v>0.94</v>
      </c>
      <c r="M132" s="2">
        <f>_xll.IMDP("STK",표.실시간[[#This Row],[nxt_code]],"누적거래량")</f>
        <v>66412</v>
      </c>
      <c r="N132" s="2">
        <f>_xll.IMDP("STK",표.실시간[[#This Row],[nxt_code]],"누적거래대금")/10^8</f>
        <v>48.389218</v>
      </c>
      <c r="O132" s="2">
        <f>_xll.IMDP("STK",표.실시간[[#This Row],[nxt_code]],"가중평균가")</f>
        <v>72862.160453000004</v>
      </c>
      <c r="P132" s="2">
        <f>_xll.IMDP("STK",표.실시간[[#This Row],[nxt_code]],"시가")</f>
        <v>74700</v>
      </c>
      <c r="Q132" s="2">
        <f>_xll.IMDP("STK",표.실시간[[#This Row],[nxt_code]],"고가")</f>
        <v>75000</v>
      </c>
      <c r="R132" s="2">
        <f>_xll.IMDP("STK",표.실시간[[#This Row],[nxt_code]],"저가")</f>
        <v>71600</v>
      </c>
      <c r="S132">
        <f>_xll.IMDP("STK",표.실시간[[#This Row],[nxt_code]],"세션명")</f>
        <v>0</v>
      </c>
      <c r="T132">
        <f>_xll.IMDP("STK",표.실시간[[#This Row],[nxt_code]],"체결시간")</f>
        <v>0</v>
      </c>
      <c r="U132" s="2">
        <f>_xll.IMDP("STK","214150","현재가")</f>
        <v>75000</v>
      </c>
      <c r="V132">
        <f>_xll.IMDP("STK","214150","누적거래량")</f>
        <v>47516</v>
      </c>
    </row>
    <row r="133" spans="2:22" x14ac:dyDescent="0.3">
      <c r="B133">
        <v>125</v>
      </c>
      <c r="C133">
        <v>0</v>
      </c>
      <c r="D133">
        <f>IF(IFERROR(INDEX(표.kospi200[code],MATCH(표.실시간[[#This Row],[코드]],표.kospi200[code],0)),0)=0,0,1)</f>
        <v>0</v>
      </c>
      <c r="E133" t="s">
        <v>138</v>
      </c>
      <c r="F133">
        <v>240810</v>
      </c>
      <c r="G133" t="str">
        <f>ConvertStockCode(표.실시간[[#This Row],[코드]])</f>
        <v>N240810</v>
      </c>
      <c r="H133" s="2">
        <f>_xll.IMDP("STK",표.실시간[[#This Row],[nxt_code]],"현재가")</f>
        <v>114400</v>
      </c>
      <c r="I133" s="2">
        <f>_xll.IMDP("STK",표.실시간[[#This Row],[nxt_code]],"시가총액")/10^12</f>
        <v>5.6151982744</v>
      </c>
      <c r="J133" s="2">
        <f>표.실시간[[#This Row],[시가총액 (조원)]]/표.실시간[[#This Row],[현재가]]*(표.실시간[[#This Row],[현재가]]-표.실시간[[#This Row],[대비]])</f>
        <v>5.6151982744</v>
      </c>
      <c r="K133" s="3">
        <f>_xll.IMDP("STK",표.실시간[[#This Row],[nxt_code]],"전일대비")</f>
        <v>0</v>
      </c>
      <c r="L133">
        <f>_xll.IMDP("STK",표.실시간[[#This Row],[nxt_code]],"등락률")</f>
        <v>0</v>
      </c>
      <c r="M133" s="2">
        <f>_xll.IMDP("STK",표.실시간[[#This Row],[nxt_code]],"누적거래량")</f>
        <v>0</v>
      </c>
      <c r="N133" s="2">
        <f>_xll.IMDP("STK",표.실시간[[#This Row],[nxt_code]],"누적거래대금")/10^8</f>
        <v>0</v>
      </c>
      <c r="O133" s="2">
        <f>_xll.IMDP("STK",표.실시간[[#This Row],[nxt_code]],"가중평균가")</f>
        <v>0</v>
      </c>
      <c r="P133" s="2">
        <f>_xll.IMDP("STK",표.실시간[[#This Row],[nxt_code]],"시가")</f>
        <v>0</v>
      </c>
      <c r="Q133" s="2">
        <f>_xll.IMDP("STK",표.실시간[[#This Row],[nxt_code]],"고가")</f>
        <v>0</v>
      </c>
      <c r="R133" s="2">
        <f>_xll.IMDP("STK",표.실시간[[#This Row],[nxt_code]],"저가")</f>
        <v>0</v>
      </c>
      <c r="S133">
        <f>_xll.IMDP("STK",표.실시간[[#This Row],[nxt_code]],"세션명")</f>
        <v>0</v>
      </c>
      <c r="T133">
        <f>_xll.IMDP("STK",표.실시간[[#This Row],[nxt_code]],"체결시간")</f>
        <v>0</v>
      </c>
      <c r="U133" s="2">
        <f>_xll.IMDP("STK","240810","현재가")</f>
        <v>111300</v>
      </c>
      <c r="V133">
        <f>_xll.IMDP("STK","240810","누적거래량")</f>
        <v>173772</v>
      </c>
    </row>
    <row r="134" spans="2:22" x14ac:dyDescent="0.3">
      <c r="B134">
        <v>126</v>
      </c>
      <c r="C134">
        <v>1</v>
      </c>
      <c r="D134">
        <f>IF(IFERROR(INDEX(표.kospi200[code],MATCH(표.실시간[[#This Row],[코드]],표.kospi200[code],0)),0)=0,0,1)</f>
        <v>1</v>
      </c>
      <c r="E134" t="s">
        <v>139</v>
      </c>
      <c r="F134">
        <v>302440</v>
      </c>
      <c r="G134" t="str">
        <f>ConvertStockCode(표.실시간[[#This Row],[코드]])</f>
        <v>N302440</v>
      </c>
      <c r="H134" s="2">
        <f>_xll.IMDP("STK",표.실시간[[#This Row],[nxt_code]],"현재가")</f>
        <v>49950</v>
      </c>
      <c r="I134" s="2">
        <f>_xll.IMDP("STK",표.실시간[[#This Row],[nxt_code]],"시가총액")/10^12</f>
        <v>3.9178133149500001</v>
      </c>
      <c r="J134" s="2">
        <f>표.실시간[[#This Row],[시가총액 (조원)]]/표.실시간[[#This Row],[현재가]]*(표.실시간[[#This Row],[현재가]]-표.실시간[[#This Row],[대비]])</f>
        <v>3.9766393407000002</v>
      </c>
      <c r="K134" s="3">
        <f>_xll.IMDP("STK",표.실시간[[#This Row],[nxt_code]],"전일대비")</f>
        <v>-750</v>
      </c>
      <c r="L134">
        <f>_xll.IMDP("STK",표.실시간[[#This Row],[nxt_code]],"등락률")</f>
        <v>-1.48</v>
      </c>
      <c r="M134" s="2">
        <f>_xll.IMDP("STK",표.실시간[[#This Row],[nxt_code]],"누적거래량")</f>
        <v>25223</v>
      </c>
      <c r="N134" s="2">
        <f>_xll.IMDP("STK",표.실시간[[#This Row],[nxt_code]],"누적거래대금")/10^8</f>
        <v>12.628527</v>
      </c>
      <c r="O134" s="2">
        <f>_xll.IMDP("STK",표.실시간[[#This Row],[nxt_code]],"가중평균가")</f>
        <v>50067.505848000001</v>
      </c>
      <c r="P134" s="2">
        <f>_xll.IMDP("STK",표.실시간[[#This Row],[nxt_code]],"시가")</f>
        <v>50800</v>
      </c>
      <c r="Q134" s="2">
        <f>_xll.IMDP("STK",표.실시간[[#This Row],[nxt_code]],"고가")</f>
        <v>50800</v>
      </c>
      <c r="R134" s="2">
        <f>_xll.IMDP("STK",표.실시간[[#This Row],[nxt_code]],"저가")</f>
        <v>49700</v>
      </c>
      <c r="S134">
        <f>_xll.IMDP("STK",표.실시간[[#This Row],[nxt_code]],"세션명")</f>
        <v>0</v>
      </c>
      <c r="T134">
        <f>_xll.IMDP("STK",표.실시간[[#This Row],[nxt_code]],"체결시간")</f>
        <v>0</v>
      </c>
      <c r="U134" s="2">
        <f>_xll.IMDP("STK","302440","현재가")</f>
        <v>49800</v>
      </c>
      <c r="V134">
        <f>_xll.IMDP("STK","302440","누적거래량")</f>
        <v>17661</v>
      </c>
    </row>
    <row r="135" spans="2:22" x14ac:dyDescent="0.3">
      <c r="B135">
        <v>127</v>
      </c>
      <c r="C135">
        <v>0</v>
      </c>
      <c r="D135">
        <f>IF(IFERROR(INDEX(표.kospi200[code],MATCH(표.실시간[[#This Row],[코드]],표.kospi200[code],0)),0)=0,0,1)</f>
        <v>0</v>
      </c>
      <c r="E135" t="s">
        <v>140</v>
      </c>
      <c r="F135">
        <v>108490</v>
      </c>
      <c r="G135" t="str">
        <f>ConvertStockCode(표.실시간[[#This Row],[코드]])</f>
        <v>N108490</v>
      </c>
      <c r="H135" s="2">
        <f>_xll.IMDP("STK",표.실시간[[#This Row],[nxt_code]],"현재가")</f>
        <v>349500</v>
      </c>
      <c r="I135" s="2">
        <f>_xll.IMDP("STK",표.실시간[[#This Row],[nxt_code]],"시가총액")/10^12</f>
        <v>5.0922457559999996</v>
      </c>
      <c r="J135" s="2">
        <f>표.실시간[[#This Row],[시가총액 (조원)]]/표.실시간[[#This Row],[현재가]]*(표.실시간[[#This Row],[현재가]]-표.실시간[[#This Row],[대비]])</f>
        <v>4.9319747879999998</v>
      </c>
      <c r="K135" s="3">
        <f>_xll.IMDP("STK",표.실시간[[#This Row],[nxt_code]],"전일대비")</f>
        <v>11000</v>
      </c>
      <c r="L135">
        <f>_xll.IMDP("STK",표.실시간[[#This Row],[nxt_code]],"등락률")</f>
        <v>3.25</v>
      </c>
      <c r="M135" s="2">
        <f>_xll.IMDP("STK",표.실시간[[#This Row],[nxt_code]],"누적거래량")</f>
        <v>143636</v>
      </c>
      <c r="N135" s="2">
        <f>_xll.IMDP("STK",표.실시간[[#This Row],[nxt_code]],"누적거래대금")/10^8</f>
        <v>481.20070750000002</v>
      </c>
      <c r="O135" s="2">
        <f>_xll.IMDP("STK",표.실시간[[#This Row],[nxt_code]],"가중평균가")</f>
        <v>335000.005221</v>
      </c>
      <c r="P135" s="2">
        <f>_xll.IMDP("STK",표.실시간[[#This Row],[nxt_code]],"시가")</f>
        <v>345000</v>
      </c>
      <c r="Q135" s="2">
        <f>_xll.IMDP("STK",표.실시간[[#This Row],[nxt_code]],"고가")</f>
        <v>349500</v>
      </c>
      <c r="R135" s="2">
        <f>_xll.IMDP("STK",표.실시간[[#This Row],[nxt_code]],"저가")</f>
        <v>325000</v>
      </c>
      <c r="S135">
        <f>_xll.IMDP("STK",표.실시간[[#This Row],[nxt_code]],"세션명")</f>
        <v>0</v>
      </c>
      <c r="T135">
        <f>_xll.IMDP("STK",표.실시간[[#This Row],[nxt_code]],"체결시간")</f>
        <v>0</v>
      </c>
      <c r="U135" s="2">
        <f>_xll.IMDP("STK","108490","현재가")</f>
        <v>347000</v>
      </c>
      <c r="V135">
        <f>_xll.IMDP("STK","108490","누적거래량")</f>
        <v>84570</v>
      </c>
    </row>
    <row r="136" spans="2:22" x14ac:dyDescent="0.3">
      <c r="B136">
        <v>128</v>
      </c>
      <c r="C136">
        <v>1</v>
      </c>
      <c r="D136">
        <f>IF(IFERROR(INDEX(표.kospi200[code],MATCH(표.실시간[[#This Row],[코드]],표.kospi200[code],0)),0)=0,0,1)</f>
        <v>1</v>
      </c>
      <c r="E136" t="s">
        <v>141</v>
      </c>
      <c r="F136">
        <v>11780</v>
      </c>
      <c r="G136" t="str">
        <f>ConvertStockCode(표.실시간[[#This Row],[코드]])</f>
        <v>N011780</v>
      </c>
      <c r="H136" s="2">
        <f>_xll.IMDP("STK",표.실시간[[#This Row],[nxt_code]],"현재가")</f>
        <v>143500</v>
      </c>
      <c r="I136" s="2">
        <f>_xll.IMDP("STK",표.실시간[[#This Row],[nxt_code]],"시가총액")/10^12</f>
        <v>3.7355549770000001</v>
      </c>
      <c r="J136" s="2">
        <f>표.실시간[[#This Row],[시가총액 (조원)]]/표.실시간[[#This Row],[현재가]]*(표.실시간[[#This Row],[현재가]]-표.실시간[[#This Row],[대비]])</f>
        <v>3.7511740222000003</v>
      </c>
      <c r="K136" s="3">
        <f>_xll.IMDP("STK",표.실시간[[#This Row],[nxt_code]],"전일대비")</f>
        <v>-600</v>
      </c>
      <c r="L136">
        <f>_xll.IMDP("STK",표.실시간[[#This Row],[nxt_code]],"등락률")</f>
        <v>-0.42</v>
      </c>
      <c r="M136" s="2">
        <f>_xll.IMDP("STK",표.실시간[[#This Row],[nxt_code]],"누적거래량")</f>
        <v>7927</v>
      </c>
      <c r="N136" s="2">
        <f>_xll.IMDP("STK",표.실시간[[#This Row],[nxt_code]],"누적거래대금")/10^8</f>
        <v>11.214233999999999</v>
      </c>
      <c r="O136" s="2">
        <f>_xll.IMDP("STK",표.실시간[[#This Row],[nxt_code]],"가중평균가")</f>
        <v>141464.97725</v>
      </c>
      <c r="P136" s="2">
        <f>_xll.IMDP("STK",표.실시간[[#This Row],[nxt_code]],"시가")</f>
        <v>142700</v>
      </c>
      <c r="Q136" s="2">
        <f>_xll.IMDP("STK",표.실시간[[#This Row],[nxt_code]],"고가")</f>
        <v>144100</v>
      </c>
      <c r="R136" s="2">
        <f>_xll.IMDP("STK",표.실시간[[#This Row],[nxt_code]],"저가")</f>
        <v>140100</v>
      </c>
      <c r="S136">
        <f>_xll.IMDP("STK",표.실시간[[#This Row],[nxt_code]],"세션명")</f>
        <v>0</v>
      </c>
      <c r="T136">
        <f>_xll.IMDP("STK",표.실시간[[#This Row],[nxt_code]],"체결시간")</f>
        <v>0</v>
      </c>
      <c r="U136" s="2">
        <f>_xll.IMDP("STK","011780","현재가")</f>
        <v>143700</v>
      </c>
      <c r="V136">
        <f>_xll.IMDP("STK","011780","누적거래량")</f>
        <v>6436</v>
      </c>
    </row>
    <row r="137" spans="2:22" x14ac:dyDescent="0.3">
      <c r="B137">
        <v>129</v>
      </c>
      <c r="C137">
        <v>1</v>
      </c>
      <c r="D137">
        <f>IF(IFERROR(INDEX(표.kospi200[code],MATCH(표.실시간[[#This Row],[코드]],표.kospi200[code],0)),0)=0,0,1)</f>
        <v>1</v>
      </c>
      <c r="E137" t="s">
        <v>142</v>
      </c>
      <c r="F137">
        <v>36460</v>
      </c>
      <c r="G137" t="str">
        <f>ConvertStockCode(표.실시간[[#This Row],[코드]])</f>
        <v>N036460</v>
      </c>
      <c r="H137" s="2">
        <f>_xll.IMDP("STK",표.실시간[[#This Row],[nxt_code]],"현재가")</f>
        <v>39650</v>
      </c>
      <c r="I137" s="2">
        <f>_xll.IMDP("STK",표.실시간[[#This Row],[nxt_code]],"시가총액")/10^12</f>
        <v>3.6602104500000001</v>
      </c>
      <c r="J137" s="2">
        <f>표.실시간[[#This Row],[시가총액 (조원)]]/표.실시간[[#This Row],[현재가]]*(표.실시간[[#This Row],[현재가]]-표.실시간[[#This Row],[대비]])</f>
        <v>3.7109826000000004</v>
      </c>
      <c r="K137" s="3">
        <f>_xll.IMDP("STK",표.실시간[[#This Row],[nxt_code]],"전일대비")</f>
        <v>-550</v>
      </c>
      <c r="L137">
        <f>_xll.IMDP("STK",표.실시간[[#This Row],[nxt_code]],"등락률")</f>
        <v>-1.25</v>
      </c>
      <c r="M137" s="2">
        <f>_xll.IMDP("STK",표.실시간[[#This Row],[nxt_code]],"누적거래량")</f>
        <v>38931</v>
      </c>
      <c r="N137" s="2">
        <f>_xll.IMDP("STK",표.실시간[[#This Row],[nxt_code]],"누적거래대금")/10^8</f>
        <v>15.4866165</v>
      </c>
      <c r="O137" s="2">
        <f>_xll.IMDP("STK",표.실시간[[#This Row],[nxt_code]],"가중평균가")</f>
        <v>39779.652461999998</v>
      </c>
      <c r="P137" s="2">
        <f>_xll.IMDP("STK",표.실시간[[#This Row],[nxt_code]],"시가")</f>
        <v>40000</v>
      </c>
      <c r="Q137" s="2">
        <f>_xll.IMDP("STK",표.실시간[[#This Row],[nxt_code]],"고가")</f>
        <v>40100</v>
      </c>
      <c r="R137" s="2">
        <f>_xll.IMDP("STK",표.실시간[[#This Row],[nxt_code]],"저가")</f>
        <v>39600</v>
      </c>
      <c r="S137">
        <f>_xll.IMDP("STK",표.실시간[[#This Row],[nxt_code]],"세션명")</f>
        <v>0</v>
      </c>
      <c r="T137">
        <f>_xll.IMDP("STK",표.실시간[[#This Row],[nxt_code]],"체결시간")</f>
        <v>0</v>
      </c>
      <c r="U137" s="2">
        <f>_xll.IMDP("STK","036460","현재가")</f>
        <v>39700</v>
      </c>
      <c r="V137">
        <f>_xll.IMDP("STK","036460","누적거래량")</f>
        <v>18077</v>
      </c>
    </row>
    <row r="138" spans="2:22" x14ac:dyDescent="0.3">
      <c r="B138">
        <v>130</v>
      </c>
      <c r="C138">
        <v>1</v>
      </c>
      <c r="D138">
        <f>IF(IFERROR(INDEX(표.kospi200[code],MATCH(표.실시간[[#This Row],[코드]],표.kospi200[code],0)),0)=0,0,1)</f>
        <v>1</v>
      </c>
      <c r="E138" t="s">
        <v>143</v>
      </c>
      <c r="F138">
        <v>111770</v>
      </c>
      <c r="G138" t="str">
        <f>ConvertStockCode(표.실시간[[#This Row],[코드]])</f>
        <v>N111770</v>
      </c>
      <c r="H138" s="2">
        <f>_xll.IMDP("STK",표.실시간[[#This Row],[nxt_code]],"현재가")</f>
        <v>87300</v>
      </c>
      <c r="I138" s="2">
        <f>_xll.IMDP("STK",표.실시간[[#This Row],[nxt_code]],"시가총액")/10^12</f>
        <v>3.8683911564</v>
      </c>
      <c r="J138" s="2">
        <f>표.실시간[[#This Row],[시가총액 (조원)]]/표.실시간[[#This Row],[현재가]]*(표.실시간[[#This Row],[현재가]]-표.실시간[[#This Row],[대비]])</f>
        <v>4.0279124411999998</v>
      </c>
      <c r="K138" s="3">
        <f>_xll.IMDP("STK",표.실시간[[#This Row],[nxt_code]],"전일대비")</f>
        <v>-3600</v>
      </c>
      <c r="L138">
        <f>_xll.IMDP("STK",표.실시간[[#This Row],[nxt_code]],"등락률")</f>
        <v>-3.96</v>
      </c>
      <c r="M138" s="2">
        <f>_xll.IMDP("STK",표.실시간[[#This Row],[nxt_code]],"누적거래량")</f>
        <v>6448</v>
      </c>
      <c r="N138" s="2">
        <f>_xll.IMDP("STK",표.실시간[[#This Row],[nxt_code]],"누적거래대금")/10^8</f>
        <v>5.9267149999999997</v>
      </c>
      <c r="O138" s="2">
        <f>_xll.IMDP("STK",표.실시간[[#This Row],[nxt_code]],"가중평균가")</f>
        <v>91659.681410000005</v>
      </c>
      <c r="P138" s="2">
        <f>_xll.IMDP("STK",표.실시간[[#This Row],[nxt_code]],"시가")</f>
        <v>92000</v>
      </c>
      <c r="Q138" s="2">
        <f>_xll.IMDP("STK",표.실시간[[#This Row],[nxt_code]],"고가")</f>
        <v>93300</v>
      </c>
      <c r="R138" s="2">
        <f>_xll.IMDP("STK",표.실시간[[#This Row],[nxt_code]],"저가")</f>
        <v>87100</v>
      </c>
      <c r="S138">
        <f>_xll.IMDP("STK",표.실시간[[#This Row],[nxt_code]],"세션명")</f>
        <v>0</v>
      </c>
      <c r="T138">
        <f>_xll.IMDP("STK",표.실시간[[#This Row],[nxt_code]],"체결시간")</f>
        <v>0</v>
      </c>
      <c r="U138" s="2">
        <f>_xll.IMDP("STK","111770","현재가")</f>
        <v>87700</v>
      </c>
      <c r="V138">
        <f>_xll.IMDP("STK","111770","누적거래량")</f>
        <v>12854</v>
      </c>
    </row>
    <row r="139" spans="2:22" x14ac:dyDescent="0.3">
      <c r="B139">
        <v>131</v>
      </c>
      <c r="C139">
        <v>0</v>
      </c>
      <c r="D139">
        <f>IF(IFERROR(INDEX(표.kospi200[code],MATCH(표.실시간[[#This Row],[코드]],표.kospi200[code],0)),0)=0,0,1)</f>
        <v>0</v>
      </c>
      <c r="E139" t="s">
        <v>144</v>
      </c>
      <c r="F139">
        <v>39030</v>
      </c>
      <c r="G139" t="str">
        <f>ConvertStockCode(표.실시간[[#This Row],[코드]])</f>
        <v>N039030</v>
      </c>
      <c r="H139" s="2">
        <f>_xll.IMDP("STK",표.실시간[[#This Row],[nxt_code]],"현재가")</f>
        <v>366000</v>
      </c>
      <c r="I139" s="2">
        <f>_xll.IMDP("STK",표.실시간[[#This Row],[nxt_code]],"시가총액")/10^12</f>
        <v>4.5089553000000002</v>
      </c>
      <c r="J139" s="2">
        <f>표.실시간[[#This Row],[시가총액 (조원)]]/표.실시간[[#This Row],[현재가]]*(표.실시간[[#This Row],[현재가]]-표.실시간[[#This Row],[대비]])</f>
        <v>4.6321508000000007</v>
      </c>
      <c r="K139" s="3">
        <f>_xll.IMDP("STK",표.실시간[[#This Row],[nxt_code]],"전일대비")</f>
        <v>-10000</v>
      </c>
      <c r="L139">
        <f>_xll.IMDP("STK",표.실시간[[#This Row],[nxt_code]],"등락률")</f>
        <v>-2.66</v>
      </c>
      <c r="M139" s="2">
        <f>_xll.IMDP("STK",표.실시간[[#This Row],[nxt_code]],"누적거래량")</f>
        <v>13582</v>
      </c>
      <c r="N139" s="2">
        <f>_xll.IMDP("STK",표.실시간[[#This Row],[nxt_code]],"누적거래대금")/10^8</f>
        <v>49.176414999999999</v>
      </c>
      <c r="O139" s="2">
        <f>_xll.IMDP("STK",표.실시간[[#This Row],[nxt_code]],"가중평균가")</f>
        <v>362070.49771800003</v>
      </c>
      <c r="P139" s="2">
        <f>_xll.IMDP("STK",표.실시간[[#This Row],[nxt_code]],"시가")</f>
        <v>367000</v>
      </c>
      <c r="Q139" s="2">
        <f>_xll.IMDP("STK",표.실시간[[#This Row],[nxt_code]],"고가")</f>
        <v>367000</v>
      </c>
      <c r="R139" s="2">
        <f>_xll.IMDP("STK",표.실시간[[#This Row],[nxt_code]],"저가")</f>
        <v>355500</v>
      </c>
      <c r="S139">
        <f>_xll.IMDP("STK",표.실시간[[#This Row],[nxt_code]],"세션명")</f>
        <v>0</v>
      </c>
      <c r="T139">
        <f>_xll.IMDP("STK",표.실시간[[#This Row],[nxt_code]],"체결시간")</f>
        <v>0</v>
      </c>
      <c r="U139" s="2">
        <f>_xll.IMDP("STK","039030","현재가")</f>
        <v>369000</v>
      </c>
      <c r="V139">
        <f>_xll.IMDP("STK","039030","누적거래량")</f>
        <v>24140</v>
      </c>
    </row>
    <row r="140" spans="2:22" x14ac:dyDescent="0.3">
      <c r="B140">
        <v>132</v>
      </c>
      <c r="C140">
        <v>1</v>
      </c>
      <c r="D140">
        <f>IF(IFERROR(INDEX(표.kospi200[code],MATCH(표.실시간[[#This Row],[코드]],표.kospi200[code],0)),0)=0,0,1)</f>
        <v>1</v>
      </c>
      <c r="E140" t="s">
        <v>145</v>
      </c>
      <c r="F140">
        <v>17800</v>
      </c>
      <c r="G140" t="str">
        <f>ConvertStockCode(표.실시간[[#This Row],[코드]])</f>
        <v>N017800</v>
      </c>
      <c r="H140" s="2">
        <f>_xll.IMDP("STK",표.실시간[[#This Row],[nxt_code]],"현재가")</f>
        <v>96400</v>
      </c>
      <c r="I140" s="2">
        <f>_xll.IMDP("STK",표.실시간[[#This Row],[nxt_code]],"시가총액")/10^12</f>
        <v>3.7685059139999999</v>
      </c>
      <c r="J140" s="2">
        <f>표.실시간[[#This Row],[시가총액 (조원)]]/표.실시간[[#This Row],[현재가]]*(표.실시간[[#This Row],[현재가]]-표.실시간[[#This Row],[대비]])</f>
        <v>3.6903211439999999</v>
      </c>
      <c r="K140" s="3">
        <f>_xll.IMDP("STK",표.실시간[[#This Row],[nxt_code]],"전일대비")</f>
        <v>2000</v>
      </c>
      <c r="L140">
        <f>_xll.IMDP("STK",표.실시간[[#This Row],[nxt_code]],"등락률")</f>
        <v>2.12</v>
      </c>
      <c r="M140" s="2">
        <f>_xll.IMDP("STK",표.실시간[[#This Row],[nxt_code]],"누적거래량")</f>
        <v>55087</v>
      </c>
      <c r="N140" s="2">
        <f>_xll.IMDP("STK",표.실시간[[#This Row],[nxt_code]],"누적거래대금")/10^8</f>
        <v>52.176617999999998</v>
      </c>
      <c r="O140" s="2">
        <f>_xll.IMDP("STK",표.실시간[[#This Row],[nxt_code]],"가중평균가")</f>
        <v>94690.969475000005</v>
      </c>
      <c r="P140" s="2">
        <f>_xll.IMDP("STK",표.실시간[[#This Row],[nxt_code]],"시가")</f>
        <v>93700</v>
      </c>
      <c r="Q140" s="2">
        <f>_xll.IMDP("STK",표.실시간[[#This Row],[nxt_code]],"고가")</f>
        <v>96400</v>
      </c>
      <c r="R140" s="2">
        <f>_xll.IMDP("STK",표.실시간[[#This Row],[nxt_code]],"저가")</f>
        <v>92600</v>
      </c>
      <c r="S140">
        <f>_xll.IMDP("STK",표.실시간[[#This Row],[nxt_code]],"세션명")</f>
        <v>0</v>
      </c>
      <c r="T140">
        <f>_xll.IMDP("STK",표.실시간[[#This Row],[nxt_code]],"체결시간")</f>
        <v>0</v>
      </c>
      <c r="U140" s="2">
        <f>_xll.IMDP("STK","017800","현재가")</f>
        <v>98500</v>
      </c>
      <c r="V140">
        <f>_xll.IMDP("STK","017800","누적거래량")</f>
        <v>62502</v>
      </c>
    </row>
    <row r="141" spans="2:22" x14ac:dyDescent="0.3">
      <c r="B141">
        <v>133</v>
      </c>
      <c r="C141">
        <v>0</v>
      </c>
      <c r="D141">
        <f>IF(IFERROR(INDEX(표.kospi200[code],MATCH(표.실시간[[#This Row],[코드]],표.kospi200[code],0)),0)=0,0,1)</f>
        <v>0</v>
      </c>
      <c r="E141" t="s">
        <v>146</v>
      </c>
      <c r="F141">
        <v>347850</v>
      </c>
      <c r="G141" t="str">
        <f>ConvertStockCode(표.실시간[[#This Row],[코드]])</f>
        <v>N347850</v>
      </c>
      <c r="H141" s="2">
        <f>_xll.IMDP("STK",표.실시간[[#This Row],[nxt_code]],"현재가")</f>
        <v>93500</v>
      </c>
      <c r="I141" s="2">
        <f>_xll.IMDP("STK",표.실시간[[#This Row],[nxt_code]],"시가총액")/10^12</f>
        <v>4.0705627050000004</v>
      </c>
      <c r="J141" s="2">
        <f>표.실시간[[#This Row],[시가총액 (조원)]]/표.실시간[[#This Row],[현재가]]*(표.실시간[[#This Row],[현재가]]-표.실시간[[#This Row],[대비]])</f>
        <v>4.1140981350000008</v>
      </c>
      <c r="K141" s="3">
        <f>_xll.IMDP("STK",표.실시간[[#This Row],[nxt_code]],"전일대비")</f>
        <v>-1000</v>
      </c>
      <c r="L141">
        <f>_xll.IMDP("STK",표.실시간[[#This Row],[nxt_code]],"등락률")</f>
        <v>-1.06</v>
      </c>
      <c r="M141" s="2">
        <f>_xll.IMDP("STK",표.실시간[[#This Row],[nxt_code]],"누적거래량")</f>
        <v>169456</v>
      </c>
      <c r="N141" s="2">
        <f>_xll.IMDP("STK",표.실시간[[#This Row],[nxt_code]],"누적거래대금")/10^8</f>
        <v>155.387012</v>
      </c>
      <c r="O141" s="2">
        <f>_xll.IMDP("STK",표.실시간[[#This Row],[nxt_code]],"가중평균가")</f>
        <v>91697.556888000006</v>
      </c>
      <c r="P141" s="2">
        <f>_xll.IMDP("STK",표.실시간[[#This Row],[nxt_code]],"시가")</f>
        <v>93000</v>
      </c>
      <c r="Q141" s="2">
        <f>_xll.IMDP("STK",표.실시간[[#This Row],[nxt_code]],"고가")</f>
        <v>94500</v>
      </c>
      <c r="R141" s="2">
        <f>_xll.IMDP("STK",표.실시간[[#This Row],[nxt_code]],"저가")</f>
        <v>90200</v>
      </c>
      <c r="S141">
        <f>_xll.IMDP("STK",표.실시간[[#This Row],[nxt_code]],"세션명")</f>
        <v>0</v>
      </c>
      <c r="T141">
        <f>_xll.IMDP("STK",표.실시간[[#This Row],[nxt_code]],"체결시간")</f>
        <v>0</v>
      </c>
      <c r="U141" s="2">
        <f>_xll.IMDP("STK","347850","현재가")</f>
        <v>93400</v>
      </c>
      <c r="V141">
        <f>_xll.IMDP("STK","347850","누적거래량")</f>
        <v>79657</v>
      </c>
    </row>
    <row r="142" spans="2:22" x14ac:dyDescent="0.3">
      <c r="B142">
        <v>134</v>
      </c>
      <c r="C142">
        <v>1</v>
      </c>
      <c r="D142">
        <f>IF(IFERROR(INDEX(표.kospi200[code],MATCH(표.실시간[[#This Row],[코드]],표.kospi200[code],0)),0)=0,0,1)</f>
        <v>1</v>
      </c>
      <c r="E142" t="s">
        <v>147</v>
      </c>
      <c r="F142">
        <v>204320</v>
      </c>
      <c r="G142" t="str">
        <f>ConvertStockCode(표.실시간[[#This Row],[코드]])</f>
        <v>N204320</v>
      </c>
      <c r="H142" s="2">
        <f>_xll.IMDP("STK",표.실시간[[#This Row],[nxt_code]],"현재가")</f>
        <v>63100</v>
      </c>
      <c r="I142" s="2">
        <f>_xll.IMDP("STK",표.실시간[[#This Row],[nxt_code]],"시가총액")/10^12</f>
        <v>2.962994272</v>
      </c>
      <c r="J142" s="2">
        <f>표.실시간[[#This Row],[시가총액 (조원)]]/표.실시간[[#This Row],[현재가]]*(표.실시간[[#This Row],[현재가]]-표.실시간[[#This Row],[대비]])</f>
        <v>2.9958642559999999</v>
      </c>
      <c r="K142" s="3">
        <f>_xll.IMDP("STK",표.실시간[[#This Row],[nxt_code]],"전일대비")</f>
        <v>-700</v>
      </c>
      <c r="L142">
        <f>_xll.IMDP("STK",표.실시간[[#This Row],[nxt_code]],"등락률")</f>
        <v>-1.1000000000000001</v>
      </c>
      <c r="M142" s="2">
        <f>_xll.IMDP("STK",표.실시간[[#This Row],[nxt_code]],"누적거래량")</f>
        <v>146345</v>
      </c>
      <c r="N142" s="2">
        <f>_xll.IMDP("STK",표.실시간[[#This Row],[nxt_code]],"누적거래대금")/10^8</f>
        <v>90.526667000000003</v>
      </c>
      <c r="O142" s="2">
        <f>_xll.IMDP("STK",표.실시간[[#This Row],[nxt_code]],"가중평균가")</f>
        <v>61858.394204999997</v>
      </c>
      <c r="P142" s="2">
        <f>_xll.IMDP("STK",표.실시간[[#This Row],[nxt_code]],"시가")</f>
        <v>63800</v>
      </c>
      <c r="Q142" s="2">
        <f>_xll.IMDP("STK",표.실시간[[#This Row],[nxt_code]],"고가")</f>
        <v>63800</v>
      </c>
      <c r="R142" s="2">
        <f>_xll.IMDP("STK",표.실시간[[#This Row],[nxt_code]],"저가")</f>
        <v>61400</v>
      </c>
      <c r="S142">
        <f>_xll.IMDP("STK",표.실시간[[#This Row],[nxt_code]],"세션명")</f>
        <v>0</v>
      </c>
      <c r="T142">
        <f>_xll.IMDP("STK",표.실시간[[#This Row],[nxt_code]],"체결시간")</f>
        <v>0</v>
      </c>
      <c r="U142" s="2">
        <f>_xll.IMDP("STK","204320","현재가")</f>
        <v>63000</v>
      </c>
      <c r="V142">
        <f>_xll.IMDP("STK","204320","누적거래량")</f>
        <v>65790</v>
      </c>
    </row>
    <row r="143" spans="2:22" x14ac:dyDescent="0.3">
      <c r="B143">
        <v>135</v>
      </c>
      <c r="C143">
        <v>1</v>
      </c>
      <c r="D143">
        <f>IF(IFERROR(INDEX(표.kospi200[code],MATCH(표.실시간[[#This Row],[코드]],표.kospi200[code],0)),0)=0,0,1)</f>
        <v>0</v>
      </c>
      <c r="E143" t="s">
        <v>148</v>
      </c>
      <c r="F143">
        <v>31210</v>
      </c>
      <c r="G143" t="str">
        <f>ConvertStockCode(표.실시간[[#This Row],[코드]])</f>
        <v>N031210</v>
      </c>
      <c r="H143" s="2">
        <f>_xll.IMDP("STK",표.실시간[[#This Row],[nxt_code]],"현재가")</f>
        <v>49700</v>
      </c>
      <c r="I143" s="2">
        <f>_xll.IMDP("STK",표.실시간[[#This Row],[nxt_code]],"시가총액")/10^12</f>
        <v>3.4701334205999999</v>
      </c>
      <c r="J143" s="2">
        <f>표.실시간[[#This Row],[시가총액 (조원)]]/표.실시간[[#This Row],[현재가]]*(표.실시간[[#This Row],[현재가]]-표.실시간[[#This Row],[대비]])</f>
        <v>3.4840977402000002</v>
      </c>
      <c r="K143" s="3">
        <f>_xll.IMDP("STK",표.실시간[[#This Row],[nxt_code]],"전일대비")</f>
        <v>-200</v>
      </c>
      <c r="L143">
        <f>_xll.IMDP("STK",표.실시간[[#This Row],[nxt_code]],"등락률")</f>
        <v>-0.4</v>
      </c>
      <c r="M143" s="2">
        <f>_xll.IMDP("STK",표.실시간[[#This Row],[nxt_code]],"누적거래량")</f>
        <v>2103</v>
      </c>
      <c r="N143" s="2">
        <f>_xll.IMDP("STK",표.실시간[[#This Row],[nxt_code]],"누적거래대금")/10^8</f>
        <v>1.0393034999999999</v>
      </c>
      <c r="O143" s="2">
        <f>_xll.IMDP("STK",표.실시간[[#This Row],[nxt_code]],"가중평균가")</f>
        <v>49420.042796000002</v>
      </c>
      <c r="P143" s="2">
        <f>_xll.IMDP("STK",표.실시간[[#This Row],[nxt_code]],"시가")</f>
        <v>49900</v>
      </c>
      <c r="Q143" s="2">
        <f>_xll.IMDP("STK",표.실시간[[#This Row],[nxt_code]],"고가")</f>
        <v>49900</v>
      </c>
      <c r="R143" s="2">
        <f>_xll.IMDP("STK",표.실시간[[#This Row],[nxt_code]],"저가")</f>
        <v>49100</v>
      </c>
      <c r="S143">
        <f>_xll.IMDP("STK",표.실시간[[#This Row],[nxt_code]],"세션명")</f>
        <v>0</v>
      </c>
      <c r="T143">
        <f>_xll.IMDP("STK",표.실시간[[#This Row],[nxt_code]],"체결시간")</f>
        <v>0</v>
      </c>
      <c r="U143" s="2">
        <f>_xll.IMDP("STK","031210","현재가")</f>
        <v>49700</v>
      </c>
      <c r="V143">
        <f>_xll.IMDP("STK","031210","누적거래량")</f>
        <v>2042</v>
      </c>
    </row>
    <row r="144" spans="2:22" x14ac:dyDescent="0.3">
      <c r="B144">
        <v>136</v>
      </c>
      <c r="C144">
        <v>1</v>
      </c>
      <c r="D144">
        <f>IF(IFERROR(INDEX(표.kospi200[code],MATCH(표.실시간[[#This Row],[코드]],표.kospi200[code],0)),0)=0,0,1)</f>
        <v>1</v>
      </c>
      <c r="E144" t="s">
        <v>149</v>
      </c>
      <c r="F144">
        <v>103140</v>
      </c>
      <c r="G144" t="str">
        <f>ConvertStockCode(표.실시간[[#This Row],[코드]])</f>
        <v>N103140</v>
      </c>
      <c r="H144" s="2">
        <f>_xll.IMDP("STK",표.실시간[[#This Row],[nxt_code]],"현재가")</f>
        <v>126900</v>
      </c>
      <c r="I144" s="2">
        <f>_xll.IMDP("STK",표.실시간[[#This Row],[nxt_code]],"시가총액")/10^12</f>
        <v>3.5562808781999999</v>
      </c>
      <c r="J144" s="2">
        <f>표.실시간[[#This Row],[시가총액 (조원)]]/표.실시간[[#This Row],[현재가]]*(표.실시간[[#This Row],[현재가]]-표.실시간[[#This Row],[대비]])</f>
        <v>3.6767852735999997</v>
      </c>
      <c r="K144" s="3">
        <f>_xll.IMDP("STK",표.실시간[[#This Row],[nxt_code]],"전일대비")</f>
        <v>-4300</v>
      </c>
      <c r="L144">
        <f>_xll.IMDP("STK",표.실시간[[#This Row],[nxt_code]],"등락률")</f>
        <v>-3.28</v>
      </c>
      <c r="M144" s="2">
        <f>_xll.IMDP("STK",표.실시간[[#This Row],[nxt_code]],"누적거래량")</f>
        <v>104614</v>
      </c>
      <c r="N144" s="2">
        <f>_xll.IMDP("STK",표.실시간[[#This Row],[nxt_code]],"누적거래대금")/10^8</f>
        <v>130.47211050000001</v>
      </c>
      <c r="O144" s="2">
        <f>_xll.IMDP("STK",표.실시간[[#This Row],[nxt_code]],"가중평균가")</f>
        <v>124717.638653</v>
      </c>
      <c r="P144" s="2">
        <f>_xll.IMDP("STK",표.실시간[[#This Row],[nxt_code]],"시가")</f>
        <v>131200</v>
      </c>
      <c r="Q144" s="2">
        <f>_xll.IMDP("STK",표.실시간[[#This Row],[nxt_code]],"고가")</f>
        <v>131200</v>
      </c>
      <c r="R144" s="2">
        <f>_xll.IMDP("STK",표.실시간[[#This Row],[nxt_code]],"저가")</f>
        <v>121000</v>
      </c>
      <c r="S144">
        <f>_xll.IMDP("STK",표.실시간[[#This Row],[nxt_code]],"세션명")</f>
        <v>0</v>
      </c>
      <c r="T144">
        <f>_xll.IMDP("STK",표.실시간[[#This Row],[nxt_code]],"체결시간")</f>
        <v>0</v>
      </c>
      <c r="U144" s="2">
        <f>_xll.IMDP("STK","103140","현재가")</f>
        <v>126800</v>
      </c>
      <c r="V144">
        <f>_xll.IMDP("STK","103140","누적거래량")</f>
        <v>76598</v>
      </c>
    </row>
    <row r="145" spans="2:22" x14ac:dyDescent="0.3">
      <c r="B145">
        <v>137</v>
      </c>
      <c r="C145">
        <v>1</v>
      </c>
      <c r="D145">
        <f>IF(IFERROR(INDEX(표.kospi200[code],MATCH(표.실시간[[#This Row],[코드]],표.kospi200[code],0)),0)=0,0,1)</f>
        <v>1</v>
      </c>
      <c r="E145" t="s">
        <v>150</v>
      </c>
      <c r="F145">
        <v>18880</v>
      </c>
      <c r="G145" t="str">
        <f>ConvertStockCode(표.실시간[[#This Row],[코드]])</f>
        <v>N018880</v>
      </c>
      <c r="H145" s="2">
        <f>_xll.IMDP("STK",표.실시간[[#This Row],[nxt_code]],"현재가")</f>
        <v>3265</v>
      </c>
      <c r="I145" s="2">
        <f>_xll.IMDP("STK",표.실시간[[#This Row],[nxt_code]],"시가총액")/10^12</f>
        <v>3.3507472322799998</v>
      </c>
      <c r="J145" s="2">
        <f>표.실시간[[#This Row],[시가총액 (조원)]]/표.실시간[[#This Row],[현재가]]*(표.실시간[[#This Row],[현재가]]-표.실시간[[#This Row],[대비]])</f>
        <v>3.3610098578000001</v>
      </c>
      <c r="K145" s="3">
        <f>_xll.IMDP("STK",표.실시간[[#This Row],[nxt_code]],"전일대비")</f>
        <v>-10</v>
      </c>
      <c r="L145">
        <f>_xll.IMDP("STK",표.실시간[[#This Row],[nxt_code]],"등락률")</f>
        <v>-0.31</v>
      </c>
      <c r="M145" s="2">
        <f>_xll.IMDP("STK",표.실시간[[#This Row],[nxt_code]],"누적거래량")</f>
        <v>805820</v>
      </c>
      <c r="N145" s="2">
        <f>_xll.IMDP("STK",표.실시간[[#This Row],[nxt_code]],"누적거래대금")/10^8</f>
        <v>26.125933570000001</v>
      </c>
      <c r="O145" s="2">
        <f>_xll.IMDP("STK",표.실시간[[#This Row],[nxt_code]],"가중평균가")</f>
        <v>3241.4792240000002</v>
      </c>
      <c r="P145" s="2">
        <f>_xll.IMDP("STK",표.실시간[[#This Row],[nxt_code]],"시가")</f>
        <v>3275</v>
      </c>
      <c r="Q145" s="2">
        <f>_xll.IMDP("STK",표.실시간[[#This Row],[nxt_code]],"고가")</f>
        <v>3310</v>
      </c>
      <c r="R145" s="2">
        <f>_xll.IMDP("STK",표.실시간[[#This Row],[nxt_code]],"저가")</f>
        <v>3100</v>
      </c>
      <c r="S145">
        <f>_xll.IMDP("STK",표.실시간[[#This Row],[nxt_code]],"세션명")</f>
        <v>0</v>
      </c>
      <c r="T145">
        <f>_xll.IMDP("STK",표.실시간[[#This Row],[nxt_code]],"체결시간")</f>
        <v>0</v>
      </c>
      <c r="U145" s="2">
        <f>_xll.IMDP("STK","018880","현재가")</f>
        <v>3275</v>
      </c>
      <c r="V145">
        <f>_xll.IMDP("STK","018880","누적거래량")</f>
        <v>904877</v>
      </c>
    </row>
    <row r="146" spans="2:22" x14ac:dyDescent="0.3">
      <c r="B146">
        <v>138</v>
      </c>
      <c r="C146">
        <v>0</v>
      </c>
      <c r="D146">
        <f>IF(IFERROR(INDEX(표.kospi200[code],MATCH(표.실시간[[#This Row],[코드]],표.kospi200[code],0)),0)=0,0,1)</f>
        <v>0</v>
      </c>
      <c r="E146" t="s">
        <v>151</v>
      </c>
      <c r="F146" t="s">
        <v>706</v>
      </c>
      <c r="G146" t="str">
        <f>ConvertStockCode(표.실시간[[#This Row],[코드]])</f>
        <v>N0009K0</v>
      </c>
      <c r="H146" s="2">
        <f>_xll.IMDP("STK",표.실시간[[#This Row],[nxt_code]],"현재가")</f>
        <v>52600</v>
      </c>
      <c r="I146" s="2">
        <f>_xll.IMDP("STK",표.실시간[[#This Row],[nxt_code]],"시가총액")/10^12</f>
        <v>3.4017030685999998</v>
      </c>
      <c r="J146" s="2">
        <f>표.실시간[[#This Row],[시가총액 (조원)]]/표.실시간[[#This Row],[현재가]]*(표.실시간[[#This Row],[현재가]]-표.실시간[[#This Row],[대비]])</f>
        <v>3.5245782745000001</v>
      </c>
      <c r="K146" s="3">
        <f>_xll.IMDP("STK",표.실시간[[#This Row],[nxt_code]],"전일대비")</f>
        <v>-1900</v>
      </c>
      <c r="L146">
        <f>_xll.IMDP("STK",표.실시간[[#This Row],[nxt_code]],"등락률")</f>
        <v>-3.49</v>
      </c>
      <c r="M146" s="2">
        <f>_xll.IMDP("STK",표.실시간[[#This Row],[nxt_code]],"누적거래량")</f>
        <v>68526</v>
      </c>
      <c r="N146" s="2">
        <f>_xll.IMDP("STK",표.실시간[[#This Row],[nxt_code]],"누적거래대금")/10^8</f>
        <v>35.725414000000001</v>
      </c>
      <c r="O146" s="2">
        <f>_xll.IMDP("STK",표.실시간[[#This Row],[nxt_code]],"가중평균가")</f>
        <v>52134.100924999999</v>
      </c>
      <c r="P146" s="2">
        <f>_xll.IMDP("STK",표.실시간[[#This Row],[nxt_code]],"시가")</f>
        <v>54300</v>
      </c>
      <c r="Q146" s="2">
        <f>_xll.IMDP("STK",표.실시간[[#This Row],[nxt_code]],"고가")</f>
        <v>54300</v>
      </c>
      <c r="R146" s="2">
        <f>_xll.IMDP("STK",표.실시간[[#This Row],[nxt_code]],"저가")</f>
        <v>50900</v>
      </c>
      <c r="S146">
        <f>_xll.IMDP("STK",표.실시간[[#This Row],[nxt_code]],"세션명")</f>
        <v>0</v>
      </c>
      <c r="T146">
        <f>_xll.IMDP("STK",표.실시간[[#This Row],[nxt_code]],"체결시간")</f>
        <v>0</v>
      </c>
      <c r="U146" s="2">
        <f>_xll.IMDP("STK","0009K0","현재가")</f>
        <v>52800</v>
      </c>
      <c r="V146">
        <f>_xll.IMDP("STK","0009K0","누적거래량")</f>
        <v>26861</v>
      </c>
    </row>
    <row r="147" spans="2:22" x14ac:dyDescent="0.3">
      <c r="B147">
        <v>139</v>
      </c>
      <c r="C147">
        <v>1</v>
      </c>
      <c r="D147">
        <f>IF(IFERROR(INDEX(표.kospi200[code],MATCH(표.실시간[[#This Row],[코드]],표.kospi200[code],0)),0)=0,0,1)</f>
        <v>1</v>
      </c>
      <c r="E147" t="s">
        <v>152</v>
      </c>
      <c r="F147">
        <v>5850</v>
      </c>
      <c r="G147" t="str">
        <f>ConvertStockCode(표.실시간[[#This Row],[코드]])</f>
        <v>N005850</v>
      </c>
      <c r="H147" s="2">
        <f>_xll.IMDP("STK",표.실시간[[#This Row],[nxt_code]],"현재가")</f>
        <v>54700</v>
      </c>
      <c r="I147" s="2">
        <f>_xll.IMDP("STK",표.실시간[[#This Row],[nxt_code]],"시가총액")/10^12</f>
        <v>2.5407340440000001</v>
      </c>
      <c r="J147" s="2">
        <f>표.실시간[[#This Row],[시가총액 (조원)]]/표.실시간[[#This Row],[현재가]]*(표.실시간[[#This Row],[현재가]]-표.실시간[[#This Row],[대비]])</f>
        <v>2.568603156</v>
      </c>
      <c r="K147" s="3">
        <f>_xll.IMDP("STK",표.실시간[[#This Row],[nxt_code]],"전일대비")</f>
        <v>-600</v>
      </c>
      <c r="L147">
        <f>_xll.IMDP("STK",표.실시간[[#This Row],[nxt_code]],"등락률")</f>
        <v>-1.08</v>
      </c>
      <c r="M147" s="2">
        <f>_xll.IMDP("STK",표.실시간[[#This Row],[nxt_code]],"누적거래량")</f>
        <v>29800</v>
      </c>
      <c r="N147" s="2">
        <f>_xll.IMDP("STK",표.실시간[[#This Row],[nxt_code]],"누적거래대금")/10^8</f>
        <v>15.918319</v>
      </c>
      <c r="O147" s="2">
        <f>_xll.IMDP("STK",표.실시간[[#This Row],[nxt_code]],"가중평균가")</f>
        <v>53365.245231000001</v>
      </c>
      <c r="P147" s="2">
        <f>_xll.IMDP("STK",표.실시간[[#This Row],[nxt_code]],"시가")</f>
        <v>55300</v>
      </c>
      <c r="Q147" s="2">
        <f>_xll.IMDP("STK",표.실시간[[#This Row],[nxt_code]],"고가")</f>
        <v>55300</v>
      </c>
      <c r="R147" s="2">
        <f>_xll.IMDP("STK",표.실시간[[#This Row],[nxt_code]],"저가")</f>
        <v>53000</v>
      </c>
      <c r="S147">
        <f>_xll.IMDP("STK",표.실시간[[#This Row],[nxt_code]],"세션명")</f>
        <v>0</v>
      </c>
      <c r="T147">
        <f>_xll.IMDP("STK",표.실시간[[#This Row],[nxt_code]],"체결시간")</f>
        <v>0</v>
      </c>
      <c r="U147" s="2">
        <f>_xll.IMDP("STK","005850","현재가")</f>
        <v>54500</v>
      </c>
      <c r="V147">
        <f>_xll.IMDP("STK","005850","누적거래량")</f>
        <v>25418</v>
      </c>
    </row>
    <row r="148" spans="2:22" x14ac:dyDescent="0.3">
      <c r="B148">
        <v>140</v>
      </c>
      <c r="C148">
        <v>0</v>
      </c>
      <c r="D148">
        <f>IF(IFERROR(INDEX(표.kospi200[code],MATCH(표.실시간[[#This Row],[코드]],표.kospi200[code],0)),0)=0,0,1)</f>
        <v>0</v>
      </c>
      <c r="E148" t="s">
        <v>153</v>
      </c>
      <c r="F148">
        <v>310210</v>
      </c>
      <c r="G148" t="str">
        <f>ConvertStockCode(표.실시간[[#This Row],[코드]])</f>
        <v>N310210</v>
      </c>
      <c r="H148" s="2">
        <f>_xll.IMDP("STK",표.실시간[[#This Row],[nxt_code]],"현재가")</f>
        <v>218500</v>
      </c>
      <c r="I148" s="2">
        <f>_xll.IMDP("STK",표.실시간[[#This Row],[nxt_code]],"시가총액")/10^12</f>
        <v>4.0189843385000001</v>
      </c>
      <c r="J148" s="2">
        <f>표.실시간[[#This Row],[시가총액 (조원)]]/표.실시간[[#This Row],[현재가]]*(표.실시간[[#This Row],[현재가]]-표.실시간[[#This Row],[대비]])</f>
        <v>4.120148704</v>
      </c>
      <c r="K148" s="3">
        <f>_xll.IMDP("STK",표.실시간[[#This Row],[nxt_code]],"전일대비")</f>
        <v>-5500</v>
      </c>
      <c r="L148">
        <f>_xll.IMDP("STK",표.실시간[[#This Row],[nxt_code]],"등락률")</f>
        <v>-2.46</v>
      </c>
      <c r="M148" s="2">
        <f>_xll.IMDP("STK",표.실시간[[#This Row],[nxt_code]],"누적거래량")</f>
        <v>21229</v>
      </c>
      <c r="N148" s="2">
        <f>_xll.IMDP("STK",표.실시간[[#This Row],[nxt_code]],"누적거래대금")/10^8</f>
        <v>45.485230000000001</v>
      </c>
      <c r="O148" s="2">
        <f>_xll.IMDP("STK",표.실시간[[#This Row],[nxt_code]],"가중평균가")</f>
        <v>214259.88035200001</v>
      </c>
      <c r="P148" s="2">
        <f>_xll.IMDP("STK",표.실시간[[#This Row],[nxt_code]],"시가")</f>
        <v>217000</v>
      </c>
      <c r="Q148" s="2">
        <f>_xll.IMDP("STK",표.실시간[[#This Row],[nxt_code]],"고가")</f>
        <v>220000</v>
      </c>
      <c r="R148" s="2">
        <f>_xll.IMDP("STK",표.실시간[[#This Row],[nxt_code]],"저가")</f>
        <v>209500</v>
      </c>
      <c r="S148">
        <f>_xll.IMDP("STK",표.실시간[[#This Row],[nxt_code]],"세션명")</f>
        <v>0</v>
      </c>
      <c r="T148">
        <f>_xll.IMDP("STK",표.실시간[[#This Row],[nxt_code]],"체결시간")</f>
        <v>0</v>
      </c>
      <c r="U148" s="2">
        <f>_xll.IMDP("STK","310210","현재가")</f>
        <v>217500</v>
      </c>
      <c r="V148">
        <f>_xll.IMDP("STK","310210","누적거래량")</f>
        <v>15922</v>
      </c>
    </row>
    <row r="149" spans="2:22" x14ac:dyDescent="0.3">
      <c r="B149">
        <v>141</v>
      </c>
      <c r="C149">
        <v>0</v>
      </c>
      <c r="D149">
        <f>IF(IFERROR(INDEX(표.kospi200[code],MATCH(표.실시간[[#This Row],[코드]],표.kospi200[code],0)),0)=0,0,1)</f>
        <v>0</v>
      </c>
      <c r="E149" t="s">
        <v>154</v>
      </c>
      <c r="F149">
        <v>30530</v>
      </c>
      <c r="G149" t="str">
        <f>ConvertStockCode(표.실시간[[#This Row],[코드]])</f>
        <v>N030530</v>
      </c>
      <c r="H149" s="2">
        <f>_xll.IMDP("STK",표.실시간[[#This Row],[nxt_code]],"현재가")</f>
        <v>41850</v>
      </c>
      <c r="I149" s="2">
        <f>_xll.IMDP("STK",표.실시간[[#This Row],[nxt_code]],"시가총액")/10^12</f>
        <v>3.2324095048500001</v>
      </c>
      <c r="J149" s="2">
        <f>표.실시간[[#This Row],[시가총액 (조원)]]/표.실시간[[#This Row],[현재가]]*(표.실시간[[#This Row],[현재가]]-표.실시간[[#This Row],[대비]])</f>
        <v>3.2903379906000003</v>
      </c>
      <c r="K149" s="3">
        <f>_xll.IMDP("STK",표.실시간[[#This Row],[nxt_code]],"전일대비")</f>
        <v>-750</v>
      </c>
      <c r="L149">
        <f>_xll.IMDP("STK",표.실시간[[#This Row],[nxt_code]],"등락률")</f>
        <v>-1.06</v>
      </c>
      <c r="M149" s="2">
        <f>_xll.IMDP("STK",표.실시간[[#This Row],[nxt_code]],"누적거래량")</f>
        <v>295018</v>
      </c>
      <c r="N149" s="2">
        <f>_xll.IMDP("STK",표.실시간[[#This Row],[nxt_code]],"누적거래대금")/10^8</f>
        <v>121.34237025</v>
      </c>
      <c r="O149" s="2">
        <f>_xll.IMDP("STK",표.실시간[[#This Row],[nxt_code]],"가중평균가")</f>
        <v>41130.497207</v>
      </c>
      <c r="P149" s="2">
        <f>_xll.IMDP("STK",표.실시간[[#This Row],[nxt_code]],"시가")</f>
        <v>41850</v>
      </c>
      <c r="Q149" s="2">
        <f>_xll.IMDP("STK",표.실시간[[#This Row],[nxt_code]],"고가")</f>
        <v>42350</v>
      </c>
      <c r="R149" s="2">
        <f>_xll.IMDP("STK",표.실시간[[#This Row],[nxt_code]],"저가")</f>
        <v>40400</v>
      </c>
      <c r="S149">
        <f>_xll.IMDP("STK",표.실시간[[#This Row],[nxt_code]],"세션명")</f>
        <v>0</v>
      </c>
      <c r="T149">
        <f>_xll.IMDP("STK",표.실시간[[#This Row],[nxt_code]],"체결시간")</f>
        <v>0</v>
      </c>
      <c r="U149" s="2">
        <f>_xll.IMDP("STK","030530","현재가")</f>
        <v>41850</v>
      </c>
      <c r="V149">
        <f>_xll.IMDP("STK","030530","누적거래량")</f>
        <v>155338</v>
      </c>
    </row>
    <row r="150" spans="2:22" x14ac:dyDescent="0.3">
      <c r="B150">
        <v>142</v>
      </c>
      <c r="C150">
        <v>1</v>
      </c>
      <c r="D150">
        <f>IF(IFERROR(INDEX(표.kospi200[code],MATCH(표.실시간[[#This Row],[코드]],표.kospi200[code],0)),0)=0,0,1)</f>
        <v>1</v>
      </c>
      <c r="E150" t="s">
        <v>155</v>
      </c>
      <c r="F150">
        <v>97950</v>
      </c>
      <c r="G150" t="str">
        <f>ConvertStockCode(표.실시간[[#This Row],[코드]])</f>
        <v>N097950</v>
      </c>
      <c r="H150" s="2">
        <f>_xll.IMDP("STK",표.실시간[[#This Row],[nxt_code]],"현재가")</f>
        <v>212000</v>
      </c>
      <c r="I150" s="2">
        <f>_xll.IMDP("STK",표.실시간[[#This Row],[nxt_code]],"시가총액")/10^12</f>
        <v>3.1914874320000002</v>
      </c>
      <c r="J150" s="2">
        <f>표.실시간[[#This Row],[시가총액 (조원)]]/표.실시간[[#This Row],[현재가]]*(표.실시간[[#This Row],[현재가]]-표.실시간[[#This Row],[대비]])</f>
        <v>3.2215958040000001</v>
      </c>
      <c r="K150" s="3">
        <f>_xll.IMDP("STK",표.실시간[[#This Row],[nxt_code]],"전일대비")</f>
        <v>-2000</v>
      </c>
      <c r="L150">
        <f>_xll.IMDP("STK",표.실시간[[#This Row],[nxt_code]],"등락률")</f>
        <v>-0.7</v>
      </c>
      <c r="M150" s="2">
        <f>_xll.IMDP("STK",표.실시간[[#This Row],[nxt_code]],"누적거래량")</f>
        <v>3926</v>
      </c>
      <c r="N150" s="2">
        <f>_xll.IMDP("STK",표.실시간[[#This Row],[nxt_code]],"누적거래대금")/10^8</f>
        <v>8.3378549999999994</v>
      </c>
      <c r="O150" s="2">
        <f>_xll.IMDP("STK",표.실시간[[#This Row],[nxt_code]],"가중평균가")</f>
        <v>212375.31839</v>
      </c>
      <c r="P150" s="2">
        <f>_xll.IMDP("STK",표.실시간[[#This Row],[nxt_code]],"시가")</f>
        <v>214000</v>
      </c>
      <c r="Q150" s="2">
        <f>_xll.IMDP("STK",표.실시간[[#This Row],[nxt_code]],"고가")</f>
        <v>214000</v>
      </c>
      <c r="R150" s="2">
        <f>_xll.IMDP("STK",표.실시간[[#This Row],[nxt_code]],"저가")</f>
        <v>211000</v>
      </c>
      <c r="S150">
        <f>_xll.IMDP("STK",표.실시간[[#This Row],[nxt_code]],"세션명")</f>
        <v>0</v>
      </c>
      <c r="T150">
        <f>_xll.IMDP("STK",표.실시간[[#This Row],[nxt_code]],"체결시간")</f>
        <v>0</v>
      </c>
      <c r="U150" s="2">
        <f>_xll.IMDP("STK","097950","현재가")</f>
        <v>211500</v>
      </c>
      <c r="V150">
        <f>_xll.IMDP("STK","097950","누적거래량")</f>
        <v>5161</v>
      </c>
    </row>
    <row r="151" spans="2:22" x14ac:dyDescent="0.3">
      <c r="B151">
        <v>143</v>
      </c>
      <c r="C151">
        <v>1</v>
      </c>
      <c r="D151">
        <f>IF(IFERROR(INDEX(표.kospi200[code],MATCH(표.실시간[[#This Row],[코드]],표.kospi200[code],0)),0)=0,0,1)</f>
        <v>1</v>
      </c>
      <c r="E151" t="s">
        <v>156</v>
      </c>
      <c r="F151">
        <v>71970</v>
      </c>
      <c r="G151" t="str">
        <f>ConvertStockCode(표.실시간[[#This Row],[코드]])</f>
        <v>N071970</v>
      </c>
      <c r="H151" s="2">
        <f>_xll.IMDP("STK",표.실시간[[#This Row],[nxt_code]],"현재가")</f>
        <v>86800</v>
      </c>
      <c r="I151" s="2">
        <f>_xll.IMDP("STK",표.실시간[[#This Row],[nxt_code]],"시가총액")/10^12</f>
        <v>2.9443857659999999</v>
      </c>
      <c r="J151" s="2">
        <f>표.실시간[[#This Row],[시가총액 (조원)]]/표.실시간[[#This Row],[현재가]]*(표.실시간[[#This Row],[현재가]]-표.실시간[[#This Row],[대비]])</f>
        <v>3.0156209054999996</v>
      </c>
      <c r="K151" s="3">
        <f>_xll.IMDP("STK",표.실시간[[#This Row],[nxt_code]],"전일대비")</f>
        <v>-2100</v>
      </c>
      <c r="L151">
        <f>_xll.IMDP("STK",표.실시간[[#This Row],[nxt_code]],"등락률")</f>
        <v>-1.92</v>
      </c>
      <c r="M151" s="2">
        <f>_xll.IMDP("STK",표.실시간[[#This Row],[nxt_code]],"누적거래량")</f>
        <v>38157</v>
      </c>
      <c r="N151" s="2">
        <f>_xll.IMDP("STK",표.실시간[[#This Row],[nxt_code]],"누적거래대금")/10^8</f>
        <v>33.0903505</v>
      </c>
      <c r="O151" s="2">
        <f>_xll.IMDP("STK",표.실시간[[#This Row],[nxt_code]],"가중평균가")</f>
        <v>86721.572713000001</v>
      </c>
      <c r="P151" s="2">
        <f>_xll.IMDP("STK",표.실시간[[#This Row],[nxt_code]],"시가")</f>
        <v>88500</v>
      </c>
      <c r="Q151" s="2">
        <f>_xll.IMDP("STK",표.실시간[[#This Row],[nxt_code]],"고가")</f>
        <v>88500</v>
      </c>
      <c r="R151" s="2">
        <f>_xll.IMDP("STK",표.실시간[[#This Row],[nxt_code]],"저가")</f>
        <v>85700</v>
      </c>
      <c r="S151">
        <f>_xll.IMDP("STK",표.실시간[[#This Row],[nxt_code]],"세션명")</f>
        <v>0</v>
      </c>
      <c r="T151">
        <f>_xll.IMDP("STK",표.실시간[[#This Row],[nxt_code]],"체결시간")</f>
        <v>0</v>
      </c>
      <c r="U151" s="2">
        <f>_xll.IMDP("STK","071970","현재가")</f>
        <v>86600</v>
      </c>
      <c r="V151">
        <f>_xll.IMDP("STK","071970","누적거래량")</f>
        <v>22801</v>
      </c>
    </row>
    <row r="152" spans="2:22" x14ac:dyDescent="0.3">
      <c r="B152">
        <v>144</v>
      </c>
      <c r="C152">
        <v>1</v>
      </c>
      <c r="D152">
        <f>IF(IFERROR(INDEX(표.kospi200[code],MATCH(표.실시간[[#This Row],[코드]],표.kospi200[code],0)),0)=0,0,1)</f>
        <v>1</v>
      </c>
      <c r="E152" t="s">
        <v>157</v>
      </c>
      <c r="F152">
        <v>11170</v>
      </c>
      <c r="G152" t="str">
        <f>ConvertStockCode(표.실시간[[#This Row],[코드]])</f>
        <v>N011170</v>
      </c>
      <c r="H152" s="2">
        <f>_xll.IMDP("STK",표.실시간[[#This Row],[nxt_code]],"현재가")</f>
        <v>80700</v>
      </c>
      <c r="I152" s="2">
        <f>_xll.IMDP("STK",표.실시간[[#This Row],[nxt_code]],"시가총액")/10^12</f>
        <v>3.4519763132999999</v>
      </c>
      <c r="J152" s="2">
        <f>표.실시간[[#This Row],[시가총액 (조원)]]/표.실시간[[#This Row],[현재가]]*(표.실시간[[#This Row],[현재가]]-표.실시간[[#This Row],[대비]])</f>
        <v>3.5674699445999996</v>
      </c>
      <c r="K152" s="3">
        <f>_xll.IMDP("STK",표.실시간[[#This Row],[nxt_code]],"전일대비")</f>
        <v>-2700</v>
      </c>
      <c r="L152">
        <f>_xll.IMDP("STK",표.실시간[[#This Row],[nxt_code]],"등락률")</f>
        <v>-3.24</v>
      </c>
      <c r="M152" s="2">
        <f>_xll.IMDP("STK",표.실시간[[#This Row],[nxt_code]],"누적거래량")</f>
        <v>17999</v>
      </c>
      <c r="N152" s="2">
        <f>_xll.IMDP("STK",표.실시간[[#This Row],[nxt_code]],"누적거래대금")/10^8</f>
        <v>14.607611</v>
      </c>
      <c r="O152" s="2">
        <f>_xll.IMDP("STK",표.실시간[[#This Row],[nxt_code]],"가중평균가")</f>
        <v>81158.259661000004</v>
      </c>
      <c r="P152" s="2">
        <f>_xll.IMDP("STK",표.실시간[[#This Row],[nxt_code]],"시가")</f>
        <v>82300</v>
      </c>
      <c r="Q152" s="2">
        <f>_xll.IMDP("STK",표.실시간[[#This Row],[nxt_code]],"고가")</f>
        <v>83000</v>
      </c>
      <c r="R152" s="2">
        <f>_xll.IMDP("STK",표.실시간[[#This Row],[nxt_code]],"저가")</f>
        <v>80400</v>
      </c>
      <c r="S152">
        <f>_xll.IMDP("STK",표.실시간[[#This Row],[nxt_code]],"세션명")</f>
        <v>0</v>
      </c>
      <c r="T152">
        <f>_xll.IMDP("STK",표.실시간[[#This Row],[nxt_code]],"체결시간")</f>
        <v>0</v>
      </c>
      <c r="U152" s="2">
        <f>_xll.IMDP("STK","011170","현재가")</f>
        <v>80900</v>
      </c>
      <c r="V152">
        <f>_xll.IMDP("STK","011170","누적거래량")</f>
        <v>15961</v>
      </c>
    </row>
    <row r="153" spans="2:22" x14ac:dyDescent="0.3">
      <c r="B153">
        <v>145</v>
      </c>
      <c r="C153">
        <v>1</v>
      </c>
      <c r="D153">
        <f>IF(IFERROR(INDEX(표.kospi200[code],MATCH(표.실시간[[#This Row],[코드]],표.kospi200[code],0)),0)=0,0,1)</f>
        <v>1</v>
      </c>
      <c r="E153" t="s">
        <v>158</v>
      </c>
      <c r="F153">
        <v>4990</v>
      </c>
      <c r="G153" t="str">
        <f>ConvertStockCode(표.실시간[[#This Row],[코드]])</f>
        <v>N004990</v>
      </c>
      <c r="H153" s="2">
        <f>_xll.IMDP("STK",표.실시간[[#This Row],[nxt_code]],"현재가")</f>
        <v>31000</v>
      </c>
      <c r="I153" s="2">
        <f>_xll.IMDP("STK",표.실시간[[#This Row],[nxt_code]],"시가총액")/10^12</f>
        <v>3.2521863469999999</v>
      </c>
      <c r="J153" s="2">
        <f>표.실시간[[#This Row],[시가총액 (조원)]]/표.실시간[[#This Row],[현재가]]*(표.실시간[[#This Row],[현재가]]-표.실시간[[#This Row],[대비]])</f>
        <v>3.2941500418</v>
      </c>
      <c r="K153" s="3">
        <f>_xll.IMDP("STK",표.실시간[[#This Row],[nxt_code]],"전일대비")</f>
        <v>-400</v>
      </c>
      <c r="L153">
        <f>_xll.IMDP("STK",표.실시간[[#This Row],[nxt_code]],"등락률")</f>
        <v>-1.27</v>
      </c>
      <c r="M153" s="2">
        <f>_xll.IMDP("STK",표.실시간[[#This Row],[nxt_code]],"누적거래량")</f>
        <v>48211</v>
      </c>
      <c r="N153" s="2">
        <f>_xll.IMDP("STK",표.실시간[[#This Row],[nxt_code]],"누적거래대금")/10^8</f>
        <v>14.847068</v>
      </c>
      <c r="O153" s="2">
        <f>_xll.IMDP("STK",표.실시간[[#This Row],[nxt_code]],"가중평균가")</f>
        <v>30879.608388000001</v>
      </c>
      <c r="P153" s="2">
        <f>_xll.IMDP("STK",표.실시간[[#This Row],[nxt_code]],"시가")</f>
        <v>31100</v>
      </c>
      <c r="Q153" s="2">
        <f>_xll.IMDP("STK",표.실시간[[#This Row],[nxt_code]],"고가")</f>
        <v>31400</v>
      </c>
      <c r="R153" s="2">
        <f>_xll.IMDP("STK",표.실시간[[#This Row],[nxt_code]],"저가")</f>
        <v>30550</v>
      </c>
      <c r="S153">
        <f>_xll.IMDP("STK",표.실시간[[#This Row],[nxt_code]],"세션명")</f>
        <v>0</v>
      </c>
      <c r="T153">
        <f>_xll.IMDP("STK",표.실시간[[#This Row],[nxt_code]],"체결시간")</f>
        <v>0</v>
      </c>
      <c r="U153" s="2">
        <f>_xll.IMDP("STK","004990","현재가")</f>
        <v>31000</v>
      </c>
      <c r="V153">
        <f>_xll.IMDP("STK","004990","누적거래량")</f>
        <v>11651</v>
      </c>
    </row>
    <row r="154" spans="2:22" x14ac:dyDescent="0.3">
      <c r="B154">
        <v>146</v>
      </c>
      <c r="C154">
        <v>0</v>
      </c>
      <c r="D154">
        <f>IF(IFERROR(INDEX(표.kospi200[code],MATCH(표.실시간[[#This Row],[코드]],표.kospi200[code],0)),0)=0,0,1)</f>
        <v>0</v>
      </c>
      <c r="E154" t="s">
        <v>159</v>
      </c>
      <c r="F154">
        <v>140410</v>
      </c>
      <c r="G154" t="str">
        <f>ConvertStockCode(표.실시간[[#This Row],[코드]])</f>
        <v>N140410</v>
      </c>
      <c r="H154" s="2">
        <f>_xll.IMDP("STK",표.실시간[[#This Row],[nxt_code]],"현재가")</f>
        <v>160700</v>
      </c>
      <c r="I154" s="2">
        <f>_xll.IMDP("STK",표.실시간[[#This Row],[nxt_code]],"시가총액")/10^12</f>
        <v>4.8794809798000003</v>
      </c>
      <c r="J154" s="2">
        <f>표.실시간[[#This Row],[시가총액 (조원)]]/표.실시간[[#This Row],[현재가]]*(표.실시간[[#This Row],[현재가]]-표.실시간[[#This Row],[대비]])</f>
        <v>5.2468843392000002</v>
      </c>
      <c r="K154" s="3">
        <f>_xll.IMDP("STK",표.실시간[[#This Row],[nxt_code]],"전일대비")</f>
        <v>-12100</v>
      </c>
      <c r="L154">
        <f>_xll.IMDP("STK",표.실시간[[#This Row],[nxt_code]],"등락률")</f>
        <v>-6.79</v>
      </c>
      <c r="M154" s="2">
        <f>_xll.IMDP("STK",표.실시간[[#This Row],[nxt_code]],"누적거래량")</f>
        <v>84314</v>
      </c>
      <c r="N154" s="2">
        <f>_xll.IMDP("STK",표.실시간[[#This Row],[nxt_code]],"누적거래대금")/10^8</f>
        <v>137.61044100000001</v>
      </c>
      <c r="O154" s="2">
        <f>_xll.IMDP("STK",표.실시간[[#This Row],[nxt_code]],"가중평균가")</f>
        <v>163211.852124</v>
      </c>
      <c r="P154" s="2">
        <f>_xll.IMDP("STK",표.실시간[[#This Row],[nxt_code]],"시가")</f>
        <v>171900</v>
      </c>
      <c r="Q154" s="2">
        <f>_xll.IMDP("STK",표.실시간[[#This Row],[nxt_code]],"고가")</f>
        <v>171900</v>
      </c>
      <c r="R154" s="2">
        <f>_xll.IMDP("STK",표.실시간[[#This Row],[nxt_code]],"저가")</f>
        <v>157200</v>
      </c>
      <c r="S154">
        <f>_xll.IMDP("STK",표.실시간[[#This Row],[nxt_code]],"세션명")</f>
        <v>0</v>
      </c>
      <c r="T154">
        <f>_xll.IMDP("STK",표.실시간[[#This Row],[nxt_code]],"체결시간")</f>
        <v>0</v>
      </c>
      <c r="U154" s="2">
        <f>_xll.IMDP("STK","140410","현재가")</f>
        <v>160100</v>
      </c>
      <c r="V154">
        <f>_xll.IMDP("STK","140410","누적거래량")</f>
        <v>45125</v>
      </c>
    </row>
    <row r="155" spans="2:22" x14ac:dyDescent="0.3">
      <c r="B155">
        <v>147</v>
      </c>
      <c r="C155">
        <v>1</v>
      </c>
      <c r="D155">
        <f>IF(IFERROR(INDEX(표.kospi200[code],MATCH(표.실시간[[#This Row],[코드]],표.kospi200[code],0)),0)=0,0,1)</f>
        <v>1</v>
      </c>
      <c r="E155" t="s">
        <v>160</v>
      </c>
      <c r="F155">
        <v>14680</v>
      </c>
      <c r="G155" t="str">
        <f>ConvertStockCode(표.실시간[[#This Row],[코드]])</f>
        <v>N014680</v>
      </c>
      <c r="H155" s="2">
        <f>_xll.IMDP("STK",표.실시간[[#This Row],[nxt_code]],"현재가")</f>
        <v>284000</v>
      </c>
      <c r="I155" s="2">
        <f>_xll.IMDP("STK",표.실시간[[#This Row],[nxt_code]],"시가총액")/10^12</f>
        <v>3.2135277824999999</v>
      </c>
      <c r="J155" s="2">
        <f>표.실시간[[#This Row],[시가총액 (조원)]]/표.실시간[[#This Row],[현재가]]*(표.실시간[[#This Row],[현재가]]-표.실시간[[#This Row],[대비]])</f>
        <v>3.1965549244938378</v>
      </c>
      <c r="K155" s="3">
        <f>_xll.IMDP("STK",표.실시간[[#This Row],[nxt_code]],"전일대비")</f>
        <v>1500</v>
      </c>
      <c r="L155">
        <f>_xll.IMDP("STK",표.실시간[[#This Row],[nxt_code]],"등락률")</f>
        <v>0.53</v>
      </c>
      <c r="M155" s="2">
        <f>_xll.IMDP("STK",표.실시간[[#This Row],[nxt_code]],"누적거래량")</f>
        <v>4137</v>
      </c>
      <c r="N155" s="2">
        <f>_xll.IMDP("STK",표.실시간[[#This Row],[nxt_code]],"누적거래대금")/10^8</f>
        <v>11.385375</v>
      </c>
      <c r="O155" s="2">
        <f>_xll.IMDP("STK",표.실시간[[#This Row],[nxt_code]],"가중평균가")</f>
        <v>275208.48440900003</v>
      </c>
      <c r="P155" s="2">
        <f>_xll.IMDP("STK",표.실시간[[#This Row],[nxt_code]],"시가")</f>
        <v>283000</v>
      </c>
      <c r="Q155" s="2">
        <f>_xll.IMDP("STK",표.실시간[[#This Row],[nxt_code]],"고가")</f>
        <v>284000</v>
      </c>
      <c r="R155" s="2">
        <f>_xll.IMDP("STK",표.실시간[[#This Row],[nxt_code]],"저가")</f>
        <v>272000</v>
      </c>
      <c r="S155">
        <f>_xll.IMDP("STK",표.실시간[[#This Row],[nxt_code]],"세션명")</f>
        <v>0</v>
      </c>
      <c r="T155">
        <f>_xll.IMDP("STK",표.실시간[[#This Row],[nxt_code]],"체결시간")</f>
        <v>0</v>
      </c>
      <c r="U155" s="2">
        <f>_xll.IMDP("STK","014680","현재가")</f>
        <v>284500</v>
      </c>
      <c r="V155">
        <f>_xll.IMDP("STK","014680","누적거래량")</f>
        <v>7529</v>
      </c>
    </row>
    <row r="156" spans="2:22" x14ac:dyDescent="0.3">
      <c r="B156">
        <v>148</v>
      </c>
      <c r="C156">
        <v>1</v>
      </c>
      <c r="D156">
        <f>IF(IFERROR(INDEX(표.kospi200[code],MATCH(표.실시간[[#This Row],[코드]],표.kospi200[code],0)),0)=0,0,1)</f>
        <v>1</v>
      </c>
      <c r="E156" t="s">
        <v>161</v>
      </c>
      <c r="F156">
        <v>12750</v>
      </c>
      <c r="G156" t="str">
        <f>ConvertStockCode(표.실시간[[#This Row],[코드]])</f>
        <v>N012750</v>
      </c>
      <c r="H156" s="2">
        <f>_xll.IMDP("STK",표.실시간[[#This Row],[nxt_code]],"현재가")</f>
        <v>82100</v>
      </c>
      <c r="I156" s="2">
        <f>_xll.IMDP("STK",표.실시간[[#This Row],[nxt_code]],"시가총액")/10^12</f>
        <v>3.1197325137999998</v>
      </c>
      <c r="J156" s="2">
        <f>표.실시간[[#This Row],[시가총액 (조원)]]/표.실시간[[#This Row],[현재가]]*(표.실시간[[#This Row],[현재가]]-표.실시간[[#This Row],[대비]])</f>
        <v>3.0095348976</v>
      </c>
      <c r="K156" s="3">
        <f>_xll.IMDP("STK",표.실시간[[#This Row],[nxt_code]],"전일대비")</f>
        <v>2900</v>
      </c>
      <c r="L156">
        <f>_xll.IMDP("STK",표.실시간[[#This Row],[nxt_code]],"등락률")</f>
        <v>3.14</v>
      </c>
      <c r="M156" s="2">
        <f>_xll.IMDP("STK",표.실시간[[#This Row],[nxt_code]],"누적거래량")</f>
        <v>3040</v>
      </c>
      <c r="N156" s="2">
        <f>_xll.IMDP("STK",표.실시간[[#This Row],[nxt_code]],"누적거래대금")/10^8</f>
        <v>2.4566629999999998</v>
      </c>
      <c r="O156" s="2">
        <f>_xll.IMDP("STK",표.실시간[[#This Row],[nxt_code]],"가중평균가")</f>
        <v>80811.282894999997</v>
      </c>
      <c r="P156" s="2">
        <f>_xll.IMDP("STK",표.실시간[[#This Row],[nxt_code]],"시가")</f>
        <v>79600</v>
      </c>
      <c r="Q156" s="2">
        <f>_xll.IMDP("STK",표.실시간[[#This Row],[nxt_code]],"고가")</f>
        <v>82500</v>
      </c>
      <c r="R156" s="2">
        <f>_xll.IMDP("STK",표.실시간[[#This Row],[nxt_code]],"저가")</f>
        <v>78600</v>
      </c>
      <c r="S156">
        <f>_xll.IMDP("STK",표.실시간[[#This Row],[nxt_code]],"세션명")</f>
        <v>0</v>
      </c>
      <c r="T156">
        <f>_xll.IMDP("STK",표.실시간[[#This Row],[nxt_code]],"체결시간")</f>
        <v>0</v>
      </c>
      <c r="U156" s="2">
        <f>_xll.IMDP("STK","012750","현재가")</f>
        <v>82300</v>
      </c>
      <c r="V156">
        <f>_xll.IMDP("STK","012750","누적거래량")</f>
        <v>10023</v>
      </c>
    </row>
    <row r="157" spans="2:22" x14ac:dyDescent="0.3">
      <c r="B157">
        <v>149</v>
      </c>
      <c r="C157">
        <v>1</v>
      </c>
      <c r="D157">
        <f>IF(IFERROR(INDEX(표.kospi200[code],MATCH(표.실시간[[#This Row],[코드]],표.kospi200[code],0)),0)=0,0,1)</f>
        <v>0</v>
      </c>
      <c r="E157" t="s">
        <v>162</v>
      </c>
      <c r="F157">
        <v>103590</v>
      </c>
      <c r="G157" t="str">
        <f>ConvertStockCode(표.실시간[[#This Row],[코드]])</f>
        <v>N103590</v>
      </c>
      <c r="H157" s="2">
        <f>_xll.IMDP("STK",표.실시간[[#This Row],[nxt_code]],"현재가")</f>
        <v>64800</v>
      </c>
      <c r="I157" s="2">
        <f>_xll.IMDP("STK",표.실시간[[#This Row],[nxt_code]],"시가총액")/10^12</f>
        <v>3.0900132720000002</v>
      </c>
      <c r="J157" s="2">
        <f>표.실시간[[#This Row],[시가총액 (조원)]]/표.실시간[[#This Row],[현재가]]*(표.실시간[[#This Row],[현재가]]-표.실시간[[#This Row],[대비]])</f>
        <v>3.19492113</v>
      </c>
      <c r="K157" s="3">
        <f>_xll.IMDP("STK",표.실시간[[#This Row],[nxt_code]],"전일대비")</f>
        <v>-2200</v>
      </c>
      <c r="L157">
        <f>_xll.IMDP("STK",표.실시간[[#This Row],[nxt_code]],"등락률")</f>
        <v>-3.28</v>
      </c>
      <c r="M157" s="2">
        <f>_xll.IMDP("STK",표.실시간[[#This Row],[nxt_code]],"누적거래량")</f>
        <v>143846</v>
      </c>
      <c r="N157" s="2">
        <f>_xll.IMDP("STK",표.실시간[[#This Row],[nxt_code]],"누적거래대금")/10^8</f>
        <v>93.629012000000003</v>
      </c>
      <c r="O157" s="2">
        <f>_xll.IMDP("STK",표.실시간[[#This Row],[nxt_code]],"가중평균가")</f>
        <v>65089.757101000003</v>
      </c>
      <c r="P157" s="2">
        <f>_xll.IMDP("STK",표.실시간[[#This Row],[nxt_code]],"시가")</f>
        <v>67000</v>
      </c>
      <c r="Q157" s="2">
        <f>_xll.IMDP("STK",표.실시간[[#This Row],[nxt_code]],"고가")</f>
        <v>69000</v>
      </c>
      <c r="R157" s="2">
        <f>_xll.IMDP("STK",표.실시간[[#This Row],[nxt_code]],"저가")</f>
        <v>63500</v>
      </c>
      <c r="S157">
        <f>_xll.IMDP("STK",표.실시간[[#This Row],[nxt_code]],"세션명")</f>
        <v>0</v>
      </c>
      <c r="T157">
        <f>_xll.IMDP("STK",표.실시간[[#This Row],[nxt_code]],"체결시간")</f>
        <v>0</v>
      </c>
      <c r="U157" s="2">
        <f>_xll.IMDP("STK","103590","현재가")</f>
        <v>64800</v>
      </c>
      <c r="V157">
        <f>_xll.IMDP("STK","103590","누적거래량")</f>
        <v>61109</v>
      </c>
    </row>
    <row r="158" spans="2:22" x14ac:dyDescent="0.3">
      <c r="B158">
        <v>150</v>
      </c>
      <c r="C158">
        <v>1</v>
      </c>
      <c r="D158">
        <f>IF(IFERROR(INDEX(표.kospi200[code],MATCH(표.실시간[[#This Row],[코드]],표.kospi200[code],0)),0)=0,0,1)</f>
        <v>0</v>
      </c>
      <c r="E158" t="s">
        <v>163</v>
      </c>
      <c r="F158">
        <v>12510</v>
      </c>
      <c r="G158" t="str">
        <f>ConvertStockCode(표.실시간[[#This Row],[코드]])</f>
        <v>N012510</v>
      </c>
      <c r="H158" s="2">
        <f>_xll.IMDP("STK",표.실시간[[#This Row],[nxt_code]],"현재가")</f>
        <v>94200</v>
      </c>
      <c r="I158" s="2">
        <f>_xll.IMDP("STK",표.실시간[[#This Row],[nxt_code]],"시가총액")/10^12</f>
        <v>2.8620582527999998</v>
      </c>
      <c r="J158" s="2">
        <f>표.실시간[[#This Row],[시가총액 (조원)]]/표.실시간[[#This Row],[현재가]]*(표.실시간[[#This Row],[현재가]]-표.실시간[[#This Row],[대비]])</f>
        <v>2.9501683264</v>
      </c>
      <c r="K158" s="3">
        <f>_xll.IMDP("STK",표.실시간[[#This Row],[nxt_code]],"전일대비")</f>
        <v>-2900</v>
      </c>
      <c r="L158">
        <f>_xll.IMDP("STK",표.실시간[[#This Row],[nxt_code]],"등락률")</f>
        <v>-3.29</v>
      </c>
      <c r="M158" s="2">
        <f>_xll.IMDP("STK",표.실시간[[#This Row],[nxt_code]],"누적거래량")</f>
        <v>37711</v>
      </c>
      <c r="N158" s="2">
        <f>_xll.IMDP("STK",표.실시간[[#This Row],[nxt_code]],"누적거래대금")/10^8</f>
        <v>35.897084999999997</v>
      </c>
      <c r="O158" s="2">
        <f>_xll.IMDP("STK",표.실시간[[#This Row],[nxt_code]],"가중평균가")</f>
        <v>94830.361388000005</v>
      </c>
      <c r="P158" s="2">
        <f>_xll.IMDP("STK",표.실시간[[#This Row],[nxt_code]],"시가")</f>
        <v>98000</v>
      </c>
      <c r="Q158" s="2">
        <f>_xll.IMDP("STK",표.실시간[[#This Row],[nxt_code]],"고가")</f>
        <v>98000</v>
      </c>
      <c r="R158" s="2">
        <f>_xll.IMDP("STK",표.실시간[[#This Row],[nxt_code]],"저가")</f>
        <v>93500</v>
      </c>
      <c r="S158">
        <f>_xll.IMDP("STK",표.실시간[[#This Row],[nxt_code]],"세션명")</f>
        <v>0</v>
      </c>
      <c r="T158">
        <f>_xll.IMDP("STK",표.실시간[[#This Row],[nxt_code]],"체결시간")</f>
        <v>0</v>
      </c>
      <c r="U158" s="2">
        <f>_xll.IMDP("STK","012510","현재가")</f>
        <v>94200</v>
      </c>
      <c r="V158">
        <f>_xll.IMDP("STK","012510","누적거래량")</f>
        <v>18098</v>
      </c>
    </row>
    <row r="159" spans="2:22" x14ac:dyDescent="0.3">
      <c r="B159">
        <v>151</v>
      </c>
      <c r="C159">
        <v>0</v>
      </c>
      <c r="D159">
        <f>IF(IFERROR(INDEX(표.kospi200[code],MATCH(표.실시간[[#This Row],[코드]],표.kospi200[code],0)),0)=0,0,1)</f>
        <v>0</v>
      </c>
      <c r="E159" t="s">
        <v>164</v>
      </c>
      <c r="F159">
        <v>257720</v>
      </c>
      <c r="G159" t="str">
        <f>ConvertStockCode(표.실시간[[#This Row],[코드]])</f>
        <v>N257720</v>
      </c>
      <c r="H159" s="2">
        <f>_xll.IMDP("STK",표.실시간[[#This Row],[nxt_code]],"현재가")</f>
        <v>52600</v>
      </c>
      <c r="I159" s="2">
        <f>_xll.IMDP("STK",표.실시간[[#This Row],[nxt_code]],"시가총액")/10^12</f>
        <v>3.2176423608000002</v>
      </c>
      <c r="J159" s="2">
        <f>표.실시간[[#This Row],[시가총액 (조원)]]/표.실시간[[#This Row],[현재가]]*(표.실시간[[#This Row],[현재가]]-표.실시간[[#This Row],[대비]])</f>
        <v>3.2421111240000005</v>
      </c>
      <c r="K159" s="3">
        <f>_xll.IMDP("STK",표.실시간[[#This Row],[nxt_code]],"전일대비")</f>
        <v>-400</v>
      </c>
      <c r="L159">
        <f>_xll.IMDP("STK",표.실시간[[#This Row],[nxt_code]],"등락률")</f>
        <v>-0.75</v>
      </c>
      <c r="M159" s="2">
        <f>_xll.IMDP("STK",표.실시간[[#This Row],[nxt_code]],"누적거래량")</f>
        <v>124127</v>
      </c>
      <c r="N159" s="2">
        <f>_xll.IMDP("STK",표.실시간[[#This Row],[nxt_code]],"누적거래대금")/10^8</f>
        <v>64.646720999999999</v>
      </c>
      <c r="O159" s="2">
        <f>_xll.IMDP("STK",표.실시간[[#This Row],[nxt_code]],"가중평균가")</f>
        <v>52081.111280999998</v>
      </c>
      <c r="P159" s="2">
        <f>_xll.IMDP("STK",표.실시간[[#This Row],[nxt_code]],"시가")</f>
        <v>51900</v>
      </c>
      <c r="Q159" s="2">
        <f>_xll.IMDP("STK",표.실시간[[#This Row],[nxt_code]],"고가")</f>
        <v>53700</v>
      </c>
      <c r="R159" s="2">
        <f>_xll.IMDP("STK",표.실시간[[#This Row],[nxt_code]],"저가")</f>
        <v>51100</v>
      </c>
      <c r="S159">
        <f>_xll.IMDP("STK",표.실시간[[#This Row],[nxt_code]],"세션명")</f>
        <v>0</v>
      </c>
      <c r="T159">
        <f>_xll.IMDP("STK",표.실시간[[#This Row],[nxt_code]],"체결시간")</f>
        <v>0</v>
      </c>
      <c r="U159" s="2">
        <f>_xll.IMDP("STK","257720","현재가")</f>
        <v>52600</v>
      </c>
      <c r="V159">
        <f>_xll.IMDP("STK","257720","누적거래량")</f>
        <v>87454</v>
      </c>
    </row>
    <row r="160" spans="2:22" x14ac:dyDescent="0.3">
      <c r="B160">
        <v>152</v>
      </c>
      <c r="C160">
        <v>0</v>
      </c>
      <c r="D160">
        <f>IF(IFERROR(INDEX(표.kospi200[code],MATCH(표.실시간[[#This Row],[코드]],표.kospi200[code],0)),0)=0,0,1)</f>
        <v>0</v>
      </c>
      <c r="E160" t="s">
        <v>165</v>
      </c>
      <c r="F160">
        <v>403870</v>
      </c>
      <c r="G160" t="str">
        <f>ConvertStockCode(표.실시간[[#This Row],[코드]])</f>
        <v>N403870</v>
      </c>
      <c r="H160" s="2">
        <f>_xll.IMDP("STK",표.실시간[[#This Row],[nxt_code]],"현재가")</f>
        <v>45200</v>
      </c>
      <c r="I160" s="2">
        <f>_xll.IMDP("STK",표.실시간[[#This Row],[nxt_code]],"시가총액")/10^12</f>
        <v>3.7967602239999998</v>
      </c>
      <c r="J160" s="2">
        <f>표.실시간[[#This Row],[시가총액 (조원)]]/표.실시간[[#This Row],[현재가]]*(표.실시간[[#This Row],[현재가]]-표.실시간[[#This Row],[대비]])</f>
        <v>3.9521585959999999</v>
      </c>
      <c r="K160" s="3">
        <f>_xll.IMDP("STK",표.실시간[[#This Row],[nxt_code]],"전일대비")</f>
        <v>-1850</v>
      </c>
      <c r="L160">
        <f>_xll.IMDP("STK",표.실시간[[#This Row],[nxt_code]],"등락률")</f>
        <v>-2.8</v>
      </c>
      <c r="M160" s="2">
        <f>_xll.IMDP("STK",표.실시간[[#This Row],[nxt_code]],"누적거래량")</f>
        <v>564991</v>
      </c>
      <c r="N160" s="2">
        <f>_xll.IMDP("STK",표.실시간[[#This Row],[nxt_code]],"누적거래대금")/10^8</f>
        <v>251.07164900000001</v>
      </c>
      <c r="O160" s="2">
        <f>_xll.IMDP("STK",표.실시간[[#This Row],[nxt_code]],"가중평균가")</f>
        <v>44392.247132999997</v>
      </c>
      <c r="P160" s="2">
        <f>_xll.IMDP("STK",표.실시간[[#This Row],[nxt_code]],"시가")</f>
        <v>46000</v>
      </c>
      <c r="Q160" s="2">
        <f>_xll.IMDP("STK",표.실시간[[#This Row],[nxt_code]],"고가")</f>
        <v>46000</v>
      </c>
      <c r="R160" s="2">
        <f>_xll.IMDP("STK",표.실시간[[#This Row],[nxt_code]],"저가")</f>
        <v>43250</v>
      </c>
      <c r="S160">
        <f>_xll.IMDP("STK",표.실시간[[#This Row],[nxt_code]],"세션명")</f>
        <v>0</v>
      </c>
      <c r="T160">
        <f>_xll.IMDP("STK",표.실시간[[#This Row],[nxt_code]],"체결시간")</f>
        <v>0</v>
      </c>
      <c r="U160" s="2">
        <f>_xll.IMDP("STK","403870","현재가")</f>
        <v>45200</v>
      </c>
      <c r="V160">
        <f>_xll.IMDP("STK","403870","누적거래량")</f>
        <v>315821</v>
      </c>
    </row>
    <row r="161" spans="2:22" x14ac:dyDescent="0.3">
      <c r="B161">
        <v>153</v>
      </c>
      <c r="C161">
        <v>0</v>
      </c>
      <c r="D161">
        <f>IF(IFERROR(INDEX(표.kospi200[code],MATCH(표.실시간[[#This Row],[코드]],표.kospi200[code],0)),0)=0,0,1)</f>
        <v>0</v>
      </c>
      <c r="E161" t="s">
        <v>166</v>
      </c>
      <c r="F161">
        <v>145020</v>
      </c>
      <c r="G161" t="str">
        <f>ConvertStockCode(표.실시간[[#This Row],[코드]])</f>
        <v>N145020</v>
      </c>
      <c r="H161" s="2">
        <f>_xll.IMDP("STK",표.실시간[[#This Row],[nxt_code]],"현재가")</f>
        <v>277500</v>
      </c>
      <c r="I161" s="2">
        <f>_xll.IMDP("STK",표.실시간[[#This Row],[nxt_code]],"시가총액")/10^12</f>
        <v>3.4143691574999999</v>
      </c>
      <c r="J161" s="2">
        <f>표.실시간[[#This Row],[시가총액 (조원)]]/표.실시간[[#This Row],[현재가]]*(표.실시간[[#This Row],[현재가]]-표.실시간[[#This Row],[대비]])</f>
        <v>3.4020651245</v>
      </c>
      <c r="K161" s="3">
        <f>_xll.IMDP("STK",표.실시간[[#This Row],[nxt_code]],"전일대비")</f>
        <v>1000</v>
      </c>
      <c r="L161">
        <f>_xll.IMDP("STK",표.실시간[[#This Row],[nxt_code]],"등락률")</f>
        <v>0.36</v>
      </c>
      <c r="M161" s="2">
        <f>_xll.IMDP("STK",표.실시간[[#This Row],[nxt_code]],"누적거래량")</f>
        <v>11308</v>
      </c>
      <c r="N161" s="2">
        <f>_xll.IMDP("STK",표.실시간[[#This Row],[nxt_code]],"누적거래대금")/10^8</f>
        <v>30.4690175</v>
      </c>
      <c r="O161" s="2">
        <f>_xll.IMDP("STK",표.실시간[[#This Row],[nxt_code]],"가중평균가")</f>
        <v>269446.56437899999</v>
      </c>
      <c r="P161" s="2">
        <f>_xll.IMDP("STK",표.실시간[[#This Row],[nxt_code]],"시가")</f>
        <v>276500</v>
      </c>
      <c r="Q161" s="2">
        <f>_xll.IMDP("STK",표.실시간[[#This Row],[nxt_code]],"고가")</f>
        <v>277500</v>
      </c>
      <c r="R161" s="2">
        <f>_xll.IMDP("STK",표.실시간[[#This Row],[nxt_code]],"저가")</f>
        <v>265000</v>
      </c>
      <c r="S161">
        <f>_xll.IMDP("STK",표.실시간[[#This Row],[nxt_code]],"세션명")</f>
        <v>0</v>
      </c>
      <c r="T161">
        <f>_xll.IMDP("STK",표.실시간[[#This Row],[nxt_code]],"체결시간")</f>
        <v>0</v>
      </c>
      <c r="U161" s="2">
        <f>_xll.IMDP("STK","145020","현재가")</f>
        <v>277500</v>
      </c>
      <c r="V161">
        <f>_xll.IMDP("STK","145020","누적거래량")</f>
        <v>9853</v>
      </c>
    </row>
    <row r="162" spans="2:22" x14ac:dyDescent="0.3">
      <c r="B162">
        <v>154</v>
      </c>
      <c r="C162">
        <v>1</v>
      </c>
      <c r="D162">
        <f>IF(IFERROR(INDEX(표.kospi200[code],MATCH(표.실시간[[#This Row],[코드]],표.kospi200[code],0)),0)=0,0,1)</f>
        <v>1</v>
      </c>
      <c r="E162" t="s">
        <v>167</v>
      </c>
      <c r="F162">
        <v>457190</v>
      </c>
      <c r="G162" t="str">
        <f>ConvertStockCode(표.실시간[[#This Row],[코드]])</f>
        <v>N457190</v>
      </c>
      <c r="H162" s="2">
        <f>_xll.IMDP("STK",표.실시간[[#This Row],[nxt_code]],"현재가")</f>
        <v>112000</v>
      </c>
      <c r="I162" s="2">
        <f>_xll.IMDP("STK",표.실시간[[#This Row],[nxt_code]],"시가총액")/10^12</f>
        <v>3.38332736</v>
      </c>
      <c r="J162" s="2">
        <f>표.실시간[[#This Row],[시가총액 (조원)]]/표.실시간[[#This Row],[현재가]]*(표.실시간[[#This Row],[현재가]]-표.실시간[[#This Row],[대비]])</f>
        <v>3.214160992</v>
      </c>
      <c r="K162" s="3">
        <f>_xll.IMDP("STK",표.실시간[[#This Row],[nxt_code]],"전일대비")</f>
        <v>5600</v>
      </c>
      <c r="L162">
        <f>_xll.IMDP("STK",표.실시간[[#This Row],[nxt_code]],"등락률")</f>
        <v>5.26</v>
      </c>
      <c r="M162" s="2">
        <f>_xll.IMDP("STK",표.실시간[[#This Row],[nxt_code]],"누적거래량")</f>
        <v>224241</v>
      </c>
      <c r="N162" s="2">
        <f>_xll.IMDP("STK",표.실시간[[#This Row],[nxt_code]],"누적거래대금")/10^8</f>
        <v>236.26437799999999</v>
      </c>
      <c r="O162" s="2">
        <f>_xll.IMDP("STK",표.실시간[[#This Row],[nxt_code]],"가중평균가")</f>
        <v>105361.81073</v>
      </c>
      <c r="P162" s="2">
        <f>_xll.IMDP("STK",표.실시간[[#This Row],[nxt_code]],"시가")</f>
        <v>104400</v>
      </c>
      <c r="Q162" s="2">
        <f>_xll.IMDP("STK",표.실시간[[#This Row],[nxt_code]],"고가")</f>
        <v>111000</v>
      </c>
      <c r="R162" s="2">
        <f>_xll.IMDP("STK",표.실시간[[#This Row],[nxt_code]],"저가")</f>
        <v>101600</v>
      </c>
      <c r="S162">
        <f>_xll.IMDP("STK",표.실시간[[#This Row],[nxt_code]],"세션명")</f>
        <v>0</v>
      </c>
      <c r="T162">
        <f>_xll.IMDP("STK",표.실시간[[#This Row],[nxt_code]],"체결시간")</f>
        <v>0</v>
      </c>
      <c r="U162" s="2">
        <f>_xll.IMDP("STK","457190","현재가")</f>
        <v>112000</v>
      </c>
      <c r="V162">
        <f>_xll.IMDP("STK","457190","누적거래량")</f>
        <v>161729</v>
      </c>
    </row>
    <row r="163" spans="2:22" x14ac:dyDescent="0.3">
      <c r="B163">
        <v>155</v>
      </c>
      <c r="C163">
        <v>1</v>
      </c>
      <c r="D163">
        <f>IF(IFERROR(INDEX(표.kospi200[code],MATCH(표.실시간[[#This Row],[코드]],표.kospi200[code],0)),0)=0,0,1)</f>
        <v>1</v>
      </c>
      <c r="E163" t="s">
        <v>168</v>
      </c>
      <c r="F163">
        <v>4170</v>
      </c>
      <c r="G163" t="str">
        <f>ConvertStockCode(표.실시간[[#This Row],[코드]])</f>
        <v>N004170</v>
      </c>
      <c r="H163" s="2">
        <f>_xll.IMDP("STK",표.실시간[[#This Row],[nxt_code]],"현재가")</f>
        <v>317500</v>
      </c>
      <c r="I163" s="2">
        <f>_xll.IMDP("STK",표.실시간[[#This Row],[nxt_code]],"시가총액")/10^12</f>
        <v>3.0623449675000001</v>
      </c>
      <c r="J163" s="2">
        <f>표.실시간[[#This Row],[시가총액 (조원)]]/표.실시간[[#This Row],[현재가]]*(표.실시간[[#This Row],[현재가]]-표.실시간[[#This Row],[대비]])</f>
        <v>3.0816353295000001</v>
      </c>
      <c r="K163" s="3">
        <f>_xll.IMDP("STK",표.실시간[[#This Row],[nxt_code]],"전일대비")</f>
        <v>-2000</v>
      </c>
      <c r="L163">
        <f>_xll.IMDP("STK",표.실시간[[#This Row],[nxt_code]],"등락률")</f>
        <v>-0.63</v>
      </c>
      <c r="M163" s="2">
        <f>_xll.IMDP("STK",표.실시간[[#This Row],[nxt_code]],"누적거래량")</f>
        <v>11919</v>
      </c>
      <c r="N163" s="2">
        <f>_xll.IMDP("STK",표.실시간[[#This Row],[nxt_code]],"누적거래대금")/10^8</f>
        <v>38.648000000000003</v>
      </c>
      <c r="O163" s="2">
        <f>_xll.IMDP("STK",표.실시간[[#This Row],[nxt_code]],"가중평균가")</f>
        <v>323934.65313300001</v>
      </c>
      <c r="P163" s="2">
        <f>_xll.IMDP("STK",표.실시간[[#This Row],[nxt_code]],"시가")</f>
        <v>317500</v>
      </c>
      <c r="Q163" s="2">
        <f>_xll.IMDP("STK",표.실시간[[#This Row],[nxt_code]],"고가")</f>
        <v>333000</v>
      </c>
      <c r="R163" s="2">
        <f>_xll.IMDP("STK",표.실시간[[#This Row],[nxt_code]],"저가")</f>
        <v>315500</v>
      </c>
      <c r="S163">
        <f>_xll.IMDP("STK",표.실시간[[#This Row],[nxt_code]],"세션명")</f>
        <v>0</v>
      </c>
      <c r="T163">
        <f>_xll.IMDP("STK",표.실시간[[#This Row],[nxt_code]],"체결시간")</f>
        <v>0</v>
      </c>
      <c r="U163" s="2">
        <f>_xll.IMDP("STK","004170","현재가")</f>
        <v>319500</v>
      </c>
      <c r="V163">
        <f>_xll.IMDP("STK","004170","누적거래량")</f>
        <v>4883</v>
      </c>
    </row>
    <row r="164" spans="2:22" x14ac:dyDescent="0.3">
      <c r="B164">
        <v>156</v>
      </c>
      <c r="C164">
        <v>1</v>
      </c>
      <c r="D164">
        <f>IF(IFERROR(INDEX(표.kospi200[code],MATCH(표.실시간[[#This Row],[코드]],표.kospi200[code],0)),0)=0,0,1)</f>
        <v>1</v>
      </c>
      <c r="E164" t="s">
        <v>169</v>
      </c>
      <c r="F164">
        <v>88350</v>
      </c>
      <c r="G164" t="str">
        <f>ConvertStockCode(표.실시간[[#This Row],[코드]])</f>
        <v>N088350</v>
      </c>
      <c r="H164" s="2">
        <f>_xll.IMDP("STK",표.실시간[[#This Row],[nxt_code]],"현재가")</f>
        <v>3505</v>
      </c>
      <c r="I164" s="2">
        <f>_xll.IMDP("STK",표.실시간[[#This Row],[nxt_code]],"시가총액")/10^12</f>
        <v>3.0441976500000001</v>
      </c>
      <c r="J164" s="2">
        <f>표.실시간[[#This Row],[시가총액 (조원)]]/표.실시간[[#This Row],[현재가]]*(표.실시간[[#This Row],[현재가]]-표.실시간[[#This Row],[대비]])</f>
        <v>3.0268270500000001</v>
      </c>
      <c r="K164" s="3">
        <f>_xll.IMDP("STK",표.실시간[[#This Row],[nxt_code]],"전일대비")</f>
        <v>20</v>
      </c>
      <c r="L164">
        <f>_xll.IMDP("STK",표.실시간[[#This Row],[nxt_code]],"등락률")</f>
        <v>0.56999999999999995</v>
      </c>
      <c r="M164" s="2">
        <f>_xll.IMDP("STK",표.실시간[[#This Row],[nxt_code]],"누적거래량")</f>
        <v>445785</v>
      </c>
      <c r="N164" s="2">
        <f>_xll.IMDP("STK",표.실시간[[#This Row],[nxt_code]],"누적거래대금")/10^8</f>
        <v>15.518723570000001</v>
      </c>
      <c r="O164" s="2">
        <f>_xll.IMDP("STK",표.실시간[[#This Row],[nxt_code]],"가중평균가")</f>
        <v>3481.2125959999998</v>
      </c>
      <c r="P164" s="2">
        <f>_xll.IMDP("STK",표.실시간[[#This Row],[nxt_code]],"시가")</f>
        <v>3505</v>
      </c>
      <c r="Q164" s="2">
        <f>_xll.IMDP("STK",표.실시간[[#This Row],[nxt_code]],"고가")</f>
        <v>3510</v>
      </c>
      <c r="R164" s="2">
        <f>_xll.IMDP("STK",표.실시간[[#This Row],[nxt_code]],"저가")</f>
        <v>3450</v>
      </c>
      <c r="S164">
        <f>_xll.IMDP("STK",표.실시간[[#This Row],[nxt_code]],"세션명")</f>
        <v>0</v>
      </c>
      <c r="T164">
        <f>_xll.IMDP("STK",표.실시간[[#This Row],[nxt_code]],"체결시간")</f>
        <v>0</v>
      </c>
      <c r="U164" s="2">
        <f>_xll.IMDP("STK","088350","현재가")</f>
        <v>3495</v>
      </c>
      <c r="V164">
        <f>_xll.IMDP("STK","088350","누적거래량")</f>
        <v>233419</v>
      </c>
    </row>
    <row r="165" spans="2:22" x14ac:dyDescent="0.3">
      <c r="B165">
        <v>157</v>
      </c>
      <c r="C165">
        <v>0</v>
      </c>
      <c r="D165">
        <f>IF(IFERROR(INDEX(표.kospi200[code],MATCH(표.실시간[[#This Row],[코드]],표.kospi200[code],0)),0)=0,0,1)</f>
        <v>0</v>
      </c>
      <c r="E165" t="s">
        <v>170</v>
      </c>
      <c r="F165">
        <v>263750</v>
      </c>
      <c r="G165" t="str">
        <f>ConvertStockCode(표.실시간[[#This Row],[코드]])</f>
        <v>N263750</v>
      </c>
      <c r="H165" s="2">
        <f>_xll.IMDP("STK",표.실시간[[#This Row],[nxt_code]],"현재가")</f>
        <v>56400</v>
      </c>
      <c r="I165" s="2">
        <f>_xll.IMDP("STK",표.실시간[[#This Row],[nxt_code]],"시가총액")/10^12</f>
        <v>3.6235790219999999</v>
      </c>
      <c r="J165" s="2">
        <f>표.실시간[[#This Row],[시가총액 (조원)]]/표.실시간[[#This Row],[현재가]]*(표.실시간[[#This Row],[현재가]]-표.실시간[[#This Row],[대비]])</f>
        <v>3.6749773059999997</v>
      </c>
      <c r="K165" s="3">
        <f>_xll.IMDP("STK",표.실시간[[#This Row],[nxt_code]],"전일대비")</f>
        <v>-800</v>
      </c>
      <c r="L165">
        <f>_xll.IMDP("STK",표.실시간[[#This Row],[nxt_code]],"등락률")</f>
        <v>-1.4</v>
      </c>
      <c r="M165" s="2">
        <f>_xll.IMDP("STK",표.실시간[[#This Row],[nxt_code]],"누적거래량")</f>
        <v>149649</v>
      </c>
      <c r="N165" s="2">
        <f>_xll.IMDP("STK",표.실시간[[#This Row],[nxt_code]],"누적거래대금")/10^8</f>
        <v>84.735012999999995</v>
      </c>
      <c r="O165" s="2">
        <f>_xll.IMDP("STK",표.실시간[[#This Row],[nxt_code]],"가중평균가")</f>
        <v>56622.505329</v>
      </c>
      <c r="P165" s="2">
        <f>_xll.IMDP("STK",표.실시간[[#This Row],[nxt_code]],"시가")</f>
        <v>57900</v>
      </c>
      <c r="Q165" s="2">
        <f>_xll.IMDP("STK",표.실시간[[#This Row],[nxt_code]],"고가")</f>
        <v>59000</v>
      </c>
      <c r="R165" s="2">
        <f>_xll.IMDP("STK",표.실시간[[#This Row],[nxt_code]],"저가")</f>
        <v>55000</v>
      </c>
      <c r="S165">
        <f>_xll.IMDP("STK",표.실시간[[#This Row],[nxt_code]],"세션명")</f>
        <v>0</v>
      </c>
      <c r="T165">
        <f>_xll.IMDP("STK",표.실시간[[#This Row],[nxt_code]],"체결시간")</f>
        <v>0</v>
      </c>
      <c r="U165" s="2">
        <f>_xll.IMDP("STK","263750","현재가")</f>
        <v>56300</v>
      </c>
      <c r="V165">
        <f>_xll.IMDP("STK","263750","누적거래량")</f>
        <v>72406</v>
      </c>
    </row>
    <row r="166" spans="2:22" x14ac:dyDescent="0.3">
      <c r="B166">
        <v>158</v>
      </c>
      <c r="C166">
        <v>1</v>
      </c>
      <c r="D166">
        <f>IF(IFERROR(INDEX(표.kospi200[code],MATCH(표.실시간[[#This Row],[코드]],표.kospi200[code],0)),0)=0,0,1)</f>
        <v>1</v>
      </c>
      <c r="E166" t="s">
        <v>171</v>
      </c>
      <c r="F166">
        <v>1430</v>
      </c>
      <c r="G166" t="str">
        <f>ConvertStockCode(표.실시간[[#This Row],[코드]])</f>
        <v>N001430</v>
      </c>
      <c r="H166" s="2">
        <f>_xll.IMDP("STK",표.실시간[[#This Row],[nxt_code]],"현재가")</f>
        <v>72700</v>
      </c>
      <c r="I166" s="2">
        <f>_xll.IMDP("STK",표.실시간[[#This Row],[nxt_code]],"시가총액")/10^12</f>
        <v>2.6071760513000002</v>
      </c>
      <c r="J166" s="2">
        <f>표.실시간[[#This Row],[시가총액 (조원)]]/표.실시간[[#This Row],[현재가]]*(표.실시간[[#This Row],[현재가]]-표.실시간[[#This Row],[대비]])</f>
        <v>2.6215208989000001</v>
      </c>
      <c r="K166" s="3">
        <f>_xll.IMDP("STK",표.실시간[[#This Row],[nxt_code]],"전일대비")</f>
        <v>-400</v>
      </c>
      <c r="L166">
        <f>_xll.IMDP("STK",표.실시간[[#This Row],[nxt_code]],"등락률")</f>
        <v>-0.14000000000000001</v>
      </c>
      <c r="M166" s="2">
        <f>_xll.IMDP("STK",표.실시간[[#This Row],[nxt_code]],"누적거래량")</f>
        <v>66100</v>
      </c>
      <c r="N166" s="2">
        <f>_xll.IMDP("STK",표.실시간[[#This Row],[nxt_code]],"누적거래대금")/10^8</f>
        <v>46.540678999999997</v>
      </c>
      <c r="O166" s="2">
        <f>_xll.IMDP("STK",표.실시간[[#This Row],[nxt_code]],"가중평균가")</f>
        <v>70409.499244000006</v>
      </c>
      <c r="P166" s="2">
        <f>_xll.IMDP("STK",표.실시간[[#This Row],[nxt_code]],"시가")</f>
        <v>71800</v>
      </c>
      <c r="Q166" s="2">
        <f>_xll.IMDP("STK",표.실시간[[#This Row],[nxt_code]],"고가")</f>
        <v>73300</v>
      </c>
      <c r="R166" s="2">
        <f>_xll.IMDP("STK",표.실시간[[#This Row],[nxt_code]],"저가")</f>
        <v>69000</v>
      </c>
      <c r="S166">
        <f>_xll.IMDP("STK",표.실시간[[#This Row],[nxt_code]],"세션명")</f>
        <v>0</v>
      </c>
      <c r="T166">
        <f>_xll.IMDP("STK",표.실시간[[#This Row],[nxt_code]],"체결시간")</f>
        <v>0</v>
      </c>
      <c r="U166" s="2">
        <f>_xll.IMDP("STK","001430","현재가")</f>
        <v>73300</v>
      </c>
      <c r="V166">
        <f>_xll.IMDP("STK","001430","누적거래량")</f>
        <v>37114</v>
      </c>
    </row>
    <row r="167" spans="2:22" x14ac:dyDescent="0.3">
      <c r="B167">
        <v>159</v>
      </c>
      <c r="C167">
        <v>1</v>
      </c>
      <c r="D167">
        <f>IF(IFERROR(INDEX(표.kospi200[code],MATCH(표.실시간[[#This Row],[코드]],표.kospi200[code],0)),0)=0,0,1)</f>
        <v>1</v>
      </c>
      <c r="E167" t="s">
        <v>172</v>
      </c>
      <c r="F167">
        <v>11210</v>
      </c>
      <c r="G167" t="str">
        <f>ConvertStockCode(표.실시간[[#This Row],[코드]])</f>
        <v>N011210</v>
      </c>
      <c r="H167" s="2">
        <f>_xll.IMDP("STK",표.실시간[[#This Row],[nxt_code]],"현재가")</f>
        <v>85000</v>
      </c>
      <c r="I167" s="2">
        <f>_xll.IMDP("STK",표.실시간[[#This Row],[nxt_code]],"시가총액")/10^12</f>
        <v>2.3061430384000001</v>
      </c>
      <c r="J167" s="2">
        <f>표.실시간[[#This Row],[시가총액 (조원)]]/표.실시간[[#This Row],[현재가]]*(표.실시간[[#This Row],[현재가]]-표.실시간[[#This Row],[대비]])</f>
        <v>2.3305610235124705</v>
      </c>
      <c r="K167" s="3">
        <f>_xll.IMDP("STK",표.실시간[[#This Row],[nxt_code]],"전일대비")</f>
        <v>-900</v>
      </c>
      <c r="L167">
        <f>_xll.IMDP("STK",표.실시간[[#This Row],[nxt_code]],"등락률")</f>
        <v>-0.82</v>
      </c>
      <c r="M167" s="2">
        <f>_xll.IMDP("STK",표.실시간[[#This Row],[nxt_code]],"누적거래량")</f>
        <v>85266</v>
      </c>
      <c r="N167" s="2">
        <f>_xll.IMDP("STK",표.실시간[[#This Row],[nxt_code]],"누적거래대금")/10^8</f>
        <v>70.256354999999999</v>
      </c>
      <c r="O167" s="2">
        <f>_xll.IMDP("STK",표.실시간[[#This Row],[nxt_code]],"가중평균가")</f>
        <v>82385.087595999998</v>
      </c>
      <c r="P167" s="2">
        <f>_xll.IMDP("STK",표.실시간[[#This Row],[nxt_code]],"시가")</f>
        <v>86300</v>
      </c>
      <c r="Q167" s="2">
        <f>_xll.IMDP("STK",표.실시간[[#This Row],[nxt_code]],"고가")</f>
        <v>86300</v>
      </c>
      <c r="R167" s="2">
        <f>_xll.IMDP("STK",표.실시간[[#This Row],[nxt_code]],"저가")</f>
        <v>81400</v>
      </c>
      <c r="S167">
        <f>_xll.IMDP("STK",표.실시간[[#This Row],[nxt_code]],"세션명")</f>
        <v>0</v>
      </c>
      <c r="T167">
        <f>_xll.IMDP("STK",표.실시간[[#This Row],[nxt_code]],"체결시간")</f>
        <v>0</v>
      </c>
      <c r="U167" s="2">
        <f>_xll.IMDP("STK","011210","현재가")</f>
        <v>85000</v>
      </c>
      <c r="V167">
        <f>_xll.IMDP("STK","011210","누적거래량")</f>
        <v>26647</v>
      </c>
    </row>
    <row r="168" spans="2:22" x14ac:dyDescent="0.3">
      <c r="B168">
        <v>160</v>
      </c>
      <c r="C168">
        <v>1</v>
      </c>
      <c r="D168">
        <f>IF(IFERROR(INDEX(표.kospi200[code],MATCH(표.실시간[[#This Row],[코드]],표.kospi200[code],0)),0)=0,0,1)</f>
        <v>1</v>
      </c>
      <c r="E168" t="s">
        <v>173</v>
      </c>
      <c r="F168">
        <v>8930</v>
      </c>
      <c r="G168" t="str">
        <f>ConvertStockCode(표.실시간[[#This Row],[코드]])</f>
        <v>N008930</v>
      </c>
      <c r="H168" s="2">
        <f>_xll.IMDP("STK",표.실시간[[#This Row],[nxt_code]],"현재가")</f>
        <v>40900</v>
      </c>
      <c r="I168" s="2">
        <f>_xll.IMDP("STK",표.실시간[[#This Row],[nxt_code]],"시가총액")/10^12</f>
        <v>2.7972143950000001</v>
      </c>
      <c r="J168" s="2">
        <f>표.실시간[[#This Row],[시가총액 (조원)]]/표.실시간[[#This Row],[현재가]]*(표.실시간[[#This Row],[현재가]]-표.실시간[[#This Row],[대비]])</f>
        <v>2.9066408749999999</v>
      </c>
      <c r="K168" s="3">
        <f>_xll.IMDP("STK",표.실시간[[#This Row],[nxt_code]],"전일대비")</f>
        <v>-1600</v>
      </c>
      <c r="L168">
        <f>_xll.IMDP("STK",표.실시간[[#This Row],[nxt_code]],"등락률")</f>
        <v>-3.76</v>
      </c>
      <c r="M168" s="2">
        <f>_xll.IMDP("STK",표.실시간[[#This Row],[nxt_code]],"누적거래량")</f>
        <v>16746</v>
      </c>
      <c r="N168" s="2">
        <f>_xll.IMDP("STK",표.실시간[[#This Row],[nxt_code]],"누적거래대금")/10^8</f>
        <v>6.8915844999999996</v>
      </c>
      <c r="O168" s="2">
        <f>_xll.IMDP("STK",표.실시간[[#This Row],[nxt_code]],"가중평균가")</f>
        <v>41153.615789000003</v>
      </c>
      <c r="P168" s="2">
        <f>_xll.IMDP("STK",표.실시간[[#This Row],[nxt_code]],"시가")</f>
        <v>41900</v>
      </c>
      <c r="Q168" s="2">
        <f>_xll.IMDP("STK",표.실시간[[#This Row],[nxt_code]],"고가")</f>
        <v>41900</v>
      </c>
      <c r="R168" s="2">
        <f>_xll.IMDP("STK",표.실시간[[#This Row],[nxt_code]],"저가")</f>
        <v>40850</v>
      </c>
      <c r="S168">
        <f>_xll.IMDP("STK",표.실시간[[#This Row],[nxt_code]],"세션명")</f>
        <v>0</v>
      </c>
      <c r="T168">
        <f>_xll.IMDP("STK",표.실시간[[#This Row],[nxt_code]],"체결시간")</f>
        <v>0</v>
      </c>
      <c r="U168" s="2">
        <f>_xll.IMDP("STK","008930","현재가")</f>
        <v>40950</v>
      </c>
      <c r="V168">
        <f>_xll.IMDP("STK","008930","누적거래량")</f>
        <v>11350</v>
      </c>
    </row>
    <row r="169" spans="2:22" x14ac:dyDescent="0.3">
      <c r="B169">
        <v>161</v>
      </c>
      <c r="C169">
        <v>1</v>
      </c>
      <c r="D169">
        <f>IF(IFERROR(INDEX(표.kospi200[code],MATCH(표.실시간[[#This Row],[코드]],표.kospi200[code],0)),0)=0,0,1)</f>
        <v>1</v>
      </c>
      <c r="E169" t="s">
        <v>174</v>
      </c>
      <c r="F169">
        <v>51600</v>
      </c>
      <c r="G169" t="str">
        <f>ConvertStockCode(표.실시간[[#This Row],[코드]])</f>
        <v>N051600</v>
      </c>
      <c r="H169" s="2">
        <f>_xll.IMDP("STK",표.실시간[[#This Row],[nxt_code]],"현재가")</f>
        <v>55400</v>
      </c>
      <c r="I169" s="2">
        <f>_xll.IMDP("STK",표.실시간[[#This Row],[nxt_code]],"시가총액")/10^12</f>
        <v>2.4929999999999999</v>
      </c>
      <c r="J169" s="2">
        <f>표.실시간[[#This Row],[시가총액 (조원)]]/표.실시간[[#This Row],[현재가]]*(표.실시간[[#This Row],[현재가]]-표.실시간[[#This Row],[대비]])</f>
        <v>2.5199999999999996</v>
      </c>
      <c r="K169" s="3">
        <f>_xll.IMDP("STK",표.실시간[[#This Row],[nxt_code]],"전일대비")</f>
        <v>-600</v>
      </c>
      <c r="L169">
        <f>_xll.IMDP("STK",표.실시간[[#This Row],[nxt_code]],"등락률")</f>
        <v>-1.07</v>
      </c>
      <c r="M169" s="2">
        <f>_xll.IMDP("STK",표.실시간[[#This Row],[nxt_code]],"누적거래량")</f>
        <v>19994</v>
      </c>
      <c r="N169" s="2">
        <f>_xll.IMDP("STK",표.실시간[[#This Row],[nxt_code]],"누적거래대금")/10^8</f>
        <v>11.002115</v>
      </c>
      <c r="O169" s="2">
        <f>_xll.IMDP("STK",표.실시간[[#This Row],[nxt_code]],"가중평균가")</f>
        <v>55027.083124999997</v>
      </c>
      <c r="P169" s="2">
        <f>_xll.IMDP("STK",표.실시간[[#This Row],[nxt_code]],"시가")</f>
        <v>55400</v>
      </c>
      <c r="Q169" s="2">
        <f>_xll.IMDP("STK",표.실시간[[#This Row],[nxt_code]],"고가")</f>
        <v>55500</v>
      </c>
      <c r="R169" s="2">
        <f>_xll.IMDP("STK",표.실시간[[#This Row],[nxt_code]],"저가")</f>
        <v>54800</v>
      </c>
      <c r="S169">
        <f>_xll.IMDP("STK",표.실시간[[#This Row],[nxt_code]],"세션명")</f>
        <v>0</v>
      </c>
      <c r="T169">
        <f>_xll.IMDP("STK",표.실시간[[#This Row],[nxt_code]],"체결시간")</f>
        <v>0</v>
      </c>
      <c r="U169" s="2">
        <f>_xll.IMDP("STK","051600","현재가")</f>
        <v>55400</v>
      </c>
      <c r="V169">
        <f>_xll.IMDP("STK","051600","누적거래량")</f>
        <v>14360</v>
      </c>
    </row>
    <row r="170" spans="2:22" x14ac:dyDescent="0.3">
      <c r="B170">
        <v>162</v>
      </c>
      <c r="C170">
        <v>0</v>
      </c>
      <c r="D170">
        <f>IF(IFERROR(INDEX(표.kospi200[code],MATCH(표.실시간[[#This Row],[코드]],표.kospi200[code],0)),0)=0,0,1)</f>
        <v>0</v>
      </c>
      <c r="E170" t="s">
        <v>175</v>
      </c>
      <c r="F170">
        <v>357780</v>
      </c>
      <c r="G170" t="str">
        <f>ConvertStockCode(표.실시간[[#This Row],[코드]])</f>
        <v>N357780</v>
      </c>
      <c r="H170" s="2">
        <f>_xll.IMDP("STK",표.실시간[[#This Row],[nxt_code]],"현재가")</f>
        <v>446000</v>
      </c>
      <c r="I170" s="2">
        <f>_xll.IMDP("STK",표.실시간[[#This Row],[nxt_code]],"시가총액")/10^12</f>
        <v>3.4692404360000002</v>
      </c>
      <c r="J170" s="2">
        <f>표.실시간[[#This Row],[시가총액 (조원)]]/표.실시간[[#This Row],[현재가]]*(표.실시간[[#This Row],[현재가]]-표.실시간[[#This Row],[대비]])</f>
        <v>3.7998294910000006</v>
      </c>
      <c r="K170" s="3">
        <f>_xll.IMDP("STK",표.실시간[[#This Row],[nxt_code]],"전일대비")</f>
        <v>-42500</v>
      </c>
      <c r="L170">
        <f>_xll.IMDP("STK",표.실시간[[#This Row],[nxt_code]],"등락률")</f>
        <v>-8.6999999999999993</v>
      </c>
      <c r="M170" s="2">
        <f>_xll.IMDP("STK",표.실시간[[#This Row],[nxt_code]],"누적거래량")</f>
        <v>13506</v>
      </c>
      <c r="N170" s="2">
        <f>_xll.IMDP("STK",표.실시간[[#This Row],[nxt_code]],"누적거래대금")/10^8</f>
        <v>60.659170000000003</v>
      </c>
      <c r="O170" s="2">
        <f>_xll.IMDP("STK",표.실시간[[#This Row],[nxt_code]],"가중평균가")</f>
        <v>449127.57293099997</v>
      </c>
      <c r="P170" s="2">
        <f>_xll.IMDP("STK",표.실시간[[#This Row],[nxt_code]],"시가")</f>
        <v>455000</v>
      </c>
      <c r="Q170" s="2">
        <f>_xll.IMDP("STK",표.실시간[[#This Row],[nxt_code]],"고가")</f>
        <v>477500</v>
      </c>
      <c r="R170" s="2">
        <f>_xll.IMDP("STK",표.실시간[[#This Row],[nxt_code]],"저가")</f>
        <v>424000</v>
      </c>
      <c r="S170">
        <f>_xll.IMDP("STK",표.실시간[[#This Row],[nxt_code]],"세션명")</f>
        <v>0</v>
      </c>
      <c r="T170">
        <f>_xll.IMDP("STK",표.실시간[[#This Row],[nxt_code]],"체결시간")</f>
        <v>0</v>
      </c>
      <c r="U170" s="2">
        <f>_xll.IMDP("STK","357780","현재가")</f>
        <v>449500</v>
      </c>
      <c r="V170">
        <f>_xll.IMDP("STK","357780","누적거래량")</f>
        <v>19583</v>
      </c>
    </row>
    <row r="171" spans="2:22" x14ac:dyDescent="0.3">
      <c r="B171">
        <v>163</v>
      </c>
      <c r="C171">
        <v>0</v>
      </c>
      <c r="D171">
        <f>IF(IFERROR(INDEX(표.kospi200[code],MATCH(표.실시간[[#This Row],[코드]],표.kospi200[code],0)),0)=0,0,1)</f>
        <v>0</v>
      </c>
      <c r="E171" t="s">
        <v>176</v>
      </c>
      <c r="F171">
        <v>68760</v>
      </c>
      <c r="G171" t="str">
        <f>ConvertStockCode(표.실시간[[#This Row],[코드]])</f>
        <v>N068760</v>
      </c>
      <c r="H171" s="2">
        <f>_xll.IMDP("STK",표.실시간[[#This Row],[nxt_code]],"현재가")</f>
        <v>70700</v>
      </c>
      <c r="I171" s="2">
        <f>_xll.IMDP("STK",표.실시간[[#This Row],[nxt_code]],"시가총액")/10^12</f>
        <v>3.0883117439999999</v>
      </c>
      <c r="J171" s="2">
        <f>표.실시간[[#This Row],[시가총액 (조원)]]/표.실시간[[#This Row],[현재가]]*(표.실시간[[#This Row],[현재가]]-표.실시간[[#This Row],[대비]])</f>
        <v>3.1931483520000001</v>
      </c>
      <c r="K171" s="3">
        <f>_xll.IMDP("STK",표.실시간[[#This Row],[nxt_code]],"전일대비")</f>
        <v>-2400</v>
      </c>
      <c r="L171">
        <f>_xll.IMDP("STK",표.실시간[[#This Row],[nxt_code]],"등락률")</f>
        <v>-3.28</v>
      </c>
      <c r="M171" s="2">
        <f>_xll.IMDP("STK",표.실시간[[#This Row],[nxt_code]],"누적거래량")</f>
        <v>45271</v>
      </c>
      <c r="N171" s="2">
        <f>_xll.IMDP("STK",표.실시간[[#This Row],[nxt_code]],"누적거래대금")/10^8</f>
        <v>31.951880500000001</v>
      </c>
      <c r="O171" s="2">
        <f>_xll.IMDP("STK",표.실시간[[#This Row],[nxt_code]],"가중평균가")</f>
        <v>70579.135649999997</v>
      </c>
      <c r="P171" s="2">
        <f>_xll.IMDP("STK",표.실시간[[#This Row],[nxt_code]],"시가")</f>
        <v>72300</v>
      </c>
      <c r="Q171" s="2">
        <f>_xll.IMDP("STK",표.실시간[[#This Row],[nxt_code]],"고가")</f>
        <v>72300</v>
      </c>
      <c r="R171" s="2">
        <f>_xll.IMDP("STK",표.실시간[[#This Row],[nxt_code]],"저가")</f>
        <v>69800</v>
      </c>
      <c r="S171">
        <f>_xll.IMDP("STK",표.실시간[[#This Row],[nxt_code]],"세션명")</f>
        <v>0</v>
      </c>
      <c r="T171">
        <f>_xll.IMDP("STK",표.실시간[[#This Row],[nxt_code]],"체결시간")</f>
        <v>0</v>
      </c>
      <c r="U171" s="2">
        <f>_xll.IMDP("STK","068760","현재가")</f>
        <v>71400</v>
      </c>
      <c r="V171">
        <f>_xll.IMDP("STK","068760","누적거래량")</f>
        <v>37053</v>
      </c>
    </row>
    <row r="172" spans="2:22" x14ac:dyDescent="0.3">
      <c r="B172">
        <v>164</v>
      </c>
      <c r="C172">
        <v>1</v>
      </c>
      <c r="D172">
        <f>IF(IFERROR(INDEX(표.kospi200[code],MATCH(표.실시간[[#This Row],[코드]],표.kospi200[code],0)),0)=0,0,1)</f>
        <v>0</v>
      </c>
      <c r="E172" t="s">
        <v>177</v>
      </c>
      <c r="F172">
        <v>439260</v>
      </c>
      <c r="G172" t="str">
        <f>ConvertStockCode(표.실시간[[#This Row],[코드]])</f>
        <v>N439260</v>
      </c>
      <c r="H172" s="2">
        <f>_xll.IMDP("STK",표.실시간[[#This Row],[nxt_code]],"현재가")</f>
        <v>66400</v>
      </c>
      <c r="I172" s="2">
        <f>_xll.IMDP("STK",표.실시간[[#This Row],[nxt_code]],"시가총액")/10^12</f>
        <v>2.5581471167999998</v>
      </c>
      <c r="J172" s="2">
        <f>표.실시간[[#This Row],[시가총액 (조원)]]/표.실시간[[#This Row],[현재가]]*(표.실시간[[#This Row],[현재가]]-표.실시간[[#This Row],[대비]])</f>
        <v>2.6968418399999998</v>
      </c>
      <c r="K172" s="3">
        <f>_xll.IMDP("STK",표.실시간[[#This Row],[nxt_code]],"전일대비")</f>
        <v>-3600</v>
      </c>
      <c r="L172">
        <f>_xll.IMDP("STK",표.실시간[[#This Row],[nxt_code]],"등락률")</f>
        <v>-4.5999999999999996</v>
      </c>
      <c r="M172" s="2">
        <f>_xll.IMDP("STK",표.실시간[[#This Row],[nxt_code]],"누적거래량")</f>
        <v>165315</v>
      </c>
      <c r="N172" s="2">
        <f>_xll.IMDP("STK",표.실시간[[#This Row],[nxt_code]],"누적거래대금")/10^8</f>
        <v>110.0860205</v>
      </c>
      <c r="O172" s="2">
        <f>_xll.IMDP("STK",표.실시간[[#This Row],[nxt_code]],"가중평균가")</f>
        <v>66569.925742000007</v>
      </c>
      <c r="P172" s="2">
        <f>_xll.IMDP("STK",표.실시간[[#This Row],[nxt_code]],"시가")</f>
        <v>68000</v>
      </c>
      <c r="Q172" s="2">
        <f>_xll.IMDP("STK",표.실시간[[#This Row],[nxt_code]],"고가")</f>
        <v>68900</v>
      </c>
      <c r="R172" s="2">
        <f>_xll.IMDP("STK",표.실시간[[#This Row],[nxt_code]],"저가")</f>
        <v>65100</v>
      </c>
      <c r="S172">
        <f>_xll.IMDP("STK",표.실시간[[#This Row],[nxt_code]],"세션명")</f>
        <v>0</v>
      </c>
      <c r="T172">
        <f>_xll.IMDP("STK",표.실시간[[#This Row],[nxt_code]],"체결시간")</f>
        <v>0</v>
      </c>
      <c r="U172" s="2">
        <f>_xll.IMDP("STK","439260","현재가")</f>
        <v>66400</v>
      </c>
      <c r="V172">
        <f>_xll.IMDP("STK","439260","누적거래량")</f>
        <v>248219</v>
      </c>
    </row>
    <row r="173" spans="2:22" x14ac:dyDescent="0.3">
      <c r="B173">
        <v>165</v>
      </c>
      <c r="C173">
        <v>1</v>
      </c>
      <c r="D173">
        <f>IF(IFERROR(INDEX(표.kospi200[code],MATCH(표.실시간[[#This Row],[코드]],표.kospi200[code],0)),0)=0,0,1)</f>
        <v>0</v>
      </c>
      <c r="E173" t="s">
        <v>178</v>
      </c>
      <c r="F173">
        <v>489790</v>
      </c>
      <c r="G173" t="str">
        <f>ConvertStockCode(표.실시간[[#This Row],[코드]])</f>
        <v>N489790</v>
      </c>
      <c r="H173" s="2">
        <f>_xll.IMDP("STK",표.실시간[[#This Row],[nxt_code]],"현재가")</f>
        <v>59800</v>
      </c>
      <c r="I173" s="2">
        <f>_xll.IMDP("STK",표.실시간[[#This Row],[nxt_code]],"시가총액")/10^12</f>
        <v>3.0192057220000001</v>
      </c>
      <c r="J173" s="2">
        <f>표.실시간[[#This Row],[시가총액 (조원)]]/표.실시간[[#This Row],[현재가]]*(표.실시간[[#This Row],[현재가]]-표.실시간[[#This Row],[대비]])</f>
        <v>3.120182502</v>
      </c>
      <c r="K173" s="3">
        <f>_xll.IMDP("STK",표.실시간[[#This Row],[nxt_code]],"전일대비")</f>
        <v>-2000</v>
      </c>
      <c r="L173">
        <f>_xll.IMDP("STK",표.실시간[[#This Row],[nxt_code]],"등락률")</f>
        <v>-3.24</v>
      </c>
      <c r="M173" s="2">
        <f>_xll.IMDP("STK",표.실시간[[#This Row],[nxt_code]],"누적거래량")</f>
        <v>328030</v>
      </c>
      <c r="N173" s="2">
        <f>_xll.IMDP("STK",표.실시간[[#This Row],[nxt_code]],"누적거래대금")/10^8</f>
        <v>197.079913</v>
      </c>
      <c r="O173" s="2">
        <f>_xll.IMDP("STK",표.실시간[[#This Row],[nxt_code]],"가중평균가")</f>
        <v>60079.844222</v>
      </c>
      <c r="P173" s="2">
        <f>_xll.IMDP("STK",표.실시간[[#This Row],[nxt_code]],"시가")</f>
        <v>61900</v>
      </c>
      <c r="Q173" s="2">
        <f>_xll.IMDP("STK",표.실시간[[#This Row],[nxt_code]],"고가")</f>
        <v>61900</v>
      </c>
      <c r="R173" s="2">
        <f>_xll.IMDP("STK",표.실시간[[#This Row],[nxt_code]],"저가")</f>
        <v>59200</v>
      </c>
      <c r="S173">
        <f>_xll.IMDP("STK",표.실시간[[#This Row],[nxt_code]],"세션명")</f>
        <v>0</v>
      </c>
      <c r="T173">
        <f>_xll.IMDP("STK",표.실시간[[#This Row],[nxt_code]],"체결시간")</f>
        <v>0</v>
      </c>
      <c r="U173" s="2">
        <f>_xll.IMDP("STK","489790","현재가")</f>
        <v>59800</v>
      </c>
      <c r="V173">
        <f>_xll.IMDP("STK","489790","누적거래량")</f>
        <v>136589</v>
      </c>
    </row>
    <row r="174" spans="2:22" x14ac:dyDescent="0.3">
      <c r="B174">
        <v>166</v>
      </c>
      <c r="C174">
        <v>1</v>
      </c>
      <c r="D174">
        <f>IF(IFERROR(INDEX(표.kospi200[code],MATCH(표.실시간[[#This Row],[코드]],표.kospi200[code],0)),0)=0,0,1)</f>
        <v>1</v>
      </c>
      <c r="E174" t="s">
        <v>179</v>
      </c>
      <c r="F174">
        <v>240</v>
      </c>
      <c r="G174" t="str">
        <f>ConvertStockCode(표.실시간[[#This Row],[코드]])</f>
        <v>N000240</v>
      </c>
      <c r="H174" s="2">
        <f>_xll.IMDP("STK",표.실시간[[#This Row],[nxt_code]],"현재가")</f>
        <v>26600</v>
      </c>
      <c r="I174" s="2">
        <f>_xll.IMDP("STK",표.실시간[[#This Row],[nxt_code]],"시가총액")/10^12</f>
        <v>2.5252773839999998</v>
      </c>
      <c r="J174" s="2">
        <f>표.실시간[[#This Row],[시가총액 (조원)]]/표.실시간[[#This Row],[현재가]]*(표.실시간[[#This Row],[현재가]]-표.실시간[[#This Row],[대비]])</f>
        <v>2.5585047179999996</v>
      </c>
      <c r="K174" s="3">
        <f>_xll.IMDP("STK",표.실시간[[#This Row],[nxt_code]],"전일대비")</f>
        <v>-350</v>
      </c>
      <c r="L174">
        <f>_xll.IMDP("STK",표.실시간[[#This Row],[nxt_code]],"등락률")</f>
        <v>-1.3</v>
      </c>
      <c r="M174" s="2">
        <f>_xll.IMDP("STK",표.실시간[[#This Row],[nxt_code]],"누적거래량")</f>
        <v>2321</v>
      </c>
      <c r="N174" s="2">
        <f>_xll.IMDP("STK",표.실시간[[#This Row],[nxt_code]],"누적거래대금")/10^8</f>
        <v>0.62259500000000001</v>
      </c>
      <c r="O174" s="2">
        <f>_xll.IMDP("STK",표.실시간[[#This Row],[nxt_code]],"가중평균가")</f>
        <v>26824.429124999999</v>
      </c>
      <c r="P174" s="2">
        <f>_xll.IMDP("STK",표.실시간[[#This Row],[nxt_code]],"시가")</f>
        <v>27050</v>
      </c>
      <c r="Q174" s="2">
        <f>_xll.IMDP("STK",표.실시간[[#This Row],[nxt_code]],"고가")</f>
        <v>27050</v>
      </c>
      <c r="R174" s="2">
        <f>_xll.IMDP("STK",표.실시간[[#This Row],[nxt_code]],"저가")</f>
        <v>26500</v>
      </c>
      <c r="S174">
        <f>_xll.IMDP("STK",표.실시간[[#This Row],[nxt_code]],"세션명")</f>
        <v>0</v>
      </c>
      <c r="T174">
        <f>_xll.IMDP("STK",표.실시간[[#This Row],[nxt_code]],"체결시간")</f>
        <v>0</v>
      </c>
      <c r="U174" s="2">
        <f>_xll.IMDP("STK","000240","현재가")</f>
        <v>26700</v>
      </c>
      <c r="V174">
        <f>_xll.IMDP("STK","000240","누적거래량")</f>
        <v>3762</v>
      </c>
    </row>
    <row r="175" spans="2:22" x14ac:dyDescent="0.3">
      <c r="B175">
        <v>167</v>
      </c>
      <c r="C175">
        <v>1</v>
      </c>
      <c r="D175">
        <f>IF(IFERROR(INDEX(표.kospi200[code],MATCH(표.실시간[[#This Row],[코드]],표.kospi200[code],0)),0)=0,0,1)</f>
        <v>1</v>
      </c>
      <c r="E175" t="s">
        <v>180</v>
      </c>
      <c r="F175">
        <v>26960</v>
      </c>
      <c r="G175" t="str">
        <f>ConvertStockCode(표.실시간[[#This Row],[코드]])</f>
        <v>N026960</v>
      </c>
      <c r="H175" s="2">
        <f>_xll.IMDP("STK",표.실시간[[#This Row],[nxt_code]],"현재가")</f>
        <v>25700</v>
      </c>
      <c r="I175" s="2">
        <f>_xll.IMDP("STK",표.실시간[[#This Row],[nxt_code]],"시가총액")/10^12</f>
        <v>2.56229</v>
      </c>
      <c r="J175" s="2">
        <f>표.실시간[[#This Row],[시가총액 (조원)]]/표.실시간[[#This Row],[현재가]]*(표.실시간[[#This Row],[현재가]]-표.실시간[[#This Row],[대비]])</f>
        <v>2.5922000000000001</v>
      </c>
      <c r="K175" s="3">
        <f>_xll.IMDP("STK",표.실시간[[#This Row],[nxt_code]],"전일대비")</f>
        <v>-300</v>
      </c>
      <c r="L175">
        <f>_xll.IMDP("STK",표.실시간[[#This Row],[nxt_code]],"등락률")</f>
        <v>-1.1499999999999999</v>
      </c>
      <c r="M175" s="2">
        <f>_xll.IMDP("STK",표.실시간[[#This Row],[nxt_code]],"누적거래량")</f>
        <v>4453</v>
      </c>
      <c r="N175" s="2">
        <f>_xll.IMDP("STK",표.실시간[[#This Row],[nxt_code]],"누적거래대금")/10^8</f>
        <v>1.162898</v>
      </c>
      <c r="O175" s="2">
        <f>_xll.IMDP("STK",표.실시간[[#This Row],[nxt_code]],"가중평균가")</f>
        <v>25847.921760000001</v>
      </c>
      <c r="P175" s="2">
        <f>_xll.IMDP("STK",표.실시간[[#This Row],[nxt_code]],"시가")</f>
        <v>26000</v>
      </c>
      <c r="Q175" s="2">
        <f>_xll.IMDP("STK",표.실시간[[#This Row],[nxt_code]],"고가")</f>
        <v>26000</v>
      </c>
      <c r="R175" s="2">
        <f>_xll.IMDP("STK",표.실시간[[#This Row],[nxt_code]],"저가")</f>
        <v>25700</v>
      </c>
      <c r="S175">
        <f>_xll.IMDP("STK",표.실시간[[#This Row],[nxt_code]],"세션명")</f>
        <v>0</v>
      </c>
      <c r="T175">
        <f>_xll.IMDP("STK",표.실시간[[#This Row],[nxt_code]],"체결시간")</f>
        <v>0</v>
      </c>
      <c r="U175" s="2">
        <f>_xll.IMDP("STK","026960","현재가")</f>
        <v>25650</v>
      </c>
      <c r="V175">
        <f>_xll.IMDP("STK","026960","누적거래량")</f>
        <v>6824</v>
      </c>
    </row>
    <row r="176" spans="2:22" x14ac:dyDescent="0.3">
      <c r="B176">
        <v>168</v>
      </c>
      <c r="C176">
        <v>1</v>
      </c>
      <c r="D176">
        <f>IF(IFERROR(INDEX(표.kospi200[code],MATCH(표.실시간[[#This Row],[코드]],표.kospi200[code],0)),0)=0,0,1)</f>
        <v>1</v>
      </c>
      <c r="E176" t="s">
        <v>181</v>
      </c>
      <c r="F176">
        <v>9970</v>
      </c>
      <c r="G176" t="str">
        <f>ConvertStockCode(표.실시간[[#This Row],[코드]])</f>
        <v>N009970</v>
      </c>
      <c r="H176" s="2">
        <f>_xll.IMDP("STK",표.실시간[[#This Row],[nxt_code]],"현재가")</f>
        <v>204000</v>
      </c>
      <c r="I176" s="2">
        <f>_xll.IMDP("STK",표.실시간[[#This Row],[nxt_code]],"시가총액")/10^12</f>
        <v>2.7538443479999999</v>
      </c>
      <c r="J176" s="2">
        <f>표.실시간[[#This Row],[시가총액 (조원)]]/표.실시간[[#This Row],[현재가]]*(표.실시간[[#This Row],[현재가]]-표.실시간[[#This Row],[대비]])</f>
        <v>2.7740932034999997</v>
      </c>
      <c r="K176" s="3">
        <f>_xll.IMDP("STK",표.실시간[[#This Row],[nxt_code]],"전일대비")</f>
        <v>-1500</v>
      </c>
      <c r="L176">
        <f>_xll.IMDP("STK",표.실시간[[#This Row],[nxt_code]],"등락률")</f>
        <v>-1.45</v>
      </c>
      <c r="M176" s="2">
        <f>_xll.IMDP("STK",표.실시간[[#This Row],[nxt_code]],"누적거래량")</f>
        <v>888</v>
      </c>
      <c r="N176" s="2">
        <f>_xll.IMDP("STK",표.실시간[[#This Row],[nxt_code]],"누적거래대금")/10^8</f>
        <v>1.8294600000000001</v>
      </c>
      <c r="O176" s="2">
        <f>_xll.IMDP("STK",표.실시간[[#This Row],[nxt_code]],"가중평균가")</f>
        <v>206020.27027000001</v>
      </c>
      <c r="P176" s="2">
        <f>_xll.IMDP("STK",표.실시간[[#This Row],[nxt_code]],"시가")</f>
        <v>207000</v>
      </c>
      <c r="Q176" s="2">
        <f>_xll.IMDP("STK",표.실시간[[#This Row],[nxt_code]],"고가")</f>
        <v>219000</v>
      </c>
      <c r="R176" s="2">
        <f>_xll.IMDP("STK",표.실시간[[#This Row],[nxt_code]],"저가")</f>
        <v>200000</v>
      </c>
      <c r="S176">
        <f>_xll.IMDP("STK",표.실시간[[#This Row],[nxt_code]],"세션명")</f>
        <v>0</v>
      </c>
      <c r="T176">
        <f>_xll.IMDP("STK",표.실시간[[#This Row],[nxt_code]],"체결시간")</f>
        <v>0</v>
      </c>
      <c r="U176" s="2">
        <f>_xll.IMDP("STK","009970","현재가")</f>
        <v>203500</v>
      </c>
      <c r="V176">
        <f>_xll.IMDP("STK","009970","누적거래량")</f>
        <v>752</v>
      </c>
    </row>
    <row r="177" spans="2:22" x14ac:dyDescent="0.3">
      <c r="B177">
        <v>169</v>
      </c>
      <c r="C177">
        <v>1</v>
      </c>
      <c r="D177">
        <f>IF(IFERROR(INDEX(표.kospi200[code],MATCH(표.실시간[[#This Row],[코드]],표.kospi200[code],0)),0)=0,0,1)</f>
        <v>0</v>
      </c>
      <c r="E177" t="s">
        <v>182</v>
      </c>
      <c r="F177">
        <v>4800</v>
      </c>
      <c r="G177" t="str">
        <f>ConvertStockCode(표.실시간[[#This Row],[코드]])</f>
        <v>N004800</v>
      </c>
      <c r="H177" s="2">
        <f>_xll.IMDP("STK",표.실시간[[#This Row],[nxt_code]],"현재가")</f>
        <v>146700</v>
      </c>
      <c r="I177" s="2">
        <f>_xll.IMDP("STK",표.실시간[[#This Row],[nxt_code]],"시가총액")/10^12</f>
        <v>2.4558177069</v>
      </c>
      <c r="J177" s="2">
        <f>표.실시간[[#This Row],[시가총액 (조원)]]/표.실시간[[#This Row],[현재가]]*(표.실시간[[#This Row],[현재가]]-표.실시간[[#This Row],[대비]])</f>
        <v>2.5579341895999996</v>
      </c>
      <c r="K177" s="3">
        <f>_xll.IMDP("STK",표.실시간[[#This Row],[nxt_code]],"전일대비")</f>
        <v>-6100</v>
      </c>
      <c r="L177">
        <f>_xll.IMDP("STK",표.실시간[[#This Row],[nxt_code]],"등락률")</f>
        <v>-3.99</v>
      </c>
      <c r="M177" s="2">
        <f>_xll.IMDP("STK",표.실시간[[#This Row],[nxt_code]],"누적거래량")</f>
        <v>4078</v>
      </c>
      <c r="N177" s="2">
        <f>_xll.IMDP("STK",표.실시간[[#This Row],[nxt_code]],"누적거래대금")/10^8</f>
        <v>5.9751709999999996</v>
      </c>
      <c r="O177" s="2">
        <f>_xll.IMDP("STK",표.실시간[[#This Row],[nxt_code]],"가중평균가")</f>
        <v>146522.09416400001</v>
      </c>
      <c r="P177" s="2">
        <f>_xll.IMDP("STK",표.실시간[[#This Row],[nxt_code]],"시가")</f>
        <v>150100</v>
      </c>
      <c r="Q177" s="2">
        <f>_xll.IMDP("STK",표.실시간[[#This Row],[nxt_code]],"고가")</f>
        <v>150200</v>
      </c>
      <c r="R177" s="2">
        <f>_xll.IMDP("STK",표.실시간[[#This Row],[nxt_code]],"저가")</f>
        <v>142900</v>
      </c>
      <c r="S177">
        <f>_xll.IMDP("STK",표.실시간[[#This Row],[nxt_code]],"세션명")</f>
        <v>0</v>
      </c>
      <c r="T177">
        <f>_xll.IMDP("STK",표.실시간[[#This Row],[nxt_code]],"체결시간")</f>
        <v>0</v>
      </c>
      <c r="U177" s="2">
        <f>_xll.IMDP("STK","004800","현재가")</f>
        <v>146700</v>
      </c>
      <c r="V177">
        <f>_xll.IMDP("STK","004800","누적거래량")</f>
        <v>3307</v>
      </c>
    </row>
    <row r="178" spans="2:22" x14ac:dyDescent="0.3">
      <c r="B178">
        <v>170</v>
      </c>
      <c r="C178">
        <v>1</v>
      </c>
      <c r="D178">
        <f>IF(IFERROR(INDEX(표.kospi200[code],MATCH(표.실시간[[#This Row],[코드]],표.kospi200[code],0)),0)=0,0,1)</f>
        <v>1</v>
      </c>
      <c r="E178" t="s">
        <v>183</v>
      </c>
      <c r="F178">
        <v>383220</v>
      </c>
      <c r="G178" t="str">
        <f>ConvertStockCode(표.실시간[[#This Row],[코드]])</f>
        <v>N383220</v>
      </c>
      <c r="H178" s="2">
        <f>_xll.IMDP("STK",표.실시간[[#This Row],[nxt_code]],"현재가")</f>
        <v>73000</v>
      </c>
      <c r="I178" s="2">
        <f>_xll.IMDP("STK",표.실시간[[#This Row],[nxt_code]],"시가총액")/10^12</f>
        <v>2.796416475</v>
      </c>
      <c r="J178" s="2">
        <f>표.실시간[[#This Row],[시가총액 (조원)]]/표.실시간[[#This Row],[현재가]]*(표.실시간[[#This Row],[현재가]]-표.실시간[[#This Row],[대비]])</f>
        <v>2.8002471825000002</v>
      </c>
      <c r="K178" s="3">
        <f>_xll.IMDP("STK",표.실시간[[#This Row],[nxt_code]],"전일대비")</f>
        <v>-100</v>
      </c>
      <c r="L178">
        <f>_xll.IMDP("STK",표.실시간[[#This Row],[nxt_code]],"등락률")</f>
        <v>-0.14000000000000001</v>
      </c>
      <c r="M178" s="2">
        <f>_xll.IMDP("STK",표.실시간[[#This Row],[nxt_code]],"누적거래량")</f>
        <v>8933</v>
      </c>
      <c r="N178" s="2">
        <f>_xll.IMDP("STK",표.실시간[[#This Row],[nxt_code]],"누적거래대금")/10^8</f>
        <v>6.5972460000000002</v>
      </c>
      <c r="O178" s="2">
        <f>_xll.IMDP("STK",표.실시간[[#This Row],[nxt_code]],"가중평균가")</f>
        <v>73852.524348000006</v>
      </c>
      <c r="P178" s="2">
        <f>_xll.IMDP("STK",표.실시간[[#This Row],[nxt_code]],"시가")</f>
        <v>73100</v>
      </c>
      <c r="Q178" s="2">
        <f>_xll.IMDP("STK",표.실시간[[#This Row],[nxt_code]],"고가")</f>
        <v>75000</v>
      </c>
      <c r="R178" s="2">
        <f>_xll.IMDP("STK",표.실시간[[#This Row],[nxt_code]],"저가")</f>
        <v>72400</v>
      </c>
      <c r="S178">
        <f>_xll.IMDP("STK",표.실시간[[#This Row],[nxt_code]],"세션명")</f>
        <v>0</v>
      </c>
      <c r="T178">
        <f>_xll.IMDP("STK",표.실시간[[#This Row],[nxt_code]],"체결시간")</f>
        <v>0</v>
      </c>
      <c r="U178" s="2">
        <f>_xll.IMDP("STK","383220","현재가")</f>
        <v>73100</v>
      </c>
      <c r="V178">
        <f>_xll.IMDP("STK","383220","누적거래량")</f>
        <v>5120</v>
      </c>
    </row>
    <row r="179" spans="2:22" x14ac:dyDescent="0.3">
      <c r="B179">
        <v>171</v>
      </c>
      <c r="C179">
        <v>1</v>
      </c>
      <c r="D179">
        <f>IF(IFERROR(INDEX(표.kospi200[code],MATCH(표.실시간[[#This Row],[코드]],표.kospi200[code],0)),0)=0,0,1)</f>
        <v>0</v>
      </c>
      <c r="E179" t="s">
        <v>184</v>
      </c>
      <c r="F179">
        <v>353200</v>
      </c>
      <c r="G179" t="str">
        <f>ConvertStockCode(표.실시간[[#This Row],[코드]])</f>
        <v>N353200</v>
      </c>
      <c r="H179" s="2">
        <f>_xll.IMDP("STK",표.실시간[[#This Row],[nxt_code]],"현재가")</f>
        <v>62800</v>
      </c>
      <c r="I179" s="2">
        <f>_xll.IMDP("STK",표.실시간[[#This Row],[nxt_code]],"시가총액")/10^12</f>
        <v>3.1033828899999998</v>
      </c>
      <c r="J179" s="2">
        <f>표.실시간[[#This Row],[시가총액 (조원)]]/표.실시간[[#This Row],[현재가]]*(표.실시간[[#This Row],[현재가]]-표.실시간[[#This Row],[대비]])</f>
        <v>3.1280913524999998</v>
      </c>
      <c r="K179" s="3">
        <f>_xll.IMDP("STK",표.실시간[[#This Row],[nxt_code]],"전일대비")</f>
        <v>-500</v>
      </c>
      <c r="L179">
        <f>_xll.IMDP("STK",표.실시간[[#This Row],[nxt_code]],"등락률")</f>
        <v>-0.79</v>
      </c>
      <c r="M179" s="2">
        <f>_xll.IMDP("STK",표.실시간[[#This Row],[nxt_code]],"누적거래량")</f>
        <v>430206</v>
      </c>
      <c r="N179" s="2">
        <f>_xll.IMDP("STK",표.실시간[[#This Row],[nxt_code]],"누적거래대금")/10^8</f>
        <v>267.37289950000002</v>
      </c>
      <c r="O179" s="2">
        <f>_xll.IMDP("STK",표.실시간[[#This Row],[nxt_code]],"가중평균가")</f>
        <v>62149.969898000003</v>
      </c>
      <c r="P179" s="2">
        <f>_xll.IMDP("STK",표.실시간[[#This Row],[nxt_code]],"시가")</f>
        <v>62500</v>
      </c>
      <c r="Q179" s="2">
        <f>_xll.IMDP("STK",표.실시간[[#This Row],[nxt_code]],"고가")</f>
        <v>63400</v>
      </c>
      <c r="R179" s="2">
        <f>_xll.IMDP("STK",표.실시간[[#This Row],[nxt_code]],"저가")</f>
        <v>60600</v>
      </c>
      <c r="S179">
        <f>_xll.IMDP("STK",표.실시간[[#This Row],[nxt_code]],"세션명")</f>
        <v>0</v>
      </c>
      <c r="T179">
        <f>_xll.IMDP("STK",표.실시간[[#This Row],[nxt_code]],"체결시간")</f>
        <v>0</v>
      </c>
      <c r="U179" s="2">
        <f>_xll.IMDP("STK","353200","현재가")</f>
        <v>62800</v>
      </c>
      <c r="V179">
        <f>_xll.IMDP("STK","353200","누적거래량")</f>
        <v>207186</v>
      </c>
    </row>
    <row r="180" spans="2:22" x14ac:dyDescent="0.3">
      <c r="B180">
        <v>172</v>
      </c>
      <c r="C180">
        <v>0</v>
      </c>
      <c r="D180">
        <f>IF(IFERROR(INDEX(표.kospi200[code],MATCH(표.실시간[[#This Row],[코드]],표.kospi200[code],0)),0)=0,0,1)</f>
        <v>0</v>
      </c>
      <c r="E180" t="s">
        <v>185</v>
      </c>
      <c r="F180">
        <v>41510</v>
      </c>
      <c r="G180" t="str">
        <f>ConvertStockCode(표.실시간[[#This Row],[코드]])</f>
        <v>N041510</v>
      </c>
      <c r="H180" s="2">
        <f>_xll.IMDP("STK",표.실시간[[#This Row],[nxt_code]],"현재가")</f>
        <v>112200</v>
      </c>
      <c r="I180" s="2">
        <f>_xll.IMDP("STK",표.실시간[[#This Row],[nxt_code]],"시가총액")/10^12</f>
        <v>2.5687842179999998</v>
      </c>
      <c r="J180" s="2">
        <f>표.실시간[[#This Row],[시가총액 (조원)]]/표.실시간[[#This Row],[현재가]]*(표.실시간[[#This Row],[현재가]]-표.실시간[[#This Row],[대비]])</f>
        <v>2.6557840399999999</v>
      </c>
      <c r="K180" s="3">
        <f>_xll.IMDP("STK",표.실시간[[#This Row],[nxt_code]],"전일대비")</f>
        <v>-3800</v>
      </c>
      <c r="L180">
        <f>_xll.IMDP("STK",표.실시간[[#This Row],[nxt_code]],"등락률")</f>
        <v>-3.28</v>
      </c>
      <c r="M180" s="2">
        <f>_xll.IMDP("STK",표.실시간[[#This Row],[nxt_code]],"누적거래량")</f>
        <v>27683</v>
      </c>
      <c r="N180" s="2">
        <f>_xll.IMDP("STK",표.실시간[[#This Row],[nxt_code]],"누적거래대금")/10^8</f>
        <v>30.980713000000002</v>
      </c>
      <c r="O180" s="2">
        <f>_xll.IMDP("STK",표.실시간[[#This Row],[nxt_code]],"가중평균가")</f>
        <v>111912.41194999999</v>
      </c>
      <c r="P180" s="2">
        <f>_xll.IMDP("STK",표.실시간[[#This Row],[nxt_code]],"시가")</f>
        <v>114200</v>
      </c>
      <c r="Q180" s="2">
        <f>_xll.IMDP("STK",표.실시간[[#This Row],[nxt_code]],"고가")</f>
        <v>114500</v>
      </c>
      <c r="R180" s="2">
        <f>_xll.IMDP("STK",표.실시간[[#This Row],[nxt_code]],"저가")</f>
        <v>109900</v>
      </c>
      <c r="S180">
        <f>_xll.IMDP("STK",표.실시간[[#This Row],[nxt_code]],"세션명")</f>
        <v>0</v>
      </c>
      <c r="T180">
        <f>_xll.IMDP("STK",표.실시간[[#This Row],[nxt_code]],"체결시간")</f>
        <v>0</v>
      </c>
      <c r="U180" s="2">
        <f>_xll.IMDP("STK","041510","현재가")</f>
        <v>111900</v>
      </c>
      <c r="V180">
        <f>_xll.IMDP("STK","041510","누적거래량")</f>
        <v>15329</v>
      </c>
    </row>
    <row r="181" spans="2:22" x14ac:dyDescent="0.3">
      <c r="B181">
        <v>173</v>
      </c>
      <c r="C181">
        <v>0</v>
      </c>
      <c r="D181">
        <f>IF(IFERROR(INDEX(표.kospi200[code],MATCH(표.실시간[[#This Row],[코드]],표.kospi200[code],0)),0)=0,0,1)</f>
        <v>0</v>
      </c>
      <c r="E181" t="s">
        <v>186</v>
      </c>
      <c r="F181">
        <v>58610</v>
      </c>
      <c r="G181" t="str">
        <f>ConvertStockCode(표.실시간[[#This Row],[코드]])</f>
        <v>N058610</v>
      </c>
      <c r="H181" s="2">
        <f>_xll.IMDP("STK",표.실시간[[#This Row],[nxt_code]],"현재가")</f>
        <v>161400</v>
      </c>
      <c r="I181" s="2">
        <f>_xll.IMDP("STK",표.실시간[[#This Row],[nxt_code]],"시가총액")/10^12</f>
        <v>3.5794259039999998</v>
      </c>
      <c r="J181" s="2">
        <f>표.실시간[[#This Row],[시가총액 (조원)]]/표.실시간[[#This Row],[현재가]]*(표.실시간[[#This Row],[현재가]]-표.실시간[[#This Row],[대비]])</f>
        <v>3.433055328</v>
      </c>
      <c r="K181" s="3">
        <f>_xll.IMDP("STK",표.실시간[[#This Row],[nxt_code]],"전일대비")</f>
        <v>6600</v>
      </c>
      <c r="L181">
        <f>_xll.IMDP("STK",표.실시간[[#This Row],[nxt_code]],"등락률")</f>
        <v>4.29</v>
      </c>
      <c r="M181" s="2">
        <f>_xll.IMDP("STK",표.실시간[[#This Row],[nxt_code]],"누적거래량")</f>
        <v>252594</v>
      </c>
      <c r="N181" s="2">
        <f>_xll.IMDP("STK",표.실시간[[#This Row],[nxt_code]],"누적거래대금")/10^8</f>
        <v>382.73283900000001</v>
      </c>
      <c r="O181" s="2">
        <f>_xll.IMDP("STK",표.실시간[[#This Row],[nxt_code]],"가중평균가")</f>
        <v>151517.95494</v>
      </c>
      <c r="P181" s="2">
        <f>_xll.IMDP("STK",표.실시간[[#This Row],[nxt_code]],"시가")</f>
        <v>150200</v>
      </c>
      <c r="Q181" s="2">
        <f>_xll.IMDP("STK",표.실시간[[#This Row],[nxt_code]],"고가")</f>
        <v>161400</v>
      </c>
      <c r="R181" s="2">
        <f>_xll.IMDP("STK",표.실시간[[#This Row],[nxt_code]],"저가")</f>
        <v>143500</v>
      </c>
      <c r="S181">
        <f>_xll.IMDP("STK",표.실시간[[#This Row],[nxt_code]],"세션명")</f>
        <v>0</v>
      </c>
      <c r="T181">
        <f>_xll.IMDP("STK",표.실시간[[#This Row],[nxt_code]],"체결시간")</f>
        <v>0</v>
      </c>
      <c r="U181" s="2">
        <f>_xll.IMDP("STK","058610","현재가")</f>
        <v>161400</v>
      </c>
      <c r="V181">
        <f>_xll.IMDP("STK","058610","누적거래량")</f>
        <v>163929</v>
      </c>
    </row>
    <row r="182" spans="2:22" x14ac:dyDescent="0.3">
      <c r="B182">
        <v>174</v>
      </c>
      <c r="C182">
        <v>1</v>
      </c>
      <c r="D182">
        <f>IF(IFERROR(INDEX(표.kospi200[code],MATCH(표.실시간[[#This Row],[코드]],표.kospi200[code],0)),0)=0,0,1)</f>
        <v>1</v>
      </c>
      <c r="E182" t="s">
        <v>187</v>
      </c>
      <c r="F182">
        <v>4370</v>
      </c>
      <c r="G182" t="str">
        <f>ConvertStockCode(표.실시간[[#This Row],[코드]])</f>
        <v>N004370</v>
      </c>
      <c r="H182" s="2">
        <f>_xll.IMDP("STK",표.실시간[[#This Row],[nxt_code]],"현재가")</f>
        <v>404000</v>
      </c>
      <c r="I182" s="2">
        <f>_xll.IMDP("STK",표.실시간[[#This Row],[nxt_code]],"시가총액")/10^12</f>
        <v>2.457387368</v>
      </c>
      <c r="J182" s="2">
        <f>표.실시간[[#This Row],[시가총액 (조원)]]/표.실시간[[#This Row],[현재가]]*(표.실시간[[#This Row],[현재가]]-표.실시간[[#This Row],[대비]])</f>
        <v>2.4725939729999999</v>
      </c>
      <c r="K182" s="3">
        <f>_xll.IMDP("STK",표.실시간[[#This Row],[nxt_code]],"전일대비")</f>
        <v>-2500</v>
      </c>
      <c r="L182">
        <f>_xll.IMDP("STK",표.실시간[[#This Row],[nxt_code]],"등락률")</f>
        <v>-0.86</v>
      </c>
      <c r="M182" s="2">
        <f>_xll.IMDP("STK",표.실시간[[#This Row],[nxt_code]],"누적거래량")</f>
        <v>1577</v>
      </c>
      <c r="N182" s="2">
        <f>_xll.IMDP("STK",표.실시간[[#This Row],[nxt_code]],"누적거래대금")/10^8</f>
        <v>6.6760000000000002</v>
      </c>
      <c r="O182" s="2">
        <f>_xll.IMDP("STK",표.실시간[[#This Row],[nxt_code]],"가중평균가")</f>
        <v>404606.06060600001</v>
      </c>
      <c r="P182" s="2">
        <f>_xll.IMDP("STK",표.실시간[[#This Row],[nxt_code]],"시가")</f>
        <v>410000</v>
      </c>
      <c r="Q182" s="2">
        <f>_xll.IMDP("STK",표.실시간[[#This Row],[nxt_code]],"고가")</f>
        <v>410000</v>
      </c>
      <c r="R182" s="2">
        <f>_xll.IMDP("STK",표.실시간[[#This Row],[nxt_code]],"저가")</f>
        <v>401500</v>
      </c>
      <c r="S182">
        <f>_xll.IMDP("STK",표.실시간[[#This Row],[nxt_code]],"세션명")</f>
        <v>0</v>
      </c>
      <c r="T182">
        <f>_xll.IMDP("STK",표.실시간[[#This Row],[nxt_code]],"체결시간")</f>
        <v>0</v>
      </c>
      <c r="U182" s="2">
        <f>_xll.IMDP("STK","004370","현재가")</f>
        <v>404000</v>
      </c>
      <c r="V182">
        <f>_xll.IMDP("STK","004370","누적거래량")</f>
        <v>2001</v>
      </c>
    </row>
    <row r="183" spans="2:22" x14ac:dyDescent="0.3">
      <c r="B183">
        <v>175</v>
      </c>
      <c r="C183">
        <v>1</v>
      </c>
      <c r="D183">
        <f>IF(IFERROR(INDEX(표.kospi200[code],MATCH(표.실시간[[#This Row],[코드]],표.kospi200[code],0)),0)=0,0,1)</f>
        <v>1</v>
      </c>
      <c r="E183" t="s">
        <v>188</v>
      </c>
      <c r="F183">
        <v>1450</v>
      </c>
      <c r="G183" t="str">
        <f>ConvertStockCode(표.실시간[[#This Row],[코드]])</f>
        <v>N001450</v>
      </c>
      <c r="H183" s="2">
        <f>_xll.IMDP("STK",표.실시간[[#This Row],[nxt_code]],"현재가")</f>
        <v>27950</v>
      </c>
      <c r="I183" s="2">
        <f>_xll.IMDP("STK",표.실시간[[#This Row],[nxt_code]],"시가총액")/10^12</f>
        <v>2.4987300000000001</v>
      </c>
      <c r="J183" s="2">
        <f>표.실시간[[#This Row],[시가총액 (조원)]]/표.실시간[[#This Row],[현재가]]*(표.실시간[[#This Row],[현재가]]-표.실시간[[#This Row],[대비]])</f>
        <v>2.51661</v>
      </c>
      <c r="K183" s="3">
        <f>_xll.IMDP("STK",표.실시간[[#This Row],[nxt_code]],"전일대비")</f>
        <v>-200</v>
      </c>
      <c r="L183">
        <f>_xll.IMDP("STK",표.실시간[[#This Row],[nxt_code]],"등락률")</f>
        <v>-0.71</v>
      </c>
      <c r="M183" s="2">
        <f>_xll.IMDP("STK",표.실시간[[#This Row],[nxt_code]],"누적거래량")</f>
        <v>50261</v>
      </c>
      <c r="N183" s="2">
        <f>_xll.IMDP("STK",표.실시간[[#This Row],[nxt_code]],"누적거래대금")/10^8</f>
        <v>14.022140500000001</v>
      </c>
      <c r="O183" s="2">
        <f>_xll.IMDP("STK",표.실시간[[#This Row],[nxt_code]],"가중평균가")</f>
        <v>27898.650046999999</v>
      </c>
      <c r="P183" s="2">
        <f>_xll.IMDP("STK",표.실시간[[#This Row],[nxt_code]],"시가")</f>
        <v>28150</v>
      </c>
      <c r="Q183" s="2">
        <f>_xll.IMDP("STK",표.실시간[[#This Row],[nxt_code]],"고가")</f>
        <v>28500</v>
      </c>
      <c r="R183" s="2">
        <f>_xll.IMDP("STK",표.실시간[[#This Row],[nxt_code]],"저가")</f>
        <v>27650</v>
      </c>
      <c r="S183">
        <f>_xll.IMDP("STK",표.실시간[[#This Row],[nxt_code]],"세션명")</f>
        <v>0</v>
      </c>
      <c r="T183">
        <f>_xll.IMDP("STK",표.실시간[[#This Row],[nxt_code]],"체결시간")</f>
        <v>0</v>
      </c>
      <c r="U183" s="2">
        <f>_xll.IMDP("STK","001450","현재가")</f>
        <v>28000</v>
      </c>
      <c r="V183">
        <f>_xll.IMDP("STK","001450","누적거래량")</f>
        <v>48389</v>
      </c>
    </row>
    <row r="184" spans="2:22" x14ac:dyDescent="0.3">
      <c r="B184">
        <v>176</v>
      </c>
      <c r="C184">
        <v>1</v>
      </c>
      <c r="D184">
        <f>IF(IFERROR(INDEX(표.kospi200[code],MATCH(표.실시간[[#This Row],[코드]],표.kospi200[code],0)),0)=0,0,1)</f>
        <v>0</v>
      </c>
      <c r="E184" t="s">
        <v>189</v>
      </c>
      <c r="F184">
        <v>1720</v>
      </c>
      <c r="G184" t="str">
        <f>ConvertStockCode(표.실시간[[#This Row],[코드]])</f>
        <v>N001720</v>
      </c>
      <c r="H184" s="2">
        <f>_xll.IMDP("STK",표.실시간[[#This Row],[nxt_code]],"현재가")</f>
        <v>174300</v>
      </c>
      <c r="I184" s="2">
        <f>_xll.IMDP("STK",표.실시간[[#This Row],[nxt_code]],"시가총액")/10^12</f>
        <v>2.8654920000000002</v>
      </c>
      <c r="J184" s="2">
        <f>표.실시간[[#This Row],[시가총액 (조원)]]/표.실시간[[#This Row],[현재가]]*(표.실시간[[#This Row],[현재가]]-표.실시간[[#This Row],[대비]])</f>
        <v>2.9098800000000002</v>
      </c>
      <c r="K184" s="3">
        <f>_xll.IMDP("STK",표.실시간[[#This Row],[nxt_code]],"전일대비")</f>
        <v>-2700</v>
      </c>
      <c r="L184">
        <f>_xll.IMDP("STK",표.실시간[[#This Row],[nxt_code]],"등락률")</f>
        <v>-1.3</v>
      </c>
      <c r="M184" s="2">
        <f>_xll.IMDP("STK",표.실시간[[#This Row],[nxt_code]],"누적거래량")</f>
        <v>19788</v>
      </c>
      <c r="N184" s="2">
        <f>_xll.IMDP("STK",표.실시간[[#This Row],[nxt_code]],"누적거래대금")/10^8</f>
        <v>35.594099</v>
      </c>
      <c r="O184" s="2">
        <f>_xll.IMDP("STK",표.실시간[[#This Row],[nxt_code]],"가중평균가")</f>
        <v>179822.668485</v>
      </c>
      <c r="P184" s="2">
        <f>_xll.IMDP("STK",표.실시간[[#This Row],[nxt_code]],"시가")</f>
        <v>176500</v>
      </c>
      <c r="Q184" s="2">
        <f>_xll.IMDP("STK",표.실시간[[#This Row],[nxt_code]],"고가")</f>
        <v>189800</v>
      </c>
      <c r="R184" s="2">
        <f>_xll.IMDP("STK",표.실시간[[#This Row],[nxt_code]],"저가")</f>
        <v>170100</v>
      </c>
      <c r="S184">
        <f>_xll.IMDP("STK",표.실시간[[#This Row],[nxt_code]],"세션명")</f>
        <v>0</v>
      </c>
      <c r="T184">
        <f>_xll.IMDP("STK",표.실시간[[#This Row],[nxt_code]],"체결시간")</f>
        <v>0</v>
      </c>
      <c r="U184" s="2">
        <f>_xll.IMDP("STK","001720","현재가")</f>
        <v>175400</v>
      </c>
      <c r="V184">
        <f>_xll.IMDP("STK","001720","누적거래량")</f>
        <v>8991</v>
      </c>
    </row>
    <row r="185" spans="2:22" x14ac:dyDescent="0.3">
      <c r="B185">
        <v>177</v>
      </c>
      <c r="C185">
        <v>0</v>
      </c>
      <c r="D185">
        <f>IF(IFERROR(INDEX(표.kospi200[code],MATCH(표.실시간[[#This Row],[코드]],표.kospi200[code],0)),0)=0,0,1)</f>
        <v>0</v>
      </c>
      <c r="E185" t="s">
        <v>190</v>
      </c>
      <c r="F185">
        <v>237690</v>
      </c>
      <c r="G185" t="str">
        <f>ConvertStockCode(표.실시간[[#This Row],[코드]])</f>
        <v>N237690</v>
      </c>
      <c r="H185" s="2">
        <f>_xll.IMDP("STK",표.실시간[[#This Row],[nxt_code]],"현재가")</f>
        <v>154800</v>
      </c>
      <c r="I185" s="2">
        <f>_xll.IMDP("STK",표.실시간[[#This Row],[nxt_code]],"시가총액")/10^12</f>
        <v>3.2046206831999999</v>
      </c>
      <c r="J185" s="2">
        <f>표.실시간[[#This Row],[시가총액 (조원)]]/표.실시간[[#This Row],[현재가]]*(표.실시간[[#This Row],[현재가]]-표.실시간[[#This Row],[대비]])</f>
        <v>3.3039887663999998</v>
      </c>
      <c r="K185" s="3">
        <f>_xll.IMDP("STK",표.실시간[[#This Row],[nxt_code]],"전일대비")</f>
        <v>-4800</v>
      </c>
      <c r="L185">
        <f>_xll.IMDP("STK",표.실시간[[#This Row],[nxt_code]],"등락률")</f>
        <v>-3.01</v>
      </c>
      <c r="M185" s="2">
        <f>_xll.IMDP("STK",표.실시간[[#This Row],[nxt_code]],"누적거래량")</f>
        <v>42710</v>
      </c>
      <c r="N185" s="2">
        <f>_xll.IMDP("STK",표.실시간[[#This Row],[nxt_code]],"누적거래대금")/10^8</f>
        <v>65.585088999999996</v>
      </c>
      <c r="O185" s="2">
        <f>_xll.IMDP("STK",표.실시간[[#This Row],[nxt_code]],"가중평균가")</f>
        <v>153559.09388900001</v>
      </c>
      <c r="P185" s="2">
        <f>_xll.IMDP("STK",표.실시간[[#This Row],[nxt_code]],"시가")</f>
        <v>156800</v>
      </c>
      <c r="Q185" s="2">
        <f>_xll.IMDP("STK",표.실시간[[#This Row],[nxt_code]],"고가")</f>
        <v>157500</v>
      </c>
      <c r="R185" s="2">
        <f>_xll.IMDP("STK",표.실시간[[#This Row],[nxt_code]],"저가")</f>
        <v>150200</v>
      </c>
      <c r="S185">
        <f>_xll.IMDP("STK",표.실시간[[#This Row],[nxt_code]],"세션명")</f>
        <v>0</v>
      </c>
      <c r="T185">
        <f>_xll.IMDP("STK",표.실시간[[#This Row],[nxt_code]],"체결시간")</f>
        <v>0</v>
      </c>
      <c r="U185" s="2">
        <f>_xll.IMDP("STK","237690","현재가")</f>
        <v>156000</v>
      </c>
      <c r="V185">
        <f>_xll.IMDP("STK","237690","누적거래량")</f>
        <v>31425</v>
      </c>
    </row>
    <row r="186" spans="2:22" x14ac:dyDescent="0.3">
      <c r="B186">
        <v>178</v>
      </c>
      <c r="C186">
        <v>1</v>
      </c>
      <c r="D186">
        <f>IF(IFERROR(INDEX(표.kospi200[code],MATCH(표.실시간[[#This Row],[코드]],표.kospi200[code],0)),0)=0,0,1)</f>
        <v>0</v>
      </c>
      <c r="E186" t="s">
        <v>191</v>
      </c>
      <c r="F186">
        <v>336260</v>
      </c>
      <c r="G186" t="str">
        <f>ConvertStockCode(표.실시간[[#This Row],[코드]])</f>
        <v>N336260</v>
      </c>
      <c r="H186" s="2">
        <f>_xll.IMDP("STK",표.실시간[[#This Row],[nxt_code]],"현재가")</f>
        <v>33250</v>
      </c>
      <c r="I186" s="2">
        <f>_xll.IMDP("STK",표.실시간[[#This Row],[nxt_code]],"시가총액")/10^12</f>
        <v>2.1776663895000001</v>
      </c>
      <c r="J186" s="2">
        <f>표.실시간[[#This Row],[시가총액 (조원)]]/표.실시간[[#This Row],[현재가]]*(표.실시간[[#This Row],[현재가]]-표.실시간[[#This Row],[대비]])</f>
        <v>2.2300613703000001</v>
      </c>
      <c r="K186" s="3">
        <f>_xll.IMDP("STK",표.실시간[[#This Row],[nxt_code]],"전일대비")</f>
        <v>-800</v>
      </c>
      <c r="L186">
        <f>_xll.IMDP("STK",표.실시간[[#This Row],[nxt_code]],"등락률")</f>
        <v>-2.06</v>
      </c>
      <c r="M186" s="2">
        <f>_xll.IMDP("STK",표.실시간[[#This Row],[nxt_code]],"누적거래량")</f>
        <v>57730</v>
      </c>
      <c r="N186" s="2">
        <f>_xll.IMDP("STK",표.실시간[[#This Row],[nxt_code]],"누적거래대금")/10^8</f>
        <v>19.168180249999999</v>
      </c>
      <c r="O186" s="2">
        <f>_xll.IMDP("STK",표.실시간[[#This Row],[nxt_code]],"가중평균가")</f>
        <v>33203.153039999997</v>
      </c>
      <c r="P186" s="2">
        <f>_xll.IMDP("STK",표.실시간[[#This Row],[nxt_code]],"시가")</f>
        <v>34000</v>
      </c>
      <c r="Q186" s="2">
        <f>_xll.IMDP("STK",표.실시간[[#This Row],[nxt_code]],"고가")</f>
        <v>34000</v>
      </c>
      <c r="R186" s="2">
        <f>_xll.IMDP("STK",표.실시간[[#This Row],[nxt_code]],"저가")</f>
        <v>33000</v>
      </c>
      <c r="S186">
        <f>_xll.IMDP("STK",표.실시간[[#This Row],[nxt_code]],"세션명")</f>
        <v>0</v>
      </c>
      <c r="T186">
        <f>_xll.IMDP("STK",표.실시간[[#This Row],[nxt_code]],"체결시간")</f>
        <v>0</v>
      </c>
      <c r="U186" s="2">
        <f>_xll.IMDP("STK","336260","현재가")</f>
        <v>33250</v>
      </c>
      <c r="V186">
        <f>_xll.IMDP("STK","336260","누적거래량")</f>
        <v>43714</v>
      </c>
    </row>
    <row r="187" spans="2:22" x14ac:dyDescent="0.3">
      <c r="B187">
        <v>179</v>
      </c>
      <c r="C187">
        <v>1</v>
      </c>
      <c r="D187">
        <f>IF(IFERROR(INDEX(표.kospi200[code],MATCH(표.실시간[[#This Row],[코드]],표.kospi200[code],0)),0)=0,0,1)</f>
        <v>1</v>
      </c>
      <c r="E187" t="s">
        <v>192</v>
      </c>
      <c r="F187">
        <v>30000</v>
      </c>
      <c r="G187" t="str">
        <f>ConvertStockCode(표.실시간[[#This Row],[코드]])</f>
        <v>N030000</v>
      </c>
      <c r="H187" s="2">
        <f>_xll.IMDP("STK",표.실시간[[#This Row],[nxt_code]],"현재가")</f>
        <v>21550</v>
      </c>
      <c r="I187" s="2">
        <f>_xll.IMDP("STK",표.실시간[[#This Row],[nxt_code]],"시가총액")/10^12</f>
        <v>2.47913839875</v>
      </c>
      <c r="J187" s="2">
        <f>표.실시간[[#This Row],[시가총액 (조원)]]/표.실시간[[#This Row],[현재가]]*(표.실시간[[#This Row],[현재가]]-표.실시간[[#This Row],[대비]])</f>
        <v>2.5251548887499999</v>
      </c>
      <c r="K187" s="3">
        <f>_xll.IMDP("STK",표.실시간[[#This Row],[nxt_code]],"전일대비")</f>
        <v>-400</v>
      </c>
      <c r="L187">
        <f>_xll.IMDP("STK",표.실시간[[#This Row],[nxt_code]],"등락률")</f>
        <v>-1.82</v>
      </c>
      <c r="M187" s="2">
        <f>_xll.IMDP("STK",표.실시간[[#This Row],[nxt_code]],"누적거래량")</f>
        <v>22617</v>
      </c>
      <c r="N187" s="2">
        <f>_xll.IMDP("STK",표.실시간[[#This Row],[nxt_code]],"누적거래대금")/10^8</f>
        <v>4.9210560000000001</v>
      </c>
      <c r="O187" s="2">
        <f>_xll.IMDP("STK",표.실시간[[#This Row],[nxt_code]],"가중평균가")</f>
        <v>21758.217270000001</v>
      </c>
      <c r="P187" s="2">
        <f>_xll.IMDP("STK",표.실시간[[#This Row],[nxt_code]],"시가")</f>
        <v>21950</v>
      </c>
      <c r="Q187" s="2">
        <f>_xll.IMDP("STK",표.실시간[[#This Row],[nxt_code]],"고가")</f>
        <v>22000</v>
      </c>
      <c r="R187" s="2">
        <f>_xll.IMDP("STK",표.실시간[[#This Row],[nxt_code]],"저가")</f>
        <v>21550</v>
      </c>
      <c r="S187">
        <f>_xll.IMDP("STK",표.실시간[[#This Row],[nxt_code]],"세션명")</f>
        <v>0</v>
      </c>
      <c r="T187">
        <f>_xll.IMDP("STK",표.실시간[[#This Row],[nxt_code]],"체결시간")</f>
        <v>0</v>
      </c>
      <c r="U187" s="2">
        <f>_xll.IMDP("STK","030000","현재가")</f>
        <v>21550</v>
      </c>
      <c r="V187">
        <f>_xll.IMDP("STK","030000","누적거래량")</f>
        <v>16983</v>
      </c>
    </row>
    <row r="188" spans="2:22" x14ac:dyDescent="0.3">
      <c r="B188">
        <v>180</v>
      </c>
      <c r="C188">
        <v>0</v>
      </c>
      <c r="D188">
        <f>IF(IFERROR(INDEX(표.kospi200[code],MATCH(표.실시간[[#This Row],[코드]],표.kospi200[code],0)),0)=0,0,1)</f>
        <v>0</v>
      </c>
      <c r="E188" t="s">
        <v>193</v>
      </c>
      <c r="F188">
        <v>35900</v>
      </c>
      <c r="G188" t="str">
        <f>ConvertStockCode(표.실시간[[#This Row],[코드]])</f>
        <v>N035900</v>
      </c>
      <c r="H188" s="2">
        <f>_xll.IMDP("STK",표.실시간[[#This Row],[nxt_code]],"현재가")</f>
        <v>71500</v>
      </c>
      <c r="I188" s="2">
        <f>_xll.IMDP("STK",표.실시간[[#This Row],[nxt_code]],"시가총액")/10^12</f>
        <v>2.5405731779999998</v>
      </c>
      <c r="J188" s="2">
        <f>표.실시간[[#This Row],[시가총액 (조원)]]/표.실시간[[#This Row],[현재가]]*(표.실시간[[#This Row],[현재가]]-표.실시간[[#This Row],[대비]])</f>
        <v>2.6222979095999999</v>
      </c>
      <c r="K188" s="3">
        <f>_xll.IMDP("STK",표.실시간[[#This Row],[nxt_code]],"전일대비")</f>
        <v>-2300</v>
      </c>
      <c r="L188">
        <f>_xll.IMDP("STK",표.실시간[[#This Row],[nxt_code]],"등락률")</f>
        <v>-3.12</v>
      </c>
      <c r="M188" s="2">
        <f>_xll.IMDP("STK",표.실시간[[#This Row],[nxt_code]],"누적거래량")</f>
        <v>126021</v>
      </c>
      <c r="N188" s="2">
        <f>_xll.IMDP("STK",표.실시간[[#This Row],[nxt_code]],"누적거래대금")/10^8</f>
        <v>90.673276999999999</v>
      </c>
      <c r="O188" s="2">
        <f>_xll.IMDP("STK",표.실시간[[#This Row],[nxt_code]],"가중평균가")</f>
        <v>71947.500931999995</v>
      </c>
      <c r="P188" s="2">
        <f>_xll.IMDP("STK",표.실시간[[#This Row],[nxt_code]],"시가")</f>
        <v>73800</v>
      </c>
      <c r="Q188" s="2">
        <f>_xll.IMDP("STK",표.실시간[[#This Row],[nxt_code]],"고가")</f>
        <v>73800</v>
      </c>
      <c r="R188" s="2">
        <f>_xll.IMDP("STK",표.실시간[[#This Row],[nxt_code]],"저가")</f>
        <v>70900</v>
      </c>
      <c r="S188">
        <f>_xll.IMDP("STK",표.실시간[[#This Row],[nxt_code]],"세션명")</f>
        <v>0</v>
      </c>
      <c r="T188">
        <f>_xll.IMDP("STK",표.실시간[[#This Row],[nxt_code]],"체결시간")</f>
        <v>0</v>
      </c>
      <c r="U188" s="2">
        <f>_xll.IMDP("STK","035900","현재가")</f>
        <v>71600</v>
      </c>
      <c r="V188">
        <f>_xll.IMDP("STK","035900","누적거래량")</f>
        <v>68912</v>
      </c>
    </row>
    <row r="189" spans="2:22" x14ac:dyDescent="0.3">
      <c r="B189">
        <v>181</v>
      </c>
      <c r="C189">
        <v>0</v>
      </c>
      <c r="D189">
        <f>IF(IFERROR(INDEX(표.kospi200[code],MATCH(표.실시간[[#This Row],[코드]],표.kospi200[code],0)),0)=0,0,1)</f>
        <v>0</v>
      </c>
      <c r="E189" t="s">
        <v>194</v>
      </c>
      <c r="F189">
        <v>226950</v>
      </c>
      <c r="G189" t="str">
        <f>ConvertStockCode(표.실시간[[#This Row],[코드]])</f>
        <v>N226950</v>
      </c>
      <c r="H189" s="2">
        <f>_xll.IMDP("STK",표.실시간[[#This Row],[nxt_code]],"현재가")</f>
        <v>139600</v>
      </c>
      <c r="I189" s="2">
        <f>_xll.IMDP("STK",표.실시간[[#This Row],[nxt_code]],"시가총액")/10^12</f>
        <v>2.8185076668</v>
      </c>
      <c r="J189" s="2">
        <f>표.실시간[[#This Row],[시가총액 (조원)]]/표.실시간[[#This Row],[현재가]]*(표.실시간[[#This Row],[현재가]]-표.실시간[[#This Row],[대비]])</f>
        <v>2.7882228423000002</v>
      </c>
      <c r="K189" s="3">
        <f>_xll.IMDP("STK",표.실시간[[#This Row],[nxt_code]],"전일대비")</f>
        <v>1500</v>
      </c>
      <c r="L189">
        <f>_xll.IMDP("STK",표.실시간[[#This Row],[nxt_code]],"등락률")</f>
        <v>1.23</v>
      </c>
      <c r="M189" s="2">
        <f>_xll.IMDP("STK",표.실시간[[#This Row],[nxt_code]],"누적거래량")</f>
        <v>67239</v>
      </c>
      <c r="N189" s="2">
        <f>_xll.IMDP("STK",표.실시간[[#This Row],[nxt_code]],"누적거래대금")/10^8</f>
        <v>90.193045499999997</v>
      </c>
      <c r="O189" s="2">
        <f>_xll.IMDP("STK",표.실시간[[#This Row],[nxt_code]],"가중평균가")</f>
        <v>134137.993575</v>
      </c>
      <c r="P189" s="2">
        <f>_xll.IMDP("STK",표.실시간[[#This Row],[nxt_code]],"시가")</f>
        <v>144700</v>
      </c>
      <c r="Q189" s="2">
        <f>_xll.IMDP("STK",표.실시간[[#This Row],[nxt_code]],"고가")</f>
        <v>144700</v>
      </c>
      <c r="R189" s="2">
        <f>_xll.IMDP("STK",표.실시간[[#This Row],[nxt_code]],"저가")</f>
        <v>131300</v>
      </c>
      <c r="S189">
        <f>_xll.IMDP("STK",표.실시간[[#This Row],[nxt_code]],"세션명")</f>
        <v>0</v>
      </c>
      <c r="T189">
        <f>_xll.IMDP("STK",표.실시간[[#This Row],[nxt_code]],"체결시간")</f>
        <v>0</v>
      </c>
      <c r="U189" s="2">
        <f>_xll.IMDP("STK","226950","현재가")</f>
        <v>138800</v>
      </c>
      <c r="V189">
        <f>_xll.IMDP("STK","226950","누적거래량")</f>
        <v>46155</v>
      </c>
    </row>
    <row r="190" spans="2:22" x14ac:dyDescent="0.3">
      <c r="B190">
        <v>182</v>
      </c>
      <c r="C190">
        <v>1</v>
      </c>
      <c r="D190">
        <f>IF(IFERROR(INDEX(표.kospi200[code],MATCH(표.실시간[[#This Row],[코드]],표.kospi200[code],0)),0)=0,0,1)</f>
        <v>1</v>
      </c>
      <c r="E190" t="s">
        <v>195</v>
      </c>
      <c r="F190">
        <v>9420</v>
      </c>
      <c r="G190" t="str">
        <f>ConvertStockCode(표.실시간[[#This Row],[코드]])</f>
        <v>N009420</v>
      </c>
      <c r="H190" s="2">
        <f>_xll.IMDP("STK",표.실시간[[#This Row],[nxt_code]],"현재가")</f>
        <v>51500</v>
      </c>
      <c r="I190" s="2">
        <f>_xll.IMDP("STK",표.실시간[[#This Row],[nxt_code]],"시가총액")/10^12</f>
        <v>2.690392857</v>
      </c>
      <c r="J190" s="2">
        <f>표.실시간[[#This Row],[시가총액 (조원)]]/표.실시간[[#This Row],[현재가]]*(표.실시간[[#This Row],[현재가]]-표.실시간[[#This Row],[대비]])</f>
        <v>2.690392857</v>
      </c>
      <c r="K190" s="3">
        <f>_xll.IMDP("STK",표.실시간[[#This Row],[nxt_code]],"전일대비")</f>
        <v>0</v>
      </c>
      <c r="L190">
        <f>_xll.IMDP("STK",표.실시간[[#This Row],[nxt_code]],"등락률")</f>
        <v>0</v>
      </c>
      <c r="M190" s="2">
        <f>_xll.IMDP("STK",표.실시간[[#This Row],[nxt_code]],"누적거래량")</f>
        <v>80043</v>
      </c>
      <c r="N190" s="2">
        <f>_xll.IMDP("STK",표.실시간[[#This Row],[nxt_code]],"누적거래대금")/10^8</f>
        <v>40.2330495</v>
      </c>
      <c r="O190" s="2">
        <f>_xll.IMDP("STK",표.실시간[[#This Row],[nxt_code]],"가중평균가")</f>
        <v>50264.294817000002</v>
      </c>
      <c r="P190" s="2">
        <f>_xll.IMDP("STK",표.실시간[[#This Row],[nxt_code]],"시가")</f>
        <v>51000</v>
      </c>
      <c r="Q190" s="2">
        <f>_xll.IMDP("STK",표.실시간[[#This Row],[nxt_code]],"고가")</f>
        <v>52000</v>
      </c>
      <c r="R190" s="2">
        <f>_xll.IMDP("STK",표.실시간[[#This Row],[nxt_code]],"저가")</f>
        <v>49650</v>
      </c>
      <c r="S190">
        <f>_xll.IMDP("STK",표.실시간[[#This Row],[nxt_code]],"세션명")</f>
        <v>0</v>
      </c>
      <c r="T190">
        <f>_xll.IMDP("STK",표.실시간[[#This Row],[nxt_code]],"체결시간")</f>
        <v>0</v>
      </c>
      <c r="U190" s="2">
        <f>_xll.IMDP("STK","009420","현재가")</f>
        <v>51500</v>
      </c>
      <c r="V190">
        <f>_xll.IMDP("STK","009420","누적거래량")</f>
        <v>46857</v>
      </c>
    </row>
    <row r="191" spans="2:22" x14ac:dyDescent="0.3">
      <c r="B191">
        <v>183</v>
      </c>
      <c r="C191">
        <v>1</v>
      </c>
      <c r="D191">
        <f>IF(IFERROR(INDEX(표.kospi200[code],MATCH(표.실시간[[#This Row],[코드]],표.kospi200[code],0)),0)=0,0,1)</f>
        <v>1</v>
      </c>
      <c r="E191" t="s">
        <v>196</v>
      </c>
      <c r="F191">
        <v>28670</v>
      </c>
      <c r="G191" t="str">
        <f>ConvertStockCode(표.실시간[[#This Row],[코드]])</f>
        <v>N028670</v>
      </c>
      <c r="H191" s="2">
        <f>_xll.IMDP("STK",표.실시간[[#This Row],[nxt_code]],"현재가")</f>
        <v>4730</v>
      </c>
      <c r="I191" s="2">
        <f>_xll.IMDP("STK",표.실시간[[#This Row],[nxt_code]],"시가총액")/10^12</f>
        <v>2.52851379176</v>
      </c>
      <c r="J191" s="2">
        <f>표.실시간[[#This Row],[시가총액 (조원)]]/표.실시간[[#This Row],[현재가]]*(표.실시간[[#This Row],[현재가]]-표.실시간[[#This Row],[대비]])</f>
        <v>2.5124767064000002</v>
      </c>
      <c r="K191" s="3">
        <f>_xll.IMDP("STK",표.실시간[[#This Row],[nxt_code]],"전일대비")</f>
        <v>30</v>
      </c>
      <c r="L191">
        <f>_xll.IMDP("STK",표.실시간[[#This Row],[nxt_code]],"등락률")</f>
        <v>0.64</v>
      </c>
      <c r="M191" s="2">
        <f>_xll.IMDP("STK",표.실시간[[#This Row],[nxt_code]],"누적거래량")</f>
        <v>382670</v>
      </c>
      <c r="N191" s="2">
        <f>_xll.IMDP("STK",표.실시간[[#This Row],[nxt_code]],"누적거래대금")/10^8</f>
        <v>17.7525133</v>
      </c>
      <c r="O191" s="2">
        <f>_xll.IMDP("STK",표.실시간[[#This Row],[nxt_code]],"가중평균가")</f>
        <v>4639.118117</v>
      </c>
      <c r="P191" s="2">
        <f>_xll.IMDP("STK",표.실시간[[#This Row],[nxt_code]],"시가")</f>
        <v>4670</v>
      </c>
      <c r="Q191" s="2">
        <f>_xll.IMDP("STK",표.실시간[[#This Row],[nxt_code]],"고가")</f>
        <v>4770</v>
      </c>
      <c r="R191" s="2">
        <f>_xll.IMDP("STK",표.실시간[[#This Row],[nxt_code]],"저가")</f>
        <v>4585</v>
      </c>
      <c r="S191">
        <f>_xll.IMDP("STK",표.실시간[[#This Row],[nxt_code]],"세션명")</f>
        <v>0</v>
      </c>
      <c r="T191">
        <f>_xll.IMDP("STK",표.실시간[[#This Row],[nxt_code]],"체결시간")</f>
        <v>0</v>
      </c>
      <c r="U191" s="2">
        <f>_xll.IMDP("STK","028670","현재가")</f>
        <v>4720</v>
      </c>
      <c r="V191">
        <f>_xll.IMDP("STK","028670","누적거래량")</f>
        <v>293954</v>
      </c>
    </row>
    <row r="192" spans="2:22" x14ac:dyDescent="0.3">
      <c r="B192">
        <v>184</v>
      </c>
      <c r="C192">
        <v>1</v>
      </c>
      <c r="D192">
        <f>IF(IFERROR(INDEX(표.kospi200[code],MATCH(표.실시간[[#This Row],[코드]],표.kospi200[code],0)),0)=0,0,1)</f>
        <v>1</v>
      </c>
      <c r="E192" t="s">
        <v>197</v>
      </c>
      <c r="F192">
        <v>81660</v>
      </c>
      <c r="G192" t="str">
        <f>ConvertStockCode(표.실시간[[#This Row],[코드]])</f>
        <v>N081660</v>
      </c>
      <c r="H192" s="2">
        <f>_xll.IMDP("STK",표.실시간[[#This Row],[nxt_code]],"현재가")</f>
        <v>46350</v>
      </c>
      <c r="I192" s="2">
        <f>_xll.IMDP("STK",표.실시간[[#This Row],[nxt_code]],"시가총액")/10^12</f>
        <v>2.4608067839999999</v>
      </c>
      <c r="J192" s="2">
        <f>표.실시간[[#This Row],[시가총액 (조원)]]/표.실시간[[#This Row],[현재가]]*(표.실시간[[#This Row],[현재가]]-표.실시간[[#This Row],[대비]])</f>
        <v>2.4926618879999998</v>
      </c>
      <c r="K192" s="3">
        <f>_xll.IMDP("STK",표.실시간[[#This Row],[nxt_code]],"전일대비")</f>
        <v>-600</v>
      </c>
      <c r="L192">
        <f>_xll.IMDP("STK",표.실시간[[#This Row],[nxt_code]],"등락률")</f>
        <v>-1.28</v>
      </c>
      <c r="M192" s="2">
        <f>_xll.IMDP("STK",표.실시간[[#This Row],[nxt_code]],"누적거래량")</f>
        <v>1785</v>
      </c>
      <c r="N192" s="2">
        <f>_xll.IMDP("STK",표.실시간[[#This Row],[nxt_code]],"누적거래대금")/10^8</f>
        <v>0.83459899999999998</v>
      </c>
      <c r="O192" s="2">
        <f>_xll.IMDP("STK",표.실시간[[#This Row],[nxt_code]],"가중평균가")</f>
        <v>46756.246499000001</v>
      </c>
      <c r="P192" s="2">
        <f>_xll.IMDP("STK",표.실시간[[#This Row],[nxt_code]],"시가")</f>
        <v>46500</v>
      </c>
      <c r="Q192" s="2">
        <f>_xll.IMDP("STK",표.실시간[[#This Row],[nxt_code]],"고가")</f>
        <v>47050</v>
      </c>
      <c r="R192" s="2">
        <f>_xll.IMDP("STK",표.실시간[[#This Row],[nxt_code]],"저가")</f>
        <v>46300</v>
      </c>
      <c r="S192">
        <f>_xll.IMDP("STK",표.실시간[[#This Row],[nxt_code]],"세션명")</f>
        <v>0</v>
      </c>
      <c r="T192">
        <f>_xll.IMDP("STK",표.실시간[[#This Row],[nxt_code]],"체결시간")</f>
        <v>0</v>
      </c>
      <c r="U192" s="2">
        <f>_xll.IMDP("STK","081660","현재가")</f>
        <v>46450</v>
      </c>
      <c r="V192">
        <f>_xll.IMDP("STK","081660","누적거래량")</f>
        <v>5057</v>
      </c>
    </row>
    <row r="193" spans="2:22" x14ac:dyDescent="0.3">
      <c r="B193">
        <v>185</v>
      </c>
      <c r="C193">
        <v>0</v>
      </c>
      <c r="D193">
        <f>IF(IFERROR(INDEX(표.kospi200[code],MATCH(표.실시간[[#This Row],[코드]],표.kospi200[code],0)),0)=0,0,1)</f>
        <v>0</v>
      </c>
      <c r="E193" t="s">
        <v>198</v>
      </c>
      <c r="F193">
        <v>160190</v>
      </c>
      <c r="G193" t="str">
        <f>ConvertStockCode(표.실시간[[#This Row],[코드]])</f>
        <v>N160190</v>
      </c>
      <c r="H193" s="2">
        <f>_xll.IMDP("STK",표.실시간[[#This Row],[nxt_code]],"현재가")</f>
        <v>82900</v>
      </c>
      <c r="I193" s="2">
        <f>_xll.IMDP("STK",표.실시간[[#This Row],[nxt_code]],"시가총액")/10^12</f>
        <v>2.5575264</v>
      </c>
      <c r="J193" s="2">
        <f>표.실시간[[#This Row],[시가총액 (조원)]]/표.실시간[[#This Row],[현재가]]*(표.실시간[[#This Row],[현재가]]-표.실시간[[#This Row],[대비]])</f>
        <v>2.6253980294330517</v>
      </c>
      <c r="K193" s="3">
        <f>_xll.IMDP("STK",표.실시간[[#This Row],[nxt_code]],"전일대비")</f>
        <v>-2200</v>
      </c>
      <c r="L193">
        <f>_xll.IMDP("STK",표.실시간[[#This Row],[nxt_code]],"등락률")</f>
        <v>-1.54</v>
      </c>
      <c r="M193" s="2">
        <f>_xll.IMDP("STK",표.실시간[[#This Row],[nxt_code]],"누적거래량")</f>
        <v>70305</v>
      </c>
      <c r="N193" s="2">
        <f>_xll.IMDP("STK",표.실시간[[#This Row],[nxt_code]],"누적거래대금")/10^8</f>
        <v>56.526533999999998</v>
      </c>
      <c r="O193" s="2">
        <f>_xll.IMDP("STK",표.실시간[[#This Row],[nxt_code]],"가중평균가")</f>
        <v>80401.868998999998</v>
      </c>
      <c r="P193" s="2">
        <f>_xll.IMDP("STK",표.실시간[[#This Row],[nxt_code]],"시가")</f>
        <v>82600</v>
      </c>
      <c r="Q193" s="2">
        <f>_xll.IMDP("STK",표.실시간[[#This Row],[nxt_code]],"고가")</f>
        <v>83000</v>
      </c>
      <c r="R193" s="2">
        <f>_xll.IMDP("STK",표.실시간[[#This Row],[nxt_code]],"저가")</f>
        <v>79500</v>
      </c>
      <c r="S193">
        <f>_xll.IMDP("STK",표.실시간[[#This Row],[nxt_code]],"세션명")</f>
        <v>0</v>
      </c>
      <c r="T193">
        <f>_xll.IMDP("STK",표.실시간[[#This Row],[nxt_code]],"체결시간")</f>
        <v>0</v>
      </c>
      <c r="U193" s="2">
        <f>_xll.IMDP("STK","160190","현재가")</f>
        <v>82900</v>
      </c>
      <c r="V193">
        <f>_xll.IMDP("STK","160190","누적거래량")</f>
        <v>34077</v>
      </c>
    </row>
    <row r="194" spans="2:22" x14ac:dyDescent="0.3">
      <c r="B194">
        <v>186</v>
      </c>
      <c r="C194">
        <v>1</v>
      </c>
      <c r="D194">
        <f>IF(IFERROR(INDEX(표.kospi200[code],MATCH(표.실시간[[#This Row],[코드]],표.kospi200[code],0)),0)=0,0,1)</f>
        <v>1</v>
      </c>
      <c r="E194" t="s">
        <v>199</v>
      </c>
      <c r="F194">
        <v>139480</v>
      </c>
      <c r="G194" t="str">
        <f>ConvertStockCode(표.실시간[[#This Row],[코드]])</f>
        <v>N139480</v>
      </c>
      <c r="H194" s="2">
        <f>_xll.IMDP("STK",표.실시간[[#This Row],[nxt_code]],"현재가")</f>
        <v>89700</v>
      </c>
      <c r="I194" s="2">
        <f>_xll.IMDP("STK",표.실시간[[#This Row],[nxt_code]],"시가총액")/10^12</f>
        <v>2.4753449643000001</v>
      </c>
      <c r="J194" s="2">
        <f>표.실시간[[#This Row],[시가총액 (조원)]]/표.실시간[[#This Row],[현재가]]*(표.실시간[[#This Row],[현재가]]-표.실시간[[#This Row],[대비]])</f>
        <v>2.5112195289999999</v>
      </c>
      <c r="K194" s="3">
        <f>_xll.IMDP("STK",표.실시간[[#This Row],[nxt_code]],"전일대비")</f>
        <v>-1300</v>
      </c>
      <c r="L194">
        <f>_xll.IMDP("STK",표.실시간[[#This Row],[nxt_code]],"등락률")</f>
        <v>-1.43</v>
      </c>
      <c r="M194" s="2">
        <f>_xll.IMDP("STK",표.실시간[[#This Row],[nxt_code]],"누적거래량")</f>
        <v>20122</v>
      </c>
      <c r="N194" s="2">
        <f>_xll.IMDP("STK",표.실시간[[#This Row],[nxt_code]],"누적거래대금")/10^8</f>
        <v>18.227492000000002</v>
      </c>
      <c r="O194" s="2">
        <f>_xll.IMDP("STK",표.실시간[[#This Row],[nxt_code]],"가중평균가")</f>
        <v>90584.892158000002</v>
      </c>
      <c r="P194" s="2">
        <f>_xll.IMDP("STK",표.실시간[[#This Row],[nxt_code]],"시가")</f>
        <v>91100</v>
      </c>
      <c r="Q194" s="2">
        <f>_xll.IMDP("STK",표.실시간[[#This Row],[nxt_code]],"고가")</f>
        <v>91200</v>
      </c>
      <c r="R194" s="2">
        <f>_xll.IMDP("STK",표.실시간[[#This Row],[nxt_code]],"저가")</f>
        <v>89700</v>
      </c>
      <c r="S194">
        <f>_xll.IMDP("STK",표.실시간[[#This Row],[nxt_code]],"세션명")</f>
        <v>0</v>
      </c>
      <c r="T194">
        <f>_xll.IMDP("STK",표.실시간[[#This Row],[nxt_code]],"체결시간")</f>
        <v>0</v>
      </c>
      <c r="U194" s="2">
        <f>_xll.IMDP("STK","139480","현재가")</f>
        <v>89800</v>
      </c>
      <c r="V194">
        <f>_xll.IMDP("STK","139480","누적거래량")</f>
        <v>12323</v>
      </c>
    </row>
    <row r="195" spans="2:22" x14ac:dyDescent="0.3">
      <c r="B195">
        <v>187</v>
      </c>
      <c r="C195">
        <v>0</v>
      </c>
      <c r="D195">
        <f>IF(IFERROR(INDEX(표.kospi200[code],MATCH(표.실시간[[#This Row],[코드]],표.kospi200[code],0)),0)=0,0,1)</f>
        <v>0</v>
      </c>
      <c r="E195" t="s">
        <v>200</v>
      </c>
      <c r="F195">
        <v>437730</v>
      </c>
      <c r="G195" t="str">
        <f>ConvertStockCode(표.실시간[[#This Row],[코드]])</f>
        <v>N437730</v>
      </c>
      <c r="H195" s="2">
        <f>_xll.IMDP("STK",표.실시간[[#This Row],[nxt_code]],"현재가")</f>
        <v>65500</v>
      </c>
      <c r="I195" s="2">
        <f>_xll.IMDP("STK",표.실시간[[#This Row],[nxt_code]],"시가총액")/10^12</f>
        <v>2.0768456385</v>
      </c>
      <c r="J195" s="2">
        <f>표.실시간[[#This Row],[시가총액 (조원)]]/표.실시간[[#This Row],[현재가]]*(표.실시간[[#This Row],[현재가]]-표.실시간[[#This Row],[대비]])</f>
        <v>2.1339192590999998</v>
      </c>
      <c r="K195" s="3">
        <f>_xll.IMDP("STK",표.실시간[[#This Row],[nxt_code]],"전일대비")</f>
        <v>-1800</v>
      </c>
      <c r="L195">
        <f>_xll.IMDP("STK",표.실시간[[#This Row],[nxt_code]],"등락률")</f>
        <v>-2.2400000000000002</v>
      </c>
      <c r="M195" s="2">
        <f>_xll.IMDP("STK",표.실시간[[#This Row],[nxt_code]],"누적거래량")</f>
        <v>61275</v>
      </c>
      <c r="N195" s="2">
        <f>_xll.IMDP("STK",표.실시간[[#This Row],[nxt_code]],"누적거래대금")/10^8</f>
        <v>39.705899500000001</v>
      </c>
      <c r="O195" s="2">
        <f>_xll.IMDP("STK",표.실시간[[#This Row],[nxt_code]],"가중평균가")</f>
        <v>64747.732535000003</v>
      </c>
      <c r="P195" s="2">
        <f>_xll.IMDP("STK",표.실시간[[#This Row],[nxt_code]],"시가")</f>
        <v>67100</v>
      </c>
      <c r="Q195" s="2">
        <f>_xll.IMDP("STK",표.실시간[[#This Row],[nxt_code]],"고가")</f>
        <v>67100</v>
      </c>
      <c r="R195" s="2">
        <f>_xll.IMDP("STK",표.실시간[[#This Row],[nxt_code]],"저가")</f>
        <v>64000</v>
      </c>
      <c r="S195">
        <f>_xll.IMDP("STK",표.실시간[[#This Row],[nxt_code]],"세션명")</f>
        <v>0</v>
      </c>
      <c r="T195">
        <f>_xll.IMDP("STK",표.실시간[[#This Row],[nxt_code]],"체결시간")</f>
        <v>0</v>
      </c>
      <c r="U195" s="2">
        <f>_xll.IMDP("STK","437730","현재가")</f>
        <v>65500</v>
      </c>
      <c r="V195">
        <f>_xll.IMDP("STK","437730","누적거래량")</f>
        <v>30537</v>
      </c>
    </row>
    <row r="196" spans="2:22" x14ac:dyDescent="0.3">
      <c r="B196">
        <v>188</v>
      </c>
      <c r="C196">
        <v>1</v>
      </c>
      <c r="D196">
        <f>IF(IFERROR(INDEX(표.kospi200[code],MATCH(표.실시간[[#This Row],[코드]],표.kospi200[code],0)),0)=0,0,1)</f>
        <v>1</v>
      </c>
      <c r="E196" t="s">
        <v>201</v>
      </c>
      <c r="F196">
        <v>139130</v>
      </c>
      <c r="G196" t="str">
        <f>ConvertStockCode(표.실시간[[#This Row],[코드]])</f>
        <v>N139130</v>
      </c>
      <c r="H196" s="2">
        <f>_xll.IMDP("STK",표.실시간[[#This Row],[nxt_code]],"현재가")</f>
        <v>15630</v>
      </c>
      <c r="I196" s="2">
        <f>_xll.IMDP("STK",표.실시간[[#This Row],[nxt_code]],"시가총액")/10^12</f>
        <v>2.5105622322899999</v>
      </c>
      <c r="J196" s="2">
        <f>표.실시간[[#This Row],[시가총액 (조원)]]/표.실시간[[#This Row],[현재가]]*(표.실시간[[#This Row],[현재가]]-표.실시간[[#This Row],[대비]])</f>
        <v>2.4896810364999999</v>
      </c>
      <c r="K196" s="3">
        <f>_xll.IMDP("STK",표.실시간[[#This Row],[nxt_code]],"전일대비")</f>
        <v>130</v>
      </c>
      <c r="L196">
        <f>_xll.IMDP("STK",표.실시간[[#This Row],[nxt_code]],"등락률")</f>
        <v>0.84</v>
      </c>
      <c r="M196" s="2">
        <f>_xll.IMDP("STK",표.실시간[[#This Row],[nxt_code]],"누적거래량")</f>
        <v>20099</v>
      </c>
      <c r="N196" s="2">
        <f>_xll.IMDP("STK",표.실시간[[#This Row],[nxt_code]],"누적거래대금")/10^8</f>
        <v>3.1089397000000001</v>
      </c>
      <c r="O196" s="2">
        <f>_xll.IMDP("STK",표.실시간[[#This Row],[nxt_code]],"가중평균가")</f>
        <v>15468.13125</v>
      </c>
      <c r="P196" s="2">
        <f>_xll.IMDP("STK",표.실시간[[#This Row],[nxt_code]],"시가")</f>
        <v>15440</v>
      </c>
      <c r="Q196" s="2">
        <f>_xll.IMDP("STK",표.실시간[[#This Row],[nxt_code]],"고가")</f>
        <v>15690</v>
      </c>
      <c r="R196" s="2">
        <f>_xll.IMDP("STK",표.실시간[[#This Row],[nxt_code]],"저가")</f>
        <v>15350</v>
      </c>
      <c r="S196">
        <f>_xll.IMDP("STK",표.실시간[[#This Row],[nxt_code]],"세션명")</f>
        <v>0</v>
      </c>
      <c r="T196">
        <f>_xll.IMDP("STK",표.실시간[[#This Row],[nxt_code]],"체결시간")</f>
        <v>0</v>
      </c>
      <c r="U196" s="2">
        <f>_xll.IMDP("STK","139130","현재가")</f>
        <v>15630</v>
      </c>
      <c r="V196">
        <f>_xll.IMDP("STK","139130","누적거래량")</f>
        <v>29529</v>
      </c>
    </row>
    <row r="197" spans="2:22" x14ac:dyDescent="0.3">
      <c r="B197">
        <v>189</v>
      </c>
      <c r="C197">
        <v>1</v>
      </c>
      <c r="D197">
        <f>IF(IFERROR(INDEX(표.kospi200[code],MATCH(표.실시간[[#This Row],[코드]],표.kospi200[code],0)),0)=0,0,1)</f>
        <v>1</v>
      </c>
      <c r="E197" t="s">
        <v>202</v>
      </c>
      <c r="F197">
        <v>120</v>
      </c>
      <c r="G197" t="str">
        <f>ConvertStockCode(표.실시간[[#This Row],[코드]])</f>
        <v>N000120</v>
      </c>
      <c r="H197" s="2">
        <f>_xll.IMDP("STK",표.실시간[[#This Row],[nxt_code]],"현재가")</f>
        <v>102400</v>
      </c>
      <c r="I197" s="2">
        <f>_xll.IMDP("STK",표.실시간[[#This Row],[nxt_code]],"시가총액")/10^12</f>
        <v>2.3359840256000002</v>
      </c>
      <c r="J197" s="2">
        <f>표.실시간[[#This Row],[시가총액 (조원)]]/표.실시간[[#This Row],[현재가]]*(표.실시간[[#This Row],[현재가]]-표.실시간[[#This Row],[대비]])</f>
        <v>2.3679213072</v>
      </c>
      <c r="K197" s="3">
        <f>_xll.IMDP("STK",표.실시간[[#This Row],[nxt_code]],"전일대비")</f>
        <v>-1400</v>
      </c>
      <c r="L197">
        <f>_xll.IMDP("STK",표.실시간[[#This Row],[nxt_code]],"등락률")</f>
        <v>-1.35</v>
      </c>
      <c r="M197" s="2">
        <f>_xll.IMDP("STK",표.실시간[[#This Row],[nxt_code]],"누적거래량")</f>
        <v>4099</v>
      </c>
      <c r="N197" s="2">
        <f>_xll.IMDP("STK",표.실시간[[#This Row],[nxt_code]],"누적거래대금")/10^8</f>
        <v>4.2150809999999996</v>
      </c>
      <c r="O197" s="2">
        <f>_xll.IMDP("STK",표.실시간[[#This Row],[nxt_code]],"가중평균가")</f>
        <v>102831.934618</v>
      </c>
      <c r="P197" s="2">
        <f>_xll.IMDP("STK",표.실시간[[#This Row],[nxt_code]],"시가")</f>
        <v>104000</v>
      </c>
      <c r="Q197" s="2">
        <f>_xll.IMDP("STK",표.실시간[[#This Row],[nxt_code]],"고가")</f>
        <v>104000</v>
      </c>
      <c r="R197" s="2">
        <f>_xll.IMDP("STK",표.실시간[[#This Row],[nxt_code]],"저가")</f>
        <v>102100</v>
      </c>
      <c r="S197">
        <f>_xll.IMDP("STK",표.실시간[[#This Row],[nxt_code]],"세션명")</f>
        <v>0</v>
      </c>
      <c r="T197">
        <f>_xll.IMDP("STK",표.실시간[[#This Row],[nxt_code]],"체결시간")</f>
        <v>0</v>
      </c>
      <c r="U197" s="2">
        <f>_xll.IMDP("STK","000120","현재가")</f>
        <v>102400</v>
      </c>
      <c r="V197">
        <f>_xll.IMDP("STK","000120","누적거래량")</f>
        <v>3604</v>
      </c>
    </row>
    <row r="198" spans="2:22" x14ac:dyDescent="0.3">
      <c r="B198">
        <v>190</v>
      </c>
      <c r="C198">
        <v>1</v>
      </c>
      <c r="D198">
        <f>IF(IFERROR(INDEX(표.kospi200[code],MATCH(표.실시간[[#This Row],[코드]],표.kospi200[code],0)),0)=0,0,1)</f>
        <v>0</v>
      </c>
      <c r="E198" t="s">
        <v>203</v>
      </c>
      <c r="F198">
        <v>97230</v>
      </c>
      <c r="G198" t="str">
        <f>ConvertStockCode(표.실시간[[#This Row],[코드]])</f>
        <v>N097230</v>
      </c>
      <c r="H198" s="2">
        <f>_xll.IMDP("STK",표.실시간[[#This Row],[nxt_code]],"현재가")</f>
        <v>24700</v>
      </c>
      <c r="I198" s="2">
        <f>_xll.IMDP("STK",표.실시간[[#This Row],[nxt_code]],"시가총액")/10^12</f>
        <v>2.2302949968000001</v>
      </c>
      <c r="J198" s="2">
        <f>표.실시간[[#This Row],[시가총액 (조원)]]/표.실시간[[#This Row],[현재가]]*(표.실시간[[#This Row],[현재가]]-표.실시간[[#This Row],[대비]])</f>
        <v>2.2844722032000004</v>
      </c>
      <c r="K198" s="3">
        <f>_xll.IMDP("STK",표.실시간[[#This Row],[nxt_code]],"전일대비")</f>
        <v>-600</v>
      </c>
      <c r="L198">
        <f>_xll.IMDP("STK",표.실시간[[#This Row],[nxt_code]],"등락률")</f>
        <v>-1.98</v>
      </c>
      <c r="M198" s="2">
        <f>_xll.IMDP("STK",표.실시간[[#This Row],[nxt_code]],"누적거래량")</f>
        <v>198246</v>
      </c>
      <c r="N198" s="2">
        <f>_xll.IMDP("STK",표.실시간[[#This Row],[nxt_code]],"누적거래대금")/10^8</f>
        <v>48.696219999999997</v>
      </c>
      <c r="O198" s="2">
        <f>_xll.IMDP("STK",표.실시간[[#This Row],[nxt_code]],"가중평균가")</f>
        <v>24561.265659000001</v>
      </c>
      <c r="P198" s="2">
        <f>_xll.IMDP("STK",표.실시간[[#This Row],[nxt_code]],"시가")</f>
        <v>25200</v>
      </c>
      <c r="Q198" s="2">
        <f>_xll.IMDP("STK",표.실시간[[#This Row],[nxt_code]],"고가")</f>
        <v>25300</v>
      </c>
      <c r="R198" s="2">
        <f>_xll.IMDP("STK",표.실시간[[#This Row],[nxt_code]],"저가")</f>
        <v>24400</v>
      </c>
      <c r="S198">
        <f>_xll.IMDP("STK",표.실시간[[#This Row],[nxt_code]],"세션명")</f>
        <v>0</v>
      </c>
      <c r="T198">
        <f>_xll.IMDP("STK",표.실시간[[#This Row],[nxt_code]],"체결시간")</f>
        <v>0</v>
      </c>
      <c r="U198" s="2">
        <f>_xll.IMDP("STK","097230","현재가")</f>
        <v>24700</v>
      </c>
      <c r="V198">
        <f>_xll.IMDP("STK","097230","누적거래량")</f>
        <v>59057</v>
      </c>
    </row>
    <row r="199" spans="2:22" x14ac:dyDescent="0.3">
      <c r="B199">
        <v>191</v>
      </c>
      <c r="C199">
        <v>1</v>
      </c>
      <c r="D199">
        <f>IF(IFERROR(INDEX(표.kospi200[code],MATCH(표.실시간[[#This Row],[코드]],표.kospi200[code],0)),0)=0,0,1)</f>
        <v>0</v>
      </c>
      <c r="E199" t="s">
        <v>204</v>
      </c>
      <c r="F199">
        <v>3690</v>
      </c>
      <c r="G199" t="str">
        <f>ConvertStockCode(표.실시간[[#This Row],[코드]])</f>
        <v>N003690</v>
      </c>
      <c r="H199" s="2">
        <f>_xll.IMDP("STK",표.실시간[[#This Row],[nxt_code]],"현재가")</f>
        <v>11890</v>
      </c>
      <c r="I199" s="2">
        <f>_xll.IMDP("STK",표.실시간[[#This Row],[nxt_code]],"시가총액")/10^12</f>
        <v>2.3164220585900002</v>
      </c>
      <c r="J199" s="2">
        <f>표.실시간[[#This Row],[시가총액 (조원)]]/표.실시간[[#This Row],[현재가]]*(표.실시간[[#This Row],[현재가]]-표.실시간[[#This Row],[대비]])</f>
        <v>2.2988881658000002</v>
      </c>
      <c r="K199" s="3">
        <f>_xll.IMDP("STK",표.실시간[[#This Row],[nxt_code]],"전일대비")</f>
        <v>90</v>
      </c>
      <c r="L199">
        <f>_xll.IMDP("STK",표.실시간[[#This Row],[nxt_code]],"등락률")</f>
        <v>1.02</v>
      </c>
      <c r="M199" s="2">
        <f>_xll.IMDP("STK",표.실시간[[#This Row],[nxt_code]],"누적거래량")</f>
        <v>58656</v>
      </c>
      <c r="N199" s="2">
        <f>_xll.IMDP("STK",표.실시간[[#This Row],[nxt_code]],"누적거래대금")/10^8</f>
        <v>6.9519170499999996</v>
      </c>
      <c r="O199" s="2">
        <f>_xll.IMDP("STK",표.실시간[[#This Row],[nxt_code]],"가중평균가")</f>
        <v>11852.01352</v>
      </c>
      <c r="P199" s="2">
        <f>_xll.IMDP("STK",표.실시간[[#This Row],[nxt_code]],"시가")</f>
        <v>11800</v>
      </c>
      <c r="Q199" s="2">
        <f>_xll.IMDP("STK",표.실시간[[#This Row],[nxt_code]],"고가")</f>
        <v>12020</v>
      </c>
      <c r="R199" s="2">
        <f>_xll.IMDP("STK",표.실시간[[#This Row],[nxt_code]],"저가")</f>
        <v>11690</v>
      </c>
      <c r="S199">
        <f>_xll.IMDP("STK",표.실시간[[#This Row],[nxt_code]],"세션명")</f>
        <v>0</v>
      </c>
      <c r="T199">
        <f>_xll.IMDP("STK",표.실시간[[#This Row],[nxt_code]],"체결시간")</f>
        <v>0</v>
      </c>
      <c r="U199" s="2">
        <f>_xll.IMDP("STK","003690","현재가")</f>
        <v>11880</v>
      </c>
      <c r="V199">
        <f>_xll.IMDP("STK","003690","누적거래량")</f>
        <v>66478</v>
      </c>
    </row>
    <row r="200" spans="2:22" x14ac:dyDescent="0.3">
      <c r="B200">
        <v>192</v>
      </c>
      <c r="C200">
        <v>0</v>
      </c>
      <c r="D200">
        <f>IF(IFERROR(INDEX(표.kospi200[code],MATCH(표.실시간[[#This Row],[코드]],표.kospi200[code],0)),0)=0,0,1)</f>
        <v>0</v>
      </c>
      <c r="E200" t="s">
        <v>205</v>
      </c>
      <c r="F200">
        <v>475830</v>
      </c>
      <c r="G200" t="str">
        <f>ConvertStockCode(표.실시간[[#This Row],[코드]])</f>
        <v>N475830</v>
      </c>
      <c r="H200" s="2">
        <f>_xll.IMDP("STK",표.실시간[[#This Row],[nxt_code]],"현재가")</f>
        <v>111500</v>
      </c>
      <c r="I200" s="2">
        <f>_xll.IMDP("STK",표.실시간[[#This Row],[nxt_code]],"시가총액")/10^12</f>
        <v>2.3674090319999999</v>
      </c>
      <c r="J200" s="2">
        <f>표.실시간[[#This Row],[시가총액 (조원)]]/표.실시간[[#This Row],[현재가]]*(표.실시간[[#This Row],[현재가]]-표.실시간[[#This Row],[대비]])</f>
        <v>2.4077505312</v>
      </c>
      <c r="K200" s="3">
        <f>_xll.IMDP("STK",표.실시간[[#This Row],[nxt_code]],"전일대비")</f>
        <v>-1900</v>
      </c>
      <c r="L200">
        <f>_xll.IMDP("STK",표.실시간[[#This Row],[nxt_code]],"등락률")</f>
        <v>-1.33</v>
      </c>
      <c r="M200" s="2">
        <f>_xll.IMDP("STK",표.실시간[[#This Row],[nxt_code]],"누적거래량")</f>
        <v>59266</v>
      </c>
      <c r="N200" s="2">
        <f>_xll.IMDP("STK",표.실시간[[#This Row],[nxt_code]],"누적거래대금")/10^8</f>
        <v>64.087609999999998</v>
      </c>
      <c r="O200" s="2">
        <f>_xll.IMDP("STK",표.실시간[[#This Row],[nxt_code]],"가중평균가")</f>
        <v>108133.716908</v>
      </c>
      <c r="P200" s="2">
        <f>_xll.IMDP("STK",표.실시간[[#This Row],[nxt_code]],"시가")</f>
        <v>109700</v>
      </c>
      <c r="Q200" s="2">
        <f>_xll.IMDP("STK",표.실시간[[#This Row],[nxt_code]],"고가")</f>
        <v>112200</v>
      </c>
      <c r="R200" s="2">
        <f>_xll.IMDP("STK",표.실시간[[#This Row],[nxt_code]],"저가")</f>
        <v>106500</v>
      </c>
      <c r="S200">
        <f>_xll.IMDP("STK",표.실시간[[#This Row],[nxt_code]],"세션명")</f>
        <v>0</v>
      </c>
      <c r="T200">
        <f>_xll.IMDP("STK",표.실시간[[#This Row],[nxt_code]],"체결시간")</f>
        <v>0</v>
      </c>
      <c r="U200" s="2">
        <f>_xll.IMDP("STK","475830","현재가")</f>
        <v>111800</v>
      </c>
      <c r="V200">
        <f>_xll.IMDP("STK","475830","누적거래량")</f>
        <v>26595</v>
      </c>
    </row>
    <row r="201" spans="2:22" x14ac:dyDescent="0.3">
      <c r="B201">
        <v>193</v>
      </c>
      <c r="C201">
        <v>0</v>
      </c>
      <c r="D201">
        <f>IF(IFERROR(INDEX(표.kospi200[code],MATCH(표.실시간[[#This Row],[코드]],표.kospi200[code],0)),0)=0,0,1)</f>
        <v>0</v>
      </c>
      <c r="E201" t="s">
        <v>206</v>
      </c>
      <c r="F201">
        <v>95340</v>
      </c>
      <c r="G201" t="str">
        <f>ConvertStockCode(표.실시간[[#This Row],[코드]])</f>
        <v>N095340</v>
      </c>
      <c r="H201" s="2">
        <f>_xll.IMDP("STK",표.실시간[[#This Row],[nxt_code]],"현재가")</f>
        <v>147000</v>
      </c>
      <c r="I201" s="2">
        <f>_xll.IMDP("STK",표.실시간[[#This Row],[nxt_code]],"시가총액")/10^12</f>
        <v>3.1159675259999999</v>
      </c>
      <c r="J201" s="2">
        <f>표.실시간[[#This Row],[시가총액 (조원)]]/표.실시간[[#This Row],[현재가]]*(표.실시간[[#This Row],[현재가]]-표.실시간[[#This Row],[대비]])</f>
        <v>3.1965163463999997</v>
      </c>
      <c r="K201" s="3">
        <f>_xll.IMDP("STK",표.실시간[[#This Row],[nxt_code]],"전일대비")</f>
        <v>-3800</v>
      </c>
      <c r="L201">
        <f>_xll.IMDP("STK",표.실시간[[#This Row],[nxt_code]],"등락률")</f>
        <v>-2.46</v>
      </c>
      <c r="M201" s="2">
        <f>_xll.IMDP("STK",표.실시간[[#This Row],[nxt_code]],"누적거래량")</f>
        <v>22912</v>
      </c>
      <c r="N201" s="2">
        <f>_xll.IMDP("STK",표.실시간[[#This Row],[nxt_code]],"누적거래대금")/10^8</f>
        <v>33.123981000000001</v>
      </c>
      <c r="O201" s="2">
        <f>_xll.IMDP("STK",표.실시간[[#This Row],[nxt_code]],"가중평균가")</f>
        <v>144444.36159099999</v>
      </c>
      <c r="P201" s="2">
        <f>_xll.IMDP("STK",표.실시간[[#This Row],[nxt_code]],"시가")</f>
        <v>147000</v>
      </c>
      <c r="Q201" s="2">
        <f>_xll.IMDP("STK",표.실시간[[#This Row],[nxt_code]],"고가")</f>
        <v>148600</v>
      </c>
      <c r="R201" s="2">
        <f>_xll.IMDP("STK",표.실시간[[#This Row],[nxt_code]],"저가")</f>
        <v>141200</v>
      </c>
      <c r="S201">
        <f>_xll.IMDP("STK",표.실시간[[#This Row],[nxt_code]],"세션명")</f>
        <v>0</v>
      </c>
      <c r="T201">
        <f>_xll.IMDP("STK",표.실시간[[#This Row],[nxt_code]],"체결시간")</f>
        <v>0</v>
      </c>
      <c r="U201" s="2">
        <f>_xll.IMDP("STK","095340","현재가")</f>
        <v>147000</v>
      </c>
      <c r="V201">
        <f>_xll.IMDP("STK","095340","누적거래량")</f>
        <v>21286</v>
      </c>
    </row>
    <row r="202" spans="2:22" x14ac:dyDescent="0.3">
      <c r="B202">
        <v>194</v>
      </c>
      <c r="C202">
        <v>1</v>
      </c>
      <c r="D202">
        <f>IF(IFERROR(INDEX(표.kospi200[code],MATCH(표.실시간[[#This Row],[코드]],표.kospi200[code],0)),0)=0,0,1)</f>
        <v>1</v>
      </c>
      <c r="E202" t="s">
        <v>207</v>
      </c>
      <c r="F202">
        <v>10060</v>
      </c>
      <c r="G202" t="str">
        <f>ConvertStockCode(표.실시간[[#This Row],[코드]])</f>
        <v>N010060</v>
      </c>
      <c r="H202" s="2">
        <f>_xll.IMDP("STK",표.실시간[[#This Row],[nxt_code]],"현재가")</f>
        <v>113200</v>
      </c>
      <c r="I202" s="2">
        <f>_xll.IMDP("STK",표.실시간[[#This Row],[nxt_code]],"시가총액")/10^12</f>
        <v>2.1134702623999999</v>
      </c>
      <c r="J202" s="2">
        <f>표.실시간[[#This Row],[시가총액 (조원)]]/표.실시간[[#This Row],[현재가]]*(표.실시간[[#This Row],[현재가]]-표.실시간[[#This Row],[대비]])</f>
        <v>2.1545447728</v>
      </c>
      <c r="K202" s="3">
        <f>_xll.IMDP("STK",표.실시간[[#This Row],[nxt_code]],"전일대비")</f>
        <v>-2200</v>
      </c>
      <c r="L202">
        <f>_xll.IMDP("STK",표.실시간[[#This Row],[nxt_code]],"등락률")</f>
        <v>-1.91</v>
      </c>
      <c r="M202" s="2">
        <f>_xll.IMDP("STK",표.실시간[[#This Row],[nxt_code]],"누적거래량")</f>
        <v>19039</v>
      </c>
      <c r="N202" s="2">
        <f>_xll.IMDP("STK",표.실시간[[#This Row],[nxt_code]],"누적거래대금")/10^8</f>
        <v>21.350432999999999</v>
      </c>
      <c r="O202" s="2">
        <f>_xll.IMDP("STK",표.실시간[[#This Row],[nxt_code]],"가중평균가")</f>
        <v>112140.51683399999</v>
      </c>
      <c r="P202" s="2">
        <f>_xll.IMDP("STK",표.실시간[[#This Row],[nxt_code]],"시가")</f>
        <v>110800</v>
      </c>
      <c r="Q202" s="2">
        <f>_xll.IMDP("STK",표.실시간[[#This Row],[nxt_code]],"고가")</f>
        <v>114400</v>
      </c>
      <c r="R202" s="2">
        <f>_xll.IMDP("STK",표.실시간[[#This Row],[nxt_code]],"저가")</f>
        <v>110800</v>
      </c>
      <c r="S202">
        <f>_xll.IMDP("STK",표.실시간[[#This Row],[nxt_code]],"세션명")</f>
        <v>0</v>
      </c>
      <c r="T202">
        <f>_xll.IMDP("STK",표.실시간[[#This Row],[nxt_code]],"체결시간")</f>
        <v>0</v>
      </c>
      <c r="U202" s="2">
        <f>_xll.IMDP("STK","010060","현재가")</f>
        <v>113200</v>
      </c>
      <c r="V202">
        <f>_xll.IMDP("STK","010060","누적거래량")</f>
        <v>9724</v>
      </c>
    </row>
    <row r="203" spans="2:22" x14ac:dyDescent="0.3">
      <c r="B203">
        <v>195</v>
      </c>
      <c r="C203">
        <v>1</v>
      </c>
      <c r="D203">
        <f>IF(IFERROR(INDEX(표.kospi200[code],MATCH(표.실시간[[#This Row],[코드]],표.kospi200[code],0)),0)=0,0,1)</f>
        <v>1</v>
      </c>
      <c r="E203" t="s">
        <v>208</v>
      </c>
      <c r="F203">
        <v>23530</v>
      </c>
      <c r="G203" t="str">
        <f>ConvertStockCode(표.실시간[[#This Row],[코드]])</f>
        <v>N023530</v>
      </c>
      <c r="H203" s="2">
        <f>_xll.IMDP("STK",표.실시간[[#This Row],[nxt_code]],"현재가")</f>
        <v>84500</v>
      </c>
      <c r="I203" s="2">
        <f>_xll.IMDP("STK",표.실시간[[#This Row],[nxt_code]],"시가총액")/10^12</f>
        <v>2.3903997975000002</v>
      </c>
      <c r="J203" s="2">
        <f>표.실시간[[#This Row],[시가총액 (조원)]]/표.실시간[[#This Row],[현재가]]*(표.실시간[[#This Row],[현재가]]-표.실시간[[#This Row],[대비]])</f>
        <v>2.3762554200000001</v>
      </c>
      <c r="K203" s="3">
        <f>_xll.IMDP("STK",표.실시간[[#This Row],[nxt_code]],"전일대비")</f>
        <v>500</v>
      </c>
      <c r="L203">
        <f>_xll.IMDP("STK",표.실시간[[#This Row],[nxt_code]],"등락률")</f>
        <v>0.6</v>
      </c>
      <c r="M203" s="2">
        <f>_xll.IMDP("STK",표.실시간[[#This Row],[nxt_code]],"누적거래량")</f>
        <v>21877</v>
      </c>
      <c r="N203" s="2">
        <f>_xll.IMDP("STK",표.실시간[[#This Row],[nxt_code]],"누적거래대금")/10^8</f>
        <v>18.52309</v>
      </c>
      <c r="O203" s="2">
        <f>_xll.IMDP("STK",표.실시간[[#This Row],[nxt_code]],"가중평균가")</f>
        <v>84669.241668999995</v>
      </c>
      <c r="P203" s="2">
        <f>_xll.IMDP("STK",표.실시간[[#This Row],[nxt_code]],"시가")</f>
        <v>84000</v>
      </c>
      <c r="Q203" s="2">
        <f>_xll.IMDP("STK",표.실시간[[#This Row],[nxt_code]],"고가")</f>
        <v>85800</v>
      </c>
      <c r="R203" s="2">
        <f>_xll.IMDP("STK",표.실시간[[#This Row],[nxt_code]],"저가")</f>
        <v>83700</v>
      </c>
      <c r="S203">
        <f>_xll.IMDP("STK",표.실시간[[#This Row],[nxt_code]],"세션명")</f>
        <v>0</v>
      </c>
      <c r="T203">
        <f>_xll.IMDP("STK",표.실시간[[#This Row],[nxt_code]],"체결시간")</f>
        <v>0</v>
      </c>
      <c r="U203" s="2">
        <f>_xll.IMDP("STK","023530","현재가")</f>
        <v>84500</v>
      </c>
      <c r="V203">
        <f>_xll.IMDP("STK","023530","누적거래량")</f>
        <v>12419</v>
      </c>
    </row>
    <row r="204" spans="2:22" x14ac:dyDescent="0.3">
      <c r="B204">
        <v>196</v>
      </c>
      <c r="C204">
        <v>0</v>
      </c>
      <c r="D204">
        <f>IF(IFERROR(INDEX(표.kospi200[code],MATCH(표.실시간[[#This Row],[코드]],표.kospi200[code],0)),0)=0,0,1)</f>
        <v>0</v>
      </c>
      <c r="E204" t="s">
        <v>209</v>
      </c>
      <c r="F204">
        <v>5290</v>
      </c>
      <c r="G204" t="str">
        <f>ConvertStockCode(표.실시간[[#This Row],[코드]])</f>
        <v>N005290</v>
      </c>
      <c r="H204" s="2">
        <f>_xll.IMDP("STK",표.실시간[[#This Row],[nxt_code]],"현재가")</f>
        <v>53700</v>
      </c>
      <c r="I204" s="2">
        <f>_xll.IMDP("STK",표.실시간[[#This Row],[nxt_code]],"시가총액")/10^12</f>
        <v>2.7660997772</v>
      </c>
      <c r="J204" s="2">
        <f>표.실시간[[#This Row],[시가총액 (조원)]]/표.실시간[[#This Row],[현재가]]*(표.실시간[[#This Row],[현재가]]-표.실시간[[#This Row],[대비]])</f>
        <v>2.8845733244543763</v>
      </c>
      <c r="K204" s="3">
        <f>_xll.IMDP("STK",표.실시간[[#This Row],[nxt_code]],"전일대비")</f>
        <v>-2300</v>
      </c>
      <c r="L204">
        <f>_xll.IMDP("STK",표.실시간[[#This Row],[nxt_code]],"등락률")</f>
        <v>-3.93</v>
      </c>
      <c r="M204" s="2">
        <f>_xll.IMDP("STK",표.실시간[[#This Row],[nxt_code]],"누적거래량")</f>
        <v>274381</v>
      </c>
      <c r="N204" s="2">
        <f>_xll.IMDP("STK",표.실시간[[#This Row],[nxt_code]],"누적거래대금")/10^8</f>
        <v>147.08222499999999</v>
      </c>
      <c r="O204" s="2">
        <f>_xll.IMDP("STK",표.실시간[[#This Row],[nxt_code]],"가중평균가")</f>
        <v>53580.891058000001</v>
      </c>
      <c r="P204" s="2">
        <f>_xll.IMDP("STK",표.실시간[[#This Row],[nxt_code]],"시가")</f>
        <v>54900</v>
      </c>
      <c r="Q204" s="2">
        <f>_xll.IMDP("STK",표.실시간[[#This Row],[nxt_code]],"고가")</f>
        <v>55300</v>
      </c>
      <c r="R204" s="2">
        <f>_xll.IMDP("STK",표.실시간[[#This Row],[nxt_code]],"저가")</f>
        <v>52300</v>
      </c>
      <c r="S204">
        <f>_xll.IMDP("STK",표.실시간[[#This Row],[nxt_code]],"세션명")</f>
        <v>0</v>
      </c>
      <c r="T204">
        <f>_xll.IMDP("STK",표.실시간[[#This Row],[nxt_code]],"체결시간")</f>
        <v>0</v>
      </c>
      <c r="U204" s="2">
        <f>_xll.IMDP("STK","005290","현재가")</f>
        <v>54000</v>
      </c>
      <c r="V204">
        <f>_xll.IMDP("STK","005290","누적거래량")</f>
        <v>197683</v>
      </c>
    </row>
    <row r="205" spans="2:22" x14ac:dyDescent="0.3">
      <c r="B205">
        <v>197</v>
      </c>
      <c r="C205">
        <v>0</v>
      </c>
      <c r="D205">
        <f>IF(IFERROR(INDEX(표.kospi200[code],MATCH(표.실시간[[#This Row],[코드]],표.kospi200[code],0)),0)=0,0,1)</f>
        <v>0</v>
      </c>
      <c r="E205" t="s">
        <v>210</v>
      </c>
      <c r="F205">
        <v>98460</v>
      </c>
      <c r="G205" t="str">
        <f>ConvertStockCode(표.실시간[[#This Row],[코드]])</f>
        <v>N098460</v>
      </c>
      <c r="H205" s="2">
        <f>_xll.IMDP("STK",표.실시간[[#This Row],[nxt_code]],"현재가")</f>
        <v>34300</v>
      </c>
      <c r="I205" s="2">
        <f>_xll.IMDP("STK",표.실시간[[#This Row],[nxt_code]],"시가총액")/10^12</f>
        <v>2.3548580965000001</v>
      </c>
      <c r="J205" s="2">
        <f>표.실시간[[#This Row],[시가총액 (조원)]]/표.실시간[[#This Row],[현재가]]*(표.실시간[[#This Row],[현재가]]-표.실시간[[#This Row],[대비]])</f>
        <v>2.3136652435</v>
      </c>
      <c r="K205" s="3">
        <f>_xll.IMDP("STK",표.실시간[[#This Row],[nxt_code]],"전일대비")</f>
        <v>600</v>
      </c>
      <c r="L205">
        <f>_xll.IMDP("STK",표.실시간[[#This Row],[nxt_code]],"등락률")</f>
        <v>1.93</v>
      </c>
      <c r="M205" s="2">
        <f>_xll.IMDP("STK",표.실시간[[#This Row],[nxt_code]],"누적거래량")</f>
        <v>1070164</v>
      </c>
      <c r="N205" s="2">
        <f>_xll.IMDP("STK",표.실시간[[#This Row],[nxt_code]],"누적거래대금")/10^8</f>
        <v>359.80624499999999</v>
      </c>
      <c r="O205" s="2">
        <f>_xll.IMDP("STK",표.실시간[[#This Row],[nxt_code]],"가중평균가")</f>
        <v>33621.662753999997</v>
      </c>
      <c r="P205" s="2">
        <f>_xll.IMDP("STK",표.실시간[[#This Row],[nxt_code]],"시가")</f>
        <v>33000</v>
      </c>
      <c r="Q205" s="2">
        <f>_xll.IMDP("STK",표.실시간[[#This Row],[nxt_code]],"고가")</f>
        <v>34450</v>
      </c>
      <c r="R205" s="2">
        <f>_xll.IMDP("STK",표.실시간[[#This Row],[nxt_code]],"저가")</f>
        <v>32100</v>
      </c>
      <c r="S205">
        <f>_xll.IMDP("STK",표.실시간[[#This Row],[nxt_code]],"세션명")</f>
        <v>0</v>
      </c>
      <c r="T205">
        <f>_xll.IMDP("STK",표.실시간[[#This Row],[nxt_code]],"체결시간")</f>
        <v>0</v>
      </c>
      <c r="U205" s="2">
        <f>_xll.IMDP("STK","098460","현재가")</f>
        <v>34400</v>
      </c>
      <c r="V205">
        <f>_xll.IMDP("STK","098460","누적거래량")</f>
        <v>552988</v>
      </c>
    </row>
    <row r="206" spans="2:22" x14ac:dyDescent="0.3">
      <c r="B206">
        <v>198</v>
      </c>
      <c r="C206">
        <v>1</v>
      </c>
      <c r="D206">
        <f>IF(IFERROR(INDEX(표.kospi200[code],MATCH(표.실시간[[#This Row],[코드]],표.kospi200[code],0)),0)=0,0,1)</f>
        <v>1</v>
      </c>
      <c r="E206" t="s">
        <v>211</v>
      </c>
      <c r="F206">
        <v>69960</v>
      </c>
      <c r="G206" t="str">
        <f>ConvertStockCode(표.실시간[[#This Row],[코드]])</f>
        <v>N069960</v>
      </c>
      <c r="H206" s="2">
        <f>_xll.IMDP("STK",표.실시간[[#This Row],[nxt_code]],"현재가")</f>
        <v>94700</v>
      </c>
      <c r="I206" s="2">
        <f>_xll.IMDP("STK",표.실시간[[#This Row],[nxt_code]],"시가총액")/10^12</f>
        <v>2.1429485911000001</v>
      </c>
      <c r="J206" s="2">
        <f>표.실시간[[#This Row],[시가총액 (조원)]]/표.실시간[[#This Row],[현재가]]*(표.실시간[[#This Row],[현재가]]-표.실시간[[#This Row],[대비]])</f>
        <v>2.1316341846000002</v>
      </c>
      <c r="K206" s="3">
        <f>_xll.IMDP("STK",표.실시간[[#This Row],[nxt_code]],"전일대비")</f>
        <v>500</v>
      </c>
      <c r="L206">
        <f>_xll.IMDP("STK",표.실시간[[#This Row],[nxt_code]],"등락률")</f>
        <v>1.07</v>
      </c>
      <c r="M206" s="2">
        <f>_xll.IMDP("STK",표.실시간[[#This Row],[nxt_code]],"누적거래량")</f>
        <v>12805</v>
      </c>
      <c r="N206" s="2">
        <f>_xll.IMDP("STK",표.실시간[[#This Row],[nxt_code]],"누적거래대금")/10^8</f>
        <v>12.190236000000001</v>
      </c>
      <c r="O206" s="2">
        <f>_xll.IMDP("STK",표.실시간[[#This Row],[nxt_code]],"가중평균가")</f>
        <v>95199.031627999997</v>
      </c>
      <c r="P206" s="2">
        <f>_xll.IMDP("STK",표.실시간[[#This Row],[nxt_code]],"시가")</f>
        <v>93800</v>
      </c>
      <c r="Q206" s="2">
        <f>_xll.IMDP("STK",표.실시간[[#This Row],[nxt_code]],"고가")</f>
        <v>96500</v>
      </c>
      <c r="R206" s="2">
        <f>_xll.IMDP("STK",표.실시간[[#This Row],[nxt_code]],"저가")</f>
        <v>93800</v>
      </c>
      <c r="S206">
        <f>_xll.IMDP("STK",표.실시간[[#This Row],[nxt_code]],"세션명")</f>
        <v>0</v>
      </c>
      <c r="T206">
        <f>_xll.IMDP("STK",표.실시간[[#This Row],[nxt_code]],"체결시간")</f>
        <v>0</v>
      </c>
      <c r="U206" s="2">
        <f>_xll.IMDP("STK","069960","현재가")</f>
        <v>94700</v>
      </c>
      <c r="V206">
        <f>_xll.IMDP("STK","069960","누적거래량")</f>
        <v>7634</v>
      </c>
    </row>
    <row r="207" spans="2:22" x14ac:dyDescent="0.3">
      <c r="B207">
        <v>199</v>
      </c>
      <c r="C207">
        <v>0</v>
      </c>
      <c r="D207">
        <f>IF(IFERROR(INDEX(표.kospi200[code],MATCH(표.실시간[[#This Row],[코드]],표.kospi200[code],0)),0)=0,0,1)</f>
        <v>0</v>
      </c>
      <c r="E207" t="s">
        <v>212</v>
      </c>
      <c r="F207">
        <v>445680</v>
      </c>
      <c r="G207" t="str">
        <f>ConvertStockCode(표.실시간[[#This Row],[코드]])</f>
        <v>N445680</v>
      </c>
      <c r="H207" s="2">
        <f>_xll.IMDP("STK",표.실시간[[#This Row],[nxt_code]],"현재가")</f>
        <v>122400</v>
      </c>
      <c r="I207" s="2">
        <f>_xll.IMDP("STK",표.실시간[[#This Row],[nxt_code]],"시가총액")/10^12</f>
        <v>2.0954675591999998</v>
      </c>
      <c r="J207" s="2">
        <f>표.실시간[[#This Row],[시가총액 (조원)]]/표.실시간[[#This Row],[현재가]]*(표.실시간[[#This Row],[현재가]]-표.실시간[[#This Row],[대비]])</f>
        <v>2.0184283106999996</v>
      </c>
      <c r="K207" s="3">
        <f>_xll.IMDP("STK",표.실시간[[#This Row],[nxt_code]],"전일대비")</f>
        <v>4500</v>
      </c>
      <c r="L207">
        <f>_xll.IMDP("STK",표.실시간[[#This Row],[nxt_code]],"등락률")</f>
        <v>3.82</v>
      </c>
      <c r="M207" s="2">
        <f>_xll.IMDP("STK",표.실시간[[#This Row],[nxt_code]],"누적거래량")</f>
        <v>14011</v>
      </c>
      <c r="N207" s="2">
        <f>_xll.IMDP("STK",표.실시간[[#This Row],[nxt_code]],"누적거래대금")/10^8</f>
        <v>16.682832999999999</v>
      </c>
      <c r="O207" s="2">
        <f>_xll.IMDP("STK",표.실시간[[#This Row],[nxt_code]],"가중평균가")</f>
        <v>119069.53822</v>
      </c>
      <c r="P207" s="2">
        <f>_xll.IMDP("STK",표.실시간[[#This Row],[nxt_code]],"시가")</f>
        <v>119000</v>
      </c>
      <c r="Q207" s="2">
        <f>_xll.IMDP("STK",표.실시간[[#This Row],[nxt_code]],"고가")</f>
        <v>123600</v>
      </c>
      <c r="R207" s="2">
        <f>_xll.IMDP("STK",표.실시간[[#This Row],[nxt_code]],"저가")</f>
        <v>115700</v>
      </c>
      <c r="S207">
        <f>_xll.IMDP("STK",표.실시간[[#This Row],[nxt_code]],"세션명")</f>
        <v>0</v>
      </c>
      <c r="T207">
        <f>_xll.IMDP("STK",표.실시간[[#This Row],[nxt_code]],"체결시간")</f>
        <v>0</v>
      </c>
      <c r="U207" s="2">
        <f>_xll.IMDP("STK","445680","현재가")</f>
        <v>122000</v>
      </c>
      <c r="V207">
        <f>_xll.IMDP("STK","445680","누적거래량")</f>
        <v>15696</v>
      </c>
    </row>
    <row r="208" spans="2:22" x14ac:dyDescent="0.3">
      <c r="B208">
        <v>200</v>
      </c>
      <c r="C208">
        <v>1</v>
      </c>
      <c r="D208">
        <f>IF(IFERROR(INDEX(표.kospi200[code],MATCH(표.실시간[[#This Row],[코드]],표.kospi200[code],0)),0)=0,0,1)</f>
        <v>1</v>
      </c>
      <c r="E208" t="s">
        <v>213</v>
      </c>
      <c r="F208">
        <v>192820</v>
      </c>
      <c r="G208" t="str">
        <f>ConvertStockCode(표.실시간[[#This Row],[코드]])</f>
        <v>N192820</v>
      </c>
      <c r="H208" s="2">
        <f>_xll.IMDP("STK",표.실시간[[#This Row],[nxt_code]],"현재가")</f>
        <v>198700</v>
      </c>
      <c r="I208" s="2">
        <f>_xll.IMDP("STK",표.실시간[[#This Row],[nxt_code]],"시가총액")/10^12</f>
        <v>2.2551474382999999</v>
      </c>
      <c r="J208" s="2">
        <f>표.실시간[[#This Row],[시가총액 (조원)]]/표.실시간[[#This Row],[현재가]]*(표.실시간[[#This Row],[현재가]]-표.실시간[[#This Row],[대비]])</f>
        <v>2.2982755725000001</v>
      </c>
      <c r="K208" s="3">
        <f>_xll.IMDP("STK",표.실시간[[#This Row],[nxt_code]],"전일대비")</f>
        <v>-3800</v>
      </c>
      <c r="L208">
        <f>_xll.IMDP("STK",표.실시간[[#This Row],[nxt_code]],"등락률")</f>
        <v>-1.88</v>
      </c>
      <c r="M208" s="2">
        <f>_xll.IMDP("STK",표.실시간[[#This Row],[nxt_code]],"누적거래량")</f>
        <v>9697</v>
      </c>
      <c r="N208" s="2">
        <f>_xll.IMDP("STK",표.실시간[[#This Row],[nxt_code]],"누적거래대금")/10^8</f>
        <v>19.287413999999998</v>
      </c>
      <c r="O208" s="2">
        <f>_xll.IMDP("STK",표.실시간[[#This Row],[nxt_code]],"가중평균가")</f>
        <v>198900.83530999999</v>
      </c>
      <c r="P208" s="2">
        <f>_xll.IMDP("STK",표.실시간[[#This Row],[nxt_code]],"시가")</f>
        <v>202500</v>
      </c>
      <c r="Q208" s="2">
        <f>_xll.IMDP("STK",표.실시간[[#This Row],[nxt_code]],"고가")</f>
        <v>202500</v>
      </c>
      <c r="R208" s="2">
        <f>_xll.IMDP("STK",표.실시간[[#This Row],[nxt_code]],"저가")</f>
        <v>197100</v>
      </c>
      <c r="S208">
        <f>_xll.IMDP("STK",표.실시간[[#This Row],[nxt_code]],"세션명")</f>
        <v>0</v>
      </c>
      <c r="T208">
        <f>_xll.IMDP("STK",표.실시간[[#This Row],[nxt_code]],"체결시간")</f>
        <v>0</v>
      </c>
      <c r="U208" s="2">
        <f>_xll.IMDP("STK","192820","현재가")</f>
        <v>199000</v>
      </c>
      <c r="V208">
        <f>_xll.IMDP("STK","192820","누적거래량")</f>
        <v>8377</v>
      </c>
    </row>
    <row r="209" spans="2:22" x14ac:dyDescent="0.3">
      <c r="B209">
        <v>201</v>
      </c>
      <c r="C209">
        <v>1</v>
      </c>
      <c r="D209">
        <f>IF(IFERROR(INDEX(표.kospi200[code],MATCH(표.실시간[[#This Row],[코드]],표.kospi200[code],0)),0)=0,0,1)</f>
        <v>0</v>
      </c>
      <c r="E209" t="s">
        <v>214</v>
      </c>
      <c r="F209">
        <v>18670</v>
      </c>
      <c r="G209" t="str">
        <f>ConvertStockCode(표.실시간[[#This Row],[코드]])</f>
        <v>N018670</v>
      </c>
      <c r="H209" s="2">
        <f>_xll.IMDP("STK",표.실시간[[#This Row],[nxt_code]],"현재가")</f>
        <v>228000</v>
      </c>
      <c r="I209" s="2">
        <f>_xll.IMDP("STK",표.실시간[[#This Row],[nxt_code]],"시가총액")/10^12</f>
        <v>2.1079156320000001</v>
      </c>
      <c r="J209" s="2">
        <f>표.실시간[[#This Row],[시가총액 (조원)]]/표.실시간[[#This Row],[현재가]]*(표.실시간[[#This Row],[현재가]]-표.실시간[[#This Row],[대비]])</f>
        <v>2.1541418520000004</v>
      </c>
      <c r="K209" s="3">
        <f>_xll.IMDP("STK",표.실시간[[#This Row],[nxt_code]],"전일대비")</f>
        <v>-5000</v>
      </c>
      <c r="L209">
        <f>_xll.IMDP("STK",표.실시간[[#This Row],[nxt_code]],"등락률")</f>
        <v>-2.15</v>
      </c>
      <c r="M209" s="2">
        <f>_xll.IMDP("STK",표.실시간[[#This Row],[nxt_code]],"누적거래량")</f>
        <v>1478</v>
      </c>
      <c r="N209" s="2">
        <f>_xll.IMDP("STK",표.실시간[[#This Row],[nxt_code]],"누적거래대금")/10^8</f>
        <v>3.4036849999999998</v>
      </c>
      <c r="O209" s="2">
        <f>_xll.IMDP("STK",표.실시간[[#This Row],[nxt_code]],"가중평균가")</f>
        <v>228742.27150500001</v>
      </c>
      <c r="P209" s="2">
        <f>_xll.IMDP("STK",표.실시간[[#This Row],[nxt_code]],"시가")</f>
        <v>233000</v>
      </c>
      <c r="Q209" s="2">
        <f>_xll.IMDP("STK",표.실시간[[#This Row],[nxt_code]],"고가")</f>
        <v>233000</v>
      </c>
      <c r="R209" s="2">
        <f>_xll.IMDP("STK",표.실시간[[#This Row],[nxt_code]],"저가")</f>
        <v>227000</v>
      </c>
      <c r="S209">
        <f>_xll.IMDP("STK",표.실시간[[#This Row],[nxt_code]],"세션명")</f>
        <v>0</v>
      </c>
      <c r="T209">
        <f>_xll.IMDP("STK",표.실시간[[#This Row],[nxt_code]],"체결시간")</f>
        <v>0</v>
      </c>
      <c r="U209" s="2">
        <f>_xll.IMDP("STK","018670","현재가")</f>
        <v>228000</v>
      </c>
      <c r="V209">
        <f>_xll.IMDP("STK","018670","누적거래량")</f>
        <v>744</v>
      </c>
    </row>
    <row r="210" spans="2:22" x14ac:dyDescent="0.3">
      <c r="B210">
        <v>202</v>
      </c>
      <c r="C210">
        <v>1</v>
      </c>
      <c r="D210">
        <f>IF(IFERROR(INDEX(표.kospi200[code],MATCH(표.실시간[[#This Row],[코드]],표.kospi200[code],0)),0)=0,0,1)</f>
        <v>1</v>
      </c>
      <c r="E210" t="s">
        <v>215</v>
      </c>
      <c r="F210">
        <v>2790</v>
      </c>
      <c r="G210" t="str">
        <f>ConvertStockCode(표.실시간[[#This Row],[코드]])</f>
        <v>N002790</v>
      </c>
      <c r="H210" s="2">
        <f>_xll.IMDP("STK",표.실시간[[#This Row],[nxt_code]],"현재가")</f>
        <v>28350</v>
      </c>
      <c r="I210" s="2">
        <f>_xll.IMDP("STK",표.실시간[[#This Row],[nxt_code]],"시가총액")/10^12</f>
        <v>2.2526394029999999</v>
      </c>
      <c r="J210" s="2">
        <f>표.실시간[[#This Row],[시가총액 (조원)]]/표.실시간[[#This Row],[현재가]]*(표.실시간[[#This Row],[현재가]]-표.실시간[[#This Row],[대비]])</f>
        <v>2.2725039479999998</v>
      </c>
      <c r="K210" s="3">
        <f>_xll.IMDP("STK",표.실시간[[#This Row],[nxt_code]],"전일대비")</f>
        <v>-250</v>
      </c>
      <c r="L210">
        <f>_xll.IMDP("STK",표.실시간[[#This Row],[nxt_code]],"등락률")</f>
        <v>-1.22</v>
      </c>
      <c r="M210" s="2">
        <f>_xll.IMDP("STK",표.실시간[[#This Row],[nxt_code]],"누적거래량")</f>
        <v>7016</v>
      </c>
      <c r="N210" s="2">
        <f>_xll.IMDP("STK",표.실시간[[#This Row],[nxt_code]],"누적거래대금")/10^8</f>
        <v>2.0460600000000002</v>
      </c>
      <c r="O210" s="2">
        <f>_xll.IMDP("STK",표.실시간[[#This Row],[nxt_code]],"가중평균가")</f>
        <v>28449.110121999998</v>
      </c>
      <c r="P210" s="2">
        <f>_xll.IMDP("STK",표.실시간[[#This Row],[nxt_code]],"시가")</f>
        <v>28500</v>
      </c>
      <c r="Q210" s="2">
        <f>_xll.IMDP("STK",표.실시간[[#This Row],[nxt_code]],"고가")</f>
        <v>28750</v>
      </c>
      <c r="R210" s="2">
        <f>_xll.IMDP("STK",표.실시간[[#This Row],[nxt_code]],"저가")</f>
        <v>28350</v>
      </c>
      <c r="S210">
        <f>_xll.IMDP("STK",표.실시간[[#This Row],[nxt_code]],"세션명")</f>
        <v>0</v>
      </c>
      <c r="T210">
        <f>_xll.IMDP("STK",표.실시간[[#This Row],[nxt_code]],"체결시간")</f>
        <v>0</v>
      </c>
      <c r="U210" s="2">
        <f>_xll.IMDP("STK","002790","현재가")</f>
        <v>28450</v>
      </c>
      <c r="V210">
        <f>_xll.IMDP("STK","002790","누적거래량")</f>
        <v>7176</v>
      </c>
    </row>
    <row r="211" spans="2:22" x14ac:dyDescent="0.3">
      <c r="B211">
        <v>203</v>
      </c>
      <c r="C211">
        <v>1</v>
      </c>
      <c r="D211">
        <f>IF(IFERROR(INDEX(표.kospi200[code],MATCH(표.실시간[[#This Row],[코드]],표.kospi200[code],0)),0)=0,0,1)</f>
        <v>1</v>
      </c>
      <c r="E211" t="s">
        <v>216</v>
      </c>
      <c r="F211">
        <v>47040</v>
      </c>
      <c r="G211" t="str">
        <f>ConvertStockCode(표.실시간[[#This Row],[코드]])</f>
        <v>N047040</v>
      </c>
      <c r="H211" s="2">
        <f>_xll.IMDP("STK",표.실시간[[#This Row],[nxt_code]],"현재가")</f>
        <v>4810</v>
      </c>
      <c r="I211" s="2">
        <f>_xll.IMDP("STK",표.실시간[[#This Row],[nxt_code]],"시가총액")/10^12</f>
        <v>1.9991448887800001</v>
      </c>
      <c r="J211" s="2">
        <f>표.실시간[[#This Row],[시가총액 (조원)]]/표.실시간[[#This Row],[현재가]]*(표.실시간[[#This Row],[현재가]]-표.실시간[[#This Row],[대비]])</f>
        <v>2.0656445108600003</v>
      </c>
      <c r="K211" s="3">
        <f>_xll.IMDP("STK",표.실시간[[#This Row],[nxt_code]],"전일대비")</f>
        <v>-160</v>
      </c>
      <c r="L211">
        <f>_xll.IMDP("STK",표.실시간[[#This Row],[nxt_code]],"등락률")</f>
        <v>-3.22</v>
      </c>
      <c r="M211" s="2">
        <f>_xll.IMDP("STK",표.실시간[[#This Row],[nxt_code]],"누적거래량")</f>
        <v>856415</v>
      </c>
      <c r="N211" s="2">
        <f>_xll.IMDP("STK",표.실시간[[#This Row],[nxt_code]],"누적거래대금")/10^8</f>
        <v>41.126048689999998</v>
      </c>
      <c r="O211" s="2">
        <f>_xll.IMDP("STK",표.실시간[[#This Row],[nxt_code]],"가중평균가")</f>
        <v>4802.1168109999999</v>
      </c>
      <c r="P211" s="2">
        <f>_xll.IMDP("STK",표.실시간[[#This Row],[nxt_code]],"시가")</f>
        <v>4950</v>
      </c>
      <c r="Q211" s="2">
        <f>_xll.IMDP("STK",표.실시간[[#This Row],[nxt_code]],"고가")</f>
        <v>4970</v>
      </c>
      <c r="R211" s="2">
        <f>_xll.IMDP("STK",표.실시간[[#This Row],[nxt_code]],"저가")</f>
        <v>4760</v>
      </c>
      <c r="S211">
        <f>_xll.IMDP("STK",표.실시간[[#This Row],[nxt_code]],"세션명")</f>
        <v>0</v>
      </c>
      <c r="T211">
        <f>_xll.IMDP("STK",표.실시간[[#This Row],[nxt_code]],"체결시간")</f>
        <v>0</v>
      </c>
      <c r="U211" s="2">
        <f>_xll.IMDP("STK","047040","현재가")</f>
        <v>4810</v>
      </c>
      <c r="V211">
        <f>_xll.IMDP("STK","047040","누적거래량")</f>
        <v>376512</v>
      </c>
    </row>
    <row r="212" spans="2:22" x14ac:dyDescent="0.3">
      <c r="B212">
        <v>204</v>
      </c>
      <c r="C212">
        <v>0</v>
      </c>
      <c r="D212">
        <f>IF(IFERROR(INDEX(표.kospi200[code],MATCH(표.실시간[[#This Row],[코드]],표.kospi200[code],0)),0)=0,0,1)</f>
        <v>0</v>
      </c>
      <c r="E212" t="s">
        <v>217</v>
      </c>
      <c r="F212">
        <v>476830</v>
      </c>
      <c r="G212" t="str">
        <f>ConvertStockCode(표.실시간[[#This Row],[코드]])</f>
        <v>N476830</v>
      </c>
      <c r="H212" s="2">
        <f>_xll.IMDP("STK",표.실시간[[#This Row],[nxt_code]],"현재가")</f>
        <v>148700</v>
      </c>
      <c r="I212" s="2">
        <f>_xll.IMDP("STK",표.실시간[[#This Row],[nxt_code]],"시가총액")/10^12</f>
        <v>2.0719623054</v>
      </c>
      <c r="J212" s="2">
        <f>표.실시간[[#This Row],[시가총액 (조원)]]/표.실시간[[#This Row],[현재가]]*(표.실시간[[#This Row],[현재가]]-표.실시간[[#This Row],[대비]])</f>
        <v>2.0761424580000001</v>
      </c>
      <c r="K212" s="3">
        <f>_xll.IMDP("STK",표.실시간[[#This Row],[nxt_code]],"전일대비")</f>
        <v>-300</v>
      </c>
      <c r="L212">
        <f>_xll.IMDP("STK",표.실시간[[#This Row],[nxt_code]],"등락률")</f>
        <v>-0.2</v>
      </c>
      <c r="M212" s="2">
        <f>_xll.IMDP("STK",표.실시간[[#This Row],[nxt_code]],"누적거래량")</f>
        <v>69669</v>
      </c>
      <c r="N212" s="2">
        <f>_xll.IMDP("STK",표.실시간[[#This Row],[nxt_code]],"누적거래대금")/10^8</f>
        <v>100.1228545</v>
      </c>
      <c r="O212" s="2">
        <f>_xll.IMDP("STK",표.실시간[[#This Row],[nxt_code]],"가중평균가")</f>
        <v>143691.57780699999</v>
      </c>
      <c r="P212" s="2">
        <f>_xll.IMDP("STK",표.실시간[[#This Row],[nxt_code]],"시가")</f>
        <v>146100</v>
      </c>
      <c r="Q212" s="2">
        <f>_xll.IMDP("STK",표.실시간[[#This Row],[nxt_code]],"고가")</f>
        <v>149500</v>
      </c>
      <c r="R212" s="2">
        <f>_xll.IMDP("STK",표.실시간[[#This Row],[nxt_code]],"저가")</f>
        <v>141300</v>
      </c>
      <c r="S212">
        <f>_xll.IMDP("STK",표.실시간[[#This Row],[nxt_code]],"세션명")</f>
        <v>0</v>
      </c>
      <c r="T212">
        <f>_xll.IMDP("STK",표.실시간[[#This Row],[nxt_code]],"체결시간")</f>
        <v>0</v>
      </c>
      <c r="U212" s="2">
        <f>_xll.IMDP("STK","476830","현재가")</f>
        <v>148800</v>
      </c>
      <c r="V212">
        <f>_xll.IMDP("STK","476830","누적거래량")</f>
        <v>24967</v>
      </c>
    </row>
    <row r="213" spans="2:22" x14ac:dyDescent="0.3">
      <c r="B213">
        <v>205</v>
      </c>
      <c r="C213">
        <v>1</v>
      </c>
      <c r="D213">
        <f>IF(IFERROR(INDEX(표.kospi200[code],MATCH(표.실시간[[#This Row],[코드]],표.kospi200[code],0)),0)=0,0,1)</f>
        <v>1</v>
      </c>
      <c r="E213" t="s">
        <v>218</v>
      </c>
      <c r="F213">
        <v>282330</v>
      </c>
      <c r="G213" t="str">
        <f>ConvertStockCode(표.실시간[[#This Row],[코드]])</f>
        <v>N282330</v>
      </c>
      <c r="H213" s="2">
        <f>_xll.IMDP("STK",표.실시간[[#This Row],[nxt_code]],"현재가")</f>
        <v>119500</v>
      </c>
      <c r="I213" s="2">
        <f>_xll.IMDP("STK",표.실시간[[#This Row],[nxt_code]],"시가총액")/10^12</f>
        <v>2.0654267669999999</v>
      </c>
      <c r="J213" s="2">
        <f>표.실시간[[#This Row],[시가총액 (조원)]]/표.실시간[[#This Row],[현재가]]*(표.실시간[[#This Row],[현재가]]-표.실시간[[#This Row],[대비]])</f>
        <v>2.0982661883999998</v>
      </c>
      <c r="K213" s="3">
        <f>_xll.IMDP("STK",표.실시간[[#This Row],[nxt_code]],"전일대비")</f>
        <v>-1900</v>
      </c>
      <c r="L213">
        <f>_xll.IMDP("STK",표.실시간[[#This Row],[nxt_code]],"등락률")</f>
        <v>-1.57</v>
      </c>
      <c r="M213" s="2">
        <f>_xll.IMDP("STK",표.실시간[[#This Row],[nxt_code]],"누적거래량")</f>
        <v>1653</v>
      </c>
      <c r="N213" s="2">
        <f>_xll.IMDP("STK",표.실시간[[#This Row],[nxt_code]],"누적거래대금")/10^8</f>
        <v>1.9813179999999999</v>
      </c>
      <c r="O213" s="2">
        <f>_xll.IMDP("STK",표.실시간[[#This Row],[nxt_code]],"가중평균가")</f>
        <v>119861.947973</v>
      </c>
      <c r="P213" s="2">
        <f>_xll.IMDP("STK",표.실시간[[#This Row],[nxt_code]],"시가")</f>
        <v>121400</v>
      </c>
      <c r="Q213" s="2">
        <f>_xll.IMDP("STK",표.실시간[[#This Row],[nxt_code]],"고가")</f>
        <v>121500</v>
      </c>
      <c r="R213" s="2">
        <f>_xll.IMDP("STK",표.실시간[[#This Row],[nxt_code]],"저가")</f>
        <v>119300</v>
      </c>
      <c r="S213">
        <f>_xll.IMDP("STK",표.실시간[[#This Row],[nxt_code]],"세션명")</f>
        <v>0</v>
      </c>
      <c r="T213">
        <f>_xll.IMDP("STK",표.실시간[[#This Row],[nxt_code]],"체결시간")</f>
        <v>0</v>
      </c>
      <c r="U213" s="2">
        <f>_xll.IMDP("STK","282330","현재가")</f>
        <v>119700</v>
      </c>
      <c r="V213">
        <f>_xll.IMDP("STK","282330","누적거래량")</f>
        <v>1555</v>
      </c>
    </row>
    <row r="214" spans="2:22" x14ac:dyDescent="0.3">
      <c r="B214">
        <v>206</v>
      </c>
      <c r="C214">
        <v>1</v>
      </c>
      <c r="D214">
        <f>IF(IFERROR(INDEX(표.kospi200[code],MATCH(표.실시간[[#This Row],[코드]],표.kospi200[code],0)),0)=0,0,1)</f>
        <v>1</v>
      </c>
      <c r="E214" t="s">
        <v>219</v>
      </c>
      <c r="F214">
        <v>361610</v>
      </c>
      <c r="G214" t="str">
        <f>ConvertStockCode(표.실시간[[#This Row],[코드]])</f>
        <v>N361610</v>
      </c>
      <c r="H214" s="2">
        <f>_xll.IMDP("STK",표.실시간[[#This Row],[nxt_code]],"현재가")</f>
        <v>27300</v>
      </c>
      <c r="I214" s="2">
        <f>_xll.IMDP("STK",표.실시간[[#This Row],[nxt_code]],"시가총액")/10^12</f>
        <v>2.2327878299999999</v>
      </c>
      <c r="J214" s="2">
        <f>표.실시간[[#This Row],[시가총액 (조원)]]/표.실시간[[#This Row],[현재가]]*(표.실시간[[#This Row],[현재가]]-표.실시간[[#This Row],[대비]])</f>
        <v>2.236877185</v>
      </c>
      <c r="K214" s="3">
        <f>_xll.IMDP("STK",표.실시간[[#This Row],[nxt_code]],"전일대비")</f>
        <v>-50</v>
      </c>
      <c r="L214">
        <f>_xll.IMDP("STK",표.실시간[[#This Row],[nxt_code]],"등락률")</f>
        <v>-0.18</v>
      </c>
      <c r="M214" s="2">
        <f>_xll.IMDP("STK",표.실시간[[#This Row],[nxt_code]],"누적거래량")</f>
        <v>32471</v>
      </c>
      <c r="N214" s="2">
        <f>_xll.IMDP("STK",표.실시간[[#This Row],[nxt_code]],"누적거래대금")/10^8</f>
        <v>8.6782435000000007</v>
      </c>
      <c r="O214" s="2">
        <f>_xll.IMDP("STK",표.실시간[[#This Row],[nxt_code]],"가중평균가")</f>
        <v>26726.135629</v>
      </c>
      <c r="P214" s="2">
        <f>_xll.IMDP("STK",표.실시간[[#This Row],[nxt_code]],"시가")</f>
        <v>27050</v>
      </c>
      <c r="Q214" s="2">
        <f>_xll.IMDP("STK",표.실시간[[#This Row],[nxt_code]],"고가")</f>
        <v>27300</v>
      </c>
      <c r="R214" s="2">
        <f>_xll.IMDP("STK",표.실시간[[#This Row],[nxt_code]],"저가")</f>
        <v>26450</v>
      </c>
      <c r="S214">
        <f>_xll.IMDP("STK",표.실시간[[#This Row],[nxt_code]],"세션명")</f>
        <v>0</v>
      </c>
      <c r="T214">
        <f>_xll.IMDP("STK",표.실시간[[#This Row],[nxt_code]],"체결시간")</f>
        <v>0</v>
      </c>
      <c r="U214" s="2">
        <f>_xll.IMDP("STK","361610","현재가")</f>
        <v>27100</v>
      </c>
      <c r="V214">
        <f>_xll.IMDP("STK","361610","누적거래량")</f>
        <v>22272</v>
      </c>
    </row>
    <row r="215" spans="2:22" x14ac:dyDescent="0.3">
      <c r="B215">
        <v>207</v>
      </c>
      <c r="C215">
        <v>0</v>
      </c>
      <c r="D215">
        <f>IF(IFERROR(INDEX(표.kospi200[code],MATCH(표.실시간[[#This Row],[코드]],표.kospi200[code],0)),0)=0,0,1)</f>
        <v>0</v>
      </c>
      <c r="E215" t="s">
        <v>220</v>
      </c>
      <c r="F215">
        <v>83650</v>
      </c>
      <c r="G215" t="str">
        <f>ConvertStockCode(표.실시간[[#This Row],[코드]])</f>
        <v>N083650</v>
      </c>
      <c r="H215" s="2">
        <f>_xll.IMDP("STK",표.실시간[[#This Row],[nxt_code]],"현재가")</f>
        <v>70900</v>
      </c>
      <c r="I215" s="2">
        <f>_xll.IMDP("STK",표.실시간[[#This Row],[nxt_code]],"시가총액")/10^12</f>
        <v>2.1970506250000001</v>
      </c>
      <c r="J215" s="2">
        <f>표.실시간[[#This Row],[시가총액 (조원)]]/표.실시간[[#This Row],[현재가]]*(표.실시간[[#This Row],[현재가]]-표.실시간[[#This Row],[대비]])</f>
        <v>2.2249398430888578</v>
      </c>
      <c r="K215" s="3">
        <f>_xll.IMDP("STK",표.실시간[[#This Row],[nxt_code]],"전일대비")</f>
        <v>-900</v>
      </c>
      <c r="L215">
        <f>_xll.IMDP("STK",표.실시간[[#This Row],[nxt_code]],"등락률")</f>
        <v>-1.25</v>
      </c>
      <c r="M215" s="2">
        <f>_xll.IMDP("STK",표.실시간[[#This Row],[nxt_code]],"누적거래량")</f>
        <v>157289</v>
      </c>
      <c r="N215" s="2">
        <f>_xll.IMDP("STK",표.실시간[[#This Row],[nxt_code]],"누적거래대금")/10^8</f>
        <v>109.08797800000001</v>
      </c>
      <c r="O215" s="2">
        <f>_xll.IMDP("STK",표.실시간[[#This Row],[nxt_code]],"가중평균가")</f>
        <v>69355.122099999993</v>
      </c>
      <c r="P215" s="2">
        <f>_xll.IMDP("STK",표.실시간[[#This Row],[nxt_code]],"시가")</f>
        <v>71000</v>
      </c>
      <c r="Q215" s="2">
        <f>_xll.IMDP("STK",표.실시간[[#This Row],[nxt_code]],"고가")</f>
        <v>71400</v>
      </c>
      <c r="R215" s="2">
        <f>_xll.IMDP("STK",표.실시간[[#This Row],[nxt_code]],"저가")</f>
        <v>68600</v>
      </c>
      <c r="S215">
        <f>_xll.IMDP("STK",표.실시간[[#This Row],[nxt_code]],"세션명")</f>
        <v>0</v>
      </c>
      <c r="T215">
        <f>_xll.IMDP("STK",표.실시간[[#This Row],[nxt_code]],"체결시간")</f>
        <v>0</v>
      </c>
      <c r="U215" s="2">
        <f>_xll.IMDP("STK","083650","현재가")</f>
        <v>70900</v>
      </c>
      <c r="V215">
        <f>_xll.IMDP("STK","083650","누적거래량")</f>
        <v>85785</v>
      </c>
    </row>
    <row r="216" spans="2:22" x14ac:dyDescent="0.3">
      <c r="B216">
        <v>208</v>
      </c>
      <c r="C216">
        <v>1</v>
      </c>
      <c r="D216">
        <f>IF(IFERROR(INDEX(표.kospi200[code],MATCH(표.실시간[[#This Row],[코드]],표.kospi200[code],0)),0)=0,0,1)</f>
        <v>0</v>
      </c>
      <c r="E216" t="s">
        <v>221</v>
      </c>
      <c r="F216">
        <v>267270</v>
      </c>
      <c r="G216" t="str">
        <f>ConvertStockCode(표.실시간[[#This Row],[코드]])</f>
        <v>N267270</v>
      </c>
      <c r="H216" s="2">
        <f>_xll.IMDP("STK",표.실시간[[#This Row],[nxt_code]],"현재가")</f>
        <v>107900</v>
      </c>
      <c r="I216" s="2">
        <f>_xll.IMDP("STK",표.실시간[[#This Row],[nxt_code]],"시가총액")/10^12</f>
        <v>5.1764073322000002</v>
      </c>
      <c r="J216" s="2">
        <f>표.실시간[[#This Row],[시가총액 (조원)]]/표.실시간[[#This Row],[현재가]]*(표.실시간[[#This Row],[현재가]]-표.실시간[[#This Row],[대비]])</f>
        <v>5.1907995676000001</v>
      </c>
      <c r="K216" s="3">
        <f>_xll.IMDP("STK",표.실시간[[#This Row],[nxt_code]],"전일대비")</f>
        <v>-300</v>
      </c>
      <c r="L216">
        <f>_xll.IMDP("STK",표.실시간[[#This Row],[nxt_code]],"등락률")</f>
        <v>-0.28000000000000003</v>
      </c>
      <c r="M216" s="2">
        <f>_xll.IMDP("STK",표.실시간[[#This Row],[nxt_code]],"누적거래량")</f>
        <v>69677</v>
      </c>
      <c r="N216" s="2">
        <f>_xll.IMDP("STK",표.실시간[[#This Row],[nxt_code]],"누적거래대금")/10^8</f>
        <v>73.691473999999999</v>
      </c>
      <c r="O216" s="2">
        <f>_xll.IMDP("STK",표.실시간[[#This Row],[nxt_code]],"가중평균가")</f>
        <v>105761.548287</v>
      </c>
      <c r="P216" s="2">
        <f>_xll.IMDP("STK",표.실시간[[#This Row],[nxt_code]],"시가")</f>
        <v>110000</v>
      </c>
      <c r="Q216" s="2">
        <f>_xll.IMDP("STK",표.실시간[[#This Row],[nxt_code]],"고가")</f>
        <v>110000</v>
      </c>
      <c r="R216" s="2">
        <f>_xll.IMDP("STK",표.실시간[[#This Row],[nxt_code]],"저가")</f>
        <v>104200</v>
      </c>
      <c r="S216">
        <f>_xll.IMDP("STK",표.실시간[[#This Row],[nxt_code]],"세션명")</f>
        <v>0</v>
      </c>
      <c r="T216">
        <f>_xll.IMDP("STK",표.실시간[[#This Row],[nxt_code]],"체결시간")</f>
        <v>0</v>
      </c>
      <c r="U216" s="2">
        <f>_xll.IMDP("STK","267270","현재가")</f>
        <v>108000</v>
      </c>
      <c r="V216">
        <f>_xll.IMDP("STK","267270","누적거래량")</f>
        <v>35879</v>
      </c>
    </row>
    <row r="217" spans="2:22" x14ac:dyDescent="0.3">
      <c r="B217">
        <v>209</v>
      </c>
      <c r="C217">
        <v>1</v>
      </c>
      <c r="D217">
        <f>IF(IFERROR(INDEX(표.kospi200[code],MATCH(표.실시간[[#This Row],[코드]],표.kospi200[code],0)),0)=0,0,1)</f>
        <v>0</v>
      </c>
      <c r="E217" t="s">
        <v>222</v>
      </c>
      <c r="F217">
        <v>462870</v>
      </c>
      <c r="G217" t="str">
        <f>ConvertStockCode(표.실시간[[#This Row],[코드]])</f>
        <v>N462870</v>
      </c>
      <c r="H217" s="2">
        <f>_xll.IMDP("STK",표.실시간[[#This Row],[nxt_code]],"현재가")</f>
        <v>33500</v>
      </c>
      <c r="I217" s="2">
        <f>_xll.IMDP("STK",표.실시간[[#This Row],[nxt_code]],"시가총액")/10^12</f>
        <v>1.9752082399999999</v>
      </c>
      <c r="J217" s="2">
        <f>표.실시간[[#This Row],[시가총액 (조원)]]/표.실시간[[#This Row],[현재가]]*(표.실시간[[#This Row],[현재가]]-표.실시간[[#This Row],[대비]])</f>
        <v>2.0518581119999997</v>
      </c>
      <c r="K217" s="3">
        <f>_xll.IMDP("STK",표.실시간[[#This Row],[nxt_code]],"전일대비")</f>
        <v>-1300</v>
      </c>
      <c r="L217">
        <f>_xll.IMDP("STK",표.실시간[[#This Row],[nxt_code]],"등락률")</f>
        <v>-3.74</v>
      </c>
      <c r="M217" s="2">
        <f>_xll.IMDP("STK",표.실시간[[#This Row],[nxt_code]],"누적거래량")</f>
        <v>43531</v>
      </c>
      <c r="N217" s="2">
        <f>_xll.IMDP("STK",표.실시간[[#This Row],[nxt_code]],"누적거래대금")/10^8</f>
        <v>14.722314000000001</v>
      </c>
      <c r="O217" s="2">
        <f>_xll.IMDP("STK",표.실시간[[#This Row],[nxt_code]],"가중평균가")</f>
        <v>33820.298177999997</v>
      </c>
      <c r="P217" s="2">
        <f>_xll.IMDP("STK",표.실시간[[#This Row],[nxt_code]],"시가")</f>
        <v>34550</v>
      </c>
      <c r="Q217" s="2">
        <f>_xll.IMDP("STK",표.실시간[[#This Row],[nxt_code]],"고가")</f>
        <v>34550</v>
      </c>
      <c r="R217" s="2">
        <f>_xll.IMDP("STK",표.실시간[[#This Row],[nxt_code]],"저가")</f>
        <v>33400</v>
      </c>
      <c r="S217">
        <f>_xll.IMDP("STK",표.실시간[[#This Row],[nxt_code]],"세션명")</f>
        <v>0</v>
      </c>
      <c r="T217">
        <f>_xll.IMDP("STK",표.실시간[[#This Row],[nxt_code]],"체결시간")</f>
        <v>0</v>
      </c>
      <c r="U217" s="2">
        <f>_xll.IMDP("STK","462870","현재가")</f>
        <v>33600</v>
      </c>
      <c r="V217">
        <f>_xll.IMDP("STK","462870","누적거래량")</f>
        <v>46091</v>
      </c>
    </row>
    <row r="218" spans="2:22" x14ac:dyDescent="0.3">
      <c r="B218">
        <v>210</v>
      </c>
      <c r="C218">
        <v>0</v>
      </c>
      <c r="D218">
        <f>IF(IFERROR(INDEX(표.kospi200[code],MATCH(표.실시간[[#This Row],[코드]],표.kospi200[code],0)),0)=0,0,1)</f>
        <v>0</v>
      </c>
      <c r="E218" t="s">
        <v>223</v>
      </c>
      <c r="F218">
        <v>64760</v>
      </c>
      <c r="G218" t="str">
        <f>ConvertStockCode(표.실시간[[#This Row],[코드]])</f>
        <v>N064760</v>
      </c>
      <c r="H218" s="2">
        <f>_xll.IMDP("STK",표.실시간[[#This Row],[nxt_code]],"현재가")</f>
        <v>222000</v>
      </c>
      <c r="I218" s="2">
        <f>_xll.IMDP("STK",표.실시간[[#This Row],[nxt_code]],"시가총액")/10^12</f>
        <v>2.4818303519999998</v>
      </c>
      <c r="J218" s="2">
        <f>표.실시간[[#This Row],[시가총액 (조원)]]/표.실시간[[#This Row],[현재가]]*(표.실시간[[#This Row],[현재가]]-표.실시간[[#This Row],[대비]])</f>
        <v>2.6607010079999998</v>
      </c>
      <c r="K218" s="3">
        <f>_xll.IMDP("STK",표.실시간[[#This Row],[nxt_code]],"전일대비")</f>
        <v>-16000</v>
      </c>
      <c r="L218">
        <f>_xll.IMDP("STK",표.실시간[[#This Row],[nxt_code]],"등락률")</f>
        <v>-6.72</v>
      </c>
      <c r="M218" s="2">
        <f>_xll.IMDP("STK",표.실시간[[#This Row],[nxt_code]],"누적거래량")</f>
        <v>7249</v>
      </c>
      <c r="N218" s="2">
        <f>_xll.IMDP("STK",표.실시간[[#This Row],[nxt_code]],"누적거래대금")/10^8</f>
        <v>16.165700000000001</v>
      </c>
      <c r="O218" s="2">
        <f>_xll.IMDP("STK",표.실시간[[#This Row],[nxt_code]],"가중평균가")</f>
        <v>223005.93185299999</v>
      </c>
      <c r="P218" s="2">
        <f>_xll.IMDP("STK",표.실시간[[#This Row],[nxt_code]],"시가")</f>
        <v>226500</v>
      </c>
      <c r="Q218" s="2">
        <f>_xll.IMDP("STK",표.실시간[[#This Row],[nxt_code]],"고가")</f>
        <v>229500</v>
      </c>
      <c r="R218" s="2">
        <f>_xll.IMDP("STK",표.실시간[[#This Row],[nxt_code]],"저가")</f>
        <v>211500</v>
      </c>
      <c r="S218">
        <f>_xll.IMDP("STK",표.실시간[[#This Row],[nxt_code]],"세션명")</f>
        <v>0</v>
      </c>
      <c r="T218">
        <f>_xll.IMDP("STK",표.실시간[[#This Row],[nxt_code]],"체결시간")</f>
        <v>0</v>
      </c>
      <c r="U218" s="2">
        <f>_xll.IMDP("STK","064760","현재가")</f>
        <v>227000</v>
      </c>
      <c r="V218">
        <f>_xll.IMDP("STK","064760","누적거래량")</f>
        <v>17232</v>
      </c>
    </row>
    <row r="219" spans="2:22" x14ac:dyDescent="0.3">
      <c r="B219">
        <v>211</v>
      </c>
      <c r="C219">
        <v>0</v>
      </c>
      <c r="D219">
        <f>IF(IFERROR(INDEX(표.kospi200[code],MATCH(표.실시간[[#This Row],[코드]],표.kospi200[code],0)),0)=0,0,1)</f>
        <v>0</v>
      </c>
      <c r="E219" t="s">
        <v>224</v>
      </c>
      <c r="F219">
        <v>466100</v>
      </c>
      <c r="G219" t="str">
        <f>ConvertStockCode(표.실시간[[#This Row],[코드]])</f>
        <v>N466100</v>
      </c>
      <c r="H219" s="2">
        <f>_xll.IMDP("STK",표.실시간[[#This Row],[nxt_code]],"현재가")</f>
        <v>76300</v>
      </c>
      <c r="I219" s="2">
        <f>_xll.IMDP("STK",표.실시간[[#This Row],[nxt_code]],"시가총액")/10^12</f>
        <v>1.9069002057</v>
      </c>
      <c r="J219" s="2">
        <f>표.실시간[[#This Row],[시가총액 (조원)]]/표.실시간[[#This Row],[현재가]]*(표.실시간[[#This Row],[현재가]]-표.실시간[[#This Row],[대비]])</f>
        <v>1.8519174999000001</v>
      </c>
      <c r="K219" s="3">
        <f>_xll.IMDP("STK",표.실시간[[#This Row],[nxt_code]],"전일대비")</f>
        <v>2200</v>
      </c>
      <c r="L219">
        <f>_xll.IMDP("STK",표.실시간[[#This Row],[nxt_code]],"등락률")</f>
        <v>2.97</v>
      </c>
      <c r="M219" s="2">
        <f>_xll.IMDP("STK",표.실시간[[#This Row],[nxt_code]],"누적거래량")</f>
        <v>277028</v>
      </c>
      <c r="N219" s="2">
        <f>_xll.IMDP("STK",표.실시간[[#This Row],[nxt_code]],"누적거래대금")/10^8</f>
        <v>205.571898</v>
      </c>
      <c r="O219" s="2">
        <f>_xll.IMDP("STK",표.실시간[[#This Row],[nxt_code]],"가중평균가")</f>
        <v>74206.180603000001</v>
      </c>
      <c r="P219" s="2">
        <f>_xll.IMDP("STK",표.실시간[[#This Row],[nxt_code]],"시가")</f>
        <v>74100</v>
      </c>
      <c r="Q219" s="2">
        <f>_xll.IMDP("STK",표.실시간[[#This Row],[nxt_code]],"고가")</f>
        <v>76400</v>
      </c>
      <c r="R219" s="2">
        <f>_xll.IMDP("STK",표.실시간[[#This Row],[nxt_code]],"저가")</f>
        <v>72000</v>
      </c>
      <c r="S219">
        <f>_xll.IMDP("STK",표.실시간[[#This Row],[nxt_code]],"세션명")</f>
        <v>0</v>
      </c>
      <c r="T219">
        <f>_xll.IMDP("STK",표.실시간[[#This Row],[nxt_code]],"체결시간")</f>
        <v>0</v>
      </c>
      <c r="U219" s="2">
        <f>_xll.IMDP("STK","466100","현재가")</f>
        <v>76400</v>
      </c>
      <c r="V219">
        <f>_xll.IMDP("STK","466100","누적거래량")</f>
        <v>128452</v>
      </c>
    </row>
    <row r="220" spans="2:22" x14ac:dyDescent="0.3">
      <c r="B220">
        <v>212</v>
      </c>
      <c r="C220">
        <v>1</v>
      </c>
      <c r="D220">
        <f>IF(IFERROR(INDEX(표.kospi200[code],MATCH(표.실시간[[#This Row],[코드]],표.kospi200[code],0)),0)=0,0,1)</f>
        <v>1</v>
      </c>
      <c r="E220" t="s">
        <v>225</v>
      </c>
      <c r="F220">
        <v>69620</v>
      </c>
      <c r="G220" t="str">
        <f>ConvertStockCode(표.실시간[[#This Row],[코드]])</f>
        <v>N069620</v>
      </c>
      <c r="H220" s="2">
        <f>_xll.IMDP("STK",표.실시간[[#This Row],[nxt_code]],"현재가")</f>
        <v>164800</v>
      </c>
      <c r="I220" s="2">
        <f>_xll.IMDP("STK",표.실시간[[#This Row],[nxt_code]],"시가총액")/10^12</f>
        <v>1.90946756</v>
      </c>
      <c r="J220" s="2">
        <f>표.실시간[[#This Row],[시가총액 (조원)]]/표.실시간[[#This Row],[현재가]]*(표.실시간[[#This Row],[현재가]]-표.실시간[[#This Row],[대비]])</f>
        <v>1.9569725175000001</v>
      </c>
      <c r="K220" s="3">
        <f>_xll.IMDP("STK",표.실시간[[#This Row],[nxt_code]],"전일대비")</f>
        <v>-4100</v>
      </c>
      <c r="L220">
        <f>_xll.IMDP("STK",표.실시간[[#This Row],[nxt_code]],"등락률")</f>
        <v>-2.4300000000000002</v>
      </c>
      <c r="M220" s="2">
        <f>_xll.IMDP("STK",표.실시간[[#This Row],[nxt_code]],"누적거래량")</f>
        <v>1547</v>
      </c>
      <c r="N220" s="2">
        <f>_xll.IMDP("STK",표.실시간[[#This Row],[nxt_code]],"누적거래대금")/10^8</f>
        <v>2.5699709999999998</v>
      </c>
      <c r="O220" s="2">
        <f>_xll.IMDP("STK",표.실시간[[#This Row],[nxt_code]],"가중평균가")</f>
        <v>166126.11506099999</v>
      </c>
      <c r="P220" s="2">
        <f>_xll.IMDP("STK",표.실시간[[#This Row],[nxt_code]],"시가")</f>
        <v>168700</v>
      </c>
      <c r="Q220" s="2">
        <f>_xll.IMDP("STK",표.실시간[[#This Row],[nxt_code]],"고가")</f>
        <v>168800</v>
      </c>
      <c r="R220" s="2">
        <f>_xll.IMDP("STK",표.실시간[[#This Row],[nxt_code]],"저가")</f>
        <v>164800</v>
      </c>
      <c r="S220">
        <f>_xll.IMDP("STK",표.실시간[[#This Row],[nxt_code]],"세션명")</f>
        <v>0</v>
      </c>
      <c r="T220">
        <f>_xll.IMDP("STK",표.실시간[[#This Row],[nxt_code]],"체결시간")</f>
        <v>0</v>
      </c>
      <c r="U220" s="2">
        <f>_xll.IMDP("STK","069620","현재가")</f>
        <v>165200</v>
      </c>
      <c r="V220">
        <f>_xll.IMDP("STK","069620","누적거래량")</f>
        <v>2109</v>
      </c>
    </row>
    <row r="221" spans="2:22" x14ac:dyDescent="0.3">
      <c r="B221">
        <v>213</v>
      </c>
      <c r="C221">
        <v>1</v>
      </c>
      <c r="D221">
        <f>IF(IFERROR(INDEX(표.kospi200[code],MATCH(표.실시간[[#This Row],[코드]],표.kospi200[code],0)),0)=0,0,1)</f>
        <v>1</v>
      </c>
      <c r="E221" t="s">
        <v>226</v>
      </c>
      <c r="F221">
        <v>17960</v>
      </c>
      <c r="G221" t="str">
        <f>ConvertStockCode(표.실시간[[#This Row],[코드]])</f>
        <v>N017960</v>
      </c>
      <c r="H221" s="2">
        <f>_xll.IMDP("STK",표.실시간[[#This Row],[nxt_code]],"현재가")</f>
        <v>32900</v>
      </c>
      <c r="I221" s="2">
        <f>_xll.IMDP("STK",표.실시간[[#This Row],[nxt_code]],"시가총액")/10^12</f>
        <v>1.7077880707999999</v>
      </c>
      <c r="J221" s="2">
        <f>표.실시간[[#This Row],[시가총액 (조원)]]/표.실시간[[#This Row],[현재가]]*(표.실시간[[#This Row],[현재가]]-표.실시간[[#This Row],[대비]])</f>
        <v>1.7571011002000001</v>
      </c>
      <c r="K221" s="3">
        <f>_xll.IMDP("STK",표.실시간[[#This Row],[nxt_code]],"전일대비")</f>
        <v>-950</v>
      </c>
      <c r="L221">
        <f>_xll.IMDP("STK",표.실시간[[#This Row],[nxt_code]],"등락률")</f>
        <v>-2.81</v>
      </c>
      <c r="M221" s="2">
        <f>_xll.IMDP("STK",표.실시간[[#This Row],[nxt_code]],"누적거래량")</f>
        <v>57191</v>
      </c>
      <c r="N221" s="2">
        <f>_xll.IMDP("STK",표.실시간[[#This Row],[nxt_code]],"누적거래대금")/10^8</f>
        <v>18.905023499999999</v>
      </c>
      <c r="O221" s="2">
        <f>_xll.IMDP("STK",표.실시간[[#This Row],[nxt_code]],"가중평균가")</f>
        <v>33055.941493999999</v>
      </c>
      <c r="P221" s="2">
        <f>_xll.IMDP("STK",표.실시간[[#This Row],[nxt_code]],"시가")</f>
        <v>33550</v>
      </c>
      <c r="Q221" s="2">
        <f>_xll.IMDP("STK",표.실시간[[#This Row],[nxt_code]],"고가")</f>
        <v>33700</v>
      </c>
      <c r="R221" s="2">
        <f>_xll.IMDP("STK",표.실시간[[#This Row],[nxt_code]],"저가")</f>
        <v>32700</v>
      </c>
      <c r="S221">
        <f>_xll.IMDP("STK",표.실시간[[#This Row],[nxt_code]],"세션명")</f>
        <v>0</v>
      </c>
      <c r="T221">
        <f>_xll.IMDP("STK",표.실시간[[#This Row],[nxt_code]],"체결시간")</f>
        <v>0</v>
      </c>
      <c r="U221" s="2">
        <f>_xll.IMDP("STK","017960","현재가")</f>
        <v>33200</v>
      </c>
      <c r="V221">
        <f>_xll.IMDP("STK","017960","누적거래량")</f>
        <v>26729</v>
      </c>
    </row>
    <row r="222" spans="2:22" x14ac:dyDescent="0.3">
      <c r="B222">
        <v>214</v>
      </c>
      <c r="C222">
        <v>0</v>
      </c>
      <c r="D222">
        <f>IF(IFERROR(INDEX(표.kospi200[code],MATCH(표.실시간[[#This Row],[코드]],표.kospi200[code],0)),0)=0,0,1)</f>
        <v>0</v>
      </c>
      <c r="E222" t="s">
        <v>227</v>
      </c>
      <c r="F222">
        <v>84370</v>
      </c>
      <c r="G222" t="str">
        <f>ConvertStockCode(표.실시간[[#This Row],[코드]])</f>
        <v>N084370</v>
      </c>
      <c r="H222" s="2">
        <f>_xll.IMDP("STK",표.실시간[[#This Row],[nxt_code]],"현재가")</f>
        <v>106800</v>
      </c>
      <c r="I222" s="2">
        <f>_xll.IMDP("STK",표.실시간[[#This Row],[nxt_code]],"시가총액")/10^12</f>
        <v>2.4474332855999998</v>
      </c>
      <c r="J222" s="2">
        <f>표.실시간[[#This Row],[시가총액 (조원)]]/표.실시간[[#This Row],[현재가]]*(표.실시간[[#This Row],[현재가]]-표.실시간[[#This Row],[대비]])</f>
        <v>2.5436806619999999</v>
      </c>
      <c r="K222" s="3">
        <f>_xll.IMDP("STK",표.실시간[[#This Row],[nxt_code]],"전일대비")</f>
        <v>-4200</v>
      </c>
      <c r="L222">
        <f>_xll.IMDP("STK",표.실시간[[#This Row],[nxt_code]],"등락률")</f>
        <v>-3.78</v>
      </c>
      <c r="M222" s="2">
        <f>_xll.IMDP("STK",표.실시간[[#This Row],[nxt_code]],"누적거래량")</f>
        <v>44631</v>
      </c>
      <c r="N222" s="2">
        <f>_xll.IMDP("STK",표.실시간[[#This Row],[nxt_code]],"누적거래대금")/10^8</f>
        <v>47.932536499999998</v>
      </c>
      <c r="O222" s="2">
        <f>_xll.IMDP("STK",표.실시간[[#This Row],[nxt_code]],"가중평균가")</f>
        <v>103806.680334</v>
      </c>
      <c r="P222" s="2">
        <f>_xll.IMDP("STK",표.실시간[[#This Row],[nxt_code]],"시가")</f>
        <v>107100</v>
      </c>
      <c r="Q222" s="2">
        <f>_xll.IMDP("STK",표.실시간[[#This Row],[nxt_code]],"고가")</f>
        <v>107100</v>
      </c>
      <c r="R222" s="2">
        <f>_xll.IMDP("STK",표.실시간[[#This Row],[nxt_code]],"저가")</f>
        <v>100200</v>
      </c>
      <c r="S222">
        <f>_xll.IMDP("STK",표.실시간[[#This Row],[nxt_code]],"세션명")</f>
        <v>0</v>
      </c>
      <c r="T222">
        <f>_xll.IMDP("STK",표.실시간[[#This Row],[nxt_code]],"체결시간")</f>
        <v>0</v>
      </c>
      <c r="U222" s="2">
        <f>_xll.IMDP("STK","084370","현재가")</f>
        <v>106900</v>
      </c>
      <c r="V222">
        <f>_xll.IMDP("STK","084370","누적거래량")</f>
        <v>48819</v>
      </c>
    </row>
    <row r="223" spans="2:22" x14ac:dyDescent="0.3">
      <c r="B223">
        <v>215</v>
      </c>
      <c r="C223">
        <v>0</v>
      </c>
      <c r="D223">
        <f>IF(IFERROR(INDEX(표.kospi200[code],MATCH(표.실시간[[#This Row],[코드]],표.kospi200[code],0)),0)=0,0,1)</f>
        <v>0</v>
      </c>
      <c r="E223" t="s">
        <v>228</v>
      </c>
      <c r="F223">
        <v>222800</v>
      </c>
      <c r="G223" t="str">
        <f>ConvertStockCode(표.실시간[[#This Row],[코드]])</f>
        <v>N222800</v>
      </c>
      <c r="H223" s="2">
        <f>_xll.IMDP("STK",표.실시간[[#This Row],[nxt_code]],"현재가")</f>
        <v>62200</v>
      </c>
      <c r="I223" s="2">
        <f>_xll.IMDP("STK",표.실시간[[#This Row],[nxt_code]],"시가총액")/10^12</f>
        <v>2.3226859595999998</v>
      </c>
      <c r="J223" s="2">
        <f>표.실시간[[#This Row],[시가총액 (조원)]]/표.실시간[[#This Row],[현재가]]*(표.실시간[[#This Row],[현재가]]-표.실시간[[#This Row],[대비]])</f>
        <v>2.2592041890000001</v>
      </c>
      <c r="K223" s="3">
        <f>_xll.IMDP("STK",표.실시간[[#This Row],[nxt_code]],"전일대비")</f>
        <v>1700</v>
      </c>
      <c r="L223">
        <f>_xll.IMDP("STK",표.실시간[[#This Row],[nxt_code]],"등락률")</f>
        <v>2.81</v>
      </c>
      <c r="M223" s="2">
        <f>_xll.IMDP("STK",표.실시간[[#This Row],[nxt_code]],"누적거래량")</f>
        <v>624289</v>
      </c>
      <c r="N223" s="2">
        <f>_xll.IMDP("STK",표.실시간[[#This Row],[nxt_code]],"누적거래대금")/10^8</f>
        <v>380.00329599999998</v>
      </c>
      <c r="O223" s="2">
        <f>_xll.IMDP("STK",표.실시간[[#This Row],[nxt_code]],"가중평균가")</f>
        <v>60869.772814000004</v>
      </c>
      <c r="P223" s="2">
        <f>_xll.IMDP("STK",표.실시간[[#This Row],[nxt_code]],"시가")</f>
        <v>60500</v>
      </c>
      <c r="Q223" s="2">
        <f>_xll.IMDP("STK",표.실시간[[#This Row],[nxt_code]],"고가")</f>
        <v>63000</v>
      </c>
      <c r="R223" s="2">
        <f>_xll.IMDP("STK",표.실시간[[#This Row],[nxt_code]],"저가")</f>
        <v>58000</v>
      </c>
      <c r="S223">
        <f>_xll.IMDP("STK",표.실시간[[#This Row],[nxt_code]],"세션명")</f>
        <v>0</v>
      </c>
      <c r="T223">
        <f>_xll.IMDP("STK",표.실시간[[#This Row],[nxt_code]],"체결시간")</f>
        <v>0</v>
      </c>
      <c r="U223" s="2">
        <f>_xll.IMDP("STK","222800","현재가")</f>
        <v>62100</v>
      </c>
      <c r="V223">
        <f>_xll.IMDP("STK","222800","누적거래량")</f>
        <v>322363</v>
      </c>
    </row>
    <row r="224" spans="2:22" x14ac:dyDescent="0.3">
      <c r="B224">
        <v>216</v>
      </c>
      <c r="C224">
        <v>0</v>
      </c>
      <c r="D224">
        <f>IF(IFERROR(INDEX(표.kospi200[code],MATCH(표.실시간[[#This Row],[코드]],표.kospi200[code],0)),0)=0,0,1)</f>
        <v>0</v>
      </c>
      <c r="E224" t="s">
        <v>229</v>
      </c>
      <c r="F224">
        <v>458870</v>
      </c>
      <c r="G224" t="str">
        <f>ConvertStockCode(표.실시간[[#This Row],[코드]])</f>
        <v>N458870</v>
      </c>
      <c r="H224" s="2">
        <f>_xll.IMDP("STK",표.실시간[[#This Row],[nxt_code]],"현재가")</f>
        <v>164100</v>
      </c>
      <c r="I224" s="2">
        <f>_xll.IMDP("STK",표.실시간[[#This Row],[nxt_code]],"시가총액")/10^12</f>
        <v>2.0784709079999999</v>
      </c>
      <c r="J224" s="2">
        <f>표.실시간[[#This Row],[시가총액 (조원)]]/표.실시간[[#This Row],[현재가]]*(표.실시간[[#This Row],[현재가]]-표.실시간[[#This Row],[대비]])</f>
        <v>2.0784709079999999</v>
      </c>
      <c r="K224" s="3">
        <f>_xll.IMDP("STK",표.실시간[[#This Row],[nxt_code]],"전일대비")</f>
        <v>0</v>
      </c>
      <c r="L224">
        <f>_xll.IMDP("STK",표.실시간[[#This Row],[nxt_code]],"등락률")</f>
        <v>0</v>
      </c>
      <c r="M224" s="2">
        <f>_xll.IMDP("STK",표.실시간[[#This Row],[nxt_code]],"누적거래량")</f>
        <v>0</v>
      </c>
      <c r="N224" s="2">
        <f>_xll.IMDP("STK",표.실시간[[#This Row],[nxt_code]],"누적거래대금")/10^8</f>
        <v>0</v>
      </c>
      <c r="O224" s="2">
        <f>_xll.IMDP("STK",표.실시간[[#This Row],[nxt_code]],"가중평균가")</f>
        <v>0</v>
      </c>
      <c r="P224" s="2">
        <f>_xll.IMDP("STK",표.실시간[[#This Row],[nxt_code]],"시가")</f>
        <v>0</v>
      </c>
      <c r="Q224" s="2">
        <f>_xll.IMDP("STK",표.실시간[[#This Row],[nxt_code]],"고가")</f>
        <v>0</v>
      </c>
      <c r="R224" s="2">
        <f>_xll.IMDP("STK",표.실시간[[#This Row],[nxt_code]],"저가")</f>
        <v>0</v>
      </c>
      <c r="S224">
        <f>_xll.IMDP("STK",표.실시간[[#This Row],[nxt_code]],"세션명")</f>
        <v>0</v>
      </c>
      <c r="T224">
        <f>_xll.IMDP("STK",표.실시간[[#This Row],[nxt_code]],"체결시간")</f>
        <v>0</v>
      </c>
      <c r="U224" s="2">
        <f>_xll.IMDP("STK","458870","현재가")</f>
        <v>161000</v>
      </c>
      <c r="V224">
        <f>_xll.IMDP("STK","458870","누적거래량")</f>
        <v>6171</v>
      </c>
    </row>
    <row r="225" spans="2:22" x14ac:dyDescent="0.3">
      <c r="B225">
        <v>217</v>
      </c>
      <c r="C225">
        <v>1</v>
      </c>
      <c r="D225">
        <f>IF(IFERROR(INDEX(표.kospi200[code],MATCH(표.실시간[[#This Row],[코드]],표.kospi200[code],0)),0)=0,0,1)</f>
        <v>0</v>
      </c>
      <c r="E225" t="s">
        <v>230</v>
      </c>
      <c r="F225">
        <v>23590</v>
      </c>
      <c r="G225" t="str">
        <f>ConvertStockCode(표.실시간[[#This Row],[코드]])</f>
        <v>N023590</v>
      </c>
      <c r="H225" s="2">
        <f>_xll.IMDP("STK",표.실시간[[#This Row],[nxt_code]],"현재가")</f>
        <v>50500</v>
      </c>
      <c r="I225" s="2">
        <f>_xll.IMDP("STK",표.실시간[[#This Row],[nxt_code]],"시가총액")/10^12</f>
        <v>2.2657641585000001</v>
      </c>
      <c r="J225" s="2">
        <f>표.실시간[[#This Row],[시가총액 (조원)]]/표.실시간[[#This Row],[현재가]]*(표.실시간[[#This Row],[현재가]]-표.실시간[[#This Row],[대비]])</f>
        <v>2.3779307009999999</v>
      </c>
      <c r="K225" s="3">
        <f>_xll.IMDP("STK",표.실시간[[#This Row],[nxt_code]],"전일대비")</f>
        <v>-2500</v>
      </c>
      <c r="L225">
        <f>_xll.IMDP("STK",표.실시간[[#This Row],[nxt_code]],"등락률")</f>
        <v>-5.08</v>
      </c>
      <c r="M225" s="2">
        <f>_xll.IMDP("STK",표.실시간[[#This Row],[nxt_code]],"누적거래량")</f>
        <v>12096</v>
      </c>
      <c r="N225" s="2">
        <f>_xll.IMDP("STK",표.실시간[[#This Row],[nxt_code]],"누적거래대금")/10^8</f>
        <v>6.1172754999999999</v>
      </c>
      <c r="O225" s="2">
        <f>_xll.IMDP("STK",표.실시간[[#This Row],[nxt_code]],"가중평균가")</f>
        <v>50572.714119999997</v>
      </c>
      <c r="P225" s="2">
        <f>_xll.IMDP("STK",표.실시간[[#This Row],[nxt_code]],"시가")</f>
        <v>52700</v>
      </c>
      <c r="Q225" s="2">
        <f>_xll.IMDP("STK",표.실시간[[#This Row],[nxt_code]],"고가")</f>
        <v>52700</v>
      </c>
      <c r="R225" s="2">
        <f>_xll.IMDP("STK",표.실시간[[#This Row],[nxt_code]],"저가")</f>
        <v>49300</v>
      </c>
      <c r="S225">
        <f>_xll.IMDP("STK",표.실시간[[#This Row],[nxt_code]],"세션명")</f>
        <v>0</v>
      </c>
      <c r="T225">
        <f>_xll.IMDP("STK",표.실시간[[#This Row],[nxt_code]],"체결시간")</f>
        <v>0</v>
      </c>
      <c r="U225" s="2">
        <f>_xll.IMDP("STK","023590","현재가")</f>
        <v>50600</v>
      </c>
      <c r="V225">
        <f>_xll.IMDP("STK","023590","누적거래량")</f>
        <v>12997</v>
      </c>
    </row>
    <row r="226" spans="2:22" x14ac:dyDescent="0.3">
      <c r="B226">
        <v>218</v>
      </c>
      <c r="C226">
        <v>1</v>
      </c>
      <c r="D226">
        <f>IF(IFERROR(INDEX(표.kospi200[code],MATCH(표.실시간[[#This Row],[코드]],표.kospi200[code],0)),0)=0,0,1)</f>
        <v>0</v>
      </c>
      <c r="E226" t="s">
        <v>231</v>
      </c>
      <c r="F226">
        <v>32350</v>
      </c>
      <c r="G226" t="str">
        <f>ConvertStockCode(표.실시간[[#This Row],[코드]])</f>
        <v>N032350</v>
      </c>
      <c r="H226" s="2">
        <f>_xll.IMDP("STK",표.실시간[[#This Row],[nxt_code]],"현재가")</f>
        <v>25050</v>
      </c>
      <c r="I226" s="2">
        <f>_xll.IMDP("STK",표.실시간[[#This Row],[nxt_code]],"시가총액")/10^12</f>
        <v>1.9924640741999999</v>
      </c>
      <c r="J226" s="2">
        <f>표.실시간[[#This Row],[시가총액 (조원)]]/표.실시간[[#This Row],[현재가]]*(표.실시간[[#This Row],[현재가]]-표.실시간[[#This Row],[대비]])</f>
        <v>2.0043949967999999</v>
      </c>
      <c r="K226" s="3">
        <f>_xll.IMDP("STK",표.실시간[[#This Row],[nxt_code]],"전일대비")</f>
        <v>-150</v>
      </c>
      <c r="L226">
        <f>_xll.IMDP("STK",표.실시간[[#This Row],[nxt_code]],"등락률")</f>
        <v>-0.4</v>
      </c>
      <c r="M226" s="2">
        <f>_xll.IMDP("STK",표.실시간[[#This Row],[nxt_code]],"누적거래량")</f>
        <v>182032</v>
      </c>
      <c r="N226" s="2">
        <f>_xll.IMDP("STK",표.실시간[[#This Row],[nxt_code]],"누적거래대금")/10^8</f>
        <v>46.093715750000001</v>
      </c>
      <c r="O226" s="2">
        <f>_xll.IMDP("STK",표.실시간[[#This Row],[nxt_code]],"가중평균가")</f>
        <v>25308.835003</v>
      </c>
      <c r="P226" s="2">
        <f>_xll.IMDP("STK",표.실시간[[#This Row],[nxt_code]],"시가")</f>
        <v>25250</v>
      </c>
      <c r="Q226" s="2">
        <f>_xll.IMDP("STK",표.실시간[[#This Row],[nxt_code]],"고가")</f>
        <v>26500</v>
      </c>
      <c r="R226" s="2">
        <f>_xll.IMDP("STK",표.실시간[[#This Row],[nxt_code]],"저가")</f>
        <v>24650</v>
      </c>
      <c r="S226">
        <f>_xll.IMDP("STK",표.실시간[[#This Row],[nxt_code]],"세션명")</f>
        <v>0</v>
      </c>
      <c r="T226">
        <f>_xll.IMDP("STK",표.실시간[[#This Row],[nxt_code]],"체결시간")</f>
        <v>0</v>
      </c>
      <c r="U226" s="2">
        <f>_xll.IMDP("STK","032350","현재가")</f>
        <v>25050</v>
      </c>
      <c r="V226">
        <f>_xll.IMDP("STK","032350","누적거래량")</f>
        <v>70656</v>
      </c>
    </row>
    <row r="227" spans="2:22" x14ac:dyDescent="0.3">
      <c r="B227">
        <v>219</v>
      </c>
      <c r="C227">
        <v>1</v>
      </c>
      <c r="D227">
        <f>IF(IFERROR(INDEX(표.kospi200[code],MATCH(표.실시간[[#This Row],[코드]],표.kospi200[code],0)),0)=0,0,1)</f>
        <v>1</v>
      </c>
      <c r="E227" t="s">
        <v>232</v>
      </c>
      <c r="F227">
        <v>73240</v>
      </c>
      <c r="G227" t="str">
        <f>ConvertStockCode(표.실시간[[#This Row],[코드]])</f>
        <v>N073240</v>
      </c>
      <c r="H227" s="2">
        <f>_xll.IMDP("STK",표.실시간[[#This Row],[nxt_code]],"현재가")</f>
        <v>5980</v>
      </c>
      <c r="I227" s="2">
        <f>_xll.IMDP("STK",표.실시간[[#This Row],[nxt_code]],"시가총액")/10^12</f>
        <v>1.7178165162600001</v>
      </c>
      <c r="J227" s="2">
        <f>표.실시간[[#This Row],[시가총액 (조원)]]/표.실시간[[#This Row],[현재가]]*(표.실시간[[#This Row],[현재가]]-표.실시간[[#This Row],[대비]])</f>
        <v>1.7293069277399999</v>
      </c>
      <c r="K227" s="3">
        <f>_xll.IMDP("STK",표.실시간[[#This Row],[nxt_code]],"전일대비")</f>
        <v>-40</v>
      </c>
      <c r="L227">
        <f>_xll.IMDP("STK",표.실시간[[#This Row],[nxt_code]],"등락률")</f>
        <v>-0.66</v>
      </c>
      <c r="M227" s="2">
        <f>_xll.IMDP("STK",표.실시간[[#This Row],[nxt_code]],"누적거래량")</f>
        <v>39385</v>
      </c>
      <c r="N227" s="2">
        <f>_xll.IMDP("STK",표.실시간[[#This Row],[nxt_code]],"누적거래대금")/10^8</f>
        <v>2.3489762999999999</v>
      </c>
      <c r="O227" s="2">
        <f>_xll.IMDP("STK",표.실시간[[#This Row],[nxt_code]],"가중평균가")</f>
        <v>5964.1393930000004</v>
      </c>
      <c r="P227" s="2">
        <f>_xll.IMDP("STK",표.실시간[[#This Row],[nxt_code]],"시가")</f>
        <v>6020</v>
      </c>
      <c r="Q227" s="2">
        <f>_xll.IMDP("STK",표.실시간[[#This Row],[nxt_code]],"고가")</f>
        <v>6030</v>
      </c>
      <c r="R227" s="2">
        <f>_xll.IMDP("STK",표.실시간[[#This Row],[nxt_code]],"저가")</f>
        <v>5940</v>
      </c>
      <c r="S227">
        <f>_xll.IMDP("STK",표.실시간[[#This Row],[nxt_code]],"세션명")</f>
        <v>0</v>
      </c>
      <c r="T227">
        <f>_xll.IMDP("STK",표.실시간[[#This Row],[nxt_code]],"체결시간")</f>
        <v>0</v>
      </c>
      <c r="U227" s="2">
        <f>_xll.IMDP("STK","073240","현재가")</f>
        <v>5970</v>
      </c>
      <c r="V227">
        <f>_xll.IMDP("STK","073240","누적거래량")</f>
        <v>45593</v>
      </c>
    </row>
    <row r="228" spans="2:22" x14ac:dyDescent="0.3">
      <c r="B228">
        <v>220</v>
      </c>
      <c r="C228">
        <v>1</v>
      </c>
      <c r="D228">
        <f>IF(IFERROR(INDEX(표.kospi200[code],MATCH(표.실시간[[#This Row],[코드]],표.kospi200[code],0)),0)=0,0,1)</f>
        <v>0</v>
      </c>
      <c r="E228" t="s">
        <v>233</v>
      </c>
      <c r="F228">
        <v>20150</v>
      </c>
      <c r="G228" t="str">
        <f>ConvertStockCode(표.실시간[[#This Row],[코드]])</f>
        <v>N020150</v>
      </c>
      <c r="H228" s="2">
        <f>_xll.IMDP("STK",표.실시간[[#This Row],[nxt_code]],"현재가")</f>
        <v>39200</v>
      </c>
      <c r="I228" s="2">
        <f>_xll.IMDP("STK",표.실시간[[#This Row],[nxt_code]],"시가총액")/10^12</f>
        <v>2.0527261496000002</v>
      </c>
      <c r="J228" s="2">
        <f>표.실시간[[#This Row],[시가총액 (조원)]]/표.실시간[[#This Row],[현재가]]*(표.실시간[[#This Row],[현재가]]-표.실시간[[#This Row],[대비]])</f>
        <v>2.03439823755</v>
      </c>
      <c r="K228" s="3">
        <f>_xll.IMDP("STK",표.실시간[[#This Row],[nxt_code]],"전일대비")</f>
        <v>350</v>
      </c>
      <c r="L228">
        <f>_xll.IMDP("STK",표.실시간[[#This Row],[nxt_code]],"등락률")</f>
        <v>0.9</v>
      </c>
      <c r="M228" s="2">
        <f>_xll.IMDP("STK",표.실시간[[#This Row],[nxt_code]],"누적거래량")</f>
        <v>71127</v>
      </c>
      <c r="N228" s="2">
        <f>_xll.IMDP("STK",표.실시간[[#This Row],[nxt_code]],"누적거래대금")/10^8</f>
        <v>26.911615749999999</v>
      </c>
      <c r="O228" s="2">
        <f>_xll.IMDP("STK",표.실시간[[#This Row],[nxt_code]],"가중평균가")</f>
        <v>37830.686913999998</v>
      </c>
      <c r="P228" s="2">
        <f>_xll.IMDP("STK",표.실시간[[#This Row],[nxt_code]],"시가")</f>
        <v>38450</v>
      </c>
      <c r="Q228" s="2">
        <f>_xll.IMDP("STK",표.실시간[[#This Row],[nxt_code]],"고가")</f>
        <v>39350</v>
      </c>
      <c r="R228" s="2">
        <f>_xll.IMDP("STK",표.실시간[[#This Row],[nxt_code]],"저가")</f>
        <v>37350</v>
      </c>
      <c r="S228">
        <f>_xll.IMDP("STK",표.실시간[[#This Row],[nxt_code]],"세션명")</f>
        <v>0</v>
      </c>
      <c r="T228">
        <f>_xll.IMDP("STK",표.실시간[[#This Row],[nxt_code]],"체결시간")</f>
        <v>0</v>
      </c>
      <c r="U228" s="2">
        <f>_xll.IMDP("STK","020150","현재가")</f>
        <v>39200</v>
      </c>
      <c r="V228">
        <f>_xll.IMDP("STK","020150","누적거래량")</f>
        <v>44145</v>
      </c>
    </row>
    <row r="229" spans="2:22" x14ac:dyDescent="0.3">
      <c r="B229">
        <v>221</v>
      </c>
      <c r="C229">
        <v>1</v>
      </c>
      <c r="D229">
        <f>IF(IFERROR(INDEX(표.kospi200[code],MATCH(표.실시간[[#This Row],[코드]],표.kospi200[code],0)),0)=0,0,1)</f>
        <v>1</v>
      </c>
      <c r="E229" t="s">
        <v>234</v>
      </c>
      <c r="F229">
        <v>8770</v>
      </c>
      <c r="G229" t="str">
        <f>ConvertStockCode(표.실시간[[#This Row],[코드]])</f>
        <v>N008770</v>
      </c>
      <c r="H229" s="2">
        <f>_xll.IMDP("STK",표.실시간[[#This Row],[nxt_code]],"현재가")</f>
        <v>46850</v>
      </c>
      <c r="I229" s="2">
        <f>_xll.IMDP("STK",표.실시간[[#This Row],[nxt_code]],"시가총액")/10^12</f>
        <v>1.8387744688500001</v>
      </c>
      <c r="J229" s="2">
        <f>표.실시간[[#This Row],[시가총액 (조원)]]/표.실시간[[#This Row],[현재가]]*(표.실시간[[#This Row],[현재가]]-표.실시간[[#This Row],[대비]])</f>
        <v>1.8132631902</v>
      </c>
      <c r="K229" s="3">
        <f>_xll.IMDP("STK",표.실시간[[#This Row],[nxt_code]],"전일대비")</f>
        <v>650</v>
      </c>
      <c r="L229">
        <f>_xll.IMDP("STK",표.실시간[[#This Row],[nxt_code]],"등락률")</f>
        <v>1.41</v>
      </c>
      <c r="M229" s="2">
        <f>_xll.IMDP("STK",표.실시간[[#This Row],[nxt_code]],"누적거래량")</f>
        <v>119952</v>
      </c>
      <c r="N229" s="2">
        <f>_xll.IMDP("STK",표.실시간[[#This Row],[nxt_code]],"누적거래대금")/10^8</f>
        <v>55.851813749999998</v>
      </c>
      <c r="O229" s="2">
        <f>_xll.IMDP("STK",표.실시간[[#This Row],[nxt_code]],"가중평균가")</f>
        <v>46571.567169000002</v>
      </c>
      <c r="P229" s="2">
        <f>_xll.IMDP("STK",표.실시간[[#This Row],[nxt_code]],"시가")</f>
        <v>46100</v>
      </c>
      <c r="Q229" s="2">
        <f>_xll.IMDP("STK",표.실시간[[#This Row],[nxt_code]],"고가")</f>
        <v>46900</v>
      </c>
      <c r="R229" s="2">
        <f>_xll.IMDP("STK",표.실시간[[#This Row],[nxt_code]],"저가")</f>
        <v>45850</v>
      </c>
      <c r="S229">
        <f>_xll.IMDP("STK",표.실시간[[#This Row],[nxt_code]],"세션명")</f>
        <v>0</v>
      </c>
      <c r="T229">
        <f>_xll.IMDP("STK",표.실시간[[#This Row],[nxt_code]],"체결시간")</f>
        <v>0</v>
      </c>
      <c r="U229" s="2">
        <f>_xll.IMDP("STK","008770","현재가")</f>
        <v>47250</v>
      </c>
      <c r="V229">
        <f>_xll.IMDP("STK","008770","누적거래량")</f>
        <v>77238</v>
      </c>
    </row>
    <row r="230" spans="2:22" x14ac:dyDescent="0.3">
      <c r="B230">
        <v>222</v>
      </c>
      <c r="C230">
        <v>1</v>
      </c>
      <c r="D230">
        <f>IF(IFERROR(INDEX(표.kospi200[code],MATCH(표.실시간[[#This Row],[코드]],표.kospi200[code],0)),0)=0,0,1)</f>
        <v>1</v>
      </c>
      <c r="E230" t="s">
        <v>235</v>
      </c>
      <c r="F230">
        <v>6040</v>
      </c>
      <c r="G230" t="str">
        <f>ConvertStockCode(표.실시간[[#This Row],[코드]])</f>
        <v>N006040</v>
      </c>
      <c r="H230" s="2">
        <f>_xll.IMDP("STK",표.실시간[[#This Row],[nxt_code]],"현재가")</f>
        <v>41050</v>
      </c>
      <c r="I230" s="2">
        <f>_xll.IMDP("STK",표.실시간[[#This Row],[nxt_code]],"시가총액")/10^12</f>
        <v>1.8122748253000001</v>
      </c>
      <c r="J230" s="2">
        <f>표.실시간[[#This Row],[시가총액 (조원)]]/표.실시간[[#This Row],[현재가]]*(표.실시간[[#This Row],[현재가]]-표.실시간[[#This Row],[대비]])</f>
        <v>1.8343488183000001</v>
      </c>
      <c r="K230" s="3">
        <f>_xll.IMDP("STK",표.실시간[[#This Row],[nxt_code]],"전일대비")</f>
        <v>-500</v>
      </c>
      <c r="L230">
        <f>_xll.IMDP("STK",표.실시간[[#This Row],[nxt_code]],"등락률")</f>
        <v>-1.2</v>
      </c>
      <c r="M230" s="2">
        <f>_xll.IMDP("STK",표.실시간[[#This Row],[nxt_code]],"누적거래량")</f>
        <v>3962</v>
      </c>
      <c r="N230" s="2">
        <f>_xll.IMDP("STK",표.실시간[[#This Row],[nxt_code]],"누적거래대금")/10^8</f>
        <v>1.6323835</v>
      </c>
      <c r="O230" s="2">
        <f>_xll.IMDP("STK",표.실시간[[#This Row],[nxt_code]],"가중평균가")</f>
        <v>41200.996971</v>
      </c>
      <c r="P230" s="2">
        <f>_xll.IMDP("STK",표.실시간[[#This Row],[nxt_code]],"시가")</f>
        <v>41550</v>
      </c>
      <c r="Q230" s="2">
        <f>_xll.IMDP("STK",표.실시간[[#This Row],[nxt_code]],"고가")</f>
        <v>41900</v>
      </c>
      <c r="R230" s="2">
        <f>_xll.IMDP("STK",표.실시간[[#This Row],[nxt_code]],"저가")</f>
        <v>40950</v>
      </c>
      <c r="S230">
        <f>_xll.IMDP("STK",표.실시간[[#This Row],[nxt_code]],"세션명")</f>
        <v>0</v>
      </c>
      <c r="T230">
        <f>_xll.IMDP("STK",표.실시간[[#This Row],[nxt_code]],"체결시간")</f>
        <v>0</v>
      </c>
      <c r="U230" s="2">
        <f>_xll.IMDP("STK","006040","현재가")</f>
        <v>41150</v>
      </c>
      <c r="V230">
        <f>_xll.IMDP("STK","006040","누적거래량")</f>
        <v>3122</v>
      </c>
    </row>
    <row r="231" spans="2:22" x14ac:dyDescent="0.3">
      <c r="B231">
        <v>223</v>
      </c>
      <c r="C231">
        <v>0</v>
      </c>
      <c r="D231">
        <f>IF(IFERROR(INDEX(표.kospi200[code],MATCH(표.실시간[[#This Row],[코드]],표.kospi200[code],0)),0)=0,0,1)</f>
        <v>0</v>
      </c>
      <c r="E231" t="s">
        <v>236</v>
      </c>
      <c r="F231">
        <v>178320</v>
      </c>
      <c r="G231" t="str">
        <f>ConvertStockCode(표.실시간[[#This Row],[코드]])</f>
        <v>N178320</v>
      </c>
      <c r="H231" s="2">
        <f>_xll.IMDP("STK",표.실시간[[#This Row],[nxt_code]],"현재가")</f>
        <v>37650</v>
      </c>
      <c r="I231" s="2">
        <f>_xll.IMDP("STK",표.실시간[[#This Row],[nxt_code]],"시가총액")/10^12</f>
        <v>2.10362895435</v>
      </c>
      <c r="J231" s="2">
        <f>표.실시간[[#This Row],[시가총액 (조원)]]/표.실시간[[#This Row],[현재가]]*(표.실시간[[#This Row],[현재가]]-표.실시간[[#This Row],[대비]])</f>
        <v>2.13156559385</v>
      </c>
      <c r="K231" s="3">
        <f>_xll.IMDP("STK",표.실시간[[#This Row],[nxt_code]],"전일대비")</f>
        <v>-500</v>
      </c>
      <c r="L231">
        <f>_xll.IMDP("STK",표.실시간[[#This Row],[nxt_code]],"등락률")</f>
        <v>-1.44</v>
      </c>
      <c r="M231" s="2">
        <f>_xll.IMDP("STK",표.실시간[[#This Row],[nxt_code]],"누적거래량")</f>
        <v>270237</v>
      </c>
      <c r="N231" s="2">
        <f>_xll.IMDP("STK",표.실시간[[#This Row],[nxt_code]],"누적거래대금")/10^8</f>
        <v>99.089094000000003</v>
      </c>
      <c r="O231" s="2">
        <f>_xll.IMDP("STK",표.실시간[[#This Row],[nxt_code]],"가중평균가")</f>
        <v>36667.478546999999</v>
      </c>
      <c r="P231" s="2">
        <f>_xll.IMDP("STK",표.실시간[[#This Row],[nxt_code]],"시가")</f>
        <v>37750</v>
      </c>
      <c r="Q231" s="2">
        <f>_xll.IMDP("STK",표.실시간[[#This Row],[nxt_code]],"고가")</f>
        <v>38000</v>
      </c>
      <c r="R231" s="2">
        <f>_xll.IMDP("STK",표.실시간[[#This Row],[nxt_code]],"저가")</f>
        <v>35600</v>
      </c>
      <c r="S231">
        <f>_xll.IMDP("STK",표.실시간[[#This Row],[nxt_code]],"세션명")</f>
        <v>0</v>
      </c>
      <c r="T231">
        <f>_xll.IMDP("STK",표.실시간[[#This Row],[nxt_code]],"체결시간")</f>
        <v>0</v>
      </c>
      <c r="U231" s="2">
        <f>_xll.IMDP("STK","178320","현재가")</f>
        <v>37900</v>
      </c>
      <c r="V231">
        <f>_xll.IMDP("STK","178320","누적거래량")</f>
        <v>128857</v>
      </c>
    </row>
    <row r="232" spans="2:22" x14ac:dyDescent="0.3">
      <c r="B232">
        <v>224</v>
      </c>
      <c r="C232">
        <v>1</v>
      </c>
      <c r="D232">
        <f>IF(IFERROR(INDEX(표.kospi200[code],MATCH(표.실시간[[#This Row],[코드]],표.kospi200[code],0)),0)=0,0,1)</f>
        <v>1</v>
      </c>
      <c r="E232" t="s">
        <v>237</v>
      </c>
      <c r="F232">
        <v>6280</v>
      </c>
      <c r="G232" t="str">
        <f>ConvertStockCode(표.실시간[[#This Row],[코드]])</f>
        <v>N006280</v>
      </c>
      <c r="H232" s="2">
        <f>_xll.IMDP("STK",표.실시간[[#This Row],[nxt_code]],"현재가")</f>
        <v>162700</v>
      </c>
      <c r="I232" s="2">
        <f>_xll.IMDP("STK",표.실시간[[#This Row],[nxt_code]],"시가총액")/10^12</f>
        <v>1.9013997326000001</v>
      </c>
      <c r="J232" s="2">
        <f>표.실시간[[#This Row],[시가총액 (조원)]]/표.실시간[[#This Row],[현재가]]*(표.실시간[[#This Row],[현재가]]-표.실시간[[#This Row],[대비]])</f>
        <v>1.9271101161999999</v>
      </c>
      <c r="K232" s="3">
        <f>_xll.IMDP("STK",표.실시간[[#This Row],[nxt_code]],"전일대비")</f>
        <v>-2200</v>
      </c>
      <c r="L232">
        <f>_xll.IMDP("STK",표.실시간[[#This Row],[nxt_code]],"등락률")</f>
        <v>-1.33</v>
      </c>
      <c r="M232" s="2">
        <f>_xll.IMDP("STK",표.실시간[[#This Row],[nxt_code]],"누적거래량")</f>
        <v>5568</v>
      </c>
      <c r="N232" s="2">
        <f>_xll.IMDP("STK",표.실시간[[#This Row],[nxt_code]],"누적거래대금")/10^8</f>
        <v>9.0117440000000002</v>
      </c>
      <c r="O232" s="2">
        <f>_xll.IMDP("STK",표.실시간[[#This Row],[nxt_code]],"가중평균가")</f>
        <v>161848.85057499999</v>
      </c>
      <c r="P232" s="2">
        <f>_xll.IMDP("STK",표.실시간[[#This Row],[nxt_code]],"시가")</f>
        <v>163000</v>
      </c>
      <c r="Q232" s="2">
        <f>_xll.IMDP("STK",표.실시간[[#This Row],[nxt_code]],"고가")</f>
        <v>164000</v>
      </c>
      <c r="R232" s="2">
        <f>_xll.IMDP("STK",표.실시간[[#This Row],[nxt_code]],"저가")</f>
        <v>160700</v>
      </c>
      <c r="S232">
        <f>_xll.IMDP("STK",표.실시간[[#This Row],[nxt_code]],"세션명")</f>
        <v>0</v>
      </c>
      <c r="T232">
        <f>_xll.IMDP("STK",표.실시간[[#This Row],[nxt_code]],"체결시간")</f>
        <v>0</v>
      </c>
      <c r="U232" s="2">
        <f>_xll.IMDP("STK","006280","현재가")</f>
        <v>162900</v>
      </c>
      <c r="V232">
        <f>_xll.IMDP("STK","006280","누적거래량")</f>
        <v>2062</v>
      </c>
    </row>
    <row r="233" spans="2:22" x14ac:dyDescent="0.3">
      <c r="B233">
        <v>225</v>
      </c>
      <c r="C233">
        <v>0</v>
      </c>
      <c r="D233">
        <f>IF(IFERROR(INDEX(표.kospi200[code],MATCH(표.실시간[[#This Row],[코드]],표.kospi200[code],0)),0)=0,0,1)</f>
        <v>0</v>
      </c>
      <c r="E233" t="s">
        <v>238</v>
      </c>
      <c r="F233">
        <v>67310</v>
      </c>
      <c r="G233" t="str">
        <f>ConvertStockCode(표.실시간[[#This Row],[코드]])</f>
        <v>N067310</v>
      </c>
      <c r="H233" s="2">
        <f>_xll.IMDP("STK",표.실시간[[#This Row],[nxt_code]],"현재가")</f>
        <v>37900</v>
      </c>
      <c r="I233" s="2">
        <f>_xll.IMDP("STK",표.실시간[[#This Row],[nxt_code]],"시가총액")/10^12</f>
        <v>2.5161109228999998</v>
      </c>
      <c r="J233" s="2">
        <f>표.실시간[[#This Row],[시가총액 (조원)]]/표.실시간[[#This Row],[현재가]]*(표.실시간[[#This Row],[현재가]]-표.실시간[[#This Row],[대비]])</f>
        <v>2.5061527002499999</v>
      </c>
      <c r="K233" s="3">
        <f>_xll.IMDP("STK",표.실시간[[#This Row],[nxt_code]],"전일대비")</f>
        <v>150</v>
      </c>
      <c r="L233">
        <f>_xll.IMDP("STK",표.실시간[[#This Row],[nxt_code]],"등락률")</f>
        <v>0.4</v>
      </c>
      <c r="M233" s="2">
        <f>_xll.IMDP("STK",표.실시간[[#This Row],[nxt_code]],"누적거래량")</f>
        <v>455690</v>
      </c>
      <c r="N233" s="2">
        <f>_xll.IMDP("STK",표.실시간[[#This Row],[nxt_code]],"누적거래대금")/10^8</f>
        <v>165.519418</v>
      </c>
      <c r="O233" s="2">
        <f>_xll.IMDP("STK",표.실시간[[#This Row],[nxt_code]],"가중평균가")</f>
        <v>36275.902915999999</v>
      </c>
      <c r="P233" s="2">
        <f>_xll.IMDP("STK",표.실시간[[#This Row],[nxt_code]],"시가")</f>
        <v>36500</v>
      </c>
      <c r="Q233" s="2">
        <f>_xll.IMDP("STK",표.실시간[[#This Row],[nxt_code]],"고가")</f>
        <v>37950</v>
      </c>
      <c r="R233" s="2">
        <f>_xll.IMDP("STK",표.실시간[[#This Row],[nxt_code]],"저가")</f>
        <v>35250</v>
      </c>
      <c r="S233">
        <f>_xll.IMDP("STK",표.실시간[[#This Row],[nxt_code]],"세션명")</f>
        <v>0</v>
      </c>
      <c r="T233">
        <f>_xll.IMDP("STK",표.실시간[[#This Row],[nxt_code]],"체결시간")</f>
        <v>0</v>
      </c>
      <c r="U233" s="2">
        <f>_xll.IMDP("STK","067310","현재가")</f>
        <v>37950</v>
      </c>
      <c r="V233">
        <f>_xll.IMDP("STK","067310","누적거래량")</f>
        <v>249928</v>
      </c>
    </row>
    <row r="234" spans="2:22" x14ac:dyDescent="0.3">
      <c r="B234">
        <v>226</v>
      </c>
      <c r="C234">
        <v>1</v>
      </c>
      <c r="D234">
        <f>IF(IFERROR(INDEX(표.kospi200[code],MATCH(표.실시간[[#This Row],[코드]],표.kospi200[code],0)),0)=0,0,1)</f>
        <v>1</v>
      </c>
      <c r="E234" t="s">
        <v>239</v>
      </c>
      <c r="F234">
        <v>298020</v>
      </c>
      <c r="G234" t="str">
        <f>ConvertStockCode(표.실시간[[#This Row],[코드]])</f>
        <v>N298020</v>
      </c>
      <c r="H234" s="2">
        <f>_xll.IMDP("STK",표.실시간[[#This Row],[nxt_code]],"현재가")</f>
        <v>367000</v>
      </c>
      <c r="I234" s="2">
        <f>_xll.IMDP("STK",표.실시간[[#This Row],[nxt_code]],"시가총액")/10^12</f>
        <v>1.588259294</v>
      </c>
      <c r="J234" s="2">
        <f>표.실시간[[#This Row],[시가총액 (조원)]]/표.실시간[[#This Row],[현재가]]*(표.실시간[[#This Row],[현재가]]-표.실시간[[#This Row],[대비]])</f>
        <v>1.633699955</v>
      </c>
      <c r="K234" s="3">
        <f>_xll.IMDP("STK",표.실시간[[#This Row],[nxt_code]],"전일대비")</f>
        <v>-10500</v>
      </c>
      <c r="L234">
        <f>_xll.IMDP("STK",표.실시간[[#This Row],[nxt_code]],"등락률")</f>
        <v>-2.78</v>
      </c>
      <c r="M234" s="2">
        <f>_xll.IMDP("STK",표.실시간[[#This Row],[nxt_code]],"누적거래량")</f>
        <v>4283</v>
      </c>
      <c r="N234" s="2">
        <f>_xll.IMDP("STK",표.실시간[[#This Row],[nxt_code]],"누적거래대금")/10^8</f>
        <v>15.619705</v>
      </c>
      <c r="O234" s="2">
        <f>_xll.IMDP("STK",표.실시간[[#This Row],[nxt_code]],"가중평균가")</f>
        <v>364690.21485300001</v>
      </c>
      <c r="P234" s="2">
        <f>_xll.IMDP("STK",표.실시간[[#This Row],[nxt_code]],"시가")</f>
        <v>371500</v>
      </c>
      <c r="Q234" s="2">
        <f>_xll.IMDP("STK",표.실시간[[#This Row],[nxt_code]],"고가")</f>
        <v>390000</v>
      </c>
      <c r="R234" s="2">
        <f>_xll.IMDP("STK",표.실시간[[#This Row],[nxt_code]],"저가")</f>
        <v>358000</v>
      </c>
      <c r="S234">
        <f>_xll.IMDP("STK",표.실시간[[#This Row],[nxt_code]],"세션명")</f>
        <v>0</v>
      </c>
      <c r="T234">
        <f>_xll.IMDP("STK",표.실시간[[#This Row],[nxt_code]],"체결시간")</f>
        <v>0</v>
      </c>
      <c r="U234" s="2">
        <f>_xll.IMDP("STK","298020","현재가")</f>
        <v>369500</v>
      </c>
      <c r="V234">
        <f>_xll.IMDP("STK","298020","누적거래량")</f>
        <v>5448</v>
      </c>
    </row>
    <row r="235" spans="2:22" x14ac:dyDescent="0.3">
      <c r="B235">
        <v>227</v>
      </c>
      <c r="C235">
        <v>1</v>
      </c>
      <c r="D235">
        <f>IF(IFERROR(INDEX(표.kospi200[code],MATCH(표.실시간[[#This Row],[코드]],표.kospi200[code],0)),0)=0,0,1)</f>
        <v>1</v>
      </c>
      <c r="E235" t="s">
        <v>240</v>
      </c>
      <c r="F235">
        <v>7070</v>
      </c>
      <c r="G235" t="str">
        <f>ConvertStockCode(표.실시간[[#This Row],[코드]])</f>
        <v>N007070</v>
      </c>
      <c r="H235" s="2">
        <f>_xll.IMDP("STK",표.실시간[[#This Row],[nxt_code]],"현재가")</f>
        <v>22300</v>
      </c>
      <c r="I235" s="2">
        <f>_xll.IMDP("STK",표.실시간[[#This Row],[nxt_code]],"시가총액")/10^12</f>
        <v>1.8644453544999999</v>
      </c>
      <c r="J235" s="2">
        <f>표.실시간[[#This Row],[시가총액 (조원)]]/표.실시간[[#This Row],[현재가]]*(표.실시간[[#This Row],[현재가]]-표.실시간[[#This Row],[대비]])</f>
        <v>1.8686257252499998</v>
      </c>
      <c r="K235" s="3">
        <f>_xll.IMDP("STK",표.실시간[[#This Row],[nxt_code]],"전일대비")</f>
        <v>-50</v>
      </c>
      <c r="L235">
        <f>_xll.IMDP("STK",표.실시간[[#This Row],[nxt_code]],"등락률")</f>
        <v>0.68</v>
      </c>
      <c r="M235" s="2">
        <f>_xll.IMDP("STK",표.실시간[[#This Row],[nxt_code]],"누적거래량")</f>
        <v>10454</v>
      </c>
      <c r="N235" s="2">
        <f>_xll.IMDP("STK",표.실시간[[#This Row],[nxt_code]],"누적거래대금")/10^8</f>
        <v>2.2944645000000001</v>
      </c>
      <c r="O235" s="2">
        <f>_xll.IMDP("STK",표.실시간[[#This Row],[nxt_code]],"가중평균가")</f>
        <v>21952.878715999999</v>
      </c>
      <c r="P235" s="2">
        <f>_xll.IMDP("STK",표.실시간[[#This Row],[nxt_code]],"시가")</f>
        <v>22400</v>
      </c>
      <c r="Q235" s="2">
        <f>_xll.IMDP("STK",표.실시간[[#This Row],[nxt_code]],"고가")</f>
        <v>22450</v>
      </c>
      <c r="R235" s="2">
        <f>_xll.IMDP("STK",표.실시간[[#This Row],[nxt_code]],"저가")</f>
        <v>21850</v>
      </c>
      <c r="S235">
        <f>_xll.IMDP("STK",표.실시간[[#This Row],[nxt_code]],"세션명")</f>
        <v>0</v>
      </c>
      <c r="T235">
        <f>_xll.IMDP("STK",표.실시간[[#This Row],[nxt_code]],"체결시간")</f>
        <v>0</v>
      </c>
      <c r="U235" s="2">
        <f>_xll.IMDP("STK","007070","현재가")</f>
        <v>22300</v>
      </c>
      <c r="V235">
        <f>_xll.IMDP("STK","007070","누적거래량")</f>
        <v>9965</v>
      </c>
    </row>
    <row r="236" spans="2:22" x14ac:dyDescent="0.3">
      <c r="B236">
        <v>228</v>
      </c>
      <c r="C236">
        <v>1</v>
      </c>
      <c r="D236">
        <f>IF(IFERROR(INDEX(표.kospi200[code],MATCH(표.실시간[[#This Row],[코드]],표.kospi200[code],0)),0)=0,0,1)</f>
        <v>0</v>
      </c>
      <c r="E236" t="s">
        <v>241</v>
      </c>
      <c r="F236">
        <v>483650</v>
      </c>
      <c r="G236" t="str">
        <f>ConvertStockCode(표.실시간[[#This Row],[코드]])</f>
        <v>N483650</v>
      </c>
      <c r="H236" s="2">
        <f>_xll.IMDP("STK",표.실시간[[#This Row],[nxt_code]],"현재가")</f>
        <v>160300</v>
      </c>
      <c r="I236" s="2">
        <f>_xll.IMDP("STK",표.실시간[[#This Row],[nxt_code]],"시가총액")/10^12</f>
        <v>1.9865441994999999</v>
      </c>
      <c r="J236" s="2">
        <f>표.실시간[[#This Row],[시가총액 (조원)]]/표.실시간[[#This Row],[현재가]]*(표.실시간[[#This Row],[현재가]]-표.실시간[[#This Row],[대비]])</f>
        <v>1.992740532</v>
      </c>
      <c r="K236" s="3">
        <f>_xll.IMDP("STK",표.실시간[[#This Row],[nxt_code]],"전일대비")</f>
        <v>-500</v>
      </c>
      <c r="L236">
        <f>_xll.IMDP("STK",표.실시간[[#This Row],[nxt_code]],"등락률")</f>
        <v>-0.43</v>
      </c>
      <c r="M236" s="2">
        <f>_xll.IMDP("STK",표.실시간[[#This Row],[nxt_code]],"누적거래량")</f>
        <v>36372</v>
      </c>
      <c r="N236" s="2">
        <f>_xll.IMDP("STK",표.실시간[[#This Row],[nxt_code]],"누적거래대금")/10^8</f>
        <v>57.671939999999999</v>
      </c>
      <c r="O236" s="2">
        <f>_xll.IMDP("STK",표.실시간[[#This Row],[nxt_code]],"가중평균가")</f>
        <v>158543.93006399999</v>
      </c>
      <c r="P236" s="2">
        <f>_xll.IMDP("STK",표.실시간[[#This Row],[nxt_code]],"시가")</f>
        <v>160000</v>
      </c>
      <c r="Q236" s="2">
        <f>_xll.IMDP("STK",표.실시간[[#This Row],[nxt_code]],"고가")</f>
        <v>162600</v>
      </c>
      <c r="R236" s="2">
        <f>_xll.IMDP("STK",표.실시간[[#This Row],[nxt_code]],"저가")</f>
        <v>155700</v>
      </c>
      <c r="S236">
        <f>_xll.IMDP("STK",표.실시간[[#This Row],[nxt_code]],"세션명")</f>
        <v>0</v>
      </c>
      <c r="T236">
        <f>_xll.IMDP("STK",표.실시간[[#This Row],[nxt_code]],"체결시간")</f>
        <v>0</v>
      </c>
      <c r="U236" s="2">
        <f>_xll.IMDP("STK","483650","현재가")</f>
        <v>160200</v>
      </c>
      <c r="V236">
        <f>_xll.IMDP("STK","483650","누적거래량")</f>
        <v>21059</v>
      </c>
    </row>
    <row r="237" spans="2:22" x14ac:dyDescent="0.3">
      <c r="B237">
        <v>229</v>
      </c>
      <c r="C237">
        <v>1</v>
      </c>
      <c r="D237">
        <f>IF(IFERROR(INDEX(표.kospi200[code],MATCH(표.실시간[[#This Row],[코드]],표.kospi200[code],0)),0)=0,0,1)</f>
        <v>0</v>
      </c>
      <c r="E237" t="s">
        <v>242</v>
      </c>
      <c r="F237">
        <v>3570</v>
      </c>
      <c r="G237" t="str">
        <f>ConvertStockCode(표.실시간[[#This Row],[코드]])</f>
        <v>N003570</v>
      </c>
      <c r="H237" s="2">
        <f>_xll.IMDP("STK",표.실시간[[#This Row],[nxt_code]],"현재가")</f>
        <v>51300</v>
      </c>
      <c r="I237" s="2">
        <f>_xll.IMDP("STK",표.실시간[[#This Row],[nxt_code]],"시가총액")/10^12</f>
        <v>1.7058633561000001</v>
      </c>
      <c r="J237" s="2">
        <f>표.실시간[[#This Row],[시가총액 (조원)]]/표.실시간[[#This Row],[현재가]]*(표.실시간[[#This Row],[현재가]]-표.실시간[[#This Row],[대비]])</f>
        <v>1.6476711363500001</v>
      </c>
      <c r="K237" s="3">
        <f>_xll.IMDP("STK",표.실시간[[#This Row],[nxt_code]],"전일대비")</f>
        <v>1750</v>
      </c>
      <c r="L237">
        <f>_xll.IMDP("STK",표.실시간[[#This Row],[nxt_code]],"등락률")</f>
        <v>3.53</v>
      </c>
      <c r="M237" s="2">
        <f>_xll.IMDP("STK",표.실시간[[#This Row],[nxt_code]],"누적거래량")</f>
        <v>25885</v>
      </c>
      <c r="N237" s="2">
        <f>_xll.IMDP("STK",표.실시간[[#This Row],[nxt_code]],"누적거래대금")/10^8</f>
        <v>13.0351175</v>
      </c>
      <c r="O237" s="2">
        <f>_xll.IMDP("STK",표.실시간[[#This Row],[nxt_code]],"가중평균가")</f>
        <v>50357.803746999998</v>
      </c>
      <c r="P237" s="2">
        <f>_xll.IMDP("STK",표.실시간[[#This Row],[nxt_code]],"시가")</f>
        <v>51800</v>
      </c>
      <c r="Q237" s="2">
        <f>_xll.IMDP("STK",표.실시간[[#This Row],[nxt_code]],"고가")</f>
        <v>51800</v>
      </c>
      <c r="R237" s="2">
        <f>_xll.IMDP("STK",표.실시간[[#This Row],[nxt_code]],"저가")</f>
        <v>49550</v>
      </c>
      <c r="S237">
        <f>_xll.IMDP("STK",표.실시간[[#This Row],[nxt_code]],"세션명")</f>
        <v>0</v>
      </c>
      <c r="T237">
        <f>_xll.IMDP("STK",표.실시간[[#This Row],[nxt_code]],"체결시간")</f>
        <v>0</v>
      </c>
      <c r="U237" s="2">
        <f>_xll.IMDP("STK","003570","현재가")</f>
        <v>50800</v>
      </c>
      <c r="V237">
        <f>_xll.IMDP("STK","003570","누적거래량")</f>
        <v>11110</v>
      </c>
    </row>
    <row r="238" spans="2:22" x14ac:dyDescent="0.3">
      <c r="B238">
        <v>230</v>
      </c>
      <c r="C238">
        <v>1</v>
      </c>
      <c r="D238">
        <f>IF(IFERROR(INDEX(표.kospi200[code],MATCH(표.실시간[[#This Row],[코드]],표.kospi200[code],0)),0)=0,0,1)</f>
        <v>1</v>
      </c>
      <c r="E238" t="s">
        <v>243</v>
      </c>
      <c r="F238">
        <v>375500</v>
      </c>
      <c r="G238" t="str">
        <f>ConvertStockCode(표.실시간[[#This Row],[코드]])</f>
        <v>N375500</v>
      </c>
      <c r="H238" s="2">
        <f>_xll.IMDP("STK",표.실시간[[#This Row],[nxt_code]],"현재가")</f>
        <v>44050</v>
      </c>
      <c r="I238" s="2">
        <f>_xll.IMDP("STK",표.실시간[[#This Row],[nxt_code]],"시가총액")/10^12</f>
        <v>1.7063887742999999</v>
      </c>
      <c r="J238" s="2">
        <f>표.실시간[[#This Row],[시가총액 (조원)]]/표.실시간[[#This Row],[현재가]]*(표.실시간[[#This Row],[현재가]]-표.실시간[[#This Row],[대비]])</f>
        <v>1.7199469143909192</v>
      </c>
      <c r="K238" s="3">
        <f>_xll.IMDP("STK",표.실시간[[#This Row],[nxt_code]],"전일대비")</f>
        <v>-350</v>
      </c>
      <c r="L238">
        <f>_xll.IMDP("STK",표.실시간[[#This Row],[nxt_code]],"등락률")</f>
        <v>-0.79</v>
      </c>
      <c r="M238" s="2">
        <f>_xll.IMDP("STK",표.실시간[[#This Row],[nxt_code]],"누적거래량")</f>
        <v>45791</v>
      </c>
      <c r="N238" s="2">
        <f>_xll.IMDP("STK",표.실시간[[#This Row],[nxt_code]],"누적거래대금")/10^8</f>
        <v>19.912768499999999</v>
      </c>
      <c r="O238" s="2">
        <f>_xll.IMDP("STK",표.실시간[[#This Row],[nxt_code]],"가중평균가")</f>
        <v>43486.205804999998</v>
      </c>
      <c r="P238" s="2">
        <f>_xll.IMDP("STK",표.실시간[[#This Row],[nxt_code]],"시가")</f>
        <v>44300</v>
      </c>
      <c r="Q238" s="2">
        <f>_xll.IMDP("STK",표.실시간[[#This Row],[nxt_code]],"고가")</f>
        <v>44300</v>
      </c>
      <c r="R238" s="2">
        <f>_xll.IMDP("STK",표.실시간[[#This Row],[nxt_code]],"저가")</f>
        <v>43250</v>
      </c>
      <c r="S238">
        <f>_xll.IMDP("STK",표.실시간[[#This Row],[nxt_code]],"세션명")</f>
        <v>0</v>
      </c>
      <c r="T238">
        <f>_xll.IMDP("STK",표.실시간[[#This Row],[nxt_code]],"체결시간")</f>
        <v>0</v>
      </c>
      <c r="U238" s="2">
        <f>_xll.IMDP("STK","375500","현재가")</f>
        <v>44100</v>
      </c>
      <c r="V238">
        <f>_xll.IMDP("STK","375500","누적거래량")</f>
        <v>41916</v>
      </c>
    </row>
    <row r="239" spans="2:22" x14ac:dyDescent="0.3">
      <c r="B239">
        <v>231</v>
      </c>
      <c r="C239">
        <v>0</v>
      </c>
      <c r="D239">
        <f>IF(IFERROR(INDEX(표.kospi200[code],MATCH(표.실시간[[#This Row],[코드]],표.kospi200[code],0)),0)=0,0,1)</f>
        <v>0</v>
      </c>
      <c r="E239" t="s">
        <v>244</v>
      </c>
      <c r="F239">
        <v>39200</v>
      </c>
      <c r="G239" t="str">
        <f>ConvertStockCode(표.실시간[[#This Row],[코드]])</f>
        <v>N039200</v>
      </c>
      <c r="H239" s="2">
        <f>_xll.IMDP("STK",표.실시간[[#This Row],[nxt_code]],"현재가")</f>
        <v>54300</v>
      </c>
      <c r="I239" s="2">
        <f>_xll.IMDP("STK",표.실시간[[#This Row],[nxt_code]],"시가총액")/10^12</f>
        <v>2.0774189567999999</v>
      </c>
      <c r="J239" s="2">
        <f>표.실시간[[#This Row],[시가총액 (조원)]]/표.실시간[[#This Row],[현재가]]*(표.실시간[[#This Row],[현재가]]-표.실시간[[#This Row],[대비]])</f>
        <v>2.1271545856</v>
      </c>
      <c r="K239" s="3">
        <f>_xll.IMDP("STK",표.실시간[[#This Row],[nxt_code]],"전일대비")</f>
        <v>-1300</v>
      </c>
      <c r="L239">
        <f>_xll.IMDP("STK",표.실시간[[#This Row],[nxt_code]],"등락률")</f>
        <v>-2.34</v>
      </c>
      <c r="M239" s="2">
        <f>_xll.IMDP("STK",표.실시간[[#This Row],[nxt_code]],"누적거래량")</f>
        <v>83304</v>
      </c>
      <c r="N239" s="2">
        <f>_xll.IMDP("STK",표.실시간[[#This Row],[nxt_code]],"누적거래대금")/10^8</f>
        <v>44.3377835</v>
      </c>
      <c r="O239" s="2">
        <f>_xll.IMDP("STK",표.실시간[[#This Row],[nxt_code]],"가중평균가")</f>
        <v>53224.075074</v>
      </c>
      <c r="P239" s="2">
        <f>_xll.IMDP("STK",표.실시간[[#This Row],[nxt_code]],"시가")</f>
        <v>55600</v>
      </c>
      <c r="Q239" s="2">
        <f>_xll.IMDP("STK",표.실시간[[#This Row],[nxt_code]],"고가")</f>
        <v>55600</v>
      </c>
      <c r="R239" s="2">
        <f>_xll.IMDP("STK",표.실시간[[#This Row],[nxt_code]],"저가")</f>
        <v>52500</v>
      </c>
      <c r="S239">
        <f>_xll.IMDP("STK",표.실시간[[#This Row],[nxt_code]],"세션명")</f>
        <v>0</v>
      </c>
      <c r="T239">
        <f>_xll.IMDP("STK",표.실시간[[#This Row],[nxt_code]],"체결시간")</f>
        <v>0</v>
      </c>
      <c r="U239" s="2">
        <f>_xll.IMDP("STK","039200","현재가")</f>
        <v>54700</v>
      </c>
      <c r="V239">
        <f>_xll.IMDP("STK","039200","누적거래량")</f>
        <v>43033</v>
      </c>
    </row>
    <row r="240" spans="2:22" x14ac:dyDescent="0.3">
      <c r="B240">
        <v>232</v>
      </c>
      <c r="C240">
        <v>1</v>
      </c>
      <c r="D240">
        <f>IF(IFERROR(INDEX(표.kospi200[code],MATCH(표.실시간[[#This Row],[코드]],표.kospi200[code],0)),0)=0,0,1)</f>
        <v>1</v>
      </c>
      <c r="E240" t="s">
        <v>245</v>
      </c>
      <c r="F240">
        <v>112610</v>
      </c>
      <c r="G240" t="str">
        <f>ConvertStockCode(표.실시간[[#This Row],[코드]])</f>
        <v>N112610</v>
      </c>
      <c r="H240" s="2">
        <f>_xll.IMDP("STK",표.실시간[[#This Row],[nxt_code]],"현재가")</f>
        <v>40050</v>
      </c>
      <c r="I240" s="2">
        <f>_xll.IMDP("STK",표.실시간[[#This Row],[nxt_code]],"시가총액")/10^12</f>
        <v>1.6889646901499999</v>
      </c>
      <c r="J240" s="2">
        <f>표.실시간[[#This Row],[시가총액 (조원)]]/표.실시간[[#This Row],[현재가]]*(표.실시간[[#This Row],[현재가]]-표.실시간[[#This Row],[대비]])</f>
        <v>1.7142675319499998</v>
      </c>
      <c r="K240" s="3">
        <f>_xll.IMDP("STK",표.실시간[[#This Row],[nxt_code]],"전일대비")</f>
        <v>-600</v>
      </c>
      <c r="L240">
        <f>_xll.IMDP("STK",표.실시간[[#This Row],[nxt_code]],"등락률")</f>
        <v>-1.48</v>
      </c>
      <c r="M240" s="2">
        <f>_xll.IMDP("STK",표.실시간[[#This Row],[nxt_code]],"누적거래량")</f>
        <v>43927</v>
      </c>
      <c r="N240" s="2">
        <f>_xll.IMDP("STK",표.실시간[[#This Row],[nxt_code]],"누적거래대금")/10^8</f>
        <v>17.750552249999998</v>
      </c>
      <c r="O240" s="2">
        <f>_xll.IMDP("STK",표.실시간[[#This Row],[nxt_code]],"가중평균가")</f>
        <v>40409.206751999998</v>
      </c>
      <c r="P240" s="2">
        <f>_xll.IMDP("STK",표.실시간[[#This Row],[nxt_code]],"시가")</f>
        <v>40700</v>
      </c>
      <c r="Q240" s="2">
        <f>_xll.IMDP("STK",표.실시간[[#This Row],[nxt_code]],"고가")</f>
        <v>41150</v>
      </c>
      <c r="R240" s="2">
        <f>_xll.IMDP("STK",표.실시간[[#This Row],[nxt_code]],"저가")</f>
        <v>39900</v>
      </c>
      <c r="S240">
        <f>_xll.IMDP("STK",표.실시간[[#This Row],[nxt_code]],"세션명")</f>
        <v>0</v>
      </c>
      <c r="T240">
        <f>_xll.IMDP("STK",표.실시간[[#This Row],[nxt_code]],"체결시간")</f>
        <v>0</v>
      </c>
      <c r="U240" s="2">
        <f>_xll.IMDP("STK","112610","현재가")</f>
        <v>40000</v>
      </c>
      <c r="V240">
        <f>_xll.IMDP("STK","112610","누적거래량")</f>
        <v>22933</v>
      </c>
    </row>
    <row r="241" spans="2:22" x14ac:dyDescent="0.3">
      <c r="B241">
        <v>233</v>
      </c>
      <c r="C241">
        <v>0</v>
      </c>
      <c r="D241">
        <f>IF(IFERROR(INDEX(표.kospi200[code],MATCH(표.실시간[[#This Row],[코드]],표.kospi200[code],0)),0)=0,0,1)</f>
        <v>0</v>
      </c>
      <c r="E241" t="s">
        <v>246</v>
      </c>
      <c r="F241">
        <v>140860</v>
      </c>
      <c r="G241" t="str">
        <f>ConvertStockCode(표.실시간[[#This Row],[코드]])</f>
        <v>N140860</v>
      </c>
      <c r="H241" s="2">
        <f>_xll.IMDP("STK",표.실시간[[#This Row],[nxt_code]],"현재가")</f>
        <v>290500</v>
      </c>
      <c r="I241" s="2">
        <f>_xll.IMDP("STK",표.실시간[[#This Row],[nxt_code]],"시가총액")/10^12</f>
        <v>2.0324765684999999</v>
      </c>
      <c r="J241" s="2">
        <f>표.실시간[[#This Row],[시가총액 (조원)]]/표.실시간[[#This Row],[현재가]]*(표.실시간[[#This Row],[현재가]]-표.실시간[[#This Row],[대비]])</f>
        <v>2.1234307694999996</v>
      </c>
      <c r="K241" s="3">
        <f>_xll.IMDP("STK",표.실시간[[#This Row],[nxt_code]],"전일대비")</f>
        <v>-13000</v>
      </c>
      <c r="L241">
        <f>_xll.IMDP("STK",표.실시간[[#This Row],[nxt_code]],"등락률")</f>
        <v>-4.28</v>
      </c>
      <c r="M241" s="2">
        <f>_xll.IMDP("STK",표.실시간[[#This Row],[nxt_code]],"누적거래량")</f>
        <v>5326</v>
      </c>
      <c r="N241" s="2">
        <f>_xll.IMDP("STK",표.실시간[[#This Row],[nxt_code]],"누적거래대금")/10^8</f>
        <v>15.345515000000001</v>
      </c>
      <c r="O241" s="2">
        <f>_xll.IMDP("STK",표.실시간[[#This Row],[nxt_code]],"가중평균가")</f>
        <v>288124.577544</v>
      </c>
      <c r="P241" s="2">
        <f>_xll.IMDP("STK",표.실시간[[#This Row],[nxt_code]],"시가")</f>
        <v>295500</v>
      </c>
      <c r="Q241" s="2">
        <f>_xll.IMDP("STK",표.실시간[[#This Row],[nxt_code]],"고가")</f>
        <v>299000</v>
      </c>
      <c r="R241" s="2">
        <f>_xll.IMDP("STK",표.실시간[[#This Row],[nxt_code]],"저가")</f>
        <v>281500</v>
      </c>
      <c r="S241">
        <f>_xll.IMDP("STK",표.실시간[[#This Row],[nxt_code]],"세션명")</f>
        <v>0</v>
      </c>
      <c r="T241">
        <f>_xll.IMDP("STK",표.실시간[[#This Row],[nxt_code]],"체결시간")</f>
        <v>0</v>
      </c>
      <c r="U241" s="2">
        <f>_xll.IMDP("STK","140860","현재가")</f>
        <v>291500</v>
      </c>
      <c r="V241">
        <f>_xll.IMDP("STK","140860","누적거래량")</f>
        <v>7087</v>
      </c>
    </row>
    <row r="242" spans="2:22" x14ac:dyDescent="0.3">
      <c r="B242">
        <v>234</v>
      </c>
      <c r="C242">
        <v>0</v>
      </c>
      <c r="D242">
        <f>IF(IFERROR(INDEX(표.kospi200[code],MATCH(표.실시간[[#This Row],[코드]],표.kospi200[code],0)),0)=0,0,1)</f>
        <v>0</v>
      </c>
      <c r="E242" t="s">
        <v>247</v>
      </c>
      <c r="F242">
        <v>65350</v>
      </c>
      <c r="G242" t="str">
        <f>ConvertStockCode(표.실시간[[#This Row],[코드]])</f>
        <v>N065350</v>
      </c>
      <c r="H242" s="2">
        <f>_xll.IMDP("STK",표.실시간[[#This Row],[nxt_code]],"현재가")</f>
        <v>80700</v>
      </c>
      <c r="I242" s="2">
        <f>_xll.IMDP("STK",표.실시간[[#This Row],[nxt_code]],"시가총액")/10^12</f>
        <v>2.2179546036</v>
      </c>
      <c r="J242" s="2">
        <f>표.실시간[[#This Row],[시가총액 (조원)]]/표.실시간[[#This Row],[현재가]]*(표.실시간[[#This Row],[현재가]]-표.실시간[[#This Row],[대비]])</f>
        <v>2.2289481828</v>
      </c>
      <c r="K242" s="3">
        <f>_xll.IMDP("STK",표.실시간[[#This Row],[nxt_code]],"전일대비")</f>
        <v>-400</v>
      </c>
      <c r="L242">
        <f>_xll.IMDP("STK",표.실시간[[#This Row],[nxt_code]],"등락률")</f>
        <v>1.25</v>
      </c>
      <c r="M242" s="2">
        <f>_xll.IMDP("STK",표.실시간[[#This Row],[nxt_code]],"누적거래량")</f>
        <v>111130</v>
      </c>
      <c r="N242" s="2">
        <f>_xll.IMDP("STK",표.실시간[[#This Row],[nxt_code]],"누적거래대금")/10^8</f>
        <v>88.285109500000004</v>
      </c>
      <c r="O242" s="2">
        <f>_xll.IMDP("STK",표.실시간[[#This Row],[nxt_code]],"가중평균가")</f>
        <v>79443.093223999997</v>
      </c>
      <c r="P242" s="2">
        <f>_xll.IMDP("STK",표.실시간[[#This Row],[nxt_code]],"시가")</f>
        <v>79000</v>
      </c>
      <c r="Q242" s="2">
        <f>_xll.IMDP("STK",표.실시간[[#This Row],[nxt_code]],"고가")</f>
        <v>81800</v>
      </c>
      <c r="R242" s="2">
        <f>_xll.IMDP("STK",표.실시간[[#This Row],[nxt_code]],"저가")</f>
        <v>76200</v>
      </c>
      <c r="S242">
        <f>_xll.IMDP("STK",표.실시간[[#This Row],[nxt_code]],"세션명")</f>
        <v>0</v>
      </c>
      <c r="T242">
        <f>_xll.IMDP("STK",표.실시간[[#This Row],[nxt_code]],"체결시간")</f>
        <v>0</v>
      </c>
      <c r="U242" s="2">
        <f>_xll.IMDP("STK","065350","현재가")</f>
        <v>80800</v>
      </c>
      <c r="V242">
        <f>_xll.IMDP("STK","065350","누적거래량")</f>
        <v>59048</v>
      </c>
    </row>
    <row r="243" spans="2:22" x14ac:dyDescent="0.3">
      <c r="B243">
        <v>235</v>
      </c>
      <c r="C243">
        <v>1</v>
      </c>
      <c r="D243">
        <f>IF(IFERROR(INDEX(표.kospi200[code],MATCH(표.실시간[[#This Row],[코드]],표.kospi200[code],0)),0)=0,0,1)</f>
        <v>1</v>
      </c>
      <c r="E243" t="s">
        <v>248</v>
      </c>
      <c r="F243">
        <v>6360</v>
      </c>
      <c r="G243" t="str">
        <f>ConvertStockCode(표.실시간[[#This Row],[코드]])</f>
        <v>N006360</v>
      </c>
      <c r="H243" s="2">
        <f>_xll.IMDP("STK",표.실시간[[#This Row],[nxt_code]],"현재가")</f>
        <v>18600</v>
      </c>
      <c r="I243" s="2">
        <f>_xll.IMDP("STK",표.실시간[[#This Row],[nxt_code]],"시가총액")/10^12</f>
        <v>1.5943831586999999</v>
      </c>
      <c r="J243" s="2">
        <f>표.실시간[[#This Row],[시가총액 (조원)]]/표.실시간[[#This Row],[현재가]]*(표.실시간[[#This Row],[현재가]]-표.실시간[[#This Row],[대비]])</f>
        <v>1.6089554778924193</v>
      </c>
      <c r="K243" s="3">
        <f>_xll.IMDP("STK",표.실시간[[#This Row],[nxt_code]],"전일대비")</f>
        <v>-170</v>
      </c>
      <c r="L243">
        <f>_xll.IMDP("STK",표.실시간[[#This Row],[nxt_code]],"등락률")</f>
        <v>-0.75</v>
      </c>
      <c r="M243" s="2">
        <f>_xll.IMDP("STK",표.실시간[[#This Row],[nxt_code]],"누적거래량")</f>
        <v>64727</v>
      </c>
      <c r="N243" s="2">
        <f>_xll.IMDP("STK",표.실시간[[#This Row],[nxt_code]],"누적거래대금")/10^8</f>
        <v>13.28725</v>
      </c>
      <c r="O243" s="2">
        <f>_xll.IMDP("STK",표.실시간[[#This Row],[nxt_code]],"가중평균가")</f>
        <v>18617.155427000002</v>
      </c>
      <c r="P243" s="2">
        <f>_xll.IMDP("STK",표.실시간[[#This Row],[nxt_code]],"시가")</f>
        <v>18770</v>
      </c>
      <c r="Q243" s="2">
        <f>_xll.IMDP("STK",표.실시간[[#This Row],[nxt_code]],"고가")</f>
        <v>18800</v>
      </c>
      <c r="R243" s="2">
        <f>_xll.IMDP("STK",표.실시간[[#This Row],[nxt_code]],"저가")</f>
        <v>18530</v>
      </c>
      <c r="S243">
        <f>_xll.IMDP("STK",표.실시간[[#This Row],[nxt_code]],"세션명")</f>
        <v>0</v>
      </c>
      <c r="T243">
        <f>_xll.IMDP("STK",표.실시간[[#This Row],[nxt_code]],"체결시간")</f>
        <v>0</v>
      </c>
      <c r="U243" s="2">
        <f>_xll.IMDP("STK","006360","현재가")</f>
        <v>18620</v>
      </c>
      <c r="V243">
        <f>_xll.IMDP("STK","006360","누적거래량")</f>
        <v>35599</v>
      </c>
    </row>
    <row r="244" spans="2:22" x14ac:dyDescent="0.3">
      <c r="B244">
        <v>236</v>
      </c>
      <c r="C244">
        <v>1</v>
      </c>
      <c r="D244">
        <f>IF(IFERROR(INDEX(표.kospi200[code],MATCH(표.실시간[[#This Row],[코드]],표.kospi200[code],0)),0)=0,0,1)</f>
        <v>0</v>
      </c>
      <c r="E244" t="s">
        <v>249</v>
      </c>
      <c r="F244">
        <v>85620</v>
      </c>
      <c r="G244" t="str">
        <f>ConvertStockCode(표.실시간[[#This Row],[코드]])</f>
        <v>N085620</v>
      </c>
      <c r="H244" s="2">
        <f>_xll.IMDP("STK",표.실시간[[#This Row],[nxt_code]],"현재가")</f>
        <v>9410</v>
      </c>
      <c r="I244" s="2">
        <f>_xll.IMDP("STK",표.실시간[[#This Row],[nxt_code]],"시가총액")/10^12</f>
        <v>1.66572233849</v>
      </c>
      <c r="J244" s="2">
        <f>표.실시간[[#This Row],[시가총액 (조원)]]/표.실시간[[#This Row],[현재가]]*(표.실시간[[#This Row],[현재가]]-표.실시간[[#This Row],[대비]])</f>
        <v>1.6674925003800001</v>
      </c>
      <c r="K244" s="3">
        <f>_xll.IMDP("STK",표.실시간[[#This Row],[nxt_code]],"전일대비")</f>
        <v>-10</v>
      </c>
      <c r="L244">
        <f>_xll.IMDP("STK",표.실시간[[#This Row],[nxt_code]],"등락률")</f>
        <v>-0.11</v>
      </c>
      <c r="M244" s="2">
        <f>_xll.IMDP("STK",표.실시간[[#This Row],[nxt_code]],"누적거래량")</f>
        <v>9878</v>
      </c>
      <c r="N244" s="2">
        <f>_xll.IMDP("STK",표.실시간[[#This Row],[nxt_code]],"누적거래대금")/10^8</f>
        <v>0.92554919999999996</v>
      </c>
      <c r="O244" s="2">
        <f>_xll.IMDP("STK",표.실시간[[#This Row],[nxt_code]],"가중평균가")</f>
        <v>9369.8036040000006</v>
      </c>
      <c r="P244" s="2">
        <f>_xll.IMDP("STK",표.실시간[[#This Row],[nxt_code]],"시가")</f>
        <v>9310</v>
      </c>
      <c r="Q244" s="2">
        <f>_xll.IMDP("STK",표.실시간[[#This Row],[nxt_code]],"고가")</f>
        <v>9530</v>
      </c>
      <c r="R244" s="2">
        <f>_xll.IMDP("STK",표.실시간[[#This Row],[nxt_code]],"저가")</f>
        <v>9210</v>
      </c>
      <c r="S244">
        <f>_xll.IMDP("STK",표.실시간[[#This Row],[nxt_code]],"세션명")</f>
        <v>0</v>
      </c>
      <c r="T244">
        <f>_xll.IMDP("STK",표.실시간[[#This Row],[nxt_code]],"체결시간")</f>
        <v>0</v>
      </c>
      <c r="U244" s="2">
        <f>_xll.IMDP("STK","085620","현재가")</f>
        <v>9410</v>
      </c>
      <c r="V244">
        <f>_xll.IMDP("STK","085620","누적거래량")</f>
        <v>3935</v>
      </c>
    </row>
    <row r="245" spans="2:22" x14ac:dyDescent="0.3">
      <c r="B245">
        <v>237</v>
      </c>
      <c r="C245">
        <v>1</v>
      </c>
      <c r="D245">
        <f>IF(IFERROR(INDEX(표.kospi200[code],MATCH(표.실시간[[#This Row],[코드]],표.kospi200[code],0)),0)=0,0,1)</f>
        <v>1</v>
      </c>
      <c r="E245" t="s">
        <v>250</v>
      </c>
      <c r="F245">
        <v>34230</v>
      </c>
      <c r="G245" t="str">
        <f>ConvertStockCode(표.실시간[[#This Row],[코드]])</f>
        <v>N034230</v>
      </c>
      <c r="H245" s="2">
        <f>_xll.IMDP("STK",표.실시간[[#This Row],[nxt_code]],"현재가")</f>
        <v>17650</v>
      </c>
      <c r="I245" s="2">
        <f>_xll.IMDP("STK",표.실시간[[#This Row],[nxt_code]],"시가총액")/10^12</f>
        <v>1.63095811635</v>
      </c>
      <c r="J245" s="2">
        <f>표.실시간[[#This Row],[시가총액 (조원)]]/표.실시간[[#This Row],[현재가]]*(표.실시간[[#This Row],[현재가]]-표.실시간[[#This Row],[대비]])</f>
        <v>1.6392746166599999</v>
      </c>
      <c r="K245" s="3">
        <f>_xll.IMDP("STK",표.실시간[[#This Row],[nxt_code]],"전일대비")</f>
        <v>-90</v>
      </c>
      <c r="L245">
        <f>_xll.IMDP("STK",표.실시간[[#This Row],[nxt_code]],"등락률")</f>
        <v>-0.51</v>
      </c>
      <c r="M245" s="2">
        <f>_xll.IMDP("STK",표.실시간[[#This Row],[nxt_code]],"누적거래량")</f>
        <v>183678</v>
      </c>
      <c r="N245" s="2">
        <f>_xll.IMDP("STK",표.실시간[[#This Row],[nxt_code]],"누적거래대금")/10^8</f>
        <v>32.953927</v>
      </c>
      <c r="O245" s="2">
        <f>_xll.IMDP("STK",표.실시간[[#This Row],[nxt_code]],"가중평균가")</f>
        <v>17941.139930000001</v>
      </c>
      <c r="P245" s="2">
        <f>_xll.IMDP("STK",표.실시간[[#This Row],[nxt_code]],"시가")</f>
        <v>17740</v>
      </c>
      <c r="Q245" s="2">
        <f>_xll.IMDP("STK",표.실시간[[#This Row],[nxt_code]],"고가")</f>
        <v>18350</v>
      </c>
      <c r="R245" s="2">
        <f>_xll.IMDP("STK",표.실시간[[#This Row],[nxt_code]],"저가")</f>
        <v>17650</v>
      </c>
      <c r="S245">
        <f>_xll.IMDP("STK",표.실시간[[#This Row],[nxt_code]],"세션명")</f>
        <v>0</v>
      </c>
      <c r="T245">
        <f>_xll.IMDP("STK",표.실시간[[#This Row],[nxt_code]],"체결시간")</f>
        <v>0</v>
      </c>
      <c r="U245" s="2">
        <f>_xll.IMDP("STK","034230","현재가")</f>
        <v>17660</v>
      </c>
      <c r="V245">
        <f>_xll.IMDP("STK","034230","누적거래량")</f>
        <v>94867</v>
      </c>
    </row>
    <row r="246" spans="2:22" x14ac:dyDescent="0.3">
      <c r="B246">
        <v>238</v>
      </c>
      <c r="C246">
        <v>1</v>
      </c>
      <c r="D246">
        <f>IF(IFERROR(INDEX(표.kospi200[code],MATCH(표.실시간[[#This Row],[코드]],표.kospi200[code],0)),0)=0,0,1)</f>
        <v>0</v>
      </c>
      <c r="E246" t="s">
        <v>251</v>
      </c>
      <c r="F246">
        <v>20560</v>
      </c>
      <c r="G246" t="str">
        <f>ConvertStockCode(표.실시간[[#This Row],[코드]])</f>
        <v>N020560</v>
      </c>
      <c r="H246" s="2">
        <f>_xll.IMDP("STK",표.실시간[[#This Row],[nxt_code]],"현재가")</f>
        <v>7550</v>
      </c>
      <c r="I246" s="2">
        <f>_xll.IMDP("STK",표.실시간[[#This Row],[nxt_code]],"시가총액")/10^12</f>
        <v>1.5552298680500001</v>
      </c>
      <c r="J246" s="2">
        <f>표.실시간[[#This Row],[시가총액 (조원)]]/표.실시간[[#This Row],[현재가]]*(표.실시간[[#This Row],[현재가]]-표.실시간[[#This Row],[대비]])</f>
        <v>1.5717091249299999</v>
      </c>
      <c r="K246" s="3">
        <f>_xll.IMDP("STK",표.실시간[[#This Row],[nxt_code]],"전일대비")</f>
        <v>-80</v>
      </c>
      <c r="L246">
        <f>_xll.IMDP("STK",표.실시간[[#This Row],[nxt_code]],"등락률")</f>
        <v>-1.05</v>
      </c>
      <c r="M246" s="2">
        <f>_xll.IMDP("STK",표.실시간[[#This Row],[nxt_code]],"누적거래량")</f>
        <v>31074</v>
      </c>
      <c r="N246" s="2">
        <f>_xll.IMDP("STK",표.실시간[[#This Row],[nxt_code]],"누적거래대금")/10^8</f>
        <v>2.3521225000000001</v>
      </c>
      <c r="O246" s="2">
        <f>_xll.IMDP("STK",표.실시간[[#This Row],[nxt_code]],"가중평균가")</f>
        <v>7569.42299</v>
      </c>
      <c r="P246" s="2">
        <f>_xll.IMDP("STK",표.실시간[[#This Row],[nxt_code]],"시가")</f>
        <v>7650</v>
      </c>
      <c r="Q246" s="2">
        <f>_xll.IMDP("STK",표.실시간[[#This Row],[nxt_code]],"고가")</f>
        <v>7650</v>
      </c>
      <c r="R246" s="2">
        <f>_xll.IMDP("STK",표.실시간[[#This Row],[nxt_code]],"저가")</f>
        <v>7540</v>
      </c>
      <c r="S246">
        <f>_xll.IMDP("STK",표.실시간[[#This Row],[nxt_code]],"세션명")</f>
        <v>0</v>
      </c>
      <c r="T246">
        <f>_xll.IMDP("STK",표.실시간[[#This Row],[nxt_code]],"체결시간")</f>
        <v>0</v>
      </c>
      <c r="U246" s="2">
        <f>_xll.IMDP("STK","020560","현재가")</f>
        <v>7560</v>
      </c>
      <c r="V246">
        <f>_xll.IMDP("STK","020560","누적거래량")</f>
        <v>16508</v>
      </c>
    </row>
    <row r="247" spans="2:22" x14ac:dyDescent="0.3">
      <c r="B247">
        <v>239</v>
      </c>
      <c r="C247">
        <v>1</v>
      </c>
      <c r="D247">
        <f>IF(IFERROR(INDEX(표.kospi200[code],MATCH(표.실시간[[#This Row],[코드]],표.kospi200[code],0)),0)=0,0,1)</f>
        <v>1</v>
      </c>
      <c r="E247" t="s">
        <v>252</v>
      </c>
      <c r="F247">
        <v>7310</v>
      </c>
      <c r="G247" t="str">
        <f>ConvertStockCode(표.실시간[[#This Row],[코드]])</f>
        <v>N007310</v>
      </c>
      <c r="H247" s="2">
        <f>_xll.IMDP("STK",표.실시간[[#This Row],[nxt_code]],"현재가")</f>
        <v>384500</v>
      </c>
      <c r="I247" s="2">
        <f>_xll.IMDP("STK",표.실시간[[#This Row],[nxt_code]],"시가총액")/10^12</f>
        <v>1.5410106349999999</v>
      </c>
      <c r="J247" s="2">
        <f>표.실시간[[#This Row],[시가총액 (조원)]]/표.실시간[[#This Row],[현재가]]*(표.실시간[[#This Row],[현재가]]-표.실시간[[#This Row],[대비]])</f>
        <v>1.5470223799999998</v>
      </c>
      <c r="K247" s="3">
        <f>_xll.IMDP("STK",표.실시간[[#This Row],[nxt_code]],"전일대비")</f>
        <v>-1500</v>
      </c>
      <c r="L247">
        <f>_xll.IMDP("STK",표.실시간[[#This Row],[nxt_code]],"등락률")</f>
        <v>-0.39</v>
      </c>
      <c r="M247" s="2">
        <f>_xll.IMDP("STK",표.실시간[[#This Row],[nxt_code]],"누적거래량")</f>
        <v>217</v>
      </c>
      <c r="N247" s="2">
        <f>_xll.IMDP("STK",표.실시간[[#This Row],[nxt_code]],"누적거래대금")/10^8</f>
        <v>0.83579999999999999</v>
      </c>
      <c r="O247" s="2">
        <f>_xll.IMDP("STK",표.실시간[[#This Row],[nxt_code]],"가중평균가")</f>
        <v>385161.29032299999</v>
      </c>
      <c r="P247" s="2">
        <f>_xll.IMDP("STK",표.실시간[[#This Row],[nxt_code]],"시가")</f>
        <v>386000</v>
      </c>
      <c r="Q247" s="2">
        <f>_xll.IMDP("STK",표.실시간[[#This Row],[nxt_code]],"고가")</f>
        <v>387500</v>
      </c>
      <c r="R247" s="2">
        <f>_xll.IMDP("STK",표.실시간[[#This Row],[nxt_code]],"저가")</f>
        <v>383500</v>
      </c>
      <c r="S247">
        <f>_xll.IMDP("STK",표.실시간[[#This Row],[nxt_code]],"세션명")</f>
        <v>0</v>
      </c>
      <c r="T247">
        <f>_xll.IMDP("STK",표.실시간[[#This Row],[nxt_code]],"체결시간")</f>
        <v>0</v>
      </c>
      <c r="U247" s="2">
        <f>_xll.IMDP("STK","007310","현재가")</f>
        <v>385500</v>
      </c>
      <c r="V247">
        <f>_xll.IMDP("STK","007310","누적거래량")</f>
        <v>334</v>
      </c>
    </row>
    <row r="248" spans="2:22" x14ac:dyDescent="0.3">
      <c r="B248">
        <v>240</v>
      </c>
      <c r="C248">
        <v>1</v>
      </c>
      <c r="D248">
        <f>IF(IFERROR(INDEX(표.kospi200[code],MATCH(표.실시간[[#This Row],[코드]],표.kospi200[code],0)),0)=0,0,1)</f>
        <v>1</v>
      </c>
      <c r="E248" t="s">
        <v>253</v>
      </c>
      <c r="F248">
        <v>161890</v>
      </c>
      <c r="G248" t="str">
        <f>ConvertStockCode(표.실시간[[#This Row],[코드]])</f>
        <v>N161890</v>
      </c>
      <c r="H248" s="2">
        <f>_xll.IMDP("STK",표.실시간[[#This Row],[nxt_code]],"현재가")</f>
        <v>68900</v>
      </c>
      <c r="I248" s="2">
        <f>_xll.IMDP("STK",표.실시간[[#This Row],[nxt_code]],"시가총액")/10^12</f>
        <v>1.6263898053000001</v>
      </c>
      <c r="J248" s="2">
        <f>표.실시간[[#This Row],[시가총액 (조원)]]/표.실시간[[#This Row],[현재가]]*(표.실시간[[#This Row],[현재가]]-표.실시간[[#This Row],[대비]])</f>
        <v>1.6499948823000001</v>
      </c>
      <c r="K248" s="3">
        <f>_xll.IMDP("STK",표.실시간[[#This Row],[nxt_code]],"전일대비")</f>
        <v>-1000</v>
      </c>
      <c r="L248">
        <f>_xll.IMDP("STK",표.실시간[[#This Row],[nxt_code]],"등락률")</f>
        <v>-1.43</v>
      </c>
      <c r="M248" s="2">
        <f>_xll.IMDP("STK",표.실시간[[#This Row],[nxt_code]],"누적거래량")</f>
        <v>35983</v>
      </c>
      <c r="N248" s="2">
        <f>_xll.IMDP("STK",표.실시간[[#This Row],[nxt_code]],"누적거래대금")/10^8</f>
        <v>24.655460000000001</v>
      </c>
      <c r="O248" s="2">
        <f>_xll.IMDP("STK",표.실시간[[#This Row],[nxt_code]],"가중평균가")</f>
        <v>68519.745435000004</v>
      </c>
      <c r="P248" s="2">
        <f>_xll.IMDP("STK",표.실시간[[#This Row],[nxt_code]],"시가")</f>
        <v>69900</v>
      </c>
      <c r="Q248" s="2">
        <f>_xll.IMDP("STK",표.실시간[[#This Row],[nxt_code]],"고가")</f>
        <v>70300</v>
      </c>
      <c r="R248" s="2">
        <f>_xll.IMDP("STK",표.실시간[[#This Row],[nxt_code]],"저가")</f>
        <v>67800</v>
      </c>
      <c r="S248">
        <f>_xll.IMDP("STK",표.실시간[[#This Row],[nxt_code]],"세션명")</f>
        <v>0</v>
      </c>
      <c r="T248">
        <f>_xll.IMDP("STK",표.실시간[[#This Row],[nxt_code]],"체결시간")</f>
        <v>0</v>
      </c>
      <c r="U248" s="2">
        <f>_xll.IMDP("STK","161890","현재가")</f>
        <v>68900</v>
      </c>
      <c r="V248">
        <f>_xll.IMDP("STK","161890","누적거래량")</f>
        <v>24798</v>
      </c>
    </row>
    <row r="249" spans="2:22" x14ac:dyDescent="0.3">
      <c r="B249">
        <v>241</v>
      </c>
      <c r="C249">
        <v>1</v>
      </c>
      <c r="D249">
        <f>IF(IFERROR(INDEX(표.kospi200[code],MATCH(표.실시간[[#This Row],[코드]],표.kospi200[code],0)),0)=0,0,1)</f>
        <v>0</v>
      </c>
      <c r="E249" t="s">
        <v>254</v>
      </c>
      <c r="F249">
        <v>77970</v>
      </c>
      <c r="G249" t="str">
        <f>ConvertStockCode(표.실시간[[#This Row],[코드]])</f>
        <v>N077970</v>
      </c>
      <c r="H249" s="2">
        <f>_xll.IMDP("STK",표.실시간[[#This Row],[nxt_code]],"현재가")</f>
        <v>33400</v>
      </c>
      <c r="I249" s="2">
        <f>_xll.IMDP("STK",표.실시간[[#This Row],[nxt_code]],"시가총액")/10^12</f>
        <v>1.3409453041999999</v>
      </c>
      <c r="J249" s="2">
        <f>표.실시간[[#This Row],[시가총액 (조원)]]/표.실시간[[#This Row],[현재가]]*(표.실시간[[#This Row],[현재가]]-표.실시간[[#This Row],[대비]])</f>
        <v>1.3610193356999998</v>
      </c>
      <c r="K249" s="3">
        <f>_xll.IMDP("STK",표.실시간[[#This Row],[nxt_code]],"전일대비")</f>
        <v>-500</v>
      </c>
      <c r="L249">
        <f>_xll.IMDP("STK",표.실시간[[#This Row],[nxt_code]],"등락률")</f>
        <v>-1.47</v>
      </c>
      <c r="M249" s="2">
        <f>_xll.IMDP("STK",표.실시간[[#This Row],[nxt_code]],"누적거래량")</f>
        <v>33088</v>
      </c>
      <c r="N249" s="2">
        <f>_xll.IMDP("STK",표.실시간[[#This Row],[nxt_code]],"누적거래대금")/10^8</f>
        <v>11.049044500000001</v>
      </c>
      <c r="O249" s="2">
        <f>_xll.IMDP("STK",표.실시간[[#This Row],[nxt_code]],"가중평균가")</f>
        <v>33392.905283</v>
      </c>
      <c r="P249" s="2">
        <f>_xll.IMDP("STK",표.실시간[[#This Row],[nxt_code]],"시가")</f>
        <v>33950</v>
      </c>
      <c r="Q249" s="2">
        <f>_xll.IMDP("STK",표.실시간[[#This Row],[nxt_code]],"고가")</f>
        <v>34100</v>
      </c>
      <c r="R249" s="2">
        <f>_xll.IMDP("STK",표.실시간[[#This Row],[nxt_code]],"저가")</f>
        <v>33050</v>
      </c>
      <c r="S249">
        <f>_xll.IMDP("STK",표.실시간[[#This Row],[nxt_code]],"세션명")</f>
        <v>0</v>
      </c>
      <c r="T249">
        <f>_xll.IMDP("STK",표.실시간[[#This Row],[nxt_code]],"체결시간")</f>
        <v>0</v>
      </c>
      <c r="U249" s="2">
        <f>_xll.IMDP("STK","077970","현재가")</f>
        <v>33350</v>
      </c>
      <c r="V249">
        <f>_xll.IMDP("STK","077970","누적거래량")</f>
        <v>18297</v>
      </c>
    </row>
    <row r="250" spans="2:22" x14ac:dyDescent="0.3">
      <c r="B250">
        <v>242</v>
      </c>
      <c r="C250">
        <v>0</v>
      </c>
      <c r="D250">
        <f>IF(IFERROR(INDEX(표.kospi200[code],MATCH(표.실시간[[#This Row],[코드]],표.kospi200[code],0)),0)=0,0,1)</f>
        <v>0</v>
      </c>
      <c r="E250" t="s">
        <v>255</v>
      </c>
      <c r="F250">
        <v>89030</v>
      </c>
      <c r="G250" t="str">
        <f>ConvertStockCode(표.실시간[[#This Row],[코드]])</f>
        <v>N089030</v>
      </c>
      <c r="H250" s="2">
        <f>_xll.IMDP("STK",표.실시간[[#This Row],[nxt_code]],"현재가")</f>
        <v>49500</v>
      </c>
      <c r="I250" s="2">
        <f>_xll.IMDP("STK",표.실시간[[#This Row],[nxt_code]],"시가총액")/10^12</f>
        <v>1.860092979</v>
      </c>
      <c r="J250" s="2">
        <f>표.실시간[[#This Row],[시가총액 (조원)]]/표.실시간[[#This Row],[현재가]]*(표.실시간[[#This Row],[현재가]]-표.실시간[[#This Row],[대비]])</f>
        <v>1.8788817969696971</v>
      </c>
      <c r="K250" s="3">
        <f>_xll.IMDP("STK",표.실시간[[#This Row],[nxt_code]],"전일대비")</f>
        <v>-500</v>
      </c>
      <c r="L250">
        <f>_xll.IMDP("STK",표.실시간[[#This Row],[nxt_code]],"등락률")</f>
        <v>0.4</v>
      </c>
      <c r="M250" s="2">
        <f>_xll.IMDP("STK",표.실시간[[#This Row],[nxt_code]],"누적거래량")</f>
        <v>380561</v>
      </c>
      <c r="N250" s="2">
        <f>_xll.IMDP("STK",표.실시간[[#This Row],[nxt_code]],"누적거래대금")/10^8</f>
        <v>190.71985749999999</v>
      </c>
      <c r="O250" s="2">
        <f>_xll.IMDP("STK",표.실시간[[#This Row],[nxt_code]],"가중평균가")</f>
        <v>48537.253617000002</v>
      </c>
      <c r="P250" s="2">
        <f>_xll.IMDP("STK",표.실시간[[#This Row],[nxt_code]],"시가")</f>
        <v>50700</v>
      </c>
      <c r="Q250" s="2">
        <f>_xll.IMDP("STK",표.실시간[[#This Row],[nxt_code]],"고가")</f>
        <v>50700</v>
      </c>
      <c r="R250" s="2">
        <f>_xll.IMDP("STK",표.실시간[[#This Row],[nxt_code]],"저가")</f>
        <v>47750</v>
      </c>
      <c r="S250">
        <f>_xll.IMDP("STK",표.실시간[[#This Row],[nxt_code]],"세션명")</f>
        <v>0</v>
      </c>
      <c r="T250">
        <f>_xll.IMDP("STK",표.실시간[[#This Row],[nxt_code]],"체결시간")</f>
        <v>0</v>
      </c>
      <c r="U250" s="2">
        <f>_xll.IMDP("STK","089030","현재가")</f>
        <v>50200</v>
      </c>
      <c r="V250">
        <f>_xll.IMDP("STK","089030","누적거래량")</f>
        <v>154481</v>
      </c>
    </row>
    <row r="251" spans="2:22" x14ac:dyDescent="0.3">
      <c r="B251">
        <v>243</v>
      </c>
      <c r="C251">
        <v>0</v>
      </c>
      <c r="D251">
        <f>IF(IFERROR(INDEX(표.kospi200[code],MATCH(표.실시간[[#This Row],[코드]],표.kospi200[code],0)),0)=0,0,1)</f>
        <v>0</v>
      </c>
      <c r="E251" t="s">
        <v>256</v>
      </c>
      <c r="F251">
        <v>36930</v>
      </c>
      <c r="G251" t="str">
        <f>ConvertStockCode(표.실시간[[#This Row],[코드]])</f>
        <v>N036930</v>
      </c>
      <c r="H251" s="2">
        <f>_xll.IMDP("STK",표.실시간[[#This Row],[nxt_code]],"현재가")</f>
        <v>42700</v>
      </c>
      <c r="I251" s="2">
        <f>_xll.IMDP("STK",표.실시간[[#This Row],[nxt_code]],"시가총액")/10^12</f>
        <v>2.0183573067</v>
      </c>
      <c r="J251" s="2">
        <f>표.실시간[[#This Row],[시가총액 (조원)]]/표.실시간[[#This Row],[현재가]]*(표.실시간[[#This Row],[현재가]]-표.실시간[[#This Row],[대비]])</f>
        <v>1.9545450733500001</v>
      </c>
      <c r="K251" s="3">
        <f>_xll.IMDP("STK",표.실시간[[#This Row],[nxt_code]],"전일대비")</f>
        <v>1350</v>
      </c>
      <c r="L251">
        <f>_xll.IMDP("STK",표.실시간[[#This Row],[nxt_code]],"등락률")</f>
        <v>3.26</v>
      </c>
      <c r="M251" s="2">
        <f>_xll.IMDP("STK",표.실시간[[#This Row],[nxt_code]],"누적거래량")</f>
        <v>829049</v>
      </c>
      <c r="N251" s="2">
        <f>_xll.IMDP("STK",표.실시간[[#This Row],[nxt_code]],"누적거래대금")/10^8</f>
        <v>353.32880325000002</v>
      </c>
      <c r="O251" s="2">
        <f>_xll.IMDP("STK",표.실시간[[#This Row],[nxt_code]],"가중평균가")</f>
        <v>42618.566965999999</v>
      </c>
      <c r="P251" s="2">
        <f>_xll.IMDP("STK",표.실시간[[#This Row],[nxt_code]],"시가")</f>
        <v>40800</v>
      </c>
      <c r="Q251" s="2">
        <f>_xll.IMDP("STK",표.실시간[[#This Row],[nxt_code]],"고가")</f>
        <v>43500</v>
      </c>
      <c r="R251" s="2">
        <f>_xll.IMDP("STK",표.실시간[[#This Row],[nxt_code]],"저가")</f>
        <v>40800</v>
      </c>
      <c r="S251">
        <f>_xll.IMDP("STK",표.실시간[[#This Row],[nxt_code]],"세션명")</f>
        <v>0</v>
      </c>
      <c r="T251">
        <f>_xll.IMDP("STK",표.실시간[[#This Row],[nxt_code]],"체결시간")</f>
        <v>0</v>
      </c>
      <c r="U251" s="2">
        <f>_xll.IMDP("STK","036930","현재가")</f>
        <v>42700</v>
      </c>
      <c r="V251">
        <f>_xll.IMDP("STK","036930","누적거래량")</f>
        <v>248808</v>
      </c>
    </row>
    <row r="252" spans="2:22" x14ac:dyDescent="0.3">
      <c r="B252">
        <v>244</v>
      </c>
      <c r="C252">
        <v>1</v>
      </c>
      <c r="D252">
        <f>IF(IFERROR(INDEX(표.kospi200[code],MATCH(표.실시간[[#This Row],[코드]],표.kospi200[code],0)),0)=0,0,1)</f>
        <v>0</v>
      </c>
      <c r="E252" t="s">
        <v>257</v>
      </c>
      <c r="F252">
        <v>500</v>
      </c>
      <c r="G252" t="str">
        <f>ConvertStockCode(표.실시간[[#This Row],[코드]])</f>
        <v>N000500</v>
      </c>
      <c r="H252" s="2">
        <f>_xll.IMDP("STK",표.실시간[[#This Row],[nxt_code]],"현재가")</f>
        <v>84400</v>
      </c>
      <c r="I252" s="2">
        <f>_xll.IMDP("STK",표.실시간[[#This Row],[nxt_code]],"시가총액")/10^12</f>
        <v>1.396238906</v>
      </c>
      <c r="J252" s="2">
        <f>표.실시간[[#This Row],[시가총액 (조원)]]/표.실시간[[#This Row],[현재가]]*(표.실시간[[#This Row],[현재가]]-표.실시간[[#This Row],[대비]])</f>
        <v>1.4491768739999999</v>
      </c>
      <c r="K252" s="3">
        <f>_xll.IMDP("STK",표.실시간[[#This Row],[nxt_code]],"전일대비")</f>
        <v>-3200</v>
      </c>
      <c r="L252">
        <f>_xll.IMDP("STK",표.실시간[[#This Row],[nxt_code]],"등락률")</f>
        <v>-3.65</v>
      </c>
      <c r="M252" s="2">
        <f>_xll.IMDP("STK",표.실시간[[#This Row],[nxt_code]],"누적거래량")</f>
        <v>12096</v>
      </c>
      <c r="N252" s="2">
        <f>_xll.IMDP("STK",표.실시간[[#This Row],[nxt_code]],"누적거래대금")/10^8</f>
        <v>10.224030000000001</v>
      </c>
      <c r="O252" s="2">
        <f>_xll.IMDP("STK",표.실시간[[#This Row],[nxt_code]],"가중평균가")</f>
        <v>84524.057539999994</v>
      </c>
      <c r="P252" s="2">
        <f>_xll.IMDP("STK",표.실시간[[#This Row],[nxt_code]],"시가")</f>
        <v>86600</v>
      </c>
      <c r="Q252" s="2">
        <f>_xll.IMDP("STK",표.실시간[[#This Row],[nxt_code]],"고가")</f>
        <v>86600</v>
      </c>
      <c r="R252" s="2">
        <f>_xll.IMDP("STK",표.실시간[[#This Row],[nxt_code]],"저가")</f>
        <v>82300</v>
      </c>
      <c r="S252">
        <f>_xll.IMDP("STK",표.실시간[[#This Row],[nxt_code]],"세션명")</f>
        <v>0</v>
      </c>
      <c r="T252">
        <f>_xll.IMDP("STK",표.실시간[[#This Row],[nxt_code]],"체결시간")</f>
        <v>0</v>
      </c>
      <c r="U252" s="2">
        <f>_xll.IMDP("STK","000500","현재가")</f>
        <v>84400</v>
      </c>
      <c r="V252">
        <f>_xll.IMDP("STK","000500","누적거래량")</f>
        <v>9126</v>
      </c>
    </row>
    <row r="253" spans="2:22" x14ac:dyDescent="0.3">
      <c r="B253">
        <v>245</v>
      </c>
      <c r="C253">
        <v>1</v>
      </c>
      <c r="D253">
        <f>IF(IFERROR(INDEX(표.kospi200[code],MATCH(표.실시간[[#This Row],[코드]],표.kospi200[code],0)),0)=0,0,1)</f>
        <v>0</v>
      </c>
      <c r="E253" t="s">
        <v>258</v>
      </c>
      <c r="F253">
        <v>7810</v>
      </c>
      <c r="G253" t="str">
        <f>ConvertStockCode(표.실시간[[#This Row],[코드]])</f>
        <v>N007810</v>
      </c>
      <c r="H253" s="2">
        <f>_xll.IMDP("STK",표.실시간[[#This Row],[nxt_code]],"현재가")</f>
        <v>70700</v>
      </c>
      <c r="I253" s="2">
        <f>_xll.IMDP("STK",표.실시간[[#This Row],[nxt_code]],"시가총액")/10^12</f>
        <v>1.6699870957</v>
      </c>
      <c r="J253" s="2">
        <f>표.실시간[[#This Row],[시가총액 (조원)]]/표.실시간[[#This Row],[현재가]]*(표.실시간[[#This Row],[현재가]]-표.실시간[[#This Row],[대비]])</f>
        <v>1.6699870957</v>
      </c>
      <c r="K253" s="3">
        <f>_xll.IMDP("STK",표.실시간[[#This Row],[nxt_code]],"전일대비")</f>
        <v>0</v>
      </c>
      <c r="L253">
        <f>_xll.IMDP("STK",표.실시간[[#This Row],[nxt_code]],"등락률")</f>
        <v>0</v>
      </c>
      <c r="M253" s="2">
        <f>_xll.IMDP("STK",표.실시간[[#This Row],[nxt_code]],"누적거래량")</f>
        <v>0</v>
      </c>
      <c r="N253" s="2">
        <f>_xll.IMDP("STK",표.실시간[[#This Row],[nxt_code]],"누적거래대금")/10^8</f>
        <v>0</v>
      </c>
      <c r="O253" s="2">
        <f>_xll.IMDP("STK",표.실시간[[#This Row],[nxt_code]],"가중평균가")</f>
        <v>0</v>
      </c>
      <c r="P253" s="2">
        <f>_xll.IMDP("STK",표.실시간[[#This Row],[nxt_code]],"시가")</f>
        <v>0</v>
      </c>
      <c r="Q253" s="2">
        <f>_xll.IMDP("STK",표.실시간[[#This Row],[nxt_code]],"고가")</f>
        <v>0</v>
      </c>
      <c r="R253" s="2">
        <f>_xll.IMDP("STK",표.실시간[[#This Row],[nxt_code]],"저가")</f>
        <v>0</v>
      </c>
      <c r="S253">
        <f>_xll.IMDP("STK",표.실시간[[#This Row],[nxt_code]],"세션명")</f>
        <v>0</v>
      </c>
      <c r="T253">
        <f>_xll.IMDP("STK",표.실시간[[#This Row],[nxt_code]],"체결시간")</f>
        <v>0</v>
      </c>
      <c r="U253" s="2">
        <f>_xll.IMDP("STK","007810","현재가")</f>
        <v>69900</v>
      </c>
      <c r="V253">
        <f>_xll.IMDP("STK","007810","누적거래량")</f>
        <v>62698</v>
      </c>
    </row>
    <row r="254" spans="2:22" x14ac:dyDescent="0.3">
      <c r="B254">
        <v>246</v>
      </c>
      <c r="C254">
        <v>1</v>
      </c>
      <c r="D254">
        <f>IF(IFERROR(INDEX(표.kospi200[code],MATCH(표.실시간[[#This Row],[코드]],표.kospi200[code],0)),0)=0,0,1)</f>
        <v>1</v>
      </c>
      <c r="E254" t="s">
        <v>259</v>
      </c>
      <c r="F254">
        <v>7340</v>
      </c>
      <c r="G254" t="str">
        <f>ConvertStockCode(표.실시간[[#This Row],[코드]])</f>
        <v>N007340</v>
      </c>
      <c r="H254" s="2">
        <f>_xll.IMDP("STK",표.실시간[[#This Row],[nxt_code]],"현재가")</f>
        <v>24950</v>
      </c>
      <c r="I254" s="2">
        <f>_xll.IMDP("STK",표.실시간[[#This Row],[nxt_code]],"시가총액")/10^12</f>
        <v>1.4598460817500001</v>
      </c>
      <c r="J254" s="2">
        <f>표.실시간[[#This Row],[시가총액 (조원)]]/표.실시간[[#This Row],[현재가]]*(표.실시간[[#This Row],[현재가]]-표.실시간[[#This Row],[대비]])</f>
        <v>1.4773993412499999</v>
      </c>
      <c r="K254" s="3">
        <f>_xll.IMDP("STK",표.실시간[[#This Row],[nxt_code]],"전일대비")</f>
        <v>-300</v>
      </c>
      <c r="L254">
        <f>_xll.IMDP("STK",표.실시간[[#This Row],[nxt_code]],"등락률")</f>
        <v>-0.8</v>
      </c>
      <c r="M254" s="2">
        <f>_xll.IMDP("STK",표.실시간[[#This Row],[nxt_code]],"누적거래량")</f>
        <v>14246</v>
      </c>
      <c r="N254" s="2">
        <f>_xll.IMDP("STK",표.실시간[[#This Row],[nxt_code]],"누적거래대금")/10^8</f>
        <v>3.5890240000000002</v>
      </c>
      <c r="O254" s="2">
        <f>_xll.IMDP("STK",표.실시간[[#This Row],[nxt_code]],"가중평균가")</f>
        <v>24823.75491</v>
      </c>
      <c r="P254" s="2">
        <f>_xll.IMDP("STK",표.실시간[[#This Row],[nxt_code]],"시가")</f>
        <v>25150</v>
      </c>
      <c r="Q254" s="2">
        <f>_xll.IMDP("STK",표.실시간[[#This Row],[nxt_code]],"고가")</f>
        <v>25200</v>
      </c>
      <c r="R254" s="2">
        <f>_xll.IMDP("STK",표.실시간[[#This Row],[nxt_code]],"저가")</f>
        <v>24700</v>
      </c>
      <c r="S254">
        <f>_xll.IMDP("STK",표.실시간[[#This Row],[nxt_code]],"세션명")</f>
        <v>0</v>
      </c>
      <c r="T254">
        <f>_xll.IMDP("STK",표.실시간[[#This Row],[nxt_code]],"체결시간")</f>
        <v>0</v>
      </c>
      <c r="U254" s="2">
        <f>_xll.IMDP("STK","007340","현재가")</f>
        <v>24950</v>
      </c>
      <c r="V254">
        <f>_xll.IMDP("STK","007340","누적거래량")</f>
        <v>8203</v>
      </c>
    </row>
    <row r="255" spans="2:22" x14ac:dyDescent="0.3">
      <c r="B255">
        <v>247</v>
      </c>
      <c r="C255">
        <v>1</v>
      </c>
      <c r="D255">
        <f>IF(IFERROR(INDEX(표.kospi200[code],MATCH(표.실시간[[#This Row],[코드]],표.kospi200[code],0)),0)=0,0,1)</f>
        <v>0</v>
      </c>
      <c r="E255" t="s">
        <v>260</v>
      </c>
      <c r="F255">
        <v>5070</v>
      </c>
      <c r="G255" t="str">
        <f>ConvertStockCode(표.실시간[[#This Row],[코드]])</f>
        <v>N005070</v>
      </c>
      <c r="H255" s="2">
        <f>_xll.IMDP("STK",표.실시간[[#This Row],[nxt_code]],"현재가")</f>
        <v>52700</v>
      </c>
      <c r="I255" s="2">
        <f>_xll.IMDP("STK",표.실시간[[#This Row],[nxt_code]],"시가총액")/10^12</f>
        <v>1.7133168411999999</v>
      </c>
      <c r="J255" s="2">
        <f>표.실시간[[#This Row],[시가총액 (조원)]]/표.실시간[[#This Row],[현재가]]*(표.실시간[[#This Row],[현재가]]-표.실시간[[#This Row],[대비]])</f>
        <v>1.6710528584</v>
      </c>
      <c r="K255" s="3">
        <f>_xll.IMDP("STK",표.실시간[[#This Row],[nxt_code]],"전일대비")</f>
        <v>1300</v>
      </c>
      <c r="L255">
        <f>_xll.IMDP("STK",표.실시간[[#This Row],[nxt_code]],"등락률")</f>
        <v>3.33</v>
      </c>
      <c r="M255" s="2">
        <f>_xll.IMDP("STK",표.실시간[[#This Row],[nxt_code]],"누적거래량")</f>
        <v>121958</v>
      </c>
      <c r="N255" s="2">
        <f>_xll.IMDP("STK",표.실시간[[#This Row],[nxt_code]],"누적거래대금")/10^8</f>
        <v>61.610764500000002</v>
      </c>
      <c r="O255" s="2">
        <f>_xll.IMDP("STK",표.실시간[[#This Row],[nxt_code]],"가중평균가")</f>
        <v>50518.018087999997</v>
      </c>
      <c r="P255" s="2">
        <f>_xll.IMDP("STK",표.실시간[[#This Row],[nxt_code]],"시가")</f>
        <v>49900</v>
      </c>
      <c r="Q255" s="2">
        <f>_xll.IMDP("STK",표.실시간[[#This Row],[nxt_code]],"고가")</f>
        <v>52700</v>
      </c>
      <c r="R255" s="2">
        <f>_xll.IMDP("STK",표.실시간[[#This Row],[nxt_code]],"저가")</f>
        <v>49250</v>
      </c>
      <c r="S255">
        <f>_xll.IMDP("STK",표.실시간[[#This Row],[nxt_code]],"세션명")</f>
        <v>0</v>
      </c>
      <c r="T255">
        <f>_xll.IMDP("STK",표.실시간[[#This Row],[nxt_code]],"체결시간")</f>
        <v>0</v>
      </c>
      <c r="U255" s="2">
        <f>_xll.IMDP("STK","005070","현재가")</f>
        <v>52700</v>
      </c>
      <c r="V255">
        <f>_xll.IMDP("STK","005070","누적거래량")</f>
        <v>68637</v>
      </c>
    </row>
    <row r="256" spans="2:22" x14ac:dyDescent="0.3">
      <c r="B256">
        <v>248</v>
      </c>
      <c r="C256">
        <v>0</v>
      </c>
      <c r="D256">
        <f>IF(IFERROR(INDEX(표.kospi200[code],MATCH(표.실시간[[#This Row],[코드]],표.kospi200[code],0)),0)=0,0,1)</f>
        <v>0</v>
      </c>
      <c r="E256" t="s">
        <v>261</v>
      </c>
      <c r="F256">
        <v>60370</v>
      </c>
      <c r="G256" t="str">
        <f>ConvertStockCode(표.실시간[[#This Row],[코드]])</f>
        <v>N060370</v>
      </c>
      <c r="H256" s="2">
        <f>_xll.IMDP("STK",표.실시간[[#This Row],[nxt_code]],"현재가")</f>
        <v>31500</v>
      </c>
      <c r="I256" s="2">
        <f>_xll.IMDP("STK",표.실시간[[#This Row],[nxt_code]],"시가총액")/10^12</f>
        <v>1.645523901</v>
      </c>
      <c r="J256" s="2">
        <f>표.실시간[[#This Row],[시가총액 (조원)]]/표.실시간[[#This Row],[현재가]]*(표.실시간[[#This Row],[현재가]]-표.실시간[[#This Row],[대비]])</f>
        <v>1.6873149841999999</v>
      </c>
      <c r="K256" s="3">
        <f>_xll.IMDP("STK",표.실시간[[#This Row],[nxt_code]],"전일대비")</f>
        <v>-800</v>
      </c>
      <c r="L256">
        <f>_xll.IMDP("STK",표.실시간[[#This Row],[nxt_code]],"등락률")</f>
        <v>-2.48</v>
      </c>
      <c r="M256" s="2">
        <f>_xll.IMDP("STK",표.실시간[[#This Row],[nxt_code]],"누적거래량")</f>
        <v>74108</v>
      </c>
      <c r="N256" s="2">
        <f>_xll.IMDP("STK",표.실시간[[#This Row],[nxt_code]],"누적거래대금")/10^8</f>
        <v>22.88551</v>
      </c>
      <c r="O256" s="2">
        <f>_xll.IMDP("STK",표.실시간[[#This Row],[nxt_code]],"가중평균가")</f>
        <v>30881.294867000001</v>
      </c>
      <c r="P256" s="2">
        <f>_xll.IMDP("STK",표.실시간[[#This Row],[nxt_code]],"시가")</f>
        <v>32300</v>
      </c>
      <c r="Q256" s="2">
        <f>_xll.IMDP("STK",표.실시간[[#This Row],[nxt_code]],"고가")</f>
        <v>32350</v>
      </c>
      <c r="R256" s="2">
        <f>_xll.IMDP("STK",표.실시간[[#This Row],[nxt_code]],"저가")</f>
        <v>30300</v>
      </c>
      <c r="S256">
        <f>_xll.IMDP("STK",표.실시간[[#This Row],[nxt_code]],"세션명")</f>
        <v>0</v>
      </c>
      <c r="T256">
        <f>_xll.IMDP("STK",표.실시간[[#This Row],[nxt_code]],"체결시간")</f>
        <v>0</v>
      </c>
      <c r="U256" s="2">
        <f>_xll.IMDP("STK","060370","현재가")</f>
        <v>31550</v>
      </c>
      <c r="V256">
        <f>_xll.IMDP("STK","060370","누적거래량")</f>
        <v>41876</v>
      </c>
    </row>
    <row r="257" spans="2:22" x14ac:dyDescent="0.3">
      <c r="B257">
        <v>249</v>
      </c>
      <c r="C257">
        <v>0</v>
      </c>
      <c r="D257">
        <f>IF(IFERROR(INDEX(표.kospi200[code],MATCH(표.실시간[[#This Row],[코드]],표.kospi200[code],0)),0)=0,0,1)</f>
        <v>0</v>
      </c>
      <c r="E257" t="s">
        <v>262</v>
      </c>
      <c r="F257">
        <v>101490</v>
      </c>
      <c r="G257" t="str">
        <f>ConvertStockCode(표.실시간[[#This Row],[코드]])</f>
        <v>N101490</v>
      </c>
      <c r="H257" s="2">
        <f>_xll.IMDP("STK",표.실시간[[#This Row],[nxt_code]],"현재가")</f>
        <v>88200</v>
      </c>
      <c r="I257" s="2">
        <f>_xll.IMDP("STK",표.실시간[[#This Row],[nxt_code]],"시가총액")/10^12</f>
        <v>1.8817363278000001</v>
      </c>
      <c r="J257" s="2">
        <f>표.실시간[[#This Row],[시가총액 (조원)]]/표.실시간[[#This Row],[현재가]]*(표.실시간[[#This Row],[현재가]]-표.실시간[[#This Row],[대비]])</f>
        <v>1.9393405011</v>
      </c>
      <c r="K257" s="3">
        <f>_xll.IMDP("STK",표.실시간[[#This Row],[nxt_code]],"전일대비")</f>
        <v>-2700</v>
      </c>
      <c r="L257">
        <f>_xll.IMDP("STK",표.실시간[[#This Row],[nxt_code]],"등락률")</f>
        <v>-3.08</v>
      </c>
      <c r="M257" s="2">
        <f>_xll.IMDP("STK",표.실시간[[#This Row],[nxt_code]],"누적거래량")</f>
        <v>96505</v>
      </c>
      <c r="N257" s="2">
        <f>_xll.IMDP("STK",표.실시간[[#This Row],[nxt_code]],"누적거래대금")/10^8</f>
        <v>84.307881499999993</v>
      </c>
      <c r="O257" s="2">
        <f>_xll.IMDP("STK",표.실시간[[#This Row],[nxt_code]],"가중평균가")</f>
        <v>87360.248586000002</v>
      </c>
      <c r="P257" s="2">
        <f>_xll.IMDP("STK",표.실시간[[#This Row],[nxt_code]],"시가")</f>
        <v>91000</v>
      </c>
      <c r="Q257" s="2">
        <f>_xll.IMDP("STK",표.실시간[[#This Row],[nxt_code]],"고가")</f>
        <v>91000</v>
      </c>
      <c r="R257" s="2">
        <f>_xll.IMDP("STK",표.실시간[[#This Row],[nxt_code]],"저가")</f>
        <v>85000</v>
      </c>
      <c r="S257">
        <f>_xll.IMDP("STK",표.실시간[[#This Row],[nxt_code]],"세션명")</f>
        <v>0</v>
      </c>
      <c r="T257">
        <f>_xll.IMDP("STK",표.실시간[[#This Row],[nxt_code]],"체결시간")</f>
        <v>0</v>
      </c>
      <c r="U257" s="2">
        <f>_xll.IMDP("STK","101490","현재가")</f>
        <v>88800</v>
      </c>
      <c r="V257">
        <f>_xll.IMDP("STK","101490","누적거래량")</f>
        <v>67232</v>
      </c>
    </row>
    <row r="258" spans="2:22" x14ac:dyDescent="0.3">
      <c r="B258">
        <v>250</v>
      </c>
      <c r="C258">
        <v>0</v>
      </c>
      <c r="D258">
        <f>IF(IFERROR(INDEX(표.kospi200[code],MATCH(표.실시간[[#This Row],[코드]],표.kospi200[code],0)),0)=0,0,1)</f>
        <v>0</v>
      </c>
      <c r="E258" t="s">
        <v>263</v>
      </c>
      <c r="F258">
        <v>323280</v>
      </c>
      <c r="G258" t="str">
        <f>ConvertStockCode(표.실시간[[#This Row],[코드]])</f>
        <v>N323280</v>
      </c>
      <c r="H258" s="2">
        <f>_xll.IMDP("STK",표.실시간[[#This Row],[nxt_code]],"현재가")</f>
        <v>74000</v>
      </c>
      <c r="I258" s="2">
        <f>_xll.IMDP("STK",표.실시간[[#This Row],[nxt_code]],"시가총액")/10^12</f>
        <v>2.2598105199999998</v>
      </c>
      <c r="J258" s="2">
        <f>표.실시간[[#This Row],[시가총액 (조원)]]/표.실시간[[#This Row],[현재가]]*(표.실시간[[#This Row],[현재가]]-표.실시간[[#This Row],[대비]])</f>
        <v>2.2720257119999996</v>
      </c>
      <c r="K258" s="3">
        <f>_xll.IMDP("STK",표.실시간[[#This Row],[nxt_code]],"전일대비")</f>
        <v>-400</v>
      </c>
      <c r="L258">
        <f>_xll.IMDP("STK",표.실시간[[#This Row],[nxt_code]],"등락률")</f>
        <v>-0.54</v>
      </c>
      <c r="M258" s="2">
        <f>_xll.IMDP("STK",표.실시간[[#This Row],[nxt_code]],"누적거래량")</f>
        <v>169706</v>
      </c>
      <c r="N258" s="2">
        <f>_xll.IMDP("STK",표.실시간[[#This Row],[nxt_code]],"누적거래대금")/10^8</f>
        <v>125.061908</v>
      </c>
      <c r="O258" s="2">
        <f>_xll.IMDP("STK",표.실시간[[#This Row],[nxt_code]],"가중평균가")</f>
        <v>73693.274250999995</v>
      </c>
      <c r="P258" s="2">
        <f>_xll.IMDP("STK",표.실시간[[#This Row],[nxt_code]],"시가")</f>
        <v>74400</v>
      </c>
      <c r="Q258" s="2">
        <f>_xll.IMDP("STK",표.실시간[[#This Row],[nxt_code]],"고가")</f>
        <v>76300</v>
      </c>
      <c r="R258" s="2">
        <f>_xll.IMDP("STK",표.실시간[[#This Row],[nxt_code]],"저가")</f>
        <v>71600</v>
      </c>
      <c r="S258">
        <f>_xll.IMDP("STK",표.실시간[[#This Row],[nxt_code]],"세션명")</f>
        <v>0</v>
      </c>
      <c r="T258">
        <f>_xll.IMDP("STK",표.실시간[[#This Row],[nxt_code]],"체결시간")</f>
        <v>0</v>
      </c>
      <c r="U258" s="2">
        <f>_xll.IMDP("STK","323280","현재가")</f>
        <v>73700</v>
      </c>
      <c r="V258">
        <f>_xll.IMDP("STK","323280","누적거래량")</f>
        <v>69592</v>
      </c>
    </row>
    <row r="259" spans="2:22" x14ac:dyDescent="0.3">
      <c r="B259">
        <v>251</v>
      </c>
      <c r="C259">
        <v>1</v>
      </c>
      <c r="D259">
        <f>IF(IFERROR(INDEX(표.kospi200[code],MATCH(표.실시간[[#This Row],[코드]],표.kospi200[code],0)),0)=0,0,1)</f>
        <v>0</v>
      </c>
      <c r="E259" t="s">
        <v>264</v>
      </c>
      <c r="F259">
        <v>484870</v>
      </c>
      <c r="G259" t="str">
        <f>ConvertStockCode(표.실시간[[#This Row],[코드]])</f>
        <v>N484870</v>
      </c>
      <c r="H259" s="2">
        <f>_xll.IMDP("STK",표.실시간[[#This Row],[nxt_code]],"현재가")</f>
        <v>144300</v>
      </c>
      <c r="I259" s="2">
        <f>_xll.IMDP("STK",표.실시간[[#This Row],[nxt_code]],"시가총액")/10^12</f>
        <v>1.32090777</v>
      </c>
      <c r="J259" s="2">
        <f>표.실시간[[#This Row],[시가총액 (조원)]]/표.실시간[[#This Row],[현재가]]*(표.실시간[[#This Row],[현재가]]-표.실시간[[#This Row],[대비]])</f>
        <v>1.2705613200000001</v>
      </c>
      <c r="K259" s="3">
        <f>_xll.IMDP("STK",표.실시간[[#This Row],[nxt_code]],"전일대비")</f>
        <v>5500</v>
      </c>
      <c r="L259">
        <f>_xll.IMDP("STK",표.실시간[[#This Row],[nxt_code]],"등락률")</f>
        <v>2.85</v>
      </c>
      <c r="M259" s="2">
        <f>_xll.IMDP("STK",표.실시간[[#This Row],[nxt_code]],"누적거래량")</f>
        <v>8489</v>
      </c>
      <c r="N259" s="2">
        <f>_xll.IMDP("STK",표.실시간[[#This Row],[nxt_code]],"누적거래대금")/10^8</f>
        <v>12.190103000000001</v>
      </c>
      <c r="O259" s="2">
        <f>_xll.IMDP("STK",표.실시간[[#This Row],[nxt_code]],"가중평균가")</f>
        <v>143598.81022499999</v>
      </c>
      <c r="P259" s="2">
        <f>_xll.IMDP("STK",표.실시간[[#This Row],[nxt_code]],"시가")</f>
        <v>143000</v>
      </c>
      <c r="Q259" s="2">
        <f>_xll.IMDP("STK",표.실시간[[#This Row],[nxt_code]],"고가")</f>
        <v>146300</v>
      </c>
      <c r="R259" s="2">
        <f>_xll.IMDP("STK",표.실시간[[#This Row],[nxt_code]],"저가")</f>
        <v>141800</v>
      </c>
      <c r="S259">
        <f>_xll.IMDP("STK",표.실시간[[#This Row],[nxt_code]],"세션명")</f>
        <v>0</v>
      </c>
      <c r="T259">
        <f>_xll.IMDP("STK",표.실시간[[#This Row],[nxt_code]],"체결시간")</f>
        <v>0</v>
      </c>
      <c r="U259" s="2">
        <f>_xll.IMDP("STK","484870","현재가")</f>
        <v>143800</v>
      </c>
      <c r="V259">
        <f>_xll.IMDP("STK","484870","누적거래량")</f>
        <v>6707</v>
      </c>
    </row>
    <row r="260" spans="2:22" x14ac:dyDescent="0.3">
      <c r="B260">
        <v>252</v>
      </c>
      <c r="C260">
        <v>1</v>
      </c>
      <c r="D260">
        <f>IF(IFERROR(INDEX(표.kospi200[code],MATCH(표.실시간[[#This Row],[코드]],표.kospi200[code],0)),0)=0,0,1)</f>
        <v>0</v>
      </c>
      <c r="E260" t="s">
        <v>265</v>
      </c>
      <c r="F260">
        <v>1120</v>
      </c>
      <c r="G260" t="str">
        <f>ConvertStockCode(표.실시간[[#This Row],[코드]])</f>
        <v>N001120</v>
      </c>
      <c r="H260" s="2">
        <f>_xll.IMDP("STK",표.실시간[[#This Row],[nxt_code]],"현재가")</f>
        <v>37650</v>
      </c>
      <c r="I260" s="2">
        <f>_xll.IMDP("STK",표.실시간[[#This Row],[nxt_code]],"시가총액")/10^12</f>
        <v>1.459314</v>
      </c>
      <c r="J260" s="2">
        <f>표.실시간[[#This Row],[시가총액 (조원)]]/표.실시간[[#This Row],[현재가]]*(표.실시간[[#This Row],[현재가]]-표.실시간[[#This Row],[대비]])</f>
        <v>1.4825700000000002</v>
      </c>
      <c r="K260" s="3">
        <f>_xll.IMDP("STK",표.실시간[[#This Row],[nxt_code]],"전일대비")</f>
        <v>-600</v>
      </c>
      <c r="L260">
        <f>_xll.IMDP("STK",표.실시간[[#This Row],[nxt_code]],"등락률")</f>
        <v>-1.57</v>
      </c>
      <c r="M260" s="2">
        <f>_xll.IMDP("STK",표.실시간[[#This Row],[nxt_code]],"누적거래량")</f>
        <v>19887</v>
      </c>
      <c r="N260" s="2">
        <f>_xll.IMDP("STK",표.실시간[[#This Row],[nxt_code]],"누적거래대금")/10^8</f>
        <v>7.4040914999999998</v>
      </c>
      <c r="O260" s="2">
        <f>_xll.IMDP("STK",표.실시간[[#This Row],[nxt_code]],"가중평균가")</f>
        <v>37196.734046999998</v>
      </c>
      <c r="P260" s="2">
        <f>_xll.IMDP("STK",표.실시간[[#This Row],[nxt_code]],"시가")</f>
        <v>38000</v>
      </c>
      <c r="Q260" s="2">
        <f>_xll.IMDP("STK",표.실시간[[#This Row],[nxt_code]],"고가")</f>
        <v>38000</v>
      </c>
      <c r="R260" s="2">
        <f>_xll.IMDP("STK",표.실시간[[#This Row],[nxt_code]],"저가")</f>
        <v>36750</v>
      </c>
      <c r="S260">
        <f>_xll.IMDP("STK",표.실시간[[#This Row],[nxt_code]],"세션명")</f>
        <v>0</v>
      </c>
      <c r="T260">
        <f>_xll.IMDP("STK",표.실시간[[#This Row],[nxt_code]],"체결시간")</f>
        <v>0</v>
      </c>
      <c r="U260" s="2">
        <f>_xll.IMDP("STK","001120","현재가")</f>
        <v>37750</v>
      </c>
      <c r="V260">
        <f>_xll.IMDP("STK","001120","누적거래량")</f>
        <v>12987</v>
      </c>
    </row>
    <row r="261" spans="2:22" x14ac:dyDescent="0.3">
      <c r="B261">
        <v>253</v>
      </c>
      <c r="C261">
        <v>0</v>
      </c>
      <c r="D261">
        <f>IF(IFERROR(INDEX(표.kospi200[code],MATCH(표.실시간[[#This Row],[코드]],표.kospi200[code],0)),0)=0,0,1)</f>
        <v>0</v>
      </c>
      <c r="E261" t="s">
        <v>266</v>
      </c>
      <c r="F261">
        <v>31980</v>
      </c>
      <c r="G261" t="str">
        <f>ConvertStockCode(표.실시간[[#This Row],[코드]])</f>
        <v>N031980</v>
      </c>
      <c r="H261" s="2">
        <f>_xll.IMDP("STK",표.실시간[[#This Row],[nxt_code]],"현재가")</f>
        <v>78800</v>
      </c>
      <c r="I261" s="2">
        <f>_xll.IMDP("STK",표.실시간[[#This Row],[nxt_code]],"시가총액")/10^12</f>
        <v>1.699116726</v>
      </c>
      <c r="J261" s="2">
        <f>표.실시간[[#This Row],[시가총액 (조원)]]/표.실시간[[#This Row],[현재가]]*(표.실시간[[#This Row],[현재가]]-표.실시간[[#This Row],[대비]])</f>
        <v>1.7077416839999999</v>
      </c>
      <c r="K261" s="3">
        <f>_xll.IMDP("STK",표.실시간[[#This Row],[nxt_code]],"전일대비")</f>
        <v>-400</v>
      </c>
      <c r="L261">
        <f>_xll.IMDP("STK",표.실시간[[#This Row],[nxt_code]],"등락률")</f>
        <v>-0.13</v>
      </c>
      <c r="M261" s="2">
        <f>_xll.IMDP("STK",표.실시간[[#This Row],[nxt_code]],"누적거래량")</f>
        <v>69504</v>
      </c>
      <c r="N261" s="2">
        <f>_xll.IMDP("STK",표.실시간[[#This Row],[nxt_code]],"누적거래대금")/10^8</f>
        <v>52.876285000000003</v>
      </c>
      <c r="O261" s="2">
        <f>_xll.IMDP("STK",표.실시간[[#This Row],[nxt_code]],"가중평균가")</f>
        <v>76076.607101999994</v>
      </c>
      <c r="P261" s="2">
        <f>_xll.IMDP("STK",표.실시간[[#This Row],[nxt_code]],"시가")</f>
        <v>77000</v>
      </c>
      <c r="Q261" s="2">
        <f>_xll.IMDP("STK",표.실시간[[#This Row],[nxt_code]],"고가")</f>
        <v>78800</v>
      </c>
      <c r="R261" s="2">
        <f>_xll.IMDP("STK",표.실시간[[#This Row],[nxt_code]],"저가")</f>
        <v>74500</v>
      </c>
      <c r="S261">
        <f>_xll.IMDP("STK",표.실시간[[#This Row],[nxt_code]],"세션명")</f>
        <v>0</v>
      </c>
      <c r="T261">
        <f>_xll.IMDP("STK",표.실시간[[#This Row],[nxt_code]],"체결시간")</f>
        <v>0</v>
      </c>
      <c r="U261" s="2">
        <f>_xll.IMDP("STK","031980","현재가")</f>
        <v>78900</v>
      </c>
      <c r="V261">
        <f>_xll.IMDP("STK","031980","누적거래량")</f>
        <v>41180</v>
      </c>
    </row>
    <row r="262" spans="2:22" x14ac:dyDescent="0.3">
      <c r="B262">
        <v>254</v>
      </c>
      <c r="C262">
        <v>1</v>
      </c>
      <c r="D262">
        <f>IF(IFERROR(INDEX(표.kospi200[code],MATCH(표.실시간[[#This Row],[코드]],표.kospi200[code],0)),0)=0,0,1)</f>
        <v>0</v>
      </c>
      <c r="E262" t="s">
        <v>267</v>
      </c>
      <c r="F262">
        <v>3540</v>
      </c>
      <c r="G262" t="str">
        <f>ConvertStockCode(표.실시간[[#This Row],[코드]])</f>
        <v>N003540</v>
      </c>
      <c r="H262" s="2">
        <f>_xll.IMDP("STK",표.실시간[[#This Row],[nxt_code]],"현재가")</f>
        <v>30300</v>
      </c>
      <c r="I262" s="2">
        <f>_xll.IMDP("STK",표.실시간[[#This Row],[nxt_code]],"시가총액")/10^12</f>
        <v>1.53843402</v>
      </c>
      <c r="J262" s="2">
        <f>표.실시간[[#This Row],[시가총액 (조원)]]/표.실시간[[#This Row],[현재가]]*(표.실시간[[#This Row],[현재가]]-표.실시간[[#This Row],[대비]])</f>
        <v>1.5892074199999999</v>
      </c>
      <c r="K262" s="3">
        <f>_xll.IMDP("STK",표.실시간[[#This Row],[nxt_code]],"전일대비")</f>
        <v>-1000</v>
      </c>
      <c r="L262">
        <f>_xll.IMDP("STK",표.실시간[[#This Row],[nxt_code]],"등락률")</f>
        <v>-3.19</v>
      </c>
      <c r="M262" s="2">
        <f>_xll.IMDP("STK",표.실시간[[#This Row],[nxt_code]],"누적거래량")</f>
        <v>39139</v>
      </c>
      <c r="N262" s="2">
        <f>_xll.IMDP("STK",표.실시간[[#This Row],[nxt_code]],"누적거래대금")/10^8</f>
        <v>11.9740895</v>
      </c>
      <c r="O262" s="2">
        <f>_xll.IMDP("STK",표.실시간[[#This Row],[nxt_code]],"가중평균가")</f>
        <v>30593.754312000001</v>
      </c>
      <c r="P262" s="2">
        <f>_xll.IMDP("STK",표.실시간[[#This Row],[nxt_code]],"시가")</f>
        <v>30950</v>
      </c>
      <c r="Q262" s="2">
        <f>_xll.IMDP("STK",표.실시간[[#This Row],[nxt_code]],"고가")</f>
        <v>31050</v>
      </c>
      <c r="R262" s="2">
        <f>_xll.IMDP("STK",표.실시간[[#This Row],[nxt_code]],"저가")</f>
        <v>30100</v>
      </c>
      <c r="S262">
        <f>_xll.IMDP("STK",표.실시간[[#This Row],[nxt_code]],"세션명")</f>
        <v>0</v>
      </c>
      <c r="T262">
        <f>_xll.IMDP("STK",표.실시간[[#This Row],[nxt_code]],"체결시간")</f>
        <v>0</v>
      </c>
      <c r="U262" s="2">
        <f>_xll.IMDP("STK","003540","현재가")</f>
        <v>30200</v>
      </c>
      <c r="V262">
        <f>_xll.IMDP("STK","003540","누적거래량")</f>
        <v>24859</v>
      </c>
    </row>
    <row r="263" spans="2:22" x14ac:dyDescent="0.3">
      <c r="B263">
        <v>255</v>
      </c>
      <c r="C263">
        <v>0</v>
      </c>
      <c r="D263">
        <f>IF(IFERROR(INDEX(표.kospi200[code],MATCH(표.실시간[[#This Row],[코드]],표.kospi200[code],0)),0)=0,0,1)</f>
        <v>0</v>
      </c>
      <c r="E263" t="s">
        <v>268</v>
      </c>
      <c r="F263">
        <v>35760</v>
      </c>
      <c r="G263" t="str">
        <f>ConvertStockCode(표.실시간[[#This Row],[코드]])</f>
        <v>N035760</v>
      </c>
      <c r="H263" s="2">
        <f>_xll.IMDP("STK",표.실시간[[#This Row],[nxt_code]],"현재가")</f>
        <v>71200</v>
      </c>
      <c r="I263" s="2">
        <f>_xll.IMDP("STK",표.실시간[[#This Row],[nxt_code]],"시가총액")/10^12</f>
        <v>1.5613557648</v>
      </c>
      <c r="J263" s="2">
        <f>표.실시간[[#This Row],[시가총액 (조원)]]/표.실시간[[#This Row],[현재가]]*(표.실시간[[#This Row],[현재가]]-표.실시간[[#This Row],[대비]])</f>
        <v>1.6403007192000001</v>
      </c>
      <c r="K263" s="3">
        <f>_xll.IMDP("STK",표.실시간[[#This Row],[nxt_code]],"전일대비")</f>
        <v>-3600</v>
      </c>
      <c r="L263">
        <f>_xll.IMDP("STK",표.실시간[[#This Row],[nxt_code]],"등락률")</f>
        <v>-4.8099999999999996</v>
      </c>
      <c r="M263" s="2">
        <f>_xll.IMDP("STK",표.실시간[[#This Row],[nxt_code]],"누적거래량")</f>
        <v>15062</v>
      </c>
      <c r="N263" s="2">
        <f>_xll.IMDP("STK",표.실시간[[#This Row],[nxt_code]],"누적거래대금")/10^8</f>
        <v>10.795299</v>
      </c>
      <c r="O263" s="2">
        <f>_xll.IMDP("STK",표.실시간[[#This Row],[nxt_code]],"가중평균가")</f>
        <v>71672.414021999997</v>
      </c>
      <c r="P263" s="2">
        <f>_xll.IMDP("STK",표.실시간[[#This Row],[nxt_code]],"시가")</f>
        <v>73900</v>
      </c>
      <c r="Q263" s="2">
        <f>_xll.IMDP("STK",표.실시간[[#This Row],[nxt_code]],"고가")</f>
        <v>74500</v>
      </c>
      <c r="R263" s="2">
        <f>_xll.IMDP("STK",표.실시간[[#This Row],[nxt_code]],"저가")</f>
        <v>70000</v>
      </c>
      <c r="S263">
        <f>_xll.IMDP("STK",표.실시간[[#This Row],[nxt_code]],"세션명")</f>
        <v>0</v>
      </c>
      <c r="T263">
        <f>_xll.IMDP("STK",표.실시간[[#This Row],[nxt_code]],"체결시간")</f>
        <v>0</v>
      </c>
      <c r="U263" s="2">
        <f>_xll.IMDP("STK","035760","현재가")</f>
        <v>71000</v>
      </c>
      <c r="V263">
        <f>_xll.IMDP("STK","035760","누적거래량")</f>
        <v>13111</v>
      </c>
    </row>
    <row r="264" spans="2:22" x14ac:dyDescent="0.3">
      <c r="B264">
        <v>256</v>
      </c>
      <c r="C264">
        <v>0</v>
      </c>
      <c r="D264">
        <f>IF(IFERROR(INDEX(표.kospi200[code],MATCH(표.실시간[[#This Row],[코드]],표.kospi200[code],0)),0)=0,0,1)</f>
        <v>0</v>
      </c>
      <c r="E264" t="s">
        <v>269</v>
      </c>
      <c r="F264">
        <v>253450</v>
      </c>
      <c r="G264" t="str">
        <f>ConvertStockCode(표.실시간[[#This Row],[코드]])</f>
        <v>N253450</v>
      </c>
      <c r="H264" s="2">
        <f>_xll.IMDP("STK",표.실시간[[#This Row],[nxt_code]],"현재가")</f>
        <v>47250</v>
      </c>
      <c r="I264" s="2">
        <f>_xll.IMDP("STK",표.실시간[[#This Row],[nxt_code]],"시가총액")/10^12</f>
        <v>1.4202640305000001</v>
      </c>
      <c r="J264" s="2">
        <f>표.실시간[[#This Row],[시가총액 (조원)]]/표.실시간[[#This Row],[현재가]]*(표.실시간[[#This Row],[현재가]]-표.실시간[[#This Row],[대비]])</f>
        <v>1.4818839514000002</v>
      </c>
      <c r="K264" s="3">
        <f>_xll.IMDP("STK",표.실시간[[#This Row],[nxt_code]],"전일대비")</f>
        <v>-2050</v>
      </c>
      <c r="L264">
        <f>_xll.IMDP("STK",표.실시간[[#This Row],[nxt_code]],"등락률")</f>
        <v>-4.16</v>
      </c>
      <c r="M264" s="2">
        <f>_xll.IMDP("STK",표.실시간[[#This Row],[nxt_code]],"누적거래량")</f>
        <v>21583</v>
      </c>
      <c r="N264" s="2">
        <f>_xll.IMDP("STK",표.실시간[[#This Row],[nxt_code]],"누적거래대금")/10^8</f>
        <v>10.355158749999999</v>
      </c>
      <c r="O264" s="2">
        <f>_xll.IMDP("STK",표.실시간[[#This Row],[nxt_code]],"가중평균가")</f>
        <v>47649.359239999998</v>
      </c>
      <c r="P264" s="2">
        <f>_xll.IMDP("STK",표.실시간[[#This Row],[nxt_code]],"시가")</f>
        <v>49150</v>
      </c>
      <c r="Q264" s="2">
        <f>_xll.IMDP("STK",표.실시간[[#This Row],[nxt_code]],"고가")</f>
        <v>49150</v>
      </c>
      <c r="R264" s="2">
        <f>_xll.IMDP("STK",표.실시간[[#This Row],[nxt_code]],"저가")</f>
        <v>47075</v>
      </c>
      <c r="S264">
        <f>_xll.IMDP("STK",표.실시간[[#This Row],[nxt_code]],"세션명")</f>
        <v>0</v>
      </c>
      <c r="T264">
        <f>_xll.IMDP("STK",표.실시간[[#This Row],[nxt_code]],"체결시간")</f>
        <v>0</v>
      </c>
      <c r="U264" s="2">
        <f>_xll.IMDP("STK","253450","현재가")</f>
        <v>47400</v>
      </c>
      <c r="V264">
        <f>_xll.IMDP("STK","253450","누적거래량")</f>
        <v>17584</v>
      </c>
    </row>
    <row r="265" spans="2:22" x14ac:dyDescent="0.3">
      <c r="B265">
        <v>257</v>
      </c>
      <c r="C265">
        <v>0</v>
      </c>
      <c r="D265">
        <f>IF(IFERROR(INDEX(표.kospi200[code],MATCH(표.실시간[[#This Row],[코드]],표.kospi200[code],0)),0)=0,0,1)</f>
        <v>0</v>
      </c>
      <c r="E265" t="s">
        <v>270</v>
      </c>
      <c r="F265">
        <v>195940</v>
      </c>
      <c r="G265" t="str">
        <f>ConvertStockCode(표.실시간[[#This Row],[코드]])</f>
        <v>N195940</v>
      </c>
      <c r="H265" s="2">
        <f>_xll.IMDP("STK",표.실시간[[#This Row],[nxt_code]],"현재가")</f>
        <v>56400</v>
      </c>
      <c r="I265" s="2">
        <f>_xll.IMDP("STK",표.실시간[[#This Row],[nxt_code]],"시가총액")/10^12</f>
        <v>1.5978058524000001</v>
      </c>
      <c r="J265" s="2">
        <f>표.실시간[[#This Row],[시가총액 (조원)]]/표.실시간[[#This Row],[현재가]]*(표.실시간[[#This Row],[현재가]]-표.실시간[[#This Row],[대비]])</f>
        <v>1.5949728633</v>
      </c>
      <c r="K265" s="3">
        <f>_xll.IMDP("STK",표.실시간[[#This Row],[nxt_code]],"전일대비")</f>
        <v>100</v>
      </c>
      <c r="L265">
        <f>_xll.IMDP("STK",표.실시간[[#This Row],[nxt_code]],"등락률")</f>
        <v>0.18</v>
      </c>
      <c r="M265" s="2">
        <f>_xll.IMDP("STK",표.실시간[[#This Row],[nxt_code]],"누적거래량")</f>
        <v>78292</v>
      </c>
      <c r="N265" s="2">
        <f>_xll.IMDP("STK",표.실시간[[#This Row],[nxt_code]],"누적거래대금")/10^8</f>
        <v>42.686244500000001</v>
      </c>
      <c r="O265" s="2">
        <f>_xll.IMDP("STK",표.실시간[[#This Row],[nxt_code]],"가중평균가")</f>
        <v>54521.84706</v>
      </c>
      <c r="P265" s="2">
        <f>_xll.IMDP("STK",표.실시간[[#This Row],[nxt_code]],"시가")</f>
        <v>56300</v>
      </c>
      <c r="Q265" s="2">
        <f>_xll.IMDP("STK",표.실시간[[#This Row],[nxt_code]],"고가")</f>
        <v>56400</v>
      </c>
      <c r="R265" s="2">
        <f>_xll.IMDP("STK",표.실시간[[#This Row],[nxt_code]],"저가")</f>
        <v>53700</v>
      </c>
      <c r="S265">
        <f>_xll.IMDP("STK",표.실시간[[#This Row],[nxt_code]],"세션명")</f>
        <v>0</v>
      </c>
      <c r="T265">
        <f>_xll.IMDP("STK",표.실시간[[#This Row],[nxt_code]],"체결시간")</f>
        <v>0</v>
      </c>
      <c r="U265" s="2">
        <f>_xll.IMDP("STK","195940","현재가")</f>
        <v>56400</v>
      </c>
      <c r="V265">
        <f>_xll.IMDP("STK","195940","누적거래량")</f>
        <v>37936</v>
      </c>
    </row>
    <row r="266" spans="2:22" x14ac:dyDescent="0.3">
      <c r="B266">
        <v>258</v>
      </c>
      <c r="C266">
        <v>0</v>
      </c>
      <c r="D266">
        <f>IF(IFERROR(INDEX(표.kospi200[code],MATCH(표.실시간[[#This Row],[코드]],표.kospi200[code],0)),0)=0,0,1)</f>
        <v>0</v>
      </c>
      <c r="E266" t="s">
        <v>271</v>
      </c>
      <c r="F266">
        <v>348370</v>
      </c>
      <c r="G266" t="str">
        <f>ConvertStockCode(표.실시간[[#This Row],[코드]])</f>
        <v>N348370</v>
      </c>
      <c r="H266" s="2">
        <f>_xll.IMDP("STK",표.실시간[[#This Row],[nxt_code]],"현재가")</f>
        <v>94000</v>
      </c>
      <c r="I266" s="2">
        <f>_xll.IMDP("STK",표.실시간[[#This Row],[nxt_code]],"시가총액")/10^12</f>
        <v>2.053912784</v>
      </c>
      <c r="J266" s="2">
        <f>표.실시간[[#This Row],[시가총액 (조원)]]/표.실시간[[#This Row],[현재가]]*(표.실시간[[#This Row],[현재가]]-표.실시간[[#This Row],[대비]])</f>
        <v>2.1500533824000003</v>
      </c>
      <c r="K266" s="3">
        <f>_xll.IMDP("STK",표.실시간[[#This Row],[nxt_code]],"전일대비")</f>
        <v>-4400</v>
      </c>
      <c r="L266">
        <f>_xll.IMDP("STK",표.실시간[[#This Row],[nxt_code]],"등락률")</f>
        <v>-2.19</v>
      </c>
      <c r="M266" s="2">
        <f>_xll.IMDP("STK",표.실시간[[#This Row],[nxt_code]],"누적거래량")</f>
        <v>209915</v>
      </c>
      <c r="N266" s="2">
        <f>_xll.IMDP("STK",표.실시간[[#This Row],[nxt_code]],"누적거래대금")/10^8</f>
        <v>195.66695300000001</v>
      </c>
      <c r="O266" s="2">
        <f>_xll.IMDP("STK",표.실시간[[#This Row],[nxt_code]],"가중평균가")</f>
        <v>93212.468380000006</v>
      </c>
      <c r="P266" s="2">
        <f>_xll.IMDP("STK",표.실시간[[#This Row],[nxt_code]],"시가")</f>
        <v>93800</v>
      </c>
      <c r="Q266" s="2">
        <f>_xll.IMDP("STK",표.실시간[[#This Row],[nxt_code]],"고가")</f>
        <v>97800</v>
      </c>
      <c r="R266" s="2">
        <f>_xll.IMDP("STK",표.실시간[[#This Row],[nxt_code]],"저가")</f>
        <v>91000</v>
      </c>
      <c r="S266">
        <f>_xll.IMDP("STK",표.실시간[[#This Row],[nxt_code]],"세션명")</f>
        <v>0</v>
      </c>
      <c r="T266">
        <f>_xll.IMDP("STK",표.실시간[[#This Row],[nxt_code]],"체결시간")</f>
        <v>0</v>
      </c>
      <c r="U266" s="2">
        <f>_xll.IMDP("STK","348370","현재가")</f>
        <v>94000</v>
      </c>
      <c r="V266">
        <f>_xll.IMDP("STK","348370","누적거래량")</f>
        <v>95665</v>
      </c>
    </row>
    <row r="267" spans="2:22" x14ac:dyDescent="0.3">
      <c r="B267">
        <v>259</v>
      </c>
      <c r="C267">
        <v>1</v>
      </c>
      <c r="D267">
        <f>IF(IFERROR(INDEX(표.kospi200[code],MATCH(표.실시간[[#This Row],[코드]],표.kospi200[code],0)),0)=0,0,1)</f>
        <v>0</v>
      </c>
      <c r="E267" t="s">
        <v>272</v>
      </c>
      <c r="F267">
        <v>294870</v>
      </c>
      <c r="G267" t="str">
        <f>ConvertStockCode(표.실시간[[#This Row],[코드]])</f>
        <v>N294870</v>
      </c>
      <c r="H267" s="2">
        <f>_xll.IMDP("STK",표.실시간[[#This Row],[nxt_code]],"현재가")</f>
        <v>20350</v>
      </c>
      <c r="I267" s="2">
        <f>_xll.IMDP("STK",표.실시간[[#This Row],[nxt_code]],"시가총액")/10^12</f>
        <v>1.3412141655000001</v>
      </c>
      <c r="J267" s="2">
        <f>표.실시간[[#This Row],[시가총액 (조원)]]/표.실시간[[#This Row],[현재가]]*(표.실시간[[#This Row],[현재가]]-표.실시간[[#This Row],[대비]])</f>
        <v>1.357690998</v>
      </c>
      <c r="K267" s="3">
        <f>_xll.IMDP("STK",표.실시간[[#This Row],[nxt_code]],"전일대비")</f>
        <v>-250</v>
      </c>
      <c r="L267">
        <f>_xll.IMDP("STK",표.실시간[[#This Row],[nxt_code]],"등락률")</f>
        <v>-1.21</v>
      </c>
      <c r="M267" s="2">
        <f>_xll.IMDP("STK",표.실시간[[#This Row],[nxt_code]],"누적거래량")</f>
        <v>18914</v>
      </c>
      <c r="N267" s="2">
        <f>_xll.IMDP("STK",표.실시간[[#This Row],[nxt_code]],"누적거래대금")/10^8</f>
        <v>3.9253615000000002</v>
      </c>
      <c r="O267" s="2">
        <f>_xll.IMDP("STK",표.실시간[[#This Row],[nxt_code]],"가중평균가")</f>
        <v>20343.899453000002</v>
      </c>
      <c r="P267" s="2">
        <f>_xll.IMDP("STK",표.실시간[[#This Row],[nxt_code]],"시가")</f>
        <v>20550</v>
      </c>
      <c r="Q267" s="2">
        <f>_xll.IMDP("STK",표.실시간[[#This Row],[nxt_code]],"고가")</f>
        <v>20550</v>
      </c>
      <c r="R267" s="2">
        <f>_xll.IMDP("STK",표.실시간[[#This Row],[nxt_code]],"저가")</f>
        <v>20250</v>
      </c>
      <c r="S267">
        <f>_xll.IMDP("STK",표.실시간[[#This Row],[nxt_code]],"세션명")</f>
        <v>0</v>
      </c>
      <c r="T267">
        <f>_xll.IMDP("STK",표.실시간[[#This Row],[nxt_code]],"체결시간")</f>
        <v>0</v>
      </c>
      <c r="U267" s="2">
        <f>_xll.IMDP("STK","294870","현재가")</f>
        <v>20350</v>
      </c>
      <c r="V267">
        <f>_xll.IMDP("STK","294870","누적거래량")</f>
        <v>11919</v>
      </c>
    </row>
    <row r="268" spans="2:22" x14ac:dyDescent="0.3">
      <c r="B268">
        <v>260</v>
      </c>
      <c r="C268">
        <v>1</v>
      </c>
      <c r="D268">
        <f>IF(IFERROR(INDEX(표.kospi200[code],MATCH(표.실시간[[#This Row],[코드]],표.kospi200[code],0)),0)=0,0,1)</f>
        <v>0</v>
      </c>
      <c r="E268" t="s">
        <v>273</v>
      </c>
      <c r="F268">
        <v>5440</v>
      </c>
      <c r="G268" t="str">
        <f>ConvertStockCode(표.실시간[[#This Row],[코드]])</f>
        <v>N005440</v>
      </c>
      <c r="H268" s="2">
        <f>_xll.IMDP("STK",표.실시간[[#This Row],[nxt_code]],"현재가")</f>
        <v>9250</v>
      </c>
      <c r="I268" s="2">
        <f>_xll.IMDP("STK",표.실시간[[#This Row],[nxt_code]],"시가총액")/10^12</f>
        <v>1.4421147842499999</v>
      </c>
      <c r="J268" s="2">
        <f>표.실시간[[#This Row],[시가총액 (조원)]]/표.실시간[[#This Row],[현재가]]*(표.실시간[[#This Row],[현재가]]-표.실시간[[#This Row],[대비]])</f>
        <v>1.44679191328</v>
      </c>
      <c r="K268" s="3">
        <f>_xll.IMDP("STK",표.실시간[[#This Row],[nxt_code]],"전일대비")</f>
        <v>-30</v>
      </c>
      <c r="L268">
        <f>_xll.IMDP("STK",표.실시간[[#This Row],[nxt_code]],"등락률")</f>
        <v>-0.32</v>
      </c>
      <c r="M268" s="2">
        <f>_xll.IMDP("STK",표.실시간[[#This Row],[nxt_code]],"누적거래량")</f>
        <v>25633</v>
      </c>
      <c r="N268" s="2">
        <f>_xll.IMDP("STK",표.실시간[[#This Row],[nxt_code]],"누적거래대금")/10^8</f>
        <v>2.3280232999999999</v>
      </c>
      <c r="O268" s="2">
        <f>_xll.IMDP("STK",표.실시간[[#This Row],[nxt_code]],"가중평균가")</f>
        <v>9081.4233100000001</v>
      </c>
      <c r="P268" s="2">
        <f>_xll.IMDP("STK",표.실시간[[#This Row],[nxt_code]],"시가")</f>
        <v>9280</v>
      </c>
      <c r="Q268" s="2">
        <f>_xll.IMDP("STK",표.실시간[[#This Row],[nxt_code]],"고가")</f>
        <v>9280</v>
      </c>
      <c r="R268" s="2">
        <f>_xll.IMDP("STK",표.실시간[[#This Row],[nxt_code]],"저가")</f>
        <v>8950</v>
      </c>
      <c r="S268">
        <f>_xll.IMDP("STK",표.실시간[[#This Row],[nxt_code]],"세션명")</f>
        <v>0</v>
      </c>
      <c r="T268">
        <f>_xll.IMDP("STK",표.실시간[[#This Row],[nxt_code]],"체결시간")</f>
        <v>0</v>
      </c>
      <c r="U268" s="2">
        <f>_xll.IMDP("STK","005440","현재가")</f>
        <v>9250</v>
      </c>
      <c r="V268">
        <f>_xll.IMDP("STK","005440","누적거래량")</f>
        <v>13575</v>
      </c>
    </row>
    <row r="269" spans="2:22" x14ac:dyDescent="0.3">
      <c r="B269">
        <v>261</v>
      </c>
      <c r="C269">
        <v>0</v>
      </c>
      <c r="D269">
        <f>IF(IFERROR(INDEX(표.kospi200[code],MATCH(표.실시간[[#This Row],[코드]],표.kospi200[code],0)),0)=0,0,1)</f>
        <v>0</v>
      </c>
      <c r="E269" t="s">
        <v>274</v>
      </c>
      <c r="F269">
        <v>290650</v>
      </c>
      <c r="G269" t="str">
        <f>ConvertStockCode(표.실시간[[#This Row],[코드]])</f>
        <v>N290650</v>
      </c>
      <c r="H269" s="2">
        <f>_xll.IMDP("STK",표.실시간[[#This Row],[nxt_code]],"현재가")</f>
        <v>88500</v>
      </c>
      <c r="I269" s="2">
        <f>_xll.IMDP("STK",표.실시간[[#This Row],[nxt_code]],"시가총액")/10^12</f>
        <v>2.1985225755000002</v>
      </c>
      <c r="J269" s="2">
        <f>표.실시간[[#This Row],[시가총액 (조원)]]/표.실시간[[#This Row],[현재가]]*(표.실시간[[#This Row],[현재가]]-표.실시간[[#This Row],[대비]])</f>
        <v>2.2904382086000004</v>
      </c>
      <c r="K269" s="3">
        <f>_xll.IMDP("STK",표.실시간[[#This Row],[nxt_code]],"전일대비")</f>
        <v>-3700</v>
      </c>
      <c r="L269">
        <f>_xll.IMDP("STK",표.실시간[[#This Row],[nxt_code]],"등락률")</f>
        <v>-4.01</v>
      </c>
      <c r="M269" s="2">
        <f>_xll.IMDP("STK",표.실시간[[#This Row],[nxt_code]],"누적거래량")</f>
        <v>214839</v>
      </c>
      <c r="N269" s="2">
        <f>_xll.IMDP("STK",표.실시간[[#This Row],[nxt_code]],"누적거래대금")/10^8</f>
        <v>187.10870349999999</v>
      </c>
      <c r="O269" s="2">
        <f>_xll.IMDP("STK",표.실시간[[#This Row],[nxt_code]],"가중평균가")</f>
        <v>87092.522075000001</v>
      </c>
      <c r="P269" s="2">
        <f>_xll.IMDP("STK",표.실시간[[#This Row],[nxt_code]],"시가")</f>
        <v>88000</v>
      </c>
      <c r="Q269" s="2">
        <f>_xll.IMDP("STK",표.실시간[[#This Row],[nxt_code]],"고가")</f>
        <v>90800</v>
      </c>
      <c r="R269" s="2">
        <f>_xll.IMDP("STK",표.실시간[[#This Row],[nxt_code]],"저가")</f>
        <v>84100</v>
      </c>
      <c r="S269">
        <f>_xll.IMDP("STK",표.실시간[[#This Row],[nxt_code]],"세션명")</f>
        <v>0</v>
      </c>
      <c r="T269">
        <f>_xll.IMDP("STK",표.실시간[[#This Row],[nxt_code]],"체결시간")</f>
        <v>0</v>
      </c>
      <c r="U269" s="2">
        <f>_xll.IMDP("STK","290650","현재가")</f>
        <v>88300</v>
      </c>
      <c r="V269">
        <f>_xll.IMDP("STK","290650","누적거래량")</f>
        <v>108335</v>
      </c>
    </row>
    <row r="270" spans="2:22" x14ac:dyDescent="0.3">
      <c r="B270">
        <v>262</v>
      </c>
      <c r="C270">
        <v>1</v>
      </c>
      <c r="D270">
        <f>IF(IFERROR(INDEX(표.kospi200[code],MATCH(표.실시간[[#This Row],[코드]],표.kospi200[code],0)),0)=0,0,1)</f>
        <v>1</v>
      </c>
      <c r="E270" t="s">
        <v>275</v>
      </c>
      <c r="F270">
        <v>1800</v>
      </c>
      <c r="G270" t="str">
        <f>ConvertStockCode(표.실시간[[#This Row],[코드]])</f>
        <v>N001800</v>
      </c>
      <c r="H270" s="2">
        <f>_xll.IMDP("STK",표.실시간[[#This Row],[nxt_code]],"현재가")</f>
        <v>20800</v>
      </c>
      <c r="I270" s="2">
        <f>_xll.IMDP("STK",표.실시간[[#This Row],[nxt_code]],"시가총액")/10^12</f>
        <v>1.3030247775999999</v>
      </c>
      <c r="J270" s="2">
        <f>표.실시간[[#This Row],[시가총액 (조원)]]/표.실시간[[#This Row],[현재가]]*(표.실시간[[#This Row],[현재가]]-표.실시간[[#This Row],[대비]])</f>
        <v>1.3092893198</v>
      </c>
      <c r="K270" s="3">
        <f>_xll.IMDP("STK",표.실시간[[#This Row],[nxt_code]],"전일대비")</f>
        <v>-100</v>
      </c>
      <c r="L270">
        <f>_xll.IMDP("STK",표.실시간[[#This Row],[nxt_code]],"등락률")</f>
        <v>-0.48</v>
      </c>
      <c r="M270" s="2">
        <f>_xll.IMDP("STK",표.실시간[[#This Row],[nxt_code]],"누적거래량")</f>
        <v>7560</v>
      </c>
      <c r="N270" s="2">
        <f>_xll.IMDP("STK",표.실시간[[#This Row],[nxt_code]],"누적거래대금")/10^8</f>
        <v>1.5684245000000001</v>
      </c>
      <c r="O270" s="2">
        <f>_xll.IMDP("STK",표.실시간[[#This Row],[nxt_code]],"가중평균가")</f>
        <v>20746.355820000001</v>
      </c>
      <c r="P270" s="2">
        <f>_xll.IMDP("STK",표.실시간[[#This Row],[nxt_code]],"시가")</f>
        <v>20900</v>
      </c>
      <c r="Q270" s="2">
        <f>_xll.IMDP("STK",표.실시간[[#This Row],[nxt_code]],"고가")</f>
        <v>20950</v>
      </c>
      <c r="R270" s="2">
        <f>_xll.IMDP("STK",표.실시간[[#This Row],[nxt_code]],"저가")</f>
        <v>20600</v>
      </c>
      <c r="S270">
        <f>_xll.IMDP("STK",표.실시간[[#This Row],[nxt_code]],"세션명")</f>
        <v>0</v>
      </c>
      <c r="T270">
        <f>_xll.IMDP("STK",표.실시간[[#This Row],[nxt_code]],"체결시간")</f>
        <v>0</v>
      </c>
      <c r="U270" s="2">
        <f>_xll.IMDP("STK","001800","현재가")</f>
        <v>20850</v>
      </c>
      <c r="V270">
        <f>_xll.IMDP("STK","001800","누적거래량")</f>
        <v>11883</v>
      </c>
    </row>
    <row r="271" spans="2:22" x14ac:dyDescent="0.3">
      <c r="B271">
        <v>263</v>
      </c>
      <c r="C271">
        <v>0</v>
      </c>
      <c r="D271">
        <f>IF(IFERROR(INDEX(표.kospi200[code],MATCH(표.실시간[[#This Row],[코드]],표.kospi200[code],0)),0)=0,0,1)</f>
        <v>0</v>
      </c>
      <c r="E271" t="s">
        <v>276</v>
      </c>
      <c r="F271">
        <v>85660</v>
      </c>
      <c r="G271" t="str">
        <f>ConvertStockCode(표.실시간[[#This Row],[코드]])</f>
        <v>N085660</v>
      </c>
      <c r="H271" s="2">
        <f>_xll.IMDP("STK",표.실시간[[#This Row],[nxt_code]],"현재가")</f>
        <v>21550</v>
      </c>
      <c r="I271" s="2">
        <f>_xll.IMDP("STK",표.실시간[[#This Row],[nxt_code]],"시가총액")/10^12</f>
        <v>1.71260502805</v>
      </c>
      <c r="J271" s="2">
        <f>표.실시간[[#This Row],[시가총액 (조원)]]/표.실시간[[#This Row],[현재가]]*(표.실시간[[#This Row],[현재가]]-표.실시간[[#This Row],[대비]])</f>
        <v>1.7443935204499998</v>
      </c>
      <c r="K271" s="3">
        <f>_xll.IMDP("STK",표.실시간[[#This Row],[nxt_code]],"전일대비")</f>
        <v>-400</v>
      </c>
      <c r="L271">
        <f>_xll.IMDP("STK",표.실시간[[#This Row],[nxt_code]],"등락률")</f>
        <v>-1.37</v>
      </c>
      <c r="M271" s="2">
        <f>_xll.IMDP("STK",표.실시간[[#This Row],[nxt_code]],"누적거래량")</f>
        <v>462348</v>
      </c>
      <c r="N271" s="2">
        <f>_xll.IMDP("STK",표.실시간[[#This Row],[nxt_code]],"누적거래대금")/10^8</f>
        <v>96.724220500000001</v>
      </c>
      <c r="O271" s="2">
        <f>_xll.IMDP("STK",표.실시간[[#This Row],[nxt_code]],"가중평균가")</f>
        <v>20918.501101000002</v>
      </c>
      <c r="P271" s="2">
        <f>_xll.IMDP("STK",표.실시간[[#This Row],[nxt_code]],"시가")</f>
        <v>21750</v>
      </c>
      <c r="Q271" s="2">
        <f>_xll.IMDP("STK",표.실시간[[#This Row],[nxt_code]],"고가")</f>
        <v>21800</v>
      </c>
      <c r="R271" s="2">
        <f>_xll.IMDP("STK",표.실시간[[#This Row],[nxt_code]],"저가")</f>
        <v>20300</v>
      </c>
      <c r="S271">
        <f>_xll.IMDP("STK",표.실시간[[#This Row],[nxt_code]],"세션명")</f>
        <v>0</v>
      </c>
      <c r="T271">
        <f>_xll.IMDP("STK",표.실시간[[#This Row],[nxt_code]],"체결시간")</f>
        <v>0</v>
      </c>
      <c r="U271" s="2">
        <f>_xll.IMDP("STK","085660","현재가")</f>
        <v>21600</v>
      </c>
      <c r="V271">
        <f>_xll.IMDP("STK","085660","누적거래량")</f>
        <v>182885</v>
      </c>
    </row>
    <row r="272" spans="2:22" x14ac:dyDescent="0.3">
      <c r="B272">
        <v>264</v>
      </c>
      <c r="C272">
        <v>1</v>
      </c>
      <c r="D272">
        <f>IF(IFERROR(INDEX(표.kospi200[code],MATCH(표.실시간[[#This Row],[코드]],표.kospi200[code],0)),0)=0,0,1)</f>
        <v>1</v>
      </c>
      <c r="E272" t="s">
        <v>277</v>
      </c>
      <c r="F272">
        <v>3090</v>
      </c>
      <c r="G272" t="str">
        <f>ConvertStockCode(표.실시간[[#This Row],[코드]])</f>
        <v>N003090</v>
      </c>
      <c r="H272" s="2">
        <f>_xll.IMDP("STK",표.실시간[[#This Row],[nxt_code]],"현재가")</f>
        <v>23650</v>
      </c>
      <c r="I272" s="2">
        <f>_xll.IMDP("STK",표.실시간[[#This Row],[nxt_code]],"시가총액")/10^12</f>
        <v>1.375057827</v>
      </c>
      <c r="J272" s="2">
        <f>표.실시간[[#This Row],[시가총액 (조원)]]/표.실시간[[#This Row],[현재가]]*(표.실시간[[#This Row],[현재가]]-표.실시간[[#This Row],[대비]])</f>
        <v>1.39540752</v>
      </c>
      <c r="K272" s="3">
        <f>_xll.IMDP("STK",표.실시간[[#This Row],[nxt_code]],"전일대비")</f>
        <v>-350</v>
      </c>
      <c r="L272">
        <f>_xll.IMDP("STK",표.실시간[[#This Row],[nxt_code]],"등락률")</f>
        <v>-1.46</v>
      </c>
      <c r="M272" s="2">
        <f>_xll.IMDP("STK",표.실시간[[#This Row],[nxt_code]],"누적거래량")</f>
        <v>4357</v>
      </c>
      <c r="N272" s="2">
        <f>_xll.IMDP("STK",표.실시간[[#This Row],[nxt_code]],"누적거래대금")/10^8</f>
        <v>1.0344294999999999</v>
      </c>
      <c r="O272" s="2">
        <f>_xll.IMDP("STK",표.실시간[[#This Row],[nxt_code]],"가중평균가")</f>
        <v>23741.783337000001</v>
      </c>
      <c r="P272" s="2">
        <f>_xll.IMDP("STK",표.실시간[[#This Row],[nxt_code]],"시가")</f>
        <v>23950</v>
      </c>
      <c r="Q272" s="2">
        <f>_xll.IMDP("STK",표.실시간[[#This Row],[nxt_code]],"고가")</f>
        <v>24000</v>
      </c>
      <c r="R272" s="2">
        <f>_xll.IMDP("STK",표.실시간[[#This Row],[nxt_code]],"저가")</f>
        <v>23550</v>
      </c>
      <c r="S272">
        <f>_xll.IMDP("STK",표.실시간[[#This Row],[nxt_code]],"세션명")</f>
        <v>0</v>
      </c>
      <c r="T272">
        <f>_xll.IMDP("STK",표.실시간[[#This Row],[nxt_code]],"체결시간")</f>
        <v>0</v>
      </c>
      <c r="U272" s="2">
        <f>_xll.IMDP("STK","003090","현재가")</f>
        <v>23600</v>
      </c>
      <c r="V272">
        <f>_xll.IMDP("STK","003090","누적거래량")</f>
        <v>11770</v>
      </c>
    </row>
    <row r="273" spans="2:22" x14ac:dyDescent="0.3">
      <c r="B273">
        <v>265</v>
      </c>
      <c r="C273">
        <v>0</v>
      </c>
      <c r="D273">
        <f>IF(IFERROR(INDEX(표.kospi200[code],MATCH(표.실시간[[#This Row],[코드]],표.kospi200[code],0)),0)=0,0,1)</f>
        <v>0</v>
      </c>
      <c r="E273" t="s">
        <v>278</v>
      </c>
      <c r="F273">
        <v>122870</v>
      </c>
      <c r="G273" t="str">
        <f>ConvertStockCode(표.실시간[[#This Row],[코드]])</f>
        <v>N122870</v>
      </c>
      <c r="H273" s="2">
        <f>_xll.IMDP("STK",표.실시간[[#This Row],[nxt_code]],"현재가")</f>
        <v>72300</v>
      </c>
      <c r="I273" s="2">
        <f>_xll.IMDP("STK",표.실시간[[#This Row],[nxt_code]],"시가총액")/10^12</f>
        <v>1.3513628427</v>
      </c>
      <c r="J273" s="2">
        <f>표.실시간[[#This Row],[시가총액 (조원)]]/표.실시간[[#This Row],[현재가]]*(표.실시간[[#This Row],[현재가]]-표.실시간[[#This Row],[대비]])</f>
        <v>1.3980904651999999</v>
      </c>
      <c r="K273" s="3">
        <f>_xll.IMDP("STK",표.실시간[[#This Row],[nxt_code]],"전일대비")</f>
        <v>-2500</v>
      </c>
      <c r="L273">
        <f>_xll.IMDP("STK",표.실시간[[#This Row],[nxt_code]],"등락률")</f>
        <v>-3.21</v>
      </c>
      <c r="M273" s="2">
        <f>_xll.IMDP("STK",표.실시간[[#This Row],[nxt_code]],"누적거래량")</f>
        <v>46644</v>
      </c>
      <c r="N273" s="2">
        <f>_xll.IMDP("STK",표.실시간[[#This Row],[nxt_code]],"누적거래대금")/10^8</f>
        <v>33.761412</v>
      </c>
      <c r="O273" s="2">
        <f>_xll.IMDP("STK",표.실시간[[#This Row],[nxt_code]],"가중평균가")</f>
        <v>72381.039361999996</v>
      </c>
      <c r="P273" s="2">
        <f>_xll.IMDP("STK",표.실시간[[#This Row],[nxt_code]],"시가")</f>
        <v>73400</v>
      </c>
      <c r="Q273" s="2">
        <f>_xll.IMDP("STK",표.실시간[[#This Row],[nxt_code]],"고가")</f>
        <v>73900</v>
      </c>
      <c r="R273" s="2">
        <f>_xll.IMDP("STK",표.실시간[[#This Row],[nxt_code]],"저가")</f>
        <v>71600</v>
      </c>
      <c r="S273">
        <f>_xll.IMDP("STK",표.실시간[[#This Row],[nxt_code]],"세션명")</f>
        <v>0</v>
      </c>
      <c r="T273">
        <f>_xll.IMDP("STK",표.실시간[[#This Row],[nxt_code]],"체결시간")</f>
        <v>0</v>
      </c>
      <c r="U273" s="2">
        <f>_xll.IMDP("STK","122870","현재가")</f>
        <v>72800</v>
      </c>
      <c r="V273">
        <f>_xll.IMDP("STK","122870","누적거래량")</f>
        <v>32915</v>
      </c>
    </row>
    <row r="274" spans="2:22" x14ac:dyDescent="0.3">
      <c r="B274">
        <v>266</v>
      </c>
      <c r="C274">
        <v>1</v>
      </c>
      <c r="D274">
        <f>IF(IFERROR(INDEX(표.kospi200[code],MATCH(표.실시간[[#This Row],[코드]],표.kospi200[code],0)),0)=0,0,1)</f>
        <v>1</v>
      </c>
      <c r="E274" t="s">
        <v>279</v>
      </c>
      <c r="F274">
        <v>71320</v>
      </c>
      <c r="G274" t="str">
        <f>ConvertStockCode(표.실시간[[#This Row],[코드]])</f>
        <v>N071320</v>
      </c>
      <c r="H274" s="2">
        <f>_xll.IMDP("STK",표.실시간[[#This Row],[nxt_code]],"현재가")</f>
        <v>99200</v>
      </c>
      <c r="I274" s="2">
        <f>_xll.IMDP("STK",표.실시간[[#This Row],[nxt_code]],"시가총액")/10^12</f>
        <v>1.1486114048</v>
      </c>
      <c r="J274" s="2">
        <f>표.실시간[[#This Row],[시가총액 (조원)]]/표.실시간[[#This Row],[현재가]]*(표.실시간[[#This Row],[현재가]]-표.실시간[[#This Row],[대비]])</f>
        <v>1.1555586512</v>
      </c>
      <c r="K274" s="3">
        <f>_xll.IMDP("STK",표.실시간[[#This Row],[nxt_code]],"전일대비")</f>
        <v>-600</v>
      </c>
      <c r="L274">
        <f>_xll.IMDP("STK",표.실시간[[#This Row],[nxt_code]],"등락률")</f>
        <v>-0.6</v>
      </c>
      <c r="M274" s="2">
        <f>_xll.IMDP("STK",표.실시간[[#This Row],[nxt_code]],"누적거래량")</f>
        <v>1323</v>
      </c>
      <c r="N274" s="2">
        <f>_xll.IMDP("STK",표.실시간[[#This Row],[nxt_code]],"누적거래대금")/10^8</f>
        <v>1.3161499999999999</v>
      </c>
      <c r="O274" s="2">
        <f>_xll.IMDP("STK",표.실시간[[#This Row],[nxt_code]],"가중평균가")</f>
        <v>99482.237338999999</v>
      </c>
      <c r="P274" s="2">
        <f>_xll.IMDP("STK",표.실시간[[#This Row],[nxt_code]],"시가")</f>
        <v>100100</v>
      </c>
      <c r="Q274" s="2">
        <f>_xll.IMDP("STK",표.실시간[[#This Row],[nxt_code]],"고가")</f>
        <v>100700</v>
      </c>
      <c r="R274" s="2">
        <f>_xll.IMDP("STK",표.실시간[[#This Row],[nxt_code]],"저가")</f>
        <v>98800</v>
      </c>
      <c r="S274">
        <f>_xll.IMDP("STK",표.실시간[[#This Row],[nxt_code]],"세션명")</f>
        <v>0</v>
      </c>
      <c r="T274">
        <f>_xll.IMDP("STK",표.실시간[[#This Row],[nxt_code]],"체결시간")</f>
        <v>0</v>
      </c>
      <c r="U274" s="2">
        <f>_xll.IMDP("STK","071320","현재가")</f>
        <v>99500</v>
      </c>
      <c r="V274">
        <f>_xll.IMDP("STK","071320","누적거래량")</f>
        <v>1483</v>
      </c>
    </row>
    <row r="275" spans="2:22" x14ac:dyDescent="0.3">
      <c r="B275">
        <v>267</v>
      </c>
      <c r="C275">
        <v>0</v>
      </c>
      <c r="D275">
        <f>IF(IFERROR(INDEX(표.kospi200[code],MATCH(표.실시간[[#This Row],[코드]],표.kospi200[code],0)),0)=0,0,1)</f>
        <v>0</v>
      </c>
      <c r="E275" t="s">
        <v>280</v>
      </c>
      <c r="F275">
        <v>7390</v>
      </c>
      <c r="G275" t="str">
        <f>ConvertStockCode(표.실시간[[#This Row],[코드]])</f>
        <v>N007390</v>
      </c>
      <c r="H275" s="2">
        <f>_xll.IMDP("STK",표.실시간[[#This Row],[nxt_code]],"현재가")</f>
        <v>24850</v>
      </c>
      <c r="I275" s="2">
        <f>_xll.IMDP("STK",표.실시간[[#This Row],[nxt_code]],"시가총액")/10^12</f>
        <v>1.6012111416000001</v>
      </c>
      <c r="J275" s="2">
        <f>표.실시간[[#This Row],[시가총액 (조원)]]/표.실시간[[#This Row],[현재가]]*(표.실시간[[#This Row],[현재가]]-표.실시간[[#This Row],[대비]])</f>
        <v>1.6269851640000002</v>
      </c>
      <c r="K275" s="3">
        <f>_xll.IMDP("STK",표.실시간[[#This Row],[nxt_code]],"전일대비")</f>
        <v>-400</v>
      </c>
      <c r="L275">
        <f>_xll.IMDP("STK",표.실시간[[#This Row],[nxt_code]],"등락률")</f>
        <v>-1.58</v>
      </c>
      <c r="M275" s="2">
        <f>_xll.IMDP("STK",표.실시간[[#This Row],[nxt_code]],"누적거래량")</f>
        <v>135647</v>
      </c>
      <c r="N275" s="2">
        <f>_xll.IMDP("STK",표.실시간[[#This Row],[nxt_code]],"누적거래대금")/10^8</f>
        <v>33.390388999999999</v>
      </c>
      <c r="O275" s="2">
        <f>_xll.IMDP("STK",표.실시간[[#This Row],[nxt_code]],"가중평균가")</f>
        <v>24615.648706</v>
      </c>
      <c r="P275" s="2">
        <f>_xll.IMDP("STK",표.실시간[[#This Row],[nxt_code]],"시가")</f>
        <v>25050</v>
      </c>
      <c r="Q275" s="2">
        <f>_xll.IMDP("STK",표.실시간[[#This Row],[nxt_code]],"고가")</f>
        <v>25050</v>
      </c>
      <c r="R275" s="2">
        <f>_xll.IMDP("STK",표.실시간[[#This Row],[nxt_code]],"저가")</f>
        <v>24150</v>
      </c>
      <c r="S275">
        <f>_xll.IMDP("STK",표.실시간[[#This Row],[nxt_code]],"세션명")</f>
        <v>0</v>
      </c>
      <c r="T275">
        <f>_xll.IMDP("STK",표.실시간[[#This Row],[nxt_code]],"체결시간")</f>
        <v>0</v>
      </c>
      <c r="U275" s="2">
        <f>_xll.IMDP("STK","007390","현재가")</f>
        <v>25100</v>
      </c>
      <c r="V275">
        <f>_xll.IMDP("STK","007390","누적거래량")</f>
        <v>124184</v>
      </c>
    </row>
    <row r="276" spans="2:22" x14ac:dyDescent="0.3">
      <c r="B276">
        <v>268</v>
      </c>
      <c r="C276">
        <v>0</v>
      </c>
      <c r="D276">
        <f>IF(IFERROR(INDEX(표.kospi200[code],MATCH(표.실시간[[#This Row],[코드]],표.kospi200[code],0)),0)=0,0,1)</f>
        <v>0</v>
      </c>
      <c r="E276" t="s">
        <v>281</v>
      </c>
      <c r="F276">
        <v>293490</v>
      </c>
      <c r="G276" t="str">
        <f>ConvertStockCode(표.실시간[[#This Row],[코드]])</f>
        <v>N293490</v>
      </c>
      <c r="H276" s="2">
        <f>_xll.IMDP("STK",표.실시간[[#This Row],[nxt_code]],"현재가")</f>
        <v>16640</v>
      </c>
      <c r="I276" s="2">
        <f>_xll.IMDP("STK",표.실시간[[#This Row],[nxt_code]],"시가총액")/10^12</f>
        <v>1.49405419904</v>
      </c>
      <c r="J276" s="2">
        <f>표.실시간[[#This Row],[시가총액 (조원)]]/표.실시간[[#This Row],[현재가]]*(표.실시간[[#This Row],[현재가]]-표.실시간[[#This Row],[대비]])</f>
        <v>1.5946155393600001</v>
      </c>
      <c r="K276" s="3">
        <f>_xll.IMDP("STK",표.실시간[[#This Row],[nxt_code]],"전일대비")</f>
        <v>-1120</v>
      </c>
      <c r="L276">
        <f>_xll.IMDP("STK",표.실시간[[#This Row],[nxt_code]],"등락률")</f>
        <v>-6.31</v>
      </c>
      <c r="M276" s="2">
        <f>_xll.IMDP("STK",표.실시간[[#This Row],[nxt_code]],"누적거래량")</f>
        <v>130563</v>
      </c>
      <c r="N276" s="2">
        <f>_xll.IMDP("STK",표.실시간[[#This Row],[nxt_code]],"누적거래대금")/10^8</f>
        <v>22.1433541</v>
      </c>
      <c r="O276" s="2">
        <f>_xll.IMDP("STK",표.실시간[[#This Row],[nxt_code]],"가중평균가")</f>
        <v>16959.899894999999</v>
      </c>
      <c r="P276" s="2">
        <f>_xll.IMDP("STK",표.실시간[[#This Row],[nxt_code]],"시가")</f>
        <v>17760</v>
      </c>
      <c r="Q276" s="2">
        <f>_xll.IMDP("STK",표.실시간[[#This Row],[nxt_code]],"고가")</f>
        <v>17760</v>
      </c>
      <c r="R276" s="2">
        <f>_xll.IMDP("STK",표.실시간[[#This Row],[nxt_code]],"저가")</f>
        <v>16540</v>
      </c>
      <c r="S276">
        <f>_xll.IMDP("STK",표.실시간[[#This Row],[nxt_code]],"세션명")</f>
        <v>0</v>
      </c>
      <c r="T276">
        <f>_xll.IMDP("STK",표.실시간[[#This Row],[nxt_code]],"체결시간")</f>
        <v>0</v>
      </c>
      <c r="U276" s="2">
        <f>_xll.IMDP("STK","293490","현재가")</f>
        <v>16730</v>
      </c>
      <c r="V276">
        <f>_xll.IMDP("STK","293490","누적거래량")</f>
        <v>84490</v>
      </c>
    </row>
    <row r="277" spans="2:22" x14ac:dyDescent="0.3">
      <c r="B277">
        <v>269</v>
      </c>
      <c r="C277">
        <v>1</v>
      </c>
      <c r="D277">
        <f>IF(IFERROR(INDEX(표.kospi200[code],MATCH(표.실시간[[#This Row],[코드]],표.kospi200[code],0)),0)=0,0,1)</f>
        <v>1</v>
      </c>
      <c r="E277" t="s">
        <v>282</v>
      </c>
      <c r="F277">
        <v>80</v>
      </c>
      <c r="G277" t="str">
        <f>ConvertStockCode(표.실시간[[#This Row],[코드]])</f>
        <v>N000080</v>
      </c>
      <c r="H277" s="2">
        <f>_xll.IMDP("STK",표.실시간[[#This Row],[nxt_code]],"현재가")</f>
        <v>17540</v>
      </c>
      <c r="I277" s="2">
        <f>_xll.IMDP("STK",표.실시간[[#This Row],[nxt_code]],"시가총액")/10^12</f>
        <v>1.23014353694</v>
      </c>
      <c r="J277" s="2">
        <f>표.실시간[[#This Row],[시가총액 (조원)]]/표.실시간[[#This Row],[현재가]]*(표.실시간[[#This Row],[현재가]]-표.실시간[[#This Row],[대비]])</f>
        <v>1.2343515536</v>
      </c>
      <c r="K277" s="3">
        <f>_xll.IMDP("STK",표.실시간[[#This Row],[nxt_code]],"전일대비")</f>
        <v>-60</v>
      </c>
      <c r="L277">
        <f>_xll.IMDP("STK",표.실시간[[#This Row],[nxt_code]],"등락률")</f>
        <v>-0.34</v>
      </c>
      <c r="M277" s="2">
        <f>_xll.IMDP("STK",표.실시간[[#This Row],[nxt_code]],"누적거래량")</f>
        <v>17740</v>
      </c>
      <c r="N277" s="2">
        <f>_xll.IMDP("STK",표.실시간[[#This Row],[nxt_code]],"누적거래대금")/10^8</f>
        <v>3.1199181</v>
      </c>
      <c r="O277" s="2">
        <f>_xll.IMDP("STK",표.실시간[[#This Row],[nxt_code]],"가중평균가")</f>
        <v>17586.911499000002</v>
      </c>
      <c r="P277" s="2">
        <f>_xll.IMDP("STK",표.실시간[[#This Row],[nxt_code]],"시가")</f>
        <v>17520</v>
      </c>
      <c r="Q277" s="2">
        <f>_xll.IMDP("STK",표.실시간[[#This Row],[nxt_code]],"고가")</f>
        <v>17650</v>
      </c>
      <c r="R277" s="2">
        <f>_xll.IMDP("STK",표.실시간[[#This Row],[nxt_code]],"저가")</f>
        <v>17510</v>
      </c>
      <c r="S277">
        <f>_xll.IMDP("STK",표.실시간[[#This Row],[nxt_code]],"세션명")</f>
        <v>0</v>
      </c>
      <c r="T277">
        <f>_xll.IMDP("STK",표.실시간[[#This Row],[nxt_code]],"체결시간")</f>
        <v>0</v>
      </c>
      <c r="U277" s="2">
        <f>_xll.IMDP("STK","000080","현재가")</f>
        <v>17550</v>
      </c>
      <c r="V277">
        <f>_xll.IMDP("STK","000080","누적거래량")</f>
        <v>16363</v>
      </c>
    </row>
    <row r="278" spans="2:22" x14ac:dyDescent="0.3">
      <c r="B278">
        <v>270</v>
      </c>
      <c r="C278">
        <v>0</v>
      </c>
      <c r="D278">
        <f>IF(IFERROR(INDEX(표.kospi200[code],MATCH(표.실시간[[#This Row],[코드]],표.kospi200[code],0)),0)=0,0,1)</f>
        <v>0</v>
      </c>
      <c r="E278" t="s">
        <v>283</v>
      </c>
      <c r="F278">
        <v>96530</v>
      </c>
      <c r="G278" t="str">
        <f>ConvertStockCode(표.실시간[[#This Row],[코드]])</f>
        <v>N096530</v>
      </c>
      <c r="H278" s="2">
        <f>_xll.IMDP("STK",표.실시간[[#This Row],[nxt_code]],"현재가")</f>
        <v>28450</v>
      </c>
      <c r="I278" s="2">
        <f>_xll.IMDP("STK",표.실시간[[#This Row],[nxt_code]],"시가총액")/10^12</f>
        <v>1.4858295292999999</v>
      </c>
      <c r="J278" s="2">
        <f>표.실시간[[#This Row],[시가총액 (조원)]]/표.실시간[[#This Row],[현재가]]*(표.실시간[[#This Row],[현재가]]-표.실시간[[#This Row],[대비]])</f>
        <v>1.4936634283999999</v>
      </c>
      <c r="K278" s="3">
        <f>_xll.IMDP("STK",표.실시간[[#This Row],[nxt_code]],"전일대비")</f>
        <v>-150</v>
      </c>
      <c r="L278">
        <f>_xll.IMDP("STK",표.실시간[[#This Row],[nxt_code]],"등락률")</f>
        <v>-0.52</v>
      </c>
      <c r="M278" s="2">
        <f>_xll.IMDP("STK",표.실시간[[#This Row],[nxt_code]],"누적거래량")</f>
        <v>265026</v>
      </c>
      <c r="N278" s="2">
        <f>_xll.IMDP("STK",표.실시간[[#This Row],[nxt_code]],"누적거래대금")/10^8</f>
        <v>78.975127499999999</v>
      </c>
      <c r="O278" s="2">
        <f>_xll.IMDP("STK",표.실시간[[#This Row],[nxt_code]],"가중평균가")</f>
        <v>29799.011229</v>
      </c>
      <c r="P278" s="2">
        <f>_xll.IMDP("STK",표.실시간[[#This Row],[nxt_code]],"시가")</f>
        <v>28000</v>
      </c>
      <c r="Q278" s="2">
        <f>_xll.IMDP("STK",표.실시간[[#This Row],[nxt_code]],"고가")</f>
        <v>30550</v>
      </c>
      <c r="R278" s="2">
        <f>_xll.IMDP("STK",표.실시간[[#This Row],[nxt_code]],"저가")</f>
        <v>28000</v>
      </c>
      <c r="S278">
        <f>_xll.IMDP("STK",표.실시간[[#This Row],[nxt_code]],"세션명")</f>
        <v>0</v>
      </c>
      <c r="T278">
        <f>_xll.IMDP("STK",표.실시간[[#This Row],[nxt_code]],"체결시간")</f>
        <v>0</v>
      </c>
      <c r="U278" s="2">
        <f>_xll.IMDP("STK","096530","현재가")</f>
        <v>28600</v>
      </c>
      <c r="V278">
        <f>_xll.IMDP("STK","096530","누적거래량")</f>
        <v>139878</v>
      </c>
    </row>
    <row r="279" spans="2:22" x14ac:dyDescent="0.3">
      <c r="B279">
        <v>271</v>
      </c>
      <c r="C279">
        <v>0</v>
      </c>
      <c r="D279">
        <f>IF(IFERROR(INDEX(표.kospi200[code],MATCH(표.실시간[[#This Row],[코드]],표.kospi200[code],0)),0)=0,0,1)</f>
        <v>0</v>
      </c>
      <c r="E279" t="s">
        <v>284</v>
      </c>
      <c r="F279">
        <v>3380</v>
      </c>
      <c r="G279" t="str">
        <f>ConvertStockCode(표.실시간[[#This Row],[코드]])</f>
        <v>N003380</v>
      </c>
      <c r="H279" s="2">
        <f>_xll.IMDP("STK",표.실시간[[#This Row],[nxt_code]],"현재가")</f>
        <v>14640</v>
      </c>
      <c r="I279" s="2">
        <f>_xll.IMDP("STK",표.실시간[[#This Row],[nxt_code]],"시가총액")/10^12</f>
        <v>1.6397622914400001</v>
      </c>
      <c r="J279" s="2">
        <f>표.실시간[[#This Row],[시가총액 (조원)]]/표.실시간[[#This Row],[현재가]]*(표.실시간[[#This Row],[현재가]]-표.실시간[[#This Row],[대비]])</f>
        <v>1.6330419541800001</v>
      </c>
      <c r="K279" s="3">
        <f>_xll.IMDP("STK",표.실시간[[#This Row],[nxt_code]],"전일대비")</f>
        <v>60</v>
      </c>
      <c r="L279">
        <f>_xll.IMDP("STK",표.실시간[[#This Row],[nxt_code]],"등락률")</f>
        <v>1.53</v>
      </c>
      <c r="M279" s="2">
        <f>_xll.IMDP("STK",표.실시간[[#This Row],[nxt_code]],"누적거래량")</f>
        <v>3375777</v>
      </c>
      <c r="N279" s="2">
        <f>_xll.IMDP("STK",표.실시간[[#This Row],[nxt_code]],"누적거래대금")/10^8</f>
        <v>507.11391515000003</v>
      </c>
      <c r="O279" s="2">
        <f>_xll.IMDP("STK",표.실시간[[#This Row],[nxt_code]],"가중평균가")</f>
        <v>15022.139056</v>
      </c>
      <c r="P279" s="2">
        <f>_xll.IMDP("STK",표.실시간[[#This Row],[nxt_code]],"시가")</f>
        <v>14660</v>
      </c>
      <c r="Q279" s="2">
        <f>_xll.IMDP("STK",표.실시간[[#This Row],[nxt_code]],"고가")</f>
        <v>15500</v>
      </c>
      <c r="R279" s="2">
        <f>_xll.IMDP("STK",표.실시간[[#This Row],[nxt_code]],"저가")</f>
        <v>14200</v>
      </c>
      <c r="S279">
        <f>_xll.IMDP("STK",표.실시간[[#This Row],[nxt_code]],"세션명")</f>
        <v>0</v>
      </c>
      <c r="T279">
        <f>_xll.IMDP("STK",표.실시간[[#This Row],[nxt_code]],"체결시간")</f>
        <v>0</v>
      </c>
      <c r="U279" s="2">
        <f>_xll.IMDP("STK","003380","현재가")</f>
        <v>14630</v>
      </c>
      <c r="V279">
        <f>_xll.IMDP("STK","003380","누적거래량")</f>
        <v>995462</v>
      </c>
    </row>
    <row r="280" spans="2:22" x14ac:dyDescent="0.3">
      <c r="B280">
        <v>272</v>
      </c>
      <c r="C280">
        <v>1</v>
      </c>
      <c r="D280">
        <f>IF(IFERROR(INDEX(표.kospi200[code],MATCH(표.실시간[[#This Row],[코드]],표.kospi200[code],0)),0)=0,0,1)</f>
        <v>1</v>
      </c>
      <c r="E280" t="s">
        <v>285</v>
      </c>
      <c r="F280">
        <v>120110</v>
      </c>
      <c r="G280" t="str">
        <f>ConvertStockCode(표.실시간[[#This Row],[코드]])</f>
        <v>N120110</v>
      </c>
      <c r="H280" s="2">
        <f>_xll.IMDP("STK",표.실시간[[#This Row],[nxt_code]],"현재가")</f>
        <v>51600</v>
      </c>
      <c r="I280" s="2">
        <f>_xll.IMDP("STK",표.실시간[[#This Row],[nxt_code]],"시가총액")/10^12</f>
        <v>1.4199850956</v>
      </c>
      <c r="J280" s="2">
        <f>표.실시간[[#This Row],[시가총액 (조원)]]/표.실시간[[#This Row],[현재가]]*(표.실시간[[#This Row],[현재가]]-표.실시간[[#This Row],[대비]])</f>
        <v>1.5135500050000001</v>
      </c>
      <c r="K280" s="3">
        <f>_xll.IMDP("STK",표.실시간[[#This Row],[nxt_code]],"전일대비")</f>
        <v>-3400</v>
      </c>
      <c r="L280">
        <f>_xll.IMDP("STK",표.실시간[[#This Row],[nxt_code]],"등락률")</f>
        <v>-6.18</v>
      </c>
      <c r="M280" s="2">
        <f>_xll.IMDP("STK",표.실시간[[#This Row],[nxt_code]],"누적거래량")</f>
        <v>75428</v>
      </c>
      <c r="N280" s="2">
        <f>_xll.IMDP("STK",표.실시간[[#This Row],[nxt_code]],"누적거래대금")/10^8</f>
        <v>38.750166999999998</v>
      </c>
      <c r="O280" s="2">
        <f>_xll.IMDP("STK",표.실시간[[#This Row],[nxt_code]],"가중평균가")</f>
        <v>51373.716656999997</v>
      </c>
      <c r="P280" s="2">
        <f>_xll.IMDP("STK",표.실시간[[#This Row],[nxt_code]],"시가")</f>
        <v>51000</v>
      </c>
      <c r="Q280" s="2">
        <f>_xll.IMDP("STK",표.실시간[[#This Row],[nxt_code]],"고가")</f>
        <v>52300</v>
      </c>
      <c r="R280" s="2">
        <f>_xll.IMDP("STK",표.실시간[[#This Row],[nxt_code]],"저가")</f>
        <v>50800</v>
      </c>
      <c r="S280">
        <f>_xll.IMDP("STK",표.실시간[[#This Row],[nxt_code]],"세션명")</f>
        <v>0</v>
      </c>
      <c r="T280">
        <f>_xll.IMDP("STK",표.실시간[[#This Row],[nxt_code]],"체결시간")</f>
        <v>0</v>
      </c>
      <c r="U280" s="2">
        <f>_xll.IMDP("STK","120110","현재가")</f>
        <v>51900</v>
      </c>
      <c r="V280">
        <f>_xll.IMDP("STK","120110","누적거래량")</f>
        <v>53900</v>
      </c>
    </row>
    <row r="281" spans="2:22" x14ac:dyDescent="0.3">
      <c r="B281">
        <v>273</v>
      </c>
      <c r="C281">
        <v>0</v>
      </c>
      <c r="D281">
        <f>IF(IFERROR(INDEX(표.kospi200[code],MATCH(표.실시간[[#This Row],[코드]],표.kospi200[code],0)),0)=0,0,1)</f>
        <v>0</v>
      </c>
      <c r="E281" t="s">
        <v>286</v>
      </c>
      <c r="F281">
        <v>456160</v>
      </c>
      <c r="G281" t="str">
        <f>ConvertStockCode(표.실시간[[#This Row],[코드]])</f>
        <v>N456160</v>
      </c>
      <c r="H281" s="2">
        <f>_xll.IMDP("STK",표.실시간[[#This Row],[nxt_code]],"현재가")</f>
        <v>77800</v>
      </c>
      <c r="I281" s="2">
        <f>_xll.IMDP("STK",표.실시간[[#This Row],[nxt_code]],"시가총액")/10^12</f>
        <v>1.277519568</v>
      </c>
      <c r="J281" s="2">
        <f>표.실시간[[#This Row],[시가총액 (조원)]]/표.실시간[[#This Row],[현재가]]*(표.실시간[[#This Row],[현재가]]-표.실시간[[#This Row],[대비]])</f>
        <v>1.274235456</v>
      </c>
      <c r="K281" s="3">
        <f>_xll.IMDP("STK",표.실시간[[#This Row],[nxt_code]],"전일대비")</f>
        <v>200</v>
      </c>
      <c r="L281">
        <f>_xll.IMDP("STK",표.실시간[[#This Row],[nxt_code]],"등락률")</f>
        <v>0.26</v>
      </c>
      <c r="M281" s="2">
        <f>_xll.IMDP("STK",표.실시간[[#This Row],[nxt_code]],"누적거래량")</f>
        <v>137134</v>
      </c>
      <c r="N281" s="2">
        <f>_xll.IMDP("STK",표.실시간[[#This Row],[nxt_code]],"누적거래대금")/10^8</f>
        <v>102.555172</v>
      </c>
      <c r="O281" s="2">
        <f>_xll.IMDP("STK",표.실시간[[#This Row],[nxt_code]],"가중평균가")</f>
        <v>74779.189757</v>
      </c>
      <c r="P281" s="2">
        <f>_xll.IMDP("STK",표.실시간[[#This Row],[nxt_code]],"시가")</f>
        <v>76900</v>
      </c>
      <c r="Q281" s="2">
        <f>_xll.IMDP("STK",표.실시간[[#This Row],[nxt_code]],"고가")</f>
        <v>78200</v>
      </c>
      <c r="R281" s="2">
        <f>_xll.IMDP("STK",표.실시간[[#This Row],[nxt_code]],"저가")</f>
        <v>73300</v>
      </c>
      <c r="S281">
        <f>_xll.IMDP("STK",표.실시간[[#This Row],[nxt_code]],"세션명")</f>
        <v>0</v>
      </c>
      <c r="T281">
        <f>_xll.IMDP("STK",표.실시간[[#This Row],[nxt_code]],"체결시간")</f>
        <v>0</v>
      </c>
      <c r="U281" s="2">
        <f>_xll.IMDP("STK","456160","현재가")</f>
        <v>77800</v>
      </c>
      <c r="V281">
        <f>_xll.IMDP("STK","456160","누적거래량")</f>
        <v>60862</v>
      </c>
    </row>
    <row r="282" spans="2:22" x14ac:dyDescent="0.3">
      <c r="B282">
        <v>274</v>
      </c>
      <c r="C282">
        <v>1</v>
      </c>
      <c r="D282">
        <f>IF(IFERROR(INDEX(표.kospi200[code],MATCH(표.실시간[[#This Row],[코드]],표.kospi200[code],0)),0)=0,0,1)</f>
        <v>1</v>
      </c>
      <c r="E282" t="s">
        <v>287</v>
      </c>
      <c r="F282">
        <v>300720</v>
      </c>
      <c r="G282" t="str">
        <f>ConvertStockCode(표.실시간[[#This Row],[코드]])</f>
        <v>N300720</v>
      </c>
      <c r="H282" s="2">
        <f>_xll.IMDP("STK",표.실시간[[#This Row],[nxt_code]],"현재가")</f>
        <v>16960</v>
      </c>
      <c r="I282" s="2">
        <f>_xll.IMDP("STK",표.실시간[[#This Row],[nxt_code]],"시가총액")/10^12</f>
        <v>1.24732674464</v>
      </c>
      <c r="J282" s="2">
        <f>표.실시간[[#This Row],[시가총액 (조원)]]/표.실시간[[#This Row],[현재가]]*(표.실시간[[#This Row],[현재가]]-표.실시간[[#This Row],[대비]])</f>
        <v>1.2598294301700002</v>
      </c>
      <c r="K282" s="3">
        <f>_xll.IMDP("STK",표.실시간[[#This Row],[nxt_code]],"전일대비")</f>
        <v>-170</v>
      </c>
      <c r="L282">
        <f>_xll.IMDP("STK",표.실시간[[#This Row],[nxt_code]],"등락률")</f>
        <v>-0.99</v>
      </c>
      <c r="M282" s="2">
        <f>_xll.IMDP("STK",표.실시간[[#This Row],[nxt_code]],"누적거래량")</f>
        <v>11024</v>
      </c>
      <c r="N282" s="2">
        <f>_xll.IMDP("STK",표.실시간[[#This Row],[nxt_code]],"누적거래대금")/10^8</f>
        <v>1.8679802000000001</v>
      </c>
      <c r="O282" s="2">
        <f>_xll.IMDP("STK",표.실시간[[#This Row],[nxt_code]],"가중평균가")</f>
        <v>16944.667997</v>
      </c>
      <c r="P282" s="2">
        <f>_xll.IMDP("STK",표.실시간[[#This Row],[nxt_code]],"시가")</f>
        <v>17060</v>
      </c>
      <c r="Q282" s="2">
        <f>_xll.IMDP("STK",표.실시간[[#This Row],[nxt_code]],"고가")</f>
        <v>17060</v>
      </c>
      <c r="R282" s="2">
        <f>_xll.IMDP("STK",표.실시간[[#This Row],[nxt_code]],"저가")</f>
        <v>16840</v>
      </c>
      <c r="S282">
        <f>_xll.IMDP("STK",표.실시간[[#This Row],[nxt_code]],"세션명")</f>
        <v>0</v>
      </c>
      <c r="T282">
        <f>_xll.IMDP("STK",표.실시간[[#This Row],[nxt_code]],"체결시간")</f>
        <v>0</v>
      </c>
      <c r="U282" s="2">
        <f>_xll.IMDP("STK","300720","현재가")</f>
        <v>16940</v>
      </c>
      <c r="V282">
        <f>_xll.IMDP("STK","300720","누적거래량")</f>
        <v>4191</v>
      </c>
    </row>
    <row r="283" spans="2:22" x14ac:dyDescent="0.3">
      <c r="B283">
        <v>275</v>
      </c>
      <c r="C283">
        <v>0</v>
      </c>
      <c r="D283">
        <f>IF(IFERROR(INDEX(표.kospi200[code],MATCH(표.실시간[[#This Row],[코드]],표.kospi200[code],0)),0)=0,0,1)</f>
        <v>0</v>
      </c>
      <c r="E283" t="s">
        <v>288</v>
      </c>
      <c r="F283">
        <v>232140</v>
      </c>
      <c r="G283" t="str">
        <f>ConvertStockCode(표.실시간[[#This Row],[코드]])</f>
        <v>N232140</v>
      </c>
      <c r="H283" s="2">
        <f>_xll.IMDP("STK",표.실시간[[#This Row],[nxt_code]],"현재가")</f>
        <v>19260</v>
      </c>
      <c r="I283" s="2">
        <f>_xll.IMDP("STK",표.실시간[[#This Row],[nxt_code]],"시가총액")/10^12</f>
        <v>1.580193441</v>
      </c>
      <c r="J283" s="2">
        <f>표.실시간[[#This Row],[시가총액 (조원)]]/표.실시간[[#This Row],[현재가]]*(표.실시간[[#This Row],[현재가]]-표.실시간[[#This Row],[대비]])</f>
        <v>1.6187547555000001</v>
      </c>
      <c r="K283" s="3">
        <f>_xll.IMDP("STK",표.실시간[[#This Row],[nxt_code]],"전일대비")</f>
        <v>-470</v>
      </c>
      <c r="L283">
        <f>_xll.IMDP("STK",표.실시간[[#This Row],[nxt_code]],"등락률")</f>
        <v>-2.38</v>
      </c>
      <c r="M283" s="2">
        <f>_xll.IMDP("STK",표.실시간[[#This Row],[nxt_code]],"누적거래량")</f>
        <v>263537</v>
      </c>
      <c r="N283" s="2">
        <f>_xll.IMDP("STK",표.실시간[[#This Row],[nxt_code]],"누적거래대금")/10^8</f>
        <v>50.032639799999998</v>
      </c>
      <c r="O283" s="2">
        <f>_xll.IMDP("STK",표.실시간[[#This Row],[nxt_code]],"가중평균가")</f>
        <v>18985.053255999999</v>
      </c>
      <c r="P283" s="2">
        <f>_xll.IMDP("STK",표.실시간[[#This Row],[nxt_code]],"시가")</f>
        <v>19410</v>
      </c>
      <c r="Q283" s="2">
        <f>_xll.IMDP("STK",표.실시간[[#This Row],[nxt_code]],"고가")</f>
        <v>19700</v>
      </c>
      <c r="R283" s="2">
        <f>_xll.IMDP("STK",표.실시간[[#This Row],[nxt_code]],"저가")</f>
        <v>18570</v>
      </c>
      <c r="S283">
        <f>_xll.IMDP("STK",표.실시간[[#This Row],[nxt_code]],"세션명")</f>
        <v>0</v>
      </c>
      <c r="T283">
        <f>_xll.IMDP("STK",표.실시간[[#This Row],[nxt_code]],"체결시간")</f>
        <v>0</v>
      </c>
      <c r="U283" s="2">
        <f>_xll.IMDP("STK","232140","현재가")</f>
        <v>19190</v>
      </c>
      <c r="V283">
        <f>_xll.IMDP("STK","232140","누적거래량")</f>
        <v>112807</v>
      </c>
    </row>
    <row r="284" spans="2:22" x14ac:dyDescent="0.3">
      <c r="B284">
        <v>276</v>
      </c>
      <c r="C284">
        <v>1</v>
      </c>
      <c r="D284">
        <f>IF(IFERROR(INDEX(표.kospi200[code],MATCH(표.실시간[[#This Row],[코드]],표.kospi200[code],0)),0)=0,0,1)</f>
        <v>1</v>
      </c>
      <c r="E284" t="s">
        <v>289</v>
      </c>
      <c r="F284">
        <v>5300</v>
      </c>
      <c r="G284" t="str">
        <f>ConvertStockCode(표.실시간[[#This Row],[코드]])</f>
        <v>N005300</v>
      </c>
      <c r="H284" s="2">
        <f>_xll.IMDP("STK",표.실시간[[#This Row],[nxt_code]],"현재가")</f>
        <v>133700</v>
      </c>
      <c r="I284" s="2">
        <f>_xll.IMDP("STK",표.실시간[[#This Row],[nxt_code]],"시가총액")/10^12</f>
        <v>1.2405867907999999</v>
      </c>
      <c r="J284" s="2">
        <f>표.실시간[[#This Row],[시가총액 (조원)]]/표.실시간[[#This Row],[현재가]]*(표.실시간[[#This Row],[현재가]]-표.실시간[[#This Row],[대비]])</f>
        <v>1.2387310140000001</v>
      </c>
      <c r="K284" s="3">
        <f>_xll.IMDP("STK",표.실시간[[#This Row],[nxt_code]],"전일대비")</f>
        <v>200</v>
      </c>
      <c r="L284">
        <f>_xll.IMDP("STK",표.실시간[[#This Row],[nxt_code]],"등락률")</f>
        <v>0.15</v>
      </c>
      <c r="M284" s="2">
        <f>_xll.IMDP("STK",표.실시간[[#This Row],[nxt_code]],"누적거래량")</f>
        <v>1826</v>
      </c>
      <c r="N284" s="2">
        <f>_xll.IMDP("STK",표.실시간[[#This Row],[nxt_code]],"누적거래대금")/10^8</f>
        <v>2.423861</v>
      </c>
      <c r="O284" s="2">
        <f>_xll.IMDP("STK",표.실시간[[#This Row],[nxt_code]],"가중평균가")</f>
        <v>132741.566265</v>
      </c>
      <c r="P284" s="2">
        <f>_xll.IMDP("STK",표.실시간[[#This Row],[nxt_code]],"시가")</f>
        <v>133600</v>
      </c>
      <c r="Q284" s="2">
        <f>_xll.IMDP("STK",표.실시간[[#This Row],[nxt_code]],"고가")</f>
        <v>133700</v>
      </c>
      <c r="R284" s="2">
        <f>_xll.IMDP("STK",표.실시간[[#This Row],[nxt_code]],"저가")</f>
        <v>131500</v>
      </c>
      <c r="S284">
        <f>_xll.IMDP("STK",표.실시간[[#This Row],[nxt_code]],"세션명")</f>
        <v>0</v>
      </c>
      <c r="T284">
        <f>_xll.IMDP("STK",표.실시간[[#This Row],[nxt_code]],"체결시간")</f>
        <v>0</v>
      </c>
      <c r="U284" s="2">
        <f>_xll.IMDP("STK","005300","현재가")</f>
        <v>133800</v>
      </c>
      <c r="V284">
        <f>_xll.IMDP("STK","005300","누적거래량")</f>
        <v>970</v>
      </c>
    </row>
    <row r="285" spans="2:22" x14ac:dyDescent="0.3">
      <c r="B285">
        <v>277</v>
      </c>
      <c r="C285">
        <v>1</v>
      </c>
      <c r="D285">
        <f>IF(IFERROR(INDEX(표.kospi200[code],MATCH(표.실시간[[#This Row],[코드]],표.kospi200[code],0)),0)=0,0,1)</f>
        <v>0</v>
      </c>
      <c r="E285" t="s">
        <v>290</v>
      </c>
      <c r="F285">
        <v>100090</v>
      </c>
      <c r="G285" t="str">
        <f>ConvertStockCode(표.실시간[[#This Row],[코드]])</f>
        <v>N100090</v>
      </c>
      <c r="H285" s="2">
        <f>_xll.IMDP("STK",표.실시간[[#This Row],[nxt_code]],"현재가")</f>
        <v>17790</v>
      </c>
      <c r="I285" s="2">
        <f>_xll.IMDP("STK",표.실시간[[#This Row],[nxt_code]],"시가총액")/10^12</f>
        <v>1.11148591491</v>
      </c>
      <c r="J285" s="2">
        <f>표.실시간[[#This Row],[시가총액 (조원)]]/표.실시간[[#This Row],[현재가]]*(표.실시간[[#This Row],[현재가]]-표.실시간[[#This Row],[대비]])</f>
        <v>1.1745888252000001</v>
      </c>
      <c r="K285" s="3">
        <f>_xll.IMDP("STK",표.실시간[[#This Row],[nxt_code]],"전일대비")</f>
        <v>-1010</v>
      </c>
      <c r="L285">
        <f>_xll.IMDP("STK",표.실시간[[#This Row],[nxt_code]],"등락률")</f>
        <v>-5.37</v>
      </c>
      <c r="M285" s="2">
        <f>_xll.IMDP("STK",표.실시간[[#This Row],[nxt_code]],"누적거래량")</f>
        <v>162716</v>
      </c>
      <c r="N285" s="2">
        <f>_xll.IMDP("STK",표.실시간[[#This Row],[nxt_code]],"누적거래대금")/10^8</f>
        <v>29.096054899999999</v>
      </c>
      <c r="O285" s="2">
        <f>_xll.IMDP("STK",표.실시간[[#This Row],[nxt_code]],"가중평균가")</f>
        <v>17881.495919000001</v>
      </c>
      <c r="P285" s="2">
        <f>_xll.IMDP("STK",표.실시간[[#This Row],[nxt_code]],"시가")</f>
        <v>18240</v>
      </c>
      <c r="Q285" s="2">
        <f>_xll.IMDP("STK",표.실시간[[#This Row],[nxt_code]],"고가")</f>
        <v>18240</v>
      </c>
      <c r="R285" s="2">
        <f>_xll.IMDP("STK",표.실시간[[#This Row],[nxt_code]],"저가")</f>
        <v>17580</v>
      </c>
      <c r="S285">
        <f>_xll.IMDP("STK",표.실시간[[#This Row],[nxt_code]],"세션명")</f>
        <v>0</v>
      </c>
      <c r="T285">
        <f>_xll.IMDP("STK",표.실시간[[#This Row],[nxt_code]],"체결시간")</f>
        <v>0</v>
      </c>
      <c r="U285" s="2">
        <f>_xll.IMDP("STK","100090","현재가")</f>
        <v>17780</v>
      </c>
      <c r="V285">
        <f>_xll.IMDP("STK","100090","누적거래량")</f>
        <v>64877</v>
      </c>
    </row>
    <row r="286" spans="2:22" x14ac:dyDescent="0.3">
      <c r="B286">
        <v>278</v>
      </c>
      <c r="C286">
        <v>0</v>
      </c>
      <c r="D286">
        <f>IF(IFERROR(INDEX(표.kospi200[code],MATCH(표.실시간[[#This Row],[코드]],표.kospi200[code],0)),0)=0,0,1)</f>
        <v>0</v>
      </c>
      <c r="E286" t="s">
        <v>291</v>
      </c>
      <c r="F286">
        <v>388720</v>
      </c>
      <c r="G286" t="str">
        <f>ConvertStockCode(표.실시간[[#This Row],[코드]])</f>
        <v>N388720</v>
      </c>
      <c r="H286" s="2">
        <f>_xll.IMDP("STK",표.실시간[[#This Row],[nxt_code]],"현재가")</f>
        <v>137400</v>
      </c>
      <c r="I286" s="2">
        <f>_xll.IMDP("STK",표.실시간[[#This Row],[nxt_code]],"시가총액")/10^12</f>
        <v>1.6071396330000001</v>
      </c>
      <c r="J286" s="2">
        <f>표.실시간[[#This Row],[시가총액 (조원)]]/표.실시간[[#This Row],[현재가]]*(표.실시간[[#This Row],[현재가]]-표.실시간[[#This Row],[대비]])</f>
        <v>1.6176667485</v>
      </c>
      <c r="K286" s="3">
        <f>_xll.IMDP("STK",표.실시간[[#This Row],[nxt_code]],"전일대비")</f>
        <v>-900</v>
      </c>
      <c r="L286">
        <f>_xll.IMDP("STK",표.실시간[[#This Row],[nxt_code]],"등락률")</f>
        <v>-0.65</v>
      </c>
      <c r="M286" s="2">
        <f>_xll.IMDP("STK",표.실시간[[#This Row],[nxt_code]],"누적거래량")</f>
        <v>109587</v>
      </c>
      <c r="N286" s="2">
        <f>_xll.IMDP("STK",표.실시간[[#This Row],[nxt_code]],"누적거래대금")/10^8</f>
        <v>144.28421499999999</v>
      </c>
      <c r="O286" s="2">
        <f>_xll.IMDP("STK",표.실시간[[#This Row],[nxt_code]],"가중평균가")</f>
        <v>131661.798388</v>
      </c>
      <c r="P286" s="2">
        <f>_xll.IMDP("STK",표.실시간[[#This Row],[nxt_code]],"시가")</f>
        <v>136000</v>
      </c>
      <c r="Q286" s="2">
        <f>_xll.IMDP("STK",표.실시간[[#This Row],[nxt_code]],"고가")</f>
        <v>138300</v>
      </c>
      <c r="R286" s="2">
        <f>_xll.IMDP("STK",표.실시간[[#This Row],[nxt_code]],"저가")</f>
        <v>129500</v>
      </c>
      <c r="S286">
        <f>_xll.IMDP("STK",표.실시간[[#This Row],[nxt_code]],"세션명")</f>
        <v>0</v>
      </c>
      <c r="T286">
        <f>_xll.IMDP("STK",표.실시간[[#This Row],[nxt_code]],"체결시간")</f>
        <v>0</v>
      </c>
      <c r="U286" s="2">
        <f>_xll.IMDP("STK","388720","현재가")</f>
        <v>139000</v>
      </c>
      <c r="V286">
        <f>_xll.IMDP("STK","388720","누적거래량")</f>
        <v>56735</v>
      </c>
    </row>
    <row r="287" spans="2:22" x14ac:dyDescent="0.3">
      <c r="B287">
        <v>279</v>
      </c>
      <c r="C287">
        <v>0</v>
      </c>
      <c r="D287">
        <f>IF(IFERROR(INDEX(표.kospi200[code],MATCH(표.실시간[[#This Row],[코드]],표.kospi200[code],0)),0)=0,0,1)</f>
        <v>0</v>
      </c>
      <c r="E287" t="s">
        <v>292</v>
      </c>
      <c r="F287">
        <v>319660</v>
      </c>
      <c r="G287" t="str">
        <f>ConvertStockCode(표.실시간[[#This Row],[코드]])</f>
        <v>N319660</v>
      </c>
      <c r="H287" s="2">
        <f>_xll.IMDP("STK",표.실시간[[#This Row],[nxt_code]],"현재가")</f>
        <v>61800</v>
      </c>
      <c r="I287" s="2">
        <f>_xll.IMDP("STK",표.실시간[[#This Row],[nxt_code]],"시가총액")/10^12</f>
        <v>1.7901429252000001</v>
      </c>
      <c r="J287" s="2">
        <f>표.실시간[[#This Row],[시가총액 (조원)]]/표.실시간[[#This Row],[현재가]]*(표.실시간[[#This Row],[현재가]]-표.실시간[[#This Row],[대비]])</f>
        <v>1.7814529109999999</v>
      </c>
      <c r="K287" s="3">
        <f>_xll.IMDP("STK",표.실시간[[#This Row],[nxt_code]],"전일대비")</f>
        <v>300</v>
      </c>
      <c r="L287">
        <f>_xll.IMDP("STK",표.실시간[[#This Row],[nxt_code]],"등락률")</f>
        <v>0.49</v>
      </c>
      <c r="M287" s="2">
        <f>_xll.IMDP("STK",표.실시간[[#This Row],[nxt_code]],"누적거래량")</f>
        <v>79189</v>
      </c>
      <c r="N287" s="2">
        <f>_xll.IMDP("STK",표.실시간[[#This Row],[nxt_code]],"누적거래대금")/10^8</f>
        <v>46.843124000000003</v>
      </c>
      <c r="O287" s="2">
        <f>_xll.IMDP("STK",표.실시간[[#This Row],[nxt_code]],"가중평균가")</f>
        <v>59152.827377000001</v>
      </c>
      <c r="P287" s="2">
        <f>_xll.IMDP("STK",표.실시간[[#This Row],[nxt_code]],"시가")</f>
        <v>60000</v>
      </c>
      <c r="Q287" s="2">
        <f>_xll.IMDP("STK",표.실시간[[#This Row],[nxt_code]],"고가")</f>
        <v>61900</v>
      </c>
      <c r="R287" s="2">
        <f>_xll.IMDP("STK",표.실시간[[#This Row],[nxt_code]],"저가")</f>
        <v>57600</v>
      </c>
      <c r="S287">
        <f>_xll.IMDP("STK",표.실시간[[#This Row],[nxt_code]],"세션명")</f>
        <v>0</v>
      </c>
      <c r="T287">
        <f>_xll.IMDP("STK",표.실시간[[#This Row],[nxt_code]],"체결시간")</f>
        <v>0</v>
      </c>
      <c r="U287" s="2">
        <f>_xll.IMDP("STK","319660","현재가")</f>
        <v>61800</v>
      </c>
      <c r="V287">
        <f>_xll.IMDP("STK","319660","누적거래량")</f>
        <v>62500</v>
      </c>
    </row>
    <row r="288" spans="2:22" x14ac:dyDescent="0.3">
      <c r="B288">
        <v>280</v>
      </c>
      <c r="C288">
        <v>1</v>
      </c>
      <c r="D288">
        <f>IF(IFERROR(INDEX(표.kospi200[code],MATCH(표.실시간[[#This Row],[코드]],표.kospi200[code],0)),0)=0,0,1)</f>
        <v>0</v>
      </c>
      <c r="E288" t="s">
        <v>293</v>
      </c>
      <c r="F288">
        <v>249420</v>
      </c>
      <c r="G288" t="str">
        <f>ConvertStockCode(표.실시간[[#This Row],[코드]])</f>
        <v>N249420</v>
      </c>
      <c r="H288" s="2">
        <f>_xll.IMDP("STK",표.실시간[[#This Row],[nxt_code]],"현재가")</f>
        <v>37400</v>
      </c>
      <c r="I288" s="2">
        <f>_xll.IMDP("STK",표.실시간[[#This Row],[nxt_code]],"시가총액")/10^12</f>
        <v>1.1832706248</v>
      </c>
      <c r="J288" s="2">
        <f>표.실시간[[#This Row],[시가총액 (조원)]]/표.실시간[[#This Row],[현재가]]*(표.실시간[[#This Row],[현재가]]-표.실시간[[#This Row],[대비]])</f>
        <v>1.2038354886</v>
      </c>
      <c r="K288" s="3">
        <f>_xll.IMDP("STK",표.실시간[[#This Row],[nxt_code]],"전일대비")</f>
        <v>-650</v>
      </c>
      <c r="L288">
        <f>_xll.IMDP("STK",표.실시간[[#This Row],[nxt_code]],"등락률")</f>
        <v>-1.71</v>
      </c>
      <c r="M288" s="2">
        <f>_xll.IMDP("STK",표.실시간[[#This Row],[nxt_code]],"누적거래량")</f>
        <v>93937</v>
      </c>
      <c r="N288" s="2">
        <f>_xll.IMDP("STK",표.실시간[[#This Row],[nxt_code]],"누적거래대금")/10^8</f>
        <v>34.825625000000002</v>
      </c>
      <c r="O288" s="2">
        <f>_xll.IMDP("STK",표.실시간[[#This Row],[nxt_code]],"가중평균가")</f>
        <v>37073.384289000001</v>
      </c>
      <c r="P288" s="2">
        <f>_xll.IMDP("STK",표.실시간[[#This Row],[nxt_code]],"시가")</f>
        <v>36900</v>
      </c>
      <c r="Q288" s="2">
        <f>_xll.IMDP("STK",표.실시간[[#This Row],[nxt_code]],"고가")</f>
        <v>37650</v>
      </c>
      <c r="R288" s="2">
        <f>_xll.IMDP("STK",표.실시간[[#This Row],[nxt_code]],"저가")</f>
        <v>34850</v>
      </c>
      <c r="S288">
        <f>_xll.IMDP("STK",표.실시간[[#This Row],[nxt_code]],"세션명")</f>
        <v>0</v>
      </c>
      <c r="T288">
        <f>_xll.IMDP("STK",표.실시간[[#This Row],[nxt_code]],"체결시간")</f>
        <v>0</v>
      </c>
      <c r="U288" s="2">
        <f>_xll.IMDP("STK","249420","현재가")</f>
        <v>37400</v>
      </c>
      <c r="V288">
        <f>_xll.IMDP("STK","249420","누적거래량")</f>
        <v>41819</v>
      </c>
    </row>
    <row r="289" spans="2:22" x14ac:dyDescent="0.3">
      <c r="B289">
        <v>281</v>
      </c>
      <c r="C289">
        <v>1</v>
      </c>
      <c r="D289">
        <f>IF(IFERROR(INDEX(표.kospi200[code],MATCH(표.실시간[[#This Row],[코드]],표.kospi200[code],0)),0)=0,0,1)</f>
        <v>0</v>
      </c>
      <c r="E289" t="s">
        <v>294</v>
      </c>
      <c r="F289">
        <v>30610</v>
      </c>
      <c r="G289" t="str">
        <f>ConvertStockCode(표.실시간[[#This Row],[코드]])</f>
        <v>N030610</v>
      </c>
      <c r="H289" s="2">
        <f>_xll.IMDP("STK",표.실시간[[#This Row],[nxt_code]],"현재가")</f>
        <v>11680</v>
      </c>
      <c r="I289" s="2">
        <f>_xll.IMDP("STK",표.실시간[[#This Row],[nxt_code]],"시가총액")/10^12</f>
        <v>1.33108738448</v>
      </c>
      <c r="J289" s="2">
        <f>표.실시간[[#This Row],[시가총액 (조원)]]/표.실시간[[#This Row],[현재가]]*(표.실시간[[#This Row],[현재가]]-표.실시간[[#This Row],[대비]])</f>
        <v>1.35729886551</v>
      </c>
      <c r="K289" s="3">
        <f>_xll.IMDP("STK",표.실시간[[#This Row],[nxt_code]],"전일대비")</f>
        <v>-230</v>
      </c>
      <c r="L289">
        <f>_xll.IMDP("STK",표.실시간[[#This Row],[nxt_code]],"등락률")</f>
        <v>-1.93</v>
      </c>
      <c r="M289" s="2">
        <f>_xll.IMDP("STK",표.실시간[[#This Row],[nxt_code]],"누적거래량")</f>
        <v>25885</v>
      </c>
      <c r="N289" s="2">
        <f>_xll.IMDP("STK",표.실시간[[#This Row],[nxt_code]],"누적거래대금")/10^8</f>
        <v>3.0177076</v>
      </c>
      <c r="O289" s="2">
        <f>_xll.IMDP("STK",표.실시간[[#This Row],[nxt_code]],"가중평균가")</f>
        <v>11658.132508999999</v>
      </c>
      <c r="P289" s="2">
        <f>_xll.IMDP("STK",표.실시간[[#This Row],[nxt_code]],"시가")</f>
        <v>11910</v>
      </c>
      <c r="Q289" s="2">
        <f>_xll.IMDP("STK",표.실시간[[#This Row],[nxt_code]],"고가")</f>
        <v>11910</v>
      </c>
      <c r="R289" s="2">
        <f>_xll.IMDP("STK",표.실시간[[#This Row],[nxt_code]],"저가")</f>
        <v>11480</v>
      </c>
      <c r="S289">
        <f>_xll.IMDP("STK",표.실시간[[#This Row],[nxt_code]],"세션명")</f>
        <v>0</v>
      </c>
      <c r="T289">
        <f>_xll.IMDP("STK",표.실시간[[#This Row],[nxt_code]],"체결시간")</f>
        <v>0</v>
      </c>
      <c r="U289" s="2">
        <f>_xll.IMDP("STK","030610","현재가")</f>
        <v>11740</v>
      </c>
      <c r="V289">
        <f>_xll.IMDP("STK","030610","누적거래량")</f>
        <v>12375</v>
      </c>
    </row>
    <row r="290" spans="2:22" x14ac:dyDescent="0.3">
      <c r="B290">
        <v>282</v>
      </c>
      <c r="C290">
        <v>1</v>
      </c>
      <c r="D290">
        <f>IF(IFERROR(INDEX(표.kospi200[code],MATCH(표.실시간[[#This Row],[코드]],표.kospi200[code],0)),0)=0,0,1)</f>
        <v>1</v>
      </c>
      <c r="E290" t="s">
        <v>295</v>
      </c>
      <c r="F290">
        <v>4000</v>
      </c>
      <c r="G290" t="str">
        <f>ConvertStockCode(표.실시간[[#This Row],[코드]])</f>
        <v>N004000</v>
      </c>
      <c r="H290" s="2">
        <f>_xll.IMDP("STK",표.실시간[[#This Row],[nxt_code]],"현재가")</f>
        <v>46700</v>
      </c>
      <c r="I290" s="2">
        <f>_xll.IMDP("STK",표.실시간[[#This Row],[nxt_code]],"시가총액")/10^12</f>
        <v>1.20486</v>
      </c>
      <c r="J290" s="2">
        <f>표.실시간[[#This Row],[시가총액 (조원)]]/표.실시간[[#This Row],[현재가]]*(표.실시간[[#This Row],[현재가]]-표.실시간[[#This Row],[대비]])</f>
        <v>1.22421</v>
      </c>
      <c r="K290" s="3">
        <f>_xll.IMDP("STK",표.실시간[[#This Row],[nxt_code]],"전일대비")</f>
        <v>-750</v>
      </c>
      <c r="L290">
        <f>_xll.IMDP("STK",표.실시간[[#This Row],[nxt_code]],"등락률")</f>
        <v>-1.58</v>
      </c>
      <c r="M290" s="2">
        <f>_xll.IMDP("STK",표.실시간[[#This Row],[nxt_code]],"누적거래량")</f>
        <v>4307</v>
      </c>
      <c r="N290" s="2">
        <f>_xll.IMDP("STK",표.실시간[[#This Row],[nxt_code]],"누적거래대금")/10^8</f>
        <v>2.01091</v>
      </c>
      <c r="O290" s="2">
        <f>_xll.IMDP("STK",표.실시간[[#This Row],[nxt_code]],"가중평균가")</f>
        <v>46689.342929999999</v>
      </c>
      <c r="P290" s="2">
        <f>_xll.IMDP("STK",표.실시간[[#This Row],[nxt_code]],"시가")</f>
        <v>47300</v>
      </c>
      <c r="Q290" s="2">
        <f>_xll.IMDP("STK",표.실시간[[#This Row],[nxt_code]],"고가")</f>
        <v>47300</v>
      </c>
      <c r="R290" s="2">
        <f>_xll.IMDP("STK",표.실시간[[#This Row],[nxt_code]],"저가")</f>
        <v>46500</v>
      </c>
      <c r="S290">
        <f>_xll.IMDP("STK",표.실시간[[#This Row],[nxt_code]],"세션명")</f>
        <v>0</v>
      </c>
      <c r="T290">
        <f>_xll.IMDP("STK",표.실시간[[#This Row],[nxt_code]],"체결시간")</f>
        <v>0</v>
      </c>
      <c r="U290" s="2">
        <f>_xll.IMDP("STK","004000","현재가")</f>
        <v>46800</v>
      </c>
      <c r="V290">
        <f>_xll.IMDP("STK","004000","누적거래량")</f>
        <v>5609</v>
      </c>
    </row>
    <row r="291" spans="2:22" x14ac:dyDescent="0.3">
      <c r="B291">
        <v>283</v>
      </c>
      <c r="C291">
        <v>0</v>
      </c>
      <c r="D291">
        <f>IF(IFERROR(INDEX(표.kospi200[code],MATCH(표.실시간[[#This Row],[코드]],표.kospi200[code],0)),0)=0,0,1)</f>
        <v>0</v>
      </c>
      <c r="E291" t="s">
        <v>296</v>
      </c>
      <c r="F291">
        <v>281740</v>
      </c>
      <c r="G291" t="str">
        <f>ConvertStockCode(표.실시간[[#This Row],[코드]])</f>
        <v>N281740</v>
      </c>
      <c r="H291" s="2">
        <f>_xll.IMDP("STK",표.실시간[[#This Row],[nxt_code]],"현재가")</f>
        <v>27400</v>
      </c>
      <c r="I291" s="2">
        <f>_xll.IMDP("STK",표.실시간[[#This Row],[nxt_code]],"시가총액")/10^12</f>
        <v>1.8010170152</v>
      </c>
      <c r="J291" s="2">
        <f>표.실시간[[#This Row],[시가총액 (조원)]]/표.실시간[[#This Row],[현재가]]*(표.실시간[[#This Row],[현재가]]-표.실시간[[#This Row],[대비]])</f>
        <v>1.758292159</v>
      </c>
      <c r="K291" s="3">
        <f>_xll.IMDP("STK",표.실시간[[#This Row],[nxt_code]],"전일대비")</f>
        <v>650</v>
      </c>
      <c r="L291">
        <f>_xll.IMDP("STK",표.실시간[[#This Row],[nxt_code]],"등락률")</f>
        <v>2.4300000000000002</v>
      </c>
      <c r="M291" s="2">
        <f>_xll.IMDP("STK",표.실시간[[#This Row],[nxt_code]],"누적거래량")</f>
        <v>422920</v>
      </c>
      <c r="N291" s="2">
        <f>_xll.IMDP("STK",표.실시간[[#This Row],[nxt_code]],"누적거래대금")/10^8</f>
        <v>112.5844465</v>
      </c>
      <c r="O291" s="2">
        <f>_xll.IMDP("STK",표.실시간[[#This Row],[nxt_code]],"가중평균가")</f>
        <v>26620.743048</v>
      </c>
      <c r="P291" s="2">
        <f>_xll.IMDP("STK",표.실시간[[#This Row],[nxt_code]],"시가")</f>
        <v>26800</v>
      </c>
      <c r="Q291" s="2">
        <f>_xll.IMDP("STK",표.실시간[[#This Row],[nxt_code]],"고가")</f>
        <v>27900</v>
      </c>
      <c r="R291" s="2">
        <f>_xll.IMDP("STK",표.실시간[[#This Row],[nxt_code]],"저가")</f>
        <v>25600</v>
      </c>
      <c r="S291">
        <f>_xll.IMDP("STK",표.실시간[[#This Row],[nxt_code]],"세션명")</f>
        <v>0</v>
      </c>
      <c r="T291">
        <f>_xll.IMDP("STK",표.실시간[[#This Row],[nxt_code]],"체결시간")</f>
        <v>0</v>
      </c>
      <c r="U291" s="2">
        <f>_xll.IMDP("STK","281740","현재가")</f>
        <v>27900</v>
      </c>
      <c r="V291">
        <f>_xll.IMDP("STK","281740","누적거래량")</f>
        <v>231123</v>
      </c>
    </row>
    <row r="292" spans="2:22" x14ac:dyDescent="0.3">
      <c r="B292">
        <v>284</v>
      </c>
      <c r="C292">
        <v>1</v>
      </c>
      <c r="D292">
        <f>IF(IFERROR(INDEX(표.kospi200[code],MATCH(표.실시간[[#This Row],[코드]],표.kospi200[code],0)),0)=0,0,1)</f>
        <v>0</v>
      </c>
      <c r="E292" t="s">
        <v>297</v>
      </c>
      <c r="F292">
        <v>229640</v>
      </c>
      <c r="G292" t="str">
        <f>ConvertStockCode(표.실시간[[#This Row],[코드]])</f>
        <v>N229640</v>
      </c>
      <c r="H292" s="2">
        <f>_xll.IMDP("STK",표.실시간[[#This Row],[nxt_code]],"현재가")</f>
        <v>40650</v>
      </c>
      <c r="I292" s="2">
        <f>_xll.IMDP("STK",표.실시간[[#This Row],[nxt_code]],"시가총액")/10^12</f>
        <v>1.2449013313499999</v>
      </c>
      <c r="J292" s="2">
        <f>표.실시간[[#This Row],[시가총액 (조원)]]/표.실시간[[#This Row],[현재가]]*(표.실시간[[#This Row],[현재가]]-표.실시간[[#This Row],[대비]])</f>
        <v>1.2770574542999997</v>
      </c>
      <c r="K292" s="3">
        <f>_xll.IMDP("STK",표.실시간[[#This Row],[nxt_code]],"전일대비")</f>
        <v>-1050</v>
      </c>
      <c r="L292">
        <f>_xll.IMDP("STK",표.실시간[[#This Row],[nxt_code]],"등락률")</f>
        <v>-1.45</v>
      </c>
      <c r="M292" s="2">
        <f>_xll.IMDP("STK",표.실시간[[#This Row],[nxt_code]],"누적거래량")</f>
        <v>38936</v>
      </c>
      <c r="N292" s="2">
        <f>_xll.IMDP("STK",표.실시간[[#This Row],[nxt_code]],"누적거래대금")/10^8</f>
        <v>15.510780499999999</v>
      </c>
      <c r="O292" s="2">
        <f>_xll.IMDP("STK",표.실시간[[#This Row],[nxt_code]],"가중평균가")</f>
        <v>39836.604940999998</v>
      </c>
      <c r="P292" s="2">
        <f>_xll.IMDP("STK",표.실시간[[#This Row],[nxt_code]],"시가")</f>
        <v>41150</v>
      </c>
      <c r="Q292" s="2">
        <f>_xll.IMDP("STK",표.실시간[[#This Row],[nxt_code]],"고가")</f>
        <v>41150</v>
      </c>
      <c r="R292" s="2">
        <f>_xll.IMDP("STK",표.실시간[[#This Row],[nxt_code]],"저가")</f>
        <v>39600</v>
      </c>
      <c r="S292">
        <f>_xll.IMDP("STK",표.실시간[[#This Row],[nxt_code]],"세션명")</f>
        <v>0</v>
      </c>
      <c r="T292">
        <f>_xll.IMDP("STK",표.실시간[[#This Row],[nxt_code]],"체결시간")</f>
        <v>0</v>
      </c>
      <c r="U292" s="2">
        <f>_xll.IMDP("STK","229640","현재가")</f>
        <v>40250</v>
      </c>
      <c r="V292">
        <f>_xll.IMDP("STK","229640","누적거래량")</f>
        <v>17427</v>
      </c>
    </row>
    <row r="293" spans="2:22" x14ac:dyDescent="0.3">
      <c r="B293">
        <v>285</v>
      </c>
      <c r="C293">
        <v>1</v>
      </c>
      <c r="D293">
        <f>IF(IFERROR(INDEX(표.kospi200[code],MATCH(표.실시간[[#This Row],[코드]],표.kospi200[code],0)),0)=0,0,1)</f>
        <v>1</v>
      </c>
      <c r="E293" t="s">
        <v>298</v>
      </c>
      <c r="F293">
        <v>185750</v>
      </c>
      <c r="G293" t="str">
        <f>ConvertStockCode(표.실시간[[#This Row],[코드]])</f>
        <v>N185750</v>
      </c>
      <c r="H293" s="2">
        <f>_xll.IMDP("STK",표.실시간[[#This Row],[nxt_code]],"현재가")</f>
        <v>84600</v>
      </c>
      <c r="I293" s="2">
        <f>_xll.IMDP("STK",표.실시간[[#This Row],[nxt_code]],"시가총액")/10^12</f>
        <v>1.1677151880000001</v>
      </c>
      <c r="J293" s="2">
        <f>표.실시간[[#This Row],[시가총액 (조원)]]/표.실시간[[#This Row],[현재가]]*(표.실시간[[#This Row],[현재가]]-표.실시간[[#This Row],[대비]])</f>
        <v>1.1773771340000001</v>
      </c>
      <c r="K293" s="3">
        <f>_xll.IMDP("STK",표.실시간[[#This Row],[nxt_code]],"전일대비")</f>
        <v>-700</v>
      </c>
      <c r="L293">
        <f>_xll.IMDP("STK",표.실시간[[#This Row],[nxt_code]],"등락률")</f>
        <v>-1.05</v>
      </c>
      <c r="M293" s="2">
        <f>_xll.IMDP("STK",표.실시간[[#This Row],[nxt_code]],"누적거래량")</f>
        <v>5832</v>
      </c>
      <c r="N293" s="2">
        <f>_xll.IMDP("STK",표.실시간[[#This Row],[nxt_code]],"누적거래대금")/10^8</f>
        <v>4.9560599999999999</v>
      </c>
      <c r="O293" s="2">
        <f>_xll.IMDP("STK",표.실시간[[#This Row],[nxt_code]],"가중평균가")</f>
        <v>84820.468936999998</v>
      </c>
      <c r="P293" s="2">
        <f>_xll.IMDP("STK",표.실시간[[#This Row],[nxt_code]],"시가")</f>
        <v>85200</v>
      </c>
      <c r="Q293" s="2">
        <f>_xll.IMDP("STK",표.실시간[[#This Row],[nxt_code]],"고가")</f>
        <v>85500</v>
      </c>
      <c r="R293" s="2">
        <f>_xll.IMDP("STK",표.실시간[[#This Row],[nxt_code]],"저가")</f>
        <v>84500</v>
      </c>
      <c r="S293">
        <f>_xll.IMDP("STK",표.실시간[[#This Row],[nxt_code]],"세션명")</f>
        <v>0</v>
      </c>
      <c r="T293">
        <f>_xll.IMDP("STK",표.실시간[[#This Row],[nxt_code]],"체결시간")</f>
        <v>0</v>
      </c>
      <c r="U293" s="2">
        <f>_xll.IMDP("STK","185750","현재가")</f>
        <v>84500</v>
      </c>
      <c r="V293">
        <f>_xll.IMDP("STK","185750","누적거래량")</f>
        <v>2595</v>
      </c>
    </row>
    <row r="294" spans="2:22" x14ac:dyDescent="0.3">
      <c r="B294">
        <v>286</v>
      </c>
      <c r="C294">
        <v>1</v>
      </c>
      <c r="D294">
        <f>IF(IFERROR(INDEX(표.kospi200[code],MATCH(표.실시간[[#This Row],[코드]],표.kospi200[code],0)),0)=0,0,1)</f>
        <v>0</v>
      </c>
      <c r="E294" t="s">
        <v>299</v>
      </c>
      <c r="F294">
        <v>6120</v>
      </c>
      <c r="G294" t="str">
        <f>ConvertStockCode(표.실시간[[#This Row],[코드]])</f>
        <v>N006120</v>
      </c>
      <c r="H294" s="2">
        <f>_xll.IMDP("STK",표.실시간[[#This Row],[nxt_code]],"현재가")</f>
        <v>56000</v>
      </c>
      <c r="I294" s="2">
        <f>_xll.IMDP("STK",표.실시간[[#This Row],[nxt_code]],"시가총액")/10^12</f>
        <v>1.02747988</v>
      </c>
      <c r="J294" s="2">
        <f>표.실시간[[#This Row],[시가총액 (조원)]]/표.실시간[[#This Row],[현재가]]*(표.실시간[[#This Row],[현재가]]-표.실시간[[#This Row],[대비]])</f>
        <v>1.0623408045</v>
      </c>
      <c r="K294" s="3">
        <f>_xll.IMDP("STK",표.실시간[[#This Row],[nxt_code]],"전일대비")</f>
        <v>-1900</v>
      </c>
      <c r="L294">
        <f>_xll.IMDP("STK",표.실시간[[#This Row],[nxt_code]],"등락률")</f>
        <v>-3.28</v>
      </c>
      <c r="M294" s="2">
        <f>_xll.IMDP("STK",표.실시간[[#This Row],[nxt_code]],"누적거래량")</f>
        <v>1663</v>
      </c>
      <c r="N294" s="2">
        <f>_xll.IMDP("STK",표.실시간[[#This Row],[nxt_code]],"누적거래대금")/10^8</f>
        <v>0.94460599999999995</v>
      </c>
      <c r="O294" s="2">
        <f>_xll.IMDP("STK",표.실시간[[#This Row],[nxt_code]],"가중평균가")</f>
        <v>56801.322910000003</v>
      </c>
      <c r="P294" s="2">
        <f>_xll.IMDP("STK",표.실시간[[#This Row],[nxt_code]],"시가")</f>
        <v>57500</v>
      </c>
      <c r="Q294" s="2">
        <f>_xll.IMDP("STK",표.실시간[[#This Row],[nxt_code]],"고가")</f>
        <v>57900</v>
      </c>
      <c r="R294" s="2">
        <f>_xll.IMDP("STK",표.실시간[[#This Row],[nxt_code]],"저가")</f>
        <v>56000</v>
      </c>
      <c r="S294">
        <f>_xll.IMDP("STK",표.실시간[[#This Row],[nxt_code]],"세션명")</f>
        <v>0</v>
      </c>
      <c r="T294">
        <f>_xll.IMDP("STK",표.실시간[[#This Row],[nxt_code]],"체결시간")</f>
        <v>0</v>
      </c>
      <c r="U294" s="2">
        <f>_xll.IMDP("STK","006120","현재가")</f>
        <v>56500</v>
      </c>
      <c r="V294">
        <f>_xll.IMDP("STK","006120","누적거래량")</f>
        <v>3348</v>
      </c>
    </row>
    <row r="295" spans="2:22" x14ac:dyDescent="0.3">
      <c r="B295">
        <v>287</v>
      </c>
      <c r="C295">
        <v>1</v>
      </c>
      <c r="D295">
        <f>IF(IFERROR(INDEX(표.kospi200[code],MATCH(표.실시간[[#This Row],[코드]],표.kospi200[code],0)),0)=0,0,1)</f>
        <v>1</v>
      </c>
      <c r="E295" t="s">
        <v>300</v>
      </c>
      <c r="F295">
        <v>285130</v>
      </c>
      <c r="G295" t="str">
        <f>ConvertStockCode(표.실시간[[#This Row],[코드]])</f>
        <v>N285130</v>
      </c>
      <c r="H295" s="2">
        <f>_xll.IMDP("STK",표.실시간[[#This Row],[nxt_code]],"현재가")</f>
        <v>65900</v>
      </c>
      <c r="I295" s="2">
        <f>_xll.IMDP("STK",표.실시간[[#This Row],[nxt_code]],"시가총액")/10^12</f>
        <v>1.1399886794</v>
      </c>
      <c r="J295" s="2">
        <f>표.실시간[[#This Row],[시가총액 (조원)]]/표.실시간[[#This Row],[현재가]]*(표.실시간[[#This Row],[현재가]]-표.실시간[[#This Row],[대비]])</f>
        <v>1.1607471986000002</v>
      </c>
      <c r="K295" s="3">
        <f>_xll.IMDP("STK",표.실시간[[#This Row],[nxt_code]],"전일대비")</f>
        <v>-1200</v>
      </c>
      <c r="L295">
        <f>_xll.IMDP("STK",표.실시간[[#This Row],[nxt_code]],"등락률")</f>
        <v>-1.93</v>
      </c>
      <c r="M295" s="2">
        <f>_xll.IMDP("STK",표.실시간[[#This Row],[nxt_code]],"누적거래량")</f>
        <v>5916</v>
      </c>
      <c r="N295" s="2">
        <f>_xll.IMDP("STK",표.실시간[[#This Row],[nxt_code]],"누적거래대금")/10^8</f>
        <v>3.9104755</v>
      </c>
      <c r="O295" s="2">
        <f>_xll.IMDP("STK",표.실시간[[#This Row],[nxt_code]],"가중평균가")</f>
        <v>66099.991548000005</v>
      </c>
      <c r="P295" s="2">
        <f>_xll.IMDP("STK",표.실시간[[#This Row],[nxt_code]],"시가")</f>
        <v>67000</v>
      </c>
      <c r="Q295" s="2">
        <f>_xll.IMDP("STK",표.실시간[[#This Row],[nxt_code]],"고가")</f>
        <v>67000</v>
      </c>
      <c r="R295" s="2">
        <f>_xll.IMDP("STK",표.실시간[[#This Row],[nxt_code]],"저가")</f>
        <v>65600</v>
      </c>
      <c r="S295">
        <f>_xll.IMDP("STK",표.실시간[[#This Row],[nxt_code]],"세션명")</f>
        <v>0</v>
      </c>
      <c r="T295">
        <f>_xll.IMDP("STK",표.실시간[[#This Row],[nxt_code]],"체결시간")</f>
        <v>0</v>
      </c>
      <c r="U295" s="2">
        <f>_xll.IMDP("STK","285130","현재가")</f>
        <v>66000</v>
      </c>
      <c r="V295">
        <f>_xll.IMDP("STK","285130","누적거래량")</f>
        <v>6481</v>
      </c>
    </row>
    <row r="296" spans="2:22" x14ac:dyDescent="0.3">
      <c r="B296">
        <v>288</v>
      </c>
      <c r="C296">
        <v>0</v>
      </c>
      <c r="D296">
        <f>IF(IFERROR(INDEX(표.kospi200[code],MATCH(표.실시간[[#This Row],[코드]],표.kospi200[code],0)),0)=0,0,1)</f>
        <v>0</v>
      </c>
      <c r="E296" t="s">
        <v>301</v>
      </c>
      <c r="F296">
        <v>397030</v>
      </c>
      <c r="G296" t="str">
        <f>ConvertStockCode(표.실시간[[#This Row],[코드]])</f>
        <v>N397030</v>
      </c>
      <c r="H296" s="2">
        <f>_xll.IMDP("STK",표.실시간[[#This Row],[nxt_code]],"현재가")</f>
        <v>61800</v>
      </c>
      <c r="I296" s="2">
        <f>_xll.IMDP("STK",표.실시간[[#This Row],[nxt_code]],"시가총액")/10^12</f>
        <v>1.4425742868</v>
      </c>
      <c r="J296" s="2">
        <f>표.실시간[[#This Row],[시가총액 (조원)]]/표.실시간[[#This Row],[현재가]]*(표.실시간[[#This Row],[현재가]]-표.실시간[[#This Row],[대비]])</f>
        <v>1.3608750958</v>
      </c>
      <c r="K296" s="3">
        <f>_xll.IMDP("STK",표.실시간[[#This Row],[nxt_code]],"전일대비")</f>
        <v>3500</v>
      </c>
      <c r="L296">
        <f>_xll.IMDP("STK",표.실시간[[#This Row],[nxt_code]],"등락률")</f>
        <v>6</v>
      </c>
      <c r="M296" s="2">
        <f>_xll.IMDP("STK",표.실시간[[#This Row],[nxt_code]],"누적거래량")</f>
        <v>338846</v>
      </c>
      <c r="N296" s="2">
        <f>_xll.IMDP("STK",표.실시간[[#This Row],[nxt_code]],"누적거래대금")/10^8</f>
        <v>203.72382450000001</v>
      </c>
      <c r="O296" s="2">
        <f>_xll.IMDP("STK",표.실시간[[#This Row],[nxt_code]],"가중평균가")</f>
        <v>60095.346179</v>
      </c>
      <c r="P296" s="2">
        <f>_xll.IMDP("STK",표.실시간[[#This Row],[nxt_code]],"시가")</f>
        <v>57600</v>
      </c>
      <c r="Q296" s="2">
        <f>_xll.IMDP("STK",표.실시간[[#This Row],[nxt_code]],"고가")</f>
        <v>62800</v>
      </c>
      <c r="R296" s="2">
        <f>_xll.IMDP("STK",표.실시간[[#This Row],[nxt_code]],"저가")</f>
        <v>57000</v>
      </c>
      <c r="S296">
        <f>_xll.IMDP("STK",표.실시간[[#This Row],[nxt_code]],"세션명")</f>
        <v>0</v>
      </c>
      <c r="T296">
        <f>_xll.IMDP("STK",표.실시간[[#This Row],[nxt_code]],"체결시간")</f>
        <v>0</v>
      </c>
      <c r="U296" s="2">
        <f>_xll.IMDP("STK","397030","현재가")</f>
        <v>61900</v>
      </c>
      <c r="V296">
        <f>_xll.IMDP("STK","397030","누적거래량")</f>
        <v>204237</v>
      </c>
    </row>
    <row r="297" spans="2:22" x14ac:dyDescent="0.3">
      <c r="B297">
        <v>289</v>
      </c>
      <c r="C297">
        <v>0</v>
      </c>
      <c r="D297">
        <f>IF(IFERROR(INDEX(표.kospi200[code],MATCH(표.실시간[[#This Row],[코드]],표.kospi200[code],0)),0)=0,0,1)</f>
        <v>0</v>
      </c>
      <c r="E297" t="s">
        <v>302</v>
      </c>
      <c r="F297">
        <v>204270</v>
      </c>
      <c r="G297" t="str">
        <f>ConvertStockCode(표.실시간[[#This Row],[코드]])</f>
        <v>N204270</v>
      </c>
      <c r="H297" s="2">
        <f>_xll.IMDP("STK",표.실시간[[#This Row],[nxt_code]],"현재가")</f>
        <v>23600</v>
      </c>
      <c r="I297" s="2">
        <f>_xll.IMDP("STK",표.실시간[[#This Row],[nxt_code]],"시가총액")/10^12</f>
        <v>1.3681162209</v>
      </c>
      <c r="J297" s="2">
        <f>표.실시간[[#This Row],[시가총액 (조원)]]/표.실시간[[#This Row],[현재가]]*(표.실시간[[#This Row],[현재가]]-표.실시간[[#This Row],[대비]])</f>
        <v>1.4086959393165255</v>
      </c>
      <c r="K297" s="3">
        <f>_xll.IMDP("STK",표.실시간[[#This Row],[nxt_code]],"전일대비")</f>
        <v>-700</v>
      </c>
      <c r="L297">
        <f>_xll.IMDP("STK",표.실시간[[#This Row],[nxt_code]],"등락률")</f>
        <v>-2.87</v>
      </c>
      <c r="M297" s="2">
        <f>_xll.IMDP("STK",표.실시간[[#This Row],[nxt_code]],"누적거래량")</f>
        <v>161664</v>
      </c>
      <c r="N297" s="2">
        <f>_xll.IMDP("STK",표.실시간[[#This Row],[nxt_code]],"누적거래대금")/10^8</f>
        <v>37.56754875</v>
      </c>
      <c r="O297" s="2">
        <f>_xll.IMDP("STK",표.실시간[[#This Row],[nxt_code]],"가중평균가")</f>
        <v>23238.042329</v>
      </c>
      <c r="P297" s="2">
        <f>_xll.IMDP("STK",표.실시간[[#This Row],[nxt_code]],"시가")</f>
        <v>24350</v>
      </c>
      <c r="Q297" s="2">
        <f>_xll.IMDP("STK",표.실시간[[#This Row],[nxt_code]],"고가")</f>
        <v>24350</v>
      </c>
      <c r="R297" s="2">
        <f>_xll.IMDP("STK",표.실시간[[#This Row],[nxt_code]],"저가")</f>
        <v>22850</v>
      </c>
      <c r="S297">
        <f>_xll.IMDP("STK",표.실시간[[#This Row],[nxt_code]],"세션명")</f>
        <v>0</v>
      </c>
      <c r="T297">
        <f>_xll.IMDP("STK",표.실시간[[#This Row],[nxt_code]],"체결시간")</f>
        <v>0</v>
      </c>
      <c r="U297" s="2">
        <f>_xll.IMDP("STK","204270","현재가")</f>
        <v>23850</v>
      </c>
      <c r="V297">
        <f>_xll.IMDP("STK","204270","누적거래량")</f>
        <v>63481</v>
      </c>
    </row>
    <row r="298" spans="2:22" x14ac:dyDescent="0.3">
      <c r="B298">
        <v>290</v>
      </c>
      <c r="C298">
        <v>0</v>
      </c>
      <c r="D298">
        <f>IF(IFERROR(INDEX(표.kospi200[code],MATCH(표.실시간[[#This Row],[코드]],표.kospi200[code],0)),0)=0,0,1)</f>
        <v>0</v>
      </c>
      <c r="E298" t="s">
        <v>303</v>
      </c>
      <c r="F298">
        <v>328130</v>
      </c>
      <c r="G298" t="str">
        <f>ConvertStockCode(표.실시간[[#This Row],[코드]])</f>
        <v>N328130</v>
      </c>
      <c r="H298" s="2">
        <f>_xll.IMDP("STK",표.실시간[[#This Row],[nxt_code]],"현재가")</f>
        <v>38100</v>
      </c>
      <c r="I298" s="2">
        <f>_xll.IMDP("STK",표.실시간[[#This Row],[nxt_code]],"시가총액")/10^12</f>
        <v>1.1146820226</v>
      </c>
      <c r="J298" s="2">
        <f>표.실시간[[#This Row],[시가총액 (조원)]]/표.실시간[[#This Row],[현재가]]*(표.실시간[[#This Row],[현재가]]-표.실시간[[#This Row],[대비]])</f>
        <v>1.1761211892000001</v>
      </c>
      <c r="K298" s="3">
        <f>_xll.IMDP("STK",표.실시간[[#This Row],[nxt_code]],"전일대비")</f>
        <v>-2100</v>
      </c>
      <c r="L298">
        <f>_xll.IMDP("STK",표.실시간[[#This Row],[nxt_code]],"등락률")</f>
        <v>-5.22</v>
      </c>
      <c r="M298" s="2">
        <f>_xll.IMDP("STK",표.실시간[[#This Row],[nxt_code]],"누적거래량")</f>
        <v>98748</v>
      </c>
      <c r="N298" s="2">
        <f>_xll.IMDP("STK",표.실시간[[#This Row],[nxt_code]],"누적거래대금")/10^8</f>
        <v>37.59469275</v>
      </c>
      <c r="O298" s="2">
        <f>_xll.IMDP("STK",표.실시간[[#This Row],[nxt_code]],"가중평균가")</f>
        <v>38071.346001999998</v>
      </c>
      <c r="P298" s="2">
        <f>_xll.IMDP("STK",표.실시간[[#This Row],[nxt_code]],"시가")</f>
        <v>37700</v>
      </c>
      <c r="Q298" s="2">
        <f>_xll.IMDP("STK",표.실시간[[#This Row],[nxt_code]],"고가")</f>
        <v>38550</v>
      </c>
      <c r="R298" s="2">
        <f>_xll.IMDP("STK",표.실시간[[#This Row],[nxt_code]],"저가")</f>
        <v>37350</v>
      </c>
      <c r="S298">
        <f>_xll.IMDP("STK",표.실시간[[#This Row],[nxt_code]],"세션명")</f>
        <v>0</v>
      </c>
      <c r="T298">
        <f>_xll.IMDP("STK",표.실시간[[#This Row],[nxt_code]],"체결시간")</f>
        <v>0</v>
      </c>
      <c r="U298" s="2">
        <f>_xll.IMDP("STK","328130","현재가")</f>
        <v>38100</v>
      </c>
      <c r="V298">
        <f>_xll.IMDP("STK","328130","누적거래량")</f>
        <v>291416</v>
      </c>
    </row>
    <row r="299" spans="2:22" x14ac:dyDescent="0.3">
      <c r="B299">
        <v>291</v>
      </c>
      <c r="C299">
        <v>1</v>
      </c>
      <c r="D299">
        <f>IF(IFERROR(INDEX(표.kospi200[code],MATCH(표.실시간[[#This Row],[코드]],표.kospi200[code],0)),0)=0,0,1)</f>
        <v>0</v>
      </c>
      <c r="E299" t="s">
        <v>304</v>
      </c>
      <c r="F299">
        <v>75580</v>
      </c>
      <c r="G299" t="str">
        <f>ConvertStockCode(표.실시간[[#This Row],[코드]])</f>
        <v>N075580</v>
      </c>
      <c r="H299" s="2">
        <f>_xll.IMDP("STK",표.실시간[[#This Row],[nxt_code]],"현재가")</f>
        <v>19030</v>
      </c>
      <c r="I299" s="2">
        <f>_xll.IMDP("STK",표.실시간[[#This Row],[nxt_code]],"시가총액")/10^12</f>
        <v>1.08184514768</v>
      </c>
      <c r="J299" s="2">
        <f>표.실시간[[#This Row],[시가총액 (조원)]]/표.실시간[[#This Row],[현재가]]*(표.실시간[[#This Row],[현재가]]-표.실시간[[#This Row],[대비]])</f>
        <v>1.1045849300799999</v>
      </c>
      <c r="K299" s="3">
        <f>_xll.IMDP("STK",표.실시간[[#This Row],[nxt_code]],"전일대비")</f>
        <v>-400</v>
      </c>
      <c r="L299">
        <f>_xll.IMDP("STK",표.실시간[[#This Row],[nxt_code]],"등락률")</f>
        <v>-1.81</v>
      </c>
      <c r="M299" s="2">
        <f>_xll.IMDP("STK",표.실시간[[#This Row],[nxt_code]],"누적거래량")</f>
        <v>76678</v>
      </c>
      <c r="N299" s="2">
        <f>_xll.IMDP("STK",표.실시간[[#This Row],[nxt_code]],"누적거래대금")/10^8</f>
        <v>14.636524</v>
      </c>
      <c r="O299" s="2">
        <f>_xll.IMDP("STK",표.실시간[[#This Row],[nxt_code]],"가중평균가")</f>
        <v>19088.296513000001</v>
      </c>
      <c r="P299" s="2">
        <f>_xll.IMDP("STK",표.실시간[[#This Row],[nxt_code]],"시가")</f>
        <v>19380</v>
      </c>
      <c r="Q299" s="2">
        <f>_xll.IMDP("STK",표.실시간[[#This Row],[nxt_code]],"고가")</f>
        <v>19570</v>
      </c>
      <c r="R299" s="2">
        <f>_xll.IMDP("STK",표.실시간[[#This Row],[nxt_code]],"저가")</f>
        <v>18920</v>
      </c>
      <c r="S299">
        <f>_xll.IMDP("STK",표.실시간[[#This Row],[nxt_code]],"세션명")</f>
        <v>0</v>
      </c>
      <c r="T299">
        <f>_xll.IMDP("STK",표.실시간[[#This Row],[nxt_code]],"체결시간")</f>
        <v>0</v>
      </c>
      <c r="U299" s="2">
        <f>_xll.IMDP("STK","075580","현재가")</f>
        <v>19040</v>
      </c>
      <c r="V299">
        <f>_xll.IMDP("STK","075580","누적거래량")</f>
        <v>39512</v>
      </c>
    </row>
    <row r="300" spans="2:22" x14ac:dyDescent="0.3">
      <c r="B300">
        <v>292</v>
      </c>
      <c r="C300">
        <v>1</v>
      </c>
      <c r="D300">
        <f>IF(IFERROR(INDEX(표.kospi200[code],MATCH(표.실시간[[#This Row],[코드]],표.kospi200[code],0)),0)=0,0,1)</f>
        <v>0</v>
      </c>
      <c r="E300" t="s">
        <v>305</v>
      </c>
      <c r="F300">
        <v>89860</v>
      </c>
      <c r="G300" t="str">
        <f>ConvertStockCode(표.실시간[[#This Row],[코드]])</f>
        <v>N089860</v>
      </c>
      <c r="H300" s="2">
        <f>_xll.IMDP("STK",표.실시간[[#This Row],[nxt_code]],"현재가")</f>
        <v>30450</v>
      </c>
      <c r="I300" s="2">
        <f>_xll.IMDP("STK",표.실시간[[#This Row],[nxt_code]],"시가총액")/10^12</f>
        <v>1.1056208646000001</v>
      </c>
      <c r="J300" s="2">
        <f>표.실시간[[#This Row],[시가총액 (조원)]]/표.실시간[[#This Row],[현재가]]*(표.실시간[[#This Row],[현재가]]-표.실시간[[#This Row],[대비]])</f>
        <v>1.1219600892000001</v>
      </c>
      <c r="K300" s="3">
        <f>_xll.IMDP("STK",표.실시간[[#This Row],[nxt_code]],"전일대비")</f>
        <v>-450</v>
      </c>
      <c r="L300">
        <f>_xll.IMDP("STK",표.실시간[[#This Row],[nxt_code]],"등락률")</f>
        <v>-1.3</v>
      </c>
      <c r="M300" s="2">
        <f>_xll.IMDP("STK",표.실시간[[#This Row],[nxt_code]],"누적거래량")</f>
        <v>6124</v>
      </c>
      <c r="N300" s="2">
        <f>_xll.IMDP("STK",표.실시간[[#This Row],[nxt_code]],"누적거래대금")/10^8</f>
        <v>1.8697649999999999</v>
      </c>
      <c r="O300" s="2">
        <f>_xll.IMDP("STK",표.실시간[[#This Row],[nxt_code]],"가중평균가")</f>
        <v>30521.792359999999</v>
      </c>
      <c r="P300" s="2">
        <f>_xll.IMDP("STK",표.실시간[[#This Row],[nxt_code]],"시가")</f>
        <v>30950</v>
      </c>
      <c r="Q300" s="2">
        <f>_xll.IMDP("STK",표.실시간[[#This Row],[nxt_code]],"고가")</f>
        <v>31000</v>
      </c>
      <c r="R300" s="2">
        <f>_xll.IMDP("STK",표.실시간[[#This Row],[nxt_code]],"저가")</f>
        <v>30300</v>
      </c>
      <c r="S300">
        <f>_xll.IMDP("STK",표.실시간[[#This Row],[nxt_code]],"세션명")</f>
        <v>0</v>
      </c>
      <c r="T300">
        <f>_xll.IMDP("STK",표.실시간[[#This Row],[nxt_code]],"체결시간")</f>
        <v>0</v>
      </c>
      <c r="U300" s="2">
        <f>_xll.IMDP("STK","089860","현재가")</f>
        <v>30450</v>
      </c>
      <c r="V300">
        <f>_xll.IMDP("STK","089860","누적거래량")</f>
        <v>3499</v>
      </c>
    </row>
    <row r="301" spans="2:22" x14ac:dyDescent="0.3">
      <c r="B301">
        <v>293</v>
      </c>
      <c r="C301">
        <v>1</v>
      </c>
      <c r="D301">
        <f>IF(IFERROR(INDEX(표.kospi200[code],MATCH(표.실시간[[#This Row],[코드]],표.kospi200[code],0)),0)=0,0,1)</f>
        <v>1</v>
      </c>
      <c r="E301" t="s">
        <v>306</v>
      </c>
      <c r="F301">
        <v>192080</v>
      </c>
      <c r="G301" t="str">
        <f>ConvertStockCode(표.실시간[[#This Row],[코드]])</f>
        <v>N192080</v>
      </c>
      <c r="H301" s="2">
        <f>_xll.IMDP("STK",표.실시간[[#This Row],[nxt_code]],"현재가")</f>
        <v>52300</v>
      </c>
      <c r="I301" s="2">
        <f>_xll.IMDP("STK",표.실시간[[#This Row],[nxt_code]],"시가총액")/10^12</f>
        <v>1.1073723764000001</v>
      </c>
      <c r="J301" s="2">
        <f>표.실시간[[#This Row],[시가총액 (조원)]]/표.실시간[[#This Row],[현재가]]*(표.실시간[[#This Row],[현재가]]-표.실시간[[#This Row],[대비]])</f>
        <v>1.1327805380000002</v>
      </c>
      <c r="K301" s="3">
        <f>_xll.IMDP("STK",표.실시간[[#This Row],[nxt_code]],"전일대비")</f>
        <v>-1200</v>
      </c>
      <c r="L301">
        <f>_xll.IMDP("STK",표.실시간[[#This Row],[nxt_code]],"등락률")</f>
        <v>-2.2400000000000002</v>
      </c>
      <c r="M301" s="2">
        <f>_xll.IMDP("STK",표.실시간[[#This Row],[nxt_code]],"누적거래량")</f>
        <v>1690</v>
      </c>
      <c r="N301" s="2">
        <f>_xll.IMDP("STK",표.실시간[[#This Row],[nxt_code]],"누적거래대금")/10^8</f>
        <v>0.89241099999999995</v>
      </c>
      <c r="O301" s="2">
        <f>_xll.IMDP("STK",표.실시간[[#This Row],[nxt_code]],"가중평균가")</f>
        <v>52805.384615000003</v>
      </c>
      <c r="P301" s="2">
        <f>_xll.IMDP("STK",표.실시간[[#This Row],[nxt_code]],"시가")</f>
        <v>53600</v>
      </c>
      <c r="Q301" s="2">
        <f>_xll.IMDP("STK",표.실시간[[#This Row],[nxt_code]],"고가")</f>
        <v>53600</v>
      </c>
      <c r="R301" s="2">
        <f>_xll.IMDP("STK",표.실시간[[#This Row],[nxt_code]],"저가")</f>
        <v>52300</v>
      </c>
      <c r="S301">
        <f>_xll.IMDP("STK",표.실시간[[#This Row],[nxt_code]],"세션명")</f>
        <v>0</v>
      </c>
      <c r="T301">
        <f>_xll.IMDP("STK",표.실시간[[#This Row],[nxt_code]],"체결시간")</f>
        <v>0</v>
      </c>
      <c r="U301" s="2">
        <f>_xll.IMDP("STK","192080","현재가")</f>
        <v>52400</v>
      </c>
      <c r="V301">
        <f>_xll.IMDP("STK","192080","누적거래량")</f>
        <v>1518</v>
      </c>
    </row>
    <row r="302" spans="2:22" x14ac:dyDescent="0.3">
      <c r="B302">
        <v>294</v>
      </c>
      <c r="C302">
        <v>1</v>
      </c>
      <c r="D302">
        <f>IF(IFERROR(INDEX(표.kospi200[code],MATCH(표.실시간[[#This Row],[코드]],표.kospi200[code],0)),0)=0,0,1)</f>
        <v>0</v>
      </c>
      <c r="E302" t="s">
        <v>307</v>
      </c>
      <c r="F302">
        <v>64960</v>
      </c>
      <c r="G302" t="str">
        <f>ConvertStockCode(표.실시간[[#This Row],[코드]])</f>
        <v>N064960</v>
      </c>
      <c r="H302" s="2">
        <f>_xll.IMDP("STK",표.실시간[[#This Row],[nxt_code]],"현재가")</f>
        <v>34800</v>
      </c>
      <c r="I302" s="2">
        <f>_xll.IMDP("STK",표.실시간[[#This Row],[nxt_code]],"시가총액")/10^12</f>
        <v>0.9236014656</v>
      </c>
      <c r="J302" s="2">
        <f>표.실시간[[#This Row],[시가총액 (조원)]]/표.실시간[[#This Row],[현재가]]*(표.실시간[[#This Row],[현재가]]-표.실시간[[#This Row],[대비]])</f>
        <v>0.93023653360000003</v>
      </c>
      <c r="K302" s="3">
        <f>_xll.IMDP("STK",표.실시간[[#This Row],[nxt_code]],"전일대비")</f>
        <v>-250</v>
      </c>
      <c r="L302">
        <f>_xll.IMDP("STK",표.실시간[[#This Row],[nxt_code]],"등락률")</f>
        <v>-0.71</v>
      </c>
      <c r="M302" s="2">
        <f>_xll.IMDP("STK",표.실시간[[#This Row],[nxt_code]],"누적거래량")</f>
        <v>18407</v>
      </c>
      <c r="N302" s="2">
        <f>_xll.IMDP("STK",표.실시간[[#This Row],[nxt_code]],"누적거래대금")/10^8</f>
        <v>6.4009882500000002</v>
      </c>
      <c r="O302" s="2">
        <f>_xll.IMDP("STK",표.실시간[[#This Row],[nxt_code]],"가중평균가")</f>
        <v>34774.750095000003</v>
      </c>
      <c r="P302" s="2">
        <f>_xll.IMDP("STK",표.실시간[[#This Row],[nxt_code]],"시가")</f>
        <v>35500</v>
      </c>
      <c r="Q302" s="2">
        <f>_xll.IMDP("STK",표.실시간[[#This Row],[nxt_code]],"고가")</f>
        <v>35650</v>
      </c>
      <c r="R302" s="2">
        <f>_xll.IMDP("STK",표.실시간[[#This Row],[nxt_code]],"저가")</f>
        <v>34350</v>
      </c>
      <c r="S302">
        <f>_xll.IMDP("STK",표.실시간[[#This Row],[nxt_code]],"세션명")</f>
        <v>0</v>
      </c>
      <c r="T302">
        <f>_xll.IMDP("STK",표.실시간[[#This Row],[nxt_code]],"체결시간")</f>
        <v>0</v>
      </c>
      <c r="U302" s="2">
        <f>_xll.IMDP("STK","064960","현재가")</f>
        <v>34850</v>
      </c>
      <c r="V302">
        <f>_xll.IMDP("STK","064960","누적거래량")</f>
        <v>8168</v>
      </c>
    </row>
    <row r="303" spans="2:22" x14ac:dyDescent="0.3">
      <c r="B303">
        <v>295</v>
      </c>
      <c r="C303">
        <v>0</v>
      </c>
      <c r="D303">
        <f>IF(IFERROR(INDEX(표.kospi200[code],MATCH(표.실시간[[#This Row],[코드]],표.kospi200[code],0)),0)=0,0,1)</f>
        <v>0</v>
      </c>
      <c r="E303" t="s">
        <v>308</v>
      </c>
      <c r="F303">
        <v>166090</v>
      </c>
      <c r="G303" t="str">
        <f>ConvertStockCode(표.실시간[[#This Row],[코드]])</f>
        <v>N166090</v>
      </c>
      <c r="H303" s="2">
        <f>_xll.IMDP("STK",표.실시간[[#This Row],[nxt_code]],"현재가")</f>
        <v>63900</v>
      </c>
      <c r="I303" s="2">
        <f>_xll.IMDP("STK",표.실시간[[#This Row],[nxt_code]],"시가총액")/10^12</f>
        <v>1.2637933686</v>
      </c>
      <c r="J303" s="2">
        <f>표.실시간[[#This Row],[시가총액 (조원)]]/표.실시간[[#This Row],[현재가]]*(표.실시간[[#This Row],[현재가]]-표.실시간[[#This Row],[대비]])</f>
        <v>1.3231263906000001</v>
      </c>
      <c r="K303" s="3">
        <f>_xll.IMDP("STK",표.실시간[[#This Row],[nxt_code]],"전일대비")</f>
        <v>-3000</v>
      </c>
      <c r="L303">
        <f>_xll.IMDP("STK",표.실시간[[#This Row],[nxt_code]],"등락률")</f>
        <v>-4.4800000000000004</v>
      </c>
      <c r="M303" s="2">
        <f>_xll.IMDP("STK",표.실시간[[#This Row],[nxt_code]],"누적거래량")</f>
        <v>50411</v>
      </c>
      <c r="N303" s="2">
        <f>_xll.IMDP("STK",표.실시간[[#This Row],[nxt_code]],"누적거래대금")/10^8</f>
        <v>31.732567</v>
      </c>
      <c r="O303" s="2">
        <f>_xll.IMDP("STK",표.실시간[[#This Row],[nxt_code]],"가중평균가")</f>
        <v>62947.703873999999</v>
      </c>
      <c r="P303" s="2">
        <f>_xll.IMDP("STK",표.실시간[[#This Row],[nxt_code]],"시가")</f>
        <v>64900</v>
      </c>
      <c r="Q303" s="2">
        <f>_xll.IMDP("STK",표.실시간[[#This Row],[nxt_code]],"고가")</f>
        <v>64900</v>
      </c>
      <c r="R303" s="2">
        <f>_xll.IMDP("STK",표.실시간[[#This Row],[nxt_code]],"저가")</f>
        <v>61600</v>
      </c>
      <c r="S303">
        <f>_xll.IMDP("STK",표.실시간[[#This Row],[nxt_code]],"세션명")</f>
        <v>0</v>
      </c>
      <c r="T303">
        <f>_xll.IMDP("STK",표.실시간[[#This Row],[nxt_code]],"체결시간")</f>
        <v>0</v>
      </c>
      <c r="U303" s="2">
        <f>_xll.IMDP("STK","166090","현재가")</f>
        <v>64400</v>
      </c>
      <c r="V303">
        <f>_xll.IMDP("STK","166090","누적거래량")</f>
        <v>38009</v>
      </c>
    </row>
    <row r="304" spans="2:22" x14ac:dyDescent="0.3">
      <c r="B304">
        <v>296</v>
      </c>
      <c r="C304">
        <v>1</v>
      </c>
      <c r="D304">
        <f>IF(IFERROR(INDEX(표.kospi200[code],MATCH(표.실시간[[#This Row],[코드]],표.kospi200[code],0)),0)=0,0,1)</f>
        <v>1</v>
      </c>
      <c r="E304" t="s">
        <v>309</v>
      </c>
      <c r="F304">
        <v>9240</v>
      </c>
      <c r="G304" t="str">
        <f>ConvertStockCode(표.실시간[[#This Row],[코드]])</f>
        <v>N009240</v>
      </c>
      <c r="H304" s="2">
        <f>_xll.IMDP("STK",표.실시간[[#This Row],[nxt_code]],"현재가")</f>
        <v>45900</v>
      </c>
      <c r="I304" s="2">
        <f>_xll.IMDP("STK",표.실시간[[#This Row],[nxt_code]],"시가총액")/10^12</f>
        <v>1.0802072951999999</v>
      </c>
      <c r="J304" s="2">
        <f>표.실시간[[#This Row],[시가총액 (조원)]]/표.실시간[[#This Row],[현재가]]*(표.실시간[[#This Row],[현재가]]-표.실시간[[#This Row],[대비]])</f>
        <v>1.0966810447999999</v>
      </c>
      <c r="K304" s="3">
        <f>_xll.IMDP("STK",표.실시간[[#This Row],[nxt_code]],"전일대비")</f>
        <v>-700</v>
      </c>
      <c r="L304">
        <f>_xll.IMDP("STK",표.실시간[[#This Row],[nxt_code]],"등락률")</f>
        <v>-1.5</v>
      </c>
      <c r="M304" s="2">
        <f>_xll.IMDP("STK",표.실시간[[#This Row],[nxt_code]],"누적거래량")</f>
        <v>6395</v>
      </c>
      <c r="N304" s="2">
        <f>_xll.IMDP("STK",표.실시간[[#This Row],[nxt_code]],"누적거래대금")/10^8</f>
        <v>2.9390774999999998</v>
      </c>
      <c r="O304" s="2">
        <f>_xll.IMDP("STK",표.실시간[[#This Row],[nxt_code]],"가중평균가")</f>
        <v>45958.991399999999</v>
      </c>
      <c r="P304" s="2">
        <f>_xll.IMDP("STK",표.실시간[[#This Row],[nxt_code]],"시가")</f>
        <v>46900</v>
      </c>
      <c r="Q304" s="2">
        <f>_xll.IMDP("STK",표.실시간[[#This Row],[nxt_code]],"고가")</f>
        <v>46900</v>
      </c>
      <c r="R304" s="2">
        <f>_xll.IMDP("STK",표.실시간[[#This Row],[nxt_code]],"저가")</f>
        <v>45550</v>
      </c>
      <c r="S304">
        <f>_xll.IMDP("STK",표.실시간[[#This Row],[nxt_code]],"세션명")</f>
        <v>0</v>
      </c>
      <c r="T304">
        <f>_xll.IMDP("STK",표.실시간[[#This Row],[nxt_code]],"체결시간")</f>
        <v>0</v>
      </c>
      <c r="U304" s="2">
        <f>_xll.IMDP("STK","009240","현재가")</f>
        <v>45950</v>
      </c>
      <c r="V304">
        <f>_xll.IMDP("STK","009240","누적거래량")</f>
        <v>2950</v>
      </c>
    </row>
    <row r="305" spans="2:22" x14ac:dyDescent="0.3">
      <c r="B305">
        <v>297</v>
      </c>
      <c r="C305">
        <v>0</v>
      </c>
      <c r="D305">
        <f>IF(IFERROR(INDEX(표.kospi200[code],MATCH(표.실시간[[#This Row],[코드]],표.kospi200[code],0)),0)=0,0,1)</f>
        <v>0</v>
      </c>
      <c r="E305" t="s">
        <v>310</v>
      </c>
      <c r="F305">
        <v>388210</v>
      </c>
      <c r="G305" t="str">
        <f>ConvertStockCode(표.실시간[[#This Row],[코드]])</f>
        <v>N388210</v>
      </c>
      <c r="H305" s="2">
        <f>_xll.IMDP("STK",표.실시간[[#This Row],[nxt_code]],"현재가")</f>
        <v>128600</v>
      </c>
      <c r="I305" s="2">
        <f>_xll.IMDP("STK",표.실시간[[#This Row],[nxt_code]],"시가총액")/10^12</f>
        <v>1.1924676768</v>
      </c>
      <c r="J305" s="2">
        <f>표.실시간[[#This Row],[시가총액 (조원)]]/표.실시간[[#This Row],[현재가]]*(표.실시간[[#This Row],[현재가]]-표.실시간[[#This Row],[대비]])</f>
        <v>1.2341947728</v>
      </c>
      <c r="K305" s="3">
        <f>_xll.IMDP("STK",표.실시간[[#This Row],[nxt_code]],"전일대비")</f>
        <v>-4500</v>
      </c>
      <c r="L305">
        <f>_xll.IMDP("STK",표.실시간[[#This Row],[nxt_code]],"등락률")</f>
        <v>-3.53</v>
      </c>
      <c r="M305" s="2">
        <f>_xll.IMDP("STK",표.실시간[[#This Row],[nxt_code]],"누적거래량")</f>
        <v>31009</v>
      </c>
      <c r="N305" s="2">
        <f>_xll.IMDP("STK",표.실시간[[#This Row],[nxt_code]],"누적거래대금")/10^8</f>
        <v>39.377983999999998</v>
      </c>
      <c r="O305" s="2">
        <f>_xll.IMDP("STK",표.실시간[[#This Row],[nxt_code]],"가중평균가")</f>
        <v>126972.508303</v>
      </c>
      <c r="P305" s="2">
        <f>_xll.IMDP("STK",표.실시간[[#This Row],[nxt_code]],"시가")</f>
        <v>128300</v>
      </c>
      <c r="Q305" s="2">
        <f>_xll.IMDP("STK",표.실시간[[#This Row],[nxt_code]],"고가")</f>
        <v>131500</v>
      </c>
      <c r="R305" s="2">
        <f>_xll.IMDP("STK",표.실시간[[#This Row],[nxt_code]],"저가")</f>
        <v>125100</v>
      </c>
      <c r="S305">
        <f>_xll.IMDP("STK",표.실시간[[#This Row],[nxt_code]],"세션명")</f>
        <v>0</v>
      </c>
      <c r="T305">
        <f>_xll.IMDP("STK",표.실시간[[#This Row],[nxt_code]],"체결시간")</f>
        <v>0</v>
      </c>
      <c r="U305" s="2">
        <f>_xll.IMDP("STK","388210","현재가")</f>
        <v>128400</v>
      </c>
      <c r="V305">
        <f>_xll.IMDP("STK","388210","누적거래량")</f>
        <v>15168</v>
      </c>
    </row>
    <row r="306" spans="2:22" x14ac:dyDescent="0.3">
      <c r="B306">
        <v>298</v>
      </c>
      <c r="C306">
        <v>0</v>
      </c>
      <c r="D306">
        <f>IF(IFERROR(INDEX(표.kospi200[code],MATCH(표.실시간[[#This Row],[코드]],표.kospi200[code],0)),0)=0,0,1)</f>
        <v>0</v>
      </c>
      <c r="E306" t="s">
        <v>311</v>
      </c>
      <c r="F306">
        <v>183300</v>
      </c>
      <c r="G306" t="str">
        <f>ConvertStockCode(표.실시간[[#This Row],[코드]])</f>
        <v>N183300</v>
      </c>
      <c r="H306" s="2">
        <f>_xll.IMDP("STK",표.실시간[[#This Row],[nxt_code]],"현재가")</f>
        <v>122300</v>
      </c>
      <c r="I306" s="2">
        <f>_xll.IMDP("STK",표.실시간[[#This Row],[nxt_code]],"시가총액")/10^12</f>
        <v>1.2793416531999999</v>
      </c>
      <c r="J306" s="2">
        <f>표.실시간[[#This Row],[시가총액 (조원)]]/표.실시간[[#This Row],[현재가]]*(표.실시간[[#This Row],[현재가]]-표.실시간[[#This Row],[대비]])</f>
        <v>1.3253686627999999</v>
      </c>
      <c r="K306" s="3">
        <f>_xll.IMDP("STK",표.실시간[[#This Row],[nxt_code]],"전일대비")</f>
        <v>-4400</v>
      </c>
      <c r="L306">
        <f>_xll.IMDP("STK",표.실시간[[#This Row],[nxt_code]],"등락률")</f>
        <v>-3.47</v>
      </c>
      <c r="M306" s="2">
        <f>_xll.IMDP("STK",표.실시간[[#This Row],[nxt_code]],"누적거래량")</f>
        <v>30210</v>
      </c>
      <c r="N306" s="2">
        <f>_xll.IMDP("STK",표.실시간[[#This Row],[nxt_code]],"누적거래대금")/10^8</f>
        <v>36.208185999999998</v>
      </c>
      <c r="O306" s="2">
        <f>_xll.IMDP("STK",표.실시간[[#This Row],[nxt_code]],"가중평균가")</f>
        <v>119854.968553</v>
      </c>
      <c r="P306" s="2">
        <f>_xll.IMDP("STK",표.실시간[[#This Row],[nxt_code]],"시가")</f>
        <v>121900</v>
      </c>
      <c r="Q306" s="2">
        <f>_xll.IMDP("STK",표.실시간[[#This Row],[nxt_code]],"고가")</f>
        <v>122800</v>
      </c>
      <c r="R306" s="2">
        <f>_xll.IMDP("STK",표.실시간[[#This Row],[nxt_code]],"저가")</f>
        <v>118100</v>
      </c>
      <c r="S306">
        <f>_xll.IMDP("STK",표.실시간[[#This Row],[nxt_code]],"세션명")</f>
        <v>0</v>
      </c>
      <c r="T306">
        <f>_xll.IMDP("STK",표.실시간[[#This Row],[nxt_code]],"체결시간")</f>
        <v>0</v>
      </c>
      <c r="U306" s="2">
        <f>_xll.IMDP("STK","183300","현재가")</f>
        <v>122800</v>
      </c>
      <c r="V306">
        <f>_xll.IMDP("STK","183300","누적거래량")</f>
        <v>13815</v>
      </c>
    </row>
    <row r="307" spans="2:22" x14ac:dyDescent="0.3">
      <c r="B307">
        <v>299</v>
      </c>
      <c r="C307">
        <v>0</v>
      </c>
      <c r="D307">
        <f>IF(IFERROR(INDEX(표.kospi200[code],MATCH(표.실시간[[#This Row],[코드]],표.kospi200[code],0)),0)=0,0,1)</f>
        <v>0</v>
      </c>
      <c r="E307" t="s">
        <v>312</v>
      </c>
      <c r="F307">
        <v>80220</v>
      </c>
      <c r="G307" t="str">
        <f>ConvertStockCode(표.실시간[[#This Row],[코드]])</f>
        <v>N080220</v>
      </c>
      <c r="H307" s="2">
        <f>_xll.IMDP("STK",표.실시간[[#This Row],[nxt_code]],"현재가")</f>
        <v>41600</v>
      </c>
      <c r="I307" s="2">
        <f>_xll.IMDP("STK",표.실시간[[#This Row],[nxt_code]],"시가총액")/10^12</f>
        <v>1.4328218528000001</v>
      </c>
      <c r="J307" s="2">
        <f>표.실시간[[#This Row],[시가총액 (조원)]]/표.실시간[[#This Row],[현재가]]*(표.실시간[[#This Row],[현재가]]-표.실시간[[#This Row],[대비]])</f>
        <v>1.5068739437499998</v>
      </c>
      <c r="K307" s="3">
        <f>_xll.IMDP("STK",표.실시간[[#This Row],[nxt_code]],"전일대비")</f>
        <v>-2150</v>
      </c>
      <c r="L307">
        <f>_xll.IMDP("STK",표.실시간[[#This Row],[nxt_code]],"등락률")</f>
        <v>-3.93</v>
      </c>
      <c r="M307" s="2">
        <f>_xll.IMDP("STK",표.실시간[[#This Row],[nxt_code]],"누적거래량")</f>
        <v>2074070</v>
      </c>
      <c r="N307" s="2">
        <f>_xll.IMDP("STK",표.실시간[[#This Row],[nxt_code]],"누적거래대금")/10^8</f>
        <v>897.95437875000005</v>
      </c>
      <c r="O307" s="2">
        <f>_xll.IMDP("STK",표.실시간[[#This Row],[nxt_code]],"가중평균가")</f>
        <v>42515.853288999999</v>
      </c>
      <c r="P307" s="2">
        <f>_xll.IMDP("STK",표.실시간[[#This Row],[nxt_code]],"시가")</f>
        <v>42100</v>
      </c>
      <c r="Q307" s="2">
        <f>_xll.IMDP("STK",표.실시간[[#This Row],[nxt_code]],"고가")</f>
        <v>43850</v>
      </c>
      <c r="R307" s="2">
        <f>_xll.IMDP("STK",표.실시간[[#This Row],[nxt_code]],"저가")</f>
        <v>41100</v>
      </c>
      <c r="S307">
        <f>_xll.IMDP("STK",표.실시간[[#This Row],[nxt_code]],"세션명")</f>
        <v>0</v>
      </c>
      <c r="T307">
        <f>_xll.IMDP("STK",표.실시간[[#This Row],[nxt_code]],"체결시간")</f>
        <v>0</v>
      </c>
      <c r="U307" s="2">
        <f>_xll.IMDP("STK","080220","현재가")</f>
        <v>41600</v>
      </c>
      <c r="V307">
        <f>_xll.IMDP("STK","080220","누적거래량")</f>
        <v>527331</v>
      </c>
    </row>
    <row r="308" spans="2:22" x14ac:dyDescent="0.3">
      <c r="B308">
        <v>300</v>
      </c>
      <c r="C308">
        <v>0</v>
      </c>
      <c r="D308">
        <f>IF(IFERROR(INDEX(표.kospi200[code],MATCH(표.실시간[[#This Row],[코드]],표.kospi200[code],0)),0)=0,0,1)</f>
        <v>0</v>
      </c>
      <c r="E308" t="s">
        <v>313</v>
      </c>
      <c r="F308">
        <v>295310</v>
      </c>
      <c r="G308" t="str">
        <f>ConvertStockCode(표.실시간[[#This Row],[코드]])</f>
        <v>N295310</v>
      </c>
      <c r="H308" s="2">
        <f>_xll.IMDP("STK",표.실시간[[#This Row],[nxt_code]],"현재가")</f>
        <v>88700</v>
      </c>
      <c r="I308" s="2">
        <f>_xll.IMDP("STK",표.실시간[[#This Row],[nxt_code]],"시가총액")/10^12</f>
        <v>1.0557012797000001</v>
      </c>
      <c r="J308" s="2">
        <f>표.실시간[[#This Row],[시가총액 (조원)]]/표.실시간[[#This Row],[현재가]]*(표.실시간[[#This Row],[현재가]]-표.실시간[[#This Row],[대비]])</f>
        <v>1.0521307004</v>
      </c>
      <c r="K308" s="3">
        <f>_xll.IMDP("STK",표.실시간[[#This Row],[nxt_code]],"전일대비")</f>
        <v>300</v>
      </c>
      <c r="L308">
        <f>_xll.IMDP("STK",표.실시간[[#This Row],[nxt_code]],"등락률")</f>
        <v>1.37</v>
      </c>
      <c r="M308" s="2">
        <f>_xll.IMDP("STK",표.실시간[[#This Row],[nxt_code]],"누적거래량")</f>
        <v>81611</v>
      </c>
      <c r="N308" s="2">
        <f>_xll.IMDP("STK",표.실시간[[#This Row],[nxt_code]],"누적거래대금")/10^8</f>
        <v>70.158831500000005</v>
      </c>
      <c r="O308" s="2">
        <f>_xll.IMDP("STK",표.실시간[[#This Row],[nxt_code]],"가중평균가")</f>
        <v>85839.050933999999</v>
      </c>
      <c r="P308" s="2">
        <f>_xll.IMDP("STK",표.실시간[[#This Row],[nxt_code]],"시가")</f>
        <v>87500</v>
      </c>
      <c r="Q308" s="2">
        <f>_xll.IMDP("STK",표.실시간[[#This Row],[nxt_code]],"고가")</f>
        <v>89500</v>
      </c>
      <c r="R308" s="2">
        <f>_xll.IMDP("STK",표.실시간[[#This Row],[nxt_code]],"저가")</f>
        <v>82800</v>
      </c>
      <c r="S308">
        <f>_xll.IMDP("STK",표.실시간[[#This Row],[nxt_code]],"세션명")</f>
        <v>0</v>
      </c>
      <c r="T308">
        <f>_xll.IMDP("STK",표.실시간[[#This Row],[nxt_code]],"체결시간")</f>
        <v>0</v>
      </c>
      <c r="U308" s="2">
        <f>_xll.IMDP("STK","295310","현재가")</f>
        <v>88800</v>
      </c>
      <c r="V308">
        <f>_xll.IMDP("STK","295310","누적거래량")</f>
        <v>54513</v>
      </c>
    </row>
    <row r="309" spans="2:22" x14ac:dyDescent="0.3">
      <c r="B309">
        <v>301</v>
      </c>
      <c r="C309">
        <v>1</v>
      </c>
      <c r="D309">
        <f>IF(IFERROR(INDEX(표.kospi200[code],MATCH(표.실시간[[#This Row],[코드]],표.kospi200[code],0)),0)=0,0,1)</f>
        <v>1</v>
      </c>
      <c r="E309" t="s">
        <v>314</v>
      </c>
      <c r="F309">
        <v>6650</v>
      </c>
      <c r="G309" t="str">
        <f>ConvertStockCode(표.실시간[[#This Row],[코드]])</f>
        <v>N006650</v>
      </c>
      <c r="H309" s="2">
        <f>_xll.IMDP("STK",표.실시간[[#This Row],[nxt_code]],"현재가")</f>
        <v>154000</v>
      </c>
      <c r="I309" s="2">
        <f>_xll.IMDP("STK",표.실시간[[#This Row],[nxt_code]],"시가총액")/10^12</f>
        <v>1.0009999999999999</v>
      </c>
      <c r="J309" s="2">
        <f>표.실시간[[#This Row],[시가총액 (조원)]]/표.실시간[[#This Row],[현재가]]*(표.실시간[[#This Row],[현재가]]-표.실시간[[#This Row],[대비]])</f>
        <v>1.0159499999999999</v>
      </c>
      <c r="K309" s="3">
        <f>_xll.IMDP("STK",표.실시간[[#This Row],[nxt_code]],"전일대비")</f>
        <v>-2300</v>
      </c>
      <c r="L309">
        <f>_xll.IMDP("STK",표.실시간[[#This Row],[nxt_code]],"등락률")</f>
        <v>-1.47</v>
      </c>
      <c r="M309" s="2">
        <f>_xll.IMDP("STK",표.실시간[[#This Row],[nxt_code]],"누적거래량")</f>
        <v>1512</v>
      </c>
      <c r="N309" s="2">
        <f>_xll.IMDP("STK",표.실시간[[#This Row],[nxt_code]],"누적거래대금")/10^8</f>
        <v>2.3161119999999999</v>
      </c>
      <c r="O309" s="2">
        <f>_xll.IMDP("STK",표.실시간[[#This Row],[nxt_code]],"가중평균가")</f>
        <v>153182.01058199999</v>
      </c>
      <c r="P309" s="2">
        <f>_xll.IMDP("STK",표.실시간[[#This Row],[nxt_code]],"시가")</f>
        <v>154900</v>
      </c>
      <c r="Q309" s="2">
        <f>_xll.IMDP("STK",표.실시간[[#This Row],[nxt_code]],"고가")</f>
        <v>155400</v>
      </c>
      <c r="R309" s="2">
        <f>_xll.IMDP("STK",표.실시간[[#This Row],[nxt_code]],"저가")</f>
        <v>152000</v>
      </c>
      <c r="S309">
        <f>_xll.IMDP("STK",표.실시간[[#This Row],[nxt_code]],"세션명")</f>
        <v>0</v>
      </c>
      <c r="T309">
        <f>_xll.IMDP("STK",표.실시간[[#This Row],[nxt_code]],"체결시간")</f>
        <v>0</v>
      </c>
      <c r="U309" s="2">
        <f>_xll.IMDP("STK","006650","현재가")</f>
        <v>154200</v>
      </c>
      <c r="V309">
        <f>_xll.IMDP("STK","006650","누적거래량")</f>
        <v>1566</v>
      </c>
    </row>
    <row r="310" spans="2:22" x14ac:dyDescent="0.3">
      <c r="B310">
        <v>302</v>
      </c>
      <c r="C310">
        <v>1</v>
      </c>
      <c r="D310">
        <f>IF(IFERROR(INDEX(표.kospi200[code],MATCH(표.실시간[[#This Row],[코드]],표.kospi200[code],0)),0)=0,0,1)</f>
        <v>1</v>
      </c>
      <c r="E310" t="s">
        <v>315</v>
      </c>
      <c r="F310">
        <v>280360</v>
      </c>
      <c r="G310" t="str">
        <f>ConvertStockCode(표.실시간[[#This Row],[코드]])</f>
        <v>N280360</v>
      </c>
      <c r="H310" s="2">
        <f>_xll.IMDP("STK",표.실시간[[#This Row],[nxt_code]],"현재가")</f>
        <v>118500</v>
      </c>
      <c r="I310" s="2">
        <f>_xll.IMDP("STK",표.실시간[[#This Row],[nxt_code]],"시가총액")/10^12</f>
        <v>1.102592019</v>
      </c>
      <c r="J310" s="2">
        <f>표.실시간[[#This Row],[시가총액 (조원)]]/표.실시간[[#This Row],[현재가]]*(표.실시간[[#This Row],[현재가]]-표.실시간[[#This Row],[대비]])</f>
        <v>1.0821219562</v>
      </c>
      <c r="K310" s="3">
        <f>_xll.IMDP("STK",표.실시간[[#This Row],[nxt_code]],"전일대비")</f>
        <v>2200</v>
      </c>
      <c r="L310">
        <f>_xll.IMDP("STK",표.실시간[[#This Row],[nxt_code]],"등락률")</f>
        <v>1.89</v>
      </c>
      <c r="M310" s="2">
        <f>_xll.IMDP("STK",표.실시간[[#This Row],[nxt_code]],"누적거래량")</f>
        <v>868</v>
      </c>
      <c r="N310" s="2">
        <f>_xll.IMDP("STK",표.실시간[[#This Row],[nxt_code]],"누적거래대금")/10^8</f>
        <v>1.0064379999999999</v>
      </c>
      <c r="O310" s="2">
        <f>_xll.IMDP("STK",표.실시간[[#This Row],[nxt_code]],"가중평균가")</f>
        <v>115949.078341</v>
      </c>
      <c r="P310" s="2">
        <f>_xll.IMDP("STK",표.실시간[[#This Row],[nxt_code]],"시가")</f>
        <v>116300</v>
      </c>
      <c r="Q310" s="2">
        <f>_xll.IMDP("STK",표.실시간[[#This Row],[nxt_code]],"고가")</f>
        <v>118500</v>
      </c>
      <c r="R310" s="2">
        <f>_xll.IMDP("STK",표.실시간[[#This Row],[nxt_code]],"저가")</f>
        <v>115100</v>
      </c>
      <c r="S310">
        <f>_xll.IMDP("STK",표.실시간[[#This Row],[nxt_code]],"세션명")</f>
        <v>0</v>
      </c>
      <c r="T310">
        <f>_xll.IMDP("STK",표.실시간[[#This Row],[nxt_code]],"체결시간")</f>
        <v>0</v>
      </c>
      <c r="U310" s="2">
        <f>_xll.IMDP("STK","280360","현재가")</f>
        <v>118300</v>
      </c>
      <c r="V310">
        <f>_xll.IMDP("STK","280360","누적거래량")</f>
        <v>1334</v>
      </c>
    </row>
    <row r="311" spans="2:22" x14ac:dyDescent="0.3">
      <c r="B311">
        <v>303</v>
      </c>
      <c r="C311">
        <v>0</v>
      </c>
      <c r="D311">
        <f>IF(IFERROR(INDEX(표.kospi200[code],MATCH(표.실시간[[#This Row],[코드]],표.kospi200[code],0)),0)=0,0,1)</f>
        <v>0</v>
      </c>
      <c r="E311" t="s">
        <v>316</v>
      </c>
      <c r="F311">
        <v>131970</v>
      </c>
      <c r="G311" t="str">
        <f>ConvertStockCode(표.실시간[[#This Row],[코드]])</f>
        <v>N131970</v>
      </c>
      <c r="H311" s="2">
        <f>_xll.IMDP("STK",표.실시간[[#This Row],[nxt_code]],"현재가")</f>
        <v>65800</v>
      </c>
      <c r="I311" s="2">
        <f>_xll.IMDP("STK",표.실시간[[#This Row],[nxt_code]],"시가총액")/10^12</f>
        <v>1.2717322604000001</v>
      </c>
      <c r="J311" s="2">
        <f>표.실시간[[#This Row],[시가총액 (조원)]]/표.실시간[[#This Row],[현재가]]*(표.실시간[[#This Row],[현재가]]-표.실시간[[#This Row],[대비]])</f>
        <v>1.3103867364000001</v>
      </c>
      <c r="K311" s="3">
        <f>_xll.IMDP("STK",표.실시간[[#This Row],[nxt_code]],"전일대비")</f>
        <v>-2000</v>
      </c>
      <c r="L311">
        <f>_xll.IMDP("STK",표.실시간[[#This Row],[nxt_code]],"등락률")</f>
        <v>-2.95</v>
      </c>
      <c r="M311" s="2">
        <f>_xll.IMDP("STK",표.실시간[[#This Row],[nxt_code]],"누적거래량")</f>
        <v>98921</v>
      </c>
      <c r="N311" s="2">
        <f>_xll.IMDP("STK",표.실시간[[#This Row],[nxt_code]],"누적거래대금")/10^8</f>
        <v>64.290030000000002</v>
      </c>
      <c r="O311" s="2">
        <f>_xll.IMDP("STK",표.실시간[[#This Row],[nxt_code]],"가중평균가")</f>
        <v>64835.294829999999</v>
      </c>
      <c r="P311" s="2">
        <f>_xll.IMDP("STK",표.실시간[[#This Row],[nxt_code]],"시가")</f>
        <v>67100</v>
      </c>
      <c r="Q311" s="2">
        <f>_xll.IMDP("STK",표.실시간[[#This Row],[nxt_code]],"고가")</f>
        <v>67100</v>
      </c>
      <c r="R311" s="2">
        <f>_xll.IMDP("STK",표.실시간[[#This Row],[nxt_code]],"저가")</f>
        <v>63800</v>
      </c>
      <c r="S311">
        <f>_xll.IMDP("STK",표.실시간[[#This Row],[nxt_code]],"세션명")</f>
        <v>0</v>
      </c>
      <c r="T311">
        <f>_xll.IMDP("STK",표.실시간[[#This Row],[nxt_code]],"체결시간")</f>
        <v>0</v>
      </c>
      <c r="U311" s="2">
        <f>_xll.IMDP("STK","131970","현재가")</f>
        <v>66100</v>
      </c>
      <c r="V311">
        <f>_xll.IMDP("STK","131970","누적거래량")</f>
        <v>46093</v>
      </c>
    </row>
    <row r="312" spans="2:22" x14ac:dyDescent="0.3">
      <c r="B312">
        <v>304</v>
      </c>
      <c r="C312">
        <v>1</v>
      </c>
      <c r="D312">
        <f>IF(IFERROR(INDEX(표.kospi200[code],MATCH(표.실시간[[#This Row],[코드]],표.kospi200[code],0)),0)=0,0,1)</f>
        <v>0</v>
      </c>
      <c r="E312" t="s">
        <v>317</v>
      </c>
      <c r="F312">
        <v>12630</v>
      </c>
      <c r="G312" t="str">
        <f>ConvertStockCode(표.실시간[[#This Row],[코드]])</f>
        <v>N012630</v>
      </c>
      <c r="H312" s="2">
        <f>_xll.IMDP("STK",표.실시간[[#This Row],[nxt_code]],"현재가")</f>
        <v>18980</v>
      </c>
      <c r="I312" s="2">
        <f>_xll.IMDP("STK",표.실시간[[#This Row],[nxt_code]],"시가총액")/10^12</f>
        <v>1.13389786458</v>
      </c>
      <c r="J312" s="2">
        <f>표.실시간[[#This Row],[시가총액 (조원)]]/표.실시간[[#This Row],[현재가]]*(표.실시간[[#This Row],[현재가]]-표.실시간[[#This Row],[대비]])</f>
        <v>1.1410668711</v>
      </c>
      <c r="K312" s="3">
        <f>_xll.IMDP("STK",표.실시간[[#This Row],[nxt_code]],"전일대비")</f>
        <v>-120</v>
      </c>
      <c r="L312">
        <f>_xll.IMDP("STK",표.실시간[[#This Row],[nxt_code]],"등락률")</f>
        <v>-0.16</v>
      </c>
      <c r="M312" s="2">
        <f>_xll.IMDP("STK",표.실시간[[#This Row],[nxt_code]],"누적거래량")</f>
        <v>17320</v>
      </c>
      <c r="N312" s="2">
        <f>_xll.IMDP("STK",표.실시간[[#This Row],[nxt_code]],"누적거래대금")/10^8</f>
        <v>3.2517507000000001</v>
      </c>
      <c r="O312" s="2">
        <f>_xll.IMDP("STK",표.실시간[[#This Row],[nxt_code]],"가중평균가")</f>
        <v>18774.542148</v>
      </c>
      <c r="P312" s="2">
        <f>_xll.IMDP("STK",표.실시간[[#This Row],[nxt_code]],"시가")</f>
        <v>19010</v>
      </c>
      <c r="Q312" s="2">
        <f>_xll.IMDP("STK",표.실시간[[#This Row],[nxt_code]],"고가")</f>
        <v>19010</v>
      </c>
      <c r="R312" s="2">
        <f>_xll.IMDP("STK",표.실시간[[#This Row],[nxt_code]],"저가")</f>
        <v>18620</v>
      </c>
      <c r="S312">
        <f>_xll.IMDP("STK",표.실시간[[#This Row],[nxt_code]],"세션명")</f>
        <v>0</v>
      </c>
      <c r="T312">
        <f>_xll.IMDP("STK",표.실시간[[#This Row],[nxt_code]],"체결시간")</f>
        <v>0</v>
      </c>
      <c r="U312" s="2">
        <f>_xll.IMDP("STK","012630","현재가")</f>
        <v>18890</v>
      </c>
      <c r="V312">
        <f>_xll.IMDP("STK","012630","누적거래량")</f>
        <v>9293</v>
      </c>
    </row>
    <row r="313" spans="2:22" x14ac:dyDescent="0.3">
      <c r="B313">
        <v>305</v>
      </c>
      <c r="C313">
        <v>0</v>
      </c>
      <c r="D313">
        <f>IF(IFERROR(INDEX(표.kospi200[code],MATCH(표.실시간[[#This Row],[코드]],표.kospi200[code],0)),0)=0,0,1)</f>
        <v>0</v>
      </c>
      <c r="E313" t="s">
        <v>318</v>
      </c>
      <c r="F313">
        <v>376900</v>
      </c>
      <c r="G313" t="str">
        <f>ConvertStockCode(표.실시간[[#This Row],[코드]])</f>
        <v>N376900</v>
      </c>
      <c r="H313" s="2">
        <f>_xll.IMDP("STK",표.실시간[[#This Row],[nxt_code]],"현재가")</f>
        <v>61500</v>
      </c>
      <c r="I313" s="2">
        <f>_xll.IMDP("STK",표.실시간[[#This Row],[nxt_code]],"시가총액")/10^12</f>
        <v>0.9631815735</v>
      </c>
      <c r="J313" s="2">
        <f>표.실시간[[#This Row],[시가총액 (조원)]]/표.실시간[[#This Row],[현재가]]*(표.실시간[[#This Row],[현재가]]-표.실시간[[#This Row],[대비]])</f>
        <v>0.94752008449999992</v>
      </c>
      <c r="K313" s="3">
        <f>_xll.IMDP("STK",표.실시간[[#This Row],[nxt_code]],"전일대비")</f>
        <v>1000</v>
      </c>
      <c r="L313">
        <f>_xll.IMDP("STK",표.실시간[[#This Row],[nxt_code]],"등락률")</f>
        <v>1.49</v>
      </c>
      <c r="M313" s="2">
        <f>_xll.IMDP("STK",표.실시간[[#This Row],[nxt_code]],"누적거래량")</f>
        <v>132529</v>
      </c>
      <c r="N313" s="2">
        <f>_xll.IMDP("STK",표.실시간[[#This Row],[nxt_code]],"누적거래대금")/10^8</f>
        <v>78.994255499999994</v>
      </c>
      <c r="O313" s="2">
        <f>_xll.IMDP("STK",표.실시간[[#This Row],[nxt_code]],"가중평균가")</f>
        <v>59605.260358</v>
      </c>
      <c r="P313" s="2">
        <f>_xll.IMDP("STK",표.실시간[[#This Row],[nxt_code]],"시가")</f>
        <v>60400</v>
      </c>
      <c r="Q313" s="2">
        <f>_xll.IMDP("STK",표.실시간[[#This Row],[nxt_code]],"고가")</f>
        <v>62600</v>
      </c>
      <c r="R313" s="2">
        <f>_xll.IMDP("STK",표.실시간[[#This Row],[nxt_code]],"저가")</f>
        <v>57500</v>
      </c>
      <c r="S313">
        <f>_xll.IMDP("STK",표.실시간[[#This Row],[nxt_code]],"세션명")</f>
        <v>0</v>
      </c>
      <c r="T313">
        <f>_xll.IMDP("STK",표.실시간[[#This Row],[nxt_code]],"체결시간")</f>
        <v>0</v>
      </c>
      <c r="U313" s="2">
        <f>_xll.IMDP("STK","376900","현재가")</f>
        <v>61500</v>
      </c>
      <c r="V313">
        <f>_xll.IMDP("STK","376900","누적거래량")</f>
        <v>93825</v>
      </c>
    </row>
    <row r="314" spans="2:22" x14ac:dyDescent="0.3">
      <c r="B314">
        <v>306</v>
      </c>
      <c r="C314">
        <v>0</v>
      </c>
      <c r="D314">
        <f>IF(IFERROR(INDEX(표.kospi200[code],MATCH(표.실시간[[#This Row],[코드]],표.kospi200[code],0)),0)=0,0,1)</f>
        <v>0</v>
      </c>
      <c r="E314" t="s">
        <v>319</v>
      </c>
      <c r="F314">
        <v>161580</v>
      </c>
      <c r="G314" t="str">
        <f>ConvertStockCode(표.실시간[[#This Row],[코드]])</f>
        <v>N161580</v>
      </c>
      <c r="H314" s="2">
        <f>_xll.IMDP("STK",표.실시간[[#This Row],[nxt_code]],"현재가")</f>
        <v>56800</v>
      </c>
      <c r="I314" s="2">
        <f>_xll.IMDP("STK",표.실시간[[#This Row],[nxt_code]],"시가총액")/10^12</f>
        <v>1.3292760295999999</v>
      </c>
      <c r="J314" s="2">
        <f>표.실시간[[#This Row],[시가총액 (조원)]]/표.실시간[[#This Row],[현재가]]*(표.실시간[[#This Row],[현재가]]-표.실시간[[#This Row],[대비]])</f>
        <v>1.2918316343999998</v>
      </c>
      <c r="K314" s="3">
        <f>_xll.IMDP("STK",표.실시간[[#This Row],[nxt_code]],"전일대비")</f>
        <v>1600</v>
      </c>
      <c r="L314">
        <f>_xll.IMDP("STK",표.실시간[[#This Row],[nxt_code]],"등락률")</f>
        <v>2.9</v>
      </c>
      <c r="M314" s="2">
        <f>_xll.IMDP("STK",표.실시간[[#This Row],[nxt_code]],"누적거래량")</f>
        <v>479254</v>
      </c>
      <c r="N314" s="2">
        <f>_xll.IMDP("STK",표.실시간[[#This Row],[nxt_code]],"누적거래대금")/10^8</f>
        <v>269.6393185</v>
      </c>
      <c r="O314" s="2">
        <f>_xll.IMDP("STK",표.실시간[[#This Row],[nxt_code]],"가중평균가")</f>
        <v>56262.299011000003</v>
      </c>
      <c r="P314" s="2">
        <f>_xll.IMDP("STK",표.실시간[[#This Row],[nxt_code]],"시가")</f>
        <v>53600</v>
      </c>
      <c r="Q314" s="2">
        <f>_xll.IMDP("STK",표.실시간[[#This Row],[nxt_code]],"고가")</f>
        <v>57800</v>
      </c>
      <c r="R314" s="2">
        <f>_xll.IMDP("STK",표.실시간[[#This Row],[nxt_code]],"저가")</f>
        <v>53100</v>
      </c>
      <c r="S314">
        <f>_xll.IMDP("STK",표.실시간[[#This Row],[nxt_code]],"세션명")</f>
        <v>0</v>
      </c>
      <c r="T314">
        <f>_xll.IMDP("STK",표.실시간[[#This Row],[nxt_code]],"체결시간")</f>
        <v>0</v>
      </c>
      <c r="U314" s="2">
        <f>_xll.IMDP("STK","161580","현재가")</f>
        <v>56800</v>
      </c>
      <c r="V314">
        <f>_xll.IMDP("STK","161580","누적거래량")</f>
        <v>152964</v>
      </c>
    </row>
    <row r="315" spans="2:22" x14ac:dyDescent="0.3">
      <c r="B315">
        <v>307</v>
      </c>
      <c r="C315">
        <v>1</v>
      </c>
      <c r="D315">
        <f>IF(IFERROR(INDEX(표.kospi200[code],MATCH(표.실시간[[#This Row],[코드]],표.kospi200[code],0)),0)=0,0,1)</f>
        <v>1</v>
      </c>
      <c r="E315" t="s">
        <v>320</v>
      </c>
      <c r="F315">
        <v>137310</v>
      </c>
      <c r="G315" t="str">
        <f>ConvertStockCode(표.실시간[[#This Row],[코드]])</f>
        <v>N137310</v>
      </c>
      <c r="H315" s="2">
        <f>_xll.IMDP("STK",표.실시간[[#This Row],[nxt_code]],"현재가")</f>
        <v>9040</v>
      </c>
      <c r="I315" s="2">
        <f>_xll.IMDP("STK",표.실시간[[#This Row],[nxt_code]],"시가총액")/10^12</f>
        <v>1.1006118820799999</v>
      </c>
      <c r="J315" s="2">
        <f>표.실시간[[#This Row],[시가총액 (조원)]]/표.실시간[[#This Row],[현재가]]*(표.실시간[[#This Row],[현재가]]-표.실시간[[#This Row],[대비]])</f>
        <v>1.0981769000399999</v>
      </c>
      <c r="K315" s="3">
        <f>_xll.IMDP("STK",표.실시간[[#This Row],[nxt_code]],"전일대비")</f>
        <v>20</v>
      </c>
      <c r="L315">
        <f>_xll.IMDP("STK",표.실시간[[#This Row],[nxt_code]],"등락률")</f>
        <v>0.22</v>
      </c>
      <c r="M315" s="2">
        <f>_xll.IMDP("STK",표.실시간[[#This Row],[nxt_code]],"누적거래량")</f>
        <v>49398</v>
      </c>
      <c r="N315" s="2">
        <f>_xll.IMDP("STK",표.실시간[[#This Row],[nxt_code]],"누적거래대금")/10^8</f>
        <v>4.5387190000000004</v>
      </c>
      <c r="O315" s="2">
        <f>_xll.IMDP("STK",표.실시간[[#This Row],[nxt_code]],"가중평균가")</f>
        <v>9188.0622700000004</v>
      </c>
      <c r="P315" s="2">
        <f>_xll.IMDP("STK",표.실시간[[#This Row],[nxt_code]],"시가")</f>
        <v>9300</v>
      </c>
      <c r="Q315" s="2">
        <f>_xll.IMDP("STK",표.실시간[[#This Row],[nxt_code]],"고가")</f>
        <v>9300</v>
      </c>
      <c r="R315" s="2">
        <f>_xll.IMDP("STK",표.실시간[[#This Row],[nxt_code]],"저가")</f>
        <v>8990</v>
      </c>
      <c r="S315">
        <f>_xll.IMDP("STK",표.실시간[[#This Row],[nxt_code]],"세션명")</f>
        <v>0</v>
      </c>
      <c r="T315">
        <f>_xll.IMDP("STK",표.실시간[[#This Row],[nxt_code]],"체결시간")</f>
        <v>0</v>
      </c>
      <c r="U315" s="2">
        <f>_xll.IMDP("STK","137310","현재가")</f>
        <v>9050</v>
      </c>
      <c r="V315">
        <f>_xll.IMDP("STK","137310","누적거래량")</f>
        <v>31976</v>
      </c>
    </row>
    <row r="316" spans="2:22" x14ac:dyDescent="0.3">
      <c r="B316">
        <v>308</v>
      </c>
      <c r="C316">
        <v>0</v>
      </c>
      <c r="D316">
        <f>IF(IFERROR(INDEX(표.kospi200[code],MATCH(표.실시간[[#This Row],[코드]],표.kospi200[code],0)),0)=0,0,1)</f>
        <v>0</v>
      </c>
      <c r="E316" t="s">
        <v>321</v>
      </c>
      <c r="F316">
        <v>82270</v>
      </c>
      <c r="G316" t="str">
        <f>ConvertStockCode(표.실시간[[#This Row],[코드]])</f>
        <v>N082270</v>
      </c>
      <c r="H316" s="2">
        <f>_xll.IMDP("STK",표.실시간[[#This Row],[nxt_code]],"현재가")</f>
        <v>39700</v>
      </c>
      <c r="I316" s="2">
        <f>_xll.IMDP("STK",표.실시간[[#This Row],[nxt_code]],"시가총액")/10^12</f>
        <v>1.6944114432999999</v>
      </c>
      <c r="J316" s="2">
        <f>표.실시간[[#This Row],[시가총액 (조원)]]/표.실시간[[#This Row],[현재가]]*(표.실시간[[#This Row],[현재가]]-표.실시간[[#This Row],[대비]])</f>
        <v>1.8331227075499998</v>
      </c>
      <c r="K316" s="3">
        <f>_xll.IMDP("STK",표.실시간[[#This Row],[nxt_code]],"전일대비")</f>
        <v>-3250</v>
      </c>
      <c r="L316">
        <f>_xll.IMDP("STK",표.실시간[[#This Row],[nxt_code]],"등락률")</f>
        <v>-7.78</v>
      </c>
      <c r="M316" s="2">
        <f>_xll.IMDP("STK",표.실시간[[#This Row],[nxt_code]],"누적거래량")</f>
        <v>106872</v>
      </c>
      <c r="N316" s="2">
        <f>_xll.IMDP("STK",표.실시간[[#This Row],[nxt_code]],"누적거래대금")/10^8</f>
        <v>43.455546750000003</v>
      </c>
      <c r="O316" s="2">
        <f>_xll.IMDP("STK",표.실시간[[#This Row],[nxt_code]],"가중평균가")</f>
        <v>40661.302071999999</v>
      </c>
      <c r="P316" s="2">
        <f>_xll.IMDP("STK",표.실시간[[#This Row],[nxt_code]],"시가")</f>
        <v>42900</v>
      </c>
      <c r="Q316" s="2">
        <f>_xll.IMDP("STK",표.실시간[[#This Row],[nxt_code]],"고가")</f>
        <v>43700</v>
      </c>
      <c r="R316" s="2">
        <f>_xll.IMDP("STK",표.실시간[[#This Row],[nxt_code]],"저가")</f>
        <v>39200</v>
      </c>
      <c r="S316">
        <f>_xll.IMDP("STK",표.실시간[[#This Row],[nxt_code]],"세션명")</f>
        <v>0</v>
      </c>
      <c r="T316">
        <f>_xll.IMDP("STK",표.실시간[[#This Row],[nxt_code]],"체결시간")</f>
        <v>0</v>
      </c>
      <c r="U316" s="2">
        <f>_xll.IMDP("STK","082270","현재가")</f>
        <v>40400</v>
      </c>
      <c r="V316">
        <f>_xll.IMDP("STK","082270","누적거래량")</f>
        <v>91063</v>
      </c>
    </row>
    <row r="317" spans="2:22" x14ac:dyDescent="0.3">
      <c r="B317">
        <v>309</v>
      </c>
      <c r="C317">
        <v>1</v>
      </c>
      <c r="D317">
        <f>IF(IFERROR(INDEX(표.kospi200[code],MATCH(표.실시간[[#This Row],[코드]],표.kospi200[code],0)),0)=0,0,1)</f>
        <v>0</v>
      </c>
      <c r="E317" t="s">
        <v>322</v>
      </c>
      <c r="F317">
        <v>30190</v>
      </c>
      <c r="G317" t="str">
        <f>ConvertStockCode(표.실시간[[#This Row],[코드]])</f>
        <v>N030190</v>
      </c>
      <c r="H317" s="2">
        <f>_xll.IMDP("STK",표.실시간[[#This Row],[nxt_code]],"현재가")</f>
        <v>17200</v>
      </c>
      <c r="I317" s="2">
        <f>_xll.IMDP("STK",표.실시간[[#This Row],[nxt_code]],"시가총액")/10^12</f>
        <v>1.0132782644</v>
      </c>
      <c r="J317" s="2">
        <f>표.실시간[[#This Row],[시가총액 (조원)]]/표.실시간[[#This Row],[현재가]]*(표.실시간[[#This Row],[현재가]]-표.실시간[[#This Row],[대비]])</f>
        <v>1.0209367629099999</v>
      </c>
      <c r="K317" s="3">
        <f>_xll.IMDP("STK",표.실시간[[#This Row],[nxt_code]],"전일대비")</f>
        <v>-130</v>
      </c>
      <c r="L317">
        <f>_xll.IMDP("STK",표.실시간[[#This Row],[nxt_code]],"등락률")</f>
        <v>-2.08</v>
      </c>
      <c r="M317" s="2">
        <f>_xll.IMDP("STK",표.실시간[[#This Row],[nxt_code]],"누적거래량")</f>
        <v>762</v>
      </c>
      <c r="N317" s="2">
        <f>_xll.IMDP("STK",표.실시간[[#This Row],[nxt_code]],"누적거래대금")/10^8</f>
        <v>0.1300239</v>
      </c>
      <c r="O317" s="2">
        <f>_xll.IMDP("STK",표.실시간[[#This Row],[nxt_code]],"가중평균가")</f>
        <v>17063.503937000001</v>
      </c>
      <c r="P317" s="2">
        <f>_xll.IMDP("STK",표.실시간[[#This Row],[nxt_code]],"시가")</f>
        <v>17330</v>
      </c>
      <c r="Q317" s="2">
        <f>_xll.IMDP("STK",표.실시간[[#This Row],[nxt_code]],"고가")</f>
        <v>17330</v>
      </c>
      <c r="R317" s="2">
        <f>_xll.IMDP("STK",표.실시간[[#This Row],[nxt_code]],"저가")</f>
        <v>16900</v>
      </c>
      <c r="S317">
        <f>_xll.IMDP("STK",표.실시간[[#This Row],[nxt_code]],"세션명")</f>
        <v>0</v>
      </c>
      <c r="T317">
        <f>_xll.IMDP("STK",표.실시간[[#This Row],[nxt_code]],"체결시간")</f>
        <v>0</v>
      </c>
      <c r="U317" s="2">
        <f>_xll.IMDP("STK","030190","현재가")</f>
        <v>17210</v>
      </c>
      <c r="V317">
        <f>_xll.IMDP("STK","030190","누적거래량")</f>
        <v>1518</v>
      </c>
    </row>
    <row r="318" spans="2:22" x14ac:dyDescent="0.3">
      <c r="B318">
        <v>310</v>
      </c>
      <c r="C318">
        <v>0</v>
      </c>
      <c r="D318">
        <f>IF(IFERROR(INDEX(표.kospi200[code],MATCH(표.실시간[[#This Row],[코드]],표.kospi200[code],0)),0)=0,0,1)</f>
        <v>0</v>
      </c>
      <c r="E318" t="s">
        <v>323</v>
      </c>
      <c r="F318">
        <v>486990</v>
      </c>
      <c r="G318" t="str">
        <f>ConvertStockCode(표.실시간[[#This Row],[코드]])</f>
        <v>N486990</v>
      </c>
      <c r="H318" s="2">
        <f>_xll.IMDP("STK",표.실시간[[#This Row],[nxt_code]],"현재가")</f>
        <v>41950</v>
      </c>
      <c r="I318" s="2">
        <f>_xll.IMDP("STK",표.실시간[[#This Row],[nxt_code]],"시가총액")/10^12</f>
        <v>0.89454305850000004</v>
      </c>
      <c r="J318" s="2">
        <f>표.실시간[[#This Row],[시가총액 (조원)]]/표.실시간[[#This Row],[현재가]]*(표.실시간[[#This Row],[현재가]]-표.실시간[[#This Row],[대비]])</f>
        <v>0.92013189449999999</v>
      </c>
      <c r="K318" s="3">
        <f>_xll.IMDP("STK",표.실시간[[#This Row],[nxt_code]],"전일대비")</f>
        <v>-1200</v>
      </c>
      <c r="L318">
        <f>_xll.IMDP("STK",표.실시간[[#This Row],[nxt_code]],"등락률")</f>
        <v>-2.78</v>
      </c>
      <c r="M318" s="2">
        <f>_xll.IMDP("STK",표.실시간[[#This Row],[nxt_code]],"누적거래량")</f>
        <v>95240</v>
      </c>
      <c r="N318" s="2">
        <f>_xll.IMDP("STK",표.실시간[[#This Row],[nxt_code]],"누적거래대금")/10^8</f>
        <v>39.718505</v>
      </c>
      <c r="O318" s="2">
        <f>_xll.IMDP("STK",표.실시간[[#This Row],[nxt_code]],"가중평균가")</f>
        <v>41703.596178</v>
      </c>
      <c r="P318" s="2">
        <f>_xll.IMDP("STK",표.실시간[[#This Row],[nxt_code]],"시가")</f>
        <v>42900</v>
      </c>
      <c r="Q318" s="2">
        <f>_xll.IMDP("STK",표.실시간[[#This Row],[nxt_code]],"고가")</f>
        <v>42900</v>
      </c>
      <c r="R318" s="2">
        <f>_xll.IMDP("STK",표.실시간[[#This Row],[nxt_code]],"저가")</f>
        <v>41150</v>
      </c>
      <c r="S318">
        <f>_xll.IMDP("STK",표.실시간[[#This Row],[nxt_code]],"세션명")</f>
        <v>0</v>
      </c>
      <c r="T318">
        <f>_xll.IMDP("STK",표.실시간[[#This Row],[nxt_code]],"체결시간")</f>
        <v>0</v>
      </c>
      <c r="U318" s="2">
        <f>_xll.IMDP("STK","486990","현재가")</f>
        <v>42250</v>
      </c>
      <c r="V318">
        <f>_xll.IMDP("STK","486990","누적거래량")</f>
        <v>36633</v>
      </c>
    </row>
    <row r="319" spans="2:22" x14ac:dyDescent="0.3">
      <c r="B319">
        <v>311</v>
      </c>
      <c r="C319">
        <v>1</v>
      </c>
      <c r="D319">
        <f>IF(IFERROR(INDEX(표.kospi200[code],MATCH(표.실시간[[#This Row],[코드]],표.kospi200[code],0)),0)=0,0,1)</f>
        <v>0</v>
      </c>
      <c r="E319" t="s">
        <v>324</v>
      </c>
      <c r="F319">
        <v>181710</v>
      </c>
      <c r="G319" t="str">
        <f>ConvertStockCode(표.실시간[[#This Row],[코드]])</f>
        <v>N181710</v>
      </c>
      <c r="H319" s="2">
        <f>_xll.IMDP("STK",표.실시간[[#This Row],[nxt_code]],"현재가")</f>
        <v>31500</v>
      </c>
      <c r="I319" s="2">
        <f>_xll.IMDP("STK",표.실시간[[#This Row],[nxt_code]],"시가총액")/10^12</f>
        <v>1.0317238785</v>
      </c>
      <c r="J319" s="2">
        <f>표.실시간[[#This Row],[시가총액 (조원)]]/표.실시간[[#This Row],[현재가]]*(표.실시간[[#This Row],[현재가]]-표.실시간[[#This Row],[대비]])</f>
        <v>1.0579263897000002</v>
      </c>
      <c r="K319" s="3">
        <f>_xll.IMDP("STK",표.실시간[[#This Row],[nxt_code]],"전일대비")</f>
        <v>-800</v>
      </c>
      <c r="L319">
        <f>_xll.IMDP("STK",표.실시간[[#This Row],[nxt_code]],"등락률")</f>
        <v>-2.48</v>
      </c>
      <c r="M319" s="2">
        <f>_xll.IMDP("STK",표.실시간[[#This Row],[nxt_code]],"누적거래량")</f>
        <v>3753</v>
      </c>
      <c r="N319" s="2">
        <f>_xll.IMDP("STK",표.실시간[[#This Row],[nxt_code]],"누적거래대금")/10^8</f>
        <v>1.1888449999999999</v>
      </c>
      <c r="O319" s="2">
        <f>_xll.IMDP("STK",표.실시간[[#This Row],[nxt_code]],"가중평균가")</f>
        <v>31677.191579999999</v>
      </c>
      <c r="P319" s="2">
        <f>_xll.IMDP("STK",표.실시간[[#This Row],[nxt_code]],"시가")</f>
        <v>31900</v>
      </c>
      <c r="Q319" s="2">
        <f>_xll.IMDP("STK",표.실시간[[#This Row],[nxt_code]],"고가")</f>
        <v>31900</v>
      </c>
      <c r="R319" s="2">
        <f>_xll.IMDP("STK",표.실시간[[#This Row],[nxt_code]],"저가")</f>
        <v>31450</v>
      </c>
      <c r="S319">
        <f>_xll.IMDP("STK",표.실시간[[#This Row],[nxt_code]],"세션명")</f>
        <v>0</v>
      </c>
      <c r="T319">
        <f>_xll.IMDP("STK",표.실시간[[#This Row],[nxt_code]],"체결시간")</f>
        <v>0</v>
      </c>
      <c r="U319" s="2">
        <f>_xll.IMDP("STK","181710","현재가")</f>
        <v>31700</v>
      </c>
      <c r="V319">
        <f>_xll.IMDP("STK","181710","누적거래량")</f>
        <v>3974</v>
      </c>
    </row>
    <row r="320" spans="2:22" x14ac:dyDescent="0.3">
      <c r="B320">
        <v>312</v>
      </c>
      <c r="C320">
        <v>0</v>
      </c>
      <c r="D320">
        <f>IF(IFERROR(INDEX(표.kospi200[code],MATCH(표.실시간[[#This Row],[코드]],표.kospi200[code],0)),0)=0,0,1)</f>
        <v>0</v>
      </c>
      <c r="E320" t="s">
        <v>325</v>
      </c>
      <c r="F320">
        <v>78600</v>
      </c>
      <c r="G320" t="str">
        <f>ConvertStockCode(표.실시간[[#This Row],[코드]])</f>
        <v>N078600</v>
      </c>
      <c r="H320" s="2">
        <f>_xll.IMDP("STK",표.실시간[[#This Row],[nxt_code]],"현재가")</f>
        <v>77300</v>
      </c>
      <c r="I320" s="2">
        <f>_xll.IMDP("STK",표.실시간[[#This Row],[nxt_code]],"시가총액")/10^12</f>
        <v>1.1966498389</v>
      </c>
      <c r="J320" s="2">
        <f>표.실시간[[#This Row],[시가총액 (조원)]]/표.실시간[[#This Row],[현재가]]*(표.실시간[[#This Row],[현재가]]-표.실시간[[#This Row],[대비]])</f>
        <v>1.1734289493999999</v>
      </c>
      <c r="K320" s="3">
        <f>_xll.IMDP("STK",표.실시간[[#This Row],[nxt_code]],"전일대비")</f>
        <v>1500</v>
      </c>
      <c r="L320">
        <f>_xll.IMDP("STK",표.실시간[[#This Row],[nxt_code]],"등락률")</f>
        <v>1.98</v>
      </c>
      <c r="M320" s="2">
        <f>_xll.IMDP("STK",표.실시간[[#This Row],[nxt_code]],"누적거래량")</f>
        <v>66974</v>
      </c>
      <c r="N320" s="2">
        <f>_xll.IMDP("STK",표.실시간[[#This Row],[nxt_code]],"누적거래대금")/10^8</f>
        <v>49.431758000000002</v>
      </c>
      <c r="O320" s="2">
        <f>_xll.IMDP("STK",표.실시간[[#This Row],[nxt_code]],"가중평균가")</f>
        <v>73807.384955000001</v>
      </c>
      <c r="P320" s="2">
        <f>_xll.IMDP("STK",표.실시간[[#This Row],[nxt_code]],"시가")</f>
        <v>74500</v>
      </c>
      <c r="Q320" s="2">
        <f>_xll.IMDP("STK",표.실시간[[#This Row],[nxt_code]],"고가")</f>
        <v>77400</v>
      </c>
      <c r="R320" s="2">
        <f>_xll.IMDP("STK",표.실시간[[#This Row],[nxt_code]],"저가")</f>
        <v>72400</v>
      </c>
      <c r="S320">
        <f>_xll.IMDP("STK",표.실시간[[#This Row],[nxt_code]],"세션명")</f>
        <v>0</v>
      </c>
      <c r="T320">
        <f>_xll.IMDP("STK",표.실시간[[#This Row],[nxt_code]],"체결시간")</f>
        <v>0</v>
      </c>
      <c r="U320" s="2">
        <f>_xll.IMDP("STK","078600","현재가")</f>
        <v>77950</v>
      </c>
      <c r="V320">
        <f>_xll.IMDP("STK","078600","누적거래량")</f>
        <v>44128</v>
      </c>
    </row>
    <row r="321" spans="2:22" x14ac:dyDescent="0.3">
      <c r="B321">
        <v>313</v>
      </c>
      <c r="C321">
        <v>1</v>
      </c>
      <c r="D321">
        <f>IF(IFERROR(INDEX(표.kospi200[code],MATCH(표.실시간[[#This Row],[코드]],표.kospi200[code],0)),0)=0,0,1)</f>
        <v>1</v>
      </c>
      <c r="E321" t="s">
        <v>326</v>
      </c>
      <c r="F321">
        <v>298050</v>
      </c>
      <c r="G321" t="str">
        <f>ConvertStockCode(표.실시간[[#This Row],[코드]])</f>
        <v>N298050</v>
      </c>
      <c r="H321" s="2">
        <f>_xll.IMDP("STK",표.실시간[[#This Row],[nxt_code]],"현재가")</f>
        <v>232500</v>
      </c>
      <c r="I321" s="2">
        <f>_xll.IMDP("STK",표.실시간[[#This Row],[nxt_code]],"시가총액")/10^12</f>
        <v>1.0415879100000001</v>
      </c>
      <c r="J321" s="2">
        <f>표.실시간[[#This Row],[시가총액 (조원)]]/표.실시간[[#This Row],[현재가]]*(표.실시간[[#This Row],[현재가]]-표.실시간[[#This Row],[대비]])</f>
        <v>1.0617476760000002</v>
      </c>
      <c r="K321" s="3">
        <f>_xll.IMDP("STK",표.실시간[[#This Row],[nxt_code]],"전일대비")</f>
        <v>-4500</v>
      </c>
      <c r="L321">
        <f>_xll.IMDP("STK",표.실시간[[#This Row],[nxt_code]],"등락률")</f>
        <v>-1.9</v>
      </c>
      <c r="M321" s="2">
        <f>_xll.IMDP("STK",표.실시간[[#This Row],[nxt_code]],"누적거래량")</f>
        <v>4562</v>
      </c>
      <c r="N321" s="2">
        <f>_xll.IMDP("STK",표.실시간[[#This Row],[nxt_code]],"누적거래대금")/10^8</f>
        <v>10.542199999999999</v>
      </c>
      <c r="O321" s="2">
        <f>_xll.IMDP("STK",표.실시간[[#This Row],[nxt_code]],"가중평균가")</f>
        <v>231087.24243799999</v>
      </c>
      <c r="P321" s="2">
        <f>_xll.IMDP("STK",표.실시간[[#This Row],[nxt_code]],"시가")</f>
        <v>237000</v>
      </c>
      <c r="Q321" s="2">
        <f>_xll.IMDP("STK",표.실시간[[#This Row],[nxt_code]],"고가")</f>
        <v>237500</v>
      </c>
      <c r="R321" s="2">
        <f>_xll.IMDP("STK",표.실시간[[#This Row],[nxt_code]],"저가")</f>
        <v>227000</v>
      </c>
      <c r="S321">
        <f>_xll.IMDP("STK",표.실시간[[#This Row],[nxt_code]],"세션명")</f>
        <v>0</v>
      </c>
      <c r="T321">
        <f>_xll.IMDP("STK",표.실시간[[#This Row],[nxt_code]],"체결시간")</f>
        <v>0</v>
      </c>
      <c r="U321" s="2">
        <f>_xll.IMDP("STK","298050","현재가")</f>
        <v>232500</v>
      </c>
      <c r="V321">
        <f>_xll.IMDP("STK","298050","누적거래량")</f>
        <v>3452</v>
      </c>
    </row>
    <row r="322" spans="2:22" x14ac:dyDescent="0.3">
      <c r="B322">
        <v>314</v>
      </c>
      <c r="C322">
        <v>0</v>
      </c>
      <c r="D322">
        <f>IF(IFERROR(INDEX(표.kospi200[code],MATCH(표.실시간[[#This Row],[코드]],표.kospi200[code],0)),0)=0,0,1)</f>
        <v>0</v>
      </c>
      <c r="E322" t="s">
        <v>327</v>
      </c>
      <c r="F322">
        <v>95610</v>
      </c>
      <c r="G322" t="str">
        <f>ConvertStockCode(표.실시간[[#This Row],[코드]])</f>
        <v>N095610</v>
      </c>
      <c r="H322" s="2">
        <f>_xll.IMDP("STK",표.실시간[[#This Row],[nxt_code]],"현재가")</f>
        <v>71400</v>
      </c>
      <c r="I322" s="2">
        <f>_xll.IMDP("STK",표.실시간[[#This Row],[nxt_code]],"시가총액")/10^12</f>
        <v>1.4114513364000001</v>
      </c>
      <c r="J322" s="2">
        <f>표.실시간[[#This Row],[시가총액 (조원)]]/표.실시간[[#This Row],[현재가]]*(표.실시간[[#This Row],[현재가]]-표.실시간[[#This Row],[대비]])</f>
        <v>1.4272659172000002</v>
      </c>
      <c r="K322" s="3">
        <f>_xll.IMDP("STK",표.실시간[[#This Row],[nxt_code]],"전일대비")</f>
        <v>-800</v>
      </c>
      <c r="L322">
        <f>_xll.IMDP("STK",표.실시간[[#This Row],[nxt_code]],"등락률")</f>
        <v>-1.1100000000000001</v>
      </c>
      <c r="M322" s="2">
        <f>_xll.IMDP("STK",표.실시간[[#This Row],[nxt_code]],"누적거래량")</f>
        <v>112953</v>
      </c>
      <c r="N322" s="2">
        <f>_xll.IMDP("STK",표.실시간[[#This Row],[nxt_code]],"누적거래대금")/10^8</f>
        <v>78.402463499999996</v>
      </c>
      <c r="O322" s="2">
        <f>_xll.IMDP("STK",표.실시간[[#This Row],[nxt_code]],"가중평균가")</f>
        <v>69411.581365999999</v>
      </c>
      <c r="P322" s="2">
        <f>_xll.IMDP("STK",표.실시간[[#This Row],[nxt_code]],"시가")</f>
        <v>71800</v>
      </c>
      <c r="Q322" s="2">
        <f>_xll.IMDP("STK",표.실시간[[#This Row],[nxt_code]],"고가")</f>
        <v>72200</v>
      </c>
      <c r="R322" s="2">
        <f>_xll.IMDP("STK",표.실시간[[#This Row],[nxt_code]],"저가")</f>
        <v>67800</v>
      </c>
      <c r="S322">
        <f>_xll.IMDP("STK",표.실시간[[#This Row],[nxt_code]],"세션명")</f>
        <v>0</v>
      </c>
      <c r="T322">
        <f>_xll.IMDP("STK",표.실시간[[#This Row],[nxt_code]],"체결시간")</f>
        <v>0</v>
      </c>
      <c r="U322" s="2">
        <f>_xll.IMDP("STK","095610","현재가")</f>
        <v>71400</v>
      </c>
      <c r="V322">
        <f>_xll.IMDP("STK","095610","누적거래량")</f>
        <v>65377</v>
      </c>
    </row>
    <row r="323" spans="2:22" x14ac:dyDescent="0.3">
      <c r="B323">
        <v>315</v>
      </c>
      <c r="C323">
        <v>1</v>
      </c>
      <c r="D323">
        <f>IF(IFERROR(INDEX(표.kospi200[code],MATCH(표.실시간[[#This Row],[코드]],표.kospi200[code],0)),0)=0,0,1)</f>
        <v>0</v>
      </c>
      <c r="E323" t="s">
        <v>328</v>
      </c>
      <c r="F323">
        <v>192400</v>
      </c>
      <c r="G323" t="str">
        <f>ConvertStockCode(표.실시간[[#This Row],[코드]])</f>
        <v>N192400</v>
      </c>
      <c r="H323" s="2">
        <f>_xll.IMDP("STK",표.실시간[[#This Row],[nxt_code]],"현재가")</f>
        <v>27250</v>
      </c>
      <c r="I323" s="2">
        <f>_xll.IMDP("STK",표.실시간[[#This Row],[nxt_code]],"시가총액")/10^12</f>
        <v>0.96729143200000001</v>
      </c>
      <c r="J323" s="2">
        <f>표.실시간[[#This Row],[시가총액 (조원)]]/표.실시간[[#This Row],[현재가]]*(표.실시간[[#This Row],[현재가]]-표.실시간[[#This Row],[대비]])</f>
        <v>0.96551658533577989</v>
      </c>
      <c r="K323" s="3">
        <f>_xll.IMDP("STK",표.실시간[[#This Row],[nxt_code]],"전일대비")</f>
        <v>50</v>
      </c>
      <c r="L323">
        <f>_xll.IMDP("STK",표.실시간[[#This Row],[nxt_code]],"등락률")</f>
        <v>0.18</v>
      </c>
      <c r="M323" s="2">
        <f>_xll.IMDP("STK",표.실시간[[#This Row],[nxt_code]],"누적거래량")</f>
        <v>2142</v>
      </c>
      <c r="N323" s="2">
        <f>_xll.IMDP("STK",표.실시간[[#This Row],[nxt_code]],"누적거래대금")/10^8</f>
        <v>0.58135749999999997</v>
      </c>
      <c r="O323" s="2">
        <f>_xll.IMDP("STK",표.실시간[[#This Row],[nxt_code]],"가중평균가")</f>
        <v>27140.873016000001</v>
      </c>
      <c r="P323" s="2">
        <f>_xll.IMDP("STK",표.실시간[[#This Row],[nxt_code]],"시가")</f>
        <v>27000</v>
      </c>
      <c r="Q323" s="2">
        <f>_xll.IMDP("STK",표.실시간[[#This Row],[nxt_code]],"고가")</f>
        <v>27450</v>
      </c>
      <c r="R323" s="2">
        <f>_xll.IMDP("STK",표.실시간[[#This Row],[nxt_code]],"저가")</f>
        <v>26950</v>
      </c>
      <c r="S323">
        <f>_xll.IMDP("STK",표.실시간[[#This Row],[nxt_code]],"세션명")</f>
        <v>0</v>
      </c>
      <c r="T323">
        <f>_xll.IMDP("STK",표.실시간[[#This Row],[nxt_code]],"체결시간")</f>
        <v>0</v>
      </c>
      <c r="U323" s="2">
        <f>_xll.IMDP("STK","192400","현재가")</f>
        <v>27050</v>
      </c>
      <c r="V323">
        <f>_xll.IMDP("STK","192400","누적거래량")</f>
        <v>4506</v>
      </c>
    </row>
    <row r="324" spans="2:22" x14ac:dyDescent="0.3">
      <c r="B324">
        <v>316</v>
      </c>
      <c r="C324">
        <v>1</v>
      </c>
      <c r="D324">
        <f>IF(IFERROR(INDEX(표.kospi200[code],MATCH(표.실시간[[#This Row],[코드]],표.kospi200[code],0)),0)=0,0,1)</f>
        <v>1</v>
      </c>
      <c r="E324" t="s">
        <v>329</v>
      </c>
      <c r="F324">
        <v>670</v>
      </c>
      <c r="G324" t="str">
        <f>ConvertStockCode(표.실시간[[#This Row],[코드]])</f>
        <v>N000670</v>
      </c>
      <c r="H324" s="2">
        <f>_xll.IMDP("STK",표.실시간[[#This Row],[nxt_code]],"현재가")</f>
        <v>59100</v>
      </c>
      <c r="I324" s="2">
        <f>_xll.IMDP("STK",표.실시간[[#This Row],[nxt_code]],"시가총액")/10^12</f>
        <v>1.06659905</v>
      </c>
      <c r="J324" s="2">
        <f>표.실시간[[#This Row],[시가총액 (조원)]]/표.실시간[[#This Row],[현재가]]*(표.실시간[[#This Row],[현재가]]-표.실시간[[#This Row],[대비]])</f>
        <v>1.1730784813874788</v>
      </c>
      <c r="K324" s="3">
        <f>_xll.IMDP("STK",표.실시간[[#This Row],[nxt_code]],"전일대비")</f>
        <v>-5900</v>
      </c>
      <c r="L324">
        <f>_xll.IMDP("STK",표.실시간[[#This Row],[nxt_code]],"등락률")</f>
        <v>-9.09</v>
      </c>
      <c r="M324" s="2">
        <f>_xll.IMDP("STK",표.실시간[[#This Row],[nxt_code]],"누적거래량")</f>
        <v>15062</v>
      </c>
      <c r="N324" s="2">
        <f>_xll.IMDP("STK",표.실시간[[#This Row],[nxt_code]],"누적거래대금")/10^8</f>
        <v>9.0360929999999993</v>
      </c>
      <c r="O324" s="2">
        <f>_xll.IMDP("STK",표.실시간[[#This Row],[nxt_code]],"가중평균가")</f>
        <v>59992.650377999998</v>
      </c>
      <c r="P324" s="2">
        <f>_xll.IMDP("STK",표.실시간[[#This Row],[nxt_code]],"시가")</f>
        <v>64000</v>
      </c>
      <c r="Q324" s="2">
        <f>_xll.IMDP("STK",표.실시간[[#This Row],[nxt_code]],"고가")</f>
        <v>64000</v>
      </c>
      <c r="R324" s="2">
        <f>_xll.IMDP("STK",표.실시간[[#This Row],[nxt_code]],"저가")</f>
        <v>59000</v>
      </c>
      <c r="S324">
        <f>_xll.IMDP("STK",표.실시간[[#This Row],[nxt_code]],"세션명")</f>
        <v>0</v>
      </c>
      <c r="T324">
        <f>_xll.IMDP("STK",표.실시간[[#This Row],[nxt_code]],"체결시간")</f>
        <v>0</v>
      </c>
      <c r="U324" s="2">
        <f>_xll.IMDP("STK","000670","현재가")</f>
        <v>59700</v>
      </c>
      <c r="V324">
        <f>_xll.IMDP("STK","000670","누적거래량")</f>
        <v>7307</v>
      </c>
    </row>
    <row r="325" spans="2:22" x14ac:dyDescent="0.3">
      <c r="B325">
        <v>317</v>
      </c>
      <c r="C325">
        <v>0</v>
      </c>
      <c r="D325">
        <f>IF(IFERROR(INDEX(표.kospi200[code],MATCH(표.실시간[[#This Row],[코드]],표.kospi200[code],0)),0)=0,0,1)</f>
        <v>0</v>
      </c>
      <c r="E325" t="s">
        <v>330</v>
      </c>
      <c r="F325">
        <v>137400</v>
      </c>
      <c r="G325" t="str">
        <f>ConvertStockCode(표.실시간[[#This Row],[코드]])</f>
        <v>N137400</v>
      </c>
      <c r="H325" s="2">
        <f>_xll.IMDP("STK",표.실시간[[#This Row],[nxt_code]],"현재가")</f>
        <v>56300</v>
      </c>
      <c r="I325" s="2">
        <f>_xll.IMDP("STK",표.실시간[[#This Row],[nxt_code]],"시가총액")/10^12</f>
        <v>1.3337879864</v>
      </c>
      <c r="J325" s="2">
        <f>표.실시간[[#This Row],[시가총액 (조원)]]/표.실시간[[#This Row],[현재가]]*(표.실시간[[#This Row],[현재가]]-표.실시간[[#This Row],[대비]])</f>
        <v>1.2650848751999999</v>
      </c>
      <c r="K325" s="3">
        <f>_xll.IMDP("STK",표.실시간[[#This Row],[nxt_code]],"전일대비")</f>
        <v>2900</v>
      </c>
      <c r="L325">
        <f>_xll.IMDP("STK",표.실시간[[#This Row],[nxt_code]],"등락률")</f>
        <v>6.43</v>
      </c>
      <c r="M325" s="2">
        <f>_xll.IMDP("STK",표.실시간[[#This Row],[nxt_code]],"누적거래량")</f>
        <v>205801</v>
      </c>
      <c r="N325" s="2">
        <f>_xll.IMDP("STK",표.실시간[[#This Row],[nxt_code]],"누적거래대금")/10^8</f>
        <v>108.85689050000001</v>
      </c>
      <c r="O325" s="2">
        <f>_xll.IMDP("STK",표.실시간[[#This Row],[nxt_code]],"가중평균가")</f>
        <v>52894.247598000002</v>
      </c>
      <c r="P325" s="2">
        <f>_xll.IMDP("STK",표.실시간[[#This Row],[nxt_code]],"시가")</f>
        <v>52500</v>
      </c>
      <c r="Q325" s="2">
        <f>_xll.IMDP("STK",표.실시간[[#This Row],[nxt_code]],"고가")</f>
        <v>56400</v>
      </c>
      <c r="R325" s="2">
        <f>_xll.IMDP("STK",표.실시간[[#This Row],[nxt_code]],"저가")</f>
        <v>50900</v>
      </c>
      <c r="S325">
        <f>_xll.IMDP("STK",표.실시간[[#This Row],[nxt_code]],"세션명")</f>
        <v>0</v>
      </c>
      <c r="T325">
        <f>_xll.IMDP("STK",표.실시간[[#This Row],[nxt_code]],"체결시간")</f>
        <v>0</v>
      </c>
      <c r="U325" s="2">
        <f>_xll.IMDP("STK","137400","현재가")</f>
        <v>56400</v>
      </c>
      <c r="V325">
        <f>_xll.IMDP("STK","137400","누적거래량")</f>
        <v>132553</v>
      </c>
    </row>
    <row r="326" spans="2:22" x14ac:dyDescent="0.3">
      <c r="B326">
        <v>318</v>
      </c>
      <c r="C326">
        <v>0</v>
      </c>
      <c r="D326">
        <f>IF(IFERROR(INDEX(표.kospi200[code],MATCH(표.실시간[[#This Row],[코드]],표.kospi200[code],0)),0)=0,0,1)</f>
        <v>0</v>
      </c>
      <c r="E326" t="s">
        <v>331</v>
      </c>
      <c r="F326">
        <v>6730</v>
      </c>
      <c r="G326" t="str">
        <f>ConvertStockCode(표.실시간[[#This Row],[코드]])</f>
        <v>N006730</v>
      </c>
      <c r="H326" s="2">
        <f>_xll.IMDP("STK",표.실시간[[#This Row],[nxt_code]],"현재가")</f>
        <v>18210</v>
      </c>
      <c r="I326" s="2">
        <f>_xll.IMDP("STK",표.실시간[[#This Row],[nxt_code]],"시가총액")/10^12</f>
        <v>1.1823192678300001</v>
      </c>
      <c r="J326" s="2">
        <f>표.실시간[[#This Row],[시가총액 (조원)]]/표.실시간[[#This Row],[현재가]]*(표.실시간[[#This Row],[현재가]]-표.실시간[[#This Row],[대비]])</f>
        <v>1.1407660371100001</v>
      </c>
      <c r="K326" s="3">
        <f>_xll.IMDP("STK",표.실시간[[#This Row],[nxt_code]],"전일대비")</f>
        <v>640</v>
      </c>
      <c r="L326">
        <f>_xll.IMDP("STK",표.실시간[[#This Row],[nxt_code]],"등락률")</f>
        <v>3.52</v>
      </c>
      <c r="M326" s="2">
        <f>_xll.IMDP("STK",표.실시간[[#This Row],[nxt_code]],"누적거래량")</f>
        <v>1722967</v>
      </c>
      <c r="N326" s="2">
        <f>_xll.IMDP("STK",표.실시간[[#This Row],[nxt_code]],"누적거래대금")/10^8</f>
        <v>321.61572914999999</v>
      </c>
      <c r="O326" s="2">
        <f>_xll.IMDP("STK",표.실시간[[#This Row],[nxt_code]],"가중평균가")</f>
        <v>18666.389382000001</v>
      </c>
      <c r="P326" s="2">
        <f>_xll.IMDP("STK",표.실시간[[#This Row],[nxt_code]],"시가")</f>
        <v>17620</v>
      </c>
      <c r="Q326" s="2">
        <f>_xll.IMDP("STK",표.실시간[[#This Row],[nxt_code]],"고가")</f>
        <v>19720</v>
      </c>
      <c r="R326" s="2">
        <f>_xll.IMDP("STK",표.실시간[[#This Row],[nxt_code]],"저가")</f>
        <v>17490</v>
      </c>
      <c r="S326">
        <f>_xll.IMDP("STK",표.실시간[[#This Row],[nxt_code]],"세션명")</f>
        <v>0</v>
      </c>
      <c r="T326">
        <f>_xll.IMDP("STK",표.실시간[[#This Row],[nxt_code]],"체결시간")</f>
        <v>0</v>
      </c>
      <c r="U326" s="2">
        <f>_xll.IMDP("STK","006730","현재가")</f>
        <v>18220</v>
      </c>
      <c r="V326">
        <f>_xll.IMDP("STK","006730","누적거래량")</f>
        <v>531899</v>
      </c>
    </row>
    <row r="327" spans="2:22" x14ac:dyDescent="0.3">
      <c r="B327">
        <v>319</v>
      </c>
      <c r="C327">
        <v>0</v>
      </c>
      <c r="D327">
        <f>IF(IFERROR(INDEX(표.kospi200[code],MATCH(표.실시간[[#This Row],[코드]],표.kospi200[code],0)),0)=0,0,1)</f>
        <v>0</v>
      </c>
      <c r="E327" t="s">
        <v>332</v>
      </c>
      <c r="F327">
        <v>218410</v>
      </c>
      <c r="G327" t="str">
        <f>ConvertStockCode(표.실시간[[#This Row],[코드]])</f>
        <v>N218410</v>
      </c>
      <c r="H327" s="2">
        <f>_xll.IMDP("STK",표.실시간[[#This Row],[nxt_code]],"현재가")</f>
        <v>48500</v>
      </c>
      <c r="I327" s="2">
        <f>_xll.IMDP("STK",표.실시간[[#This Row],[nxt_code]],"시가총액")/10^12</f>
        <v>1.2854169369999999</v>
      </c>
      <c r="J327" s="2">
        <f>표.실시간[[#This Row],[시가총액 (조원)]]/표.실시간[[#This Row],[현재가]]*(표.실시간[[#This Row],[현재가]]-표.실시간[[#This Row],[대비]])</f>
        <v>1.2681896997</v>
      </c>
      <c r="K327" s="3">
        <f>_xll.IMDP("STK",표.실시간[[#This Row],[nxt_code]],"전일대비")</f>
        <v>650</v>
      </c>
      <c r="L327">
        <f>_xll.IMDP("STK",표.실시간[[#This Row],[nxt_code]],"등락률")</f>
        <v>1.36</v>
      </c>
      <c r="M327" s="2">
        <f>_xll.IMDP("STK",표.실시간[[#This Row],[nxt_code]],"누적거래량")</f>
        <v>82588</v>
      </c>
      <c r="N327" s="2">
        <f>_xll.IMDP("STK",표.실시간[[#This Row],[nxt_code]],"누적거래대금")/10^8</f>
        <v>38.113299499999997</v>
      </c>
      <c r="O327" s="2">
        <f>_xll.IMDP("STK",표.실시간[[#This Row],[nxt_code]],"가중평균가")</f>
        <v>46148.713493000003</v>
      </c>
      <c r="P327" s="2">
        <f>_xll.IMDP("STK",표.실시간[[#This Row],[nxt_code]],"시가")</f>
        <v>47550</v>
      </c>
      <c r="Q327" s="2">
        <f>_xll.IMDP("STK",표.실시간[[#This Row],[nxt_code]],"고가")</f>
        <v>48700</v>
      </c>
      <c r="R327" s="2">
        <f>_xll.IMDP("STK",표.실시간[[#This Row],[nxt_code]],"저가")</f>
        <v>45300</v>
      </c>
      <c r="S327">
        <f>_xll.IMDP("STK",표.실시간[[#This Row],[nxt_code]],"세션명")</f>
        <v>0</v>
      </c>
      <c r="T327">
        <f>_xll.IMDP("STK",표.실시간[[#This Row],[nxt_code]],"체결시간")</f>
        <v>0</v>
      </c>
      <c r="U327" s="2">
        <f>_xll.IMDP("STK","218410","현재가")</f>
        <v>49050</v>
      </c>
      <c r="V327">
        <f>_xll.IMDP("STK","218410","누적거래량")</f>
        <v>60958</v>
      </c>
    </row>
    <row r="328" spans="2:22" x14ac:dyDescent="0.3">
      <c r="B328">
        <v>320</v>
      </c>
      <c r="C328">
        <v>1</v>
      </c>
      <c r="D328">
        <f>IF(IFERROR(INDEX(표.kospi200[code],MATCH(표.실시간[[#This Row],[코드]],표.kospi200[code],0)),0)=0,0,1)</f>
        <v>0</v>
      </c>
      <c r="E328" t="s">
        <v>333</v>
      </c>
      <c r="F328">
        <v>36530</v>
      </c>
      <c r="G328" t="str">
        <f>ConvertStockCode(표.실시간[[#This Row],[코드]])</f>
        <v>N036530</v>
      </c>
      <c r="H328" s="2">
        <f>_xll.IMDP("STK",표.실시간[[#This Row],[nxt_code]],"현재가")</f>
        <v>53500</v>
      </c>
      <c r="I328" s="2">
        <f>_xll.IMDP("STK",표.실시간[[#This Row],[nxt_code]],"시가총액")/10^12</f>
        <v>0.872257901</v>
      </c>
      <c r="J328" s="2">
        <f>표.실시간[[#This Row],[시가총액 (조원)]]/표.실시간[[#This Row],[현재가]]*(표.실시간[[#This Row],[현재가]]-표.실시간[[#This Row],[대비]])</f>
        <v>0.88530100980000004</v>
      </c>
      <c r="K328" s="3">
        <f>_xll.IMDP("STK",표.실시간[[#This Row],[nxt_code]],"전일대비")</f>
        <v>-800</v>
      </c>
      <c r="L328">
        <f>_xll.IMDP("STK",표.실시간[[#This Row],[nxt_code]],"등락률")</f>
        <v>-1.47</v>
      </c>
      <c r="M328" s="2">
        <f>_xll.IMDP("STK",표.실시간[[#This Row],[nxt_code]],"누적거래량")</f>
        <v>3736</v>
      </c>
      <c r="N328" s="2">
        <f>_xll.IMDP("STK",표.실시간[[#This Row],[nxt_code]],"누적거래대금")/10^8</f>
        <v>2.0050129999999999</v>
      </c>
      <c r="O328" s="2">
        <f>_xll.IMDP("STK",표.실시간[[#This Row],[nxt_code]],"가중평균가")</f>
        <v>53669.872317000001</v>
      </c>
      <c r="P328" s="2">
        <f>_xll.IMDP("STK",표.실시간[[#This Row],[nxt_code]],"시가")</f>
        <v>55000</v>
      </c>
      <c r="Q328" s="2">
        <f>_xll.IMDP("STK",표.실시간[[#This Row],[nxt_code]],"고가")</f>
        <v>55000</v>
      </c>
      <c r="R328" s="2">
        <f>_xll.IMDP("STK",표.실시간[[#This Row],[nxt_code]],"저가")</f>
        <v>52800</v>
      </c>
      <c r="S328">
        <f>_xll.IMDP("STK",표.실시간[[#This Row],[nxt_code]],"세션명")</f>
        <v>0</v>
      </c>
      <c r="T328">
        <f>_xll.IMDP("STK",표.실시간[[#This Row],[nxt_code]],"체결시간")</f>
        <v>0</v>
      </c>
      <c r="U328" s="2">
        <f>_xll.IMDP("STK","036530","현재가")</f>
        <v>53500</v>
      </c>
      <c r="V328">
        <f>_xll.IMDP("STK","036530","누적거래량")</f>
        <v>3919</v>
      </c>
    </row>
    <row r="329" spans="2:22" x14ac:dyDescent="0.3">
      <c r="B329">
        <v>321</v>
      </c>
      <c r="C329">
        <v>0</v>
      </c>
      <c r="D329">
        <f>IF(IFERROR(INDEX(표.kospi200[code],MATCH(표.실시간[[#This Row],[코드]],표.kospi200[code],0)),0)=0,0,1)</f>
        <v>0</v>
      </c>
      <c r="E329" t="s">
        <v>334</v>
      </c>
      <c r="F329">
        <v>389470</v>
      </c>
      <c r="G329" t="str">
        <f>ConvertStockCode(표.실시간[[#This Row],[코드]])</f>
        <v>N389470</v>
      </c>
      <c r="H329" s="2">
        <f>_xll.IMDP("STK",표.실시간[[#This Row],[nxt_code]],"현재가")</f>
        <v>74900</v>
      </c>
      <c r="I329" s="2">
        <f>_xll.IMDP("STK",표.실시간[[#This Row],[nxt_code]],"시가총액")/10^12</f>
        <v>0.95544337499999998</v>
      </c>
      <c r="J329" s="2">
        <f>표.실시간[[#This Row],[시가총액 (조원)]]/표.실시간[[#This Row],[현재가]]*(표.실시간[[#This Row],[현재가]]-표.실시간[[#This Row],[대비]])</f>
        <v>0.9414114963284379</v>
      </c>
      <c r="K329" s="3">
        <f>_xll.IMDP("STK",표.실시간[[#This Row],[nxt_code]],"전일대비")</f>
        <v>1100</v>
      </c>
      <c r="L329">
        <f>_xll.IMDP("STK",표.실시간[[#This Row],[nxt_code]],"등락률")</f>
        <v>1.49</v>
      </c>
      <c r="M329" s="2">
        <f>_xll.IMDP("STK",표.실시간[[#This Row],[nxt_code]],"누적거래량")</f>
        <v>25576</v>
      </c>
      <c r="N329" s="2">
        <f>_xll.IMDP("STK",표.실시간[[#This Row],[nxt_code]],"누적거래대금")/10^8</f>
        <v>18.290106000000002</v>
      </c>
      <c r="O329" s="2">
        <f>_xll.IMDP("STK",표.실시간[[#This Row],[nxt_code]],"가중평균가")</f>
        <v>71512.769784000004</v>
      </c>
      <c r="P329" s="2">
        <f>_xll.IMDP("STK",표.실시간[[#This Row],[nxt_code]],"시가")</f>
        <v>73700</v>
      </c>
      <c r="Q329" s="2">
        <f>_xll.IMDP("STK",표.실시간[[#This Row],[nxt_code]],"고가")</f>
        <v>75500</v>
      </c>
      <c r="R329" s="2">
        <f>_xll.IMDP("STK",표.실시간[[#This Row],[nxt_code]],"저가")</f>
        <v>70500</v>
      </c>
      <c r="S329">
        <f>_xll.IMDP("STK",표.실시간[[#This Row],[nxt_code]],"세션명")</f>
        <v>0</v>
      </c>
      <c r="T329">
        <f>_xll.IMDP("STK",표.실시간[[#This Row],[nxt_code]],"체결시간")</f>
        <v>0</v>
      </c>
      <c r="U329" s="2">
        <f>_xll.IMDP("STK","389470","현재가")</f>
        <v>74900</v>
      </c>
      <c r="V329">
        <f>_xll.IMDP("STK","389470","누적거래량")</f>
        <v>12001</v>
      </c>
    </row>
    <row r="330" spans="2:22" x14ac:dyDescent="0.3">
      <c r="B330">
        <v>322</v>
      </c>
      <c r="C330">
        <v>0</v>
      </c>
      <c r="D330">
        <f>IF(IFERROR(INDEX(표.kospi200[code],MATCH(표.실시간[[#This Row],[코드]],표.kospi200[code],0)),0)=0,0,1)</f>
        <v>0</v>
      </c>
      <c r="E330" t="s">
        <v>335</v>
      </c>
      <c r="F330">
        <v>56190</v>
      </c>
      <c r="G330" t="str">
        <f>ConvertStockCode(표.실시간[[#This Row],[코드]])</f>
        <v>N056190</v>
      </c>
      <c r="H330" s="2">
        <f>_xll.IMDP("STK",표.실시간[[#This Row],[nxt_code]],"현재가")</f>
        <v>33200</v>
      </c>
      <c r="I330" s="2">
        <f>_xll.IMDP("STK",표.실시간[[#This Row],[nxt_code]],"시가총액")/10^12</f>
        <v>1.192170832</v>
      </c>
      <c r="J330" s="2">
        <f>표.실시간[[#This Row],[시가총액 (조원)]]/표.실시간[[#This Row],[현재가]]*(표.실시간[[#This Row],[현재가]]-표.실시간[[#This Row],[대비]])</f>
        <v>1.213716088</v>
      </c>
      <c r="K330" s="3">
        <f>_xll.IMDP("STK",표.실시간[[#This Row],[nxt_code]],"전일대비")</f>
        <v>-600</v>
      </c>
      <c r="L330">
        <f>_xll.IMDP("STK",표.실시간[[#This Row],[nxt_code]],"등락률")</f>
        <v>-1.78</v>
      </c>
      <c r="M330" s="2">
        <f>_xll.IMDP("STK",표.실시간[[#This Row],[nxt_code]],"누적거래량")</f>
        <v>30247</v>
      </c>
      <c r="N330" s="2">
        <f>_xll.IMDP("STK",표.실시간[[#This Row],[nxt_code]],"누적거래대금")/10^8</f>
        <v>9.9733640000000001</v>
      </c>
      <c r="O330" s="2">
        <f>_xll.IMDP("STK",표.실시간[[#This Row],[nxt_code]],"가중평균가")</f>
        <v>32973.068402999997</v>
      </c>
      <c r="P330" s="2">
        <f>_xll.IMDP("STK",표.실시간[[#This Row],[nxt_code]],"시가")</f>
        <v>32500</v>
      </c>
      <c r="Q330" s="2">
        <f>_xll.IMDP("STK",표.실시간[[#This Row],[nxt_code]],"고가")</f>
        <v>33750</v>
      </c>
      <c r="R330" s="2">
        <f>_xll.IMDP("STK",표.실시간[[#This Row],[nxt_code]],"저가")</f>
        <v>32250</v>
      </c>
      <c r="S330">
        <f>_xll.IMDP("STK",표.실시간[[#This Row],[nxt_code]],"세션명")</f>
        <v>0</v>
      </c>
      <c r="T330">
        <f>_xll.IMDP("STK",표.실시간[[#This Row],[nxt_code]],"체결시간")</f>
        <v>0</v>
      </c>
      <c r="U330" s="2">
        <f>_xll.IMDP("STK","056190","현재가")</f>
        <v>33100</v>
      </c>
      <c r="V330">
        <f>_xll.IMDP("STK","056190","누적거래량")</f>
        <v>19198</v>
      </c>
    </row>
    <row r="331" spans="2:22" x14ac:dyDescent="0.3">
      <c r="B331">
        <v>323</v>
      </c>
      <c r="C331">
        <v>0</v>
      </c>
      <c r="D331">
        <f>IF(IFERROR(INDEX(표.kospi200[code],MATCH(표.실시간[[#This Row],[코드]],표.kospi200[code],0)),0)=0,0,1)</f>
        <v>0</v>
      </c>
      <c r="E331" t="s">
        <v>336</v>
      </c>
      <c r="F331">
        <v>82920</v>
      </c>
      <c r="G331" t="str">
        <f>ConvertStockCode(표.실시간[[#This Row],[코드]])</f>
        <v>N082920</v>
      </c>
      <c r="H331" s="2">
        <f>_xll.IMDP("STK",표.실시간[[#This Row],[nxt_code]],"현재가")</f>
        <v>21100</v>
      </c>
      <c r="I331" s="2">
        <f>_xll.IMDP("STK",표.실시간[[#This Row],[nxt_code]],"시가총액")/10^12</f>
        <v>0.95666296470000001</v>
      </c>
      <c r="J331" s="2">
        <f>표.실시간[[#This Row],[시가총액 (조원)]]/표.실시간[[#This Row],[현재가]]*(표.실시간[[#This Row],[현재가]]-표.실시간[[#This Row],[대비]])</f>
        <v>0.95439599084999993</v>
      </c>
      <c r="K331" s="3">
        <f>_xll.IMDP("STK",표.실시간[[#This Row],[nxt_code]],"전일대비")</f>
        <v>50</v>
      </c>
      <c r="L331">
        <f>_xll.IMDP("STK",표.실시간[[#This Row],[nxt_code]],"등락률")</f>
        <v>0.48</v>
      </c>
      <c r="M331" s="2">
        <f>_xll.IMDP("STK",표.실시간[[#This Row],[nxt_code]],"누적거래량")</f>
        <v>39000</v>
      </c>
      <c r="N331" s="2">
        <f>_xll.IMDP("STK",표.실시간[[#This Row],[nxt_code]],"누적거래대금")/10^8</f>
        <v>8.0662645000000008</v>
      </c>
      <c r="O331" s="2">
        <f>_xll.IMDP("STK",표.실시간[[#This Row],[nxt_code]],"가중평균가")</f>
        <v>20682.729487000001</v>
      </c>
      <c r="P331" s="2">
        <f>_xll.IMDP("STK",표.실시간[[#This Row],[nxt_code]],"시가")</f>
        <v>21050</v>
      </c>
      <c r="Q331" s="2">
        <f>_xll.IMDP("STK",표.실시간[[#This Row],[nxt_code]],"고가")</f>
        <v>21100</v>
      </c>
      <c r="R331" s="2">
        <f>_xll.IMDP("STK",표.실시간[[#This Row],[nxt_code]],"저가")</f>
        <v>20350</v>
      </c>
      <c r="S331">
        <f>_xll.IMDP("STK",표.실시간[[#This Row],[nxt_code]],"세션명")</f>
        <v>0</v>
      </c>
      <c r="T331">
        <f>_xll.IMDP("STK",표.실시간[[#This Row],[nxt_code]],"체결시간")</f>
        <v>0</v>
      </c>
      <c r="U331" s="2">
        <f>_xll.IMDP("STK","082920","현재가")</f>
        <v>21100</v>
      </c>
      <c r="V331">
        <f>_xll.IMDP("STK","082920","누적거래량")</f>
        <v>32336</v>
      </c>
    </row>
    <row r="332" spans="2:22" x14ac:dyDescent="0.3">
      <c r="B332">
        <v>324</v>
      </c>
      <c r="C332">
        <v>0</v>
      </c>
      <c r="D332">
        <f>IF(IFERROR(INDEX(표.kospi200[code],MATCH(표.실시간[[#This Row],[코드]],표.kospi200[code],0)),0)=0,0,1)</f>
        <v>0</v>
      </c>
      <c r="E332" t="s">
        <v>337</v>
      </c>
      <c r="F332">
        <v>90360</v>
      </c>
      <c r="G332" t="str">
        <f>ConvertStockCode(표.실시간[[#This Row],[코드]])</f>
        <v>N090360</v>
      </c>
      <c r="H332" s="2">
        <f>_xll.IMDP("STK",표.실시간[[#This Row],[nxt_code]],"현재가")</f>
        <v>89600</v>
      </c>
      <c r="I332" s="2">
        <f>_xll.IMDP("STK",표.실시간[[#This Row],[nxt_code]],"시가총액")/10^12</f>
        <v>0.87360000000000004</v>
      </c>
      <c r="J332" s="2">
        <f>표.실시간[[#This Row],[시가총액 (조원)]]/표.실시간[[#This Row],[현재가]]*(표.실시간[[#This Row],[현재가]]-표.실시간[[#This Row],[대비]])</f>
        <v>0.87749999999999995</v>
      </c>
      <c r="K332" s="3">
        <f>_xll.IMDP("STK",표.실시간[[#This Row],[nxt_code]],"전일대비")</f>
        <v>-400</v>
      </c>
      <c r="L332">
        <f>_xll.IMDP("STK",표.실시간[[#This Row],[nxt_code]],"등락률")</f>
        <v>0.79</v>
      </c>
      <c r="M332" s="2">
        <f>_xll.IMDP("STK",표.실시간[[#This Row],[nxt_code]],"누적거래량")</f>
        <v>60846</v>
      </c>
      <c r="N332" s="2">
        <f>_xll.IMDP("STK",표.실시간[[#This Row],[nxt_code]],"누적거래대금")/10^8</f>
        <v>52.391222999999997</v>
      </c>
      <c r="O332" s="2">
        <f>_xll.IMDP("STK",표.실시간[[#This Row],[nxt_code]],"가중평균가")</f>
        <v>86104.629721000005</v>
      </c>
      <c r="P332" s="2">
        <f>_xll.IMDP("STK",표.실시간[[#This Row],[nxt_code]],"시가")</f>
        <v>88900</v>
      </c>
      <c r="Q332" s="2">
        <f>_xll.IMDP("STK",표.실시간[[#This Row],[nxt_code]],"고가")</f>
        <v>89600</v>
      </c>
      <c r="R332" s="2">
        <f>_xll.IMDP("STK",표.실시간[[#This Row],[nxt_code]],"저가")</f>
        <v>84900</v>
      </c>
      <c r="S332">
        <f>_xll.IMDP("STK",표.실시간[[#This Row],[nxt_code]],"세션명")</f>
        <v>0</v>
      </c>
      <c r="T332">
        <f>_xll.IMDP("STK",표.실시간[[#This Row],[nxt_code]],"체결시간")</f>
        <v>0</v>
      </c>
      <c r="U332" s="2">
        <f>_xll.IMDP("STK","090360","현재가")</f>
        <v>89500</v>
      </c>
      <c r="V332">
        <f>_xll.IMDP("STK","090360","누적거래량")</f>
        <v>24176</v>
      </c>
    </row>
    <row r="333" spans="2:22" x14ac:dyDescent="0.3">
      <c r="B333">
        <v>325</v>
      </c>
      <c r="C333">
        <v>1</v>
      </c>
      <c r="D333">
        <f>IF(IFERROR(INDEX(표.kospi200[code],MATCH(표.실시간[[#This Row],[코드]],표.kospi200[code],0)),0)=0,0,1)</f>
        <v>1</v>
      </c>
      <c r="E333" t="s">
        <v>338</v>
      </c>
      <c r="F333">
        <v>4490</v>
      </c>
      <c r="G333" t="str">
        <f>ConvertStockCode(표.실시간[[#This Row],[코드]])</f>
        <v>N004490</v>
      </c>
      <c r="H333" s="2">
        <f>_xll.IMDP("STK",표.실시간[[#This Row],[nxt_code]],"현재가")</f>
        <v>63000</v>
      </c>
      <c r="I333" s="2">
        <f>_xll.IMDP("STK",표.실시간[[#This Row],[nxt_code]],"시가총액")/10^12</f>
        <v>0.87317999999999996</v>
      </c>
      <c r="J333" s="2">
        <f>표.실시간[[#This Row],[시가총액 (조원)]]/표.실시간[[#This Row],[현재가]]*(표.실시간[[#This Row],[현재가]]-표.실시간[[#This Row],[대비]])</f>
        <v>0.88426799999999994</v>
      </c>
      <c r="K333" s="3">
        <f>_xll.IMDP("STK",표.실시간[[#This Row],[nxt_code]],"전일대비")</f>
        <v>-800</v>
      </c>
      <c r="L333">
        <f>_xll.IMDP("STK",표.실시간[[#This Row],[nxt_code]],"등락률")</f>
        <v>-1.25</v>
      </c>
      <c r="M333" s="2">
        <f>_xll.IMDP("STK",표.실시간[[#This Row],[nxt_code]],"누적거래량")</f>
        <v>4007</v>
      </c>
      <c r="N333" s="2">
        <f>_xll.IMDP("STK",표.실시간[[#This Row],[nxt_code]],"누적거래대금")/10^8</f>
        <v>2.5167259999999998</v>
      </c>
      <c r="O333" s="2">
        <f>_xll.IMDP("STK",표.실시간[[#This Row],[nxt_code]],"가중평균가")</f>
        <v>62808.235588000003</v>
      </c>
      <c r="P333" s="2">
        <f>_xll.IMDP("STK",표.실시간[[#This Row],[nxt_code]],"시가")</f>
        <v>63800</v>
      </c>
      <c r="Q333" s="2">
        <f>_xll.IMDP("STK",표.실시간[[#This Row],[nxt_code]],"고가")</f>
        <v>63800</v>
      </c>
      <c r="R333" s="2">
        <f>_xll.IMDP("STK",표.실시간[[#This Row],[nxt_code]],"저가")</f>
        <v>62100</v>
      </c>
      <c r="S333">
        <f>_xll.IMDP("STK",표.실시간[[#This Row],[nxt_code]],"세션명")</f>
        <v>0</v>
      </c>
      <c r="T333">
        <f>_xll.IMDP("STK",표.실시간[[#This Row],[nxt_code]],"체결시간")</f>
        <v>0</v>
      </c>
      <c r="U333" s="2">
        <f>_xll.IMDP("STK","004490","현재가")</f>
        <v>63200</v>
      </c>
      <c r="V333">
        <f>_xll.IMDP("STK","004490","누적거래량")</f>
        <v>5541</v>
      </c>
    </row>
    <row r="334" spans="2:22" x14ac:dyDescent="0.3">
      <c r="B334">
        <v>326</v>
      </c>
      <c r="C334">
        <v>0</v>
      </c>
      <c r="D334">
        <f>IF(IFERROR(INDEX(표.kospi200[code],MATCH(표.실시간[[#This Row],[코드]],표.kospi200[code],0)),0)=0,0,1)</f>
        <v>0</v>
      </c>
      <c r="E334" t="s">
        <v>339</v>
      </c>
      <c r="F334">
        <v>36540</v>
      </c>
      <c r="G334" t="str">
        <f>ConvertStockCode(표.실시간[[#This Row],[코드]])</f>
        <v>N036540</v>
      </c>
      <c r="H334" s="2">
        <f>_xll.IMDP("STK",표.실시간[[#This Row],[nxt_code]],"현재가")</f>
        <v>7470</v>
      </c>
      <c r="I334" s="2">
        <f>_xll.IMDP("STK",표.실시간[[#This Row],[nxt_code]],"시가총액")/10^12</f>
        <v>1.2285184634099999</v>
      </c>
      <c r="J334" s="2">
        <f>표.실시간[[#This Row],[시가총액 (조원)]]/표.실시간[[#This Row],[현재가]]*(표.실시간[[#This Row],[현재가]]-표.실시간[[#This Row],[대비]])</f>
        <v>1.2893687755199998</v>
      </c>
      <c r="K334" s="3">
        <f>_xll.IMDP("STK",표.실시간[[#This Row],[nxt_code]],"전일대비")</f>
        <v>-370</v>
      </c>
      <c r="L334">
        <f>_xll.IMDP("STK",표.실시간[[#This Row],[nxt_code]],"등락률")</f>
        <v>-4.72</v>
      </c>
      <c r="M334" s="2">
        <f>_xll.IMDP("STK",표.실시간[[#This Row],[nxt_code]],"누적거래량")</f>
        <v>1943590</v>
      </c>
      <c r="N334" s="2">
        <f>_xll.IMDP("STK",표.실시간[[#This Row],[nxt_code]],"누적거래대금")/10^8</f>
        <v>146.78615450000001</v>
      </c>
      <c r="O334" s="2">
        <f>_xll.IMDP("STK",표.실시간[[#This Row],[nxt_code]],"가중평균가")</f>
        <v>7552.3209370000004</v>
      </c>
      <c r="P334" s="2">
        <f>_xll.IMDP("STK",표.실시간[[#This Row],[nxt_code]],"시가")</f>
        <v>7640</v>
      </c>
      <c r="Q334" s="2">
        <f>_xll.IMDP("STK",표.실시간[[#This Row],[nxt_code]],"고가")</f>
        <v>7750</v>
      </c>
      <c r="R334" s="2">
        <f>_xll.IMDP("STK",표.실시간[[#This Row],[nxt_code]],"저가")</f>
        <v>7340</v>
      </c>
      <c r="S334">
        <f>_xll.IMDP("STK",표.실시간[[#This Row],[nxt_code]],"세션명")</f>
        <v>0</v>
      </c>
      <c r="T334">
        <f>_xll.IMDP("STK",표.실시간[[#This Row],[nxt_code]],"체결시간")</f>
        <v>0</v>
      </c>
      <c r="U334" s="2">
        <f>_xll.IMDP("STK","036540","현재가")</f>
        <v>7480</v>
      </c>
      <c r="V334">
        <f>_xll.IMDP("STK","036540","누적거래량")</f>
        <v>1065650</v>
      </c>
    </row>
    <row r="335" spans="2:22" x14ac:dyDescent="0.3">
      <c r="B335">
        <v>327</v>
      </c>
      <c r="C335">
        <v>1</v>
      </c>
      <c r="D335">
        <f>IF(IFERROR(INDEX(표.kospi200[code],MATCH(표.실시간[[#This Row],[코드]],표.kospi200[code],0)),0)=0,0,1)</f>
        <v>0</v>
      </c>
      <c r="E335" t="s">
        <v>340</v>
      </c>
      <c r="F335">
        <v>195870</v>
      </c>
      <c r="G335" t="str">
        <f>ConvertStockCode(표.실시간[[#This Row],[코드]])</f>
        <v>N195870</v>
      </c>
      <c r="H335" s="2">
        <f>_xll.IMDP("STK",표.실시간[[#This Row],[nxt_code]],"현재가")</f>
        <v>64600</v>
      </c>
      <c r="I335" s="2">
        <f>_xll.IMDP("STK",표.실시간[[#This Row],[nxt_code]],"시가총액")/10^12</f>
        <v>1.0982000000000001</v>
      </c>
      <c r="J335" s="2">
        <f>표.실시간[[#This Row],[시가총액 (조원)]]/표.실시간[[#This Row],[현재가]]*(표.실시간[[#This Row],[현재가]]-표.실시간[[#This Row],[대비]])</f>
        <v>1.0965</v>
      </c>
      <c r="K335" s="3">
        <f>_xll.IMDP("STK",표.실시간[[#This Row],[nxt_code]],"전일대비")</f>
        <v>100</v>
      </c>
      <c r="L335">
        <f>_xll.IMDP("STK",표.실시간[[#This Row],[nxt_code]],"등락률")</f>
        <v>0.16</v>
      </c>
      <c r="M335" s="2">
        <f>_xll.IMDP("STK",표.실시간[[#This Row],[nxt_code]],"누적거래량")</f>
        <v>54289</v>
      </c>
      <c r="N335" s="2">
        <f>_xll.IMDP("STK",표.실시간[[#This Row],[nxt_code]],"누적거래대금")/10^8</f>
        <v>34.320670499999999</v>
      </c>
      <c r="O335" s="2">
        <f>_xll.IMDP("STK",표.실시간[[#This Row],[nxt_code]],"가중평균가")</f>
        <v>63218.461383000002</v>
      </c>
      <c r="P335" s="2">
        <f>_xll.IMDP("STK",표.실시간[[#This Row],[nxt_code]],"시가")</f>
        <v>63500</v>
      </c>
      <c r="Q335" s="2">
        <f>_xll.IMDP("STK",표.실시간[[#This Row],[nxt_code]],"고가")</f>
        <v>65900</v>
      </c>
      <c r="R335" s="2">
        <f>_xll.IMDP("STK",표.실시간[[#This Row],[nxt_code]],"저가")</f>
        <v>61700</v>
      </c>
      <c r="S335">
        <f>_xll.IMDP("STK",표.실시간[[#This Row],[nxt_code]],"세션명")</f>
        <v>0</v>
      </c>
      <c r="T335">
        <f>_xll.IMDP("STK",표.실시간[[#This Row],[nxt_code]],"체결시간")</f>
        <v>0</v>
      </c>
      <c r="U335" s="2">
        <f>_xll.IMDP("STK","195870","현재가")</f>
        <v>64800</v>
      </c>
      <c r="V335">
        <f>_xll.IMDP("STK","195870","누적거래량")</f>
        <v>35359</v>
      </c>
    </row>
    <row r="336" spans="2:22" x14ac:dyDescent="0.3">
      <c r="B336">
        <v>328</v>
      </c>
      <c r="C336">
        <v>0</v>
      </c>
      <c r="D336">
        <f>IF(IFERROR(INDEX(표.kospi200[code],MATCH(표.실시간[[#This Row],[코드]],표.kospi200[code],0)),0)=0,0,1)</f>
        <v>0</v>
      </c>
      <c r="E336" t="s">
        <v>341</v>
      </c>
      <c r="F336">
        <v>417200</v>
      </c>
      <c r="G336" t="str">
        <f>ConvertStockCode(표.실시간[[#This Row],[코드]])</f>
        <v>N417200</v>
      </c>
      <c r="H336" s="2">
        <f>_xll.IMDP("STK",표.실시간[[#This Row],[nxt_code]],"현재가")</f>
        <v>17440</v>
      </c>
      <c r="I336" s="2">
        <f>_xll.IMDP("STK",표.실시간[[#This Row],[nxt_code]],"시가총액")/10^12</f>
        <v>1.17986237296</v>
      </c>
      <c r="J336" s="2">
        <f>표.실시간[[#This Row],[시가총액 (조원)]]/표.실시간[[#This Row],[현재가]]*(표.실시간[[#This Row],[현재가]]-표.실시간[[#This Row],[대비]])</f>
        <v>1.1852745856799998</v>
      </c>
      <c r="K336" s="3">
        <f>_xll.IMDP("STK",표.실시간[[#This Row],[nxt_code]],"전일대비")</f>
        <v>-80</v>
      </c>
      <c r="L336">
        <f>_xll.IMDP("STK",표.실시간[[#This Row],[nxt_code]],"등락률")</f>
        <v>0.63</v>
      </c>
      <c r="M336" s="2">
        <f>_xll.IMDP("STK",표.실시간[[#This Row],[nxt_code]],"누적거래량")</f>
        <v>1010402</v>
      </c>
      <c r="N336" s="2">
        <f>_xll.IMDP("STK",표.실시간[[#This Row],[nxt_code]],"누적거래대금")/10^8</f>
        <v>174.87602955</v>
      </c>
      <c r="O336" s="2">
        <f>_xll.IMDP("STK",표.실시간[[#This Row],[nxt_code]],"가중평균가")</f>
        <v>17307.569616000001</v>
      </c>
      <c r="P336" s="2">
        <f>_xll.IMDP("STK",표.실시간[[#This Row],[nxt_code]],"시가")</f>
        <v>17400</v>
      </c>
      <c r="Q336" s="2">
        <f>_xll.IMDP("STK",표.실시간[[#This Row],[nxt_code]],"고가")</f>
        <v>17870</v>
      </c>
      <c r="R336" s="2">
        <f>_xll.IMDP("STK",표.실시간[[#This Row],[nxt_code]],"저가")</f>
        <v>16830</v>
      </c>
      <c r="S336">
        <f>_xll.IMDP("STK",표.실시간[[#This Row],[nxt_code]],"세션명")</f>
        <v>0</v>
      </c>
      <c r="T336">
        <f>_xll.IMDP("STK",표.실시간[[#This Row],[nxt_code]],"체결시간")</f>
        <v>0</v>
      </c>
      <c r="U336" s="2">
        <f>_xll.IMDP("STK","417200","현재가")</f>
        <v>17420</v>
      </c>
      <c r="V336">
        <f>_xll.IMDP("STK","417200","누적거래량")</f>
        <v>288317</v>
      </c>
    </row>
    <row r="337" spans="2:22" x14ac:dyDescent="0.3">
      <c r="B337">
        <v>329</v>
      </c>
      <c r="C337">
        <v>0</v>
      </c>
      <c r="D337">
        <f>IF(IFERROR(INDEX(표.kospi200[code],MATCH(표.실시간[[#This Row],[코드]],표.kospi200[code],0)),0)=0,0,1)</f>
        <v>0</v>
      </c>
      <c r="E337" t="s">
        <v>342</v>
      </c>
      <c r="F337">
        <v>112040</v>
      </c>
      <c r="G337" t="str">
        <f>ConvertStockCode(표.실시간[[#This Row],[코드]])</f>
        <v>N112040</v>
      </c>
      <c r="H337" s="2">
        <f>_xll.IMDP("STK",표.실시간[[#This Row],[nxt_code]],"현재가")</f>
        <v>31150</v>
      </c>
      <c r="I337" s="2">
        <f>_xll.IMDP("STK",표.실시간[[#This Row],[nxt_code]],"시가총액")/10^12</f>
        <v>1.05749524545</v>
      </c>
      <c r="J337" s="2">
        <f>표.실시간[[#This Row],[시가총액 (조원)]]/표.실시간[[#This Row],[현재가]]*(표.실시간[[#This Row],[현재가]]-표.실시간[[#This Row],[대비]])</f>
        <v>1.1084179699499999</v>
      </c>
      <c r="K337" s="3">
        <f>_xll.IMDP("STK",표.실시간[[#This Row],[nxt_code]],"전일대비")</f>
        <v>-1500</v>
      </c>
      <c r="L337">
        <f>_xll.IMDP("STK",표.실시간[[#This Row],[nxt_code]],"등락률")</f>
        <v>-4.59</v>
      </c>
      <c r="M337" s="2">
        <f>_xll.IMDP("STK",표.실시간[[#This Row],[nxt_code]],"누적거래량")</f>
        <v>67727</v>
      </c>
      <c r="N337" s="2">
        <f>_xll.IMDP("STK",표.실시간[[#This Row],[nxt_code]],"누적거래대금")/10^8</f>
        <v>21.354633499999998</v>
      </c>
      <c r="O337" s="2">
        <f>_xll.IMDP("STK",표.실시간[[#This Row],[nxt_code]],"가중평균가")</f>
        <v>31530.458310999999</v>
      </c>
      <c r="P337" s="2">
        <f>_xll.IMDP("STK",표.실시간[[#This Row],[nxt_code]],"시가")</f>
        <v>31100</v>
      </c>
      <c r="Q337" s="2">
        <f>_xll.IMDP("STK",표.실시간[[#This Row],[nxt_code]],"고가")</f>
        <v>32950</v>
      </c>
      <c r="R337" s="2">
        <f>_xll.IMDP("STK",표.실시간[[#This Row],[nxt_code]],"저가")</f>
        <v>30900</v>
      </c>
      <c r="S337">
        <f>_xll.IMDP("STK",표.실시간[[#This Row],[nxt_code]],"세션명")</f>
        <v>0</v>
      </c>
      <c r="T337">
        <f>_xll.IMDP("STK",표.실시간[[#This Row],[nxt_code]],"체결시간")</f>
        <v>0</v>
      </c>
      <c r="U337" s="2">
        <f>_xll.IMDP("STK","112040","현재가")</f>
        <v>31150</v>
      </c>
      <c r="V337">
        <f>_xll.IMDP("STK","112040","누적거래량")</f>
        <v>54795</v>
      </c>
    </row>
    <row r="338" spans="2:22" x14ac:dyDescent="0.3">
      <c r="B338">
        <v>330</v>
      </c>
      <c r="C338">
        <v>0</v>
      </c>
      <c r="D338">
        <f>IF(IFERROR(INDEX(표.kospi200[code],MATCH(표.실시간[[#This Row],[코드]],표.kospi200[code],0)),0)=0,0,1)</f>
        <v>0</v>
      </c>
      <c r="E338" t="s">
        <v>343</v>
      </c>
      <c r="F338">
        <v>213420</v>
      </c>
      <c r="G338" t="str">
        <f>ConvertStockCode(표.실시간[[#This Row],[코드]])</f>
        <v>N213420</v>
      </c>
      <c r="H338" s="2">
        <f>_xll.IMDP("STK",표.실시간[[#This Row],[nxt_code]],"현재가")</f>
        <v>38000</v>
      </c>
      <c r="I338" s="2">
        <f>_xll.IMDP("STK",표.실시간[[#This Row],[nxt_code]],"시가총액")/10^12</f>
        <v>0.94358480199999994</v>
      </c>
      <c r="J338" s="2">
        <f>표.실시간[[#This Row],[시가총액 (조원)]]/표.실시간[[#This Row],[현재가]]*(표.실시간[[#This Row],[현재가]]-표.실시간[[#This Row],[대비]])</f>
        <v>0.96965753995000004</v>
      </c>
      <c r="K338" s="3">
        <f>_xll.IMDP("STK",표.실시간[[#This Row],[nxt_code]],"전일대비")</f>
        <v>-1050</v>
      </c>
      <c r="L338">
        <f>_xll.IMDP("STK",표.실시간[[#This Row],[nxt_code]],"등락률")</f>
        <v>-2.69</v>
      </c>
      <c r="M338" s="2">
        <f>_xll.IMDP("STK",표.실시간[[#This Row],[nxt_code]],"누적거래량")</f>
        <v>30604</v>
      </c>
      <c r="N338" s="2">
        <f>_xll.IMDP("STK",표.실시간[[#This Row],[nxt_code]],"누적거래대금")/10^8</f>
        <v>11.575730500000001</v>
      </c>
      <c r="O338" s="2">
        <f>_xll.IMDP("STK",표.실시간[[#This Row],[nxt_code]],"가중평균가")</f>
        <v>37824.240295000003</v>
      </c>
      <c r="P338" s="2">
        <f>_xll.IMDP("STK",표.실시간[[#This Row],[nxt_code]],"시가")</f>
        <v>38600</v>
      </c>
      <c r="Q338" s="2">
        <f>_xll.IMDP("STK",표.실시간[[#This Row],[nxt_code]],"고가")</f>
        <v>38800</v>
      </c>
      <c r="R338" s="2">
        <f>_xll.IMDP("STK",표.실시간[[#This Row],[nxt_code]],"저가")</f>
        <v>37150</v>
      </c>
      <c r="S338">
        <f>_xll.IMDP("STK",표.실시간[[#This Row],[nxt_code]],"세션명")</f>
        <v>0</v>
      </c>
      <c r="T338">
        <f>_xll.IMDP("STK",표.실시간[[#This Row],[nxt_code]],"체결시간")</f>
        <v>0</v>
      </c>
      <c r="U338" s="2">
        <f>_xll.IMDP("STK","213420","현재가")</f>
        <v>37850</v>
      </c>
      <c r="V338">
        <f>_xll.IMDP("STK","213420","누적거래량")</f>
        <v>21462</v>
      </c>
    </row>
    <row r="339" spans="2:22" x14ac:dyDescent="0.3">
      <c r="B339">
        <v>331</v>
      </c>
      <c r="C339">
        <v>0</v>
      </c>
      <c r="D339">
        <f>IF(IFERROR(INDEX(표.kospi200[code],MATCH(표.실시간[[#This Row],[코드]],표.kospi200[code],0)),0)=0,0,1)</f>
        <v>0</v>
      </c>
      <c r="E339" t="s">
        <v>344</v>
      </c>
      <c r="F339">
        <v>358570</v>
      </c>
      <c r="G339" t="str">
        <f>ConvertStockCode(표.실시간[[#This Row],[코드]])</f>
        <v>N358570</v>
      </c>
      <c r="H339" s="2">
        <f>_xll.IMDP("STK",표.실시간[[#This Row],[nxt_code]],"현재가")</f>
        <v>14980</v>
      </c>
      <c r="I339" s="2">
        <f>_xll.IMDP("STK",표.실시간[[#This Row],[nxt_code]],"시가총액")/10^12</f>
        <v>0.95681740518000002</v>
      </c>
      <c r="J339" s="2">
        <f>표.실시간[[#This Row],[시가총액 (조원)]]/표.실시간[[#This Row],[현재가]]*(표.실시간[[#This Row],[현재가]]-표.실시간[[#This Row],[대비]])</f>
        <v>1.0098319877099999</v>
      </c>
      <c r="K339" s="3">
        <f>_xll.IMDP("STK",표.실시간[[#This Row],[nxt_code]],"전일대비")</f>
        <v>-830</v>
      </c>
      <c r="L339">
        <f>_xll.IMDP("STK",표.실시간[[#This Row],[nxt_code]],"등락률")</f>
        <v>-5.25</v>
      </c>
      <c r="M339" s="2">
        <f>_xll.IMDP("STK",표.실시간[[#This Row],[nxt_code]],"누적거래량")</f>
        <v>207386</v>
      </c>
      <c r="N339" s="2">
        <f>_xll.IMDP("STK",표.실시간[[#This Row],[nxt_code]],"누적거래대금")/10^8</f>
        <v>31.0612119</v>
      </c>
      <c r="O339" s="2">
        <f>_xll.IMDP("STK",표.실시간[[#This Row],[nxt_code]],"가중평균가")</f>
        <v>14977.487342</v>
      </c>
      <c r="P339" s="2">
        <f>_xll.IMDP("STK",표.실시간[[#This Row],[nxt_code]],"시가")</f>
        <v>15320</v>
      </c>
      <c r="Q339" s="2">
        <f>_xll.IMDP("STK",표.실시간[[#This Row],[nxt_code]],"고가")</f>
        <v>15730</v>
      </c>
      <c r="R339" s="2">
        <f>_xll.IMDP("STK",표.실시간[[#This Row],[nxt_code]],"저가")</f>
        <v>14690</v>
      </c>
      <c r="S339">
        <f>_xll.IMDP("STK",표.실시간[[#This Row],[nxt_code]],"세션명")</f>
        <v>0</v>
      </c>
      <c r="T339">
        <f>_xll.IMDP("STK",표.실시간[[#This Row],[nxt_code]],"체결시간")</f>
        <v>0</v>
      </c>
      <c r="U339" s="2">
        <f>_xll.IMDP("STK","358570","현재가")</f>
        <v>14920</v>
      </c>
      <c r="V339">
        <f>_xll.IMDP("STK","358570","누적거래량")</f>
        <v>92011</v>
      </c>
    </row>
    <row r="340" spans="2:22" x14ac:dyDescent="0.3">
      <c r="B340">
        <v>332</v>
      </c>
      <c r="C340">
        <v>0</v>
      </c>
      <c r="D340">
        <f>IF(IFERROR(INDEX(표.kospi200[code],MATCH(표.실시간[[#This Row],[코드]],표.kospi200[code],0)),0)=0,0,1)</f>
        <v>0</v>
      </c>
      <c r="E340" t="s">
        <v>345</v>
      </c>
      <c r="F340">
        <v>468530</v>
      </c>
      <c r="G340" t="str">
        <f>ConvertStockCode(표.실시간[[#This Row],[코드]])</f>
        <v>N468530</v>
      </c>
      <c r="H340" s="2">
        <f>_xll.IMDP("STK",표.실시간[[#This Row],[nxt_code]],"현재가")</f>
        <v>78100</v>
      </c>
      <c r="I340" s="2">
        <f>_xll.IMDP("STK",표.실시간[[#This Row],[nxt_code]],"시가총액")/10^12</f>
        <v>0.85437338799999996</v>
      </c>
      <c r="J340" s="2">
        <f>표.실시간[[#This Row],[시가총액 (조원)]]/표.실시간[[#This Row],[현재가]]*(표.실시간[[#This Row],[현재가]]-표.실시간[[#This Row],[대비]])</f>
        <v>0.86203102399999998</v>
      </c>
      <c r="K340" s="3">
        <f>_xll.IMDP("STK",표.실시간[[#This Row],[nxt_code]],"전일대비")</f>
        <v>-700</v>
      </c>
      <c r="L340">
        <f>_xll.IMDP("STK",표.실시간[[#This Row],[nxt_code]],"등락률")</f>
        <v>-0.76</v>
      </c>
      <c r="M340" s="2">
        <f>_xll.IMDP("STK",표.실시간[[#This Row],[nxt_code]],"누적거래량")</f>
        <v>31902</v>
      </c>
      <c r="N340" s="2">
        <f>_xll.IMDP("STK",표.실시간[[#This Row],[nxt_code]],"누적거래대금")/10^8</f>
        <v>24.605619000000001</v>
      </c>
      <c r="O340" s="2">
        <f>_xll.IMDP("STK",표.실시간[[#This Row],[nxt_code]],"가중평균가")</f>
        <v>77051.478048000004</v>
      </c>
      <c r="P340" s="2">
        <f>_xll.IMDP("STK",표.실시간[[#This Row],[nxt_code]],"시가")</f>
        <v>78700</v>
      </c>
      <c r="Q340" s="2">
        <f>_xll.IMDP("STK",표.실시간[[#This Row],[nxt_code]],"고가")</f>
        <v>79500</v>
      </c>
      <c r="R340" s="2">
        <f>_xll.IMDP("STK",표.실시간[[#This Row],[nxt_code]],"저가")</f>
        <v>75700</v>
      </c>
      <c r="S340">
        <f>_xll.IMDP("STK",표.실시간[[#This Row],[nxt_code]],"세션명")</f>
        <v>0</v>
      </c>
      <c r="T340">
        <f>_xll.IMDP("STK",표.실시간[[#This Row],[nxt_code]],"체결시간")</f>
        <v>0</v>
      </c>
      <c r="U340" s="2">
        <f>_xll.IMDP("STK","468530","현재가")</f>
        <v>78200</v>
      </c>
      <c r="V340">
        <f>_xll.IMDP("STK","468530","누적거래량")</f>
        <v>17338</v>
      </c>
    </row>
    <row r="341" spans="2:22" x14ac:dyDescent="0.3">
      <c r="B341">
        <v>333</v>
      </c>
      <c r="C341">
        <v>0</v>
      </c>
      <c r="D341">
        <f>IF(IFERROR(INDEX(표.kospi200[code],MATCH(표.실시간[[#This Row],[코드]],표.kospi200[code],0)),0)=0,0,1)</f>
        <v>0</v>
      </c>
      <c r="E341" t="s">
        <v>346</v>
      </c>
      <c r="F341">
        <v>86900</v>
      </c>
      <c r="G341" t="str">
        <f>ConvertStockCode(표.실시간[[#This Row],[코드]])</f>
        <v>N086900</v>
      </c>
      <c r="H341" s="2">
        <f>_xll.IMDP("STK",표.실시간[[#This Row],[nxt_code]],"현재가")</f>
        <v>131600</v>
      </c>
      <c r="I341" s="2">
        <f>_xll.IMDP("STK",표.실시간[[#This Row],[nxt_code]],"시가총액")/10^12</f>
        <v>0.96048220520000005</v>
      </c>
      <c r="J341" s="2">
        <f>표.실시간[[#This Row],[시가총액 (조원)]]/표.실시간[[#This Row],[현재가]]*(표.실시간[[#This Row],[현재가]]-표.실시간[[#This Row],[대비]])</f>
        <v>0.98018814710000013</v>
      </c>
      <c r="K341" s="3">
        <f>_xll.IMDP("STK",표.실시간[[#This Row],[nxt_code]],"전일대비")</f>
        <v>-2700</v>
      </c>
      <c r="L341">
        <f>_xll.IMDP("STK",표.실시간[[#This Row],[nxt_code]],"등락률")</f>
        <v>-2.0099999999999998</v>
      </c>
      <c r="M341" s="2">
        <f>_xll.IMDP("STK",표.실시간[[#This Row],[nxt_code]],"누적거래량")</f>
        <v>9210</v>
      </c>
      <c r="N341" s="2">
        <f>_xll.IMDP("STK",표.실시간[[#This Row],[nxt_code]],"누적거래대금")/10^8</f>
        <v>12.085219</v>
      </c>
      <c r="O341" s="2">
        <f>_xll.IMDP("STK",표.실시간[[#This Row],[nxt_code]],"가중평균가")</f>
        <v>131218.44734000001</v>
      </c>
      <c r="P341" s="2">
        <f>_xll.IMDP("STK",표.실시간[[#This Row],[nxt_code]],"시가")</f>
        <v>134400</v>
      </c>
      <c r="Q341" s="2">
        <f>_xll.IMDP("STK",표.실시간[[#This Row],[nxt_code]],"고가")</f>
        <v>134400</v>
      </c>
      <c r="R341" s="2">
        <f>_xll.IMDP("STK",표.실시간[[#This Row],[nxt_code]],"저가")</f>
        <v>129000</v>
      </c>
      <c r="S341">
        <f>_xll.IMDP("STK",표.실시간[[#This Row],[nxt_code]],"세션명")</f>
        <v>0</v>
      </c>
      <c r="T341">
        <f>_xll.IMDP("STK",표.실시간[[#This Row],[nxt_code]],"체결시간")</f>
        <v>0</v>
      </c>
      <c r="U341" s="2">
        <f>_xll.IMDP("STK","086900","현재가")</f>
        <v>132500</v>
      </c>
      <c r="V341">
        <f>_xll.IMDP("STK","086900","누적거래량")</f>
        <v>11432</v>
      </c>
    </row>
    <row r="342" spans="2:22" x14ac:dyDescent="0.3">
      <c r="B342">
        <v>334</v>
      </c>
      <c r="C342">
        <v>1</v>
      </c>
      <c r="D342">
        <f>IF(IFERROR(INDEX(표.kospi200[code],MATCH(표.실시간[[#This Row],[코드]],표.kospi200[code],0)),0)=0,0,1)</f>
        <v>0</v>
      </c>
      <c r="E342" t="s">
        <v>347</v>
      </c>
      <c r="F342">
        <v>317450</v>
      </c>
      <c r="G342" t="str">
        <f>ConvertStockCode(표.실시간[[#This Row],[코드]])</f>
        <v>N317450</v>
      </c>
      <c r="H342" s="2">
        <f>_xll.IMDP("STK",표.실시간[[#This Row],[nxt_code]],"현재가")</f>
        <v>61700</v>
      </c>
      <c r="I342" s="2">
        <f>_xll.IMDP("STK",표.실시간[[#This Row],[nxt_code]],"시가총액")/10^12</f>
        <v>0.90081999999999995</v>
      </c>
      <c r="J342" s="2">
        <f>표.실시간[[#This Row],[시가총액 (조원)]]/표.실시간[[#This Row],[현재가]]*(표.실시간[[#This Row],[현재가]]-표.실시간[[#This Row],[대비]])</f>
        <v>0.91395999999999999</v>
      </c>
      <c r="K342" s="3">
        <f>_xll.IMDP("STK",표.실시간[[#This Row],[nxt_code]],"전일대비")</f>
        <v>-900</v>
      </c>
      <c r="L342">
        <f>_xll.IMDP("STK",표.실시간[[#This Row],[nxt_code]],"등락률")</f>
        <v>-1.44</v>
      </c>
      <c r="M342" s="2">
        <f>_xll.IMDP("STK",표.실시간[[#This Row],[nxt_code]],"누적거래량")</f>
        <v>6518</v>
      </c>
      <c r="N342" s="2">
        <f>_xll.IMDP("STK",표.실시간[[#This Row],[nxt_code]],"누적거래대금")/10^8</f>
        <v>4.0415469999999996</v>
      </c>
      <c r="O342" s="2">
        <f>_xll.IMDP("STK",표.실시간[[#This Row],[nxt_code]],"가중평균가")</f>
        <v>62005.937403999997</v>
      </c>
      <c r="P342" s="2">
        <f>_xll.IMDP("STK",표.실시간[[#This Row],[nxt_code]],"시가")</f>
        <v>62800</v>
      </c>
      <c r="Q342" s="2">
        <f>_xll.IMDP("STK",표.실시간[[#This Row],[nxt_code]],"고가")</f>
        <v>63000</v>
      </c>
      <c r="R342" s="2">
        <f>_xll.IMDP("STK",표.실시간[[#This Row],[nxt_code]],"저가")</f>
        <v>61600</v>
      </c>
      <c r="S342">
        <f>_xll.IMDP("STK",표.실시간[[#This Row],[nxt_code]],"세션명")</f>
        <v>0</v>
      </c>
      <c r="T342">
        <f>_xll.IMDP("STK",표.실시간[[#This Row],[nxt_code]],"체결시간")</f>
        <v>0</v>
      </c>
      <c r="U342" s="2">
        <f>_xll.IMDP("STK","317450","현재가")</f>
        <v>61600</v>
      </c>
      <c r="V342">
        <f>_xll.IMDP("STK","317450","누적거래량")</f>
        <v>4156</v>
      </c>
    </row>
    <row r="343" spans="2:22" x14ac:dyDescent="0.3">
      <c r="B343">
        <v>335</v>
      </c>
      <c r="C343">
        <v>0</v>
      </c>
      <c r="D343">
        <f>IF(IFERROR(INDEX(표.kospi200[code],MATCH(표.실시간[[#This Row],[코드]],표.kospi200[code],0)),0)=0,0,1)</f>
        <v>0</v>
      </c>
      <c r="E343" t="s">
        <v>348</v>
      </c>
      <c r="F343">
        <v>476060</v>
      </c>
      <c r="G343" t="str">
        <f>ConvertStockCode(표.실시간[[#This Row],[코드]])</f>
        <v>N476060</v>
      </c>
      <c r="H343" s="2">
        <f>_xll.IMDP("STK",표.실시간[[#This Row],[nxt_code]],"현재가")</f>
        <v>18200</v>
      </c>
      <c r="I343" s="2">
        <f>_xll.IMDP("STK",표.실시간[[#This Row],[nxt_code]],"시가총액")/10^12</f>
        <v>0.81695868800000004</v>
      </c>
      <c r="J343" s="2">
        <f>표.실시간[[#This Row],[시가총액 (조원)]]/표.실시간[[#This Row],[현재가]]*(표.실시간[[#This Row],[현재가]]-표.실시간[[#This Row],[대비]])</f>
        <v>0.82458962080000009</v>
      </c>
      <c r="K343" s="3">
        <f>_xll.IMDP("STK",표.실시간[[#This Row],[nxt_code]],"전일대비")</f>
        <v>-170</v>
      </c>
      <c r="L343">
        <f>_xll.IMDP("STK",표.실시간[[#This Row],[nxt_code]],"등락률")</f>
        <v>-0.93</v>
      </c>
      <c r="M343" s="2">
        <f>_xll.IMDP("STK",표.실시간[[#This Row],[nxt_code]],"누적거래량")</f>
        <v>113086</v>
      </c>
      <c r="N343" s="2">
        <f>_xll.IMDP("STK",표.실시간[[#This Row],[nxt_code]],"누적거래대금")/10^8</f>
        <v>20.399021399999999</v>
      </c>
      <c r="O343" s="2">
        <f>_xll.IMDP("STK",표.실시간[[#This Row],[nxt_code]],"가중평균가")</f>
        <v>18002.048626</v>
      </c>
      <c r="P343" s="2">
        <f>_xll.IMDP("STK",표.실시간[[#This Row],[nxt_code]],"시가")</f>
        <v>18240</v>
      </c>
      <c r="Q343" s="2">
        <f>_xll.IMDP("STK",표.실시간[[#This Row],[nxt_code]],"고가")</f>
        <v>18370</v>
      </c>
      <c r="R343" s="2">
        <f>_xll.IMDP("STK",표.실시간[[#This Row],[nxt_code]],"저가")</f>
        <v>17790</v>
      </c>
      <c r="S343">
        <f>_xll.IMDP("STK",표.실시간[[#This Row],[nxt_code]],"세션명")</f>
        <v>0</v>
      </c>
      <c r="T343">
        <f>_xll.IMDP("STK",표.실시간[[#This Row],[nxt_code]],"체결시간")</f>
        <v>0</v>
      </c>
      <c r="U343" s="2">
        <f>_xll.IMDP("STK","476060","현재가")</f>
        <v>18180</v>
      </c>
      <c r="V343">
        <f>_xll.IMDP("STK","476060","누적거래량")</f>
        <v>245671</v>
      </c>
    </row>
    <row r="344" spans="2:22" x14ac:dyDescent="0.3">
      <c r="B344">
        <v>336</v>
      </c>
      <c r="C344">
        <v>1</v>
      </c>
      <c r="D344">
        <f>IF(IFERROR(INDEX(표.kospi200[code],MATCH(표.실시간[[#This Row],[코드]],표.kospi200[code],0)),0)=0,0,1)</f>
        <v>1</v>
      </c>
      <c r="E344" t="s">
        <v>349</v>
      </c>
      <c r="F344">
        <v>3240</v>
      </c>
      <c r="G344" t="str">
        <f>ConvertStockCode(표.실시간[[#This Row],[코드]])</f>
        <v>N003240</v>
      </c>
      <c r="H344" s="2">
        <f>_xll.IMDP("STK",표.실시간[[#This Row],[nxt_code]],"현재가")</f>
        <v>930000</v>
      </c>
      <c r="I344" s="2">
        <f>_xll.IMDP("STK",표.실시간[[#This Row],[nxt_code]],"시가총액")/10^12</f>
        <v>1.0354620000000001</v>
      </c>
      <c r="J344" s="2">
        <f>표.실시간[[#This Row],[시가총액 (조원)]]/표.실시간[[#This Row],[현재가]]*(표.실시간[[#This Row],[현재가]]-표.실시간[[#This Row],[대비]])</f>
        <v>0.96197760000000021</v>
      </c>
      <c r="K344" s="3">
        <f>_xll.IMDP("STK",표.실시간[[#This Row],[nxt_code]],"전일대비")</f>
        <v>66000</v>
      </c>
      <c r="L344">
        <f>_xll.IMDP("STK",표.실시간[[#This Row],[nxt_code]],"등락률")</f>
        <v>6.53</v>
      </c>
      <c r="M344" s="2">
        <f>_xll.IMDP("STK",표.실시간[[#This Row],[nxt_code]],"누적거래량")</f>
        <v>2919</v>
      </c>
      <c r="N344" s="2">
        <f>_xll.IMDP("STK",표.실시간[[#This Row],[nxt_code]],"누적거래대금")/10^8</f>
        <v>26.485530000000001</v>
      </c>
      <c r="O344" s="2">
        <f>_xll.IMDP("STK",표.실시간[[#This Row],[nxt_code]],"가중평균가")</f>
        <v>914377.52654999995</v>
      </c>
      <c r="P344" s="2">
        <f>_xll.IMDP("STK",표.실시간[[#This Row],[nxt_code]],"시가")</f>
        <v>873000</v>
      </c>
      <c r="Q344" s="2">
        <f>_xll.IMDP("STK",표.실시간[[#This Row],[nxt_code]],"고가")</f>
        <v>948000</v>
      </c>
      <c r="R344" s="2">
        <f>_xll.IMDP("STK",표.실시간[[#This Row],[nxt_code]],"저가")</f>
        <v>873000</v>
      </c>
      <c r="S344">
        <f>_xll.IMDP("STK",표.실시간[[#This Row],[nxt_code]],"세션명")</f>
        <v>0</v>
      </c>
      <c r="T344">
        <f>_xll.IMDP("STK",표.실시간[[#This Row],[nxt_code]],"체결시간")</f>
        <v>0</v>
      </c>
      <c r="U344" s="2">
        <f>_xll.IMDP("STK","003240","현재가")</f>
        <v>929000</v>
      </c>
      <c r="V344">
        <f>_xll.IMDP("STK","003240","누적거래량")</f>
        <v>2880</v>
      </c>
    </row>
    <row r="345" spans="2:22" x14ac:dyDescent="0.3">
      <c r="B345">
        <v>337</v>
      </c>
      <c r="C345">
        <v>1</v>
      </c>
      <c r="D345">
        <f>IF(IFERROR(INDEX(표.kospi200[code],MATCH(표.실시간[[#This Row],[코드]],표.kospi200[code],0)),0)=0,0,1)</f>
        <v>0</v>
      </c>
      <c r="E345" t="s">
        <v>350</v>
      </c>
      <c r="F345">
        <v>3160</v>
      </c>
      <c r="G345" t="str">
        <f>ConvertStockCode(표.실시간[[#This Row],[코드]])</f>
        <v>N003160</v>
      </c>
      <c r="H345" s="2">
        <f>_xll.IMDP("STK",표.실시간[[#This Row],[nxt_code]],"현재가")</f>
        <v>33250</v>
      </c>
      <c r="I345" s="2">
        <f>_xll.IMDP("STK",표.실시간[[#This Row],[nxt_code]],"시가총액")/10^12</f>
        <v>0.94097500000000001</v>
      </c>
      <c r="J345" s="2">
        <f>표.실시간[[#This Row],[시가총액 (조원)]]/표.실시간[[#This Row],[현재가]]*(표.실시간[[#This Row],[현재가]]-표.실시간[[#This Row],[대비]])</f>
        <v>0.974935</v>
      </c>
      <c r="K345" s="3">
        <f>_xll.IMDP("STK",표.실시간[[#This Row],[nxt_code]],"전일대비")</f>
        <v>-1200</v>
      </c>
      <c r="L345">
        <f>_xll.IMDP("STK",표.실시간[[#This Row],[nxt_code]],"등락률")</f>
        <v>-3.48</v>
      </c>
      <c r="M345" s="2">
        <f>_xll.IMDP("STK",표.실시간[[#This Row],[nxt_code]],"누적거래량")</f>
        <v>150267</v>
      </c>
      <c r="N345" s="2">
        <f>_xll.IMDP("STK",표.실시간[[#This Row],[nxt_code]],"누적거래대금")/10^8</f>
        <v>49.549734000000001</v>
      </c>
      <c r="O345" s="2">
        <f>_xll.IMDP("STK",표.실시간[[#This Row],[nxt_code]],"가중평균가")</f>
        <v>32974.461458999998</v>
      </c>
      <c r="P345" s="2">
        <f>_xll.IMDP("STK",표.실시간[[#This Row],[nxt_code]],"시가")</f>
        <v>34450</v>
      </c>
      <c r="Q345" s="2">
        <f>_xll.IMDP("STK",표.실시간[[#This Row],[nxt_code]],"고가")</f>
        <v>34800</v>
      </c>
      <c r="R345" s="2">
        <f>_xll.IMDP("STK",표.실시간[[#This Row],[nxt_code]],"저가")</f>
        <v>32500</v>
      </c>
      <c r="S345">
        <f>_xll.IMDP("STK",표.실시간[[#This Row],[nxt_code]],"세션명")</f>
        <v>0</v>
      </c>
      <c r="T345">
        <f>_xll.IMDP("STK",표.실시간[[#This Row],[nxt_code]],"체결시간")</f>
        <v>0</v>
      </c>
      <c r="U345" s="2">
        <f>_xll.IMDP("STK","003160","현재가")</f>
        <v>33450</v>
      </c>
      <c r="V345">
        <f>_xll.IMDP("STK","003160","누적거래량")</f>
        <v>86776</v>
      </c>
    </row>
    <row r="346" spans="2:22" x14ac:dyDescent="0.3">
      <c r="B346">
        <v>338</v>
      </c>
      <c r="C346">
        <v>0</v>
      </c>
      <c r="D346">
        <f>IF(IFERROR(INDEX(표.kospi200[code],MATCH(표.실시간[[#This Row],[코드]],표.kospi200[code],0)),0)=0,0,1)</f>
        <v>0</v>
      </c>
      <c r="E346" t="s">
        <v>351</v>
      </c>
      <c r="F346">
        <v>131290</v>
      </c>
      <c r="G346" t="str">
        <f>ConvertStockCode(표.실시간[[#This Row],[코드]])</f>
        <v>N131290</v>
      </c>
      <c r="H346" s="2">
        <f>_xll.IMDP("STK",표.실시간[[#This Row],[nxt_code]],"현재가")</f>
        <v>79500</v>
      </c>
      <c r="I346" s="2">
        <f>_xll.IMDP("STK",표.실시간[[#This Row],[nxt_code]],"시가총액")/10^12</f>
        <v>0.87938360550000005</v>
      </c>
      <c r="J346" s="2">
        <f>표.실시간[[#This Row],[시가총액 (조원)]]/표.실시간[[#This Row],[현재가]]*(표.실시간[[#This Row],[현재가]]-표.실시간[[#This Row],[대비]])</f>
        <v>0.8661098907</v>
      </c>
      <c r="K346" s="3">
        <f>_xll.IMDP("STK",표.실시간[[#This Row],[nxt_code]],"전일대비")</f>
        <v>1200</v>
      </c>
      <c r="L346">
        <f>_xll.IMDP("STK",표.실시간[[#This Row],[nxt_code]],"등락률")</f>
        <v>1.53</v>
      </c>
      <c r="M346" s="2">
        <f>_xll.IMDP("STK",표.실시간[[#This Row],[nxt_code]],"누적거래량")</f>
        <v>23646</v>
      </c>
      <c r="N346" s="2">
        <f>_xll.IMDP("STK",표.실시간[[#This Row],[nxt_code]],"누적거래대금")/10^8</f>
        <v>18.348144000000001</v>
      </c>
      <c r="O346" s="2">
        <f>_xll.IMDP("STK",표.실시간[[#This Row],[nxt_code]],"가중평균가")</f>
        <v>77595.128140000001</v>
      </c>
      <c r="P346" s="2">
        <f>_xll.IMDP("STK",표.실시간[[#This Row],[nxt_code]],"시가")</f>
        <v>77700</v>
      </c>
      <c r="Q346" s="2">
        <f>_xll.IMDP("STK",표.실시간[[#This Row],[nxt_code]],"고가")</f>
        <v>79600</v>
      </c>
      <c r="R346" s="2">
        <f>_xll.IMDP("STK",표.실시간[[#This Row],[nxt_code]],"저가")</f>
        <v>75700</v>
      </c>
      <c r="S346">
        <f>_xll.IMDP("STK",표.실시간[[#This Row],[nxt_code]],"세션명")</f>
        <v>0</v>
      </c>
      <c r="T346">
        <f>_xll.IMDP("STK",표.실시간[[#This Row],[nxt_code]],"체결시간")</f>
        <v>0</v>
      </c>
      <c r="U346" s="2">
        <f>_xll.IMDP("STK","131290","현재가")</f>
        <v>80000</v>
      </c>
      <c r="V346">
        <f>_xll.IMDP("STK","131290","누적거래량")</f>
        <v>11864</v>
      </c>
    </row>
    <row r="347" spans="2:22" x14ac:dyDescent="0.3">
      <c r="B347">
        <v>339</v>
      </c>
      <c r="C347">
        <v>0</v>
      </c>
      <c r="D347">
        <f>IF(IFERROR(INDEX(표.kospi200[code],MATCH(표.실시간[[#This Row],[코드]],표.kospi200[code],0)),0)=0,0,1)</f>
        <v>0</v>
      </c>
      <c r="E347" t="s">
        <v>352</v>
      </c>
      <c r="F347">
        <v>33500</v>
      </c>
      <c r="G347" t="str">
        <f>ConvertStockCode(표.실시간[[#This Row],[코드]])</f>
        <v>N033500</v>
      </c>
      <c r="H347" s="2">
        <f>_xll.IMDP("STK",표.실시간[[#This Row],[nxt_code]],"현재가")</f>
        <v>27500</v>
      </c>
      <c r="I347" s="2">
        <f>_xll.IMDP("STK",표.실시간[[#This Row],[nxt_code]],"시가총액")/10^12</f>
        <v>0.82321161030000001</v>
      </c>
      <c r="J347" s="2">
        <f>표.실시간[[#This Row],[시가총액 (조원)]]/표.실시간[[#This Row],[현재가]]*(표.실시간[[#This Row],[현재가]]-표.실시간[[#This Row],[대비]])</f>
        <v>0.85015308118254551</v>
      </c>
      <c r="K347" s="3">
        <f>_xll.IMDP("STK",표.실시간[[#This Row],[nxt_code]],"전일대비")</f>
        <v>-900</v>
      </c>
      <c r="L347">
        <f>_xll.IMDP("STK",표.실시간[[#This Row],[nxt_code]],"등락률")</f>
        <v>-3.17</v>
      </c>
      <c r="M347" s="2">
        <f>_xll.IMDP("STK",표.실시간[[#This Row],[nxt_code]],"누적거래량")</f>
        <v>31761</v>
      </c>
      <c r="N347" s="2">
        <f>_xll.IMDP("STK",표.실시간[[#This Row],[nxt_code]],"누적거래대금")/10^8</f>
        <v>8.7810009999999998</v>
      </c>
      <c r="O347" s="2">
        <f>_xll.IMDP("STK",표.실시간[[#This Row],[nxt_code]],"가중평균가")</f>
        <v>27647.117534000001</v>
      </c>
      <c r="P347" s="2">
        <f>_xll.IMDP("STK",표.실시간[[#This Row],[nxt_code]],"시가")</f>
        <v>28150</v>
      </c>
      <c r="Q347" s="2">
        <f>_xll.IMDP("STK",표.실시간[[#This Row],[nxt_code]],"고가")</f>
        <v>28350</v>
      </c>
      <c r="R347" s="2">
        <f>_xll.IMDP("STK",표.실시간[[#This Row],[nxt_code]],"저가")</f>
        <v>27050</v>
      </c>
      <c r="S347">
        <f>_xll.IMDP("STK",표.실시간[[#This Row],[nxt_code]],"세션명")</f>
        <v>0</v>
      </c>
      <c r="T347">
        <f>_xll.IMDP("STK",표.실시간[[#This Row],[nxt_code]],"체결시간")</f>
        <v>0</v>
      </c>
      <c r="U347" s="2">
        <f>_xll.IMDP("STK","033500","현재가")</f>
        <v>27450</v>
      </c>
      <c r="V347">
        <f>_xll.IMDP("STK","033500","누적거래량")</f>
        <v>25081</v>
      </c>
    </row>
    <row r="348" spans="2:22" x14ac:dyDescent="0.3">
      <c r="B348">
        <v>340</v>
      </c>
      <c r="C348">
        <v>1</v>
      </c>
      <c r="D348">
        <f>IF(IFERROR(INDEX(표.kospi200[code],MATCH(표.실시간[[#This Row],[코드]],표.kospi200[code],0)),0)=0,0,1)</f>
        <v>0</v>
      </c>
      <c r="E348" t="s">
        <v>353</v>
      </c>
      <c r="F348">
        <v>108320</v>
      </c>
      <c r="G348" t="str">
        <f>ConvertStockCode(표.실시간[[#This Row],[코드]])</f>
        <v>N108320</v>
      </c>
      <c r="H348" s="2">
        <f>_xll.IMDP("STK",표.실시간[[#This Row],[nxt_code]],"현재가")</f>
        <v>54500</v>
      </c>
      <c r="I348" s="2">
        <f>_xll.IMDP("STK",표.실시간[[#This Row],[nxt_code]],"시가총액")/10^12</f>
        <v>0.88640434999999995</v>
      </c>
      <c r="J348" s="2">
        <f>표.실시간[[#This Row],[시가총액 (조원)]]/표.실시간[[#This Row],[현재가]]*(표.실시간[[#This Row],[현재가]]-표.실시간[[#This Row],[대비]])</f>
        <v>0.89291007</v>
      </c>
      <c r="K348" s="3">
        <f>_xll.IMDP("STK",표.실시간[[#This Row],[nxt_code]],"전일대비")</f>
        <v>-400</v>
      </c>
      <c r="L348">
        <f>_xll.IMDP("STK",표.실시간[[#This Row],[nxt_code]],"등락률")</f>
        <v>-0.37</v>
      </c>
      <c r="M348" s="2">
        <f>_xll.IMDP("STK",표.실시간[[#This Row],[nxt_code]],"누적거래량")</f>
        <v>12279</v>
      </c>
      <c r="N348" s="2">
        <f>_xll.IMDP("STK",표.실시간[[#This Row],[nxt_code]],"누적거래대금")/10^8</f>
        <v>6.6875619999999998</v>
      </c>
      <c r="O348" s="2">
        <f>_xll.IMDP("STK",표.실시간[[#This Row],[nxt_code]],"가중평균가")</f>
        <v>53806.114732000002</v>
      </c>
      <c r="P348" s="2">
        <f>_xll.IMDP("STK",표.실시간[[#This Row],[nxt_code]],"시가")</f>
        <v>54700</v>
      </c>
      <c r="Q348" s="2">
        <f>_xll.IMDP("STK",표.실시간[[#This Row],[nxt_code]],"고가")</f>
        <v>54700</v>
      </c>
      <c r="R348" s="2">
        <f>_xll.IMDP("STK",표.실시간[[#This Row],[nxt_code]],"저가")</f>
        <v>53400</v>
      </c>
      <c r="S348">
        <f>_xll.IMDP("STK",표.실시간[[#This Row],[nxt_code]],"세션명")</f>
        <v>0</v>
      </c>
      <c r="T348">
        <f>_xll.IMDP("STK",표.실시간[[#This Row],[nxt_code]],"체결시간")</f>
        <v>0</v>
      </c>
      <c r="U348" s="2">
        <f>_xll.IMDP("STK","108320","현재가")</f>
        <v>54600</v>
      </c>
      <c r="V348">
        <f>_xll.IMDP("STK","108320","누적거래량")</f>
        <v>11703</v>
      </c>
    </row>
    <row r="349" spans="2:22" x14ac:dyDescent="0.3">
      <c r="B349">
        <v>341</v>
      </c>
      <c r="C349">
        <v>0</v>
      </c>
      <c r="D349">
        <f>IF(IFERROR(INDEX(표.kospi200[code],MATCH(표.실시간[[#This Row],[코드]],표.kospi200[code],0)),0)=0,0,1)</f>
        <v>0</v>
      </c>
      <c r="E349" t="s">
        <v>354</v>
      </c>
      <c r="F349">
        <v>60280</v>
      </c>
      <c r="G349" t="str">
        <f>ConvertStockCode(표.실시간[[#This Row],[코드]])</f>
        <v>N060280</v>
      </c>
      <c r="H349" s="2">
        <f>_xll.IMDP("STK",표.실시간[[#This Row],[nxt_code]],"현재가")</f>
        <v>21550</v>
      </c>
      <c r="I349" s="2">
        <f>_xll.IMDP("STK",표.실시간[[#This Row],[nxt_code]],"시가총액")/10^12</f>
        <v>0.88548928449999997</v>
      </c>
      <c r="J349" s="2">
        <f>표.실시간[[#This Row],[시가총액 (조원)]]/표.실시간[[#This Row],[현재가]]*(표.실시간[[#This Row],[현재가]]-표.실시간[[#This Row],[대비]])</f>
        <v>0.81481450170000003</v>
      </c>
      <c r="K349" s="3">
        <f>_xll.IMDP("STK",표.실시간[[#This Row],[nxt_code]],"전일대비")</f>
        <v>1720</v>
      </c>
      <c r="L349">
        <f>_xll.IMDP("STK",표.실시간[[#This Row],[nxt_code]],"등락률")</f>
        <v>8.67</v>
      </c>
      <c r="M349" s="2">
        <f>_xll.IMDP("STK",표.실시간[[#This Row],[nxt_code]],"누적거래량")</f>
        <v>3154914</v>
      </c>
      <c r="N349" s="2">
        <f>_xll.IMDP("STK",표.실시간[[#This Row],[nxt_code]],"누적거래대금")/10^8</f>
        <v>663.42810014999998</v>
      </c>
      <c r="O349" s="2">
        <f>_xll.IMDP("STK",표.실시간[[#This Row],[nxt_code]],"가중평균가")</f>
        <v>21028.231919999998</v>
      </c>
      <c r="P349" s="2">
        <f>_xll.IMDP("STK",표.실시간[[#This Row],[nxt_code]],"시가")</f>
        <v>19830</v>
      </c>
      <c r="Q349" s="2">
        <f>_xll.IMDP("STK",표.실시간[[#This Row],[nxt_code]],"고가")</f>
        <v>21900</v>
      </c>
      <c r="R349" s="2">
        <f>_xll.IMDP("STK",표.실시간[[#This Row],[nxt_code]],"저가")</f>
        <v>19510</v>
      </c>
      <c r="S349">
        <f>_xll.IMDP("STK",표.실시간[[#This Row],[nxt_code]],"세션명")</f>
        <v>0</v>
      </c>
      <c r="T349">
        <f>_xll.IMDP("STK",표.실시간[[#This Row],[nxt_code]],"체결시간")</f>
        <v>0</v>
      </c>
      <c r="U349" s="2">
        <f>_xll.IMDP("STK","060280","현재가")</f>
        <v>21500</v>
      </c>
      <c r="V349">
        <f>_xll.IMDP("STK","060280","누적거래량")</f>
        <v>856088</v>
      </c>
    </row>
    <row r="350" spans="2:22" x14ac:dyDescent="0.3">
      <c r="B350">
        <v>342</v>
      </c>
      <c r="C350">
        <v>1</v>
      </c>
      <c r="D350">
        <f>IF(IFERROR(INDEX(표.kospi200[code],MATCH(표.실시간[[#This Row],[코드]],표.kospi200[code],0)),0)=0,0,1)</f>
        <v>0</v>
      </c>
      <c r="E350" t="s">
        <v>355</v>
      </c>
      <c r="F350">
        <v>100840</v>
      </c>
      <c r="G350" t="str">
        <f>ConvertStockCode(표.실시간[[#This Row],[코드]])</f>
        <v>N100840</v>
      </c>
      <c r="H350" s="2">
        <f>_xll.IMDP("STK",표.실시간[[#This Row],[nxt_code]],"현재가")</f>
        <v>42000</v>
      </c>
      <c r="I350" s="2">
        <f>_xll.IMDP("STK",표.실시간[[#This Row],[nxt_code]],"시가총액")/10^12</f>
        <v>0.86859288599999995</v>
      </c>
      <c r="J350" s="2">
        <f>표.실시간[[#This Row],[시가총액 (조원)]]/표.실시간[[#This Row],[현재가]]*(표.실시간[[#This Row],[현재가]]-표.실시간[[#This Row],[대비]])</f>
        <v>0.87169500345000006</v>
      </c>
      <c r="K350" s="3">
        <f>_xll.IMDP("STK",표.실시간[[#This Row],[nxt_code]],"전일대비")</f>
        <v>-150</v>
      </c>
      <c r="L350">
        <f>_xll.IMDP("STK",표.실시간[[#This Row],[nxt_code]],"등락률")</f>
        <v>-0.36</v>
      </c>
      <c r="M350" s="2">
        <f>_xll.IMDP("STK",표.실시간[[#This Row],[nxt_code]],"누적거래량")</f>
        <v>60706</v>
      </c>
      <c r="N350" s="2">
        <f>_xll.IMDP("STK",표.실시간[[#This Row],[nxt_code]],"누적거래대금")/10^8</f>
        <v>25.058357999999998</v>
      </c>
      <c r="O350" s="2">
        <f>_xll.IMDP("STK",표.실시간[[#This Row],[nxt_code]],"가중평균가")</f>
        <v>41278.222909999997</v>
      </c>
      <c r="P350" s="2">
        <f>_xll.IMDP("STK",표.실시간[[#This Row],[nxt_code]],"시가")</f>
        <v>42150</v>
      </c>
      <c r="Q350" s="2">
        <f>_xll.IMDP("STK",표.실시간[[#This Row],[nxt_code]],"고가")</f>
        <v>42150</v>
      </c>
      <c r="R350" s="2">
        <f>_xll.IMDP("STK",표.실시간[[#This Row],[nxt_code]],"저가")</f>
        <v>40550</v>
      </c>
      <c r="S350">
        <f>_xll.IMDP("STK",표.실시간[[#This Row],[nxt_code]],"세션명")</f>
        <v>0</v>
      </c>
      <c r="T350">
        <f>_xll.IMDP("STK",표.실시간[[#This Row],[nxt_code]],"체결시간")</f>
        <v>0</v>
      </c>
      <c r="U350" s="2">
        <f>_xll.IMDP("STK","100840","현재가")</f>
        <v>42100</v>
      </c>
      <c r="V350">
        <f>_xll.IMDP("STK","100840","누적거래량")</f>
        <v>22175</v>
      </c>
    </row>
    <row r="351" spans="2:22" x14ac:dyDescent="0.3">
      <c r="B351">
        <v>343</v>
      </c>
      <c r="C351">
        <v>1</v>
      </c>
      <c r="D351">
        <f>IF(IFERROR(INDEX(표.kospi200[code],MATCH(표.실시간[[#This Row],[코드]],표.kospi200[code],0)),0)=0,0,1)</f>
        <v>0</v>
      </c>
      <c r="E351" t="s">
        <v>356</v>
      </c>
      <c r="F351">
        <v>9450</v>
      </c>
      <c r="G351" t="str">
        <f>ConvertStockCode(표.실시간[[#This Row],[코드]])</f>
        <v>N009450</v>
      </c>
      <c r="H351" s="2">
        <f>_xll.IMDP("STK",표.실시간[[#This Row],[nxt_code]],"현재가")</f>
        <v>57100</v>
      </c>
      <c r="I351" s="2">
        <f>_xll.IMDP("STK",표.실시간[[#This Row],[nxt_code]],"시가총액")/10^12</f>
        <v>0.83186660320000005</v>
      </c>
      <c r="J351" s="2">
        <f>표.실시간[[#This Row],[시가총액 (조원)]]/표.실시간[[#This Row],[현재가]]*(표.실시간[[#This Row],[현재가]]-표.실시간[[#This Row],[대비]])</f>
        <v>0.84206461760000006</v>
      </c>
      <c r="K351" s="3">
        <f>_xll.IMDP("STK",표.실시간[[#This Row],[nxt_code]],"전일대비")</f>
        <v>-700</v>
      </c>
      <c r="L351">
        <f>_xll.IMDP("STK",표.실시간[[#This Row],[nxt_code]],"등락률")</f>
        <v>-1.21</v>
      </c>
      <c r="M351" s="2">
        <f>_xll.IMDP("STK",표.실시간[[#This Row],[nxt_code]],"누적거래량")</f>
        <v>3248</v>
      </c>
      <c r="N351" s="2">
        <f>_xll.IMDP("STK",표.실시간[[#This Row],[nxt_code]],"누적거래대금")/10^8</f>
        <v>1.8685430000000001</v>
      </c>
      <c r="O351" s="2">
        <f>_xll.IMDP("STK",표.실시간[[#This Row],[nxt_code]],"가중평균가")</f>
        <v>57529.033251000001</v>
      </c>
      <c r="P351" s="2">
        <f>_xll.IMDP("STK",표.실시간[[#This Row],[nxt_code]],"시가")</f>
        <v>57800</v>
      </c>
      <c r="Q351" s="2">
        <f>_xll.IMDP("STK",표.실시간[[#This Row],[nxt_code]],"고가")</f>
        <v>58200</v>
      </c>
      <c r="R351" s="2">
        <f>_xll.IMDP("STK",표.실시간[[#This Row],[nxt_code]],"저가")</f>
        <v>57000</v>
      </c>
      <c r="S351">
        <f>_xll.IMDP("STK",표.실시간[[#This Row],[nxt_code]],"세션명")</f>
        <v>0</v>
      </c>
      <c r="T351">
        <f>_xll.IMDP("STK",표.실시간[[#This Row],[nxt_code]],"체결시간")</f>
        <v>0</v>
      </c>
      <c r="U351" s="2">
        <f>_xll.IMDP("STK","009450","현재가")</f>
        <v>57200</v>
      </c>
      <c r="V351">
        <f>_xll.IMDP("STK","009450","누적거래량")</f>
        <v>2728</v>
      </c>
    </row>
    <row r="352" spans="2:22" x14ac:dyDescent="0.3">
      <c r="B352">
        <v>344</v>
      </c>
      <c r="C352">
        <v>0</v>
      </c>
      <c r="D352">
        <f>IF(IFERROR(INDEX(표.kospi200[code],MATCH(표.실시간[[#This Row],[코드]],표.kospi200[code],0)),0)=0,0,1)</f>
        <v>0</v>
      </c>
      <c r="E352" t="s">
        <v>357</v>
      </c>
      <c r="F352">
        <v>36830</v>
      </c>
      <c r="G352" t="str">
        <f>ConvertStockCode(표.실시간[[#This Row],[코드]])</f>
        <v>N036830</v>
      </c>
      <c r="H352" s="2">
        <f>_xll.IMDP("STK",표.실시간[[#This Row],[nxt_code]],"현재가")</f>
        <v>55700</v>
      </c>
      <c r="I352" s="2">
        <f>_xll.IMDP("STK",표.실시간[[#This Row],[nxt_code]],"시가총액")/10^12</f>
        <v>1.1676979192000001</v>
      </c>
      <c r="J352" s="2">
        <f>표.실시간[[#This Row],[시가총액 (조원)]]/표.실시간[[#This Row],[현재가]]*(표.실시간[[#This Row],[현재가]]-표.실시간[[#This Row],[대비]])</f>
        <v>1.2305900872</v>
      </c>
      <c r="K352" s="3">
        <f>_xll.IMDP("STK",표.실시간[[#This Row],[nxt_code]],"전일대비")</f>
        <v>-3000</v>
      </c>
      <c r="L352">
        <f>_xll.IMDP("STK",표.실시간[[#This Row],[nxt_code]],"등락률")</f>
        <v>-5.43</v>
      </c>
      <c r="M352" s="2">
        <f>_xll.IMDP("STK",표.실시간[[#This Row],[nxt_code]],"누적거래량")</f>
        <v>24764</v>
      </c>
      <c r="N352" s="2">
        <f>_xll.IMDP("STK",표.실시간[[#This Row],[nxt_code]],"누적거래대금")/10^8</f>
        <v>14.085801</v>
      </c>
      <c r="O352" s="2">
        <f>_xll.IMDP("STK",표.실시간[[#This Row],[nxt_code]],"가중평균가")</f>
        <v>56669.621016999998</v>
      </c>
      <c r="P352" s="2">
        <f>_xll.IMDP("STK",표.실시간[[#This Row],[nxt_code]],"시가")</f>
        <v>57600</v>
      </c>
      <c r="Q352" s="2">
        <f>_xll.IMDP("STK",표.실시간[[#This Row],[nxt_code]],"고가")</f>
        <v>57900</v>
      </c>
      <c r="R352" s="2">
        <f>_xll.IMDP("STK",표.실시간[[#This Row],[nxt_code]],"저가")</f>
        <v>55400</v>
      </c>
      <c r="S352">
        <f>_xll.IMDP("STK",표.실시간[[#This Row],[nxt_code]],"세션명")</f>
        <v>0</v>
      </c>
      <c r="T352">
        <f>_xll.IMDP("STK",표.실시간[[#This Row],[nxt_code]],"체결시간")</f>
        <v>0</v>
      </c>
      <c r="U352" s="2">
        <f>_xll.IMDP("STK","036830","현재가")</f>
        <v>55600</v>
      </c>
      <c r="V352">
        <f>_xll.IMDP("STK","036830","누적거래량")</f>
        <v>13640</v>
      </c>
    </row>
    <row r="353" spans="2:22" x14ac:dyDescent="0.3">
      <c r="B353">
        <v>345</v>
      </c>
      <c r="C353">
        <v>1</v>
      </c>
      <c r="D353">
        <f>IF(IFERROR(INDEX(표.kospi200[code],MATCH(표.실시간[[#This Row],[코드]],표.kospi200[code],0)),0)=0,0,1)</f>
        <v>0</v>
      </c>
      <c r="E353" t="s">
        <v>358</v>
      </c>
      <c r="F353">
        <v>281820</v>
      </c>
      <c r="G353" t="str">
        <f>ConvertStockCode(표.실시간[[#This Row],[코드]])</f>
        <v>N281820</v>
      </c>
      <c r="H353" s="2">
        <f>_xll.IMDP("STK",표.실시간[[#This Row],[nxt_code]],"현재가")</f>
        <v>45950</v>
      </c>
      <c r="I353" s="2">
        <f>_xll.IMDP("STK",표.실시간[[#This Row],[nxt_code]],"시가총액")/10^12</f>
        <v>0.95072034184999998</v>
      </c>
      <c r="J353" s="2">
        <f>표.실시간[[#This Row],[시가총액 (조원)]]/표.실시간[[#This Row],[현재가]]*(표.실시간[[#This Row],[현재가]]-표.실시간[[#This Row],[대비]])</f>
        <v>0.97761776175000004</v>
      </c>
      <c r="K353" s="3">
        <f>_xll.IMDP("STK",표.실시간[[#This Row],[nxt_code]],"전일대비")</f>
        <v>-1300</v>
      </c>
      <c r="L353">
        <f>_xll.IMDP("STK",표.실시간[[#This Row],[nxt_code]],"등락률")</f>
        <v>-2.75</v>
      </c>
      <c r="M353" s="2">
        <f>_xll.IMDP("STK",표.실시간[[#This Row],[nxt_code]],"누적거래량")</f>
        <v>45911</v>
      </c>
      <c r="N353" s="2">
        <f>_xll.IMDP("STK",표.실시간[[#This Row],[nxt_code]],"누적거래대금")/10^8</f>
        <v>21.033326500000001</v>
      </c>
      <c r="O353" s="2">
        <f>_xll.IMDP("STK",표.실시간[[#This Row],[nxt_code]],"가중평균가")</f>
        <v>45813.261528000003</v>
      </c>
      <c r="P353" s="2">
        <f>_xll.IMDP("STK",표.실시간[[#This Row],[nxt_code]],"시가")</f>
        <v>46800</v>
      </c>
      <c r="Q353" s="2">
        <f>_xll.IMDP("STK",표.실시간[[#This Row],[nxt_code]],"고가")</f>
        <v>47250</v>
      </c>
      <c r="R353" s="2">
        <f>_xll.IMDP("STK",표.실시간[[#This Row],[nxt_code]],"저가")</f>
        <v>44850</v>
      </c>
      <c r="S353">
        <f>_xll.IMDP("STK",표.실시간[[#This Row],[nxt_code]],"세션명")</f>
        <v>0</v>
      </c>
      <c r="T353">
        <f>_xll.IMDP("STK",표.실시간[[#This Row],[nxt_code]],"체결시간")</f>
        <v>0</v>
      </c>
      <c r="U353" s="2">
        <f>_xll.IMDP("STK","281820","현재가")</f>
        <v>45900</v>
      </c>
      <c r="V353">
        <f>_xll.IMDP("STK","281820","누적거래량")</f>
        <v>19413</v>
      </c>
    </row>
    <row r="354" spans="2:22" x14ac:dyDescent="0.3">
      <c r="B354">
        <v>346</v>
      </c>
      <c r="C354">
        <v>1</v>
      </c>
      <c r="D354">
        <f>IF(IFERROR(INDEX(표.kospi200[code],MATCH(표.실시간[[#This Row],[코드]],표.kospi200[code],0)),0)=0,0,1)</f>
        <v>1</v>
      </c>
      <c r="E354" t="s">
        <v>359</v>
      </c>
      <c r="F354">
        <v>114090</v>
      </c>
      <c r="G354" t="str">
        <f>ConvertStockCode(표.실시간[[#This Row],[코드]])</f>
        <v>N114090</v>
      </c>
      <c r="H354" s="2">
        <f>_xll.IMDP("STK",표.실시간[[#This Row],[nxt_code]],"현재가")</f>
        <v>12810</v>
      </c>
      <c r="I354" s="2">
        <f>_xll.IMDP("STK",표.실시간[[#This Row],[nxt_code]],"시가총액")/10^12</f>
        <v>0.79237113270000004</v>
      </c>
      <c r="J354" s="2">
        <f>표.실시간[[#This Row],[시가총액 (조원)]]/표.실시간[[#This Row],[현재가]]*(표.실시간[[#This Row],[현재가]]-표.실시간[[#This Row],[대비]])</f>
        <v>0.79484535950000001</v>
      </c>
      <c r="K354" s="3">
        <f>_xll.IMDP("STK",표.실시간[[#This Row],[nxt_code]],"전일대비")</f>
        <v>-40</v>
      </c>
      <c r="L354">
        <f>_xll.IMDP("STK",표.실시간[[#This Row],[nxt_code]],"등락률")</f>
        <v>-0.31</v>
      </c>
      <c r="M354" s="2">
        <f>_xll.IMDP("STK",표.실시간[[#This Row],[nxt_code]],"누적거래량")</f>
        <v>14226</v>
      </c>
      <c r="N354" s="2">
        <f>_xll.IMDP("STK",표.실시간[[#This Row],[nxt_code]],"누적거래대금")/10^8</f>
        <v>1.8338897999999999</v>
      </c>
      <c r="O354" s="2">
        <f>_xll.IMDP("STK",표.실시간[[#This Row],[nxt_code]],"가중평균가")</f>
        <v>12891.113454</v>
      </c>
      <c r="P354" s="2">
        <f>_xll.IMDP("STK",표.실시간[[#This Row],[nxt_code]],"시가")</f>
        <v>12850</v>
      </c>
      <c r="Q354" s="2">
        <f>_xll.IMDP("STK",표.실시간[[#This Row],[nxt_code]],"고가")</f>
        <v>12950</v>
      </c>
      <c r="R354" s="2">
        <f>_xll.IMDP("STK",표.실시간[[#This Row],[nxt_code]],"저가")</f>
        <v>12800</v>
      </c>
      <c r="S354">
        <f>_xll.IMDP("STK",표.실시간[[#This Row],[nxt_code]],"세션명")</f>
        <v>0</v>
      </c>
      <c r="T354">
        <f>_xll.IMDP("STK",표.실시간[[#This Row],[nxt_code]],"체결시간")</f>
        <v>0</v>
      </c>
      <c r="U354" s="2">
        <f>_xll.IMDP("STK","114090","현재가")</f>
        <v>12870</v>
      </c>
      <c r="V354">
        <f>_xll.IMDP("STK","114090","누적거래량")</f>
        <v>14599</v>
      </c>
    </row>
    <row r="355" spans="2:22" x14ac:dyDescent="0.3">
      <c r="B355">
        <v>347</v>
      </c>
      <c r="C355">
        <v>1</v>
      </c>
      <c r="D355">
        <f>IF(IFERROR(INDEX(표.kospi200[code],MATCH(표.실시간[[#This Row],[코드]],표.kospi200[code],0)),0)=0,0,1)</f>
        <v>0</v>
      </c>
      <c r="E355" t="s">
        <v>360</v>
      </c>
      <c r="F355">
        <v>25540</v>
      </c>
      <c r="G355" t="str">
        <f>ConvertStockCode(표.실시간[[#This Row],[코드]])</f>
        <v>N025540</v>
      </c>
      <c r="H355" s="2">
        <f>_xll.IMDP("STK",표.실시간[[#This Row],[nxt_code]],"현재가")</f>
        <v>73800</v>
      </c>
      <c r="I355" s="2">
        <f>_xll.IMDP("STK",표.실시간[[#This Row],[nxt_code]],"시가총액")/10^12</f>
        <v>0.74648700000000001</v>
      </c>
      <c r="J355" s="2">
        <f>표.실시간[[#This Row],[시가총액 (조원)]]/표.실시간[[#This Row],[현재가]]*(표.실시간[[#This Row],[현재가]]-표.실시간[[#This Row],[대비]])</f>
        <v>0.756602</v>
      </c>
      <c r="K355" s="3">
        <f>_xll.IMDP("STK",표.실시간[[#This Row],[nxt_code]],"전일대비")</f>
        <v>-1000</v>
      </c>
      <c r="L355">
        <f>_xll.IMDP("STK",표.실시간[[#This Row],[nxt_code]],"등락률")</f>
        <v>-1.34</v>
      </c>
      <c r="M355" s="2">
        <f>_xll.IMDP("STK",표.실시간[[#This Row],[nxt_code]],"누적거래량")</f>
        <v>6161</v>
      </c>
      <c r="N355" s="2">
        <f>_xll.IMDP("STK",표.실시간[[#This Row],[nxt_code]],"누적거래대금")/10^8</f>
        <v>4.5057</v>
      </c>
      <c r="O355" s="2">
        <f>_xll.IMDP("STK",표.실시간[[#This Row],[nxt_code]],"가중평균가")</f>
        <v>73132.608343</v>
      </c>
      <c r="P355" s="2">
        <f>_xll.IMDP("STK",표.실시간[[#This Row],[nxt_code]],"시가")</f>
        <v>74200</v>
      </c>
      <c r="Q355" s="2">
        <f>_xll.IMDP("STK",표.실시간[[#This Row],[nxt_code]],"고가")</f>
        <v>74200</v>
      </c>
      <c r="R355" s="2">
        <f>_xll.IMDP("STK",표.실시간[[#This Row],[nxt_code]],"저가")</f>
        <v>72500</v>
      </c>
      <c r="S355">
        <f>_xll.IMDP("STK",표.실시간[[#This Row],[nxt_code]],"세션명")</f>
        <v>0</v>
      </c>
      <c r="T355">
        <f>_xll.IMDP("STK",표.실시간[[#This Row],[nxt_code]],"체결시간")</f>
        <v>0</v>
      </c>
      <c r="U355" s="2">
        <f>_xll.IMDP("STK","025540","현재가")</f>
        <v>73700</v>
      </c>
      <c r="V355">
        <f>_xll.IMDP("STK","025540","누적거래량")</f>
        <v>3759</v>
      </c>
    </row>
    <row r="356" spans="2:22" x14ac:dyDescent="0.3">
      <c r="B356">
        <v>348</v>
      </c>
      <c r="C356">
        <v>0</v>
      </c>
      <c r="D356">
        <f>IF(IFERROR(INDEX(표.kospi200[code],MATCH(표.실시간[[#This Row],[코드]],표.kospi200[code],0)),0)=0,0,1)</f>
        <v>0</v>
      </c>
      <c r="E356" t="s">
        <v>361</v>
      </c>
      <c r="F356">
        <v>424870</v>
      </c>
      <c r="G356" t="str">
        <f>ConvertStockCode(표.실시간[[#This Row],[코드]])</f>
        <v>N424870</v>
      </c>
      <c r="H356" s="2">
        <f>_xll.IMDP("STK",표.실시간[[#This Row],[nxt_code]],"현재가")</f>
        <v>10750</v>
      </c>
      <c r="I356" s="2">
        <f>_xll.IMDP("STK",표.실시간[[#This Row],[nxt_code]],"시가총액")/10^12</f>
        <v>0.79727449174999998</v>
      </c>
      <c r="J356" s="2">
        <f>표.실시간[[#This Row],[시가총액 (조원)]]/표.실시간[[#This Row],[현재가]]*(표.실시간[[#This Row],[현재가]]-표.실시간[[#This Row],[대비]])</f>
        <v>0.80617430003000001</v>
      </c>
      <c r="K356" s="3">
        <f>_xll.IMDP("STK",표.실시간[[#This Row],[nxt_code]],"전일대비")</f>
        <v>-120</v>
      </c>
      <c r="L356">
        <f>_xll.IMDP("STK",표.실시간[[#This Row],[nxt_code]],"등락률")</f>
        <v>-1.1000000000000001</v>
      </c>
      <c r="M356" s="2">
        <f>_xll.IMDP("STK",표.실시간[[#This Row],[nxt_code]],"누적거래량")</f>
        <v>156601</v>
      </c>
      <c r="N356" s="2">
        <f>_xll.IMDP("STK",표.실시간[[#This Row],[nxt_code]],"누적거래대금")/10^8</f>
        <v>16.595809500000001</v>
      </c>
      <c r="O356" s="2">
        <f>_xll.IMDP("STK",표.실시간[[#This Row],[nxt_code]],"가중평균가")</f>
        <v>10597.511828999999</v>
      </c>
      <c r="P356" s="2">
        <f>_xll.IMDP("STK",표.실시간[[#This Row],[nxt_code]],"시가")</f>
        <v>10870</v>
      </c>
      <c r="Q356" s="2">
        <f>_xll.IMDP("STK",표.실시간[[#This Row],[nxt_code]],"고가")</f>
        <v>10870</v>
      </c>
      <c r="R356" s="2">
        <f>_xll.IMDP("STK",표.실시간[[#This Row],[nxt_code]],"저가")</f>
        <v>10500</v>
      </c>
      <c r="S356">
        <f>_xll.IMDP("STK",표.실시간[[#This Row],[nxt_code]],"세션명")</f>
        <v>0</v>
      </c>
      <c r="T356">
        <f>_xll.IMDP("STK",표.실시간[[#This Row],[nxt_code]],"체결시간")</f>
        <v>0</v>
      </c>
      <c r="U356" s="2">
        <f>_xll.IMDP("STK","424870","현재가")</f>
        <v>10760</v>
      </c>
      <c r="V356">
        <f>_xll.IMDP("STK","424870","누적거래량")</f>
        <v>56200</v>
      </c>
    </row>
    <row r="357" spans="2:22" x14ac:dyDescent="0.3">
      <c r="B357">
        <v>349</v>
      </c>
      <c r="C357">
        <v>0</v>
      </c>
      <c r="D357">
        <f>IF(IFERROR(INDEX(표.kospi200[code],MATCH(표.실시간[[#This Row],[코드]],표.kospi200[code],0)),0)=0,0,1)</f>
        <v>0</v>
      </c>
      <c r="E357" t="s">
        <v>362</v>
      </c>
      <c r="F357">
        <v>225570</v>
      </c>
      <c r="G357" t="str">
        <f>ConvertStockCode(표.실시간[[#This Row],[코드]])</f>
        <v>N225570</v>
      </c>
      <c r="H357" s="2">
        <f>_xll.IMDP("STK",표.실시간[[#This Row],[nxt_code]],"현재가")</f>
        <v>12880</v>
      </c>
      <c r="I357" s="2">
        <f>_xll.IMDP("STK",표.실시간[[#This Row],[nxt_code]],"시가총액")/10^12</f>
        <v>0.84827904111999997</v>
      </c>
      <c r="J357" s="2">
        <f>표.실시간[[#This Row],[시가총액 (조원)]]/표.실시간[[#This Row],[현재가]]*(표.실시간[[#This Row],[현재가]]-표.실시간[[#This Row],[대비]])</f>
        <v>0.87791611941999992</v>
      </c>
      <c r="K357" s="3">
        <f>_xll.IMDP("STK",표.실시간[[#This Row],[nxt_code]],"전일대비")</f>
        <v>-450</v>
      </c>
      <c r="L357">
        <f>_xll.IMDP("STK",표.실시간[[#This Row],[nxt_code]],"등락률")</f>
        <v>-2.72</v>
      </c>
      <c r="M357" s="2">
        <f>_xll.IMDP("STK",표.실시간[[#This Row],[nxt_code]],"누적거래량")</f>
        <v>45320</v>
      </c>
      <c r="N357" s="2">
        <f>_xll.IMDP("STK",표.실시간[[#This Row],[nxt_code]],"누적거래대금")/10^8</f>
        <v>5.8431740999999997</v>
      </c>
      <c r="O357" s="2">
        <f>_xll.IMDP("STK",표.실시간[[#This Row],[nxt_code]],"가중평균가")</f>
        <v>12893.146734</v>
      </c>
      <c r="P357" s="2">
        <f>_xll.IMDP("STK",표.실시간[[#This Row],[nxt_code]],"시가")</f>
        <v>13140</v>
      </c>
      <c r="Q357" s="2">
        <f>_xll.IMDP("STK",표.실시간[[#This Row],[nxt_code]],"고가")</f>
        <v>13140</v>
      </c>
      <c r="R357" s="2">
        <f>_xll.IMDP("STK",표.실시간[[#This Row],[nxt_code]],"저가")</f>
        <v>12700</v>
      </c>
      <c r="S357">
        <f>_xll.IMDP("STK",표.실시간[[#This Row],[nxt_code]],"세션명")</f>
        <v>0</v>
      </c>
      <c r="T357">
        <f>_xll.IMDP("STK",표.실시간[[#This Row],[nxt_code]],"체결시간")</f>
        <v>0</v>
      </c>
      <c r="U357" s="2">
        <f>_xll.IMDP("STK","225570","현재가")</f>
        <v>12860</v>
      </c>
      <c r="V357">
        <f>_xll.IMDP("STK","225570","누적거래량")</f>
        <v>36599</v>
      </c>
    </row>
    <row r="358" spans="2:22" x14ac:dyDescent="0.3">
      <c r="B358">
        <v>350</v>
      </c>
      <c r="C358">
        <v>1</v>
      </c>
      <c r="D358">
        <f>IF(IFERROR(INDEX(표.kospi200[code],MATCH(표.실시간[[#This Row],[코드]],표.kospi200[code],0)),0)=0,0,1)</f>
        <v>1</v>
      </c>
      <c r="E358" t="s">
        <v>363</v>
      </c>
      <c r="F358">
        <v>93370</v>
      </c>
      <c r="G358" t="str">
        <f>ConvertStockCode(표.실시간[[#This Row],[코드]])</f>
        <v>N093370</v>
      </c>
      <c r="H358" s="2">
        <f>_xll.IMDP("STK",표.실시간[[#This Row],[nxt_code]],"현재가")</f>
        <v>8330</v>
      </c>
      <c r="I358" s="2">
        <f>_xll.IMDP("STK",표.실시간[[#This Row],[nxt_code]],"시가총액")/10^12</f>
        <v>0.8934368989</v>
      </c>
      <c r="J358" s="2">
        <f>표.실시간[[#This Row],[시가총액 (조원)]]/표.실시간[[#This Row],[현재가]]*(표.실시간[[#This Row],[현재가]]-표.실시간[[#This Row],[대비]])</f>
        <v>0.90630753850000001</v>
      </c>
      <c r="K358" s="3">
        <f>_xll.IMDP("STK",표.실시간[[#This Row],[nxt_code]],"전일대비")</f>
        <v>-120</v>
      </c>
      <c r="L358">
        <f>_xll.IMDP("STK",표.실시간[[#This Row],[nxt_code]],"등락률")</f>
        <v>-1.65</v>
      </c>
      <c r="M358" s="2">
        <f>_xll.IMDP("STK",표.실시간[[#This Row],[nxt_code]],"누적거래량")</f>
        <v>193528</v>
      </c>
      <c r="N358" s="2">
        <f>_xll.IMDP("STK",표.실시간[[#This Row],[nxt_code]],"누적거래대금")/10^8</f>
        <v>16.248729900000001</v>
      </c>
      <c r="O358" s="2">
        <f>_xll.IMDP("STK",표.실시간[[#This Row],[nxt_code]],"가중평균가")</f>
        <v>8209.2900559999998</v>
      </c>
      <c r="P358" s="2">
        <f>_xll.IMDP("STK",표.실시간[[#This Row],[nxt_code]],"시가")</f>
        <v>8400</v>
      </c>
      <c r="Q358" s="2">
        <f>_xll.IMDP("STK",표.실시간[[#This Row],[nxt_code]],"고가")</f>
        <v>8400</v>
      </c>
      <c r="R358" s="2">
        <f>_xll.IMDP("STK",표.실시간[[#This Row],[nxt_code]],"저가")</f>
        <v>8130</v>
      </c>
      <c r="S358">
        <f>_xll.IMDP("STK",표.실시간[[#This Row],[nxt_code]],"세션명")</f>
        <v>0</v>
      </c>
      <c r="T358">
        <f>_xll.IMDP("STK",표.실시간[[#This Row],[nxt_code]],"체결시간")</f>
        <v>0</v>
      </c>
      <c r="U358" s="2">
        <f>_xll.IMDP("STK","093370","현재가")</f>
        <v>8450</v>
      </c>
      <c r="V358">
        <f>_xll.IMDP("STK","093370","누적거래량")</f>
        <v>74156</v>
      </c>
    </row>
    <row r="359" spans="2:22" x14ac:dyDescent="0.3">
      <c r="B359">
        <v>351</v>
      </c>
      <c r="C359">
        <v>0</v>
      </c>
      <c r="D359">
        <f>IF(IFERROR(INDEX(표.kospi200[code],MATCH(표.실시간[[#This Row],[코드]],표.kospi200[code],0)),0)=0,0,1)</f>
        <v>0</v>
      </c>
      <c r="E359" t="s">
        <v>364</v>
      </c>
      <c r="F359">
        <v>189300</v>
      </c>
      <c r="G359" t="str">
        <f>ConvertStockCode(표.실시간[[#This Row],[코드]])</f>
        <v>N189300</v>
      </c>
      <c r="H359" s="2">
        <f>_xll.IMDP("STK",표.실시간[[#This Row],[nxt_code]],"현재가")</f>
        <v>104000</v>
      </c>
      <c r="I359" s="2">
        <f>_xll.IMDP("STK",표.실시간[[#This Row],[nxt_code]],"시가총액")/10^12</f>
        <v>1.1173400694</v>
      </c>
      <c r="J359" s="2">
        <f>표.실시간[[#This Row],[시가총액 (조원)]]/표.실시간[[#This Row],[현재가]]*(표.실시간[[#This Row],[현재가]]-표.실시간[[#This Row],[대비]])</f>
        <v>1.1291580893648077</v>
      </c>
      <c r="K359" s="3">
        <f>_xll.IMDP("STK",표.실시간[[#This Row],[nxt_code]],"전일대비")</f>
        <v>-1100</v>
      </c>
      <c r="L359">
        <f>_xll.IMDP("STK",표.실시간[[#This Row],[nxt_code]],"등락률")</f>
        <v>-0.95</v>
      </c>
      <c r="M359" s="2">
        <f>_xll.IMDP("STK",표.실시간[[#This Row],[nxt_code]],"누적거래량")</f>
        <v>47883</v>
      </c>
      <c r="N359" s="2">
        <f>_xll.IMDP("STK",표.실시간[[#This Row],[nxt_code]],"누적거래대금")/10^8</f>
        <v>48.329431999999997</v>
      </c>
      <c r="O359" s="2">
        <f>_xll.IMDP("STK",표.실시간[[#This Row],[nxt_code]],"가중평균가")</f>
        <v>100877.765487</v>
      </c>
      <c r="P359" s="2">
        <f>_xll.IMDP("STK",표.실시간[[#This Row],[nxt_code]],"시가")</f>
        <v>102900</v>
      </c>
      <c r="Q359" s="2">
        <f>_xll.IMDP("STK",표.실시간[[#This Row],[nxt_code]],"고가")</f>
        <v>104100</v>
      </c>
      <c r="R359" s="2">
        <f>_xll.IMDP("STK",표.실시간[[#This Row],[nxt_code]],"저가")</f>
        <v>99400</v>
      </c>
      <c r="S359">
        <f>_xll.IMDP("STK",표.실시간[[#This Row],[nxt_code]],"세션명")</f>
        <v>0</v>
      </c>
      <c r="T359">
        <f>_xll.IMDP("STK",표.실시간[[#This Row],[nxt_code]],"체결시간")</f>
        <v>0</v>
      </c>
      <c r="U359" s="2">
        <f>_xll.IMDP("STK","189300","현재가")</f>
        <v>104000</v>
      </c>
      <c r="V359">
        <f>_xll.IMDP("STK","189300","누적거래량")</f>
        <v>37886</v>
      </c>
    </row>
    <row r="360" spans="2:22" x14ac:dyDescent="0.3">
      <c r="B360">
        <v>352</v>
      </c>
      <c r="C360">
        <v>0</v>
      </c>
      <c r="D360">
        <f>IF(IFERROR(INDEX(표.kospi200[code],MATCH(표.실시간[[#This Row],[코드]],표.kospi200[code],0)),0)=0,0,1)</f>
        <v>0</v>
      </c>
      <c r="E360" t="s">
        <v>365</v>
      </c>
      <c r="F360">
        <v>241710</v>
      </c>
      <c r="G360" t="str">
        <f>ConvertStockCode(표.실시간[[#This Row],[코드]])</f>
        <v>N241710</v>
      </c>
      <c r="H360" s="2">
        <f>_xll.IMDP("STK",표.실시간[[#This Row],[nxt_code]],"현재가")</f>
        <v>93900</v>
      </c>
      <c r="I360" s="2">
        <f>_xll.IMDP("STK",표.실시간[[#This Row],[nxt_code]],"시가총액")/10^12</f>
        <v>1.0028520000000001</v>
      </c>
      <c r="J360" s="2">
        <f>표.실시간[[#This Row],[시가총액 (조원)]]/표.실시간[[#This Row],[현재가]]*(표.실시간[[#This Row],[현재가]]-표.실시간[[#This Row],[대비]])</f>
        <v>1.029552</v>
      </c>
      <c r="K360" s="3">
        <f>_xll.IMDP("STK",표.실시간[[#This Row],[nxt_code]],"전일대비")</f>
        <v>-2500</v>
      </c>
      <c r="L360">
        <f>_xll.IMDP("STK",표.실시간[[#This Row],[nxt_code]],"등락률")</f>
        <v>-2.59</v>
      </c>
      <c r="M360" s="2">
        <f>_xll.IMDP("STK",표.실시간[[#This Row],[nxt_code]],"누적거래량")</f>
        <v>14532</v>
      </c>
      <c r="N360" s="2">
        <f>_xll.IMDP("STK",표.실시간[[#This Row],[nxt_code]],"누적거래대금")/10^8</f>
        <v>13.381812999999999</v>
      </c>
      <c r="O360" s="2">
        <f>_xll.IMDP("STK",표.실시간[[#This Row],[nxt_code]],"가중평균가")</f>
        <v>92085.143131999997</v>
      </c>
      <c r="P360" s="2">
        <f>_xll.IMDP("STK",표.실시간[[#This Row],[nxt_code]],"시가")</f>
        <v>94700</v>
      </c>
      <c r="Q360" s="2">
        <f>_xll.IMDP("STK",표.실시간[[#This Row],[nxt_code]],"고가")</f>
        <v>94700</v>
      </c>
      <c r="R360" s="2">
        <f>_xll.IMDP("STK",표.실시간[[#This Row],[nxt_code]],"저가")</f>
        <v>91000</v>
      </c>
      <c r="S360">
        <f>_xll.IMDP("STK",표.실시간[[#This Row],[nxt_code]],"세션명")</f>
        <v>0</v>
      </c>
      <c r="T360">
        <f>_xll.IMDP("STK",표.실시간[[#This Row],[nxt_code]],"체결시간")</f>
        <v>0</v>
      </c>
      <c r="U360" s="2">
        <f>_xll.IMDP("STK","241710","현재가")</f>
        <v>93400</v>
      </c>
      <c r="V360">
        <f>_xll.IMDP("STK","241710","누적거래량")</f>
        <v>19255</v>
      </c>
    </row>
    <row r="361" spans="2:22" x14ac:dyDescent="0.3">
      <c r="B361">
        <v>353</v>
      </c>
      <c r="C361">
        <v>1</v>
      </c>
      <c r="D361">
        <f>IF(IFERROR(INDEX(표.kospi200[code],MATCH(표.실시간[[#This Row],[코드]],표.kospi200[code],0)),0)=0,0,1)</f>
        <v>0</v>
      </c>
      <c r="E361" t="s">
        <v>366</v>
      </c>
      <c r="F361">
        <v>5690</v>
      </c>
      <c r="G361" t="str">
        <f>ConvertStockCode(표.실시간[[#This Row],[코드]])</f>
        <v>N005690</v>
      </c>
      <c r="H361" s="2">
        <f>_xll.IMDP("STK",표.실시간[[#This Row],[nxt_code]],"현재가")</f>
        <v>13790</v>
      </c>
      <c r="I361" s="2">
        <f>_xll.IMDP("STK",표.실시간[[#This Row],[nxt_code]],"시가총액")/10^12</f>
        <v>0.82763393356000003</v>
      </c>
      <c r="J361" s="2">
        <f>표.실시간[[#This Row],[시가총액 (조원)]]/표.실시간[[#This Row],[현재가]]*(표.실시간[[#This Row],[현재가]]-표.실시간[[#This Row],[대비]])</f>
        <v>0.84743953167999997</v>
      </c>
      <c r="K361" s="3">
        <f>_xll.IMDP("STK",표.실시간[[#This Row],[nxt_code]],"전일대비")</f>
        <v>-330</v>
      </c>
      <c r="L361">
        <f>_xll.IMDP("STK",표.실시간[[#This Row],[nxt_code]],"등락률")</f>
        <v>-2.13</v>
      </c>
      <c r="M361" s="2">
        <f>_xll.IMDP("STK",표.실시간[[#This Row],[nxt_code]],"누적거래량")</f>
        <v>177516</v>
      </c>
      <c r="N361" s="2">
        <f>_xll.IMDP("STK",표.실시간[[#This Row],[nxt_code]],"누적거래대금")/10^8</f>
        <v>24.216192700000001</v>
      </c>
      <c r="O361" s="2">
        <f>_xll.IMDP("STK",표.실시간[[#This Row],[nxt_code]],"가중평균가")</f>
        <v>13641.081037</v>
      </c>
      <c r="P361" s="2">
        <f>_xll.IMDP("STK",표.실시간[[#This Row],[nxt_code]],"시가")</f>
        <v>14010</v>
      </c>
      <c r="Q361" s="2">
        <f>_xll.IMDP("STK",표.실시간[[#This Row],[nxt_code]],"고가")</f>
        <v>14010</v>
      </c>
      <c r="R361" s="2">
        <f>_xll.IMDP("STK",표.실시간[[#This Row],[nxt_code]],"저가")</f>
        <v>13500</v>
      </c>
      <c r="S361">
        <f>_xll.IMDP("STK",표.실시간[[#This Row],[nxt_code]],"세션명")</f>
        <v>0</v>
      </c>
      <c r="T361">
        <f>_xll.IMDP("STK",표.실시간[[#This Row],[nxt_code]],"체결시간")</f>
        <v>0</v>
      </c>
      <c r="U361" s="2">
        <f>_xll.IMDP("STK","005690","현재가")</f>
        <v>13780</v>
      </c>
      <c r="V361">
        <f>_xll.IMDP("STK","005690","누적거래량")</f>
        <v>75603</v>
      </c>
    </row>
    <row r="362" spans="2:22" x14ac:dyDescent="0.3">
      <c r="B362">
        <v>354</v>
      </c>
      <c r="C362">
        <v>1</v>
      </c>
      <c r="D362">
        <f>IF(IFERROR(INDEX(표.kospi200[code],MATCH(표.실시간[[#This Row],[코드]],표.kospi200[code],0)),0)=0,0,1)</f>
        <v>0</v>
      </c>
      <c r="E362" t="s">
        <v>367</v>
      </c>
      <c r="F362">
        <v>499790</v>
      </c>
      <c r="G362" t="str">
        <f>ConvertStockCode(표.실시간[[#This Row],[코드]])</f>
        <v>N499790</v>
      </c>
      <c r="H362" s="2">
        <f>_xll.IMDP("STK",표.실시간[[#This Row],[nxt_code]],"현재가")</f>
        <v>50400</v>
      </c>
      <c r="I362" s="2">
        <f>_xll.IMDP("STK",표.실시간[[#This Row],[nxt_code]],"시가총액")/10^12</f>
        <v>0.99947438639999997</v>
      </c>
      <c r="J362" s="2">
        <f>표.실시간[[#This Row],[시가총액 (조원)]]/표.실시간[[#This Row],[현재가]]*(표.실시간[[#This Row],[현재가]]-표.실시간[[#This Row],[대비]])</f>
        <v>1.0153390592</v>
      </c>
      <c r="K362" s="3">
        <f>_xll.IMDP("STK",표.실시간[[#This Row],[nxt_code]],"전일대비")</f>
        <v>-800</v>
      </c>
      <c r="L362">
        <f>_xll.IMDP("STK",표.실시간[[#This Row],[nxt_code]],"등락률")</f>
        <v>-1.56</v>
      </c>
      <c r="M362" s="2">
        <f>_xll.IMDP("STK",표.실시간[[#This Row],[nxt_code]],"누적거래량")</f>
        <v>33666</v>
      </c>
      <c r="N362" s="2">
        <f>_xll.IMDP("STK",표.실시간[[#This Row],[nxt_code]],"누적거래대금")/10^8</f>
        <v>17.119806000000001</v>
      </c>
      <c r="O362" s="2">
        <f>_xll.IMDP("STK",표.실시간[[#This Row],[nxt_code]],"가중평균가")</f>
        <v>50851.91588</v>
      </c>
      <c r="P362" s="2">
        <f>_xll.IMDP("STK",표.실시간[[#This Row],[nxt_code]],"시가")</f>
        <v>51200</v>
      </c>
      <c r="Q362" s="2">
        <f>_xll.IMDP("STK",표.실시간[[#This Row],[nxt_code]],"고가")</f>
        <v>52700</v>
      </c>
      <c r="R362" s="2">
        <f>_xll.IMDP("STK",표.실시간[[#This Row],[nxt_code]],"저가")</f>
        <v>48600</v>
      </c>
      <c r="S362">
        <f>_xll.IMDP("STK",표.실시간[[#This Row],[nxt_code]],"세션명")</f>
        <v>0</v>
      </c>
      <c r="T362">
        <f>_xll.IMDP("STK",표.실시간[[#This Row],[nxt_code]],"체결시간")</f>
        <v>0</v>
      </c>
      <c r="U362" s="2">
        <f>_xll.IMDP("STK","499790","현재가")</f>
        <v>50300</v>
      </c>
      <c r="V362">
        <f>_xll.IMDP("STK","499790","누적거래량")</f>
        <v>13591</v>
      </c>
    </row>
    <row r="363" spans="2:22" x14ac:dyDescent="0.3">
      <c r="B363">
        <v>355</v>
      </c>
      <c r="C363">
        <v>0</v>
      </c>
      <c r="D363">
        <f>IF(IFERROR(INDEX(표.kospi200[code],MATCH(표.실시간[[#This Row],[코드]],표.kospi200[code],0)),0)=0,0,1)</f>
        <v>0</v>
      </c>
      <c r="E363" t="s">
        <v>368</v>
      </c>
      <c r="F363">
        <v>348210</v>
      </c>
      <c r="G363" t="str">
        <f>ConvertStockCode(표.실시간[[#This Row],[코드]])</f>
        <v>N348210</v>
      </c>
      <c r="H363" s="2">
        <f>_xll.IMDP("STK",표.실시간[[#This Row],[nxt_code]],"현재가")</f>
        <v>94000</v>
      </c>
      <c r="I363" s="2">
        <f>_xll.IMDP("STK",표.실시간[[#This Row],[nxt_code]],"시가총액")/10^12</f>
        <v>0.98483847000000002</v>
      </c>
      <c r="J363" s="2">
        <f>표.실시간[[#This Row],[시가총액 (조원)]]/표.실시간[[#This Row],[현재가]]*(표.실시간[[#This Row],[현재가]]-표.실시간[[#This Row],[대비]])</f>
        <v>1.0319849925</v>
      </c>
      <c r="K363" s="3">
        <f>_xll.IMDP("STK",표.실시간[[#This Row],[nxt_code]],"전일대비")</f>
        <v>-4500</v>
      </c>
      <c r="L363">
        <f>_xll.IMDP("STK",표.실시간[[#This Row],[nxt_code]],"등락률")</f>
        <v>-4.57</v>
      </c>
      <c r="M363" s="2">
        <f>_xll.IMDP("STK",표.실시간[[#This Row],[nxt_code]],"누적거래량")</f>
        <v>8280</v>
      </c>
      <c r="N363" s="2">
        <f>_xll.IMDP("STK",표.실시간[[#This Row],[nxt_code]],"누적거래대금")/10^8</f>
        <v>7.86212</v>
      </c>
      <c r="O363" s="2">
        <f>_xll.IMDP("STK",표.실시간[[#This Row],[nxt_code]],"가중평균가")</f>
        <v>94953.140096999996</v>
      </c>
      <c r="P363" s="2">
        <f>_xll.IMDP("STK",표.실시간[[#This Row],[nxt_code]],"시가")</f>
        <v>96300</v>
      </c>
      <c r="Q363" s="2">
        <f>_xll.IMDP("STK",표.실시간[[#This Row],[nxt_code]],"고가")</f>
        <v>97300</v>
      </c>
      <c r="R363" s="2">
        <f>_xll.IMDP("STK",표.실시간[[#This Row],[nxt_code]],"저가")</f>
        <v>92100</v>
      </c>
      <c r="S363">
        <f>_xll.IMDP("STK",표.실시간[[#This Row],[nxt_code]],"세션명")</f>
        <v>0</v>
      </c>
      <c r="T363">
        <f>_xll.IMDP("STK",표.실시간[[#This Row],[nxt_code]],"체결시간")</f>
        <v>0</v>
      </c>
      <c r="U363" s="2">
        <f>_xll.IMDP("STK","348210","현재가")</f>
        <v>94000</v>
      </c>
      <c r="V363">
        <f>_xll.IMDP("STK","348210","누적거래량")</f>
        <v>10689</v>
      </c>
    </row>
    <row r="364" spans="2:22" x14ac:dyDescent="0.3">
      <c r="B364">
        <v>356</v>
      </c>
      <c r="C364">
        <v>0</v>
      </c>
      <c r="D364">
        <f>IF(IFERROR(INDEX(표.kospi200[code],MATCH(표.실시간[[#This Row],[코드]],표.kospi200[code],0)),0)=0,0,1)</f>
        <v>0</v>
      </c>
      <c r="E364" t="s">
        <v>369</v>
      </c>
      <c r="F364">
        <v>14620</v>
      </c>
      <c r="G364" t="str">
        <f>ConvertStockCode(표.실시간[[#This Row],[코드]])</f>
        <v>N014620</v>
      </c>
      <c r="H364" s="2">
        <f>_xll.IMDP("STK",표.실시간[[#This Row],[nxt_code]],"현재가")</f>
        <v>31350</v>
      </c>
      <c r="I364" s="2">
        <f>_xll.IMDP("STK",표.실시간[[#This Row],[nxt_code]],"시가총액")/10^12</f>
        <v>0.83257336140000004</v>
      </c>
      <c r="J364" s="2">
        <f>표.실시간[[#This Row],[시가총액 (조원)]]/표.실시간[[#This Row],[현재가]]*(표.실시간[[#This Row],[현재가]]-표.실시간[[#This Row],[대비]])</f>
        <v>0.86709793460000006</v>
      </c>
      <c r="K364" s="3">
        <f>_xll.IMDP("STK",표.실시간[[#This Row],[nxt_code]],"전일대비")</f>
        <v>-1300</v>
      </c>
      <c r="L364">
        <f>_xll.IMDP("STK",표.실시간[[#This Row],[nxt_code]],"등락률")</f>
        <v>-3.98</v>
      </c>
      <c r="M364" s="2">
        <f>_xll.IMDP("STK",표.실시간[[#This Row],[nxt_code]],"누적거래량")</f>
        <v>29578</v>
      </c>
      <c r="N364" s="2">
        <f>_xll.IMDP("STK",표.실시간[[#This Row],[nxt_code]],"누적거래대금")/10^8</f>
        <v>9.3030209999999993</v>
      </c>
      <c r="O364" s="2">
        <f>_xll.IMDP("STK",표.실시간[[#This Row],[nxt_code]],"가중평균가")</f>
        <v>31452.501859</v>
      </c>
      <c r="P364" s="2">
        <f>_xll.IMDP("STK",표.실시간[[#This Row],[nxt_code]],"시가")</f>
        <v>32100</v>
      </c>
      <c r="Q364" s="2">
        <f>_xll.IMDP("STK",표.실시간[[#This Row],[nxt_code]],"고가")</f>
        <v>32700</v>
      </c>
      <c r="R364" s="2">
        <f>_xll.IMDP("STK",표.실시간[[#This Row],[nxt_code]],"저가")</f>
        <v>31100</v>
      </c>
      <c r="S364">
        <f>_xll.IMDP("STK",표.실시간[[#This Row],[nxt_code]],"세션명")</f>
        <v>0</v>
      </c>
      <c r="T364">
        <f>_xll.IMDP("STK",표.실시간[[#This Row],[nxt_code]],"체결시간")</f>
        <v>0</v>
      </c>
      <c r="U364" s="2">
        <f>_xll.IMDP("STK","014620","현재가")</f>
        <v>31350</v>
      </c>
      <c r="V364">
        <f>_xll.IMDP("STK","014620","누적거래량")</f>
        <v>15815</v>
      </c>
    </row>
    <row r="365" spans="2:22" x14ac:dyDescent="0.3">
      <c r="B365">
        <v>357</v>
      </c>
      <c r="C365">
        <v>1</v>
      </c>
      <c r="D365">
        <f>IF(IFERROR(INDEX(표.kospi200[code],MATCH(표.실시간[[#This Row],[코드]],표.kospi200[code],0)),0)=0,0,1)</f>
        <v>0</v>
      </c>
      <c r="E365" t="s">
        <v>370</v>
      </c>
      <c r="F365">
        <v>7700</v>
      </c>
      <c r="G365" t="str">
        <f>ConvertStockCode(표.실시간[[#This Row],[코드]])</f>
        <v>N007700</v>
      </c>
      <c r="H365" s="2">
        <f>_xll.IMDP("STK",표.실시간[[#This Row],[nxt_code]],"현재가")</f>
        <v>20400</v>
      </c>
      <c r="I365" s="2">
        <f>_xll.IMDP("STK",표.실시간[[#This Row],[nxt_code]],"시가총액")/10^12</f>
        <v>0.79793308679999997</v>
      </c>
      <c r="J365" s="2">
        <f>표.실시간[[#This Row],[시가총액 (조원)]]/표.실시간[[#This Row],[현재가]]*(표.실시간[[#This Row],[현재가]]-표.실시간[[#This Row],[대비]])</f>
        <v>0.81553455194999991</v>
      </c>
      <c r="K365" s="3">
        <f>_xll.IMDP("STK",표.실시간[[#This Row],[nxt_code]],"전일대비")</f>
        <v>-450</v>
      </c>
      <c r="L365">
        <f>_xll.IMDP("STK",표.실시간[[#This Row],[nxt_code]],"등락률")</f>
        <v>-2.16</v>
      </c>
      <c r="M365" s="2">
        <f>_xll.IMDP("STK",표.실시간[[#This Row],[nxt_code]],"누적거래량")</f>
        <v>1756</v>
      </c>
      <c r="N365" s="2">
        <f>_xll.IMDP("STK",표.실시간[[#This Row],[nxt_code]],"누적거래대금")/10^8</f>
        <v>0.3556144</v>
      </c>
      <c r="O365" s="2">
        <f>_xll.IMDP("STK",표.실시간[[#This Row],[nxt_code]],"가중평균가")</f>
        <v>20251.389522000001</v>
      </c>
      <c r="P365" s="2">
        <f>_xll.IMDP("STK",표.실시간[[#This Row],[nxt_code]],"시가")</f>
        <v>21000</v>
      </c>
      <c r="Q365" s="2">
        <f>_xll.IMDP("STK",표.실시간[[#This Row],[nxt_code]],"고가")</f>
        <v>21000</v>
      </c>
      <c r="R365" s="2">
        <f>_xll.IMDP("STK",표.실시간[[#This Row],[nxt_code]],"저가")</f>
        <v>19950</v>
      </c>
      <c r="S365">
        <f>_xll.IMDP("STK",표.실시간[[#This Row],[nxt_code]],"세션명")</f>
        <v>0</v>
      </c>
      <c r="T365">
        <f>_xll.IMDP("STK",표.실시간[[#This Row],[nxt_code]],"체결시간")</f>
        <v>0</v>
      </c>
      <c r="U365" s="2">
        <f>_xll.IMDP("STK","007700","현재가")</f>
        <v>20400</v>
      </c>
      <c r="V365">
        <f>_xll.IMDP("STK","007700","누적거래량")</f>
        <v>1107</v>
      </c>
    </row>
    <row r="366" spans="2:22" x14ac:dyDescent="0.3">
      <c r="B366">
        <v>358</v>
      </c>
      <c r="C366">
        <v>0</v>
      </c>
      <c r="D366">
        <f>IF(IFERROR(INDEX(표.kospi200[code],MATCH(표.실시간[[#This Row],[코드]],표.kospi200[code],0)),0)=0,0,1)</f>
        <v>0</v>
      </c>
      <c r="E366" t="s">
        <v>371</v>
      </c>
      <c r="F366">
        <v>9520</v>
      </c>
      <c r="G366" t="str">
        <f>ConvertStockCode(표.실시간[[#This Row],[코드]])</f>
        <v>N009520</v>
      </c>
      <c r="H366" s="2">
        <f>_xll.IMDP("STK",표.실시간[[#This Row],[nxt_code]],"현재가")</f>
        <v>20100</v>
      </c>
      <c r="I366" s="2">
        <f>_xll.IMDP("STK",표.실시간[[#This Row],[nxt_code]],"시가총액")/10^12</f>
        <v>0.83701833029999995</v>
      </c>
      <c r="J366" s="2">
        <f>표.실시간[[#This Row],[시가총액 (조원)]]/표.실시간[[#This Row],[현재가]]*(표.실시간[[#This Row],[현재가]]-표.실시간[[#This Row],[대비]])</f>
        <v>0.83785118435999995</v>
      </c>
      <c r="K366" s="3">
        <f>_xll.IMDP("STK",표.실시간[[#This Row],[nxt_code]],"전일대비")</f>
        <v>-20</v>
      </c>
      <c r="L366">
        <f>_xll.IMDP("STK",표.실시간[[#This Row],[nxt_code]],"등락률")</f>
        <v>1.01</v>
      </c>
      <c r="M366" s="2">
        <f>_xll.IMDP("STK",표.실시간[[#This Row],[nxt_code]],"누적거래량")</f>
        <v>178435</v>
      </c>
      <c r="N366" s="2">
        <f>_xll.IMDP("STK",표.실시간[[#This Row],[nxt_code]],"누적거래대금")/10^8</f>
        <v>34.797344099999997</v>
      </c>
      <c r="O366" s="2">
        <f>_xll.IMDP("STK",표.실시간[[#This Row],[nxt_code]],"가중평균가")</f>
        <v>19501.411775</v>
      </c>
      <c r="P366" s="2">
        <f>_xll.IMDP("STK",표.실시간[[#This Row],[nxt_code]],"시가")</f>
        <v>19840</v>
      </c>
      <c r="Q366" s="2">
        <f>_xll.IMDP("STK",표.실시간[[#This Row],[nxt_code]],"고가")</f>
        <v>20100</v>
      </c>
      <c r="R366" s="2">
        <f>_xll.IMDP("STK",표.실시간[[#This Row],[nxt_code]],"저가")</f>
        <v>19140</v>
      </c>
      <c r="S366">
        <f>_xll.IMDP("STK",표.실시간[[#This Row],[nxt_code]],"세션명")</f>
        <v>0</v>
      </c>
      <c r="T366">
        <f>_xll.IMDP("STK",표.실시간[[#This Row],[nxt_code]],"체결시간")</f>
        <v>0</v>
      </c>
      <c r="U366" s="2">
        <f>_xll.IMDP("STK","009520","현재가")</f>
        <v>20100</v>
      </c>
      <c r="V366">
        <f>_xll.IMDP("STK","009520","누적거래량")</f>
        <v>98064</v>
      </c>
    </row>
    <row r="367" spans="2:22" x14ac:dyDescent="0.3">
      <c r="B367">
        <v>359</v>
      </c>
      <c r="C367">
        <v>0</v>
      </c>
      <c r="D367">
        <f>IF(IFERROR(INDEX(표.kospi200[code],MATCH(표.실시간[[#This Row],[코드]],표.kospi200[code],0)),0)=0,0,1)</f>
        <v>0</v>
      </c>
      <c r="E367" t="s">
        <v>372</v>
      </c>
      <c r="F367">
        <v>376300</v>
      </c>
      <c r="G367" t="str">
        <f>ConvertStockCode(표.실시간[[#This Row],[코드]])</f>
        <v>N376300</v>
      </c>
      <c r="H367" s="2">
        <f>_xll.IMDP("STK",표.실시간[[#This Row],[nxt_code]],"현재가")</f>
        <v>36700</v>
      </c>
      <c r="I367" s="2">
        <f>_xll.IMDP("STK",표.실시간[[#This Row],[nxt_code]],"시가총액")/10^12</f>
        <v>0.87119950020000003</v>
      </c>
      <c r="J367" s="2">
        <f>표.실시간[[#This Row],[시가총액 (조원)]]/표.실시간[[#This Row],[현재가]]*(표.실시간[[#This Row],[현재가]]-표.실시간[[#This Row],[대비]])</f>
        <v>0.89375098590000002</v>
      </c>
      <c r="K367" s="3">
        <f>_xll.IMDP("STK",표.실시간[[#This Row],[nxt_code]],"전일대비")</f>
        <v>-950</v>
      </c>
      <c r="L367">
        <f>_xll.IMDP("STK",표.실시간[[#This Row],[nxt_code]],"등락률")</f>
        <v>-2.52</v>
      </c>
      <c r="M367" s="2">
        <f>_xll.IMDP("STK",표.실시간[[#This Row],[nxt_code]],"누적거래량")</f>
        <v>28704</v>
      </c>
      <c r="N367" s="2">
        <f>_xll.IMDP("STK",표.실시간[[#This Row],[nxt_code]],"누적거래대금")/10^8</f>
        <v>10.390624499999999</v>
      </c>
      <c r="O367" s="2">
        <f>_xll.IMDP("STK",표.실시간[[#This Row],[nxt_code]],"가중평균가")</f>
        <v>36199.221362999997</v>
      </c>
      <c r="P367" s="2">
        <f>_xll.IMDP("STK",표.실시간[[#This Row],[nxt_code]],"시가")</f>
        <v>36100</v>
      </c>
      <c r="Q367" s="2">
        <f>_xll.IMDP("STK",표.실시간[[#This Row],[nxt_code]],"고가")</f>
        <v>36850</v>
      </c>
      <c r="R367" s="2">
        <f>_xll.IMDP("STK",표.실시간[[#This Row],[nxt_code]],"저가")</f>
        <v>34000</v>
      </c>
      <c r="S367">
        <f>_xll.IMDP("STK",표.실시간[[#This Row],[nxt_code]],"세션명")</f>
        <v>0</v>
      </c>
      <c r="T367">
        <f>_xll.IMDP("STK",표.실시간[[#This Row],[nxt_code]],"체결시간")</f>
        <v>0</v>
      </c>
      <c r="U367" s="2">
        <f>_xll.IMDP("STK","376300","현재가")</f>
        <v>36650</v>
      </c>
      <c r="V367">
        <f>_xll.IMDP("STK","376300","누적거래량")</f>
        <v>13667</v>
      </c>
    </row>
    <row r="368" spans="2:22" x14ac:dyDescent="0.3">
      <c r="B368">
        <v>360</v>
      </c>
      <c r="C368">
        <v>1</v>
      </c>
      <c r="D368">
        <f>IF(IFERROR(INDEX(표.kospi200[code],MATCH(표.실시간[[#This Row],[코드]],표.kospi200[code],0)),0)=0,0,1)</f>
        <v>1</v>
      </c>
      <c r="E368" t="s">
        <v>373</v>
      </c>
      <c r="F368">
        <v>210</v>
      </c>
      <c r="G368" t="str">
        <f>ConvertStockCode(표.실시간[[#This Row],[코드]])</f>
        <v>N000210</v>
      </c>
      <c r="H368" s="2">
        <f>_xll.IMDP("STK",표.실시간[[#This Row],[nxt_code]],"현재가")</f>
        <v>42750</v>
      </c>
      <c r="I368" s="2">
        <f>_xll.IMDP("STK",표.실시간[[#This Row],[nxt_code]],"시가총액")/10^12</f>
        <v>0.90005521779999997</v>
      </c>
      <c r="J368" s="2">
        <f>표.실시간[[#This Row],[시가총액 (조원)]]/표.실시간[[#This Row],[현재가]]*(표.실시간[[#This Row],[현재가]]-표.실시간[[#This Row],[대비]])</f>
        <v>0.86952702912608182</v>
      </c>
      <c r="K368" s="3">
        <f>_xll.IMDP("STK",표.실시간[[#This Row],[nxt_code]],"전일대비")</f>
        <v>1450</v>
      </c>
      <c r="L368">
        <f>_xll.IMDP("STK",표.실시간[[#This Row],[nxt_code]],"등락률")</f>
        <v>3.49</v>
      </c>
      <c r="M368" s="2">
        <f>_xll.IMDP("STK",표.실시간[[#This Row],[nxt_code]],"누적거래량")</f>
        <v>101155</v>
      </c>
      <c r="N368" s="2">
        <f>_xll.IMDP("STK",표.실시간[[#This Row],[nxt_code]],"누적거래대금")/10^8</f>
        <v>42.790236749999998</v>
      </c>
      <c r="O368" s="2">
        <f>_xll.IMDP("STK",표.실시간[[#This Row],[nxt_code]],"가중평균가")</f>
        <v>42301.652662</v>
      </c>
      <c r="P368" s="2">
        <f>_xll.IMDP("STK",표.실시간[[#This Row],[nxt_code]],"시가")</f>
        <v>41600</v>
      </c>
      <c r="Q368" s="2">
        <f>_xll.IMDP("STK",표.실시간[[#This Row],[nxt_code]],"고가")</f>
        <v>43050</v>
      </c>
      <c r="R368" s="2">
        <f>_xll.IMDP("STK",표.실시간[[#This Row],[nxt_code]],"저가")</f>
        <v>41400</v>
      </c>
      <c r="S368">
        <f>_xll.IMDP("STK",표.실시간[[#This Row],[nxt_code]],"세션명")</f>
        <v>0</v>
      </c>
      <c r="T368">
        <f>_xll.IMDP("STK",표.실시간[[#This Row],[nxt_code]],"체결시간")</f>
        <v>0</v>
      </c>
      <c r="U368" s="2">
        <f>_xll.IMDP("STK","000210","현재가")</f>
        <v>42950</v>
      </c>
      <c r="V368">
        <f>_xll.IMDP("STK","000210","누적거래량")</f>
        <v>30501</v>
      </c>
    </row>
    <row r="369" spans="2:22" x14ac:dyDescent="0.3">
      <c r="B369">
        <v>361</v>
      </c>
      <c r="C369">
        <v>1</v>
      </c>
      <c r="D369">
        <f>IF(IFERROR(INDEX(표.kospi200[code],MATCH(표.실시간[[#This Row],[코드]],표.kospi200[code],0)),0)=0,0,1)</f>
        <v>0</v>
      </c>
      <c r="E369" t="s">
        <v>374</v>
      </c>
      <c r="F369">
        <v>3850</v>
      </c>
      <c r="G369" t="str">
        <f>ConvertStockCode(표.실시간[[#This Row],[코드]])</f>
        <v>N003850</v>
      </c>
      <c r="H369" s="2">
        <f>_xll.IMDP("STK",표.실시간[[#This Row],[nxt_code]],"현재가")</f>
        <v>9130</v>
      </c>
      <c r="I369" s="2">
        <f>_xll.IMDP("STK",표.실시간[[#This Row],[nxt_code]],"시가총액")/10^12</f>
        <v>0.78323719990999996</v>
      </c>
      <c r="J369" s="2">
        <f>표.실시간[[#This Row],[시가총액 (조원)]]/표.실시간[[#This Row],[현재가]]*(표.실시간[[#This Row],[현재가]]-표.실시간[[#This Row],[대비]])</f>
        <v>0.79353166474999992</v>
      </c>
      <c r="K369" s="3">
        <f>_xll.IMDP("STK",표.실시간[[#This Row],[nxt_code]],"전일대비")</f>
        <v>-120</v>
      </c>
      <c r="L369">
        <f>_xll.IMDP("STK",표.실시간[[#This Row],[nxt_code]],"등락률")</f>
        <v>-1.3</v>
      </c>
      <c r="M369" s="2">
        <f>_xll.IMDP("STK",표.실시간[[#This Row],[nxt_code]],"누적거래량")</f>
        <v>66696</v>
      </c>
      <c r="N369" s="2">
        <f>_xll.IMDP("STK",표.실시간[[#This Row],[nxt_code]],"누적거래대금")/10^8</f>
        <v>6.1140670000000004</v>
      </c>
      <c r="O369" s="2">
        <f>_xll.IMDP("STK",표.실시간[[#This Row],[nxt_code]],"가중평균가")</f>
        <v>9167.0669909999997</v>
      </c>
      <c r="P369" s="2">
        <f>_xll.IMDP("STK",표.실시간[[#This Row],[nxt_code]],"시가")</f>
        <v>9200</v>
      </c>
      <c r="Q369" s="2">
        <f>_xll.IMDP("STK",표.실시간[[#This Row],[nxt_code]],"고가")</f>
        <v>9270</v>
      </c>
      <c r="R369" s="2">
        <f>_xll.IMDP("STK",표.실시간[[#This Row],[nxt_code]],"저가")</f>
        <v>9090</v>
      </c>
      <c r="S369">
        <f>_xll.IMDP("STK",표.실시간[[#This Row],[nxt_code]],"세션명")</f>
        <v>0</v>
      </c>
      <c r="T369">
        <f>_xll.IMDP("STK",표.실시간[[#This Row],[nxt_code]],"체결시간")</f>
        <v>0</v>
      </c>
      <c r="U369" s="2">
        <f>_xll.IMDP("STK","003850","현재가")</f>
        <v>9140</v>
      </c>
      <c r="V369">
        <f>_xll.IMDP("STK","003850","누적거래량")</f>
        <v>15194</v>
      </c>
    </row>
    <row r="370" spans="2:22" x14ac:dyDescent="0.3">
      <c r="B370">
        <v>362</v>
      </c>
      <c r="C370">
        <v>0</v>
      </c>
      <c r="D370">
        <f>IF(IFERROR(INDEX(표.kospi200[code],MATCH(표.실시간[[#This Row],[코드]],표.kospi200[code],0)),0)=0,0,1)</f>
        <v>0</v>
      </c>
      <c r="E370" t="s">
        <v>375</v>
      </c>
      <c r="F370">
        <v>42000</v>
      </c>
      <c r="G370" t="str">
        <f>ConvertStockCode(표.실시간[[#This Row],[코드]])</f>
        <v>N042000</v>
      </c>
      <c r="H370" s="2">
        <f>_xll.IMDP("STK",표.실시간[[#This Row],[nxt_code]],"현재가")</f>
        <v>36850</v>
      </c>
      <c r="I370" s="2">
        <f>_xll.IMDP("STK",표.실시간[[#This Row],[nxt_code]],"시가총액")/10^12</f>
        <v>0.89251238720000003</v>
      </c>
      <c r="J370" s="2">
        <f>표.실시간[[#This Row],[시가총액 (조원)]]/표.실시간[[#This Row],[현재가]]*(표.실시간[[#This Row],[현재가]]-표.실시간[[#This Row],[대비]])</f>
        <v>0.92278756994084132</v>
      </c>
      <c r="K370" s="3">
        <f>_xll.IMDP("STK",표.실시간[[#This Row],[nxt_code]],"전일대비")</f>
        <v>-1250</v>
      </c>
      <c r="L370">
        <f>_xll.IMDP("STK",표.실시간[[#This Row],[nxt_code]],"등락률")</f>
        <v>-3.29</v>
      </c>
      <c r="M370" s="2">
        <f>_xll.IMDP("STK",표.실시간[[#This Row],[nxt_code]],"누적거래량")</f>
        <v>26757</v>
      </c>
      <c r="N370" s="2">
        <f>_xll.IMDP("STK",표.실시간[[#This Row],[nxt_code]],"누적거래대금")/10^8</f>
        <v>9.8829019999999996</v>
      </c>
      <c r="O370" s="2">
        <f>_xll.IMDP("STK",표.실시간[[#This Row],[nxt_code]],"가중평균가")</f>
        <v>36935.762604000003</v>
      </c>
      <c r="P370" s="2">
        <f>_xll.IMDP("STK",표.실시간[[#This Row],[nxt_code]],"시가")</f>
        <v>37750</v>
      </c>
      <c r="Q370" s="2">
        <f>_xll.IMDP("STK",표.실시간[[#This Row],[nxt_code]],"고가")</f>
        <v>37950</v>
      </c>
      <c r="R370" s="2">
        <f>_xll.IMDP("STK",표.실시간[[#This Row],[nxt_code]],"저가")</f>
        <v>36250</v>
      </c>
      <c r="S370">
        <f>_xll.IMDP("STK",표.실시간[[#This Row],[nxt_code]],"세션명")</f>
        <v>0</v>
      </c>
      <c r="T370">
        <f>_xll.IMDP("STK",표.실시간[[#This Row],[nxt_code]],"체결시간")</f>
        <v>0</v>
      </c>
      <c r="U370" s="2">
        <f>_xll.IMDP("STK","042000","현재가")</f>
        <v>36800</v>
      </c>
      <c r="V370">
        <f>_xll.IMDP("STK","042000","누적거래량")</f>
        <v>23928</v>
      </c>
    </row>
    <row r="371" spans="2:22" x14ac:dyDescent="0.3">
      <c r="B371">
        <v>363</v>
      </c>
      <c r="C371">
        <v>0</v>
      </c>
      <c r="D371">
        <f>IF(IFERROR(INDEX(표.kospi200[code],MATCH(표.실시간[[#This Row],[코드]],표.kospi200[code],0)),0)=0,0,1)</f>
        <v>0</v>
      </c>
      <c r="E371" t="s">
        <v>376</v>
      </c>
      <c r="F371">
        <v>86450</v>
      </c>
      <c r="G371" t="str">
        <f>ConvertStockCode(표.실시간[[#This Row],[코드]])</f>
        <v>N086450</v>
      </c>
      <c r="H371" s="2">
        <f>_xll.IMDP("STK",표.실시간[[#This Row],[nxt_code]],"현재가")</f>
        <v>18440</v>
      </c>
      <c r="I371" s="2">
        <f>_xll.IMDP("STK",표.실시간[[#This Row],[nxt_code]],"시가총액")/10^12</f>
        <v>0.83404894480000002</v>
      </c>
      <c r="J371" s="2">
        <f>표.실시간[[#This Row],[시가총액 (조원)]]/표.실시간[[#This Row],[현재가]]*(표.실시간[[#This Row],[현재가]]-표.실시간[[#This Row],[대비]])</f>
        <v>0.84987959180000006</v>
      </c>
      <c r="K371" s="3">
        <f>_xll.IMDP("STK",표.실시간[[#This Row],[nxt_code]],"전일대비")</f>
        <v>-350</v>
      </c>
      <c r="L371">
        <f>_xll.IMDP("STK",표.실시간[[#This Row],[nxt_code]],"등락률")</f>
        <v>-1.86</v>
      </c>
      <c r="M371" s="2">
        <f>_xll.IMDP("STK",표.실시간[[#This Row],[nxt_code]],"누적거래량")</f>
        <v>44141</v>
      </c>
      <c r="N371" s="2">
        <f>_xll.IMDP("STK",표.실시간[[#This Row],[nxt_code]],"누적거래대금")/10^8</f>
        <v>8.1505913999999997</v>
      </c>
      <c r="O371" s="2">
        <f>_xll.IMDP("STK",표.실시간[[#This Row],[nxt_code]],"가중평균가")</f>
        <v>18464.899753000002</v>
      </c>
      <c r="P371" s="2">
        <f>_xll.IMDP("STK",표.실시간[[#This Row],[nxt_code]],"시가")</f>
        <v>18730</v>
      </c>
      <c r="Q371" s="2">
        <f>_xll.IMDP("STK",표.실시간[[#This Row],[nxt_code]],"고가")</f>
        <v>18800</v>
      </c>
      <c r="R371" s="2">
        <f>_xll.IMDP("STK",표.실시간[[#This Row],[nxt_code]],"저가")</f>
        <v>18260</v>
      </c>
      <c r="S371">
        <f>_xll.IMDP("STK",표.실시간[[#This Row],[nxt_code]],"세션명")</f>
        <v>0</v>
      </c>
      <c r="T371">
        <f>_xll.IMDP("STK",표.실시간[[#This Row],[nxt_code]],"체결시간")</f>
        <v>0</v>
      </c>
      <c r="U371" s="2">
        <f>_xll.IMDP("STK","086450","현재가")</f>
        <v>18480</v>
      </c>
      <c r="V371">
        <f>_xll.IMDP("STK","086450","누적거래량")</f>
        <v>28538</v>
      </c>
    </row>
    <row r="372" spans="2:22" x14ac:dyDescent="0.3">
      <c r="B372">
        <v>364</v>
      </c>
      <c r="C372">
        <v>1</v>
      </c>
      <c r="D372">
        <f>IF(IFERROR(INDEX(표.kospi200[code],MATCH(표.실시간[[#This Row],[코드]],표.kospi200[code],0)),0)=0,0,1)</f>
        <v>1</v>
      </c>
      <c r="E372" t="s">
        <v>377</v>
      </c>
      <c r="F372">
        <v>69260</v>
      </c>
      <c r="G372" t="str">
        <f>ConvertStockCode(표.실시간[[#This Row],[코드]])</f>
        <v>N069260</v>
      </c>
      <c r="H372" s="2">
        <f>_xll.IMDP("STK",표.실시간[[#This Row],[nxt_code]],"현재가")</f>
        <v>19910</v>
      </c>
      <c r="I372" s="2">
        <f>_xll.IMDP("STK",표.실시간[[#This Row],[nxt_code]],"시가총액")/10^12</f>
        <v>0.81389268707999995</v>
      </c>
      <c r="J372" s="2">
        <f>표.실시간[[#This Row],[시가총액 (조원)]]/표.실시간[[#This Row],[현재가]]*(표.실시간[[#This Row],[현재가]]-표.실시간[[#This Row],[대비]])</f>
        <v>0.81757175999999998</v>
      </c>
      <c r="K372" s="3">
        <f>_xll.IMDP("STK",표.실시간[[#This Row],[nxt_code]],"전일대비")</f>
        <v>-90</v>
      </c>
      <c r="L372">
        <f>_xll.IMDP("STK",표.실시간[[#This Row],[nxt_code]],"등락률")</f>
        <v>-0.45</v>
      </c>
      <c r="M372" s="2">
        <f>_xll.IMDP("STK",표.실시간[[#This Row],[nxt_code]],"누적거래량")</f>
        <v>3245</v>
      </c>
      <c r="N372" s="2">
        <f>_xll.IMDP("STK",표.실시간[[#This Row],[nxt_code]],"누적거래대금")/10^8</f>
        <v>0.64647189999999999</v>
      </c>
      <c r="O372" s="2">
        <f>_xll.IMDP("STK",표.실시간[[#This Row],[nxt_code]],"가중평균가")</f>
        <v>19922.09245</v>
      </c>
      <c r="P372" s="2">
        <f>_xll.IMDP("STK",표.실시간[[#This Row],[nxt_code]],"시가")</f>
        <v>20200</v>
      </c>
      <c r="Q372" s="2">
        <f>_xll.IMDP("STK",표.실시간[[#This Row],[nxt_code]],"고가")</f>
        <v>20200</v>
      </c>
      <c r="R372" s="2">
        <f>_xll.IMDP("STK",표.실시간[[#This Row],[nxt_code]],"저가")</f>
        <v>19810</v>
      </c>
      <c r="S372">
        <f>_xll.IMDP("STK",표.실시간[[#This Row],[nxt_code]],"세션명")</f>
        <v>0</v>
      </c>
      <c r="T372">
        <f>_xll.IMDP("STK",표.실시간[[#This Row],[nxt_code]],"체결시간")</f>
        <v>0</v>
      </c>
      <c r="U372" s="2">
        <f>_xll.IMDP("STK","069260","현재가")</f>
        <v>19920</v>
      </c>
      <c r="V372">
        <f>_xll.IMDP("STK","069260","누적거래량")</f>
        <v>4759</v>
      </c>
    </row>
    <row r="373" spans="2:22" x14ac:dyDescent="0.3">
      <c r="B373">
        <v>365</v>
      </c>
      <c r="C373">
        <v>0</v>
      </c>
      <c r="D373">
        <f>IF(IFERROR(INDEX(표.kospi200[code],MATCH(표.실시간[[#This Row],[코드]],표.kospi200[code],0)),0)=0,0,1)</f>
        <v>0</v>
      </c>
      <c r="E373" t="s">
        <v>378</v>
      </c>
      <c r="F373">
        <v>67160</v>
      </c>
      <c r="G373" t="str">
        <f>ConvertStockCode(표.실시간[[#This Row],[코드]])</f>
        <v>N067160</v>
      </c>
      <c r="H373" s="2">
        <f>_xll.IMDP("STK",표.실시간[[#This Row],[nxt_code]],"현재가")</f>
        <v>71600</v>
      </c>
      <c r="I373" s="2">
        <f>_xll.IMDP("STK",표.실시간[[#This Row],[nxt_code]],"시가총액")/10^12</f>
        <v>0.82302531720000005</v>
      </c>
      <c r="J373" s="2">
        <f>표.실시간[[#This Row],[시가총액 (조원)]]/표.실시간[[#This Row],[현재가]]*(표.실시간[[#This Row],[현재가]]-표.실시간[[#This Row],[대비]])</f>
        <v>0.84946328130000004</v>
      </c>
      <c r="K373" s="3">
        <f>_xll.IMDP("STK",표.실시간[[#This Row],[nxt_code]],"전일대비")</f>
        <v>-2300</v>
      </c>
      <c r="L373">
        <f>_xll.IMDP("STK",표.실시간[[#This Row],[nxt_code]],"등락률")</f>
        <v>-3.11</v>
      </c>
      <c r="M373" s="2">
        <f>_xll.IMDP("STK",표.실시간[[#This Row],[nxt_code]],"누적거래량")</f>
        <v>5183</v>
      </c>
      <c r="N373" s="2">
        <f>_xll.IMDP("STK",표.실시간[[#This Row],[nxt_code]],"누적거래대금")/10^8</f>
        <v>3.7794050000000001</v>
      </c>
      <c r="O373" s="2">
        <f>_xll.IMDP("STK",표.실시간[[#This Row],[nxt_code]],"가중평균가")</f>
        <v>72919.255258000005</v>
      </c>
      <c r="P373" s="2">
        <f>_xll.IMDP("STK",표.실시간[[#This Row],[nxt_code]],"시가")</f>
        <v>74000</v>
      </c>
      <c r="Q373" s="2">
        <f>_xll.IMDP("STK",표.실시간[[#This Row],[nxt_code]],"고가")</f>
        <v>74200</v>
      </c>
      <c r="R373" s="2">
        <f>_xll.IMDP("STK",표.실시간[[#This Row],[nxt_code]],"저가")</f>
        <v>71400</v>
      </c>
      <c r="S373">
        <f>_xll.IMDP("STK",표.실시간[[#This Row],[nxt_code]],"세션명")</f>
        <v>0</v>
      </c>
      <c r="T373">
        <f>_xll.IMDP("STK",표.실시간[[#This Row],[nxt_code]],"체결시간")</f>
        <v>0</v>
      </c>
      <c r="U373" s="2">
        <f>_xll.IMDP("STK","067160","현재가")</f>
        <v>72100</v>
      </c>
      <c r="V373">
        <f>_xll.IMDP("STK","067160","누적거래량")</f>
        <v>13433</v>
      </c>
    </row>
    <row r="374" spans="2:22" x14ac:dyDescent="0.3">
      <c r="B374">
        <v>366</v>
      </c>
      <c r="C374">
        <v>1</v>
      </c>
      <c r="D374">
        <f>IF(IFERROR(INDEX(표.kospi200[code],MATCH(표.실시간[[#This Row],[코드]],표.kospi200[code],0)),0)=0,0,1)</f>
        <v>1</v>
      </c>
      <c r="E374" t="s">
        <v>379</v>
      </c>
      <c r="F374">
        <v>1680</v>
      </c>
      <c r="G374" t="str">
        <f>ConvertStockCode(표.실시간[[#This Row],[코드]])</f>
        <v>N001680</v>
      </c>
      <c r="H374" s="2">
        <f>_xll.IMDP("STK",표.실시간[[#This Row],[nxt_code]],"현재가")</f>
        <v>21600</v>
      </c>
      <c r="I374" s="2">
        <f>_xll.IMDP("STK",표.실시간[[#This Row],[nxt_code]],"시가총액")/10^12</f>
        <v>0.74839734000000002</v>
      </c>
      <c r="J374" s="2">
        <f>표.실시간[[#This Row],[시가총액 (조원)]]/표.실시간[[#This Row],[현재가]]*(표.실시간[[#This Row],[현재가]]-표.실시간[[#This Row],[대비]])</f>
        <v>0.75012974124999998</v>
      </c>
      <c r="K374" s="3">
        <f>_xll.IMDP("STK",표.실시간[[#This Row],[nxt_code]],"전일대비")</f>
        <v>-50</v>
      </c>
      <c r="L374">
        <f>_xll.IMDP("STK",표.실시간[[#This Row],[nxt_code]],"등락률")</f>
        <v>-0.23</v>
      </c>
      <c r="M374" s="2">
        <f>_xll.IMDP("STK",표.실시간[[#This Row],[nxt_code]],"누적거래량")</f>
        <v>9733</v>
      </c>
      <c r="N374" s="2">
        <f>_xll.IMDP("STK",표.실시간[[#This Row],[nxt_code]],"누적거래대금")/10^8</f>
        <v>2.0951374999999999</v>
      </c>
      <c r="O374" s="2">
        <f>_xll.IMDP("STK",표.실시간[[#This Row],[nxt_code]],"가중평균가")</f>
        <v>21526.122469999998</v>
      </c>
      <c r="P374" s="2">
        <f>_xll.IMDP("STK",표.실시간[[#This Row],[nxt_code]],"시가")</f>
        <v>21650</v>
      </c>
      <c r="Q374" s="2">
        <f>_xll.IMDP("STK",표.실시간[[#This Row],[nxt_code]],"고가")</f>
        <v>21650</v>
      </c>
      <c r="R374" s="2">
        <f>_xll.IMDP("STK",표.실시간[[#This Row],[nxt_code]],"저가")</f>
        <v>21450</v>
      </c>
      <c r="S374">
        <f>_xll.IMDP("STK",표.실시간[[#This Row],[nxt_code]],"세션명")</f>
        <v>0</v>
      </c>
      <c r="T374">
        <f>_xll.IMDP("STK",표.실시간[[#This Row],[nxt_code]],"체결시간")</f>
        <v>0</v>
      </c>
      <c r="U374" s="2">
        <f>_xll.IMDP("STK","001680","현재가")</f>
        <v>21600</v>
      </c>
      <c r="V374">
        <f>_xll.IMDP("STK","001680","누적거래량")</f>
        <v>6313</v>
      </c>
    </row>
    <row r="375" spans="2:22" x14ac:dyDescent="0.3">
      <c r="B375">
        <v>367</v>
      </c>
      <c r="C375">
        <v>0</v>
      </c>
      <c r="D375">
        <f>IF(IFERROR(INDEX(표.kospi200[code],MATCH(표.실시간[[#This Row],[코드]],표.kospi200[code],0)),0)=0,0,1)</f>
        <v>0</v>
      </c>
      <c r="E375" t="s">
        <v>380</v>
      </c>
      <c r="F375">
        <v>336570</v>
      </c>
      <c r="G375" t="str">
        <f>ConvertStockCode(표.실시간[[#This Row],[코드]])</f>
        <v>N336570</v>
      </c>
      <c r="H375" s="2">
        <f>_xll.IMDP("STK",표.실시간[[#This Row],[nxt_code]],"현재가")</f>
        <v>9780</v>
      </c>
      <c r="I375" s="2">
        <f>_xll.IMDP("STK",표.실시간[[#This Row],[nxt_code]],"시가총액")/10^12</f>
        <v>0.87989581266000005</v>
      </c>
      <c r="J375" s="2">
        <f>표.실시간[[#This Row],[시가총액 (조원)]]/표.실시간[[#This Row],[현재가]]*(표.실시간[[#This Row],[현재가]]-표.실시간[[#This Row],[대비]])</f>
        <v>0.92038181631000016</v>
      </c>
      <c r="K375" s="3">
        <f>_xll.IMDP("STK",표.실시간[[#This Row],[nxt_code]],"전일대비")</f>
        <v>-450</v>
      </c>
      <c r="L375">
        <f>_xll.IMDP("STK",표.실시간[[#This Row],[nxt_code]],"등락률")</f>
        <v>-4.3099999999999996</v>
      </c>
      <c r="M375" s="2">
        <f>_xll.IMDP("STK",표.실시간[[#This Row],[nxt_code]],"누적거래량")</f>
        <v>737610</v>
      </c>
      <c r="N375" s="2">
        <f>_xll.IMDP("STK",표.실시간[[#This Row],[nxt_code]],"누적거래대금")/10^8</f>
        <v>72.430349750000005</v>
      </c>
      <c r="O375" s="2">
        <f>_xll.IMDP("STK",표.실시간[[#This Row],[nxt_code]],"가중평균가")</f>
        <v>9819.5731290000003</v>
      </c>
      <c r="P375" s="2">
        <f>_xll.IMDP("STK",표.실시간[[#This Row],[nxt_code]],"시가")</f>
        <v>10240</v>
      </c>
      <c r="Q375" s="2">
        <f>_xll.IMDP("STK",표.실시간[[#This Row],[nxt_code]],"고가")</f>
        <v>10270</v>
      </c>
      <c r="R375" s="2">
        <f>_xll.IMDP("STK",표.실시간[[#This Row],[nxt_code]],"저가")</f>
        <v>9620</v>
      </c>
      <c r="S375">
        <f>_xll.IMDP("STK",표.실시간[[#This Row],[nxt_code]],"세션명")</f>
        <v>0</v>
      </c>
      <c r="T375">
        <f>_xll.IMDP("STK",표.실시간[[#This Row],[nxt_code]],"체결시간")</f>
        <v>0</v>
      </c>
      <c r="U375" s="2">
        <f>_xll.IMDP("STK","336570","현재가")</f>
        <v>9850</v>
      </c>
      <c r="V375">
        <f>_xll.IMDP("STK","336570","누적거래량")</f>
        <v>227715</v>
      </c>
    </row>
    <row r="376" spans="2:22" x14ac:dyDescent="0.3">
      <c r="B376">
        <v>368</v>
      </c>
      <c r="C376">
        <v>0</v>
      </c>
      <c r="D376">
        <f>IF(IFERROR(INDEX(표.kospi200[code],MATCH(표.실시간[[#This Row],[코드]],표.kospi200[code],0)),0)=0,0,1)</f>
        <v>0</v>
      </c>
      <c r="E376" t="s">
        <v>381</v>
      </c>
      <c r="F376">
        <v>25980</v>
      </c>
      <c r="G376" t="str">
        <f>ConvertStockCode(표.실시간[[#This Row],[코드]])</f>
        <v>N025980</v>
      </c>
      <c r="H376" s="2">
        <f>_xll.IMDP("STK",표.실시간[[#This Row],[nxt_code]],"현재가")</f>
        <v>8110</v>
      </c>
      <c r="I376" s="2">
        <f>_xll.IMDP("STK",표.실시간[[#This Row],[nxt_code]],"시가총액")/10^12</f>
        <v>0.76801323696000001</v>
      </c>
      <c r="J376" s="2">
        <f>표.실시간[[#This Row],[시가총액 (조원)]]/표.실시간[[#This Row],[현재가]]*(표.실시간[[#This Row],[현재가]]-표.실시간[[#This Row],[대비]])</f>
        <v>0.7954761024</v>
      </c>
      <c r="K376" s="3">
        <f>_xll.IMDP("STK",표.실시간[[#This Row],[nxt_code]],"전일대비")</f>
        <v>-290</v>
      </c>
      <c r="L376">
        <f>_xll.IMDP("STK",표.실시간[[#This Row],[nxt_code]],"등락률")</f>
        <v>-3.57</v>
      </c>
      <c r="M376" s="2">
        <f>_xll.IMDP("STK",표.실시간[[#This Row],[nxt_code]],"누적거래량")</f>
        <v>228474</v>
      </c>
      <c r="N376" s="2">
        <f>_xll.IMDP("STK",표.실시간[[#This Row],[nxt_code]],"누적거래대금")/10^8</f>
        <v>18.7139329</v>
      </c>
      <c r="O376" s="2">
        <f>_xll.IMDP("STK",표.실시간[[#This Row],[nxt_code]],"가중평균가")</f>
        <v>8190.836988</v>
      </c>
      <c r="P376" s="2">
        <f>_xll.IMDP("STK",표.실시간[[#This Row],[nxt_code]],"시가")</f>
        <v>8360</v>
      </c>
      <c r="Q376" s="2">
        <f>_xll.IMDP("STK",표.실시간[[#This Row],[nxt_code]],"고가")</f>
        <v>8400</v>
      </c>
      <c r="R376" s="2">
        <f>_xll.IMDP("STK",표.실시간[[#This Row],[nxt_code]],"저가")</f>
        <v>8080</v>
      </c>
      <c r="S376">
        <f>_xll.IMDP("STK",표.실시간[[#This Row],[nxt_code]],"세션명")</f>
        <v>0</v>
      </c>
      <c r="T376">
        <f>_xll.IMDP("STK",표.실시간[[#This Row],[nxt_code]],"체결시간")</f>
        <v>0</v>
      </c>
      <c r="U376" s="2">
        <f>_xll.IMDP("STK","025980","현재가")</f>
        <v>8100</v>
      </c>
      <c r="V376">
        <f>_xll.IMDP("STK","025980","누적거래량")</f>
        <v>112286</v>
      </c>
    </row>
    <row r="377" spans="2:22" x14ac:dyDescent="0.3">
      <c r="B377">
        <v>369</v>
      </c>
      <c r="C377">
        <v>0</v>
      </c>
      <c r="D377">
        <f>IF(IFERROR(INDEX(표.kospi200[code],MATCH(표.실시간[[#This Row],[코드]],표.kospi200[code],0)),0)=0,0,1)</f>
        <v>0</v>
      </c>
      <c r="E377" t="s">
        <v>382</v>
      </c>
      <c r="F377">
        <v>125490</v>
      </c>
      <c r="G377" t="str">
        <f>ConvertStockCode(표.실시간[[#This Row],[코드]])</f>
        <v>N125490</v>
      </c>
      <c r="H377" s="2">
        <f>_xll.IMDP("STK",표.실시간[[#This Row],[nxt_code]],"현재가")</f>
        <v>24850</v>
      </c>
      <c r="I377" s="2">
        <f>_xll.IMDP("STK",표.실시간[[#This Row],[nxt_code]],"시가총액")/10^12</f>
        <v>0.9070834472</v>
      </c>
      <c r="J377" s="2">
        <f>표.실시간[[#This Row],[시가총액 (조원)]]/표.실시간[[#This Row],[현재가]]*(표.실시간[[#This Row],[현재가]]-표.실시간[[#This Row],[대비]])</f>
        <v>0.86328062480000001</v>
      </c>
      <c r="K377" s="3">
        <f>_xll.IMDP("STK",표.실시간[[#This Row],[nxt_code]],"전일대비")</f>
        <v>1200</v>
      </c>
      <c r="L377">
        <f>_xll.IMDP("STK",표.실시간[[#This Row],[nxt_code]],"등락률")</f>
        <v>3.54</v>
      </c>
      <c r="M377" s="2">
        <f>_xll.IMDP("STK",표.실시간[[#This Row],[nxt_code]],"누적거래량")</f>
        <v>3725150</v>
      </c>
      <c r="N377" s="2">
        <f>_xll.IMDP("STK",표.실시간[[#This Row],[nxt_code]],"누적거래대금")/10^8</f>
        <v>901.20294049999995</v>
      </c>
      <c r="O377" s="2">
        <f>_xll.IMDP("STK",표.실시간[[#This Row],[nxt_code]],"가중평균가")</f>
        <v>24192.393339999999</v>
      </c>
      <c r="P377" s="2">
        <f>_xll.IMDP("STK",표.실시간[[#This Row],[nxt_code]],"시가")</f>
        <v>23500</v>
      </c>
      <c r="Q377" s="2">
        <f>_xll.IMDP("STK",표.실시간[[#This Row],[nxt_code]],"고가")</f>
        <v>25350</v>
      </c>
      <c r="R377" s="2">
        <f>_xll.IMDP("STK",표.실시간[[#This Row],[nxt_code]],"저가")</f>
        <v>23250</v>
      </c>
      <c r="S377">
        <f>_xll.IMDP("STK",표.실시간[[#This Row],[nxt_code]],"세션명")</f>
        <v>0</v>
      </c>
      <c r="T377">
        <f>_xll.IMDP("STK",표.실시간[[#This Row],[nxt_code]],"체결시간")</f>
        <v>0</v>
      </c>
      <c r="U377" s="2">
        <f>_xll.IMDP("STK","125490","현재가")</f>
        <v>24850</v>
      </c>
      <c r="V377">
        <f>_xll.IMDP("STK","125490","누적거래량")</f>
        <v>1517888</v>
      </c>
    </row>
    <row r="378" spans="2:22" x14ac:dyDescent="0.3">
      <c r="B378">
        <v>370</v>
      </c>
      <c r="C378">
        <v>1</v>
      </c>
      <c r="D378">
        <f>IF(IFERROR(INDEX(표.kospi200[code],MATCH(표.실시간[[#This Row],[코드]],표.kospi200[code],0)),0)=0,0,1)</f>
        <v>0</v>
      </c>
      <c r="E378" t="s">
        <v>383</v>
      </c>
      <c r="F378">
        <v>214320</v>
      </c>
      <c r="G378" t="str">
        <f>ConvertStockCode(표.실시간[[#This Row],[코드]])</f>
        <v>N214320</v>
      </c>
      <c r="H378" s="2">
        <f>_xll.IMDP("STK",표.실시간[[#This Row],[nxt_code]],"현재가")</f>
        <v>18850</v>
      </c>
      <c r="I378" s="2">
        <f>_xll.IMDP("STK",표.실시간[[#This Row],[nxt_code]],"시가총액")/10^12</f>
        <v>0.754</v>
      </c>
      <c r="J378" s="2">
        <f>표.실시간[[#This Row],[시가총액 (조원)]]/표.실시간[[#This Row],[현재가]]*(표.실시간[[#This Row],[현재가]]-표.실시간[[#This Row],[대비]])</f>
        <v>0.76040000000000008</v>
      </c>
      <c r="K378" s="3">
        <f>_xll.IMDP("STK",표.실시간[[#This Row],[nxt_code]],"전일대비")</f>
        <v>-160</v>
      </c>
      <c r="L378">
        <f>_xll.IMDP("STK",표.실시간[[#This Row],[nxt_code]],"등락률")</f>
        <v>-0.84</v>
      </c>
      <c r="M378" s="2">
        <f>_xll.IMDP("STK",표.실시간[[#This Row],[nxt_code]],"누적거래량")</f>
        <v>5285</v>
      </c>
      <c r="N378" s="2">
        <f>_xll.IMDP("STK",표.실시간[[#This Row],[nxt_code]],"누적거래대금")/10^8</f>
        <v>0.99561219999999995</v>
      </c>
      <c r="O378" s="2">
        <f>_xll.IMDP("STK",표.실시간[[#This Row],[nxt_code]],"가중평균가")</f>
        <v>18838.452223</v>
      </c>
      <c r="P378" s="2">
        <f>_xll.IMDP("STK",표.실시간[[#This Row],[nxt_code]],"시가")</f>
        <v>18940</v>
      </c>
      <c r="Q378" s="2">
        <f>_xll.IMDP("STK",표.실시간[[#This Row],[nxt_code]],"고가")</f>
        <v>18940</v>
      </c>
      <c r="R378" s="2">
        <f>_xll.IMDP("STK",표.실시간[[#This Row],[nxt_code]],"저가")</f>
        <v>18760</v>
      </c>
      <c r="S378">
        <f>_xll.IMDP("STK",표.실시간[[#This Row],[nxt_code]],"세션명")</f>
        <v>0</v>
      </c>
      <c r="T378">
        <f>_xll.IMDP("STK",표.실시간[[#This Row],[nxt_code]],"체결시간")</f>
        <v>0</v>
      </c>
      <c r="U378" s="2">
        <f>_xll.IMDP("STK","214320","현재가")</f>
        <v>18850</v>
      </c>
      <c r="V378">
        <f>_xll.IMDP("STK","214320","누적거래량")</f>
        <v>6675</v>
      </c>
    </row>
    <row r="379" spans="2:22" x14ac:dyDescent="0.3">
      <c r="B379">
        <v>371</v>
      </c>
      <c r="C379">
        <v>1</v>
      </c>
      <c r="D379">
        <f>IF(IFERROR(INDEX(표.kospi200[code],MATCH(표.실시간[[#This Row],[코드]],표.kospi200[code],0)),0)=0,0,1)</f>
        <v>0</v>
      </c>
      <c r="E379" t="s">
        <v>384</v>
      </c>
      <c r="F379">
        <v>381970</v>
      </c>
      <c r="G379" t="str">
        <f>ConvertStockCode(표.실시간[[#This Row],[코드]])</f>
        <v>N381970</v>
      </c>
      <c r="H379" s="2">
        <f>_xll.IMDP("STK",표.실시간[[#This Row],[nxt_code]],"현재가")</f>
        <v>15310</v>
      </c>
      <c r="I379" s="2">
        <f>_xll.IMDP("STK",표.실시간[[#This Row],[nxt_code]],"시가총액")/10^12</f>
        <v>0.74744718288000001</v>
      </c>
      <c r="J379" s="2">
        <f>표.실시간[[#This Row],[시가총액 (조원)]]/표.실시간[[#This Row],[현재가]]*(표.실시간[[#This Row],[현재가]]-표.실시간[[#This Row],[대비]])</f>
        <v>0.75184105919999999</v>
      </c>
      <c r="K379" s="3">
        <f>_xll.IMDP("STK",표.실시간[[#This Row],[nxt_code]],"전일대비")</f>
        <v>-90</v>
      </c>
      <c r="L379">
        <f>_xll.IMDP("STK",표.실시간[[#This Row],[nxt_code]],"등락률")</f>
        <v>-0.57999999999999996</v>
      </c>
      <c r="M379" s="2">
        <f>_xll.IMDP("STK",표.실시간[[#This Row],[nxt_code]],"누적거래량")</f>
        <v>5101</v>
      </c>
      <c r="N379" s="2">
        <f>_xll.IMDP("STK",표.실시간[[#This Row],[nxt_code]],"누적거래대금")/10^8</f>
        <v>0.78514910000000004</v>
      </c>
      <c r="O379" s="2">
        <f>_xll.IMDP("STK",표.실시간[[#This Row],[nxt_code]],"가중평균가")</f>
        <v>15392.062341000001</v>
      </c>
      <c r="P379" s="2">
        <f>_xll.IMDP("STK",표.실시간[[#This Row],[nxt_code]],"시가")</f>
        <v>15330</v>
      </c>
      <c r="Q379" s="2">
        <f>_xll.IMDP("STK",표.실시간[[#This Row],[nxt_code]],"고가")</f>
        <v>15500</v>
      </c>
      <c r="R379" s="2">
        <f>_xll.IMDP("STK",표.실시간[[#This Row],[nxt_code]],"저가")</f>
        <v>15260</v>
      </c>
      <c r="S379">
        <f>_xll.IMDP("STK",표.실시간[[#This Row],[nxt_code]],"세션명")</f>
        <v>0</v>
      </c>
      <c r="T379">
        <f>_xll.IMDP("STK",표.실시간[[#This Row],[nxt_code]],"체결시간")</f>
        <v>0</v>
      </c>
      <c r="U379" s="2">
        <f>_xll.IMDP("STK","381970","현재가")</f>
        <v>15320</v>
      </c>
      <c r="V379">
        <f>_xll.IMDP("STK","381970","누적거래량")</f>
        <v>2820</v>
      </c>
    </row>
    <row r="380" spans="2:22" x14ac:dyDescent="0.3">
      <c r="B380">
        <v>372</v>
      </c>
      <c r="C380">
        <v>1</v>
      </c>
      <c r="D380">
        <f>IF(IFERROR(INDEX(표.kospi200[code],MATCH(표.실시간[[#This Row],[코드]],표.kospi200[code],0)),0)=0,0,1)</f>
        <v>0</v>
      </c>
      <c r="E380" t="s">
        <v>385</v>
      </c>
      <c r="F380">
        <v>248070</v>
      </c>
      <c r="G380" t="str">
        <f>ConvertStockCode(표.실시간[[#This Row],[코드]])</f>
        <v>N248070</v>
      </c>
      <c r="H380" s="2">
        <f>_xll.IMDP("STK",표.실시간[[#This Row],[nxt_code]],"현재가")</f>
        <v>15580</v>
      </c>
      <c r="I380" s="2">
        <f>_xll.IMDP("STK",표.실시간[[#This Row],[nxt_code]],"시가총액")/10^12</f>
        <v>0.74497695687999999</v>
      </c>
      <c r="J380" s="2">
        <f>표.실시간[[#This Row],[시가총액 (조원)]]/표.실시간[[#This Row],[현재가]]*(표.실시간[[#This Row],[현재가]]-표.실시간[[#This Row],[대비]])</f>
        <v>0.75645285351999991</v>
      </c>
      <c r="K380" s="3">
        <f>_xll.IMDP("STK",표.실시간[[#This Row],[nxt_code]],"전일대비")</f>
        <v>-240</v>
      </c>
      <c r="L380">
        <f>_xll.IMDP("STK",표.실시간[[#This Row],[nxt_code]],"등락률")</f>
        <v>-1.39</v>
      </c>
      <c r="M380" s="2">
        <f>_xll.IMDP("STK",표.실시간[[#This Row],[nxt_code]],"누적거래량")</f>
        <v>9707</v>
      </c>
      <c r="N380" s="2">
        <f>_xll.IMDP("STK",표.실시간[[#This Row],[nxt_code]],"누적거래대금")/10^8</f>
        <v>1.5063382999999999</v>
      </c>
      <c r="O380" s="2">
        <f>_xll.IMDP("STK",표.실시간[[#This Row],[nxt_code]],"가중평균가")</f>
        <v>15518.062223000001</v>
      </c>
      <c r="P380" s="2">
        <f>_xll.IMDP("STK",표.실시간[[#This Row],[nxt_code]],"시가")</f>
        <v>15800</v>
      </c>
      <c r="Q380" s="2">
        <f>_xll.IMDP("STK",표.실시간[[#This Row],[nxt_code]],"고가")</f>
        <v>15800</v>
      </c>
      <c r="R380" s="2">
        <f>_xll.IMDP("STK",표.실시간[[#This Row],[nxt_code]],"저가")</f>
        <v>15420</v>
      </c>
      <c r="S380">
        <f>_xll.IMDP("STK",표.실시간[[#This Row],[nxt_code]],"세션명")</f>
        <v>0</v>
      </c>
      <c r="T380">
        <f>_xll.IMDP("STK",표.실시간[[#This Row],[nxt_code]],"체결시간")</f>
        <v>0</v>
      </c>
      <c r="U380" s="2">
        <f>_xll.IMDP("STK","248070","현재가")</f>
        <v>15640</v>
      </c>
      <c r="V380">
        <f>_xll.IMDP("STK","248070","누적거래량")</f>
        <v>6877</v>
      </c>
    </row>
    <row r="381" spans="2:22" x14ac:dyDescent="0.3">
      <c r="B381">
        <v>373</v>
      </c>
      <c r="C381">
        <v>1</v>
      </c>
      <c r="D381">
        <f>IF(IFERROR(INDEX(표.kospi200[code],MATCH(표.실시간[[#This Row],[코드]],표.kospi200[code],0)),0)=0,0,1)</f>
        <v>0</v>
      </c>
      <c r="E381" t="s">
        <v>386</v>
      </c>
      <c r="F381">
        <v>5180</v>
      </c>
      <c r="G381" t="str">
        <f>ConvertStockCode(표.실시간[[#This Row],[코드]])</f>
        <v>N005180</v>
      </c>
      <c r="H381" s="2">
        <f>_xll.IMDP("STK",표.실시간[[#This Row],[nxt_code]],"현재가")</f>
        <v>74200</v>
      </c>
      <c r="I381" s="2">
        <f>_xll.IMDP("STK",표.실시간[[#This Row],[nxt_code]],"시가총액")/10^12</f>
        <v>0.70903316260000004</v>
      </c>
      <c r="J381" s="2">
        <f>표.실시간[[#This Row],[시가총액 (조원)]]/표.실시간[[#This Row],[현재가]]*(표.실시간[[#This Row],[현재가]]-표.실시간[[#This Row],[대비]])</f>
        <v>0.71381101410000003</v>
      </c>
      <c r="K381" s="3">
        <f>_xll.IMDP("STK",표.실시간[[#This Row],[nxt_code]],"전일대비")</f>
        <v>-500</v>
      </c>
      <c r="L381">
        <f>_xll.IMDP("STK",표.실시간[[#This Row],[nxt_code]],"등락률")</f>
        <v>-0.8</v>
      </c>
      <c r="M381" s="2">
        <f>_xll.IMDP("STK",표.실시간[[#This Row],[nxt_code]],"누적거래량")</f>
        <v>6471</v>
      </c>
      <c r="N381" s="2">
        <f>_xll.IMDP("STK",표.실시간[[#This Row],[nxt_code]],"누적거래대금")/10^8</f>
        <v>4.8062750000000003</v>
      </c>
      <c r="O381" s="2">
        <f>_xll.IMDP("STK",표.실시간[[#This Row],[nxt_code]],"가중평균가")</f>
        <v>74274.068922999999</v>
      </c>
      <c r="P381" s="2">
        <f>_xll.IMDP("STK",표.실시간[[#This Row],[nxt_code]],"시가")</f>
        <v>74900</v>
      </c>
      <c r="Q381" s="2">
        <f>_xll.IMDP("STK",표.실시간[[#This Row],[nxt_code]],"고가")</f>
        <v>74900</v>
      </c>
      <c r="R381" s="2">
        <f>_xll.IMDP("STK",표.실시간[[#This Row],[nxt_code]],"저가")</f>
        <v>74100</v>
      </c>
      <c r="S381">
        <f>_xll.IMDP("STK",표.실시간[[#This Row],[nxt_code]],"세션명")</f>
        <v>0</v>
      </c>
      <c r="T381">
        <f>_xll.IMDP("STK",표.실시간[[#This Row],[nxt_code]],"체결시간")</f>
        <v>0</v>
      </c>
      <c r="U381" s="2">
        <f>_xll.IMDP("STK","005180","현재가")</f>
        <v>74300</v>
      </c>
      <c r="V381">
        <f>_xll.IMDP("STK","005180","누적거래량")</f>
        <v>3374</v>
      </c>
    </row>
    <row r="382" spans="2:22" x14ac:dyDescent="0.3">
      <c r="B382">
        <v>374</v>
      </c>
      <c r="C382">
        <v>0</v>
      </c>
      <c r="D382">
        <f>IF(IFERROR(INDEX(표.kospi200[code],MATCH(표.실시간[[#This Row],[코드]],표.kospi200[code],0)),0)=0,0,1)</f>
        <v>0</v>
      </c>
      <c r="E382" t="s">
        <v>387</v>
      </c>
      <c r="F382">
        <v>36810</v>
      </c>
      <c r="G382" t="str">
        <f>ConvertStockCode(표.실시간[[#This Row],[코드]])</f>
        <v>N036810</v>
      </c>
      <c r="H382" s="2">
        <f>_xll.IMDP("STK",표.실시간[[#This Row],[nxt_code]],"현재가")</f>
        <v>45300</v>
      </c>
      <c r="I382" s="2">
        <f>_xll.IMDP("STK",표.실시간[[#This Row],[nxt_code]],"시가총액")/10^12</f>
        <v>0.99462256439999996</v>
      </c>
      <c r="J382" s="2">
        <f>표.실시간[[#This Row],[시가총액 (조원)]]/표.실시간[[#This Row],[현재가]]*(표.실시간[[#This Row],[현재가]]-표.실시간[[#This Row],[대비]])</f>
        <v>1.0308505386</v>
      </c>
      <c r="K382" s="3">
        <f>_xll.IMDP("STK",표.실시간[[#This Row],[nxt_code]],"전일대비")</f>
        <v>-1650</v>
      </c>
      <c r="L382">
        <f>_xll.IMDP("STK",표.실시간[[#This Row],[nxt_code]],"등락률")</f>
        <v>-3.62</v>
      </c>
      <c r="M382" s="2">
        <f>_xll.IMDP("STK",표.실시간[[#This Row],[nxt_code]],"누적거래량")</f>
        <v>142623</v>
      </c>
      <c r="N382" s="2">
        <f>_xll.IMDP("STK",표.실시간[[#This Row],[nxt_code]],"누적거래대금")/10^8</f>
        <v>63.369964000000003</v>
      </c>
      <c r="O382" s="2">
        <f>_xll.IMDP("STK",표.실시간[[#This Row],[nxt_code]],"가중평균가")</f>
        <v>44431.798518000003</v>
      </c>
      <c r="P382" s="2">
        <f>_xll.IMDP("STK",표.실시간[[#This Row],[nxt_code]],"시가")</f>
        <v>45800</v>
      </c>
      <c r="Q382" s="2">
        <f>_xll.IMDP("STK",표.실시간[[#This Row],[nxt_code]],"고가")</f>
        <v>46500</v>
      </c>
      <c r="R382" s="2">
        <f>_xll.IMDP("STK",표.실시간[[#This Row],[nxt_code]],"저가")</f>
        <v>43800</v>
      </c>
      <c r="S382">
        <f>_xll.IMDP("STK",표.실시간[[#This Row],[nxt_code]],"세션명")</f>
        <v>0</v>
      </c>
      <c r="T382">
        <f>_xll.IMDP("STK",표.실시간[[#This Row],[nxt_code]],"체결시간")</f>
        <v>0</v>
      </c>
      <c r="U382" s="2">
        <f>_xll.IMDP("STK","036810","현재가")</f>
        <v>45500</v>
      </c>
      <c r="V382">
        <f>_xll.IMDP("STK","036810","누적거래량")</f>
        <v>49957</v>
      </c>
    </row>
    <row r="383" spans="2:22" x14ac:dyDescent="0.3">
      <c r="B383">
        <v>375</v>
      </c>
      <c r="C383">
        <v>0</v>
      </c>
      <c r="D383">
        <f>IF(IFERROR(INDEX(표.kospi200[code],MATCH(표.실시간[[#This Row],[코드]],표.kospi200[code],0)),0)=0,0,1)</f>
        <v>0</v>
      </c>
      <c r="E383" t="s">
        <v>388</v>
      </c>
      <c r="F383">
        <v>287840</v>
      </c>
      <c r="G383" t="str">
        <f>ConvertStockCode(표.실시간[[#This Row],[코드]])</f>
        <v>N287840</v>
      </c>
      <c r="H383" s="2">
        <f>_xll.IMDP("STK",표.실시간[[#This Row],[nxt_code]],"현재가")</f>
        <v>49650</v>
      </c>
      <c r="I383" s="2">
        <f>_xll.IMDP("STK",표.실시간[[#This Row],[nxt_code]],"시가총액")/10^12</f>
        <v>0.74534381400000005</v>
      </c>
      <c r="J383" s="2">
        <f>표.실시간[[#This Row],[시가총액 (조원)]]/표.실시간[[#This Row],[현재가]]*(표.실시간[[#This Row],[현재가]]-표.실시간[[#This Row],[대비]])</f>
        <v>0.75284979399999996</v>
      </c>
      <c r="K383" s="3">
        <f>_xll.IMDP("STK",표.실시간[[#This Row],[nxt_code]],"전일대비")</f>
        <v>-500</v>
      </c>
      <c r="L383">
        <f>_xll.IMDP("STK",표.실시간[[#This Row],[nxt_code]],"등락률")</f>
        <v>-0.9</v>
      </c>
      <c r="M383" s="2">
        <f>_xll.IMDP("STK",표.실시간[[#This Row],[nxt_code]],"누적거래량")</f>
        <v>24945</v>
      </c>
      <c r="N383" s="2">
        <f>_xll.IMDP("STK",표.실시간[[#This Row],[nxt_code]],"누적거래대금")/10^8</f>
        <v>12.137184</v>
      </c>
      <c r="O383" s="2">
        <f>_xll.IMDP("STK",표.실시간[[#This Row],[nxt_code]],"가중평균가")</f>
        <v>48655.499639000001</v>
      </c>
      <c r="P383" s="2">
        <f>_xll.IMDP("STK",표.실시간[[#This Row],[nxt_code]],"시가")</f>
        <v>49650</v>
      </c>
      <c r="Q383" s="2">
        <f>_xll.IMDP("STK",표.실시간[[#This Row],[nxt_code]],"고가")</f>
        <v>50200</v>
      </c>
      <c r="R383" s="2">
        <f>_xll.IMDP("STK",표.실시간[[#This Row],[nxt_code]],"저가")</f>
        <v>48000</v>
      </c>
      <c r="S383">
        <f>_xll.IMDP("STK",표.실시간[[#This Row],[nxt_code]],"세션명")</f>
        <v>0</v>
      </c>
      <c r="T383">
        <f>_xll.IMDP("STK",표.실시간[[#This Row],[nxt_code]],"체결시간")</f>
        <v>0</v>
      </c>
      <c r="U383" s="2">
        <f>_xll.IMDP("STK","287840","현재가")</f>
        <v>49650</v>
      </c>
      <c r="V383">
        <f>_xll.IMDP("STK","287840","누적거래량")</f>
        <v>10727</v>
      </c>
    </row>
    <row r="384" spans="2:22" x14ac:dyDescent="0.3">
      <c r="B384">
        <v>376</v>
      </c>
      <c r="C384">
        <v>1</v>
      </c>
      <c r="D384">
        <f>IF(IFERROR(INDEX(표.kospi200[code],MATCH(표.실시간[[#This Row],[코드]],표.kospi200[code],0)),0)=0,0,1)</f>
        <v>1</v>
      </c>
      <c r="E384" t="s">
        <v>389</v>
      </c>
      <c r="F384">
        <v>14820</v>
      </c>
      <c r="G384" t="str">
        <f>ConvertStockCode(표.실시간[[#This Row],[코드]])</f>
        <v>N014820</v>
      </c>
      <c r="H384" s="2">
        <f>_xll.IMDP("STK",표.실시간[[#This Row],[nxt_code]],"현재가")</f>
        <v>28500</v>
      </c>
      <c r="I384" s="2">
        <f>_xll.IMDP("STK",표.실시간[[#This Row],[nxt_code]],"시가총액")/10^12</f>
        <v>0.82625153699999998</v>
      </c>
      <c r="J384" s="2">
        <f>표.실시간[[#This Row],[시가총액 (조원)]]/표.실시간[[#This Row],[현재가]]*(표.실시간[[#This Row],[현재가]]-표.실시간[[#This Row],[대비]])</f>
        <v>0.8204532806</v>
      </c>
      <c r="K384" s="3">
        <f>_xll.IMDP("STK",표.실시간[[#This Row],[nxt_code]],"전일대비")</f>
        <v>200</v>
      </c>
      <c r="L384">
        <f>_xll.IMDP("STK",표.실시간[[#This Row],[nxt_code]],"등락률")</f>
        <v>2.33</v>
      </c>
      <c r="M384" s="2">
        <f>_xll.IMDP("STK",표.실시간[[#This Row],[nxt_code]],"누적거래량")</f>
        <v>12020</v>
      </c>
      <c r="N384" s="2">
        <f>_xll.IMDP("STK",표.실시간[[#This Row],[nxt_code]],"누적거래대금")/10^8</f>
        <v>3.3965255000000001</v>
      </c>
      <c r="O384" s="2">
        <f>_xll.IMDP("STK",표.실시간[[#This Row],[nxt_code]],"가중평균가")</f>
        <v>28221.694817</v>
      </c>
      <c r="P384" s="2">
        <f>_xll.IMDP("STK",표.실시간[[#This Row],[nxt_code]],"시가")</f>
        <v>28400</v>
      </c>
      <c r="Q384" s="2">
        <f>_xll.IMDP("STK",표.실시간[[#This Row],[nxt_code]],"고가")</f>
        <v>28650</v>
      </c>
      <c r="R384" s="2">
        <f>_xll.IMDP("STK",표.실시간[[#This Row],[nxt_code]],"저가")</f>
        <v>27750</v>
      </c>
      <c r="S384">
        <f>_xll.IMDP("STK",표.실시간[[#This Row],[nxt_code]],"세션명")</f>
        <v>0</v>
      </c>
      <c r="T384">
        <f>_xll.IMDP("STK",표.실시간[[#This Row],[nxt_code]],"체결시간")</f>
        <v>0</v>
      </c>
      <c r="U384" s="2">
        <f>_xll.IMDP("STK","014820","현재가")</f>
        <v>28300</v>
      </c>
      <c r="V384">
        <f>_xll.IMDP("STK","014820","누적거래량")</f>
        <v>4472</v>
      </c>
    </row>
    <row r="385" spans="2:22" x14ac:dyDescent="0.3">
      <c r="B385">
        <v>377</v>
      </c>
      <c r="C385">
        <v>1</v>
      </c>
      <c r="D385">
        <f>IF(IFERROR(INDEX(표.kospi200[code],MATCH(표.실시간[[#This Row],[코드]],표.kospi200[code],0)),0)=0,0,1)</f>
        <v>0</v>
      </c>
      <c r="E385" t="s">
        <v>390</v>
      </c>
      <c r="F385">
        <v>79900</v>
      </c>
      <c r="G385" t="str">
        <f>ConvertStockCode(표.실시간[[#This Row],[코드]])</f>
        <v>N079900</v>
      </c>
      <c r="H385" s="2">
        <f>_xll.IMDP("STK",표.실시간[[#This Row],[nxt_code]],"현재가")</f>
        <v>50700</v>
      </c>
      <c r="I385" s="2">
        <f>_xll.IMDP("STK",표.실시간[[#This Row],[nxt_code]],"시가총액")/10^12</f>
        <v>0.73984203150000005</v>
      </c>
      <c r="J385" s="2">
        <f>표.실시간[[#This Row],[시가총액 (조원)]]/표.실시간[[#This Row],[현재가]]*(표.실시간[[#This Row],[현재가]]-표.실시간[[#This Row],[대비]])</f>
        <v>0.7383827770000001</v>
      </c>
      <c r="K385" s="3">
        <f>_xll.IMDP("STK",표.실시간[[#This Row],[nxt_code]],"전일대비")</f>
        <v>100</v>
      </c>
      <c r="L385">
        <f>_xll.IMDP("STK",표.실시간[[#This Row],[nxt_code]],"등락률")</f>
        <v>0.2</v>
      </c>
      <c r="M385" s="2">
        <f>_xll.IMDP("STK",표.실시간[[#This Row],[nxt_code]],"누적거래량")</f>
        <v>25785</v>
      </c>
      <c r="N385" s="2">
        <f>_xll.IMDP("STK",표.실시간[[#This Row],[nxt_code]],"누적거래대금")/10^8</f>
        <v>12.984618749999999</v>
      </c>
      <c r="O385" s="2">
        <f>_xll.IMDP("STK",표.실시간[[#This Row],[nxt_code]],"가중평균가")</f>
        <v>50357.257125999997</v>
      </c>
      <c r="P385" s="2">
        <f>_xll.IMDP("STK",표.실시간[[#This Row],[nxt_code]],"시가")</f>
        <v>51000</v>
      </c>
      <c r="Q385" s="2">
        <f>_xll.IMDP("STK",표.실시간[[#This Row],[nxt_code]],"고가")</f>
        <v>51500</v>
      </c>
      <c r="R385" s="2">
        <f>_xll.IMDP("STK",표.실시간[[#This Row],[nxt_code]],"저가")</f>
        <v>49550</v>
      </c>
      <c r="S385">
        <f>_xll.IMDP("STK",표.실시간[[#This Row],[nxt_code]],"세션명")</f>
        <v>0</v>
      </c>
      <c r="T385">
        <f>_xll.IMDP("STK",표.실시간[[#This Row],[nxt_code]],"체결시간")</f>
        <v>0</v>
      </c>
      <c r="U385" s="2">
        <f>_xll.IMDP("STK","079900","현재가")</f>
        <v>50600</v>
      </c>
      <c r="V385">
        <f>_xll.IMDP("STK","079900","누적거래량")</f>
        <v>9804</v>
      </c>
    </row>
    <row r="386" spans="2:22" x14ac:dyDescent="0.3">
      <c r="B386">
        <v>378</v>
      </c>
      <c r="C386">
        <v>0</v>
      </c>
      <c r="D386">
        <f>IF(IFERROR(INDEX(표.kospi200[code],MATCH(표.실시간[[#This Row],[코드]],표.kospi200[code],0)),0)=0,0,1)</f>
        <v>0</v>
      </c>
      <c r="E386" t="s">
        <v>391</v>
      </c>
      <c r="F386">
        <v>399720</v>
      </c>
      <c r="G386" t="str">
        <f>ConvertStockCode(표.실시간[[#This Row],[코드]])</f>
        <v>N399720</v>
      </c>
      <c r="H386" s="2">
        <f>_xll.IMDP("STK",표.실시간[[#This Row],[nxt_code]],"현재가")</f>
        <v>69400</v>
      </c>
      <c r="I386" s="2">
        <f>_xll.IMDP("STK",표.실시간[[#This Row],[nxt_code]],"시가총액")/10^12</f>
        <v>0.80506914799999996</v>
      </c>
      <c r="J386" s="2">
        <f>표.실시간[[#This Row],[시가총액 (조원)]]/표.실시간[[#This Row],[현재가]]*(표.실시간[[#This Row],[현재가]]-표.실시간[[#This Row],[대비]])</f>
        <v>0.84219049199999996</v>
      </c>
      <c r="K386" s="3">
        <f>_xll.IMDP("STK",표.실시간[[#This Row],[nxt_code]],"전일대비")</f>
        <v>-3200</v>
      </c>
      <c r="L386">
        <f>_xll.IMDP("STK",표.실시간[[#This Row],[nxt_code]],"등락률")</f>
        <v>-4.41</v>
      </c>
      <c r="M386" s="2">
        <f>_xll.IMDP("STK",표.실시간[[#This Row],[nxt_code]],"누적거래량")</f>
        <v>61738</v>
      </c>
      <c r="N386" s="2">
        <f>_xll.IMDP("STK",표.실시간[[#This Row],[nxt_code]],"누적거래대금")/10^8</f>
        <v>42.842965999999997</v>
      </c>
      <c r="O386" s="2">
        <f>_xll.IMDP("STK",표.실시간[[#This Row],[nxt_code]],"가중평균가")</f>
        <v>69394.807088000001</v>
      </c>
      <c r="P386" s="2">
        <f>_xll.IMDP("STK",표.실시간[[#This Row],[nxt_code]],"시가")</f>
        <v>71700</v>
      </c>
      <c r="Q386" s="2">
        <f>_xll.IMDP("STK",표.실시간[[#This Row],[nxt_code]],"고가")</f>
        <v>72500</v>
      </c>
      <c r="R386" s="2">
        <f>_xll.IMDP("STK",표.실시간[[#This Row],[nxt_code]],"저가")</f>
        <v>68100</v>
      </c>
      <c r="S386">
        <f>_xll.IMDP("STK",표.실시간[[#This Row],[nxt_code]],"세션명")</f>
        <v>0</v>
      </c>
      <c r="T386">
        <f>_xll.IMDP("STK",표.실시간[[#This Row],[nxt_code]],"체결시간")</f>
        <v>0</v>
      </c>
      <c r="U386" s="2">
        <f>_xll.IMDP("STK","399720","현재가")</f>
        <v>69900</v>
      </c>
      <c r="V386">
        <f>_xll.IMDP("STK","399720","누적거래량")</f>
        <v>29975</v>
      </c>
    </row>
    <row r="387" spans="2:22" x14ac:dyDescent="0.3">
      <c r="B387">
        <v>379</v>
      </c>
      <c r="C387">
        <v>0</v>
      </c>
      <c r="D387">
        <f>IF(IFERROR(INDEX(표.kospi200[code],MATCH(표.실시간[[#This Row],[코드]],표.kospi200[code],0)),0)=0,0,1)</f>
        <v>0</v>
      </c>
      <c r="E387" t="s">
        <v>392</v>
      </c>
      <c r="F387">
        <v>420770</v>
      </c>
      <c r="G387" t="str">
        <f>ConvertStockCode(표.실시간[[#This Row],[코드]])</f>
        <v>N420770</v>
      </c>
      <c r="H387" s="2">
        <f>_xll.IMDP("STK",표.실시간[[#This Row],[nxt_code]],"현재가")</f>
        <v>54200</v>
      </c>
      <c r="I387" s="2">
        <f>_xll.IMDP("STK",표.실시간[[#This Row],[nxt_code]],"시가총액")/10^12</f>
        <v>0.68702608359999995</v>
      </c>
      <c r="J387" s="2">
        <f>표.실시간[[#This Row],[시가총액 (조원)]]/표.실시간[[#This Row],[현재가]]*(표.실시간[[#This Row],[현재가]]-표.실시간[[#This Row],[대비]])</f>
        <v>0.69463153839999991</v>
      </c>
      <c r="K387" s="3">
        <f>_xll.IMDP("STK",표.실시간[[#This Row],[nxt_code]],"전일대비")</f>
        <v>-600</v>
      </c>
      <c r="L387">
        <f>_xll.IMDP("STK",표.실시간[[#This Row],[nxt_code]],"등락률")</f>
        <v>-0.37</v>
      </c>
      <c r="M387" s="2">
        <f>_xll.IMDP("STK",표.실시간[[#This Row],[nxt_code]],"누적거래량")</f>
        <v>18099</v>
      </c>
      <c r="N387" s="2">
        <f>_xll.IMDP("STK",표.실시간[[#This Row],[nxt_code]],"누적거래대금")/10^8</f>
        <v>9.4575490000000002</v>
      </c>
      <c r="O387" s="2">
        <f>_xll.IMDP("STK",표.실시간[[#This Row],[nxt_code]],"가중평균가")</f>
        <v>52254.538925000001</v>
      </c>
      <c r="P387" s="2">
        <f>_xll.IMDP("STK",표.실시간[[#This Row],[nxt_code]],"시가")</f>
        <v>53900</v>
      </c>
      <c r="Q387" s="2">
        <f>_xll.IMDP("STK",표.실시간[[#This Row],[nxt_code]],"고가")</f>
        <v>54300</v>
      </c>
      <c r="R387" s="2">
        <f>_xll.IMDP("STK",표.실시간[[#This Row],[nxt_code]],"저가")</f>
        <v>51400</v>
      </c>
      <c r="S387">
        <f>_xll.IMDP("STK",표.실시간[[#This Row],[nxt_code]],"세션명")</f>
        <v>0</v>
      </c>
      <c r="T387">
        <f>_xll.IMDP("STK",표.실시간[[#This Row],[nxt_code]],"체결시간")</f>
        <v>0</v>
      </c>
      <c r="U387" s="2">
        <f>_xll.IMDP("STK","420770","현재가")</f>
        <v>54200</v>
      </c>
      <c r="V387">
        <f>_xll.IMDP("STK","420770","누적거래량")</f>
        <v>5933</v>
      </c>
    </row>
    <row r="388" spans="2:22" x14ac:dyDescent="0.3">
      <c r="B388">
        <v>380</v>
      </c>
      <c r="C388">
        <v>1</v>
      </c>
      <c r="D388">
        <f>IF(IFERROR(INDEX(표.kospi200[code],MATCH(표.실시간[[#This Row],[코드]],표.kospi200[code],0)),0)=0,0,1)</f>
        <v>0</v>
      </c>
      <c r="E388" t="s">
        <v>393</v>
      </c>
      <c r="F388">
        <v>39130</v>
      </c>
      <c r="G388" t="str">
        <f>ConvertStockCode(표.실시간[[#This Row],[코드]])</f>
        <v>N039130</v>
      </c>
      <c r="H388" s="2">
        <f>_xll.IMDP("STK",표.실시간[[#This Row],[nxt_code]],"현재가")</f>
        <v>45750</v>
      </c>
      <c r="I388" s="2">
        <f>_xll.IMDP("STK",표.실시간[[#This Row],[nxt_code]],"시가총액")/10^12</f>
        <v>0.70866438899999995</v>
      </c>
      <c r="J388" s="2">
        <f>표.실시간[[#This Row],[시가총액 (조원)]]/표.실시간[[#This Row],[현재가]]*(표.실시간[[#This Row],[현재가]]-표.실시간[[#This Row],[대비]])</f>
        <v>0.71640935500000003</v>
      </c>
      <c r="K388" s="3">
        <f>_xll.IMDP("STK",표.실시간[[#This Row],[nxt_code]],"전일대비")</f>
        <v>-500</v>
      </c>
      <c r="L388">
        <f>_xll.IMDP("STK",표.실시간[[#This Row],[nxt_code]],"등락률")</f>
        <v>-1.3</v>
      </c>
      <c r="M388" s="2">
        <f>_xll.IMDP("STK",표.실시간[[#This Row],[nxt_code]],"누적거래량")</f>
        <v>11675</v>
      </c>
      <c r="N388" s="2">
        <f>_xll.IMDP("STK",표.실시간[[#This Row],[nxt_code]],"누적거래대금")/10^8</f>
        <v>5.3554959999999996</v>
      </c>
      <c r="O388" s="2">
        <f>_xll.IMDP("STK",표.실시간[[#This Row],[nxt_code]],"가중평균가")</f>
        <v>45871.486081000003</v>
      </c>
      <c r="P388" s="2">
        <f>_xll.IMDP("STK",표.실시간[[#This Row],[nxt_code]],"시가")</f>
        <v>46500</v>
      </c>
      <c r="Q388" s="2">
        <f>_xll.IMDP("STK",표.실시간[[#This Row],[nxt_code]],"고가")</f>
        <v>46850</v>
      </c>
      <c r="R388" s="2">
        <f>_xll.IMDP("STK",표.실시간[[#This Row],[nxt_code]],"저가")</f>
        <v>45550</v>
      </c>
      <c r="S388">
        <f>_xll.IMDP("STK",표.실시간[[#This Row],[nxt_code]],"세션명")</f>
        <v>0</v>
      </c>
      <c r="T388">
        <f>_xll.IMDP("STK",표.실시간[[#This Row],[nxt_code]],"체결시간")</f>
        <v>0</v>
      </c>
      <c r="U388" s="2">
        <f>_xll.IMDP("STK","039130","현재가")</f>
        <v>45750</v>
      </c>
      <c r="V388">
        <f>_xll.IMDP("STK","039130","누적거래량")</f>
        <v>5585</v>
      </c>
    </row>
    <row r="389" spans="2:22" x14ac:dyDescent="0.3">
      <c r="B389">
        <v>381</v>
      </c>
      <c r="C389">
        <v>0</v>
      </c>
      <c r="D389">
        <f>IF(IFERROR(INDEX(표.kospi200[code],MATCH(표.실시간[[#This Row],[코드]],표.kospi200[code],0)),0)=0,0,1)</f>
        <v>0</v>
      </c>
      <c r="E389" t="s">
        <v>394</v>
      </c>
      <c r="F389">
        <v>23160</v>
      </c>
      <c r="G389" t="str">
        <f>ConvertStockCode(표.실시간[[#This Row],[코드]])</f>
        <v>N023160</v>
      </c>
      <c r="H389" s="2">
        <f>_xll.IMDP("STK",표.실시간[[#This Row],[nxt_code]],"현재가")</f>
        <v>27300</v>
      </c>
      <c r="I389" s="2">
        <f>_xll.IMDP("STK",표.실시간[[#This Row],[nxt_code]],"시가총액")/10^12</f>
        <v>0.72345000000000004</v>
      </c>
      <c r="J389" s="2">
        <f>표.실시간[[#This Row],[시가총액 (조원)]]/표.실시간[[#This Row],[현재가]]*(표.실시간[[#This Row],[현재가]]-표.실시간[[#This Row],[대비]])</f>
        <v>0.75524999999999998</v>
      </c>
      <c r="K389" s="3">
        <f>_xll.IMDP("STK",표.실시간[[#This Row],[nxt_code]],"전일대비")</f>
        <v>-1200</v>
      </c>
      <c r="L389">
        <f>_xll.IMDP("STK",표.실시간[[#This Row],[nxt_code]],"등락률")</f>
        <v>-4.21</v>
      </c>
      <c r="M389" s="2">
        <f>_xll.IMDP("STK",표.실시간[[#This Row],[nxt_code]],"누적거래량")</f>
        <v>31646</v>
      </c>
      <c r="N389" s="2">
        <f>_xll.IMDP("STK",표.실시간[[#This Row],[nxt_code]],"누적거래대금")/10^8</f>
        <v>8.6827074999999994</v>
      </c>
      <c r="O389" s="2">
        <f>_xll.IMDP("STK",표.실시간[[#This Row],[nxt_code]],"가중평균가")</f>
        <v>27436.982556999999</v>
      </c>
      <c r="P389" s="2">
        <f>_xll.IMDP("STK",표.실시간[[#This Row],[nxt_code]],"시가")</f>
        <v>28300</v>
      </c>
      <c r="Q389" s="2">
        <f>_xll.IMDP("STK",표.실시간[[#This Row],[nxt_code]],"고가")</f>
        <v>28300</v>
      </c>
      <c r="R389" s="2">
        <f>_xll.IMDP("STK",표.실시간[[#This Row],[nxt_code]],"저가")</f>
        <v>27150</v>
      </c>
      <c r="S389">
        <f>_xll.IMDP("STK",표.실시간[[#This Row],[nxt_code]],"세션명")</f>
        <v>0</v>
      </c>
      <c r="T389">
        <f>_xll.IMDP("STK",표.실시간[[#This Row],[nxt_code]],"체결시간")</f>
        <v>0</v>
      </c>
      <c r="U389" s="2">
        <f>_xll.IMDP("STK","023160","현재가")</f>
        <v>27350</v>
      </c>
      <c r="V389">
        <f>_xll.IMDP("STK","023160","누적거래량")</f>
        <v>15920</v>
      </c>
    </row>
    <row r="390" spans="2:22" x14ac:dyDescent="0.3">
      <c r="B390">
        <v>382</v>
      </c>
      <c r="C390">
        <v>0</v>
      </c>
      <c r="D390">
        <f>IF(IFERROR(INDEX(표.kospi200[code],MATCH(표.실시간[[#This Row],[코드]],표.kospi200[code],0)),0)=0,0,1)</f>
        <v>0</v>
      </c>
      <c r="E390" t="s">
        <v>395</v>
      </c>
      <c r="F390">
        <v>32190</v>
      </c>
      <c r="G390" t="str">
        <f>ConvertStockCode(표.실시간[[#This Row],[코드]])</f>
        <v>N032190</v>
      </c>
      <c r="H390" s="2">
        <f>_xll.IMDP("STK",표.실시간[[#This Row],[nxt_code]],"현재가")</f>
        <v>26700</v>
      </c>
      <c r="I390" s="2">
        <f>_xll.IMDP("STK",표.실시간[[#This Row],[nxt_code]],"시가총액")/10^12</f>
        <v>1.02261</v>
      </c>
      <c r="J390" s="2">
        <f>표.실시간[[#This Row],[시가총액 (조원)]]/표.실시간[[#This Row],[현재가]]*(표.실시간[[#This Row],[현재가]]-표.실시간[[#This Row],[대비]])</f>
        <v>1.0666550000000001</v>
      </c>
      <c r="K390" s="3">
        <f>_xll.IMDP("STK",표.실시간[[#This Row],[nxt_code]],"전일대비")</f>
        <v>-1150</v>
      </c>
      <c r="L390">
        <f>_xll.IMDP("STK",표.실시간[[#This Row],[nxt_code]],"등락률")</f>
        <v>-4.6399999999999997</v>
      </c>
      <c r="M390" s="2">
        <f>_xll.IMDP("STK",표.실시간[[#This Row],[nxt_code]],"누적거래량")</f>
        <v>50573</v>
      </c>
      <c r="N390" s="2">
        <f>_xll.IMDP("STK",표.실시간[[#This Row],[nxt_code]],"누적거래대금")/10^8</f>
        <v>13.6316545</v>
      </c>
      <c r="O390" s="2">
        <f>_xll.IMDP("STK",표.실시간[[#This Row],[nxt_code]],"가중평균가")</f>
        <v>26954.411445000002</v>
      </c>
      <c r="P390" s="2">
        <f>_xll.IMDP("STK",표.실시간[[#This Row],[nxt_code]],"시가")</f>
        <v>27000</v>
      </c>
      <c r="Q390" s="2">
        <f>_xll.IMDP("STK",표.실시간[[#This Row],[nxt_code]],"고가")</f>
        <v>27350</v>
      </c>
      <c r="R390" s="2">
        <f>_xll.IMDP("STK",표.실시간[[#This Row],[nxt_code]],"저가")</f>
        <v>26550</v>
      </c>
      <c r="S390">
        <f>_xll.IMDP("STK",표.실시간[[#This Row],[nxt_code]],"세션명")</f>
        <v>0</v>
      </c>
      <c r="T390">
        <f>_xll.IMDP("STK",표.실시간[[#This Row],[nxt_code]],"체결시간")</f>
        <v>0</v>
      </c>
      <c r="U390" s="2">
        <f>_xll.IMDP("STK","032190","현재가")</f>
        <v>26700</v>
      </c>
      <c r="V390">
        <f>_xll.IMDP("STK","032190","누적거래량")</f>
        <v>20235</v>
      </c>
    </row>
    <row r="391" spans="2:22" x14ac:dyDescent="0.3">
      <c r="B391">
        <v>383</v>
      </c>
      <c r="C391">
        <v>1</v>
      </c>
      <c r="D391">
        <f>IF(IFERROR(INDEX(표.kospi200[code],MATCH(표.실시간[[#This Row],[코드]],표.kospi200[code],0)),0)=0,0,1)</f>
        <v>1</v>
      </c>
      <c r="E391" t="s">
        <v>396</v>
      </c>
      <c r="F391">
        <v>268280</v>
      </c>
      <c r="G391" t="str">
        <f>ConvertStockCode(표.실시간[[#This Row],[코드]])</f>
        <v>N268280</v>
      </c>
      <c r="H391" s="2">
        <f>_xll.IMDP("STK",표.실시간[[#This Row],[nxt_code]],"현재가")</f>
        <v>133100</v>
      </c>
      <c r="I391" s="2">
        <f>_xll.IMDP("STK",표.실시간[[#This Row],[nxt_code]],"시가총액")/10^12</f>
        <v>0.66549999999999998</v>
      </c>
      <c r="J391" s="2">
        <f>표.실시간[[#This Row],[시가총액 (조원)]]/표.실시간[[#This Row],[현재가]]*(표.실시간[[#This Row],[현재가]]-표.실시간[[#This Row],[대비]])</f>
        <v>0.67449999999999999</v>
      </c>
      <c r="K391" s="3">
        <f>_xll.IMDP("STK",표.실시간[[#This Row],[nxt_code]],"전일대비")</f>
        <v>-1800</v>
      </c>
      <c r="L391">
        <f>_xll.IMDP("STK",표.실시간[[#This Row],[nxt_code]],"등락률")</f>
        <v>-1.33</v>
      </c>
      <c r="M391" s="2">
        <f>_xll.IMDP("STK",표.실시간[[#This Row],[nxt_code]],"누적거래량")</f>
        <v>22</v>
      </c>
      <c r="N391" s="2">
        <f>_xll.IMDP("STK",표.실시간[[#This Row],[nxt_code]],"누적거래대금")/10^8</f>
        <v>2.9536E-2</v>
      </c>
      <c r="O391" s="2">
        <f>_xll.IMDP("STK",표.실시간[[#This Row],[nxt_code]],"가중평균가")</f>
        <v>134254.54545500001</v>
      </c>
      <c r="P391" s="2">
        <f>_xll.IMDP("STK",표.실시간[[#This Row],[nxt_code]],"시가")</f>
        <v>134700</v>
      </c>
      <c r="Q391" s="2">
        <f>_xll.IMDP("STK",표.실시간[[#This Row],[nxt_code]],"고가")</f>
        <v>134800</v>
      </c>
      <c r="R391" s="2">
        <f>_xll.IMDP("STK",표.실시간[[#This Row],[nxt_code]],"저가")</f>
        <v>133100</v>
      </c>
      <c r="S391">
        <f>_xll.IMDP("STK",표.실시간[[#This Row],[nxt_code]],"세션명")</f>
        <v>0</v>
      </c>
      <c r="T391">
        <f>_xll.IMDP("STK",표.실시간[[#This Row],[nxt_code]],"체결시간")</f>
        <v>0</v>
      </c>
      <c r="U391" s="2">
        <f>_xll.IMDP("STK","268280","현재가")</f>
        <v>132100</v>
      </c>
      <c r="V391">
        <f>_xll.IMDP("STK","268280","누적거래량")</f>
        <v>655</v>
      </c>
    </row>
    <row r="392" spans="2:22" x14ac:dyDescent="0.3">
      <c r="B392">
        <v>384</v>
      </c>
      <c r="C392">
        <v>1</v>
      </c>
      <c r="D392">
        <f>IF(IFERROR(INDEX(표.kospi200[code],MATCH(표.실시간[[#This Row],[코드]],표.kospi200[code],0)),0)=0,0,1)</f>
        <v>1</v>
      </c>
      <c r="E392" t="s">
        <v>397</v>
      </c>
      <c r="F392">
        <v>5250</v>
      </c>
      <c r="G392" t="str">
        <f>ConvertStockCode(표.실시간[[#This Row],[코드]])</f>
        <v>N005250</v>
      </c>
      <c r="H392" s="2">
        <f>_xll.IMDP("STK",표.실시간[[#This Row],[nxt_code]],"현재가")</f>
        <v>15290</v>
      </c>
      <c r="I392" s="2">
        <f>_xll.IMDP("STK",표.실시간[[#This Row],[nxt_code]],"시가총액")/10^12</f>
        <v>0.71906133090000002</v>
      </c>
      <c r="J392" s="2">
        <f>표.실시간[[#This Row],[시가총액 (조원)]]/표.실시간[[#This Row],[현재가]]*(표.실시간[[#This Row],[현재가]]-표.실시간[[#This Row],[대비]])</f>
        <v>0.73316979390000003</v>
      </c>
      <c r="K392" s="3">
        <f>_xll.IMDP("STK",표.실시간[[#This Row],[nxt_code]],"전일대비")</f>
        <v>-300</v>
      </c>
      <c r="L392">
        <f>_xll.IMDP("STK",표.실시간[[#This Row],[nxt_code]],"등락률")</f>
        <v>-2.11</v>
      </c>
      <c r="M392" s="2">
        <f>_xll.IMDP("STK",표.실시간[[#This Row],[nxt_code]],"누적거래량")</f>
        <v>7327</v>
      </c>
      <c r="N392" s="2">
        <f>_xll.IMDP("STK",표.실시간[[#This Row],[nxt_code]],"누적거래대금")/10^8</f>
        <v>1.1291552</v>
      </c>
      <c r="O392" s="2">
        <f>_xll.IMDP("STK",표.실시간[[#This Row],[nxt_code]],"가중평균가")</f>
        <v>15410.880305999999</v>
      </c>
      <c r="P392" s="2">
        <f>_xll.IMDP("STK",표.실시간[[#This Row],[nxt_code]],"시가")</f>
        <v>15490</v>
      </c>
      <c r="Q392" s="2">
        <f>_xll.IMDP("STK",표.실시간[[#This Row],[nxt_code]],"고가")</f>
        <v>15580</v>
      </c>
      <c r="R392" s="2">
        <f>_xll.IMDP("STK",표.실시간[[#This Row],[nxt_code]],"저가")</f>
        <v>15290</v>
      </c>
      <c r="S392">
        <f>_xll.IMDP("STK",표.실시간[[#This Row],[nxt_code]],"세션명")</f>
        <v>0</v>
      </c>
      <c r="T392">
        <f>_xll.IMDP("STK",표.실시간[[#This Row],[nxt_code]],"체결시간")</f>
        <v>0</v>
      </c>
      <c r="U392" s="2">
        <f>_xll.IMDP("STK","005250","현재가")</f>
        <v>15350</v>
      </c>
      <c r="V392">
        <f>_xll.IMDP("STK","005250","누적거래량")</f>
        <v>3921</v>
      </c>
    </row>
    <row r="393" spans="2:22" x14ac:dyDescent="0.3">
      <c r="B393">
        <v>385</v>
      </c>
      <c r="C393">
        <v>0</v>
      </c>
      <c r="D393">
        <f>IF(IFERROR(INDEX(표.kospi200[code],MATCH(표.실시간[[#This Row],[코드]],표.kospi200[code],0)),0)=0,0,1)</f>
        <v>0</v>
      </c>
      <c r="E393" t="s">
        <v>398</v>
      </c>
      <c r="F393">
        <v>100790</v>
      </c>
      <c r="G393" t="str">
        <f>ConvertStockCode(표.실시간[[#This Row],[코드]])</f>
        <v>N100790</v>
      </c>
      <c r="H393" s="2">
        <f>_xll.IMDP("STK",표.실시간[[#This Row],[nxt_code]],"현재가")</f>
        <v>17790</v>
      </c>
      <c r="I393" s="2">
        <f>_xll.IMDP("STK",표.실시간[[#This Row],[nxt_code]],"시가총액")/10^12</f>
        <v>0.94508723886000001</v>
      </c>
      <c r="J393" s="2">
        <f>표.실시간[[#This Row],[시가총액 (조원)]]/표.실시간[[#This Row],[현재가]]*(표.실시간[[#This Row],[현재가]]-표.실시간[[#This Row],[대비]])</f>
        <v>0.93499355840000009</v>
      </c>
      <c r="K393" s="3">
        <f>_xll.IMDP("STK",표.실시간[[#This Row],[nxt_code]],"전일대비")</f>
        <v>190</v>
      </c>
      <c r="L393">
        <f>_xll.IMDP("STK",표.실시간[[#This Row],[nxt_code]],"등락률")</f>
        <v>1.08</v>
      </c>
      <c r="M393" s="2">
        <f>_xll.IMDP("STK",표.실시간[[#This Row],[nxt_code]],"누적거래량")</f>
        <v>2104948</v>
      </c>
      <c r="N393" s="2">
        <f>_xll.IMDP("STK",표.실시간[[#This Row],[nxt_code]],"누적거래대금")/10^8</f>
        <v>381.23393870000001</v>
      </c>
      <c r="O393" s="2">
        <f>_xll.IMDP("STK",표.실시간[[#This Row],[nxt_code]],"가중평균가")</f>
        <v>18035.034557999999</v>
      </c>
      <c r="P393" s="2">
        <f>_xll.IMDP("STK",표.실시간[[#This Row],[nxt_code]],"시가")</f>
        <v>17520</v>
      </c>
      <c r="Q393" s="2">
        <f>_xll.IMDP("STK",표.실시간[[#This Row],[nxt_code]],"고가")</f>
        <v>18430</v>
      </c>
      <c r="R393" s="2">
        <f>_xll.IMDP("STK",표.실시간[[#This Row],[nxt_code]],"저가")</f>
        <v>17010</v>
      </c>
      <c r="S393">
        <f>_xll.IMDP("STK",표.실시간[[#This Row],[nxt_code]],"세션명")</f>
        <v>0</v>
      </c>
      <c r="T393">
        <f>_xll.IMDP("STK",표.실시간[[#This Row],[nxt_code]],"체결시간")</f>
        <v>0</v>
      </c>
      <c r="U393" s="2">
        <f>_xll.IMDP("STK","100790","현재가")</f>
        <v>17810</v>
      </c>
      <c r="V393">
        <f>_xll.IMDP("STK","100790","누적거래량")</f>
        <v>441420</v>
      </c>
    </row>
    <row r="394" spans="2:22" x14ac:dyDescent="0.3">
      <c r="B394">
        <v>386</v>
      </c>
      <c r="C394">
        <v>0</v>
      </c>
      <c r="D394">
        <f>IF(IFERROR(INDEX(표.kospi200[code],MATCH(표.실시간[[#This Row],[코드]],표.kospi200[code],0)),0)=0,0,1)</f>
        <v>0</v>
      </c>
      <c r="E394" t="s">
        <v>399</v>
      </c>
      <c r="F394">
        <v>44490</v>
      </c>
      <c r="G394" t="str">
        <f>ConvertStockCode(표.실시간[[#This Row],[코드]])</f>
        <v>N044490</v>
      </c>
      <c r="H394" s="2">
        <f>_xll.IMDP("STK",표.실시간[[#This Row],[nxt_code]],"현재가")</f>
        <v>29850</v>
      </c>
      <c r="I394" s="2">
        <f>_xll.IMDP("STK",표.실시간[[#This Row],[nxt_code]],"시가총액")/10^12</f>
        <v>0.59722032285000004</v>
      </c>
      <c r="J394" s="2">
        <f>표.실시간[[#This Row],[시가총액 (조원)]]/표.실시간[[#This Row],[현재가]]*(표.실시간[[#This Row],[현재가]]-표.실시간[[#This Row],[대비]])</f>
        <v>0.61322622765000012</v>
      </c>
      <c r="K394" s="3">
        <f>_xll.IMDP("STK",표.실시간[[#This Row],[nxt_code]],"전일대비")</f>
        <v>-800</v>
      </c>
      <c r="L394">
        <f>_xll.IMDP("STK",표.실시간[[#This Row],[nxt_code]],"등락률")</f>
        <v>-2.61</v>
      </c>
      <c r="M394" s="2">
        <f>_xll.IMDP("STK",표.실시간[[#This Row],[nxt_code]],"누적거래량")</f>
        <v>53628</v>
      </c>
      <c r="N394" s="2">
        <f>_xll.IMDP("STK",표.실시간[[#This Row],[nxt_code]],"누적거래대금")/10^8</f>
        <v>15.791807500000001</v>
      </c>
      <c r="O394" s="2">
        <f>_xll.IMDP("STK",표.실시간[[#This Row],[nxt_code]],"가중평균가")</f>
        <v>29446.944693000001</v>
      </c>
      <c r="P394" s="2">
        <f>_xll.IMDP("STK",표.실시간[[#This Row],[nxt_code]],"시가")</f>
        <v>30000</v>
      </c>
      <c r="Q394" s="2">
        <f>_xll.IMDP("STK",표.실시간[[#This Row],[nxt_code]],"고가")</f>
        <v>30300</v>
      </c>
      <c r="R394" s="2">
        <f>_xll.IMDP("STK",표.실시간[[#This Row],[nxt_code]],"저가")</f>
        <v>29200</v>
      </c>
      <c r="S394">
        <f>_xll.IMDP("STK",표.실시간[[#This Row],[nxt_code]],"세션명")</f>
        <v>0</v>
      </c>
      <c r="T394">
        <f>_xll.IMDP("STK",표.실시간[[#This Row],[nxt_code]],"체결시간")</f>
        <v>0</v>
      </c>
      <c r="U394" s="2">
        <f>_xll.IMDP("STK","044490","현재가")</f>
        <v>29800</v>
      </c>
      <c r="V394">
        <f>_xll.IMDP("STK","044490","누적거래량")</f>
        <v>17385</v>
      </c>
    </row>
    <row r="395" spans="2:22" x14ac:dyDescent="0.3">
      <c r="B395">
        <v>387</v>
      </c>
      <c r="C395">
        <v>1</v>
      </c>
      <c r="D395">
        <f>IF(IFERROR(INDEX(표.kospi200[code],MATCH(표.실시간[[#This Row],[코드]],표.kospi200[code],0)),0)=0,0,1)</f>
        <v>1</v>
      </c>
      <c r="E395" t="s">
        <v>400</v>
      </c>
      <c r="F395">
        <v>2840</v>
      </c>
      <c r="G395" t="str">
        <f>ConvertStockCode(표.실시간[[#This Row],[코드]])</f>
        <v>N002840</v>
      </c>
      <c r="H395" s="2">
        <f>_xll.IMDP("STK",표.실시간[[#This Row],[nxt_code]],"현재가")</f>
        <v>139800</v>
      </c>
      <c r="I395" s="2">
        <f>_xll.IMDP("STK",표.실시간[[#This Row],[nxt_code]],"시가총액")/10^12</f>
        <v>0.66405000000000003</v>
      </c>
      <c r="J395" s="2">
        <f>표.실시간[[#This Row],[시가총액 (조원)]]/표.실시간[[#This Row],[현재가]]*(표.실시간[[#This Row],[현재가]]-표.실시간[[#This Row],[대비]])</f>
        <v>0.66025</v>
      </c>
      <c r="K395" s="3">
        <f>_xll.IMDP("STK",표.실시간[[#This Row],[nxt_code]],"전일대비")</f>
        <v>800</v>
      </c>
      <c r="L395">
        <f>_xll.IMDP("STK",표.실시간[[#This Row],[nxt_code]],"등락률")</f>
        <v>0.57999999999999996</v>
      </c>
      <c r="M395" s="2">
        <f>_xll.IMDP("STK",표.실시간[[#This Row],[nxt_code]],"누적거래량")</f>
        <v>11</v>
      </c>
      <c r="N395" s="2">
        <f>_xll.IMDP("STK",표.실시간[[#This Row],[nxt_code]],"누적거래대금")/10^8</f>
        <v>1.5328E-2</v>
      </c>
      <c r="O395" s="2">
        <f>_xll.IMDP("STK",표.실시간[[#This Row],[nxt_code]],"가중평균가")</f>
        <v>139345.45454499999</v>
      </c>
      <c r="P395" s="2">
        <f>_xll.IMDP("STK",표.실시간[[#This Row],[nxt_code]],"시가")</f>
        <v>139100</v>
      </c>
      <c r="Q395" s="2">
        <f>_xll.IMDP("STK",표.실시간[[#This Row],[nxt_code]],"고가")</f>
        <v>139800</v>
      </c>
      <c r="R395" s="2">
        <f>_xll.IMDP("STK",표.실시간[[#This Row],[nxt_code]],"저가")</f>
        <v>139100</v>
      </c>
      <c r="S395">
        <f>_xll.IMDP("STK",표.실시간[[#This Row],[nxt_code]],"세션명")</f>
        <v>0</v>
      </c>
      <c r="T395">
        <f>_xll.IMDP("STK",표.실시간[[#This Row],[nxt_code]],"체결시간")</f>
        <v>0</v>
      </c>
      <c r="U395" s="2">
        <f>_xll.IMDP("STK","002840","현재가")</f>
        <v>137900</v>
      </c>
      <c r="V395">
        <f>_xll.IMDP("STK","002840","누적거래량")</f>
        <v>859</v>
      </c>
    </row>
    <row r="396" spans="2:22" x14ac:dyDescent="0.3">
      <c r="B396">
        <v>388</v>
      </c>
      <c r="C396">
        <v>0</v>
      </c>
      <c r="D396">
        <f>IF(IFERROR(INDEX(표.kospi200[code],MATCH(표.실시간[[#This Row],[코드]],표.kospi200[code],0)),0)=0,0,1)</f>
        <v>0</v>
      </c>
      <c r="E396" t="s">
        <v>401</v>
      </c>
      <c r="F396">
        <v>251970</v>
      </c>
      <c r="G396" t="str">
        <f>ConvertStockCode(표.실시간[[#This Row],[코드]])</f>
        <v>N251970</v>
      </c>
      <c r="H396" s="2">
        <f>_xll.IMDP("STK",표.실시간[[#This Row],[nxt_code]],"현재가")</f>
        <v>63000</v>
      </c>
      <c r="I396" s="2">
        <f>_xll.IMDP("STK",표.실시간[[#This Row],[nxt_code]],"시가총액")/10^12</f>
        <v>0.78120000000000001</v>
      </c>
      <c r="J396" s="2">
        <f>표.실시간[[#This Row],[시가총액 (조원)]]/표.실시간[[#This Row],[현재가]]*(표.실시간[[#This Row],[현재가]]-표.실시간[[#This Row],[대비]])</f>
        <v>0.81033999999999995</v>
      </c>
      <c r="K396" s="3">
        <f>_xll.IMDP("STK",표.실시간[[#This Row],[nxt_code]],"전일대비")</f>
        <v>-2350</v>
      </c>
      <c r="L396">
        <f>_xll.IMDP("STK",표.실시간[[#This Row],[nxt_code]],"등락률")</f>
        <v>-3.96</v>
      </c>
      <c r="M396" s="2">
        <f>_xll.IMDP("STK",표.실시간[[#This Row],[nxt_code]],"누적거래량")</f>
        <v>9427</v>
      </c>
      <c r="N396" s="2">
        <f>_xll.IMDP("STK",표.실시간[[#This Row],[nxt_code]],"누적거래대금")/10^8</f>
        <v>5.9668215</v>
      </c>
      <c r="O396" s="2">
        <f>_xll.IMDP("STK",표.실시간[[#This Row],[nxt_code]],"가중평균가")</f>
        <v>63127.607914</v>
      </c>
      <c r="P396" s="2">
        <f>_xll.IMDP("STK",표.실시간[[#This Row],[nxt_code]],"시가")</f>
        <v>65600</v>
      </c>
      <c r="Q396" s="2">
        <f>_xll.IMDP("STK",표.실시간[[#This Row],[nxt_code]],"고가")</f>
        <v>65800</v>
      </c>
      <c r="R396" s="2">
        <f>_xll.IMDP("STK",표.실시간[[#This Row],[nxt_code]],"저가")</f>
        <v>62300</v>
      </c>
      <c r="S396">
        <f>_xll.IMDP("STK",표.실시간[[#This Row],[nxt_code]],"세션명")</f>
        <v>0</v>
      </c>
      <c r="T396">
        <f>_xll.IMDP("STK",표.실시간[[#This Row],[nxt_code]],"체결시간")</f>
        <v>0</v>
      </c>
      <c r="U396" s="2">
        <f>_xll.IMDP("STK","251970","현재가")</f>
        <v>63100</v>
      </c>
      <c r="V396">
        <f>_xll.IMDP("STK","251970","누적거래량")</f>
        <v>7351</v>
      </c>
    </row>
    <row r="397" spans="2:22" x14ac:dyDescent="0.3">
      <c r="B397">
        <v>389</v>
      </c>
      <c r="C397">
        <v>1</v>
      </c>
      <c r="D397">
        <f>IF(IFERROR(INDEX(표.kospi200[code],MATCH(표.실시간[[#This Row],[코드]],표.kospi200[code],0)),0)=0,0,1)</f>
        <v>0</v>
      </c>
      <c r="E397" t="s">
        <v>402</v>
      </c>
      <c r="F397">
        <v>640</v>
      </c>
      <c r="G397" t="str">
        <f>ConvertStockCode(표.실시간[[#This Row],[코드]])</f>
        <v>N000640</v>
      </c>
      <c r="H397" s="2">
        <f>_xll.IMDP("STK",표.실시간[[#This Row],[nxt_code]],"현재가")</f>
        <v>107000</v>
      </c>
      <c r="I397" s="2">
        <f>_xll.IMDP("STK",표.실시간[[#This Row],[nxt_code]],"시가총액")/10^12</f>
        <v>0.69939843800000001</v>
      </c>
      <c r="J397" s="2">
        <f>표.실시간[[#This Row],[시가총액 (조원)]]/표.실시간[[#This Row],[현재가]]*(표.실시간[[#This Row],[현재가]]-표.실시간[[#This Row],[대비]])</f>
        <v>0.71051037579999998</v>
      </c>
      <c r="K397" s="3">
        <f>_xll.IMDP("STK",표.실시간[[#This Row],[nxt_code]],"전일대비")</f>
        <v>-1700</v>
      </c>
      <c r="L397">
        <f>_xll.IMDP("STK",표.실시간[[#This Row],[nxt_code]],"등락률")</f>
        <v>-1.56</v>
      </c>
      <c r="M397" s="2">
        <f>_xll.IMDP("STK",표.실시간[[#This Row],[nxt_code]],"누적거래량")</f>
        <v>640</v>
      </c>
      <c r="N397" s="2">
        <f>_xll.IMDP("STK",표.실시간[[#This Row],[nxt_code]],"누적거래대금")/10^8</f>
        <v>0.68269299999999999</v>
      </c>
      <c r="O397" s="2">
        <f>_xll.IMDP("STK",표.실시간[[#This Row],[nxt_code]],"가중평균가")</f>
        <v>106670.78125</v>
      </c>
      <c r="P397" s="2">
        <f>_xll.IMDP("STK",표.실시간[[#This Row],[nxt_code]],"시가")</f>
        <v>109500</v>
      </c>
      <c r="Q397" s="2">
        <f>_xll.IMDP("STK",표.실시간[[#This Row],[nxt_code]],"고가")</f>
        <v>109500</v>
      </c>
      <c r="R397" s="2">
        <f>_xll.IMDP("STK",표.실시간[[#This Row],[nxt_code]],"저가")</f>
        <v>105500</v>
      </c>
      <c r="S397">
        <f>_xll.IMDP("STK",표.실시간[[#This Row],[nxt_code]],"세션명")</f>
        <v>0</v>
      </c>
      <c r="T397">
        <f>_xll.IMDP("STK",표.실시간[[#This Row],[nxt_code]],"체결시간")</f>
        <v>0</v>
      </c>
      <c r="U397" s="2">
        <f>_xll.IMDP("STK","000640","현재가")</f>
        <v>107400</v>
      </c>
      <c r="V397">
        <f>_xll.IMDP("STK","000640","누적거래량")</f>
        <v>489</v>
      </c>
    </row>
    <row r="398" spans="2:22" x14ac:dyDescent="0.3">
      <c r="B398">
        <v>390</v>
      </c>
      <c r="C398">
        <v>1</v>
      </c>
      <c r="D398">
        <f>IF(IFERROR(INDEX(표.kospi200[code],MATCH(표.실시간[[#This Row],[코드]],표.kospi200[code],0)),0)=0,0,1)</f>
        <v>0</v>
      </c>
      <c r="E398" t="s">
        <v>403</v>
      </c>
      <c r="F398">
        <v>10780</v>
      </c>
      <c r="G398" t="str">
        <f>ConvertStockCode(표.실시간[[#This Row],[코드]])</f>
        <v>N010780</v>
      </c>
      <c r="H398" s="2">
        <f>_xll.IMDP("STK",표.실시간[[#This Row],[nxt_code]],"현재가")</f>
        <v>23750</v>
      </c>
      <c r="I398" s="2">
        <f>_xll.IMDP("STK",표.실시간[[#This Row],[nxt_code]],"시가총액")/10^12</f>
        <v>0.71694068</v>
      </c>
      <c r="J398" s="2">
        <f>표.실시간[[#This Row],[시가총액 (조원)]]/표.실시간[[#This Row],[현재가]]*(표.실시간[[#This Row],[현재가]]-표.실시간[[#This Row],[대비]])</f>
        <v>0.709393936</v>
      </c>
      <c r="K398" s="3">
        <f>_xll.IMDP("STK",표.실시간[[#This Row],[nxt_code]],"전일대비")</f>
        <v>250</v>
      </c>
      <c r="L398">
        <f>_xll.IMDP("STK",표.실시간[[#This Row],[nxt_code]],"등락률")</f>
        <v>1.06</v>
      </c>
      <c r="M398" s="2">
        <f>_xll.IMDP("STK",표.실시간[[#This Row],[nxt_code]],"누적거래량")</f>
        <v>29762</v>
      </c>
      <c r="N398" s="2">
        <f>_xll.IMDP("STK",표.실시간[[#This Row],[nxt_code]],"누적거래대금")/10^8</f>
        <v>7.2029814999999999</v>
      </c>
      <c r="O398" s="2">
        <f>_xll.IMDP("STK",표.실시간[[#This Row],[nxt_code]],"가중평균가")</f>
        <v>24201.940394000001</v>
      </c>
      <c r="P398" s="2">
        <f>_xll.IMDP("STK",표.실시간[[#This Row],[nxt_code]],"시가")</f>
        <v>23500</v>
      </c>
      <c r="Q398" s="2">
        <f>_xll.IMDP("STK",표.실시간[[#This Row],[nxt_code]],"고가")</f>
        <v>24700</v>
      </c>
      <c r="R398" s="2">
        <f>_xll.IMDP("STK",표.실시간[[#This Row],[nxt_code]],"저가")</f>
        <v>23250</v>
      </c>
      <c r="S398">
        <f>_xll.IMDP("STK",표.실시간[[#This Row],[nxt_code]],"세션명")</f>
        <v>0</v>
      </c>
      <c r="T398">
        <f>_xll.IMDP("STK",표.실시간[[#This Row],[nxt_code]],"체결시간")</f>
        <v>0</v>
      </c>
      <c r="U398" s="2">
        <f>_xll.IMDP("STK","010780","현재가")</f>
        <v>23750</v>
      </c>
      <c r="V398">
        <f>_xll.IMDP("STK","010780","누적거래량")</f>
        <v>17128</v>
      </c>
    </row>
    <row r="399" spans="2:22" x14ac:dyDescent="0.3">
      <c r="B399">
        <v>391</v>
      </c>
      <c r="C399">
        <v>0</v>
      </c>
      <c r="D399">
        <f>IF(IFERROR(INDEX(표.kospi200[code],MATCH(표.실시간[[#This Row],[코드]],표.kospi200[code],0)),0)=0,0,1)</f>
        <v>0</v>
      </c>
      <c r="E399" t="s">
        <v>404</v>
      </c>
      <c r="F399">
        <v>460930</v>
      </c>
      <c r="G399" t="str">
        <f>ConvertStockCode(표.실시간[[#This Row],[코드]])</f>
        <v>N460930</v>
      </c>
      <c r="H399" s="2">
        <f>_xll.IMDP("STK",표.실시간[[#This Row],[nxt_code]],"현재가")</f>
        <v>17610</v>
      </c>
      <c r="I399" s="2">
        <f>_xll.IMDP("STK",표.실시간[[#This Row],[nxt_code]],"시가총액")/10^12</f>
        <v>0.62534291631000005</v>
      </c>
      <c r="J399" s="2">
        <f>표.실시간[[#This Row],[시가총액 (조원)]]/표.실시간[[#This Row],[현재가]]*(표.실시간[[#This Row],[현재가]]-표.실시간[[#This Row],[대비]])</f>
        <v>0.63422058406000015</v>
      </c>
      <c r="K399" s="3">
        <f>_xll.IMDP("STK",표.실시간[[#This Row],[nxt_code]],"전일대비")</f>
        <v>-250</v>
      </c>
      <c r="L399">
        <f>_xll.IMDP("STK",표.실시간[[#This Row],[nxt_code]],"등락률")</f>
        <v>-1.4</v>
      </c>
      <c r="M399" s="2">
        <f>_xll.IMDP("STK",표.실시간[[#This Row],[nxt_code]],"누적거래량")</f>
        <v>35223</v>
      </c>
      <c r="N399" s="2">
        <f>_xll.IMDP("STK",표.실시간[[#This Row],[nxt_code]],"누적거래대금")/10^8</f>
        <v>6.2216857000000001</v>
      </c>
      <c r="O399" s="2">
        <f>_xll.IMDP("STK",표.실시간[[#This Row],[nxt_code]],"가중평균가")</f>
        <v>17663.701842999999</v>
      </c>
      <c r="P399" s="2">
        <f>_xll.IMDP("STK",표.실시간[[#This Row],[nxt_code]],"시가")</f>
        <v>17810</v>
      </c>
      <c r="Q399" s="2">
        <f>_xll.IMDP("STK",표.실시간[[#This Row],[nxt_code]],"고가")</f>
        <v>17870</v>
      </c>
      <c r="R399" s="2">
        <f>_xll.IMDP("STK",표.실시간[[#This Row],[nxt_code]],"저가")</f>
        <v>17580</v>
      </c>
      <c r="S399">
        <f>_xll.IMDP("STK",표.실시간[[#This Row],[nxt_code]],"세션명")</f>
        <v>0</v>
      </c>
      <c r="T399">
        <f>_xll.IMDP("STK",표.실시간[[#This Row],[nxt_code]],"체결시간")</f>
        <v>0</v>
      </c>
      <c r="U399" s="2">
        <f>_xll.IMDP("STK","460930","현재가")</f>
        <v>17630</v>
      </c>
      <c r="V399">
        <f>_xll.IMDP("STK","460930","누적거래량")</f>
        <v>14762</v>
      </c>
    </row>
    <row r="400" spans="2:22" x14ac:dyDescent="0.3">
      <c r="B400">
        <v>392</v>
      </c>
      <c r="C400">
        <v>1</v>
      </c>
      <c r="D400">
        <f>IF(IFERROR(INDEX(표.kospi200[code],MATCH(표.실시간[[#This Row],[코드]],표.kospi200[code],0)),0)=0,0,1)</f>
        <v>1</v>
      </c>
      <c r="E400" t="s">
        <v>405</v>
      </c>
      <c r="F400">
        <v>8730</v>
      </c>
      <c r="G400" t="str">
        <f>ConvertStockCode(표.실시간[[#This Row],[코드]])</f>
        <v>N008730</v>
      </c>
      <c r="H400" s="2">
        <f>_xll.IMDP("STK",표.실시간[[#This Row],[nxt_code]],"현재가")</f>
        <v>27150</v>
      </c>
      <c r="I400" s="2">
        <f>_xll.IMDP("STK",표.실시간[[#This Row],[nxt_code]],"시가총액")/10^12</f>
        <v>0.67332000000000003</v>
      </c>
      <c r="J400" s="2">
        <f>표.실시간[[#This Row],[시가총액 (조원)]]/표.실시간[[#This Row],[현재가]]*(표.실시간[[#This Row],[현재가]]-표.실시간[[#This Row],[대비]])</f>
        <v>0.67208000000000001</v>
      </c>
      <c r="K400" s="3">
        <f>_xll.IMDP("STK",표.실시간[[#This Row],[nxt_code]],"전일대비")</f>
        <v>50</v>
      </c>
      <c r="L400">
        <f>_xll.IMDP("STK",표.실시간[[#This Row],[nxt_code]],"등락률")</f>
        <v>0</v>
      </c>
      <c r="M400" s="2">
        <f>_xll.IMDP("STK",표.실시간[[#This Row],[nxt_code]],"누적거래량")</f>
        <v>8709</v>
      </c>
      <c r="N400" s="2">
        <f>_xll.IMDP("STK",표.실시간[[#This Row],[nxt_code]],"누적거래대금")/10^8</f>
        <v>2.3424874999999998</v>
      </c>
      <c r="O400" s="2">
        <f>_xll.IMDP("STK",표.실시간[[#This Row],[nxt_code]],"가중평균가")</f>
        <v>26866.469778999999</v>
      </c>
      <c r="P400" s="2">
        <f>_xll.IMDP("STK",표.실시간[[#This Row],[nxt_code]],"시가")</f>
        <v>27150</v>
      </c>
      <c r="Q400" s="2">
        <f>_xll.IMDP("STK",표.실시간[[#This Row],[nxt_code]],"고가")</f>
        <v>27200</v>
      </c>
      <c r="R400" s="2">
        <f>_xll.IMDP("STK",표.실시간[[#This Row],[nxt_code]],"저가")</f>
        <v>26650</v>
      </c>
      <c r="S400">
        <f>_xll.IMDP("STK",표.실시간[[#This Row],[nxt_code]],"세션명")</f>
        <v>0</v>
      </c>
      <c r="T400">
        <f>_xll.IMDP("STK",표.실시간[[#This Row],[nxt_code]],"체결시간")</f>
        <v>0</v>
      </c>
      <c r="U400" s="2">
        <f>_xll.IMDP("STK","008730","현재가")</f>
        <v>27200</v>
      </c>
      <c r="V400">
        <f>_xll.IMDP("STK","008730","누적거래량")</f>
        <v>5041</v>
      </c>
    </row>
    <row r="401" spans="2:22" x14ac:dyDescent="0.3">
      <c r="B401">
        <v>393</v>
      </c>
      <c r="C401">
        <v>0</v>
      </c>
      <c r="D401">
        <f>IF(IFERROR(INDEX(표.kospi200[code],MATCH(표.실시간[[#This Row],[코드]],표.kospi200[code],0)),0)=0,0,1)</f>
        <v>0</v>
      </c>
      <c r="E401" t="s">
        <v>406</v>
      </c>
      <c r="F401">
        <v>102710</v>
      </c>
      <c r="G401" t="str">
        <f>ConvertStockCode(표.실시간[[#This Row],[코드]])</f>
        <v>N102710</v>
      </c>
      <c r="H401" s="2">
        <f>_xll.IMDP("STK",표.실시간[[#This Row],[nxt_code]],"현재가")</f>
        <v>56800</v>
      </c>
      <c r="I401" s="2">
        <f>_xll.IMDP("STK",표.실시간[[#This Row],[nxt_code]],"시가총액")/10^12</f>
        <v>0.81154908479999999</v>
      </c>
      <c r="J401" s="2">
        <f>표.실시간[[#This Row],[시가총액 (조원)]]/표.실시간[[#This Row],[현재가]]*(표.실시간[[#This Row],[현재가]]-표.실시간[[#This Row],[대비]])</f>
        <v>0.84012475679999998</v>
      </c>
      <c r="K401" s="3">
        <f>_xll.IMDP("STK",표.실시간[[#This Row],[nxt_code]],"전일대비")</f>
        <v>-2000</v>
      </c>
      <c r="L401">
        <f>_xll.IMDP("STK",표.실시간[[#This Row],[nxt_code]],"등락률")</f>
        <v>-3.57</v>
      </c>
      <c r="M401" s="2">
        <f>_xll.IMDP("STK",표.실시간[[#This Row],[nxt_code]],"누적거래량")</f>
        <v>29083</v>
      </c>
      <c r="N401" s="2">
        <f>_xll.IMDP("STK",표.실시간[[#This Row],[nxt_code]],"누적거래대금")/10^8</f>
        <v>16.281054000000001</v>
      </c>
      <c r="O401" s="2">
        <f>_xll.IMDP("STK",표.실시간[[#This Row],[nxt_code]],"가중평균가")</f>
        <v>55981.343052999997</v>
      </c>
      <c r="P401" s="2">
        <f>_xll.IMDP("STK",표.실시간[[#This Row],[nxt_code]],"시가")</f>
        <v>57400</v>
      </c>
      <c r="Q401" s="2">
        <f>_xll.IMDP("STK",표.실시간[[#This Row],[nxt_code]],"고가")</f>
        <v>57700</v>
      </c>
      <c r="R401" s="2">
        <f>_xll.IMDP("STK",표.실시간[[#This Row],[nxt_code]],"저가")</f>
        <v>55100</v>
      </c>
      <c r="S401">
        <f>_xll.IMDP("STK",표.실시간[[#This Row],[nxt_code]],"세션명")</f>
        <v>0</v>
      </c>
      <c r="T401">
        <f>_xll.IMDP("STK",표.실시간[[#This Row],[nxt_code]],"체결시간")</f>
        <v>0</v>
      </c>
      <c r="U401" s="2">
        <f>_xll.IMDP("STK","102710","현재가")</f>
        <v>57000</v>
      </c>
      <c r="V401">
        <f>_xll.IMDP("STK","102710","누적거래량")</f>
        <v>9559</v>
      </c>
    </row>
    <row r="402" spans="2:22" x14ac:dyDescent="0.3">
      <c r="B402">
        <v>394</v>
      </c>
      <c r="C402">
        <v>1</v>
      </c>
      <c r="D402">
        <f>IF(IFERROR(INDEX(표.kospi200[code],MATCH(표.실시간[[#This Row],[코드]],표.kospi200[code],0)),0)=0,0,1)</f>
        <v>0</v>
      </c>
      <c r="E402" t="s">
        <v>407</v>
      </c>
      <c r="F402">
        <v>475150</v>
      </c>
      <c r="G402" t="str">
        <f>ConvertStockCode(표.실시간[[#This Row],[코드]])</f>
        <v>N475150</v>
      </c>
      <c r="H402" s="2">
        <f>_xll.IMDP("STK",표.실시간[[#This Row],[nxt_code]],"현재가")</f>
        <v>19760</v>
      </c>
      <c r="I402" s="2">
        <f>_xll.IMDP("STK",표.실시간[[#This Row],[nxt_code]],"시가총액")/10^12</f>
        <v>0.66697986992000002</v>
      </c>
      <c r="J402" s="2">
        <f>표.실시간[[#This Row],[시가총액 (조원)]]/표.실시간[[#This Row],[현재가]]*(표.실시간[[#This Row],[현재가]]-표.실시간[[#This Row],[대비]])</f>
        <v>0.68351935050000012</v>
      </c>
      <c r="K402" s="3">
        <f>_xll.IMDP("STK",표.실시간[[#This Row],[nxt_code]],"전일대비")</f>
        <v>-490</v>
      </c>
      <c r="L402">
        <f>_xll.IMDP("STK",표.실시간[[#This Row],[nxt_code]],"등락률")</f>
        <v>-2.66</v>
      </c>
      <c r="M402" s="2">
        <f>_xll.IMDP("STK",표.실시간[[#This Row],[nxt_code]],"누적거래량")</f>
        <v>65387</v>
      </c>
      <c r="N402" s="2">
        <f>_xll.IMDP("STK",표.실시간[[#This Row],[nxt_code]],"누적거래대금")/10^8</f>
        <v>13.015882700000001</v>
      </c>
      <c r="O402" s="2">
        <f>_xll.IMDP("STK",표.실시간[[#This Row],[nxt_code]],"가중평균가")</f>
        <v>19905.918149000001</v>
      </c>
      <c r="P402" s="2">
        <f>_xll.IMDP("STK",표.실시간[[#This Row],[nxt_code]],"시가")</f>
        <v>20000</v>
      </c>
      <c r="Q402" s="2">
        <f>_xll.IMDP("STK",표.실시간[[#This Row],[nxt_code]],"고가")</f>
        <v>20100</v>
      </c>
      <c r="R402" s="2">
        <f>_xll.IMDP("STK",표.실시간[[#This Row],[nxt_code]],"저가")</f>
        <v>19560</v>
      </c>
      <c r="S402">
        <f>_xll.IMDP("STK",표.실시간[[#This Row],[nxt_code]],"세션명")</f>
        <v>0</v>
      </c>
      <c r="T402">
        <f>_xll.IMDP("STK",표.실시간[[#This Row],[nxt_code]],"체결시간")</f>
        <v>0</v>
      </c>
      <c r="U402" s="2">
        <f>_xll.IMDP("STK","475150","현재가")</f>
        <v>19780</v>
      </c>
      <c r="V402">
        <f>_xll.IMDP("STK","475150","누적거래량")</f>
        <v>21655</v>
      </c>
    </row>
    <row r="403" spans="2:22" x14ac:dyDescent="0.3">
      <c r="B403">
        <v>395</v>
      </c>
      <c r="C403">
        <v>0</v>
      </c>
      <c r="D403">
        <f>IF(IFERROR(INDEX(표.kospi200[code],MATCH(표.실시간[[#This Row],[코드]],표.kospi200[code],0)),0)=0,0,1)</f>
        <v>0</v>
      </c>
      <c r="E403" t="s">
        <v>408</v>
      </c>
      <c r="F403">
        <v>372320</v>
      </c>
      <c r="G403" t="str">
        <f>ConvertStockCode(표.실시간[[#This Row],[코드]])</f>
        <v>N372320</v>
      </c>
      <c r="H403" s="2">
        <f>_xll.IMDP("STK",표.실시간[[#This Row],[nxt_code]],"현재가")</f>
        <v>48450</v>
      </c>
      <c r="I403" s="2">
        <f>_xll.IMDP("STK",표.실시간[[#This Row],[nxt_code]],"시가총액")/10^12</f>
        <v>0.70053021660000003</v>
      </c>
      <c r="J403" s="2">
        <f>표.실시간[[#This Row],[시가총액 (조원)]]/표.실시간[[#This Row],[현재가]]*(표.실시간[[#This Row],[현재가]]-표.실시간[[#This Row],[대비]])</f>
        <v>0.71137433760000002</v>
      </c>
      <c r="K403" s="3">
        <f>_xll.IMDP("STK",표.실시간[[#This Row],[nxt_code]],"전일대비")</f>
        <v>-750</v>
      </c>
      <c r="L403">
        <f>_xll.IMDP("STK",표.실시간[[#This Row],[nxt_code]],"등락률")</f>
        <v>-1.52</v>
      </c>
      <c r="M403" s="2">
        <f>_xll.IMDP("STK",표.실시간[[#This Row],[nxt_code]],"누적거래량")</f>
        <v>17147</v>
      </c>
      <c r="N403" s="2">
        <f>_xll.IMDP("STK",표.실시간[[#This Row],[nxt_code]],"누적거래대금")/10^8</f>
        <v>8.1791424999999993</v>
      </c>
      <c r="O403" s="2">
        <f>_xll.IMDP("STK",표.실시간[[#This Row],[nxt_code]],"가중평균가")</f>
        <v>47700.137049999998</v>
      </c>
      <c r="P403" s="2">
        <f>_xll.IMDP("STK",표.실시간[[#This Row],[nxt_code]],"시가")</f>
        <v>47500</v>
      </c>
      <c r="Q403" s="2">
        <f>_xll.IMDP("STK",표.실시간[[#This Row],[nxt_code]],"고가")</f>
        <v>49250</v>
      </c>
      <c r="R403" s="2">
        <f>_xll.IMDP("STK",표.실시간[[#This Row],[nxt_code]],"저가")</f>
        <v>46600</v>
      </c>
      <c r="S403">
        <f>_xll.IMDP("STK",표.실시간[[#This Row],[nxt_code]],"세션명")</f>
        <v>0</v>
      </c>
      <c r="T403">
        <f>_xll.IMDP("STK",표.실시간[[#This Row],[nxt_code]],"체결시간")</f>
        <v>0</v>
      </c>
      <c r="U403" s="2">
        <f>_xll.IMDP("STK","372320","현재가")</f>
        <v>48500</v>
      </c>
      <c r="V403">
        <f>_xll.IMDP("STK","372320","누적거래량")</f>
        <v>6552</v>
      </c>
    </row>
    <row r="404" spans="2:22" x14ac:dyDescent="0.3">
      <c r="B404">
        <v>396</v>
      </c>
      <c r="C404">
        <v>0</v>
      </c>
      <c r="D404">
        <f>IF(IFERROR(INDEX(표.kospi200[code],MATCH(표.실시간[[#This Row],[코드]],표.kospi200[code],0)),0)=0,0,1)</f>
        <v>0</v>
      </c>
      <c r="E404" t="s">
        <v>409</v>
      </c>
      <c r="F404">
        <v>53800</v>
      </c>
      <c r="G404" t="str">
        <f>ConvertStockCode(표.실시간[[#This Row],[코드]])</f>
        <v>N053800</v>
      </c>
      <c r="H404" s="2">
        <f>_xll.IMDP("STK",표.실시간[[#This Row],[nxt_code]],"현재가")</f>
        <v>64900</v>
      </c>
      <c r="I404" s="2">
        <f>_xll.IMDP("STK",표.실시간[[#This Row],[nxt_code]],"시가총액")/10^12</f>
        <v>0.72211023939999996</v>
      </c>
      <c r="J404" s="2">
        <f>표.실시간[[#This Row],[시가총액 (조원)]]/표.실시간[[#This Row],[현재가]]*(표.실시간[[#This Row],[현재가]]-표.실시간[[#This Row],[대비]])</f>
        <v>0.74102529959999996</v>
      </c>
      <c r="K404" s="3">
        <f>_xll.IMDP("STK",표.실시간[[#This Row],[nxt_code]],"전일대비")</f>
        <v>-1700</v>
      </c>
      <c r="L404">
        <f>_xll.IMDP("STK",표.실시간[[#This Row],[nxt_code]],"등락률")</f>
        <v>-2.5499999999999998</v>
      </c>
      <c r="M404" s="2">
        <f>_xll.IMDP("STK",표.실시간[[#This Row],[nxt_code]],"누적거래량")</f>
        <v>6218</v>
      </c>
      <c r="N404" s="2">
        <f>_xll.IMDP("STK",표.실시간[[#This Row],[nxt_code]],"누적거래대금")/10^8</f>
        <v>4.0586200000000003</v>
      </c>
      <c r="O404" s="2">
        <f>_xll.IMDP("STK",표.실시간[[#This Row],[nxt_code]],"가중평균가")</f>
        <v>65272.113219999999</v>
      </c>
      <c r="P404" s="2">
        <f>_xll.IMDP("STK",표.실시간[[#This Row],[nxt_code]],"시가")</f>
        <v>66300</v>
      </c>
      <c r="Q404" s="2">
        <f>_xll.IMDP("STK",표.실시간[[#This Row],[nxt_code]],"고가")</f>
        <v>66400</v>
      </c>
      <c r="R404" s="2">
        <f>_xll.IMDP("STK",표.실시간[[#This Row],[nxt_code]],"저가")</f>
        <v>64500</v>
      </c>
      <c r="S404">
        <f>_xll.IMDP("STK",표.실시간[[#This Row],[nxt_code]],"세션명")</f>
        <v>0</v>
      </c>
      <c r="T404">
        <f>_xll.IMDP("STK",표.실시간[[#This Row],[nxt_code]],"체결시간")</f>
        <v>0</v>
      </c>
      <c r="U404" s="2">
        <f>_xll.IMDP("STK","053800","현재가")</f>
        <v>64900</v>
      </c>
      <c r="V404">
        <f>_xll.IMDP("STK","053800","누적거래량")</f>
        <v>9689</v>
      </c>
    </row>
    <row r="405" spans="2:22" x14ac:dyDescent="0.3">
      <c r="B405">
        <v>397</v>
      </c>
      <c r="C405">
        <v>0</v>
      </c>
      <c r="D405">
        <f>IF(IFERROR(INDEX(표.kospi200[code],MATCH(표.실시간[[#This Row],[코드]],표.kospi200[code],0)),0)=0,0,1)</f>
        <v>0</v>
      </c>
      <c r="E405" t="s">
        <v>410</v>
      </c>
      <c r="F405">
        <v>127120</v>
      </c>
      <c r="G405" t="str">
        <f>ConvertStockCode(표.실시간[[#This Row],[코드]])</f>
        <v>N127120</v>
      </c>
      <c r="H405" s="2">
        <f>_xll.IMDP("STK",표.실시간[[#This Row],[nxt_code]],"현재가")</f>
        <v>21400</v>
      </c>
      <c r="I405" s="2">
        <f>_xll.IMDP("STK",표.실시간[[#This Row],[nxt_code]],"시가총액")/10^12</f>
        <v>0.69939467160000002</v>
      </c>
      <c r="J405" s="2">
        <f>표.실시간[[#This Row],[시가총액 (조원)]]/표.실시간[[#This Row],[현재가]]*(표.실시간[[#This Row],[현재가]]-표.실시간[[#This Row],[대비]])</f>
        <v>0.69122417309999995</v>
      </c>
      <c r="K405" s="3">
        <f>_xll.IMDP("STK",표.실시간[[#This Row],[nxt_code]],"전일대비")</f>
        <v>250</v>
      </c>
      <c r="L405">
        <f>_xll.IMDP("STK",표.실시간[[#This Row],[nxt_code]],"등락률")</f>
        <v>2.64</v>
      </c>
      <c r="M405" s="2">
        <f>_xll.IMDP("STK",표.실시간[[#This Row],[nxt_code]],"누적거래량")</f>
        <v>41065</v>
      </c>
      <c r="N405" s="2">
        <f>_xll.IMDP("STK",표.실시간[[#This Row],[nxt_code]],"누적거래대금")/10^8</f>
        <v>7.9319632000000002</v>
      </c>
      <c r="O405" s="2">
        <f>_xll.IMDP("STK",표.실시간[[#This Row],[nxt_code]],"가중평균가")</f>
        <v>20347.077073</v>
      </c>
      <c r="P405" s="2">
        <f>_xll.IMDP("STK",표.실시간[[#This Row],[nxt_code]],"시가")</f>
        <v>20850</v>
      </c>
      <c r="Q405" s="2">
        <f>_xll.IMDP("STK",표.실시간[[#This Row],[nxt_code]],"고가")</f>
        <v>21500</v>
      </c>
      <c r="R405" s="2">
        <f>_xll.IMDP("STK",표.실시간[[#This Row],[nxt_code]],"저가")</f>
        <v>19980</v>
      </c>
      <c r="S405">
        <f>_xll.IMDP("STK",표.실시간[[#This Row],[nxt_code]],"세션명")</f>
        <v>0</v>
      </c>
      <c r="T405">
        <f>_xll.IMDP("STK",표.실시간[[#This Row],[nxt_code]],"체결시간")</f>
        <v>0</v>
      </c>
      <c r="U405" s="2">
        <f>_xll.IMDP("STK","127120","현재가")</f>
        <v>21000</v>
      </c>
      <c r="V405">
        <f>_xll.IMDP("STK","127120","누적거래량")</f>
        <v>26895</v>
      </c>
    </row>
    <row r="406" spans="2:22" x14ac:dyDescent="0.3">
      <c r="B406">
        <v>398</v>
      </c>
      <c r="C406">
        <v>0</v>
      </c>
      <c r="D406">
        <f>IF(IFERROR(INDEX(표.kospi200[code],MATCH(표.실시간[[#This Row],[코드]],표.kospi200[code],0)),0)=0,0,1)</f>
        <v>0</v>
      </c>
      <c r="E406" t="s">
        <v>411</v>
      </c>
      <c r="F406">
        <v>33100</v>
      </c>
      <c r="G406" t="str">
        <f>ConvertStockCode(표.실시간[[#This Row],[코드]])</f>
        <v>N033100</v>
      </c>
      <c r="H406" s="2">
        <f>_xll.IMDP("STK",표.실시간[[#This Row],[nxt_code]],"현재가")</f>
        <v>46650</v>
      </c>
      <c r="I406" s="2">
        <f>_xll.IMDP("STK",표.실시간[[#This Row],[nxt_code]],"시가총액")/10^12</f>
        <v>0.74931137984999996</v>
      </c>
      <c r="J406" s="2">
        <f>표.실시간[[#This Row],[시가총액 (조원)]]/표.실시간[[#This Row],[현재가]]*(표.실시간[[#This Row],[현재가]]-표.실시간[[#This Row],[대비]])</f>
        <v>0.78464867964999996</v>
      </c>
      <c r="K406" s="3">
        <f>_xll.IMDP("STK",표.실시간[[#This Row],[nxt_code]],"전일대비")</f>
        <v>-2200</v>
      </c>
      <c r="L406">
        <f>_xll.IMDP("STK",표.실시간[[#This Row],[nxt_code]],"등락률")</f>
        <v>-4.5</v>
      </c>
      <c r="M406" s="2">
        <f>_xll.IMDP("STK",표.실시간[[#This Row],[nxt_code]],"누적거래량")</f>
        <v>148803</v>
      </c>
      <c r="N406" s="2">
        <f>_xll.IMDP("STK",표.실시간[[#This Row],[nxt_code]],"누적거래대금")/10^8</f>
        <v>69.880486000000005</v>
      </c>
      <c r="O406" s="2">
        <f>_xll.IMDP("STK",표.실시간[[#This Row],[nxt_code]],"가중평균가")</f>
        <v>46941.240561999999</v>
      </c>
      <c r="P406" s="2">
        <f>_xll.IMDP("STK",표.실시간[[#This Row],[nxt_code]],"시가")</f>
        <v>48500</v>
      </c>
      <c r="Q406" s="2">
        <f>_xll.IMDP("STK",표.실시간[[#This Row],[nxt_code]],"고가")</f>
        <v>48850</v>
      </c>
      <c r="R406" s="2">
        <f>_xll.IMDP("STK",표.실시간[[#This Row],[nxt_code]],"저가")</f>
        <v>45950</v>
      </c>
      <c r="S406">
        <f>_xll.IMDP("STK",표.실시간[[#This Row],[nxt_code]],"세션명")</f>
        <v>0</v>
      </c>
      <c r="T406">
        <f>_xll.IMDP("STK",표.실시간[[#This Row],[nxt_code]],"체결시간")</f>
        <v>0</v>
      </c>
      <c r="U406" s="2">
        <f>_xll.IMDP("STK","033100","현재가")</f>
        <v>46600</v>
      </c>
      <c r="V406">
        <f>_xll.IMDP("STK","033100","누적거래량")</f>
        <v>97727</v>
      </c>
    </row>
    <row r="407" spans="2:22" x14ac:dyDescent="0.3">
      <c r="B407">
        <v>399</v>
      </c>
      <c r="C407">
        <v>0</v>
      </c>
      <c r="D407">
        <f>IF(IFERROR(INDEX(표.kospi200[code],MATCH(표.실시간[[#This Row],[코드]],표.kospi200[code],0)),0)=0,0,1)</f>
        <v>0</v>
      </c>
      <c r="E407" t="s">
        <v>412</v>
      </c>
      <c r="F407">
        <v>15750</v>
      </c>
      <c r="G407" t="str">
        <f>ConvertStockCode(표.실시간[[#This Row],[코드]])</f>
        <v>N015750</v>
      </c>
      <c r="H407" s="2">
        <f>_xll.IMDP("STK",표.실시간[[#This Row],[nxt_code]],"현재가")</f>
        <v>7840</v>
      </c>
      <c r="I407" s="2">
        <f>_xll.IMDP("STK",표.실시간[[#This Row],[nxt_code]],"시가총액")/10^12</f>
        <v>0.62719999999999998</v>
      </c>
      <c r="J407" s="2">
        <f>표.실시간[[#This Row],[시가총액 (조원)]]/표.실시간[[#This Row],[현재가]]*(표.실시간[[#This Row],[현재가]]-표.실시간[[#This Row],[대비]])</f>
        <v>0.63759999999999994</v>
      </c>
      <c r="K407" s="3">
        <f>_xll.IMDP("STK",표.실시간[[#This Row],[nxt_code]],"전일대비")</f>
        <v>-130</v>
      </c>
      <c r="L407">
        <f>_xll.IMDP("STK",표.실시간[[#This Row],[nxt_code]],"등락률")</f>
        <v>-1.63</v>
      </c>
      <c r="M407" s="2">
        <f>_xll.IMDP("STK",표.실시간[[#This Row],[nxt_code]],"누적거래량")</f>
        <v>206858</v>
      </c>
      <c r="N407" s="2">
        <f>_xll.IMDP("STK",표.실시간[[#This Row],[nxt_code]],"누적거래대금")/10^8</f>
        <v>16.0557436</v>
      </c>
      <c r="O407" s="2">
        <f>_xll.IMDP("STK",표.실시간[[#This Row],[nxt_code]],"가중평균가")</f>
        <v>7761.7223409999997</v>
      </c>
      <c r="P407" s="2">
        <f>_xll.IMDP("STK",표.실시간[[#This Row],[nxt_code]],"시가")</f>
        <v>7750</v>
      </c>
      <c r="Q407" s="2">
        <f>_xll.IMDP("STK",표.실시간[[#This Row],[nxt_code]],"고가")</f>
        <v>7890</v>
      </c>
      <c r="R407" s="2">
        <f>_xll.IMDP("STK",표.실시간[[#This Row],[nxt_code]],"저가")</f>
        <v>7610</v>
      </c>
      <c r="S407">
        <f>_xll.IMDP("STK",표.실시간[[#This Row],[nxt_code]],"세션명")</f>
        <v>0</v>
      </c>
      <c r="T407">
        <f>_xll.IMDP("STK",표.실시간[[#This Row],[nxt_code]],"체결시간")</f>
        <v>0</v>
      </c>
      <c r="U407" s="2">
        <f>_xll.IMDP("STK","015750","현재가")</f>
        <v>7820</v>
      </c>
      <c r="V407">
        <f>_xll.IMDP("STK","015750","누적거래량")</f>
        <v>127347</v>
      </c>
    </row>
    <row r="408" spans="2:22" x14ac:dyDescent="0.3">
      <c r="B408">
        <v>400</v>
      </c>
      <c r="C408">
        <v>0</v>
      </c>
      <c r="D408">
        <f>IF(IFERROR(INDEX(표.kospi200[code],MATCH(표.실시간[[#This Row],[코드]],표.kospi200[code],0)),0)=0,0,1)</f>
        <v>0</v>
      </c>
      <c r="E408" t="s">
        <v>413</v>
      </c>
      <c r="F408">
        <v>74600</v>
      </c>
      <c r="G408" t="str">
        <f>ConvertStockCode(표.실시간[[#This Row],[코드]])</f>
        <v>N074600</v>
      </c>
      <c r="H408" s="2">
        <f>_xll.IMDP("STK",표.실시간[[#This Row],[nxt_code]],"현재가")</f>
        <v>27850</v>
      </c>
      <c r="I408" s="2">
        <f>_xll.IMDP("STK",표.실시간[[#This Row],[nxt_code]],"시가총액")/10^12</f>
        <v>0.73212080000000002</v>
      </c>
      <c r="J408" s="2">
        <f>표.실시간[[#This Row],[시가총액 (조원)]]/표.실시간[[#This Row],[현재가]]*(표.실시간[[#This Row],[현재가]]-표.실시간[[#This Row],[대비]])</f>
        <v>0.74920799999999999</v>
      </c>
      <c r="K408" s="3">
        <f>_xll.IMDP("STK",표.실시간[[#This Row],[nxt_code]],"전일대비")</f>
        <v>-650</v>
      </c>
      <c r="L408">
        <f>_xll.IMDP("STK",표.실시간[[#This Row],[nxt_code]],"등락률")</f>
        <v>-2.2799999999999998</v>
      </c>
      <c r="M408" s="2">
        <f>_xll.IMDP("STK",표.실시간[[#This Row],[nxt_code]],"누적거래량")</f>
        <v>115024</v>
      </c>
      <c r="N408" s="2">
        <f>_xll.IMDP("STK",표.실시간[[#This Row],[nxt_code]],"누적거래대금")/10^8</f>
        <v>31.618455999999998</v>
      </c>
      <c r="O408" s="2">
        <f>_xll.IMDP("STK",표.실시간[[#This Row],[nxt_code]],"가중평균가")</f>
        <v>27488.572820000001</v>
      </c>
      <c r="P408" s="2">
        <f>_xll.IMDP("STK",표.실시간[[#This Row],[nxt_code]],"시가")</f>
        <v>28500</v>
      </c>
      <c r="Q408" s="2">
        <f>_xll.IMDP("STK",표.실시간[[#This Row],[nxt_code]],"고가")</f>
        <v>28500</v>
      </c>
      <c r="R408" s="2">
        <f>_xll.IMDP("STK",표.실시간[[#This Row],[nxt_code]],"저가")</f>
        <v>27050</v>
      </c>
      <c r="S408">
        <f>_xll.IMDP("STK",표.실시간[[#This Row],[nxt_code]],"세션명")</f>
        <v>0</v>
      </c>
      <c r="T408">
        <f>_xll.IMDP("STK",표.실시간[[#This Row],[nxt_code]],"체결시간")</f>
        <v>0</v>
      </c>
      <c r="U408" s="2">
        <f>_xll.IMDP("STK","074600","현재가")</f>
        <v>28200</v>
      </c>
      <c r="V408">
        <f>_xll.IMDP("STK","074600","누적거래량")</f>
        <v>59726</v>
      </c>
    </row>
    <row r="409" spans="2:22" x14ac:dyDescent="0.3">
      <c r="B409">
        <v>401</v>
      </c>
      <c r="C409">
        <v>0</v>
      </c>
      <c r="D409">
        <f>IF(IFERROR(INDEX(표.kospi200[code],MATCH(표.실시간[[#This Row],[코드]],표.kospi200[code],0)),0)=0,0,1)</f>
        <v>0</v>
      </c>
      <c r="E409" t="s">
        <v>414</v>
      </c>
      <c r="F409">
        <v>89970</v>
      </c>
      <c r="G409" t="str">
        <f>ConvertStockCode(표.실시간[[#This Row],[코드]])</f>
        <v>N089970</v>
      </c>
      <c r="H409" s="2">
        <f>_xll.IMDP("STK",표.실시간[[#This Row],[nxt_code]],"현재가")</f>
        <v>28700</v>
      </c>
      <c r="I409" s="2">
        <f>_xll.IMDP("STK",표.실시간[[#This Row],[nxt_code]],"시가총액")/10^12</f>
        <v>0.70061564649999997</v>
      </c>
      <c r="J409" s="2">
        <f>표.실시간[[#This Row],[시가총액 (조원)]]/표.실시간[[#This Row],[현재가]]*(표.실시간[[#This Row],[현재가]]-표.실시간[[#This Row],[대비]])</f>
        <v>0.73357143474999997</v>
      </c>
      <c r="K409" s="3">
        <f>_xll.IMDP("STK",표.실시간[[#This Row],[nxt_code]],"전일대비")</f>
        <v>-1350</v>
      </c>
      <c r="L409">
        <f>_xll.IMDP("STK",표.실시간[[#This Row],[nxt_code]],"등락률")</f>
        <v>-4.49</v>
      </c>
      <c r="M409" s="2">
        <f>_xll.IMDP("STK",표.실시간[[#This Row],[nxt_code]],"누적거래량")</f>
        <v>142499</v>
      </c>
      <c r="N409" s="2">
        <f>_xll.IMDP("STK",표.실시간[[#This Row],[nxt_code]],"누적거래대금")/10^8</f>
        <v>40.610741500000003</v>
      </c>
      <c r="O409" s="2">
        <f>_xll.IMDP("STK",표.실시간[[#This Row],[nxt_code]],"가중평균가")</f>
        <v>28500.980006999998</v>
      </c>
      <c r="P409" s="2">
        <f>_xll.IMDP("STK",표.실시간[[#This Row],[nxt_code]],"시가")</f>
        <v>29000</v>
      </c>
      <c r="Q409" s="2">
        <f>_xll.IMDP("STK",표.실시간[[#This Row],[nxt_code]],"고가")</f>
        <v>29650</v>
      </c>
      <c r="R409" s="2">
        <f>_xll.IMDP("STK",표.실시간[[#This Row],[nxt_code]],"저가")</f>
        <v>27800</v>
      </c>
      <c r="S409">
        <f>_xll.IMDP("STK",표.실시간[[#This Row],[nxt_code]],"세션명")</f>
        <v>0</v>
      </c>
      <c r="T409">
        <f>_xll.IMDP("STK",표.실시간[[#This Row],[nxt_code]],"체결시간")</f>
        <v>0</v>
      </c>
      <c r="U409" s="2">
        <f>_xll.IMDP("STK","089970","현재가")</f>
        <v>28850</v>
      </c>
      <c r="V409">
        <f>_xll.IMDP("STK","089970","누적거래량")</f>
        <v>67526</v>
      </c>
    </row>
    <row r="410" spans="2:22" x14ac:dyDescent="0.3">
      <c r="B410">
        <v>402</v>
      </c>
      <c r="C410">
        <v>1</v>
      </c>
      <c r="D410">
        <f>IF(IFERROR(INDEX(표.kospi200[code],MATCH(표.실시간[[#This Row],[코드]],표.kospi200[code],0)),0)=0,0,1)</f>
        <v>0</v>
      </c>
      <c r="E410" t="s">
        <v>415</v>
      </c>
      <c r="F410">
        <v>1060</v>
      </c>
      <c r="G410" t="str">
        <f>ConvertStockCode(표.실시간[[#This Row],[코드]])</f>
        <v>N001060</v>
      </c>
      <c r="H410" s="2">
        <f>_xll.IMDP("STK",표.실시간[[#This Row],[nxt_code]],"현재가")</f>
        <v>30950</v>
      </c>
      <c r="I410" s="2">
        <f>_xll.IMDP("STK",표.실시간[[#This Row],[nxt_code]],"시가총액")/10^12</f>
        <v>0.72069953350000004</v>
      </c>
      <c r="J410" s="2">
        <f>표.실시간[[#This Row],[시가총액 (조원)]]/표.실시간[[#This Row],[현재가]]*(표.실시간[[#This Row],[현재가]]-표.실시간[[#This Row],[대비]])</f>
        <v>0.72419242300000009</v>
      </c>
      <c r="K410" s="3">
        <f>_xll.IMDP("STK",표.실시간[[#This Row],[nxt_code]],"전일대비")</f>
        <v>-150</v>
      </c>
      <c r="L410">
        <f>_xll.IMDP("STK",표.실시간[[#This Row],[nxt_code]],"등락률")</f>
        <v>-0.48</v>
      </c>
      <c r="M410" s="2">
        <f>_xll.IMDP("STK",표.실시간[[#This Row],[nxt_code]],"누적거래량")</f>
        <v>24944</v>
      </c>
      <c r="N410" s="2">
        <f>_xll.IMDP("STK",표.실시간[[#This Row],[nxt_code]],"누적거래대금")/10^8</f>
        <v>7.7719820000000004</v>
      </c>
      <c r="O410" s="2">
        <f>_xll.IMDP("STK",표.실시간[[#This Row],[nxt_code]],"가중평균가")</f>
        <v>30954.205830999999</v>
      </c>
      <c r="P410" s="2">
        <f>_xll.IMDP("STK",표.실시간[[#This Row],[nxt_code]],"시가")</f>
        <v>31100</v>
      </c>
      <c r="Q410" s="2">
        <f>_xll.IMDP("STK",표.실시간[[#This Row],[nxt_code]],"고가")</f>
        <v>31350</v>
      </c>
      <c r="R410" s="2">
        <f>_xll.IMDP("STK",표.실시간[[#This Row],[nxt_code]],"저가")</f>
        <v>30550</v>
      </c>
      <c r="S410">
        <f>_xll.IMDP("STK",표.실시간[[#This Row],[nxt_code]],"세션명")</f>
        <v>0</v>
      </c>
      <c r="T410">
        <f>_xll.IMDP("STK",표.실시간[[#This Row],[nxt_code]],"체결시간")</f>
        <v>0</v>
      </c>
      <c r="U410" s="2">
        <f>_xll.IMDP("STK","001060","현재가")</f>
        <v>30900</v>
      </c>
      <c r="V410">
        <f>_xll.IMDP("STK","001060","누적거래량")</f>
        <v>11449</v>
      </c>
    </row>
    <row r="411" spans="2:22" x14ac:dyDescent="0.3">
      <c r="B411">
        <v>403</v>
      </c>
      <c r="C411">
        <v>1</v>
      </c>
      <c r="D411">
        <f>IF(IFERROR(INDEX(표.kospi200[code],MATCH(표.실시간[[#This Row],[코드]],표.kospi200[code],0)),0)=0,0,1)</f>
        <v>0</v>
      </c>
      <c r="E411" t="s">
        <v>416</v>
      </c>
      <c r="F411">
        <v>19170</v>
      </c>
      <c r="G411" t="str">
        <f>ConvertStockCode(표.실시간[[#This Row],[코드]])</f>
        <v>N019170</v>
      </c>
      <c r="H411" s="2">
        <f>_xll.IMDP("STK",표.실시간[[#This Row],[nxt_code]],"현재가")</f>
        <v>12910</v>
      </c>
      <c r="I411" s="2">
        <f>_xll.IMDP("STK",표.실시간[[#This Row],[nxt_code]],"시가총액")/10^12</f>
        <v>0.68403622090000005</v>
      </c>
      <c r="J411" s="2">
        <f>표.실시간[[#This Row],[시가총액 (조원)]]/표.실시간[[#This Row],[현재가]]*(표.실시간[[#This Row],[현재가]]-표.실시간[[#This Row],[대비]])</f>
        <v>0.68933471990000006</v>
      </c>
      <c r="K411" s="3">
        <f>_xll.IMDP("STK",표.실시간[[#This Row],[nxt_code]],"전일대비")</f>
        <v>-100</v>
      </c>
      <c r="L411">
        <f>_xll.IMDP("STK",표.실시간[[#This Row],[nxt_code]],"등락률")</f>
        <v>-0.77</v>
      </c>
      <c r="M411" s="2">
        <f>_xll.IMDP("STK",표.실시간[[#This Row],[nxt_code]],"누적거래량")</f>
        <v>24012</v>
      </c>
      <c r="N411" s="2">
        <f>_xll.IMDP("STK",표.실시간[[#This Row],[nxt_code]],"누적거래대금")/10^8</f>
        <v>3.1158304999999999</v>
      </c>
      <c r="O411" s="2">
        <f>_xll.IMDP("STK",표.실시간[[#This Row],[nxt_code]],"가중평균가")</f>
        <v>12976.139014</v>
      </c>
      <c r="P411" s="2">
        <f>_xll.IMDP("STK",표.실시간[[#This Row],[nxt_code]],"시가")</f>
        <v>13210</v>
      </c>
      <c r="Q411" s="2">
        <f>_xll.IMDP("STK",표.실시간[[#This Row],[nxt_code]],"고가")</f>
        <v>13210</v>
      </c>
      <c r="R411" s="2">
        <f>_xll.IMDP("STK",표.실시간[[#This Row],[nxt_code]],"저가")</f>
        <v>12850</v>
      </c>
      <c r="S411">
        <f>_xll.IMDP("STK",표.실시간[[#This Row],[nxt_code]],"세션명")</f>
        <v>0</v>
      </c>
      <c r="T411">
        <f>_xll.IMDP("STK",표.실시간[[#This Row],[nxt_code]],"체결시간")</f>
        <v>0</v>
      </c>
      <c r="U411" s="2">
        <f>_xll.IMDP("STK","019170","현재가")</f>
        <v>12910</v>
      </c>
      <c r="V411">
        <f>_xll.IMDP("STK","019170","누적거래량")</f>
        <v>13830</v>
      </c>
    </row>
    <row r="412" spans="2:22" x14ac:dyDescent="0.3">
      <c r="B412">
        <v>404</v>
      </c>
      <c r="C412">
        <v>1</v>
      </c>
      <c r="D412">
        <f>IF(IFERROR(INDEX(표.kospi200[code],MATCH(표.실시간[[#This Row],[코드]],표.kospi200[code],0)),0)=0,0,1)</f>
        <v>0</v>
      </c>
      <c r="E412" t="s">
        <v>417</v>
      </c>
      <c r="F412">
        <v>456040</v>
      </c>
      <c r="G412" t="str">
        <f>ConvertStockCode(표.실시간[[#This Row],[코드]])</f>
        <v>N456040</v>
      </c>
      <c r="H412" s="2">
        <f>_xll.IMDP("STK",표.실시간[[#This Row],[nxt_code]],"현재가")</f>
        <v>70300</v>
      </c>
      <c r="I412" s="2">
        <f>_xll.IMDP("STK",표.실시간[[#This Row],[nxt_code]],"시가총액")/10^12</f>
        <v>0.62936039850000003</v>
      </c>
      <c r="J412" s="2">
        <f>표.실시간[[#This Row],[시가총액 (조원)]]/표.실시간[[#This Row],[현재가]]*(표.실시간[[#This Row],[현재가]]-표.실시간[[#This Row],[대비]])</f>
        <v>0.63204614700000006</v>
      </c>
      <c r="K412" s="3">
        <f>_xll.IMDP("STK",표.실시간[[#This Row],[nxt_code]],"전일대비")</f>
        <v>-300</v>
      </c>
      <c r="L412">
        <f>_xll.IMDP("STK",표.실시간[[#This Row],[nxt_code]],"등락률")</f>
        <v>-0.42</v>
      </c>
      <c r="M412" s="2">
        <f>_xll.IMDP("STK",표.실시간[[#This Row],[nxt_code]],"누적거래량")</f>
        <v>8187</v>
      </c>
      <c r="N412" s="2">
        <f>_xll.IMDP("STK",표.실시간[[#This Row],[nxt_code]],"누적거래대금")/10^8</f>
        <v>5.711131</v>
      </c>
      <c r="O412" s="2">
        <f>_xll.IMDP("STK",표.실시간[[#This Row],[nxt_code]],"가중평균가")</f>
        <v>69758.531818999996</v>
      </c>
      <c r="P412" s="2">
        <f>_xll.IMDP("STK",표.실시간[[#This Row],[nxt_code]],"시가")</f>
        <v>71200</v>
      </c>
      <c r="Q412" s="2">
        <f>_xll.IMDP("STK",표.실시간[[#This Row],[nxt_code]],"고가")</f>
        <v>71200</v>
      </c>
      <c r="R412" s="2">
        <f>_xll.IMDP("STK",표.실시간[[#This Row],[nxt_code]],"저가")</f>
        <v>69200</v>
      </c>
      <c r="S412">
        <f>_xll.IMDP("STK",표.실시간[[#This Row],[nxt_code]],"세션명")</f>
        <v>0</v>
      </c>
      <c r="T412">
        <f>_xll.IMDP("STK",표.실시간[[#This Row],[nxt_code]],"체결시간")</f>
        <v>0</v>
      </c>
      <c r="U412" s="2">
        <f>_xll.IMDP("STK","456040","현재가")</f>
        <v>70200</v>
      </c>
      <c r="V412">
        <f>_xll.IMDP("STK","456040","누적거래량")</f>
        <v>2590</v>
      </c>
    </row>
    <row r="413" spans="2:22" x14ac:dyDescent="0.3">
      <c r="B413">
        <v>405</v>
      </c>
      <c r="C413">
        <v>1</v>
      </c>
      <c r="D413">
        <f>IF(IFERROR(INDEX(표.kospi200[code],MATCH(표.실시간[[#This Row],[코드]],표.kospi200[code],0)),0)=0,0,1)</f>
        <v>0</v>
      </c>
      <c r="E413" t="s">
        <v>418</v>
      </c>
      <c r="F413">
        <v>57050</v>
      </c>
      <c r="G413" t="str">
        <f>ConvertStockCode(표.실시간[[#This Row],[코드]])</f>
        <v>N057050</v>
      </c>
      <c r="H413" s="2">
        <f>_xll.IMDP("STK",표.실시간[[#This Row],[nxt_code]],"현재가")</f>
        <v>57500</v>
      </c>
      <c r="I413" s="2">
        <f>_xll.IMDP("STK",표.실시간[[#This Row],[nxt_code]],"시가총액")/10^12</f>
        <v>0.69</v>
      </c>
      <c r="J413" s="2">
        <f>표.실시간[[#This Row],[시가총액 (조원)]]/표.실시간[[#This Row],[현재가]]*(표.실시간[[#This Row],[현재가]]-표.실시간[[#This Row],[대비]])</f>
        <v>0.69599999999999995</v>
      </c>
      <c r="K413" s="3">
        <f>_xll.IMDP("STK",표.실시간[[#This Row],[nxt_code]],"전일대비")</f>
        <v>-500</v>
      </c>
      <c r="L413">
        <f>_xll.IMDP("STK",표.실시간[[#This Row],[nxt_code]],"등락률")</f>
        <v>-0.86</v>
      </c>
      <c r="M413" s="2">
        <f>_xll.IMDP("STK",표.실시간[[#This Row],[nxt_code]],"누적거래량")</f>
        <v>1054</v>
      </c>
      <c r="N413" s="2">
        <f>_xll.IMDP("STK",표.실시간[[#This Row],[nxt_code]],"누적거래대금")/10^8</f>
        <v>0.6008</v>
      </c>
      <c r="O413" s="2">
        <f>_xll.IMDP("STK",표.실시간[[#This Row],[nxt_code]],"가중평균가")</f>
        <v>57001.897533000003</v>
      </c>
      <c r="P413" s="2">
        <f>_xll.IMDP("STK",표.실시간[[#This Row],[nxt_code]],"시가")</f>
        <v>58000</v>
      </c>
      <c r="Q413" s="2">
        <f>_xll.IMDP("STK",표.실시간[[#This Row],[nxt_code]],"고가")</f>
        <v>58000</v>
      </c>
      <c r="R413" s="2">
        <f>_xll.IMDP("STK",표.실시간[[#This Row],[nxt_code]],"저가")</f>
        <v>56800</v>
      </c>
      <c r="S413">
        <f>_xll.IMDP("STK",표.실시간[[#This Row],[nxt_code]],"세션명")</f>
        <v>0</v>
      </c>
      <c r="T413">
        <f>_xll.IMDP("STK",표.실시간[[#This Row],[nxt_code]],"체결시간")</f>
        <v>0</v>
      </c>
      <c r="U413" s="2">
        <f>_xll.IMDP("STK","057050","현재가")</f>
        <v>57600</v>
      </c>
      <c r="V413">
        <f>_xll.IMDP("STK","057050","누적거래량")</f>
        <v>384</v>
      </c>
    </row>
    <row r="414" spans="2:22" x14ac:dyDescent="0.3">
      <c r="B414">
        <v>406</v>
      </c>
      <c r="C414">
        <v>0</v>
      </c>
      <c r="D414">
        <f>IF(IFERROR(INDEX(표.kospi200[code],MATCH(표.실시간[[#This Row],[코드]],표.kospi200[code],0)),0)=0,0,1)</f>
        <v>0</v>
      </c>
      <c r="E414" t="s">
        <v>419</v>
      </c>
      <c r="F414">
        <v>117730</v>
      </c>
      <c r="G414" t="str">
        <f>ConvertStockCode(표.실시간[[#This Row],[코드]])</f>
        <v>N117730</v>
      </c>
      <c r="H414" s="2">
        <f>_xll.IMDP("STK",표.실시간[[#This Row],[nxt_code]],"현재가")</f>
        <v>24400</v>
      </c>
      <c r="I414" s="2">
        <f>_xll.IMDP("STK",표.실시간[[#This Row],[nxt_code]],"시가총액")/10^12</f>
        <v>0.54025523519999996</v>
      </c>
      <c r="J414" s="2">
        <f>표.실시간[[#This Row],[시가총액 (조원)]]/표.실시간[[#This Row],[현재가]]*(표.실시간[[#This Row],[현재가]]-표.실시간[[#This Row],[대비]])</f>
        <v>0.53693399399999997</v>
      </c>
      <c r="K414" s="3">
        <f>_xll.IMDP("STK",표.실시간[[#This Row],[nxt_code]],"전일대비")</f>
        <v>150</v>
      </c>
      <c r="L414">
        <f>_xll.IMDP("STK",표.실시간[[#This Row],[nxt_code]],"등락률")</f>
        <v>0.62</v>
      </c>
      <c r="M414" s="2">
        <f>_xll.IMDP("STK",표.실시간[[#This Row],[nxt_code]],"누적거래량")</f>
        <v>151107</v>
      </c>
      <c r="N414" s="2">
        <f>_xll.IMDP("STK",표.실시간[[#This Row],[nxt_code]],"누적거래대금")/10^8</f>
        <v>35.515234999999997</v>
      </c>
      <c r="O414" s="2">
        <f>_xll.IMDP("STK",표.실시간[[#This Row],[nxt_code]],"가중평균가")</f>
        <v>23503.368473999999</v>
      </c>
      <c r="P414" s="2">
        <f>_xll.IMDP("STK",표.실시간[[#This Row],[nxt_code]],"시가")</f>
        <v>24250</v>
      </c>
      <c r="Q414" s="2">
        <f>_xll.IMDP("STK",표.실시간[[#This Row],[nxt_code]],"고가")</f>
        <v>24500</v>
      </c>
      <c r="R414" s="2">
        <f>_xll.IMDP("STK",표.실시간[[#This Row],[nxt_code]],"저가")</f>
        <v>23050</v>
      </c>
      <c r="S414">
        <f>_xll.IMDP("STK",표.실시간[[#This Row],[nxt_code]],"세션명")</f>
        <v>0</v>
      </c>
      <c r="T414">
        <f>_xll.IMDP("STK",표.실시간[[#This Row],[nxt_code]],"체결시간")</f>
        <v>0</v>
      </c>
      <c r="U414" s="2">
        <f>_xll.IMDP("STK","117730","현재가")</f>
        <v>24450</v>
      </c>
      <c r="V414">
        <f>_xll.IMDP("STK","117730","누적거래량")</f>
        <v>87534</v>
      </c>
    </row>
    <row r="415" spans="2:22" x14ac:dyDescent="0.3">
      <c r="B415">
        <v>407</v>
      </c>
      <c r="C415">
        <v>1</v>
      </c>
      <c r="D415">
        <f>IF(IFERROR(INDEX(표.kospi200[code],MATCH(표.실시간[[#This Row],[코드]],표.kospi200[code],0)),0)=0,0,1)</f>
        <v>0</v>
      </c>
      <c r="E415" t="s">
        <v>420</v>
      </c>
      <c r="F415">
        <v>1270</v>
      </c>
      <c r="G415" t="str">
        <f>ConvertStockCode(표.실시간[[#This Row],[코드]])</f>
        <v>N001270</v>
      </c>
      <c r="H415" s="2">
        <f>_xll.IMDP("STK",표.실시간[[#This Row],[nxt_code]],"현재가")</f>
        <v>73100</v>
      </c>
      <c r="I415" s="2">
        <f>_xll.IMDP("STK",표.실시간[[#This Row],[nxt_code]],"시가총액")/10^12</f>
        <v>0.75700167799999996</v>
      </c>
      <c r="J415" s="2">
        <f>표.실시간[[#This Row],[시가총액 (조원)]]/표.실시간[[#This Row],[현재가]]*(표.실시간[[#This Row],[현재가]]-표.실시간[[#This Row],[대비]])</f>
        <v>0.74353926785772906</v>
      </c>
      <c r="K415" s="3">
        <f>_xll.IMDP("STK",표.실시간[[#This Row],[nxt_code]],"전일대비")</f>
        <v>1300</v>
      </c>
      <c r="L415">
        <f>_xll.IMDP("STK",표.실시간[[#This Row],[nxt_code]],"등락률")</f>
        <v>1.67</v>
      </c>
      <c r="M415" s="2">
        <f>_xll.IMDP("STK",표.실시간[[#This Row],[nxt_code]],"누적거래량")</f>
        <v>66975</v>
      </c>
      <c r="N415" s="2">
        <f>_xll.IMDP("STK",표.실시간[[#This Row],[nxt_code]],"누적거래대금")/10^8</f>
        <v>50.582538</v>
      </c>
      <c r="O415" s="2">
        <f>_xll.IMDP("STK",표.실시간[[#This Row],[nxt_code]],"가중평균가")</f>
        <v>75397.296088999996</v>
      </c>
      <c r="P415" s="2">
        <f>_xll.IMDP("STK",표.실시간[[#This Row],[nxt_code]],"시가")</f>
        <v>71000</v>
      </c>
      <c r="Q415" s="2">
        <f>_xll.IMDP("STK",표.실시간[[#This Row],[nxt_code]],"고가")</f>
        <v>79000</v>
      </c>
      <c r="R415" s="2">
        <f>_xll.IMDP("STK",표.실시간[[#This Row],[nxt_code]],"저가")</f>
        <v>69000</v>
      </c>
      <c r="S415">
        <f>_xll.IMDP("STK",표.실시간[[#This Row],[nxt_code]],"세션명")</f>
        <v>0</v>
      </c>
      <c r="T415">
        <f>_xll.IMDP("STK",표.실시간[[#This Row],[nxt_code]],"체결시간")</f>
        <v>0</v>
      </c>
      <c r="U415" s="2">
        <f>_xll.IMDP("STK","001270","현재가")</f>
        <v>73200</v>
      </c>
      <c r="V415">
        <f>_xll.IMDP("STK","001270","누적거래량")</f>
        <v>9354</v>
      </c>
    </row>
    <row r="416" spans="2:22" x14ac:dyDescent="0.3">
      <c r="B416">
        <v>408</v>
      </c>
      <c r="C416">
        <v>0</v>
      </c>
      <c r="D416">
        <f>IF(IFERROR(INDEX(표.kospi200[code],MATCH(표.실시간[[#This Row],[코드]],표.kospi200[code],0)),0)=0,0,1)</f>
        <v>0</v>
      </c>
      <c r="E416" t="s">
        <v>421</v>
      </c>
      <c r="F416">
        <v>32500</v>
      </c>
      <c r="G416" t="str">
        <f>ConvertStockCode(표.실시간[[#This Row],[코드]])</f>
        <v>N032500</v>
      </c>
      <c r="H416" s="2">
        <f>_xll.IMDP("STK",표.실시간[[#This Row],[nxt_code]],"현재가")</f>
        <v>18740</v>
      </c>
      <c r="I416" s="2">
        <f>_xll.IMDP("STK",표.실시간[[#This Row],[nxt_code]],"시가총액")/10^12</f>
        <v>0.76703024265999997</v>
      </c>
      <c r="J416" s="2">
        <f>표.실시간[[#This Row],[시가총액 (조원)]]/표.실시간[[#This Row],[현재가]]*(표.실시간[[#This Row],[현재가]]-표.실시간[[#This Row],[대비]])</f>
        <v>0.77439766228000007</v>
      </c>
      <c r="K416" s="3">
        <f>_xll.IMDP("STK",표.실시간[[#This Row],[nxt_code]],"전일대비")</f>
        <v>-180</v>
      </c>
      <c r="L416">
        <f>_xll.IMDP("STK",표.실시간[[#This Row],[nxt_code]],"등락률")</f>
        <v>-0.95</v>
      </c>
      <c r="M416" s="2">
        <f>_xll.IMDP("STK",표.실시간[[#This Row],[nxt_code]],"누적거래량")</f>
        <v>83053</v>
      </c>
      <c r="N416" s="2">
        <f>_xll.IMDP("STK",표.실시간[[#This Row],[nxt_code]],"누적거래대금")/10^8</f>
        <v>14.9948286</v>
      </c>
      <c r="O416" s="2">
        <f>_xll.IMDP("STK",표.실시간[[#This Row],[nxt_code]],"가중평균가")</f>
        <v>18054.529758000001</v>
      </c>
      <c r="P416" s="2">
        <f>_xll.IMDP("STK",표.실시간[[#This Row],[nxt_code]],"시가")</f>
        <v>18300</v>
      </c>
      <c r="Q416" s="2">
        <f>_xll.IMDP("STK",표.실시간[[#This Row],[nxt_code]],"고가")</f>
        <v>18740</v>
      </c>
      <c r="R416" s="2">
        <f>_xll.IMDP("STK",표.실시간[[#This Row],[nxt_code]],"저가")</f>
        <v>17800</v>
      </c>
      <c r="S416">
        <f>_xll.IMDP("STK",표.실시간[[#This Row],[nxt_code]],"세션명")</f>
        <v>0</v>
      </c>
      <c r="T416">
        <f>_xll.IMDP("STK",표.실시간[[#This Row],[nxt_code]],"체결시간")</f>
        <v>0</v>
      </c>
      <c r="U416" s="2">
        <f>_xll.IMDP("STK","032500","현재가")</f>
        <v>18740</v>
      </c>
      <c r="V416">
        <f>_xll.IMDP("STK","032500","누적거래량")</f>
        <v>60062</v>
      </c>
    </row>
    <row r="417" spans="2:22" x14ac:dyDescent="0.3">
      <c r="B417">
        <v>409</v>
      </c>
      <c r="C417">
        <v>0</v>
      </c>
      <c r="D417">
        <f>IF(IFERROR(INDEX(표.kospi200[code],MATCH(표.실시간[[#This Row],[코드]],표.kospi200[code],0)),0)=0,0,1)</f>
        <v>0</v>
      </c>
      <c r="E417" t="s">
        <v>422</v>
      </c>
      <c r="F417">
        <v>214430</v>
      </c>
      <c r="G417" t="str">
        <f>ConvertStockCode(표.실시간[[#This Row],[코드]])</f>
        <v>N214430</v>
      </c>
      <c r="H417" s="2">
        <f>_xll.IMDP("STK",표.실시간[[#This Row],[nxt_code]],"현재가")</f>
        <v>126500</v>
      </c>
      <c r="I417" s="2">
        <f>_xll.IMDP("STK",표.실시간[[#This Row],[nxt_code]],"시가총액")/10^12</f>
        <v>0.9243626975</v>
      </c>
      <c r="J417" s="2">
        <f>표.실시간[[#This Row],[시가총액 (조원)]]/표.실시간[[#This Row],[현재가]]*(표.실시간[[#This Row],[현재가]]-표.실시간[[#This Row],[대비]])</f>
        <v>0.94993795000000003</v>
      </c>
      <c r="K417" s="3">
        <f>_xll.IMDP("STK",표.실시간[[#This Row],[nxt_code]],"전일대비")</f>
        <v>-3500</v>
      </c>
      <c r="L417">
        <f>_xll.IMDP("STK",표.실시간[[#This Row],[nxt_code]],"등락률")</f>
        <v>-2.69</v>
      </c>
      <c r="M417" s="2">
        <f>_xll.IMDP("STK",표.실시간[[#This Row],[nxt_code]],"누적거래량")</f>
        <v>23218</v>
      </c>
      <c r="N417" s="2">
        <f>_xll.IMDP("STK",표.실시간[[#This Row],[nxt_code]],"누적거래대금")/10^8</f>
        <v>28.973644</v>
      </c>
      <c r="O417" s="2">
        <f>_xll.IMDP("STK",표.실시간[[#This Row],[nxt_code]],"가중평균가")</f>
        <v>124789.57705199999</v>
      </c>
      <c r="P417" s="2">
        <f>_xll.IMDP("STK",표.실시간[[#This Row],[nxt_code]],"시가")</f>
        <v>131000</v>
      </c>
      <c r="Q417" s="2">
        <f>_xll.IMDP("STK",표.실시간[[#This Row],[nxt_code]],"고가")</f>
        <v>131000</v>
      </c>
      <c r="R417" s="2">
        <f>_xll.IMDP("STK",표.실시간[[#This Row],[nxt_code]],"저가")</f>
        <v>122300</v>
      </c>
      <c r="S417">
        <f>_xll.IMDP("STK",표.실시간[[#This Row],[nxt_code]],"세션명")</f>
        <v>0</v>
      </c>
      <c r="T417">
        <f>_xll.IMDP("STK",표.실시간[[#This Row],[nxt_code]],"체결시간")</f>
        <v>0</v>
      </c>
      <c r="U417" s="2">
        <f>_xll.IMDP("STK","214430","현재가")</f>
        <v>126500</v>
      </c>
      <c r="V417">
        <f>_xll.IMDP("STK","214430","누적거래량")</f>
        <v>7334</v>
      </c>
    </row>
    <row r="418" spans="2:22" x14ac:dyDescent="0.3">
      <c r="B418">
        <v>410</v>
      </c>
      <c r="C418">
        <v>0</v>
      </c>
      <c r="D418">
        <f>IF(IFERROR(INDEX(표.kospi200[code],MATCH(표.실시간[[#This Row],[코드]],표.kospi200[code],0)),0)=0,0,1)</f>
        <v>0</v>
      </c>
      <c r="E418" t="s">
        <v>423</v>
      </c>
      <c r="F418">
        <v>455900</v>
      </c>
      <c r="G418" t="str">
        <f>ConvertStockCode(표.실시간[[#This Row],[코드]])</f>
        <v>N455900</v>
      </c>
      <c r="H418" s="2">
        <f>_xll.IMDP("STK",표.실시간[[#This Row],[nxt_code]],"현재가")</f>
        <v>36700</v>
      </c>
      <c r="I418" s="2">
        <f>_xll.IMDP("STK",표.실시간[[#This Row],[nxt_code]],"시가총액")/10^12</f>
        <v>0.55850254509999997</v>
      </c>
      <c r="J418" s="2">
        <f>표.실시간[[#This Row],[시가총액 (조원)]]/표.실시간[[#This Row],[현재가]]*(표.실시간[[#This Row],[현재가]]-표.실시간[[#This Row],[대비]])</f>
        <v>0.56611157159999992</v>
      </c>
      <c r="K418" s="3">
        <f>_xll.IMDP("STK",표.실시간[[#This Row],[nxt_code]],"전일대비")</f>
        <v>-500</v>
      </c>
      <c r="L418">
        <f>_xll.IMDP("STK",표.실시간[[#This Row],[nxt_code]],"등락률")</f>
        <v>-1.34</v>
      </c>
      <c r="M418" s="2">
        <f>_xll.IMDP("STK",표.실시간[[#This Row],[nxt_code]],"누적거래량")</f>
        <v>51272</v>
      </c>
      <c r="N418" s="2">
        <f>_xll.IMDP("STK",표.실시간[[#This Row],[nxt_code]],"누적거래대금")/10^8</f>
        <v>18.492230500000002</v>
      </c>
      <c r="O418" s="2">
        <f>_xll.IMDP("STK",표.실시간[[#This Row],[nxt_code]],"가중평균가")</f>
        <v>36066.918591000001</v>
      </c>
      <c r="P418" s="2">
        <f>_xll.IMDP("STK",표.실시간[[#This Row],[nxt_code]],"시가")</f>
        <v>36400</v>
      </c>
      <c r="Q418" s="2">
        <f>_xll.IMDP("STK",표.실시간[[#This Row],[nxt_code]],"고가")</f>
        <v>36800</v>
      </c>
      <c r="R418" s="2">
        <f>_xll.IMDP("STK",표.실시간[[#This Row],[nxt_code]],"저가")</f>
        <v>35750</v>
      </c>
      <c r="S418">
        <f>_xll.IMDP("STK",표.실시간[[#This Row],[nxt_code]],"세션명")</f>
        <v>0</v>
      </c>
      <c r="T418">
        <f>_xll.IMDP("STK",표.실시간[[#This Row],[nxt_code]],"체결시간")</f>
        <v>0</v>
      </c>
      <c r="U418" s="2">
        <f>_xll.IMDP("STK","455900","현재가")</f>
        <v>36650</v>
      </c>
      <c r="V418">
        <f>_xll.IMDP("STK","455900","누적거래량")</f>
        <v>22524</v>
      </c>
    </row>
    <row r="419" spans="2:22" x14ac:dyDescent="0.3">
      <c r="B419">
        <v>411</v>
      </c>
      <c r="C419">
        <v>0</v>
      </c>
      <c r="D419">
        <f>IF(IFERROR(INDEX(표.kospi200[code],MATCH(표.실시간[[#This Row],[코드]],표.kospi200[code],0)),0)=0,0,1)</f>
        <v>0</v>
      </c>
      <c r="E419" t="s">
        <v>424</v>
      </c>
      <c r="F419">
        <v>121600</v>
      </c>
      <c r="G419" t="str">
        <f>ConvertStockCode(표.실시간[[#This Row],[코드]])</f>
        <v>N121600</v>
      </c>
      <c r="H419" s="2">
        <f>_xll.IMDP("STK",표.실시간[[#This Row],[nxt_code]],"현재가")</f>
        <v>71900</v>
      </c>
      <c r="I419" s="2">
        <f>_xll.IMDP("STK",표.실시간[[#This Row],[nxt_code]],"시가총액")/10^12</f>
        <v>0.87798463289999995</v>
      </c>
      <c r="J419" s="2">
        <f>표.실시간[[#This Row],[시가총액 (조원)]]/표.실시간[[#This Row],[현재가]]*(표.실시간[[#This Row],[현재가]]-표.실시간[[#This Row],[대비]])</f>
        <v>0.84379329809999992</v>
      </c>
      <c r="K419" s="3">
        <f>_xll.IMDP("STK",표.실시간[[#This Row],[nxt_code]],"전일대비")</f>
        <v>2800</v>
      </c>
      <c r="L419">
        <f>_xll.IMDP("STK",표.실시간[[#This Row],[nxt_code]],"등락률")</f>
        <v>4.05</v>
      </c>
      <c r="M419" s="2">
        <f>_xll.IMDP("STK",표.실시간[[#This Row],[nxt_code]],"누적거래량")</f>
        <v>48431</v>
      </c>
      <c r="N419" s="2">
        <f>_xll.IMDP("STK",표.실시간[[#This Row],[nxt_code]],"누적거래대금")/10^8</f>
        <v>32.956168499999997</v>
      </c>
      <c r="O419" s="2">
        <f>_xll.IMDP("STK",표.실시간[[#This Row],[nxt_code]],"가중평균가")</f>
        <v>68047.672978000002</v>
      </c>
      <c r="P419" s="2">
        <f>_xll.IMDP("STK",표.실시간[[#This Row],[nxt_code]],"시가")</f>
        <v>69100</v>
      </c>
      <c r="Q419" s="2">
        <f>_xll.IMDP("STK",표.실시간[[#This Row],[nxt_code]],"고가")</f>
        <v>72000</v>
      </c>
      <c r="R419" s="2">
        <f>_xll.IMDP("STK",표.실시간[[#This Row],[nxt_code]],"저가")</f>
        <v>65600</v>
      </c>
      <c r="S419">
        <f>_xll.IMDP("STK",표.실시간[[#This Row],[nxt_code]],"세션명")</f>
        <v>0</v>
      </c>
      <c r="T419">
        <f>_xll.IMDP("STK",표.실시간[[#This Row],[nxt_code]],"체결시간")</f>
        <v>0</v>
      </c>
      <c r="U419" s="2">
        <f>_xll.IMDP("STK","121600","현재가")</f>
        <v>71900</v>
      </c>
      <c r="V419">
        <f>_xll.IMDP("STK","121600","누적거래량")</f>
        <v>44010</v>
      </c>
    </row>
    <row r="420" spans="2:22" x14ac:dyDescent="0.3">
      <c r="B420">
        <v>412</v>
      </c>
      <c r="C420">
        <v>1</v>
      </c>
      <c r="D420">
        <f>IF(IFERROR(INDEX(표.kospi200[code],MATCH(표.실시간[[#This Row],[코드]],표.kospi200[code],0)),0)=0,0,1)</f>
        <v>0</v>
      </c>
      <c r="E420" t="s">
        <v>425</v>
      </c>
      <c r="F420">
        <v>383800</v>
      </c>
      <c r="G420" t="str">
        <f>ConvertStockCode(표.실시간[[#This Row],[코드]])</f>
        <v>N383800</v>
      </c>
      <c r="H420" s="2">
        <f>_xll.IMDP("STK",표.실시간[[#This Row],[nxt_code]],"현재가")</f>
        <v>8580</v>
      </c>
      <c r="I420" s="2">
        <f>_xll.IMDP("STK",표.실시간[[#This Row],[nxt_code]],"시가총액")/10^12</f>
        <v>0.65448832020000003</v>
      </c>
      <c r="J420" s="2">
        <f>표.실시간[[#This Row],[시가총액 (조원)]]/표.실시간[[#This Row],[현재가]]*(표.실시간[[#This Row],[현재가]]-표.실시간[[#This Row],[대비]])</f>
        <v>0.66516761680000003</v>
      </c>
      <c r="K420" s="3">
        <f>_xll.IMDP("STK",표.실시간[[#This Row],[nxt_code]],"전일대비")</f>
        <v>-140</v>
      </c>
      <c r="L420">
        <f>_xll.IMDP("STK",표.실시간[[#This Row],[nxt_code]],"등락률")</f>
        <v>-1.61</v>
      </c>
      <c r="M420" s="2">
        <f>_xll.IMDP("STK",표.실시간[[#This Row],[nxt_code]],"누적거래량")</f>
        <v>28500</v>
      </c>
      <c r="N420" s="2">
        <f>_xll.IMDP("STK",표.실시간[[#This Row],[nxt_code]],"누적거래대금")/10^8</f>
        <v>2.4494886999999999</v>
      </c>
      <c r="O420" s="2">
        <f>_xll.IMDP("STK",표.실시간[[#This Row],[nxt_code]],"가중평균가")</f>
        <v>8594.697193</v>
      </c>
      <c r="P420" s="2">
        <f>_xll.IMDP("STK",표.실시간[[#This Row],[nxt_code]],"시가")</f>
        <v>8740</v>
      </c>
      <c r="Q420" s="2">
        <f>_xll.IMDP("STK",표.실시간[[#This Row],[nxt_code]],"고가")</f>
        <v>8740</v>
      </c>
      <c r="R420" s="2">
        <f>_xll.IMDP("STK",표.실시간[[#This Row],[nxt_code]],"저가")</f>
        <v>8540</v>
      </c>
      <c r="S420">
        <f>_xll.IMDP("STK",표.실시간[[#This Row],[nxt_code]],"세션명")</f>
        <v>0</v>
      </c>
      <c r="T420">
        <f>_xll.IMDP("STK",표.실시간[[#This Row],[nxt_code]],"체결시간")</f>
        <v>0</v>
      </c>
      <c r="U420" s="2">
        <f>_xll.IMDP("STK","383800","현재가")</f>
        <v>8570</v>
      </c>
      <c r="V420">
        <f>_xll.IMDP("STK","383800","누적거래량")</f>
        <v>20656</v>
      </c>
    </row>
    <row r="421" spans="2:22" x14ac:dyDescent="0.3">
      <c r="B421">
        <v>413</v>
      </c>
      <c r="C421">
        <v>0</v>
      </c>
      <c r="D421">
        <f>IF(IFERROR(INDEX(표.kospi200[code],MATCH(표.실시간[[#This Row],[코드]],표.kospi200[code],0)),0)=0,0,1)</f>
        <v>0</v>
      </c>
      <c r="E421" t="s">
        <v>426</v>
      </c>
      <c r="F421">
        <v>52400</v>
      </c>
      <c r="G421" t="str">
        <f>ConvertStockCode(표.실시간[[#This Row],[코드]])</f>
        <v>N052400</v>
      </c>
      <c r="H421" s="2">
        <f>_xll.IMDP("STK",표.실시간[[#This Row],[nxt_code]],"현재가")</f>
        <v>58800</v>
      </c>
      <c r="I421" s="2">
        <f>_xll.IMDP("STK",표.실시간[[#This Row],[nxt_code]],"시가총액")/10^12</f>
        <v>0.85632151079999996</v>
      </c>
      <c r="J421" s="2">
        <f>표.실시간[[#This Row],[시가총액 (조원)]]/표.실시간[[#This Row],[현재가]]*(표.실시간[[#This Row],[현재가]]-표.실시간[[#This Row],[대비]])</f>
        <v>0.89564239649999988</v>
      </c>
      <c r="K421" s="3">
        <f>_xll.IMDP("STK",표.실시간[[#This Row],[nxt_code]],"전일대비")</f>
        <v>-2700</v>
      </c>
      <c r="L421">
        <f>_xll.IMDP("STK",표.실시간[[#This Row],[nxt_code]],"등락률")</f>
        <v>-4.3899999999999997</v>
      </c>
      <c r="M421" s="2">
        <f>_xll.IMDP("STK",표.실시간[[#This Row],[nxt_code]],"누적거래량")</f>
        <v>46455</v>
      </c>
      <c r="N421" s="2">
        <f>_xll.IMDP("STK",표.실시간[[#This Row],[nxt_code]],"누적거래대금")/10^8</f>
        <v>27.562670499999999</v>
      </c>
      <c r="O421" s="2">
        <f>_xll.IMDP("STK",표.실시간[[#This Row],[nxt_code]],"가중평균가")</f>
        <v>59316.655906</v>
      </c>
      <c r="P421" s="2">
        <f>_xll.IMDP("STK",표.실시간[[#This Row],[nxt_code]],"시가")</f>
        <v>60700</v>
      </c>
      <c r="Q421" s="2">
        <f>_xll.IMDP("STK",표.실시간[[#This Row],[nxt_code]],"고가")</f>
        <v>60900</v>
      </c>
      <c r="R421" s="2">
        <f>_xll.IMDP("STK",표.실시간[[#This Row],[nxt_code]],"저가")</f>
        <v>57800</v>
      </c>
      <c r="S421">
        <f>_xll.IMDP("STK",표.실시간[[#This Row],[nxt_code]],"세션명")</f>
        <v>0</v>
      </c>
      <c r="T421">
        <f>_xll.IMDP("STK",표.실시간[[#This Row],[nxt_code]],"체결시간")</f>
        <v>0</v>
      </c>
      <c r="U421" s="2">
        <f>_xll.IMDP("STK","052400","현재가")</f>
        <v>58800</v>
      </c>
      <c r="V421">
        <f>_xll.IMDP("STK","052400","누적거래량")</f>
        <v>20805</v>
      </c>
    </row>
    <row r="422" spans="2:22" x14ac:dyDescent="0.3">
      <c r="B422">
        <v>414</v>
      </c>
      <c r="C422">
        <v>0</v>
      </c>
      <c r="D422">
        <f>IF(IFERROR(INDEX(표.kospi200[code],MATCH(표.실시간[[#This Row],[코드]],표.kospi200[code],0)),0)=0,0,1)</f>
        <v>0</v>
      </c>
      <c r="E422" t="s">
        <v>427</v>
      </c>
      <c r="F422">
        <v>365340</v>
      </c>
      <c r="G422" t="str">
        <f>ConvertStockCode(표.실시간[[#This Row],[코드]])</f>
        <v>N365340</v>
      </c>
      <c r="H422" s="2">
        <f>_xll.IMDP("STK",표.실시간[[#This Row],[nxt_code]],"현재가")</f>
        <v>68300</v>
      </c>
      <c r="I422" s="2">
        <f>_xll.IMDP("STK",표.실시간[[#This Row],[nxt_code]],"시가총액")/10^12</f>
        <v>0.83568096179999996</v>
      </c>
      <c r="J422" s="2">
        <f>표.실시간[[#This Row],[시가총액 (조원)]]/표.실시간[[#This Row],[현재가]]*(표.실시간[[#This Row],[현재가]]-표.실시간[[#This Row],[대비]])</f>
        <v>0.86626957679999994</v>
      </c>
      <c r="K422" s="3">
        <f>_xll.IMDP("STK",표.실시간[[#This Row],[nxt_code]],"전일대비")</f>
        <v>-2500</v>
      </c>
      <c r="L422">
        <f>_xll.IMDP("STK",표.실시간[[#This Row],[nxt_code]],"등락률")</f>
        <v>-3.53</v>
      </c>
      <c r="M422" s="2">
        <f>_xll.IMDP("STK",표.실시간[[#This Row],[nxt_code]],"누적거래량")</f>
        <v>34039</v>
      </c>
      <c r="N422" s="2">
        <f>_xll.IMDP("STK",표.실시간[[#This Row],[nxt_code]],"누적거래대금")/10^8</f>
        <v>22.8429115</v>
      </c>
      <c r="O422" s="2">
        <f>_xll.IMDP("STK",표.실시간[[#This Row],[nxt_code]],"가중평균가")</f>
        <v>67108.056935000001</v>
      </c>
      <c r="P422" s="2">
        <f>_xll.IMDP("STK",표.실시간[[#This Row],[nxt_code]],"시가")</f>
        <v>70000</v>
      </c>
      <c r="Q422" s="2">
        <f>_xll.IMDP("STK",표.실시간[[#This Row],[nxt_code]],"고가")</f>
        <v>70800</v>
      </c>
      <c r="R422" s="2">
        <f>_xll.IMDP("STK",표.실시간[[#This Row],[nxt_code]],"저가")</f>
        <v>65300</v>
      </c>
      <c r="S422">
        <f>_xll.IMDP("STK",표.실시간[[#This Row],[nxt_code]],"세션명")</f>
        <v>0</v>
      </c>
      <c r="T422">
        <f>_xll.IMDP("STK",표.실시간[[#This Row],[nxt_code]],"체결시간")</f>
        <v>0</v>
      </c>
      <c r="U422" s="2">
        <f>_xll.IMDP("STK","365340","현재가")</f>
        <v>68200</v>
      </c>
      <c r="V422">
        <f>_xll.IMDP("STK","365340","누적거래량")</f>
        <v>18777</v>
      </c>
    </row>
    <row r="423" spans="2:22" x14ac:dyDescent="0.3">
      <c r="B423">
        <v>415</v>
      </c>
      <c r="C423">
        <v>1</v>
      </c>
      <c r="D423">
        <f>IF(IFERROR(INDEX(표.kospi200[code],MATCH(표.실시간[[#This Row],[코드]],표.kospi200[code],0)),0)=0,0,1)</f>
        <v>0</v>
      </c>
      <c r="E423" t="s">
        <v>428</v>
      </c>
      <c r="F423">
        <v>322000</v>
      </c>
      <c r="G423" t="str">
        <f>ConvertStockCode(표.실시간[[#This Row],[코드]])</f>
        <v>N322000</v>
      </c>
      <c r="H423" s="2">
        <f>_xll.IMDP("STK",표.실시간[[#This Row],[nxt_code]],"현재가")</f>
        <v>52200</v>
      </c>
      <c r="I423" s="2">
        <f>_xll.IMDP("STK",표.실시간[[#This Row],[nxt_code]],"시가총액")/10^12</f>
        <v>0.58464000000000005</v>
      </c>
      <c r="J423" s="2">
        <f>표.실시간[[#This Row],[시가총액 (조원)]]/표.실시간[[#This Row],[현재가]]*(표.실시간[[#This Row],[현재가]]-표.실시간[[#This Row],[대비]])</f>
        <v>0.59360000000000002</v>
      </c>
      <c r="K423" s="3">
        <f>_xll.IMDP("STK",표.실시간[[#This Row],[nxt_code]],"전일대비")</f>
        <v>-800</v>
      </c>
      <c r="L423">
        <f>_xll.IMDP("STK",표.실시간[[#This Row],[nxt_code]],"등락률")</f>
        <v>-1.69</v>
      </c>
      <c r="M423" s="2">
        <f>_xll.IMDP("STK",표.실시간[[#This Row],[nxt_code]],"누적거래량")</f>
        <v>18221</v>
      </c>
      <c r="N423" s="2">
        <f>_xll.IMDP("STK",표.실시간[[#This Row],[nxt_code]],"누적거래대금")/10^8</f>
        <v>9.4944229999999994</v>
      </c>
      <c r="O423" s="2">
        <f>_xll.IMDP("STK",표.실시간[[#This Row],[nxt_code]],"가중평균가")</f>
        <v>52104.176270000004</v>
      </c>
      <c r="P423" s="2">
        <f>_xll.IMDP("STK",표.실시간[[#This Row],[nxt_code]],"시가")</f>
        <v>53300</v>
      </c>
      <c r="Q423" s="2">
        <f>_xll.IMDP("STK",표.실시간[[#This Row],[nxt_code]],"고가")</f>
        <v>53300</v>
      </c>
      <c r="R423" s="2">
        <f>_xll.IMDP("STK",표.실시간[[#This Row],[nxt_code]],"저가")</f>
        <v>51800</v>
      </c>
      <c r="S423">
        <f>_xll.IMDP("STK",표.실시간[[#This Row],[nxt_code]],"세션명")</f>
        <v>0</v>
      </c>
      <c r="T423">
        <f>_xll.IMDP("STK",표.실시간[[#This Row],[nxt_code]],"체결시간")</f>
        <v>0</v>
      </c>
      <c r="U423" s="2">
        <f>_xll.IMDP("STK","322000","현재가")</f>
        <v>52200</v>
      </c>
      <c r="V423">
        <f>_xll.IMDP("STK","322000","누적거래량")</f>
        <v>7852</v>
      </c>
    </row>
    <row r="424" spans="2:22" x14ac:dyDescent="0.3">
      <c r="B424">
        <v>416</v>
      </c>
      <c r="C424">
        <v>0</v>
      </c>
      <c r="D424">
        <f>IF(IFERROR(INDEX(표.kospi200[code],MATCH(표.실시간[[#This Row],[코드]],표.kospi200[code],0)),0)=0,0,1)</f>
        <v>0</v>
      </c>
      <c r="E424" t="s">
        <v>429</v>
      </c>
      <c r="F424">
        <v>211050</v>
      </c>
      <c r="G424" t="str">
        <f>ConvertStockCode(표.실시간[[#This Row],[코드]])</f>
        <v>N211050</v>
      </c>
      <c r="H424" s="2">
        <f>_xll.IMDP("STK",표.실시간[[#This Row],[nxt_code]],"현재가")</f>
        <v>14940</v>
      </c>
      <c r="I424" s="2">
        <f>_xll.IMDP("STK",표.실시간[[#This Row],[nxt_code]],"시가총액")/10^12</f>
        <v>0.73599903558000002</v>
      </c>
      <c r="J424" s="2">
        <f>표.실시간[[#This Row],[시가총액 (조원)]]/표.실시간[[#This Row],[현재가]]*(표.실시간[[#This Row],[현재가]]-표.실시간[[#This Row],[대비]])</f>
        <v>0.7803363268800001</v>
      </c>
      <c r="K424" s="3">
        <f>_xll.IMDP("STK",표.실시간[[#This Row],[nxt_code]],"전일대비")</f>
        <v>-900</v>
      </c>
      <c r="L424">
        <f>_xll.IMDP("STK",표.실시간[[#This Row],[nxt_code]],"등락률")</f>
        <v>-5.68</v>
      </c>
      <c r="M424" s="2">
        <f>_xll.IMDP("STK",표.실시간[[#This Row],[nxt_code]],"누적거래량")</f>
        <v>24363</v>
      </c>
      <c r="N424" s="2">
        <f>_xll.IMDP("STK",표.실시간[[#This Row],[nxt_code]],"누적거래대금")/10^8</f>
        <v>3.6141421</v>
      </c>
      <c r="O424" s="2">
        <f>_xll.IMDP("STK",표.실시간[[#This Row],[nxt_code]],"가중평균가")</f>
        <v>14834.552804999999</v>
      </c>
      <c r="P424" s="2">
        <f>_xll.IMDP("STK",표.실시간[[#This Row],[nxt_code]],"시가")</f>
        <v>15850</v>
      </c>
      <c r="Q424" s="2">
        <f>_xll.IMDP("STK",표.실시간[[#This Row],[nxt_code]],"고가")</f>
        <v>15850</v>
      </c>
      <c r="R424" s="2">
        <f>_xll.IMDP("STK",표.실시간[[#This Row],[nxt_code]],"저가")</f>
        <v>14420</v>
      </c>
      <c r="S424">
        <f>_xll.IMDP("STK",표.실시간[[#This Row],[nxt_code]],"세션명")</f>
        <v>0</v>
      </c>
      <c r="T424">
        <f>_xll.IMDP("STK",표.실시간[[#This Row],[nxt_code]],"체결시간")</f>
        <v>0</v>
      </c>
      <c r="U424" s="2">
        <f>_xll.IMDP("STK","211050","현재가")</f>
        <v>14710</v>
      </c>
      <c r="V424">
        <f>_xll.IMDP("STK","211050","누적거래량")</f>
        <v>46270</v>
      </c>
    </row>
    <row r="425" spans="2:22" x14ac:dyDescent="0.3">
      <c r="B425">
        <v>417</v>
      </c>
      <c r="C425">
        <v>0</v>
      </c>
      <c r="D425">
        <f>IF(IFERROR(INDEX(표.kospi200[code],MATCH(표.실시간[[#This Row],[코드]],표.kospi200[code],0)),0)=0,0,1)</f>
        <v>0</v>
      </c>
      <c r="E425" t="s">
        <v>430</v>
      </c>
      <c r="F425">
        <v>478340</v>
      </c>
      <c r="G425" t="str">
        <f>ConvertStockCode(표.실시간[[#This Row],[코드]])</f>
        <v>N478340</v>
      </c>
      <c r="H425" s="2">
        <f>_xll.IMDP("STK",표.실시간[[#This Row],[nxt_code]],"현재가")</f>
        <v>60000</v>
      </c>
      <c r="I425" s="2">
        <f>_xll.IMDP("STK",표.실시간[[#This Row],[nxt_code]],"시가총액")/10^12</f>
        <v>0.69201546000000003</v>
      </c>
      <c r="J425" s="2">
        <f>표.실시간[[#This Row],[시가총액 (조원)]]/표.실시간[[#This Row],[현재가]]*(표.실시간[[#This Row],[현재가]]-표.실시간[[#This Row],[대비]])</f>
        <v>0.70124233280000003</v>
      </c>
      <c r="K425" s="3">
        <f>_xll.IMDP("STK",표.실시간[[#This Row],[nxt_code]],"전일대비")</f>
        <v>-800</v>
      </c>
      <c r="L425">
        <f>_xll.IMDP("STK",표.실시간[[#This Row],[nxt_code]],"등락률")</f>
        <v>-0.5</v>
      </c>
      <c r="M425" s="2">
        <f>_xll.IMDP("STK",표.실시간[[#This Row],[nxt_code]],"누적거래량")</f>
        <v>435677</v>
      </c>
      <c r="N425" s="2">
        <f>_xll.IMDP("STK",표.실시간[[#This Row],[nxt_code]],"누적거래대금")/10^8</f>
        <v>261.88738499999999</v>
      </c>
      <c r="O425" s="2">
        <f>_xll.IMDP("STK",표.실시간[[#This Row],[nxt_code]],"가중평균가")</f>
        <v>60110.445353000003</v>
      </c>
      <c r="P425" s="2">
        <f>_xll.IMDP("STK",표.실시간[[#This Row],[nxt_code]],"시가")</f>
        <v>57900</v>
      </c>
      <c r="Q425" s="2">
        <f>_xll.IMDP("STK",표.실시간[[#This Row],[nxt_code]],"고가")</f>
        <v>61800</v>
      </c>
      <c r="R425" s="2">
        <f>_xll.IMDP("STK",표.실시간[[#This Row],[nxt_code]],"저가")</f>
        <v>57900</v>
      </c>
      <c r="S425">
        <f>_xll.IMDP("STK",표.실시간[[#This Row],[nxt_code]],"세션명")</f>
        <v>0</v>
      </c>
      <c r="T425">
        <f>_xll.IMDP("STK",표.실시간[[#This Row],[nxt_code]],"체결시간")</f>
        <v>0</v>
      </c>
      <c r="U425" s="2">
        <f>_xll.IMDP("STK","478340","현재가")</f>
        <v>60000</v>
      </c>
      <c r="V425">
        <f>_xll.IMDP("STK","478340","누적거래량")</f>
        <v>133583</v>
      </c>
    </row>
    <row r="426" spans="2:22" x14ac:dyDescent="0.3">
      <c r="B426">
        <v>418</v>
      </c>
      <c r="C426">
        <v>0</v>
      </c>
      <c r="D426">
        <f>IF(IFERROR(INDEX(표.kospi200[code],MATCH(표.실시간[[#This Row],[코드]],표.kospi200[code],0)),0)=0,0,1)</f>
        <v>0</v>
      </c>
      <c r="E426" t="s">
        <v>431</v>
      </c>
      <c r="F426">
        <v>84110</v>
      </c>
      <c r="G426" t="str">
        <f>ConvertStockCode(표.실시간[[#This Row],[코드]])</f>
        <v>N084110</v>
      </c>
      <c r="H426" s="2">
        <f>_xll.IMDP("STK",표.실시간[[#This Row],[nxt_code]],"현재가")</f>
        <v>51400</v>
      </c>
      <c r="I426" s="2">
        <f>_xll.IMDP("STK",표.실시간[[#This Row],[nxt_code]],"시가총액")/10^12</f>
        <v>0.65071433680000001</v>
      </c>
      <c r="J426" s="2">
        <f>표.실시간[[#This Row],[시가총액 (조원)]]/표.실시간[[#This Row],[현재가]]*(표.실시간[[#This Row],[현재가]]-표.실시간[[#This Row],[대비]])</f>
        <v>0.64311844959999998</v>
      </c>
      <c r="K426" s="3">
        <f>_xll.IMDP("STK",표.실시간[[#This Row],[nxt_code]],"전일대비")</f>
        <v>600</v>
      </c>
      <c r="L426">
        <f>_xll.IMDP("STK",표.실시간[[#This Row],[nxt_code]],"등락률")</f>
        <v>1.18</v>
      </c>
      <c r="M426" s="2">
        <f>_xll.IMDP("STK",표.실시간[[#This Row],[nxt_code]],"누적거래량")</f>
        <v>8851</v>
      </c>
      <c r="N426" s="2">
        <f>_xll.IMDP("STK",표.실시간[[#This Row],[nxt_code]],"누적거래대금")/10^8</f>
        <v>4.3913855000000002</v>
      </c>
      <c r="O426" s="2">
        <f>_xll.IMDP("STK",표.실시간[[#This Row],[nxt_code]],"가중평균가")</f>
        <v>49614.568975000002</v>
      </c>
      <c r="P426" s="2">
        <f>_xll.IMDP("STK",표.실시간[[#This Row],[nxt_code]],"시가")</f>
        <v>51000</v>
      </c>
      <c r="Q426" s="2">
        <f>_xll.IMDP("STK",표.실시간[[#This Row],[nxt_code]],"고가")</f>
        <v>51400</v>
      </c>
      <c r="R426" s="2">
        <f>_xll.IMDP("STK",표.실시간[[#This Row],[nxt_code]],"저가")</f>
        <v>48950</v>
      </c>
      <c r="S426">
        <f>_xll.IMDP("STK",표.실시간[[#This Row],[nxt_code]],"세션명")</f>
        <v>0</v>
      </c>
      <c r="T426">
        <f>_xll.IMDP("STK",표.실시간[[#This Row],[nxt_code]],"체결시간")</f>
        <v>0</v>
      </c>
      <c r="U426" s="2">
        <f>_xll.IMDP("STK","084110","현재가")</f>
        <v>51300</v>
      </c>
      <c r="V426">
        <f>_xll.IMDP("STK","084110","누적거래량")</f>
        <v>4681</v>
      </c>
    </row>
    <row r="427" spans="2:22" x14ac:dyDescent="0.3">
      <c r="B427">
        <v>419</v>
      </c>
      <c r="C427">
        <v>0</v>
      </c>
      <c r="D427">
        <f>IF(IFERROR(INDEX(표.kospi200[code],MATCH(표.실시간[[#This Row],[코드]],표.kospi200[code],0)),0)=0,0,1)</f>
        <v>0</v>
      </c>
      <c r="E427" t="s">
        <v>432</v>
      </c>
      <c r="F427">
        <v>102940</v>
      </c>
      <c r="G427" t="str">
        <f>ConvertStockCode(표.실시간[[#This Row],[코드]])</f>
        <v>N102940</v>
      </c>
      <c r="H427" s="2">
        <f>_xll.IMDP("STK",표.실시간[[#This Row],[nxt_code]],"현재가")</f>
        <v>65600</v>
      </c>
      <c r="I427" s="2">
        <f>_xll.IMDP("STK",표.실시간[[#This Row],[nxt_code]],"시가총액")/10^12</f>
        <v>0.84962495999999998</v>
      </c>
      <c r="J427" s="2">
        <f>표.실시간[[#This Row],[시가총액 (조원)]]/표.실시간[[#This Row],[현재가]]*(표.실시간[[#This Row],[현재가]]-표.실시간[[#This Row],[대비]])</f>
        <v>0.83796851999999999</v>
      </c>
      <c r="K427" s="3">
        <f>_xll.IMDP("STK",표.실시간[[#This Row],[nxt_code]],"전일대비")</f>
        <v>900</v>
      </c>
      <c r="L427">
        <f>_xll.IMDP("STK",표.실시간[[#This Row],[nxt_code]],"등락률")</f>
        <v>1.23</v>
      </c>
      <c r="M427" s="2">
        <f>_xll.IMDP("STK",표.실시간[[#This Row],[nxt_code]],"누적거래량")</f>
        <v>14398</v>
      </c>
      <c r="N427" s="2">
        <f>_xll.IMDP("STK",표.실시간[[#This Row],[nxt_code]],"누적거래대금")/10^8</f>
        <v>9.2222035000000009</v>
      </c>
      <c r="O427" s="2">
        <f>_xll.IMDP("STK",표.실시간[[#This Row],[nxt_code]],"가중평균가")</f>
        <v>64051.975968999999</v>
      </c>
      <c r="P427" s="2">
        <f>_xll.IMDP("STK",표.실시간[[#This Row],[nxt_code]],"시가")</f>
        <v>64800</v>
      </c>
      <c r="Q427" s="2">
        <f>_xll.IMDP("STK",표.실시간[[#This Row],[nxt_code]],"고가")</f>
        <v>67600</v>
      </c>
      <c r="R427" s="2">
        <f>_xll.IMDP("STK",표.실시간[[#This Row],[nxt_code]],"저가")</f>
        <v>62600</v>
      </c>
      <c r="S427">
        <f>_xll.IMDP("STK",표.실시간[[#This Row],[nxt_code]],"세션명")</f>
        <v>0</v>
      </c>
      <c r="T427">
        <f>_xll.IMDP("STK",표.실시간[[#This Row],[nxt_code]],"체결시간")</f>
        <v>0</v>
      </c>
      <c r="U427" s="2">
        <f>_xll.IMDP("STK","102940","현재가")</f>
        <v>65600</v>
      </c>
      <c r="V427">
        <f>_xll.IMDP("STK","102940","누적거래량")</f>
        <v>9005</v>
      </c>
    </row>
    <row r="428" spans="2:22" x14ac:dyDescent="0.3">
      <c r="B428">
        <v>420</v>
      </c>
      <c r="C428">
        <v>0</v>
      </c>
      <c r="D428">
        <f>IF(IFERROR(INDEX(표.kospi200[code],MATCH(표.실시간[[#This Row],[코드]],표.kospi200[code],0)),0)=0,0,1)</f>
        <v>0</v>
      </c>
      <c r="E428" t="s">
        <v>433</v>
      </c>
      <c r="F428">
        <v>41190</v>
      </c>
      <c r="G428" t="str">
        <f>ConvertStockCode(표.실시간[[#This Row],[코드]])</f>
        <v>N041190</v>
      </c>
      <c r="H428" s="2">
        <f>_xll.IMDP("STK",표.실시간[[#This Row],[nxt_code]],"현재가")</f>
        <v>8080</v>
      </c>
      <c r="I428" s="2">
        <f>_xll.IMDP("STK",표.실시간[[#This Row],[nxt_code]],"시가총액")/10^12</f>
        <v>0.67871999999999999</v>
      </c>
      <c r="J428" s="2">
        <f>표.실시간[[#This Row],[시가총액 (조원)]]/표.실시간[[#This Row],[현재가]]*(표.실시간[[#This Row],[현재가]]-표.실시간[[#This Row],[대비]])</f>
        <v>0.71483999999999992</v>
      </c>
      <c r="K428" s="3">
        <f>_xll.IMDP("STK",표.실시간[[#This Row],[nxt_code]],"전일대비")</f>
        <v>-430</v>
      </c>
      <c r="L428">
        <f>_xll.IMDP("STK",표.실시간[[#This Row],[nxt_code]],"등락률")</f>
        <v>-4.9400000000000004</v>
      </c>
      <c r="M428" s="2">
        <f>_xll.IMDP("STK",표.실시간[[#This Row],[nxt_code]],"누적거래량")</f>
        <v>558102</v>
      </c>
      <c r="N428" s="2">
        <f>_xll.IMDP("STK",표.실시간[[#This Row],[nxt_code]],"누적거래대금")/10^8</f>
        <v>45.3257811</v>
      </c>
      <c r="O428" s="2">
        <f>_xll.IMDP("STK",표.실시간[[#This Row],[nxt_code]],"가중평균가")</f>
        <v>8117.6335600000002</v>
      </c>
      <c r="P428" s="2">
        <f>_xll.IMDP("STK",표.실시간[[#This Row],[nxt_code]],"시가")</f>
        <v>8320</v>
      </c>
      <c r="Q428" s="2">
        <f>_xll.IMDP("STK",표.실시간[[#This Row],[nxt_code]],"고가")</f>
        <v>8320</v>
      </c>
      <c r="R428" s="2">
        <f>_xll.IMDP("STK",표.실시간[[#This Row],[nxt_code]],"저가")</f>
        <v>8000</v>
      </c>
      <c r="S428">
        <f>_xll.IMDP("STK",표.실시간[[#This Row],[nxt_code]],"세션명")</f>
        <v>0</v>
      </c>
      <c r="T428">
        <f>_xll.IMDP("STK",표.실시간[[#This Row],[nxt_code]],"체결시간")</f>
        <v>0</v>
      </c>
      <c r="U428" s="2">
        <f>_xll.IMDP("STK","041190","현재가")</f>
        <v>8080</v>
      </c>
      <c r="V428">
        <f>_xll.IMDP("STK","041190","누적거래량")</f>
        <v>150462</v>
      </c>
    </row>
    <row r="429" spans="2:22" x14ac:dyDescent="0.3">
      <c r="B429">
        <v>421</v>
      </c>
      <c r="C429">
        <v>1</v>
      </c>
      <c r="D429">
        <f>IF(IFERROR(INDEX(표.kospi200[code],MATCH(표.실시간[[#This Row],[코드]],표.kospi200[code],0)),0)=0,0,1)</f>
        <v>0</v>
      </c>
      <c r="E429" t="s">
        <v>434</v>
      </c>
      <c r="F429">
        <v>2240</v>
      </c>
      <c r="G429" t="str">
        <f>ConvertStockCode(표.실시간[[#This Row],[코드]])</f>
        <v>N002240</v>
      </c>
      <c r="H429" s="2">
        <f>_xll.IMDP("STK",표.실시간[[#This Row],[nxt_code]],"현재가")</f>
        <v>21350</v>
      </c>
      <c r="I429" s="2">
        <f>_xll.IMDP("STK",표.실시간[[#This Row],[nxt_code]],"시가총액")/10^12</f>
        <v>0.57645000000000002</v>
      </c>
      <c r="J429" s="2">
        <f>표.실시간[[#This Row],[시가총액 (조원)]]/표.실시간[[#This Row],[현재가]]*(표.실시간[[#This Row],[현재가]]-표.실시간[[#This Row],[대비]])</f>
        <v>0.58185000000000009</v>
      </c>
      <c r="K429" s="3">
        <f>_xll.IMDP("STK",표.실시간[[#This Row],[nxt_code]],"전일대비")</f>
        <v>-200</v>
      </c>
      <c r="L429">
        <f>_xll.IMDP("STK",표.실시간[[#This Row],[nxt_code]],"등락률")</f>
        <v>-1.39</v>
      </c>
      <c r="M429" s="2">
        <f>_xll.IMDP("STK",표.실시간[[#This Row],[nxt_code]],"누적거래량")</f>
        <v>3366</v>
      </c>
      <c r="N429" s="2">
        <f>_xll.IMDP("STK",표.실시간[[#This Row],[nxt_code]],"누적거래대금")/10^8</f>
        <v>0.71908749999999999</v>
      </c>
      <c r="O429" s="2">
        <f>_xll.IMDP("STK",표.실시간[[#This Row],[nxt_code]],"가중평균가")</f>
        <v>21433.333332999999</v>
      </c>
      <c r="P429" s="2">
        <f>_xll.IMDP("STK",표.실시간[[#This Row],[nxt_code]],"시가")</f>
        <v>21750</v>
      </c>
      <c r="Q429" s="2">
        <f>_xll.IMDP("STK",표.실시간[[#This Row],[nxt_code]],"고가")</f>
        <v>22000</v>
      </c>
      <c r="R429" s="2">
        <f>_xll.IMDP("STK",표.실시간[[#This Row],[nxt_code]],"저가")</f>
        <v>21250</v>
      </c>
      <c r="S429">
        <f>_xll.IMDP("STK",표.실시간[[#This Row],[nxt_code]],"세션명")</f>
        <v>0</v>
      </c>
      <c r="T429">
        <f>_xll.IMDP("STK",표.실시간[[#This Row],[nxt_code]],"체결시간")</f>
        <v>0</v>
      </c>
      <c r="U429" s="2">
        <f>_xll.IMDP("STK","002240","현재가")</f>
        <v>21400</v>
      </c>
      <c r="V429">
        <f>_xll.IMDP("STK","002240","누적거래량")</f>
        <v>1454</v>
      </c>
    </row>
    <row r="430" spans="2:22" x14ac:dyDescent="0.3">
      <c r="B430">
        <v>422</v>
      </c>
      <c r="C430">
        <v>0</v>
      </c>
      <c r="D430">
        <f>IF(IFERROR(INDEX(표.kospi200[code],MATCH(표.실시간[[#This Row],[코드]],표.kospi200[code],0)),0)=0,0,1)</f>
        <v>0</v>
      </c>
      <c r="E430" t="s">
        <v>435</v>
      </c>
      <c r="F430">
        <v>389650</v>
      </c>
      <c r="G430" t="str">
        <f>ConvertStockCode(표.실시간[[#This Row],[코드]])</f>
        <v>N389650</v>
      </c>
      <c r="H430" s="2">
        <f>_xll.IMDP("STK",표.실시간[[#This Row],[nxt_code]],"현재가")</f>
        <v>74400</v>
      </c>
      <c r="I430" s="2">
        <f>_xll.IMDP("STK",표.실시간[[#This Row],[nxt_code]],"시가총액")/10^12</f>
        <v>0.61036911839999997</v>
      </c>
      <c r="J430" s="2">
        <f>표.실시간[[#This Row],[시가총액 (조원)]]/표.실시간[[#This Row],[현재가]]*(표.실시간[[#This Row],[현재가]]-표.실시간[[#This Row],[대비]])</f>
        <v>0.62103417019999996</v>
      </c>
      <c r="K430" s="3">
        <f>_xll.IMDP("STK",표.실시간[[#This Row],[nxt_code]],"전일대비")</f>
        <v>-1300</v>
      </c>
      <c r="L430">
        <f>_xll.IMDP("STK",표.실시간[[#This Row],[nxt_code]],"등락률")</f>
        <v>-1.19</v>
      </c>
      <c r="M430" s="2">
        <f>_xll.IMDP("STK",표.실시간[[#This Row],[nxt_code]],"누적거래량")</f>
        <v>23027</v>
      </c>
      <c r="N430" s="2">
        <f>_xll.IMDP("STK",표.실시간[[#This Row],[nxt_code]],"누적거래대금")/10^8</f>
        <v>16.901543</v>
      </c>
      <c r="O430" s="2">
        <f>_xll.IMDP("STK",표.실시간[[#This Row],[nxt_code]],"가중평균가")</f>
        <v>73492.504451000001</v>
      </c>
      <c r="P430" s="2">
        <f>_xll.IMDP("STK",표.실시간[[#This Row],[nxt_code]],"시가")</f>
        <v>75800</v>
      </c>
      <c r="Q430" s="2">
        <f>_xll.IMDP("STK",표.실시간[[#This Row],[nxt_code]],"고가")</f>
        <v>76500</v>
      </c>
      <c r="R430" s="2">
        <f>_xll.IMDP("STK",표.실시간[[#This Row],[nxt_code]],"저가")</f>
        <v>72500</v>
      </c>
      <c r="S430">
        <f>_xll.IMDP("STK",표.실시간[[#This Row],[nxt_code]],"세션명")</f>
        <v>0</v>
      </c>
      <c r="T430">
        <f>_xll.IMDP("STK",표.실시간[[#This Row],[nxt_code]],"체결시간")</f>
        <v>0</v>
      </c>
      <c r="U430" s="2">
        <f>_xll.IMDP("STK","389650","현재가")</f>
        <v>74400</v>
      </c>
      <c r="V430">
        <f>_xll.IMDP("STK","389650","누적거래량")</f>
        <v>6932</v>
      </c>
    </row>
    <row r="431" spans="2:22" x14ac:dyDescent="0.3">
      <c r="B431">
        <v>423</v>
      </c>
      <c r="C431">
        <v>0</v>
      </c>
      <c r="D431">
        <f>IF(IFERROR(INDEX(표.kospi200[code],MATCH(표.실시간[[#This Row],[코드]],표.kospi200[code],0)),0)=0,0,1)</f>
        <v>0</v>
      </c>
      <c r="E431" t="s">
        <v>436</v>
      </c>
      <c r="F431">
        <v>475960</v>
      </c>
      <c r="G431" t="str">
        <f>ConvertStockCode(표.실시간[[#This Row],[코드]])</f>
        <v>N475960</v>
      </c>
      <c r="H431" s="2">
        <f>_xll.IMDP("STK",표.실시간[[#This Row],[nxt_code]],"현재가")</f>
        <v>47350</v>
      </c>
      <c r="I431" s="2">
        <f>_xll.IMDP("STK",표.실시간[[#This Row],[nxt_code]],"시가총액")/10^12</f>
        <v>0.63369802389999996</v>
      </c>
      <c r="J431" s="2">
        <f>표.실시간[[#This Row],[시가총액 (조원)]]/표.실시간[[#This Row],[현재가]]*(표.실시간[[#This Row],[현재가]]-표.실시간[[#This Row],[대비]])</f>
        <v>0.61228478549999998</v>
      </c>
      <c r="K431" s="3">
        <f>_xll.IMDP("STK",표.실시간[[#This Row],[nxt_code]],"전일대비")</f>
        <v>1600</v>
      </c>
      <c r="L431">
        <f>_xll.IMDP("STK",표.실시간[[#This Row],[nxt_code]],"등락률")</f>
        <v>3.61</v>
      </c>
      <c r="M431" s="2">
        <f>_xll.IMDP("STK",표.실시간[[#This Row],[nxt_code]],"누적거래량")</f>
        <v>48235</v>
      </c>
      <c r="N431" s="2">
        <f>_xll.IMDP("STK",표.실시간[[#This Row],[nxt_code]],"누적거래대금")/10^8</f>
        <v>21.981200999999999</v>
      </c>
      <c r="O431" s="2">
        <f>_xll.IMDP("STK",표.실시간[[#This Row],[nxt_code]],"가중평균가")</f>
        <v>45555.949099999998</v>
      </c>
      <c r="P431" s="2">
        <f>_xll.IMDP("STK",표.실시간[[#This Row],[nxt_code]],"시가")</f>
        <v>45700</v>
      </c>
      <c r="Q431" s="2">
        <f>_xll.IMDP("STK",표.실시간[[#This Row],[nxt_code]],"고가")</f>
        <v>47350</v>
      </c>
      <c r="R431" s="2">
        <f>_xll.IMDP("STK",표.실시간[[#This Row],[nxt_code]],"저가")</f>
        <v>44500</v>
      </c>
      <c r="S431">
        <f>_xll.IMDP("STK",표.실시간[[#This Row],[nxt_code]],"세션명")</f>
        <v>0</v>
      </c>
      <c r="T431">
        <f>_xll.IMDP("STK",표.실시간[[#This Row],[nxt_code]],"체결시간")</f>
        <v>0</v>
      </c>
      <c r="U431" s="2">
        <f>_xll.IMDP("STK","475960","현재가")</f>
        <v>47450</v>
      </c>
      <c r="V431">
        <f>_xll.IMDP("STK","475960","누적거래량")</f>
        <v>27866</v>
      </c>
    </row>
    <row r="432" spans="2:22" x14ac:dyDescent="0.3">
      <c r="B432">
        <v>424</v>
      </c>
      <c r="C432">
        <v>0</v>
      </c>
      <c r="D432">
        <f>IF(IFERROR(INDEX(표.kospi200[code],MATCH(표.실시간[[#This Row],[코드]],표.kospi200[code],0)),0)=0,0,1)</f>
        <v>0</v>
      </c>
      <c r="E432" t="s">
        <v>437</v>
      </c>
      <c r="F432">
        <v>93320</v>
      </c>
      <c r="G432" t="str">
        <f>ConvertStockCode(표.실시간[[#This Row],[코드]])</f>
        <v>N093320</v>
      </c>
      <c r="H432" s="2">
        <f>_xll.IMDP("STK",표.실시간[[#This Row],[nxt_code]],"현재가")</f>
        <v>136000</v>
      </c>
      <c r="I432" s="2">
        <f>_xll.IMDP("STK",표.실시간[[#This Row],[nxt_code]],"시가총액")/10^12</f>
        <v>0.66368000000000005</v>
      </c>
      <c r="J432" s="2">
        <f>표.실시간[[#This Row],[시가총액 (조원)]]/표.실시간[[#This Row],[현재가]]*(표.실시간[[#This Row],[현재가]]-표.실시간[[#This Row],[대비]])</f>
        <v>0.65001600000000015</v>
      </c>
      <c r="K432" s="3">
        <f>_xll.IMDP("STK",표.실시간[[#This Row],[nxt_code]],"전일대비")</f>
        <v>2800</v>
      </c>
      <c r="L432">
        <f>_xll.IMDP("STK",표.실시간[[#This Row],[nxt_code]],"등락률")</f>
        <v>2.1</v>
      </c>
      <c r="M432" s="2">
        <f>_xll.IMDP("STK",표.실시간[[#This Row],[nxt_code]],"누적거래량")</f>
        <v>976</v>
      </c>
      <c r="N432" s="2">
        <f>_xll.IMDP("STK",표.실시간[[#This Row],[nxt_code]],"누적거래대금")/10^8</f>
        <v>1.294743</v>
      </c>
      <c r="O432" s="2">
        <f>_xll.IMDP("STK",표.실시간[[#This Row],[nxt_code]],"가중평균가")</f>
        <v>130518.447581</v>
      </c>
      <c r="P432" s="2">
        <f>_xll.IMDP("STK",표.실시간[[#This Row],[nxt_code]],"시가")</f>
        <v>132700</v>
      </c>
      <c r="Q432" s="2">
        <f>_xll.IMDP("STK",표.실시간[[#This Row],[nxt_code]],"고가")</f>
        <v>136000</v>
      </c>
      <c r="R432" s="2">
        <f>_xll.IMDP("STK",표.실시간[[#This Row],[nxt_code]],"저가")</f>
        <v>129200</v>
      </c>
      <c r="S432">
        <f>_xll.IMDP("STK",표.실시간[[#This Row],[nxt_code]],"세션명")</f>
        <v>0</v>
      </c>
      <c r="T432">
        <f>_xll.IMDP("STK",표.실시간[[#This Row],[nxt_code]],"체결시간")</f>
        <v>0</v>
      </c>
      <c r="U432" s="2">
        <f>_xll.IMDP("STK","093320","현재가")</f>
        <v>136000</v>
      </c>
      <c r="V432">
        <f>_xll.IMDP("STK","093320","누적거래량")</f>
        <v>1351</v>
      </c>
    </row>
    <row r="433" spans="2:22" x14ac:dyDescent="0.3">
      <c r="B433">
        <v>425</v>
      </c>
      <c r="C433">
        <v>1</v>
      </c>
      <c r="D433">
        <f>IF(IFERROR(INDEX(표.kospi200[code],MATCH(표.실시간[[#This Row],[코드]],표.kospi200[code],0)),0)=0,0,1)</f>
        <v>1</v>
      </c>
      <c r="E433" t="s">
        <v>438</v>
      </c>
      <c r="F433">
        <v>2030</v>
      </c>
      <c r="G433" t="str">
        <f>ConvertStockCode(표.실시간[[#This Row],[코드]])</f>
        <v>N002030</v>
      </c>
      <c r="H433" s="2">
        <f>_xll.IMDP("STK",표.실시간[[#This Row],[nxt_code]],"현재가")</f>
        <v>283500</v>
      </c>
      <c r="I433" s="2">
        <f>_xll.IMDP("STK",표.실시간[[#This Row],[nxt_code]],"시가총액")/10^12</f>
        <v>0.58759514099999999</v>
      </c>
      <c r="J433" s="2">
        <f>표.실시간[[#This Row],[시가총액 (조원)]]/표.실시간[[#This Row],[현재가]]*(표.실시간[[#This Row],[현재가]]-표.실시간[[#This Row],[대비]])</f>
        <v>0.59795837099999993</v>
      </c>
      <c r="K433" s="3">
        <f>_xll.IMDP("STK",표.실시간[[#This Row],[nxt_code]],"전일대비")</f>
        <v>-5000</v>
      </c>
      <c r="L433">
        <f>_xll.IMDP("STK",표.실시간[[#This Row],[nxt_code]],"등락률")</f>
        <v>-1.73</v>
      </c>
      <c r="M433" s="2">
        <f>_xll.IMDP("STK",표.실시간[[#This Row],[nxt_code]],"누적거래량")</f>
        <v>24</v>
      </c>
      <c r="N433" s="2">
        <f>_xll.IMDP("STK",표.실시간[[#This Row],[nxt_code]],"누적거래대금")/10^8</f>
        <v>6.8385000000000001E-2</v>
      </c>
      <c r="O433" s="2">
        <f>_xll.IMDP("STK",표.실시간[[#This Row],[nxt_code]],"가중평균가")</f>
        <v>284937.5</v>
      </c>
      <c r="P433" s="2">
        <f>_xll.IMDP("STK",표.실시간[[#This Row],[nxt_code]],"시가")</f>
        <v>283000</v>
      </c>
      <c r="Q433" s="2">
        <f>_xll.IMDP("STK",표.실시간[[#This Row],[nxt_code]],"고가")</f>
        <v>287500</v>
      </c>
      <c r="R433" s="2">
        <f>_xll.IMDP("STK",표.실시간[[#This Row],[nxt_code]],"저가")</f>
        <v>283000</v>
      </c>
      <c r="S433">
        <f>_xll.IMDP("STK",표.실시간[[#This Row],[nxt_code]],"세션명")</f>
        <v>0</v>
      </c>
      <c r="T433">
        <f>_xll.IMDP("STK",표.실시간[[#This Row],[nxt_code]],"체결시간")</f>
        <v>0</v>
      </c>
      <c r="U433" s="2">
        <f>_xll.IMDP("STK","002030","현재가")</f>
        <v>282000</v>
      </c>
      <c r="V433">
        <f>_xll.IMDP("STK","002030","누적거래량")</f>
        <v>158</v>
      </c>
    </row>
    <row r="434" spans="2:22" x14ac:dyDescent="0.3">
      <c r="B434">
        <v>426</v>
      </c>
      <c r="C434">
        <v>0</v>
      </c>
      <c r="D434">
        <f>IF(IFERROR(INDEX(표.kospi200[code],MATCH(표.실시간[[#This Row],[코드]],표.kospi200[code],0)),0)=0,0,1)</f>
        <v>0</v>
      </c>
      <c r="E434" t="s">
        <v>439</v>
      </c>
      <c r="F434">
        <v>126340</v>
      </c>
      <c r="G434" t="str">
        <f>ConvertStockCode(표.실시간[[#This Row],[코드]])</f>
        <v>N126340</v>
      </c>
      <c r="H434" s="2">
        <f>_xll.IMDP("STK",표.실시간[[#This Row],[nxt_code]],"현재가")</f>
        <v>98700</v>
      </c>
      <c r="I434" s="2">
        <f>_xll.IMDP("STK",표.실시간[[#This Row],[nxt_code]],"시가총액")/10^12</f>
        <v>0.66461697959999999</v>
      </c>
      <c r="J434" s="2">
        <f>표.실시간[[#This Row],[시가총액 (조원)]]/표.실시간[[#This Row],[현재가]]*(표.실시간[[#This Row],[현재가]]-표.실시간[[#This Row],[대비]])</f>
        <v>0.6410490016</v>
      </c>
      <c r="K434" s="3">
        <f>_xll.IMDP("STK",표.실시간[[#This Row],[nxt_code]],"전일대비")</f>
        <v>3500</v>
      </c>
      <c r="L434">
        <f>_xll.IMDP("STK",표.실시간[[#This Row],[nxt_code]],"등락률")</f>
        <v>3.68</v>
      </c>
      <c r="M434" s="2">
        <f>_xll.IMDP("STK",표.실시간[[#This Row],[nxt_code]],"누적거래량")</f>
        <v>17000</v>
      </c>
      <c r="N434" s="2">
        <f>_xll.IMDP("STK",표.실시간[[#This Row],[nxt_code]],"누적거래대금")/10^8</f>
        <v>15.636092</v>
      </c>
      <c r="O434" s="2">
        <f>_xll.IMDP("STK",표.실시간[[#This Row],[nxt_code]],"가중평균가")</f>
        <v>91977.011765000003</v>
      </c>
      <c r="P434" s="2">
        <f>_xll.IMDP("STK",표.실시간[[#This Row],[nxt_code]],"시가")</f>
        <v>93800</v>
      </c>
      <c r="Q434" s="2">
        <f>_xll.IMDP("STK",표.실시간[[#This Row],[nxt_code]],"고가")</f>
        <v>98700</v>
      </c>
      <c r="R434" s="2">
        <f>_xll.IMDP("STK",표.실시간[[#This Row],[nxt_code]],"저가")</f>
        <v>89400</v>
      </c>
      <c r="S434">
        <f>_xll.IMDP("STK",표.실시간[[#This Row],[nxt_code]],"세션명")</f>
        <v>0</v>
      </c>
      <c r="T434">
        <f>_xll.IMDP("STK",표.실시간[[#This Row],[nxt_code]],"체결시간")</f>
        <v>0</v>
      </c>
      <c r="U434" s="2">
        <f>_xll.IMDP("STK","126340","현재가")</f>
        <v>98600</v>
      </c>
      <c r="V434">
        <f>_xll.IMDP("STK","126340","누적거래량")</f>
        <v>13583</v>
      </c>
    </row>
    <row r="435" spans="2:22" x14ac:dyDescent="0.3">
      <c r="B435">
        <v>427</v>
      </c>
      <c r="C435">
        <v>0</v>
      </c>
      <c r="D435">
        <f>IF(IFERROR(INDEX(표.kospi200[code],MATCH(표.실시간[[#This Row],[코드]],표.kospi200[code],0)),0)=0,0,1)</f>
        <v>0</v>
      </c>
      <c r="E435" t="s">
        <v>440</v>
      </c>
      <c r="F435">
        <v>119850</v>
      </c>
      <c r="G435" t="str">
        <f>ConvertStockCode(표.실시간[[#This Row],[코드]])</f>
        <v>N119850</v>
      </c>
      <c r="H435" s="2">
        <f>_xll.IMDP("STK",표.실시간[[#This Row],[nxt_code]],"현재가")</f>
        <v>36100</v>
      </c>
      <c r="I435" s="2">
        <f>_xll.IMDP("STK",표.실시간[[#This Row],[nxt_code]],"시가총액")/10^12</f>
        <v>0.59380561489999995</v>
      </c>
      <c r="J435" s="2">
        <f>표.실시간[[#This Row],[시가총액 (조원)]]/표.실시간[[#This Row],[현재가]]*(표.실시간[[#This Row],[현재가]]-표.실시간[[#This Row],[대비]])</f>
        <v>0.61107696935</v>
      </c>
      <c r="K435" s="3">
        <f>_xll.IMDP("STK",표.실시간[[#This Row],[nxt_code]],"전일대비")</f>
        <v>-1050</v>
      </c>
      <c r="L435">
        <f>_xll.IMDP("STK",표.실시간[[#This Row],[nxt_code]],"등락률")</f>
        <v>-1.37</v>
      </c>
      <c r="M435" s="2">
        <f>_xll.IMDP("STK",표.실시간[[#This Row],[nxt_code]],"누적거래량")</f>
        <v>89151</v>
      </c>
      <c r="N435" s="2">
        <f>_xll.IMDP("STK",표.실시간[[#This Row],[nxt_code]],"누적거래대금")/10^8</f>
        <v>31.462110750000001</v>
      </c>
      <c r="O435" s="2">
        <f>_xll.IMDP("STK",표.실시간[[#This Row],[nxt_code]],"가중평균가")</f>
        <v>35290.810814999997</v>
      </c>
      <c r="P435" s="2">
        <f>_xll.IMDP("STK",표.실시간[[#This Row],[nxt_code]],"시가")</f>
        <v>36200</v>
      </c>
      <c r="Q435" s="2">
        <f>_xll.IMDP("STK",표.실시간[[#This Row],[nxt_code]],"고가")</f>
        <v>36200</v>
      </c>
      <c r="R435" s="2">
        <f>_xll.IMDP("STK",표.실시간[[#This Row],[nxt_code]],"저가")</f>
        <v>34700</v>
      </c>
      <c r="S435">
        <f>_xll.IMDP("STK",표.실시간[[#This Row],[nxt_code]],"세션명")</f>
        <v>0</v>
      </c>
      <c r="T435">
        <f>_xll.IMDP("STK",표.실시간[[#This Row],[nxt_code]],"체결시간")</f>
        <v>0</v>
      </c>
      <c r="U435" s="2">
        <f>_xll.IMDP("STK","119850","현재가")</f>
        <v>35550</v>
      </c>
      <c r="V435">
        <f>_xll.IMDP("STK","119850","누적거래량")</f>
        <v>53730</v>
      </c>
    </row>
    <row r="436" spans="2:22" x14ac:dyDescent="0.3">
      <c r="B436">
        <v>428</v>
      </c>
      <c r="C436">
        <v>1</v>
      </c>
      <c r="D436">
        <f>IF(IFERROR(INDEX(표.kospi200[code],MATCH(표.실시간[[#This Row],[코드]],표.kospi200[code],0)),0)=0,0,1)</f>
        <v>0</v>
      </c>
      <c r="E436" t="s">
        <v>441</v>
      </c>
      <c r="F436" t="s">
        <v>707</v>
      </c>
      <c r="G436" t="str">
        <f>ConvertStockCode(표.실시간[[#This Row],[코드]])</f>
        <v>N0120G0</v>
      </c>
      <c r="H436" s="2">
        <f>_xll.IMDP("STK",표.실시간[[#This Row],[nxt_code]],"현재가")</f>
        <v>90200</v>
      </c>
      <c r="I436" s="2">
        <f>_xll.IMDP("STK",표.실시간[[#This Row],[nxt_code]],"시가총액")/10^12</f>
        <v>0.67071547399999998</v>
      </c>
      <c r="J436" s="2">
        <f>표.실시간[[#This Row],[시가총액 (조원)]]/표.실시간[[#This Row],[현재가]]*(표.실시간[[#This Row],[현재가]]-표.실시간[[#This Row],[대비]])</f>
        <v>0.71086917199999999</v>
      </c>
      <c r="K436" s="3">
        <f>_xll.IMDP("STK",표.실시간[[#This Row],[nxt_code]],"전일대비")</f>
        <v>-5400</v>
      </c>
      <c r="L436">
        <f>_xll.IMDP("STK",표.실시간[[#This Row],[nxt_code]],"등락률")</f>
        <v>-5.65</v>
      </c>
      <c r="M436" s="2">
        <f>_xll.IMDP("STK",표.실시간[[#This Row],[nxt_code]],"누적거래량")</f>
        <v>38295</v>
      </c>
      <c r="N436" s="2">
        <f>_xll.IMDP("STK",표.실시간[[#This Row],[nxt_code]],"누적거래대금")/10^8</f>
        <v>34.621327999999998</v>
      </c>
      <c r="O436" s="2">
        <f>_xll.IMDP("STK",표.실시간[[#This Row],[nxt_code]],"가중평균가")</f>
        <v>90244.312376000002</v>
      </c>
      <c r="P436" s="2">
        <f>_xll.IMDP("STK",표.실시간[[#This Row],[nxt_code]],"시가")</f>
        <v>93700</v>
      </c>
      <c r="Q436" s="2">
        <f>_xll.IMDP("STK",표.실시간[[#This Row],[nxt_code]],"고가")</f>
        <v>95100</v>
      </c>
      <c r="R436" s="2">
        <f>_xll.IMDP("STK",표.실시간[[#This Row],[nxt_code]],"저가")</f>
        <v>88800</v>
      </c>
      <c r="S436">
        <f>_xll.IMDP("STK",표.실시간[[#This Row],[nxt_code]],"세션명")</f>
        <v>0</v>
      </c>
      <c r="T436">
        <f>_xll.IMDP("STK",표.실시간[[#This Row],[nxt_code]],"체결시간")</f>
        <v>0</v>
      </c>
      <c r="U436" s="2">
        <f>_xll.IMDP("STK","0120G0","현재가")</f>
        <v>91800</v>
      </c>
      <c r="V436">
        <f>_xll.IMDP("STK","0120G0","누적거래량")</f>
        <v>15084</v>
      </c>
    </row>
    <row r="437" spans="2:22" x14ac:dyDescent="0.3">
      <c r="B437">
        <v>429</v>
      </c>
      <c r="C437">
        <v>0</v>
      </c>
      <c r="D437">
        <f>IF(IFERROR(INDEX(표.kospi200[code],MATCH(표.실시간[[#This Row],[코드]],표.kospi200[code],0)),0)=0,0,1)</f>
        <v>0</v>
      </c>
      <c r="E437" t="s">
        <v>442</v>
      </c>
      <c r="F437">
        <v>278280</v>
      </c>
      <c r="G437" t="str">
        <f>ConvertStockCode(표.실시간[[#This Row],[코드]])</f>
        <v>N278280</v>
      </c>
      <c r="H437" s="2">
        <f>_xll.IMDP("STK",표.실시간[[#This Row],[nxt_code]],"현재가")</f>
        <v>59100</v>
      </c>
      <c r="I437" s="2">
        <f>_xll.IMDP("STK",표.실시간[[#This Row],[nxt_code]],"시가총액")/10^12</f>
        <v>0.69565693949999996</v>
      </c>
      <c r="J437" s="2">
        <f>표.실시간[[#This Row],[시가총액 (조원)]]/표.실시간[[#This Row],[현재가]]*(표.실시간[[#This Row],[현재가]]-표.실시간[[#This Row],[대비]])</f>
        <v>0.69212568599999991</v>
      </c>
      <c r="K437" s="3">
        <f>_xll.IMDP("STK",표.실시간[[#This Row],[nxt_code]],"전일대비")</f>
        <v>300</v>
      </c>
      <c r="L437">
        <f>_xll.IMDP("STK",표.실시간[[#This Row],[nxt_code]],"등락률")</f>
        <v>0.51</v>
      </c>
      <c r="M437" s="2">
        <f>_xll.IMDP("STK",표.실시간[[#This Row],[nxt_code]],"누적거래량")</f>
        <v>25397</v>
      </c>
      <c r="N437" s="2">
        <f>_xll.IMDP("STK",표.실시간[[#This Row],[nxt_code]],"누적거래대금")/10^8</f>
        <v>14.414261</v>
      </c>
      <c r="O437" s="2">
        <f>_xll.IMDP("STK",표.실시간[[#This Row],[nxt_code]],"가중평균가")</f>
        <v>56755.762492000002</v>
      </c>
      <c r="P437" s="2">
        <f>_xll.IMDP("STK",표.실시간[[#This Row],[nxt_code]],"시가")</f>
        <v>58400</v>
      </c>
      <c r="Q437" s="2">
        <f>_xll.IMDP("STK",표.실시간[[#This Row],[nxt_code]],"고가")</f>
        <v>59300</v>
      </c>
      <c r="R437" s="2">
        <f>_xll.IMDP("STK",표.실시간[[#This Row],[nxt_code]],"저가")</f>
        <v>55900</v>
      </c>
      <c r="S437">
        <f>_xll.IMDP("STK",표.실시간[[#This Row],[nxt_code]],"세션명")</f>
        <v>0</v>
      </c>
      <c r="T437">
        <f>_xll.IMDP("STK",표.실시간[[#This Row],[nxt_code]],"체결시간")</f>
        <v>0</v>
      </c>
      <c r="U437" s="2">
        <f>_xll.IMDP("STK","278280","현재가")</f>
        <v>58800</v>
      </c>
      <c r="V437">
        <f>_xll.IMDP("STK","278280","누적거래량")</f>
        <v>15830</v>
      </c>
    </row>
    <row r="438" spans="2:22" x14ac:dyDescent="0.3">
      <c r="B438">
        <v>430</v>
      </c>
      <c r="C438">
        <v>0</v>
      </c>
      <c r="D438">
        <f>IF(IFERROR(INDEX(표.kospi200[code],MATCH(표.실시간[[#This Row],[코드]],표.kospi200[code],0)),0)=0,0,1)</f>
        <v>0</v>
      </c>
      <c r="E438" t="s">
        <v>443</v>
      </c>
      <c r="F438">
        <v>78160</v>
      </c>
      <c r="G438" t="str">
        <f>ConvertStockCode(표.실시간[[#This Row],[코드]])</f>
        <v>N078160</v>
      </c>
      <c r="H438" s="2">
        <f>_xll.IMDP("STK",표.실시간[[#This Row],[nxt_code]],"현재가")</f>
        <v>24750</v>
      </c>
      <c r="I438" s="2">
        <f>_xll.IMDP("STK",표.실시간[[#This Row],[nxt_code]],"시가총액")/10^12</f>
        <v>0.97031392424999996</v>
      </c>
      <c r="J438" s="2">
        <f>표.실시간[[#This Row],[시가총액 (조원)]]/표.실시간[[#This Row],[현재가]]*(표.실시간[[#This Row],[현재가]]-표.실시간[[#This Row],[대비]])</f>
        <v>0.94091047199999989</v>
      </c>
      <c r="K438" s="3">
        <f>_xll.IMDP("STK",표.실시간[[#This Row],[nxt_code]],"전일대비")</f>
        <v>750</v>
      </c>
      <c r="L438">
        <f>_xll.IMDP("STK",표.실시간[[#This Row],[nxt_code]],"등락률")</f>
        <v>3.12</v>
      </c>
      <c r="M438" s="2">
        <f>_xll.IMDP("STK",표.실시간[[#This Row],[nxt_code]],"누적거래량")</f>
        <v>82061</v>
      </c>
      <c r="N438" s="2">
        <f>_xll.IMDP("STK",표.실시간[[#This Row],[nxt_code]],"누적거래대금")/10^8</f>
        <v>19.872475999999999</v>
      </c>
      <c r="O438" s="2">
        <f>_xll.IMDP("STK",표.실시간[[#This Row],[nxt_code]],"가중평균가")</f>
        <v>24216.711958</v>
      </c>
      <c r="P438" s="2">
        <f>_xll.IMDP("STK",표.실시간[[#This Row],[nxt_code]],"시가")</f>
        <v>23700</v>
      </c>
      <c r="Q438" s="2">
        <f>_xll.IMDP("STK",표.실시간[[#This Row],[nxt_code]],"고가")</f>
        <v>24800</v>
      </c>
      <c r="R438" s="2">
        <f>_xll.IMDP("STK",표.실시간[[#This Row],[nxt_code]],"저가")</f>
        <v>23300</v>
      </c>
      <c r="S438">
        <f>_xll.IMDP("STK",표.실시간[[#This Row],[nxt_code]],"세션명")</f>
        <v>0</v>
      </c>
      <c r="T438">
        <f>_xll.IMDP("STK",표.실시간[[#This Row],[nxt_code]],"체결시간")</f>
        <v>0</v>
      </c>
      <c r="U438" s="2">
        <f>_xll.IMDP("STK","078160","현재가")</f>
        <v>24550</v>
      </c>
      <c r="V438">
        <f>_xll.IMDP("STK","078160","누적거래량")</f>
        <v>46813</v>
      </c>
    </row>
    <row r="439" spans="2:22" x14ac:dyDescent="0.3">
      <c r="B439">
        <v>431</v>
      </c>
      <c r="C439">
        <v>0</v>
      </c>
      <c r="D439">
        <f>IF(IFERROR(INDEX(표.kospi200[code],MATCH(표.실시간[[#This Row],[코드]],표.kospi200[code],0)),0)=0,0,1)</f>
        <v>0</v>
      </c>
      <c r="E439" t="s">
        <v>444</v>
      </c>
      <c r="F439">
        <v>94170</v>
      </c>
      <c r="G439" t="str">
        <f>ConvertStockCode(표.실시간[[#This Row],[코드]])</f>
        <v>N094170</v>
      </c>
      <c r="H439" s="2">
        <f>_xll.IMDP("STK",표.실시간[[#This Row],[nxt_code]],"현재가")</f>
        <v>30650</v>
      </c>
      <c r="I439" s="2">
        <f>_xll.IMDP("STK",표.실시간[[#This Row],[nxt_code]],"시가총액")/10^12</f>
        <v>0.64088953839999996</v>
      </c>
      <c r="J439" s="2">
        <f>표.실시간[[#This Row],[시가총액 (조원)]]/표.실시간[[#This Row],[현재가]]*(표.실시간[[#This Row],[현재가]]-표.실시간[[#This Row],[대비]])</f>
        <v>0.64193503519999995</v>
      </c>
      <c r="K439" s="3">
        <f>_xll.IMDP("STK",표.실시간[[#This Row],[nxt_code]],"전일대비")</f>
        <v>-50</v>
      </c>
      <c r="L439">
        <f>_xll.IMDP("STK",표.실시간[[#This Row],[nxt_code]],"등락률")</f>
        <v>1.1599999999999999</v>
      </c>
      <c r="M439" s="2">
        <f>_xll.IMDP("STK",표.실시간[[#This Row],[nxt_code]],"누적거래량")</f>
        <v>79390</v>
      </c>
      <c r="N439" s="2">
        <f>_xll.IMDP("STK",표.실시간[[#This Row],[nxt_code]],"누적거래대금")/10^8</f>
        <v>23.558470499999999</v>
      </c>
      <c r="O439" s="2">
        <f>_xll.IMDP("STK",표.실시간[[#This Row],[nxt_code]],"가중평균가")</f>
        <v>29674.355082999999</v>
      </c>
      <c r="P439" s="2">
        <f>_xll.IMDP("STK",표.실시간[[#This Row],[nxt_code]],"시가")</f>
        <v>30350</v>
      </c>
      <c r="Q439" s="2">
        <f>_xll.IMDP("STK",표.실시간[[#This Row],[nxt_code]],"고가")</f>
        <v>30700</v>
      </c>
      <c r="R439" s="2">
        <f>_xll.IMDP("STK",표.실시간[[#This Row],[nxt_code]],"저가")</f>
        <v>28500</v>
      </c>
      <c r="S439">
        <f>_xll.IMDP("STK",표.실시간[[#This Row],[nxt_code]],"세션명")</f>
        <v>0</v>
      </c>
      <c r="T439">
        <f>_xll.IMDP("STK",표.실시간[[#This Row],[nxt_code]],"체결시간")</f>
        <v>0</v>
      </c>
      <c r="U439" s="2">
        <f>_xll.IMDP("STK","094170","현재가")</f>
        <v>30100</v>
      </c>
      <c r="V439">
        <f>_xll.IMDP("STK","094170","누적거래량")</f>
        <v>32752</v>
      </c>
    </row>
    <row r="440" spans="2:22" x14ac:dyDescent="0.3">
      <c r="B440">
        <v>432</v>
      </c>
      <c r="C440">
        <v>0</v>
      </c>
      <c r="D440">
        <f>IF(IFERROR(INDEX(표.kospi200[code],MATCH(표.실시간[[#This Row],[코드]],표.kospi200[code],0)),0)=0,0,1)</f>
        <v>0</v>
      </c>
      <c r="E440" t="s">
        <v>445</v>
      </c>
      <c r="F440">
        <v>60250</v>
      </c>
      <c r="G440" t="str">
        <f>ConvertStockCode(표.실시간[[#This Row],[코드]])</f>
        <v>N060250</v>
      </c>
      <c r="H440" s="2">
        <f>_xll.IMDP("STK",표.실시간[[#This Row],[nxt_code]],"현재가")</f>
        <v>23200</v>
      </c>
      <c r="I440" s="2">
        <f>_xll.IMDP("STK",표.실시간[[#This Row],[nxt_code]],"시가총액")/10^12</f>
        <v>0.93172617520000001</v>
      </c>
      <c r="J440" s="2">
        <f>표.실시간[[#This Row],[시가총액 (조원)]]/표.실시간[[#This Row],[현재가]]*(표.실시간[[#This Row],[현재가]]-표.실시간[[#This Row],[대비]])</f>
        <v>0.91566193080000002</v>
      </c>
      <c r="K440" s="3">
        <f>_xll.IMDP("STK",표.실시간[[#This Row],[nxt_code]],"전일대비")</f>
        <v>400</v>
      </c>
      <c r="L440">
        <f>_xll.IMDP("STK",표.실시간[[#This Row],[nxt_code]],"등락률")</f>
        <v>1.75</v>
      </c>
      <c r="M440" s="2">
        <f>_xll.IMDP("STK",표.실시간[[#This Row],[nxt_code]],"누적거래량")</f>
        <v>3274649</v>
      </c>
      <c r="N440" s="2">
        <f>_xll.IMDP("STK",표.실시간[[#This Row],[nxt_code]],"누적거래대금")/10^8</f>
        <v>793.22438750000003</v>
      </c>
      <c r="O440" s="2">
        <f>_xll.IMDP("STK",표.실시간[[#This Row],[nxt_code]],"가중평균가")</f>
        <v>24223.188118999999</v>
      </c>
      <c r="P440" s="2">
        <f>_xll.IMDP("STK",표.실시간[[#This Row],[nxt_code]],"시가")</f>
        <v>22800</v>
      </c>
      <c r="Q440" s="2">
        <f>_xll.IMDP("STK",표.실시간[[#This Row],[nxt_code]],"고가")</f>
        <v>25300</v>
      </c>
      <c r="R440" s="2">
        <f>_xll.IMDP("STK",표.실시간[[#This Row],[nxt_code]],"저가")</f>
        <v>22100</v>
      </c>
      <c r="S440">
        <f>_xll.IMDP("STK",표.실시간[[#This Row],[nxt_code]],"세션명")</f>
        <v>0</v>
      </c>
      <c r="T440">
        <f>_xll.IMDP("STK",표.실시간[[#This Row],[nxt_code]],"체결시간")</f>
        <v>0</v>
      </c>
      <c r="U440" s="2">
        <f>_xll.IMDP("STK","060250","현재가")</f>
        <v>23200</v>
      </c>
      <c r="V440">
        <f>_xll.IMDP("STK","060250","누적거래량")</f>
        <v>635428</v>
      </c>
    </row>
    <row r="441" spans="2:22" x14ac:dyDescent="0.3">
      <c r="B441">
        <v>433</v>
      </c>
      <c r="C441">
        <v>0</v>
      </c>
      <c r="D441">
        <f>IF(IFERROR(INDEX(표.kospi200[code],MATCH(표.실시간[[#This Row],[코드]],표.kospi200[code],0)),0)=0,0,1)</f>
        <v>0</v>
      </c>
      <c r="E441" t="s">
        <v>446</v>
      </c>
      <c r="F441">
        <v>222080</v>
      </c>
      <c r="G441" t="str">
        <f>ConvertStockCode(표.실시간[[#This Row],[코드]])</f>
        <v>N222080</v>
      </c>
      <c r="H441" s="2">
        <f>_xll.IMDP("STK",표.실시간[[#This Row],[nxt_code]],"현재가")</f>
        <v>13610</v>
      </c>
      <c r="I441" s="2">
        <f>_xll.IMDP("STK",표.실시간[[#This Row],[nxt_code]],"시가총액")/10^12</f>
        <v>1.05303072879</v>
      </c>
      <c r="J441" s="2">
        <f>표.실시간[[#This Row],[시가총액 (조원)]]/표.실시간[[#This Row],[현재가]]*(표.실시간[[#This Row],[현재가]]-표.실시간[[#This Row],[대비]])</f>
        <v>1.0236294299699999</v>
      </c>
      <c r="K441" s="3">
        <f>_xll.IMDP("STK",표.실시간[[#This Row],[nxt_code]],"전일대비")</f>
        <v>380</v>
      </c>
      <c r="L441">
        <f>_xll.IMDP("STK",표.실시간[[#This Row],[nxt_code]],"등락률")</f>
        <v>2.87</v>
      </c>
      <c r="M441" s="2">
        <f>_xll.IMDP("STK",표.실시간[[#This Row],[nxt_code]],"누적거래량")</f>
        <v>3050215</v>
      </c>
      <c r="N441" s="2">
        <f>_xll.IMDP("STK",표.실시간[[#This Row],[nxt_code]],"누적거래대금")/10^8</f>
        <v>420.81719264999998</v>
      </c>
      <c r="O441" s="2">
        <f>_xll.IMDP("STK",표.실시간[[#This Row],[nxt_code]],"가중평균가")</f>
        <v>13796.131557999999</v>
      </c>
      <c r="P441" s="2">
        <f>_xll.IMDP("STK",표.실시간[[#This Row],[nxt_code]],"시가")</f>
        <v>13400</v>
      </c>
      <c r="Q441" s="2">
        <f>_xll.IMDP("STK",표.실시간[[#This Row],[nxt_code]],"고가")</f>
        <v>14550</v>
      </c>
      <c r="R441" s="2">
        <f>_xll.IMDP("STK",표.실시간[[#This Row],[nxt_code]],"저가")</f>
        <v>12620</v>
      </c>
      <c r="S441">
        <f>_xll.IMDP("STK",표.실시간[[#This Row],[nxt_code]],"세션명")</f>
        <v>0</v>
      </c>
      <c r="T441">
        <f>_xll.IMDP("STK",표.실시간[[#This Row],[nxt_code]],"체결시간")</f>
        <v>0</v>
      </c>
      <c r="U441" s="2">
        <f>_xll.IMDP("STK","222080","현재가")</f>
        <v>13620</v>
      </c>
      <c r="V441">
        <f>_xll.IMDP("STK","222080","누적거래량")</f>
        <v>881751</v>
      </c>
    </row>
    <row r="442" spans="2:22" x14ac:dyDescent="0.3">
      <c r="B442">
        <v>434</v>
      </c>
      <c r="C442">
        <v>0</v>
      </c>
      <c r="D442">
        <f>IF(IFERROR(INDEX(표.kospi200[code],MATCH(표.실시간[[#This Row],[코드]],표.kospi200[code],0)),0)=0,0,1)</f>
        <v>0</v>
      </c>
      <c r="E442" t="s">
        <v>447</v>
      </c>
      <c r="F442">
        <v>18290</v>
      </c>
      <c r="G442" t="str">
        <f>ConvertStockCode(표.실시간[[#This Row],[코드]])</f>
        <v>N018290</v>
      </c>
      <c r="H442" s="2">
        <f>_xll.IMDP("STK",표.실시간[[#This Row],[nxt_code]],"현재가")</f>
        <v>20950</v>
      </c>
      <c r="I442" s="2">
        <f>_xll.IMDP("STK",표.실시간[[#This Row],[nxt_code]],"시가총액")/10^12</f>
        <v>0.73203150610000001</v>
      </c>
      <c r="J442" s="2">
        <f>표.실시간[[#This Row],[시가총액 (조원)]]/표.실시간[[#This Row],[현재가]]*(표.실시간[[#This Row],[현재가]]-표.실시간[[#This Row],[대비]])</f>
        <v>0.72853732230000001</v>
      </c>
      <c r="K442" s="3">
        <f>_xll.IMDP("STK",표.실시간[[#This Row],[nxt_code]],"전일대비")</f>
        <v>100</v>
      </c>
      <c r="L442">
        <f>_xll.IMDP("STK",표.실시간[[#This Row],[nxt_code]],"등락률")</f>
        <v>1.7</v>
      </c>
      <c r="M442" s="2">
        <f>_xll.IMDP("STK",표.실시간[[#This Row],[nxt_code]],"누적거래량")</f>
        <v>203601</v>
      </c>
      <c r="N442" s="2">
        <f>_xll.IMDP("STK",표.실시간[[#This Row],[nxt_code]],"누적거래대금")/10^8</f>
        <v>42.42967625</v>
      </c>
      <c r="O442" s="2">
        <f>_xll.IMDP("STK",표.실시간[[#This Row],[nxt_code]],"가중평균가")</f>
        <v>20820.804402000002</v>
      </c>
      <c r="P442" s="2">
        <f>_xll.IMDP("STK",표.실시간[[#This Row],[nxt_code]],"시가")</f>
        <v>21250</v>
      </c>
      <c r="Q442" s="2">
        <f>_xll.IMDP("STK",표.실시간[[#This Row],[nxt_code]],"고가")</f>
        <v>21250</v>
      </c>
      <c r="R442" s="2">
        <f>_xll.IMDP("STK",표.실시간[[#This Row],[nxt_code]],"저가")</f>
        <v>20300</v>
      </c>
      <c r="S442">
        <f>_xll.IMDP("STK",표.실시간[[#This Row],[nxt_code]],"세션명")</f>
        <v>0</v>
      </c>
      <c r="T442">
        <f>_xll.IMDP("STK",표.실시간[[#This Row],[nxt_code]],"체결시간")</f>
        <v>0</v>
      </c>
      <c r="U442" s="2">
        <f>_xll.IMDP("STK","018290","현재가")</f>
        <v>20800</v>
      </c>
      <c r="V442">
        <f>_xll.IMDP("STK","018290","누적거래량")</f>
        <v>62745</v>
      </c>
    </row>
    <row r="443" spans="2:22" x14ac:dyDescent="0.3">
      <c r="B443">
        <v>435</v>
      </c>
      <c r="C443">
        <v>1</v>
      </c>
      <c r="D443">
        <f>IF(IFERROR(INDEX(표.kospi200[code],MATCH(표.실시간[[#This Row],[코드]],표.kospi200[code],0)),0)=0,0,1)</f>
        <v>0</v>
      </c>
      <c r="E443" t="s">
        <v>448</v>
      </c>
      <c r="F443">
        <v>2020</v>
      </c>
      <c r="G443" t="str">
        <f>ConvertStockCode(표.실시간[[#This Row],[코드]])</f>
        <v>N002020</v>
      </c>
      <c r="H443" s="2">
        <f>_xll.IMDP("STK",표.실시간[[#This Row],[nxt_code]],"현재가")</f>
        <v>59800</v>
      </c>
      <c r="I443" s="2">
        <f>_xll.IMDP("STK",표.실시간[[#This Row],[nxt_code]],"시가총액")/10^12</f>
        <v>0.77187926399999995</v>
      </c>
      <c r="J443" s="2">
        <f>표.실시간[[#This Row],[시가총액 (조원)]]/표.실시간[[#This Row],[현재가]]*(표.실시간[[#This Row],[현재가]]-표.실시간[[#This Row],[대비]])</f>
        <v>0.77962387199999994</v>
      </c>
      <c r="K443" s="3">
        <f>_xll.IMDP("STK",표.실시간[[#This Row],[nxt_code]],"전일대비")</f>
        <v>-600</v>
      </c>
      <c r="L443">
        <f>_xll.IMDP("STK",표.실시간[[#This Row],[nxt_code]],"등락률")</f>
        <v>-0.99</v>
      </c>
      <c r="M443" s="2">
        <f>_xll.IMDP("STK",표.실시간[[#This Row],[nxt_code]],"누적거래량")</f>
        <v>17143</v>
      </c>
      <c r="N443" s="2">
        <f>_xll.IMDP("STK",표.실시간[[#This Row],[nxt_code]],"누적거래대금")/10^8</f>
        <v>10.106773</v>
      </c>
      <c r="O443" s="2">
        <f>_xll.IMDP("STK",표.실시간[[#This Row],[nxt_code]],"가중평균가")</f>
        <v>58955.684536000001</v>
      </c>
      <c r="P443" s="2">
        <f>_xll.IMDP("STK",표.실시간[[#This Row],[nxt_code]],"시가")</f>
        <v>58200</v>
      </c>
      <c r="Q443" s="2">
        <f>_xll.IMDP("STK",표.실시간[[#This Row],[nxt_code]],"고가")</f>
        <v>60400</v>
      </c>
      <c r="R443" s="2">
        <f>_xll.IMDP("STK",표.실시간[[#This Row],[nxt_code]],"저가")</f>
        <v>57800</v>
      </c>
      <c r="S443">
        <f>_xll.IMDP("STK",표.실시간[[#This Row],[nxt_code]],"세션명")</f>
        <v>0</v>
      </c>
      <c r="T443">
        <f>_xll.IMDP("STK",표.실시간[[#This Row],[nxt_code]],"체결시간")</f>
        <v>0</v>
      </c>
      <c r="U443" s="2">
        <f>_xll.IMDP("STK","002020","현재가")</f>
        <v>59800</v>
      </c>
      <c r="V443">
        <f>_xll.IMDP("STK","002020","누적거래량")</f>
        <v>10474</v>
      </c>
    </row>
    <row r="444" spans="2:22" x14ac:dyDescent="0.3">
      <c r="B444">
        <v>436</v>
      </c>
      <c r="C444">
        <v>1</v>
      </c>
      <c r="D444">
        <f>IF(IFERROR(INDEX(표.kospi200[code],MATCH(표.실시간[[#This Row],[코드]],표.kospi200[code],0)),0)=0,0,1)</f>
        <v>0</v>
      </c>
      <c r="E444" t="s">
        <v>449</v>
      </c>
      <c r="F444">
        <v>105630</v>
      </c>
      <c r="G444" t="str">
        <f>ConvertStockCode(표.실시간[[#This Row],[코드]])</f>
        <v>N105630</v>
      </c>
      <c r="H444" s="2">
        <f>_xll.IMDP("STK",표.실시간[[#This Row],[nxt_code]],"현재가")</f>
        <v>14120</v>
      </c>
      <c r="I444" s="2">
        <f>_xll.IMDP("STK",표.실시간[[#This Row],[nxt_code]],"시가총액")/10^12</f>
        <v>0.56479999999999997</v>
      </c>
      <c r="J444" s="2">
        <f>표.실시간[[#This Row],[시가총액 (조원)]]/표.실시간[[#This Row],[현재가]]*(표.실시간[[#This Row],[현재가]]-표.실시간[[#This Row],[대비]])</f>
        <v>0.55919999999999992</v>
      </c>
      <c r="K444" s="3">
        <f>_xll.IMDP("STK",표.실시간[[#This Row],[nxt_code]],"전일대비")</f>
        <v>140</v>
      </c>
      <c r="L444">
        <f>_xll.IMDP("STK",표.실시간[[#This Row],[nxt_code]],"등락률")</f>
        <v>1</v>
      </c>
      <c r="M444" s="2">
        <f>_xll.IMDP("STK",표.실시간[[#This Row],[nxt_code]],"누적거래량")</f>
        <v>9883</v>
      </c>
      <c r="N444" s="2">
        <f>_xll.IMDP("STK",표.실시간[[#This Row],[nxt_code]],"누적거래대금")/10^8</f>
        <v>1.3774702000000001</v>
      </c>
      <c r="O444" s="2">
        <f>_xll.IMDP("STK",표.실시간[[#This Row],[nxt_code]],"가중평균가")</f>
        <v>13933.544406000001</v>
      </c>
      <c r="P444" s="2">
        <f>_xll.IMDP("STK",표.실시간[[#This Row],[nxt_code]],"시가")</f>
        <v>13900</v>
      </c>
      <c r="Q444" s="2">
        <f>_xll.IMDP("STK",표.실시간[[#This Row],[nxt_code]],"고가")</f>
        <v>14180</v>
      </c>
      <c r="R444" s="2">
        <f>_xll.IMDP("STK",표.실시간[[#This Row],[nxt_code]],"저가")</f>
        <v>13800</v>
      </c>
      <c r="S444">
        <f>_xll.IMDP("STK",표.실시간[[#This Row],[nxt_code]],"세션명")</f>
        <v>0</v>
      </c>
      <c r="T444">
        <f>_xll.IMDP("STK",표.실시간[[#This Row],[nxt_code]],"체결시간")</f>
        <v>0</v>
      </c>
      <c r="U444" s="2">
        <f>_xll.IMDP("STK","105630","현재가")</f>
        <v>14060</v>
      </c>
      <c r="V444">
        <f>_xll.IMDP("STK","105630","누적거래량")</f>
        <v>10367</v>
      </c>
    </row>
    <row r="445" spans="2:22" x14ac:dyDescent="0.3">
      <c r="B445">
        <v>437</v>
      </c>
      <c r="C445">
        <v>1</v>
      </c>
      <c r="D445">
        <f>IF(IFERROR(INDEX(표.kospi200[code],MATCH(표.실시간[[#This Row],[코드]],표.kospi200[code],0)),0)=0,0,1)</f>
        <v>0</v>
      </c>
      <c r="E445" t="s">
        <v>450</v>
      </c>
      <c r="F445">
        <v>2960</v>
      </c>
      <c r="G445" t="str">
        <f>ConvertStockCode(표.실시간[[#This Row],[코드]])</f>
        <v>N002960</v>
      </c>
      <c r="H445" s="2">
        <f>_xll.IMDP("STK",표.실시간[[#This Row],[nxt_code]],"현재가")</f>
        <v>430000</v>
      </c>
      <c r="I445" s="2">
        <f>_xll.IMDP("STK",표.실시간[[#This Row],[nxt_code]],"시가총액")/10^12</f>
        <v>0.55900000000000005</v>
      </c>
      <c r="J445" s="2">
        <f>표.실시간[[#This Row],[시가총액 (조원)]]/표.실시간[[#This Row],[현재가]]*(표.실시간[[#This Row],[현재가]]-표.실시간[[#This Row],[대비]])</f>
        <v>0.5655</v>
      </c>
      <c r="K445" s="3">
        <f>_xll.IMDP("STK",표.실시간[[#This Row],[nxt_code]],"전일대비")</f>
        <v>-5000</v>
      </c>
      <c r="L445">
        <f>_xll.IMDP("STK",표.실시간[[#This Row],[nxt_code]],"등락률")</f>
        <v>-1.1499999999999999</v>
      </c>
      <c r="M445" s="2">
        <f>_xll.IMDP("STK",표.실시간[[#This Row],[nxt_code]],"누적거래량")</f>
        <v>283</v>
      </c>
      <c r="N445" s="2">
        <f>_xll.IMDP("STK",표.실시간[[#This Row],[nxt_code]],"누적거래대금")/10^8</f>
        <v>1.22183</v>
      </c>
      <c r="O445" s="2">
        <f>_xll.IMDP("STK",표.실시간[[#This Row],[nxt_code]],"가중평균가")</f>
        <v>431742.04947000003</v>
      </c>
      <c r="P445" s="2">
        <f>_xll.IMDP("STK",표.실시간[[#This Row],[nxt_code]],"시가")</f>
        <v>434500</v>
      </c>
      <c r="Q445" s="2">
        <f>_xll.IMDP("STK",표.실시간[[#This Row],[nxt_code]],"고가")</f>
        <v>435000</v>
      </c>
      <c r="R445" s="2">
        <f>_xll.IMDP("STK",표.실시간[[#This Row],[nxt_code]],"저가")</f>
        <v>430000</v>
      </c>
      <c r="S445">
        <f>_xll.IMDP("STK",표.실시간[[#This Row],[nxt_code]],"세션명")</f>
        <v>0</v>
      </c>
      <c r="T445">
        <f>_xll.IMDP("STK",표.실시간[[#This Row],[nxt_code]],"체결시간")</f>
        <v>0</v>
      </c>
      <c r="U445" s="2">
        <f>_xll.IMDP("STK","002960","현재가")</f>
        <v>430500</v>
      </c>
      <c r="V445">
        <f>_xll.IMDP("STK","002960","누적거래량")</f>
        <v>270</v>
      </c>
    </row>
    <row r="446" spans="2:22" x14ac:dyDescent="0.3">
      <c r="B446">
        <v>438</v>
      </c>
      <c r="C446">
        <v>1</v>
      </c>
      <c r="D446">
        <f>IF(IFERROR(INDEX(표.kospi200[code],MATCH(표.실시간[[#This Row],[코드]],표.kospi200[code],0)),0)=0,0,1)</f>
        <v>1</v>
      </c>
      <c r="E446" t="s">
        <v>451</v>
      </c>
      <c r="F446">
        <v>5420</v>
      </c>
      <c r="G446" t="str">
        <f>ConvertStockCode(표.실시간[[#This Row],[코드]])</f>
        <v>N005420</v>
      </c>
      <c r="H446" s="2">
        <f>_xll.IMDP("STK",표.실시간[[#This Row],[nxt_code]],"현재가")</f>
        <v>16890</v>
      </c>
      <c r="I446" s="2">
        <f>_xll.IMDP("STK",표.실시간[[#This Row],[nxt_code]],"시가총액")/10^12</f>
        <v>0.64871497091999997</v>
      </c>
      <c r="J446" s="2">
        <f>표.실시간[[#This Row],[시가총액 (조원)]]/표.실시간[[#This Row],[현재가]]*(표.실시간[[#This Row],[현재가]]-표.실시간[[#This Row],[대비]])</f>
        <v>0.64410598356000004</v>
      </c>
      <c r="K446" s="3">
        <f>_xll.IMDP("STK",표.실시간[[#This Row],[nxt_code]],"전일대비")</f>
        <v>120</v>
      </c>
      <c r="L446">
        <f>_xll.IMDP("STK",표.실시간[[#This Row],[nxt_code]],"등락률")</f>
        <v>1.62</v>
      </c>
      <c r="M446" s="2">
        <f>_xll.IMDP("STK",표.실시간[[#This Row],[nxt_code]],"누적거래량")</f>
        <v>66510</v>
      </c>
      <c r="N446" s="2">
        <f>_xll.IMDP("STK",표.실시간[[#This Row],[nxt_code]],"누적거래대금")/10^8</f>
        <v>10.893970700000001</v>
      </c>
      <c r="O446" s="2">
        <f>_xll.IMDP("STK",표.실시간[[#This Row],[nxt_code]],"가중평균가")</f>
        <v>16379.447752</v>
      </c>
      <c r="P446" s="2">
        <f>_xll.IMDP("STK",표.실시간[[#This Row],[nxt_code]],"시가")</f>
        <v>15900</v>
      </c>
      <c r="Q446" s="2">
        <f>_xll.IMDP("STK",표.실시간[[#This Row],[nxt_code]],"고가")</f>
        <v>16890</v>
      </c>
      <c r="R446" s="2">
        <f>_xll.IMDP("STK",표.실시간[[#This Row],[nxt_code]],"저가")</f>
        <v>15900</v>
      </c>
      <c r="S446">
        <f>_xll.IMDP("STK",표.실시간[[#This Row],[nxt_code]],"세션명")</f>
        <v>0</v>
      </c>
      <c r="T446">
        <f>_xll.IMDP("STK",표.실시간[[#This Row],[nxt_code]],"체결시간")</f>
        <v>0</v>
      </c>
      <c r="U446" s="2">
        <f>_xll.IMDP("STK","005420","현재가")</f>
        <v>16920</v>
      </c>
      <c r="V446">
        <f>_xll.IMDP("STK","005420","누적거래량")</f>
        <v>50719</v>
      </c>
    </row>
    <row r="447" spans="2:22" x14ac:dyDescent="0.3">
      <c r="B447">
        <v>439</v>
      </c>
      <c r="C447">
        <v>1</v>
      </c>
      <c r="D447">
        <f>IF(IFERROR(INDEX(표.kospi200[code],MATCH(표.실시간[[#This Row],[코드]],표.kospi200[code],0)),0)=0,0,1)</f>
        <v>0</v>
      </c>
      <c r="E447" t="s">
        <v>452</v>
      </c>
      <c r="F447">
        <v>17940</v>
      </c>
      <c r="G447" t="str">
        <f>ConvertStockCode(표.실시간[[#This Row],[코드]])</f>
        <v>N017940</v>
      </c>
      <c r="H447" s="2">
        <f>_xll.IMDP("STK",표.실시간[[#This Row],[nxt_code]],"현재가")</f>
        <v>87300</v>
      </c>
      <c r="I447" s="2">
        <f>_xll.IMDP("STK",표.실시간[[#This Row],[nxt_code]],"시가총액")/10^12</f>
        <v>0.59887800000000002</v>
      </c>
      <c r="J447" s="2">
        <f>표.실시간[[#This Row],[시가총액 (조원)]]/표.실시간[[#This Row],[현재가]]*(표.실시간[[#This Row],[현재가]]-표.실시간[[#This Row],[대비]])</f>
        <v>0.60916800000000004</v>
      </c>
      <c r="K447" s="3">
        <f>_xll.IMDP("STK",표.실시간[[#This Row],[nxt_code]],"전일대비")</f>
        <v>-1500</v>
      </c>
      <c r="L447">
        <f>_xll.IMDP("STK",표.실시간[[#This Row],[nxt_code]],"등락률")</f>
        <v>-1.69</v>
      </c>
      <c r="M447" s="2">
        <f>_xll.IMDP("STK",표.실시간[[#This Row],[nxt_code]],"누적거래량")</f>
        <v>1362</v>
      </c>
      <c r="N447" s="2">
        <f>_xll.IMDP("STK",표.실시간[[#This Row],[nxt_code]],"누적거래대금")/10^8</f>
        <v>1.19119</v>
      </c>
      <c r="O447" s="2">
        <f>_xll.IMDP("STK",표.실시간[[#This Row],[nxt_code]],"가중평균가")</f>
        <v>87458.883994000003</v>
      </c>
      <c r="P447" s="2">
        <f>_xll.IMDP("STK",표.실시간[[#This Row],[nxt_code]],"시가")</f>
        <v>88900</v>
      </c>
      <c r="Q447" s="2">
        <f>_xll.IMDP("STK",표.실시간[[#This Row],[nxt_code]],"고가")</f>
        <v>89100</v>
      </c>
      <c r="R447" s="2">
        <f>_xll.IMDP("STK",표.실시간[[#This Row],[nxt_code]],"저가")</f>
        <v>86800</v>
      </c>
      <c r="S447">
        <f>_xll.IMDP("STK",표.실시간[[#This Row],[nxt_code]],"세션명")</f>
        <v>0</v>
      </c>
      <c r="T447">
        <f>_xll.IMDP("STK",표.실시간[[#This Row],[nxt_code]],"체결시간")</f>
        <v>0</v>
      </c>
      <c r="U447" s="2">
        <f>_xll.IMDP("STK","017940","현재가")</f>
        <v>87500</v>
      </c>
      <c r="V447">
        <f>_xll.IMDP("STK","017940","누적거래량")</f>
        <v>1006</v>
      </c>
    </row>
    <row r="448" spans="2:22" x14ac:dyDescent="0.3">
      <c r="B448">
        <v>440</v>
      </c>
      <c r="C448">
        <v>0</v>
      </c>
      <c r="D448">
        <f>IF(IFERROR(INDEX(표.kospi200[code],MATCH(표.실시간[[#This Row],[코드]],표.kospi200[code],0)),0)=0,0,1)</f>
        <v>0</v>
      </c>
      <c r="E448" t="s">
        <v>453</v>
      </c>
      <c r="F448">
        <v>95660</v>
      </c>
      <c r="G448" t="str">
        <f>ConvertStockCode(표.실시간[[#This Row],[코드]])</f>
        <v>N095660</v>
      </c>
      <c r="H448" s="2">
        <f>_xll.IMDP("STK",표.실시간[[#This Row],[nxt_code]],"현재가")</f>
        <v>30050</v>
      </c>
      <c r="I448" s="2">
        <f>_xll.IMDP("STK",표.실시간[[#This Row],[nxt_code]],"시가총액")/10^12</f>
        <v>0.65679732079999997</v>
      </c>
      <c r="J448" s="2">
        <f>표.실시간[[#This Row],[시가총액 (조원)]]/표.실시간[[#This Row],[현재가]]*(표.실시간[[#This Row],[현재가]]-표.실시간[[#This Row],[대비]])</f>
        <v>0.66663288799999998</v>
      </c>
      <c r="K448" s="3">
        <f>_xll.IMDP("STK",표.실시간[[#This Row],[nxt_code]],"전일대비")</f>
        <v>-450</v>
      </c>
      <c r="L448">
        <f>_xll.IMDP("STK",표.실시간[[#This Row],[nxt_code]],"등락률")</f>
        <v>-1.48</v>
      </c>
      <c r="M448" s="2">
        <f>_xll.IMDP("STK",표.실시간[[#This Row],[nxt_code]],"누적거래량")</f>
        <v>16298</v>
      </c>
      <c r="N448" s="2">
        <f>_xll.IMDP("STK",표.실시간[[#This Row],[nxt_code]],"누적거래대금")/10^8</f>
        <v>4.8025314999999997</v>
      </c>
      <c r="O448" s="2">
        <f>_xll.IMDP("STK",표.실시간[[#This Row],[nxt_code]],"가중평균가")</f>
        <v>29466.999017999999</v>
      </c>
      <c r="P448" s="2">
        <f>_xll.IMDP("STK",표.실시간[[#This Row],[nxt_code]],"시가")</f>
        <v>30100</v>
      </c>
      <c r="Q448" s="2">
        <f>_xll.IMDP("STK",표.실시간[[#This Row],[nxt_code]],"고가")</f>
        <v>30350</v>
      </c>
      <c r="R448" s="2">
        <f>_xll.IMDP("STK",표.실시간[[#This Row],[nxt_code]],"저가")</f>
        <v>28950</v>
      </c>
      <c r="S448">
        <f>_xll.IMDP("STK",표.실시간[[#This Row],[nxt_code]],"세션명")</f>
        <v>0</v>
      </c>
      <c r="T448">
        <f>_xll.IMDP("STK",표.실시간[[#This Row],[nxt_code]],"체결시간")</f>
        <v>0</v>
      </c>
      <c r="U448" s="2">
        <f>_xll.IMDP("STK","095660","현재가")</f>
        <v>30000</v>
      </c>
      <c r="V448">
        <f>_xll.IMDP("STK","095660","누적거래량")</f>
        <v>35173</v>
      </c>
    </row>
    <row r="449" spans="2:22" x14ac:dyDescent="0.3">
      <c r="B449">
        <v>441</v>
      </c>
      <c r="C449">
        <v>1</v>
      </c>
      <c r="D449">
        <f>IF(IFERROR(INDEX(표.kospi200[code],MATCH(표.실시간[[#This Row],[코드]],표.kospi200[code],0)),0)=0,0,1)</f>
        <v>0</v>
      </c>
      <c r="E449" t="s">
        <v>454</v>
      </c>
      <c r="F449">
        <v>5810</v>
      </c>
      <c r="G449" t="str">
        <f>ConvertStockCode(표.실시간[[#This Row],[코드]])</f>
        <v>N005810</v>
      </c>
      <c r="H449" s="2">
        <f>_xll.IMDP("STK",표.실시간[[#This Row],[nxt_code]],"현재가")</f>
        <v>40200</v>
      </c>
      <c r="I449" s="2">
        <f>_xll.IMDP("STK",표.실시간[[#This Row],[nxt_code]],"시가총액")/10^12</f>
        <v>0.57957513839999997</v>
      </c>
      <c r="J449" s="2">
        <f>표.실시간[[#This Row],[시가총액 (조원)]]/표.실시간[[#This Row],[현재가]]*(표.실시간[[#This Row],[현재가]]-표.실시간[[#This Row],[대비]])</f>
        <v>0.59759675339999996</v>
      </c>
      <c r="K449" s="3">
        <f>_xll.IMDP("STK",표.실시간[[#This Row],[nxt_code]],"전일대비")</f>
        <v>-1250</v>
      </c>
      <c r="L449">
        <f>_xll.IMDP("STK",표.실시간[[#This Row],[nxt_code]],"등락률")</f>
        <v>-2.9</v>
      </c>
      <c r="M449" s="2">
        <f>_xll.IMDP("STK",표.실시간[[#This Row],[nxt_code]],"누적거래량")</f>
        <v>4566</v>
      </c>
      <c r="N449" s="2">
        <f>_xll.IMDP("STK",표.실시간[[#This Row],[nxt_code]],"누적거래대금")/10^8</f>
        <v>1.843653</v>
      </c>
      <c r="O449" s="2">
        <f>_xll.IMDP("STK",표.실시간[[#This Row],[nxt_code]],"가중평균가")</f>
        <v>40377.858080999998</v>
      </c>
      <c r="P449" s="2">
        <f>_xll.IMDP("STK",표.실시간[[#This Row],[nxt_code]],"시가")</f>
        <v>41400</v>
      </c>
      <c r="Q449" s="2">
        <f>_xll.IMDP("STK",표.실시간[[#This Row],[nxt_code]],"고가")</f>
        <v>41400</v>
      </c>
      <c r="R449" s="2">
        <f>_xll.IMDP("STK",표.실시간[[#This Row],[nxt_code]],"저가")</f>
        <v>39950</v>
      </c>
      <c r="S449">
        <f>_xll.IMDP("STK",표.실시간[[#This Row],[nxt_code]],"세션명")</f>
        <v>0</v>
      </c>
      <c r="T449">
        <f>_xll.IMDP("STK",표.실시간[[#This Row],[nxt_code]],"체결시간")</f>
        <v>0</v>
      </c>
      <c r="U449" s="2">
        <f>_xll.IMDP("STK","005810","현재가")</f>
        <v>40150</v>
      </c>
      <c r="V449">
        <f>_xll.IMDP("STK","005810","누적거래량")</f>
        <v>1934</v>
      </c>
    </row>
    <row r="450" spans="2:22" x14ac:dyDescent="0.3">
      <c r="B450">
        <v>442</v>
      </c>
      <c r="C450">
        <v>1</v>
      </c>
      <c r="D450">
        <f>IF(IFERROR(INDEX(표.kospi200[code],MATCH(표.실시간[[#This Row],[코드]],표.kospi200[code],0)),0)=0,0,1)</f>
        <v>0</v>
      </c>
      <c r="E450" t="s">
        <v>455</v>
      </c>
      <c r="F450">
        <v>97520</v>
      </c>
      <c r="G450" t="str">
        <f>ConvertStockCode(표.실시간[[#This Row],[코드]])</f>
        <v>N097520</v>
      </c>
      <c r="H450" s="2">
        <f>_xll.IMDP("STK",표.실시간[[#This Row],[nxt_code]],"현재가")</f>
        <v>29700</v>
      </c>
      <c r="I450" s="2">
        <f>_xll.IMDP("STK",표.실시간[[#This Row],[nxt_code]],"시가총액")/10^12</f>
        <v>0.51682455000000005</v>
      </c>
      <c r="J450" s="2">
        <f>표.실시간[[#This Row],[시가총액 (조원)]]/표.실시간[[#This Row],[현재가]]*(표.실시간[[#This Row],[현재가]]-표.실시간[[#This Row],[대비]])</f>
        <v>0.5298756750000001</v>
      </c>
      <c r="K450" s="3">
        <f>_xll.IMDP("STK",표.실시간[[#This Row],[nxt_code]],"전일대비")</f>
        <v>-750</v>
      </c>
      <c r="L450">
        <f>_xll.IMDP("STK",표.실시간[[#This Row],[nxt_code]],"등락률")</f>
        <v>-2.46</v>
      </c>
      <c r="M450" s="2">
        <f>_xll.IMDP("STK",표.실시간[[#This Row],[nxt_code]],"누적거래량")</f>
        <v>12568</v>
      </c>
      <c r="N450" s="2">
        <f>_xll.IMDP("STK",표.실시간[[#This Row],[nxt_code]],"누적거래대금")/10^8</f>
        <v>3.7389654999999999</v>
      </c>
      <c r="O450" s="2">
        <f>_xll.IMDP("STK",표.실시간[[#This Row],[nxt_code]],"가중평균가")</f>
        <v>29749.884628</v>
      </c>
      <c r="P450" s="2">
        <f>_xll.IMDP("STK",표.실시간[[#This Row],[nxt_code]],"시가")</f>
        <v>30050</v>
      </c>
      <c r="Q450" s="2">
        <f>_xll.IMDP("STK",표.실시간[[#This Row],[nxt_code]],"고가")</f>
        <v>30450</v>
      </c>
      <c r="R450" s="2">
        <f>_xll.IMDP("STK",표.실시간[[#This Row],[nxt_code]],"저가")</f>
        <v>29400</v>
      </c>
      <c r="S450">
        <f>_xll.IMDP("STK",표.실시간[[#This Row],[nxt_code]],"세션명")</f>
        <v>0</v>
      </c>
      <c r="T450">
        <f>_xll.IMDP("STK",표.실시간[[#This Row],[nxt_code]],"체결시간")</f>
        <v>0</v>
      </c>
      <c r="U450" s="2">
        <f>_xll.IMDP("STK","097520","현재가")</f>
        <v>29700</v>
      </c>
      <c r="V450">
        <f>_xll.IMDP("STK","097520","누적거래량")</f>
        <v>9386</v>
      </c>
    </row>
    <row r="451" spans="2:22" x14ac:dyDescent="0.3">
      <c r="B451">
        <v>443</v>
      </c>
      <c r="C451">
        <v>0</v>
      </c>
      <c r="D451">
        <f>IF(IFERROR(INDEX(표.kospi200[code],MATCH(표.실시간[[#This Row],[코드]],표.kospi200[code],0)),0)=0,0,1)</f>
        <v>0</v>
      </c>
      <c r="E451" t="s">
        <v>456</v>
      </c>
      <c r="F451">
        <v>47920</v>
      </c>
      <c r="G451" t="str">
        <f>ConvertStockCode(표.실시간[[#This Row],[코드]])</f>
        <v>N047920</v>
      </c>
      <c r="H451" s="2">
        <f>_xll.IMDP("STK",표.실시간[[#This Row],[nxt_code]],"현재가")</f>
        <v>16710</v>
      </c>
      <c r="I451" s="2">
        <f>_xll.IMDP("STK",표.실시간[[#This Row],[nxt_code]],"시가총액")/10^12</f>
        <v>0.54807723876000003</v>
      </c>
      <c r="J451" s="2">
        <f>표.실시간[[#This Row],[시가총액 (조원)]]/표.실시간[[#This Row],[현재가]]*(표.실시간[[#This Row],[현재가]]-표.실시간[[#This Row],[대비]])</f>
        <v>0.54446930960000006</v>
      </c>
      <c r="K451" s="3">
        <f>_xll.IMDP("STK",표.실시간[[#This Row],[nxt_code]],"전일대비")</f>
        <v>110</v>
      </c>
      <c r="L451">
        <f>_xll.IMDP("STK",표.실시간[[#This Row],[nxt_code]],"등락률")</f>
        <v>0.66</v>
      </c>
      <c r="M451" s="2">
        <f>_xll.IMDP("STK",표.실시간[[#This Row],[nxt_code]],"누적거래량")</f>
        <v>100161</v>
      </c>
      <c r="N451" s="2">
        <f>_xll.IMDP("STK",표.실시간[[#This Row],[nxt_code]],"누적거래대금")/10^8</f>
        <v>16.845213999999999</v>
      </c>
      <c r="O451" s="2">
        <f>_xll.IMDP("STK",표.실시간[[#This Row],[nxt_code]],"가중평균가")</f>
        <v>16818.1368</v>
      </c>
      <c r="P451" s="2">
        <f>_xll.IMDP("STK",표.실시간[[#This Row],[nxt_code]],"시가")</f>
        <v>16480</v>
      </c>
      <c r="Q451" s="2">
        <f>_xll.IMDP("STK",표.실시간[[#This Row],[nxt_code]],"고가")</f>
        <v>17020</v>
      </c>
      <c r="R451" s="2">
        <f>_xll.IMDP("STK",표.실시간[[#This Row],[nxt_code]],"저가")</f>
        <v>16480</v>
      </c>
      <c r="S451">
        <f>_xll.IMDP("STK",표.실시간[[#This Row],[nxt_code]],"세션명")</f>
        <v>0</v>
      </c>
      <c r="T451">
        <f>_xll.IMDP("STK",표.실시간[[#This Row],[nxt_code]],"체결시간")</f>
        <v>0</v>
      </c>
      <c r="U451" s="2">
        <f>_xll.IMDP("STK","047920","현재가")</f>
        <v>16720</v>
      </c>
      <c r="V451">
        <f>_xll.IMDP("STK","047920","누적거래량")</f>
        <v>41210</v>
      </c>
    </row>
    <row r="452" spans="2:22" x14ac:dyDescent="0.3">
      <c r="B452">
        <v>444</v>
      </c>
      <c r="C452">
        <v>0</v>
      </c>
      <c r="D452">
        <f>IF(IFERROR(INDEX(표.kospi200[code],MATCH(표.실시간[[#This Row],[코드]],표.kospi200[code],0)),0)=0,0,1)</f>
        <v>0</v>
      </c>
      <c r="E452" t="s">
        <v>457</v>
      </c>
      <c r="F452">
        <v>228760</v>
      </c>
      <c r="G452" t="str">
        <f>ConvertStockCode(표.실시간[[#This Row],[코드]])</f>
        <v>N228760</v>
      </c>
      <c r="H452" s="2">
        <f>_xll.IMDP("STK",표.실시간[[#This Row],[nxt_code]],"현재가")</f>
        <v>23100</v>
      </c>
      <c r="I452" s="2">
        <f>_xll.IMDP("STK",표.실시간[[#This Row],[nxt_code]],"시가총액")/10^12</f>
        <v>0.56886609779999997</v>
      </c>
      <c r="J452" s="2">
        <f>표.실시간[[#This Row],[시가총액 (조원)]]/표.실시간[[#This Row],[현재가]]*(표.실시간[[#This Row],[현재가]]-표.실시간[[#This Row],[대비]])</f>
        <v>0.5873357763</v>
      </c>
      <c r="K452" s="3">
        <f>_xll.IMDP("STK",표.실시간[[#This Row],[nxt_code]],"전일대비")</f>
        <v>-750</v>
      </c>
      <c r="L452">
        <f>_xll.IMDP("STK",표.실시간[[#This Row],[nxt_code]],"등락률")</f>
        <v>-3.14</v>
      </c>
      <c r="M452" s="2">
        <f>_xll.IMDP("STK",표.실시간[[#This Row],[nxt_code]],"누적거래량")</f>
        <v>57782</v>
      </c>
      <c r="N452" s="2">
        <f>_xll.IMDP("STK",표.실시간[[#This Row],[nxt_code]],"누적거래대금")/10^8</f>
        <v>13.237431000000001</v>
      </c>
      <c r="O452" s="2">
        <f>_xll.IMDP("STK",표.실시간[[#This Row],[nxt_code]],"가중평균가")</f>
        <v>22909.264131</v>
      </c>
      <c r="P452" s="2">
        <f>_xll.IMDP("STK",표.실시간[[#This Row],[nxt_code]],"시가")</f>
        <v>23350</v>
      </c>
      <c r="Q452" s="2">
        <f>_xll.IMDP("STK",표.실시간[[#This Row],[nxt_code]],"고가")</f>
        <v>23450</v>
      </c>
      <c r="R452" s="2">
        <f>_xll.IMDP("STK",표.실시간[[#This Row],[nxt_code]],"저가")</f>
        <v>22600</v>
      </c>
      <c r="S452">
        <f>_xll.IMDP("STK",표.실시간[[#This Row],[nxt_code]],"세션명")</f>
        <v>0</v>
      </c>
      <c r="T452">
        <f>_xll.IMDP("STK",표.실시간[[#This Row],[nxt_code]],"체결시간")</f>
        <v>0</v>
      </c>
      <c r="U452" s="2">
        <f>_xll.IMDP("STK","228760","현재가")</f>
        <v>23150</v>
      </c>
      <c r="V452">
        <f>_xll.IMDP("STK","228760","누적거래량")</f>
        <v>25867</v>
      </c>
    </row>
    <row r="453" spans="2:22" x14ac:dyDescent="0.3">
      <c r="B453">
        <v>445</v>
      </c>
      <c r="C453">
        <v>0</v>
      </c>
      <c r="D453">
        <f>IF(IFERROR(INDEX(표.kospi200[code],MATCH(표.실시간[[#This Row],[코드]],표.kospi200[code],0)),0)=0,0,1)</f>
        <v>0</v>
      </c>
      <c r="E453" t="s">
        <v>458</v>
      </c>
      <c r="F453">
        <v>484590</v>
      </c>
      <c r="G453" t="str">
        <f>ConvertStockCode(표.실시간[[#This Row],[코드]])</f>
        <v>N484590</v>
      </c>
      <c r="H453" s="2">
        <f>_xll.IMDP("STK",표.실시간[[#This Row],[nxt_code]],"현재가")</f>
        <v>12920</v>
      </c>
      <c r="I453" s="2">
        <f>_xll.IMDP("STK",표.실시간[[#This Row],[nxt_code]],"시가총액")/10^12</f>
        <v>0.53243901400000004</v>
      </c>
      <c r="J453" s="2">
        <f>표.실시간[[#This Row],[시가총액 (조원)]]/표.실시간[[#This Row],[현재가]]*(표.실시간[[#This Row],[현재가]]-표.실시간[[#This Row],[대비]])</f>
        <v>0.54315373100000008</v>
      </c>
      <c r="K453" s="3">
        <f>_xll.IMDP("STK",표.실시간[[#This Row],[nxt_code]],"전일대비")</f>
        <v>-260</v>
      </c>
      <c r="L453">
        <f>_xll.IMDP("STK",표.실시간[[#This Row],[nxt_code]],"등락률")</f>
        <v>-1.97</v>
      </c>
      <c r="M453" s="2">
        <f>_xll.IMDP("STK",표.실시간[[#This Row],[nxt_code]],"누적거래량")</f>
        <v>63750</v>
      </c>
      <c r="N453" s="2">
        <f>_xll.IMDP("STK",표.실시간[[#This Row],[nxt_code]],"누적거래대금")/10^8</f>
        <v>8.3232388499999992</v>
      </c>
      <c r="O453" s="2">
        <f>_xll.IMDP("STK",표.실시간[[#This Row],[nxt_code]],"가중평균가")</f>
        <v>13056.060941</v>
      </c>
      <c r="P453" s="2">
        <f>_xll.IMDP("STK",표.실시간[[#This Row],[nxt_code]],"시가")</f>
        <v>13230</v>
      </c>
      <c r="Q453" s="2">
        <f>_xll.IMDP("STK",표.실시간[[#This Row],[nxt_code]],"고가")</f>
        <v>13400</v>
      </c>
      <c r="R453" s="2">
        <f>_xll.IMDP("STK",표.실시간[[#This Row],[nxt_code]],"저가")</f>
        <v>12780</v>
      </c>
      <c r="S453">
        <f>_xll.IMDP("STK",표.실시간[[#This Row],[nxt_code]],"세션명")</f>
        <v>0</v>
      </c>
      <c r="T453">
        <f>_xll.IMDP("STK",표.실시간[[#This Row],[nxt_code]],"체결시간")</f>
        <v>0</v>
      </c>
      <c r="U453" s="2">
        <f>_xll.IMDP("STK","484590","현재가")</f>
        <v>13000</v>
      </c>
      <c r="V453">
        <f>_xll.IMDP("STK","484590","누적거래량")</f>
        <v>24632</v>
      </c>
    </row>
    <row r="454" spans="2:22" x14ac:dyDescent="0.3">
      <c r="B454">
        <v>446</v>
      </c>
      <c r="C454">
        <v>1</v>
      </c>
      <c r="D454">
        <f>IF(IFERROR(INDEX(표.kospi200[code],MATCH(표.실시간[[#This Row],[코드]],표.kospi200[code],0)),0)=0,0,1)</f>
        <v>0</v>
      </c>
      <c r="E454" t="s">
        <v>459</v>
      </c>
      <c r="F454">
        <v>105840</v>
      </c>
      <c r="G454" t="str">
        <f>ConvertStockCode(표.실시간[[#This Row],[코드]])</f>
        <v>N105840</v>
      </c>
      <c r="H454" s="2">
        <f>_xll.IMDP("STK",표.실시간[[#This Row],[nxt_code]],"현재가")</f>
        <v>25300</v>
      </c>
      <c r="I454" s="2">
        <f>_xll.IMDP("STK",표.실시간[[#This Row],[nxt_code]],"시가총액")/10^12</f>
        <v>0.51100105100000004</v>
      </c>
      <c r="J454" s="2">
        <f>표.실시간[[#This Row],[시가총액 (조원)]]/표.실시간[[#This Row],[현재가]]*(표.실시간[[#This Row],[현재가]]-표.실시간[[#This Row],[대비]])</f>
        <v>0.53523825500000011</v>
      </c>
      <c r="K454" s="3">
        <f>_xll.IMDP("STK",표.실시간[[#This Row],[nxt_code]],"전일대비")</f>
        <v>-1200</v>
      </c>
      <c r="L454">
        <f>_xll.IMDP("STK",표.실시간[[#This Row],[nxt_code]],"등락률")</f>
        <v>-3.25</v>
      </c>
      <c r="M454" s="2">
        <f>_xll.IMDP("STK",표.실시간[[#This Row],[nxt_code]],"누적거래량")</f>
        <v>148608</v>
      </c>
      <c r="N454" s="2">
        <f>_xll.IMDP("STK",표.실시간[[#This Row],[nxt_code]],"누적거래대금")/10^8</f>
        <v>37.03880925</v>
      </c>
      <c r="O454" s="2">
        <f>_xll.IMDP("STK",표.실시간[[#This Row],[nxt_code]],"가중평균가")</f>
        <v>24923.832666999999</v>
      </c>
      <c r="P454" s="2">
        <f>_xll.IMDP("STK",표.실시간[[#This Row],[nxt_code]],"시가")</f>
        <v>25450</v>
      </c>
      <c r="Q454" s="2">
        <f>_xll.IMDP("STK",표.실시간[[#This Row],[nxt_code]],"고가")</f>
        <v>26150</v>
      </c>
      <c r="R454" s="2">
        <f>_xll.IMDP("STK",표.실시간[[#This Row],[nxt_code]],"저가")</f>
        <v>24650</v>
      </c>
      <c r="S454">
        <f>_xll.IMDP("STK",표.실시간[[#This Row],[nxt_code]],"세션명")</f>
        <v>0</v>
      </c>
      <c r="T454">
        <f>_xll.IMDP("STK",표.실시간[[#This Row],[nxt_code]],"체결시간")</f>
        <v>0</v>
      </c>
      <c r="U454" s="2">
        <f>_xll.IMDP("STK","105840","현재가")</f>
        <v>25300</v>
      </c>
      <c r="V454">
        <f>_xll.IMDP("STK","105840","누적거래량")</f>
        <v>57669</v>
      </c>
    </row>
    <row r="455" spans="2:22" x14ac:dyDescent="0.3">
      <c r="B455">
        <v>447</v>
      </c>
      <c r="C455">
        <v>0</v>
      </c>
      <c r="D455">
        <f>IF(IFERROR(INDEX(표.kospi200[code],MATCH(표.실시간[[#This Row],[코드]],표.kospi200[code],0)),0)=0,0,1)</f>
        <v>0</v>
      </c>
      <c r="E455" t="s">
        <v>460</v>
      </c>
      <c r="F455">
        <v>48410</v>
      </c>
      <c r="G455" t="str">
        <f>ConvertStockCode(표.실시간[[#This Row],[코드]])</f>
        <v>N048410</v>
      </c>
      <c r="H455" s="2">
        <f>_xll.IMDP("STK",표.실시간[[#This Row],[nxt_code]],"현재가")</f>
        <v>11250</v>
      </c>
      <c r="I455" s="2">
        <f>_xll.IMDP("STK",표.실시간[[#This Row],[nxt_code]],"시가총액")/10^12</f>
        <v>1.0804608</v>
      </c>
      <c r="J455" s="2">
        <f>표.실시간[[#This Row],[시가총액 (조원)]]/표.실시간[[#This Row],[현재가]]*(표.실시간[[#This Row],[현재가]]-표.실시간[[#This Row],[대비]])</f>
        <v>1.0804608</v>
      </c>
      <c r="K455" s="3">
        <f>_xll.IMDP("STK",표.실시간[[#This Row],[nxt_code]],"전일대비")</f>
        <v>0</v>
      </c>
      <c r="L455">
        <f>_xll.IMDP("STK",표.실시간[[#This Row],[nxt_code]],"등락률")</f>
        <v>0</v>
      </c>
      <c r="M455" s="2">
        <f>_xll.IMDP("STK",표.실시간[[#This Row],[nxt_code]],"누적거래량")</f>
        <v>0</v>
      </c>
      <c r="N455" s="2">
        <f>_xll.IMDP("STK",표.실시간[[#This Row],[nxt_code]],"누적거래대금")/10^8</f>
        <v>0</v>
      </c>
      <c r="O455" s="2">
        <f>_xll.IMDP("STK",표.실시간[[#This Row],[nxt_code]],"가중평균가")</f>
        <v>0</v>
      </c>
      <c r="P455" s="2">
        <f>_xll.IMDP("STK",표.실시간[[#This Row],[nxt_code]],"시가")</f>
        <v>0</v>
      </c>
      <c r="Q455" s="2">
        <f>_xll.IMDP("STK",표.실시간[[#This Row],[nxt_code]],"고가")</f>
        <v>0</v>
      </c>
      <c r="R455" s="2">
        <f>_xll.IMDP("STK",표.실시간[[#This Row],[nxt_code]],"저가")</f>
        <v>0</v>
      </c>
      <c r="S455">
        <f>_xll.IMDP("STK",표.실시간[[#This Row],[nxt_code]],"세션명")</f>
        <v>0</v>
      </c>
      <c r="T455">
        <f>_xll.IMDP("STK",표.실시간[[#This Row],[nxt_code]],"체결시간")</f>
        <v>0</v>
      </c>
      <c r="U455" s="2">
        <f>_xll.IMDP("STK","048410","현재가")</f>
        <v>11290</v>
      </c>
      <c r="V455">
        <f>_xll.IMDP("STK","048410","누적거래량")</f>
        <v>136271</v>
      </c>
    </row>
    <row r="456" spans="2:22" x14ac:dyDescent="0.3">
      <c r="B456">
        <v>448</v>
      </c>
      <c r="C456">
        <v>0</v>
      </c>
      <c r="D456">
        <f>IF(IFERROR(INDEX(표.kospi200[code],MATCH(표.실시간[[#This Row],[코드]],표.kospi200[code],0)),0)=0,0,1)</f>
        <v>0</v>
      </c>
      <c r="E456" t="s">
        <v>461</v>
      </c>
      <c r="F456">
        <v>356860</v>
      </c>
      <c r="G456" t="str">
        <f>ConvertStockCode(표.실시간[[#This Row],[코드]])</f>
        <v>N356860</v>
      </c>
      <c r="H456" s="2">
        <f>_xll.IMDP("STK",표.실시간[[#This Row],[nxt_code]],"현재가")</f>
        <v>61900</v>
      </c>
      <c r="I456" s="2">
        <f>_xll.IMDP("STK",표.실시간[[#This Row],[nxt_code]],"시가총액")/10^12</f>
        <v>0.60863979700000004</v>
      </c>
      <c r="J456" s="2">
        <f>표.실시간[[#This Row],[시가총액 (조원)]]/표.실시간[[#This Row],[현재가]]*(표.실시간[[#This Row],[현재가]]-표.실시간[[#This Row],[대비]])</f>
        <v>0.58799127399999995</v>
      </c>
      <c r="K456" s="3">
        <f>_xll.IMDP("STK",표.실시간[[#This Row],[nxt_code]],"전일대비")</f>
        <v>2100</v>
      </c>
      <c r="L456">
        <f>_xll.IMDP("STK",표.실시간[[#This Row],[nxt_code]],"등락률")</f>
        <v>3.69</v>
      </c>
      <c r="M456" s="2">
        <f>_xll.IMDP("STK",표.실시간[[#This Row],[nxt_code]],"누적거래량")</f>
        <v>68590</v>
      </c>
      <c r="N456" s="2">
        <f>_xll.IMDP("STK",표.실시간[[#This Row],[nxt_code]],"누적거래대금")/10^8</f>
        <v>40.297243000000002</v>
      </c>
      <c r="O456" s="2">
        <f>_xll.IMDP("STK",표.실시간[[#This Row],[nxt_code]],"가중평균가")</f>
        <v>58750.901006</v>
      </c>
      <c r="P456" s="2">
        <f>_xll.IMDP("STK",표.실시간[[#This Row],[nxt_code]],"시가")</f>
        <v>59100</v>
      </c>
      <c r="Q456" s="2">
        <f>_xll.IMDP("STK",표.실시간[[#This Row],[nxt_code]],"고가")</f>
        <v>62100</v>
      </c>
      <c r="R456" s="2">
        <f>_xll.IMDP("STK",표.실시간[[#This Row],[nxt_code]],"저가")</f>
        <v>57400</v>
      </c>
      <c r="S456">
        <f>_xll.IMDP("STK",표.실시간[[#This Row],[nxt_code]],"세션명")</f>
        <v>0</v>
      </c>
      <c r="T456">
        <f>_xll.IMDP("STK",표.실시간[[#This Row],[nxt_code]],"체결시간")</f>
        <v>0</v>
      </c>
      <c r="U456" s="2">
        <f>_xll.IMDP("STK","356860","현재가")</f>
        <v>62100</v>
      </c>
      <c r="V456">
        <f>_xll.IMDP("STK","356860","누적거래량")</f>
        <v>49311</v>
      </c>
    </row>
    <row r="457" spans="2:22" x14ac:dyDescent="0.3">
      <c r="B457">
        <v>449</v>
      </c>
      <c r="C457">
        <v>0</v>
      </c>
      <c r="D457">
        <f>IF(IFERROR(INDEX(표.kospi200[code],MATCH(표.실시간[[#This Row],[코드]],표.kospi200[code],0)),0)=0,0,1)</f>
        <v>0</v>
      </c>
      <c r="E457" t="s">
        <v>462</v>
      </c>
      <c r="F457">
        <v>30520</v>
      </c>
      <c r="G457" t="str">
        <f>ConvertStockCode(표.실시간[[#This Row],[코드]])</f>
        <v>N030520</v>
      </c>
      <c r="H457" s="2">
        <f>_xll.IMDP("STK",표.실시간[[#This Row],[nxt_code]],"현재가")</f>
        <v>25200</v>
      </c>
      <c r="I457" s="2">
        <f>_xll.IMDP("STK",표.실시간[[#This Row],[nxt_code]],"시가총액")/10^12</f>
        <v>0.60932954880000001</v>
      </c>
      <c r="J457" s="2">
        <f>표.실시간[[#This Row],[시가총액 (조원)]]/표.실시간[[#This Row],[현재가]]*(표.실시간[[#This Row],[현재가]]-표.실시간[[#This Row],[대비]])</f>
        <v>0.62625536960000006</v>
      </c>
      <c r="K457" s="3">
        <f>_xll.IMDP("STK",표.실시간[[#This Row],[nxt_code]],"전일대비")</f>
        <v>-700</v>
      </c>
      <c r="L457">
        <f>_xll.IMDP("STK",표.실시간[[#This Row],[nxt_code]],"등락률")</f>
        <v>-2.7</v>
      </c>
      <c r="M457" s="2">
        <f>_xll.IMDP("STK",표.실시간[[#This Row],[nxt_code]],"누적거래량")</f>
        <v>56881</v>
      </c>
      <c r="N457" s="2">
        <f>_xll.IMDP("STK",표.실시간[[#This Row],[nxt_code]],"누적거래대금")/10^8</f>
        <v>14.229008500000001</v>
      </c>
      <c r="O457" s="2">
        <f>_xll.IMDP("STK",표.실시간[[#This Row],[nxt_code]],"가중평균가")</f>
        <v>25015.397936000001</v>
      </c>
      <c r="P457" s="2">
        <f>_xll.IMDP("STK",표.실시간[[#This Row],[nxt_code]],"시가")</f>
        <v>25350</v>
      </c>
      <c r="Q457" s="2">
        <f>_xll.IMDP("STK",표.실시간[[#This Row],[nxt_code]],"고가")</f>
        <v>25500</v>
      </c>
      <c r="R457" s="2">
        <f>_xll.IMDP("STK",표.실시간[[#This Row],[nxt_code]],"저가")</f>
        <v>24750</v>
      </c>
      <c r="S457">
        <f>_xll.IMDP("STK",표.실시간[[#This Row],[nxt_code]],"세션명")</f>
        <v>0</v>
      </c>
      <c r="T457">
        <f>_xll.IMDP("STK",표.실시간[[#This Row],[nxt_code]],"체결시간")</f>
        <v>0</v>
      </c>
      <c r="U457" s="2">
        <f>_xll.IMDP("STK","030520","현재가")</f>
        <v>25200</v>
      </c>
      <c r="V457">
        <f>_xll.IMDP("STK","030520","누적거래량")</f>
        <v>27815</v>
      </c>
    </row>
    <row r="458" spans="2:22" x14ac:dyDescent="0.3">
      <c r="B458">
        <v>450</v>
      </c>
      <c r="C458">
        <v>1</v>
      </c>
      <c r="D458">
        <f>IF(IFERROR(INDEX(표.kospi200[code],MATCH(표.실시간[[#This Row],[코드]],표.kospi200[code],0)),0)=0,0,1)</f>
        <v>0</v>
      </c>
      <c r="E458" t="s">
        <v>463</v>
      </c>
      <c r="F458">
        <v>90460</v>
      </c>
      <c r="G458" t="str">
        <f>ConvertStockCode(표.실시간[[#This Row],[코드]])</f>
        <v>N090460</v>
      </c>
      <c r="H458" s="2">
        <f>_xll.IMDP("STK",표.실시간[[#This Row],[nxt_code]],"현재가")</f>
        <v>17970</v>
      </c>
      <c r="I458" s="2">
        <f>_xll.IMDP("STK",표.실시간[[#This Row],[nxt_code]],"시가총액")/10^12</f>
        <v>0.60579633785999998</v>
      </c>
      <c r="J458" s="2">
        <f>표.실시간[[#This Row],[시가총액 (조원)]]/표.실시간[[#This Row],[현재가]]*(표.실시간[[#This Row],[현재가]]-표.실시간[[#This Row],[대비]])</f>
        <v>0.61523556850000005</v>
      </c>
      <c r="K458" s="3">
        <f>_xll.IMDP("STK",표.실시간[[#This Row],[nxt_code]],"전일대비")</f>
        <v>-280</v>
      </c>
      <c r="L458">
        <f>_xll.IMDP("STK",표.실시간[[#This Row],[nxt_code]],"등락률")</f>
        <v>-1.53</v>
      </c>
      <c r="M458" s="2">
        <f>_xll.IMDP("STK",표.실시간[[#This Row],[nxt_code]],"누적거래량")</f>
        <v>27932</v>
      </c>
      <c r="N458" s="2">
        <f>_xll.IMDP("STK",표.실시간[[#This Row],[nxt_code]],"누적거래대금")/10^8</f>
        <v>4.9790687</v>
      </c>
      <c r="O458" s="2">
        <f>_xll.IMDP("STK",표.실시간[[#This Row],[nxt_code]],"가중평균가")</f>
        <v>17825.679149</v>
      </c>
      <c r="P458" s="2">
        <f>_xll.IMDP("STK",표.실시간[[#This Row],[nxt_code]],"시가")</f>
        <v>18180</v>
      </c>
      <c r="Q458" s="2">
        <f>_xll.IMDP("STK",표.실시간[[#This Row],[nxt_code]],"고가")</f>
        <v>18200</v>
      </c>
      <c r="R458" s="2">
        <f>_xll.IMDP("STK",표.실시간[[#This Row],[nxt_code]],"저가")</f>
        <v>17590</v>
      </c>
      <c r="S458">
        <f>_xll.IMDP("STK",표.실시간[[#This Row],[nxt_code]],"세션명")</f>
        <v>0</v>
      </c>
      <c r="T458">
        <f>_xll.IMDP("STK",표.실시간[[#This Row],[nxt_code]],"체결시간")</f>
        <v>0</v>
      </c>
      <c r="U458" s="2">
        <f>_xll.IMDP("STK","090460","현재가")</f>
        <v>17950</v>
      </c>
      <c r="V458">
        <f>_xll.IMDP("STK","090460","누적거래량")</f>
        <v>22574</v>
      </c>
    </row>
    <row r="459" spans="2:22" x14ac:dyDescent="0.3">
      <c r="B459">
        <v>451</v>
      </c>
      <c r="C459">
        <v>0</v>
      </c>
      <c r="D459">
        <f>IF(IFERROR(INDEX(표.kospi200[code],MATCH(표.실시간[[#This Row],[코드]],표.kospi200[code],0)),0)=0,0,1)</f>
        <v>0</v>
      </c>
      <c r="E459" t="s">
        <v>464</v>
      </c>
      <c r="F459">
        <v>171090</v>
      </c>
      <c r="G459" t="str">
        <f>ConvertStockCode(표.실시간[[#This Row],[코드]])</f>
        <v>N171090</v>
      </c>
      <c r="H459" s="2">
        <f>_xll.IMDP("STK",표.실시간[[#This Row],[nxt_code]],"현재가")</f>
        <v>65800</v>
      </c>
      <c r="I459" s="2">
        <f>_xll.IMDP("STK",표.실시간[[#This Row],[nxt_code]],"시가총액")/10^12</f>
        <v>0.63131717880000005</v>
      </c>
      <c r="J459" s="2">
        <f>표.실시간[[#This Row],[시가총액 (조원)]]/표.실시간[[#This Row],[현재가]]*(표.실시간[[#This Row],[현재가]]-표.실시간[[#This Row],[대비]])</f>
        <v>0.58910144040000012</v>
      </c>
      <c r="K459" s="3">
        <f>_xll.IMDP("STK",표.실시간[[#This Row],[nxt_code]],"전일대비")</f>
        <v>4400</v>
      </c>
      <c r="L459">
        <f>_xll.IMDP("STK",표.실시간[[#This Row],[nxt_code]],"등락률")</f>
        <v>7.17</v>
      </c>
      <c r="M459" s="2">
        <f>_xll.IMDP("STK",표.실시간[[#This Row],[nxt_code]],"누적거래량")</f>
        <v>68617</v>
      </c>
      <c r="N459" s="2">
        <f>_xll.IMDP("STK",표.실시간[[#This Row],[nxt_code]],"누적거래대금")/10^8</f>
        <v>48.075555999999999</v>
      </c>
      <c r="O459" s="2">
        <f>_xll.IMDP("STK",표.실시간[[#This Row],[nxt_code]],"가중평균가")</f>
        <v>62640.793245000001</v>
      </c>
      <c r="P459" s="2">
        <f>_xll.IMDP("STK",표.실시간[[#This Row],[nxt_code]],"시가")</f>
        <v>62700</v>
      </c>
      <c r="Q459" s="2">
        <f>_xll.IMDP("STK",표.실시간[[#This Row],[nxt_code]],"고가")</f>
        <v>65900</v>
      </c>
      <c r="R459" s="2">
        <f>_xll.IMDP("STK",표.실시간[[#This Row],[nxt_code]],"저가")</f>
        <v>60200</v>
      </c>
      <c r="S459">
        <f>_xll.IMDP("STK",표.실시간[[#This Row],[nxt_code]],"세션명")</f>
        <v>0</v>
      </c>
      <c r="T459">
        <f>_xll.IMDP("STK",표.실시간[[#This Row],[nxt_code]],"체결시간")</f>
        <v>0</v>
      </c>
      <c r="U459" s="2">
        <f>_xll.IMDP("STK","171090","현재가")</f>
        <v>65700</v>
      </c>
      <c r="V459">
        <f>_xll.IMDP("STK","171090","누적거래량")</f>
        <v>48312</v>
      </c>
    </row>
    <row r="460" spans="2:22" x14ac:dyDescent="0.3">
      <c r="B460">
        <v>452</v>
      </c>
      <c r="C460">
        <v>1</v>
      </c>
      <c r="D460">
        <f>IF(IFERROR(INDEX(표.kospi200[code],MATCH(표.실시간[[#This Row],[코드]],표.kospi200[code],0)),0)=0,0,1)</f>
        <v>0</v>
      </c>
      <c r="E460" t="s">
        <v>465</v>
      </c>
      <c r="F460">
        <v>336370</v>
      </c>
      <c r="G460" t="str">
        <f>ConvertStockCode(표.실시간[[#This Row],[코드]])</f>
        <v>N336370</v>
      </c>
      <c r="H460" s="2">
        <f>_xll.IMDP("STK",표.실시간[[#This Row],[nxt_code]],"현재가")</f>
        <v>7960</v>
      </c>
      <c r="I460" s="2">
        <f>_xll.IMDP("STK",표.실시간[[#This Row],[nxt_code]],"시가총액")/10^12</f>
        <v>0.55893005823999997</v>
      </c>
      <c r="J460" s="2">
        <f>표.실시간[[#This Row],[시가총액 (조원)]]/표.실시간[[#This Row],[현재가]]*(표.실시간[[#This Row],[현재가]]-표.실시간[[#This Row],[대비]])</f>
        <v>0.57227135360000003</v>
      </c>
      <c r="K460" s="3">
        <f>_xll.IMDP("STK",표.실시간[[#This Row],[nxt_code]],"전일대비")</f>
        <v>-190</v>
      </c>
      <c r="L460">
        <f>_xll.IMDP("STK",표.실시간[[#This Row],[nxt_code]],"등락률")</f>
        <v>-2.33</v>
      </c>
      <c r="M460" s="2">
        <f>_xll.IMDP("STK",표.실시간[[#This Row],[nxt_code]],"누적거래량")</f>
        <v>44781</v>
      </c>
      <c r="N460" s="2">
        <f>_xll.IMDP("STK",표.실시간[[#This Row],[nxt_code]],"누적거래대금")/10^8</f>
        <v>3.5428223999999999</v>
      </c>
      <c r="O460" s="2">
        <f>_xll.IMDP("STK",표.실시간[[#This Row],[nxt_code]],"가중평균가")</f>
        <v>7905.4388040000003</v>
      </c>
      <c r="P460" s="2">
        <f>_xll.IMDP("STK",표.실시간[[#This Row],[nxt_code]],"시가")</f>
        <v>8150</v>
      </c>
      <c r="Q460" s="2">
        <f>_xll.IMDP("STK",표.실시간[[#This Row],[nxt_code]],"고가")</f>
        <v>8150</v>
      </c>
      <c r="R460" s="2">
        <f>_xll.IMDP("STK",표.실시간[[#This Row],[nxt_code]],"저가")</f>
        <v>7820</v>
      </c>
      <c r="S460">
        <f>_xll.IMDP("STK",표.실시간[[#This Row],[nxt_code]],"세션명")</f>
        <v>0</v>
      </c>
      <c r="T460">
        <f>_xll.IMDP("STK",표.실시간[[#This Row],[nxt_code]],"체결시간")</f>
        <v>0</v>
      </c>
      <c r="U460" s="2">
        <f>_xll.IMDP("STK","336370","현재가")</f>
        <v>7960</v>
      </c>
      <c r="V460">
        <f>_xll.IMDP("STK","336370","누적거래량")</f>
        <v>36228</v>
      </c>
    </row>
    <row r="461" spans="2:22" x14ac:dyDescent="0.3">
      <c r="B461">
        <v>453</v>
      </c>
      <c r="C461">
        <v>0</v>
      </c>
      <c r="D461">
        <f>IF(IFERROR(INDEX(표.kospi200[code],MATCH(표.실시간[[#This Row],[코드]],표.kospi200[code],0)),0)=0,0,1)</f>
        <v>0</v>
      </c>
      <c r="E461" t="s">
        <v>466</v>
      </c>
      <c r="F461">
        <v>220100</v>
      </c>
      <c r="G461" t="str">
        <f>ConvertStockCode(표.실시간[[#This Row],[코드]])</f>
        <v>N220100</v>
      </c>
      <c r="H461" s="2">
        <f>_xll.IMDP("STK",표.실시간[[#This Row],[nxt_code]],"현재가")</f>
        <v>25600</v>
      </c>
      <c r="I461" s="2">
        <f>_xll.IMDP("STK",표.실시간[[#This Row],[nxt_code]],"시가총액")/10^12</f>
        <v>0.57414195199999996</v>
      </c>
      <c r="J461" s="2">
        <f>표.실시간[[#This Row],[시가총액 (조원)]]/표.실시간[[#This Row],[현재가]]*(표.실시간[[#This Row],[현재가]]-표.실시간[[#This Row],[대비]])</f>
        <v>0.557321387</v>
      </c>
      <c r="K461" s="3">
        <f>_xll.IMDP("STK",표.실시간[[#This Row],[nxt_code]],"전일대비")</f>
        <v>750</v>
      </c>
      <c r="L461">
        <f>_xll.IMDP("STK",표.실시간[[#This Row],[nxt_code]],"등락률")</f>
        <v>3.02</v>
      </c>
      <c r="M461" s="2">
        <f>_xll.IMDP("STK",표.실시간[[#This Row],[nxt_code]],"누적거래량")</f>
        <v>63938</v>
      </c>
      <c r="N461" s="2">
        <f>_xll.IMDP("STK",표.실시간[[#This Row],[nxt_code]],"누적거래대금")/10^8</f>
        <v>16.091951000000002</v>
      </c>
      <c r="O461" s="2">
        <f>_xll.IMDP("STK",표.실시간[[#This Row],[nxt_code]],"가중평균가")</f>
        <v>25168.054991000001</v>
      </c>
      <c r="P461" s="2">
        <f>_xll.IMDP("STK",표.실시간[[#This Row],[nxt_code]],"시가")</f>
        <v>24850</v>
      </c>
      <c r="Q461" s="2">
        <f>_xll.IMDP("STK",표.실시간[[#This Row],[nxt_code]],"고가")</f>
        <v>26350</v>
      </c>
      <c r="R461" s="2">
        <f>_xll.IMDP("STK",표.실시간[[#This Row],[nxt_code]],"저가")</f>
        <v>24150</v>
      </c>
      <c r="S461">
        <f>_xll.IMDP("STK",표.실시간[[#This Row],[nxt_code]],"세션명")</f>
        <v>0</v>
      </c>
      <c r="T461">
        <f>_xll.IMDP("STK",표.실시간[[#This Row],[nxt_code]],"체결시간")</f>
        <v>0</v>
      </c>
      <c r="U461" s="2">
        <f>_xll.IMDP("STK","220100","현재가")</f>
        <v>25650</v>
      </c>
      <c r="V461">
        <f>_xll.IMDP("STK","220100","누적거래량")</f>
        <v>77834</v>
      </c>
    </row>
    <row r="462" spans="2:22" x14ac:dyDescent="0.3">
      <c r="B462">
        <v>454</v>
      </c>
      <c r="C462">
        <v>1</v>
      </c>
      <c r="D462">
        <f>IF(IFERROR(INDEX(표.kospi200[code],MATCH(표.실시간[[#This Row],[코드]],표.kospi200[code],0)),0)=0,0,1)</f>
        <v>0</v>
      </c>
      <c r="E462" t="s">
        <v>467</v>
      </c>
      <c r="F462">
        <v>1500</v>
      </c>
      <c r="G462" t="str">
        <f>ConvertStockCode(표.실시간[[#This Row],[코드]])</f>
        <v>N001500</v>
      </c>
      <c r="H462" s="2">
        <f>_xll.IMDP("STK",표.실시간[[#This Row],[nxt_code]],"현재가")</f>
        <v>9270</v>
      </c>
      <c r="I462" s="2">
        <f>_xll.IMDP("STK",표.실시간[[#This Row],[nxt_code]],"시가총액")/10^12</f>
        <v>0.57319231788000002</v>
      </c>
      <c r="J462" s="2">
        <f>표.실시간[[#This Row],[시가총액 (조원)]]/표.실시간[[#This Row],[현재가]]*(표.실시간[[#This Row],[현재가]]-표.실시간[[#This Row],[대비]])</f>
        <v>0.59236056152000005</v>
      </c>
      <c r="K462" s="3">
        <f>_xll.IMDP("STK",표.실시간[[#This Row],[nxt_code]],"전일대비")</f>
        <v>-310</v>
      </c>
      <c r="L462">
        <f>_xll.IMDP("STK",표.실시간[[#This Row],[nxt_code]],"등락률")</f>
        <v>-2.63</v>
      </c>
      <c r="M462" s="2">
        <f>_xll.IMDP("STK",표.실시간[[#This Row],[nxt_code]],"누적거래량")</f>
        <v>39486</v>
      </c>
      <c r="N462" s="2">
        <f>_xll.IMDP("STK",표.실시간[[#This Row],[nxt_code]],"누적거래대금")/10^8</f>
        <v>3.6850331999999999</v>
      </c>
      <c r="O462" s="2">
        <f>_xll.IMDP("STK",표.실시간[[#This Row],[nxt_code]],"가중평균가")</f>
        <v>9332.5056980000008</v>
      </c>
      <c r="P462" s="2">
        <f>_xll.IMDP("STK",표.실시간[[#This Row],[nxt_code]],"시가")</f>
        <v>9510</v>
      </c>
      <c r="Q462" s="2">
        <f>_xll.IMDP("STK",표.실시간[[#This Row],[nxt_code]],"고가")</f>
        <v>9510</v>
      </c>
      <c r="R462" s="2">
        <f>_xll.IMDP("STK",표.실시간[[#This Row],[nxt_code]],"저가")</f>
        <v>9170</v>
      </c>
      <c r="S462">
        <f>_xll.IMDP("STK",표.실시간[[#This Row],[nxt_code]],"세션명")</f>
        <v>0</v>
      </c>
      <c r="T462">
        <f>_xll.IMDP("STK",표.실시간[[#This Row],[nxt_code]],"체결시간")</f>
        <v>0</v>
      </c>
      <c r="U462" s="2">
        <f>_xll.IMDP("STK","001500","현재가")</f>
        <v>9270</v>
      </c>
      <c r="V462">
        <f>_xll.IMDP("STK","001500","누적거래량")</f>
        <v>34243</v>
      </c>
    </row>
    <row r="463" spans="2:22" x14ac:dyDescent="0.3">
      <c r="B463">
        <v>455</v>
      </c>
      <c r="C463">
        <v>0</v>
      </c>
      <c r="D463">
        <f>IF(IFERROR(INDEX(표.kospi200[code],MATCH(표.실시간[[#This Row],[코드]],표.kospi200[code],0)),0)=0,0,1)</f>
        <v>0</v>
      </c>
      <c r="E463" t="s">
        <v>468</v>
      </c>
      <c r="F463">
        <v>475400</v>
      </c>
      <c r="G463" t="str">
        <f>ConvertStockCode(표.실시간[[#This Row],[코드]])</f>
        <v>N475400</v>
      </c>
      <c r="H463" s="2">
        <f>_xll.IMDP("STK",표.실시간[[#This Row],[nxt_code]],"현재가")</f>
        <v>43800</v>
      </c>
      <c r="I463" s="2">
        <f>_xll.IMDP("STK",표.실시간[[#This Row],[nxt_code]],"시가총액")/10^12</f>
        <v>0.51253279559999998</v>
      </c>
      <c r="J463" s="2">
        <f>표.실시간[[#This Row],[시가총액 (조원)]]/표.실시간[[#This Row],[현재가]]*(표.실시간[[#This Row],[현재가]]-표.실시간[[#This Row],[대비]])</f>
        <v>0.4926399702</v>
      </c>
      <c r="K463" s="3">
        <f>_xll.IMDP("STK",표.실시간[[#This Row],[nxt_code]],"전일대비")</f>
        <v>1700</v>
      </c>
      <c r="L463">
        <f>_xll.IMDP("STK",표.실시간[[#This Row],[nxt_code]],"등락률")</f>
        <v>4.16</v>
      </c>
      <c r="M463" s="2">
        <f>_xll.IMDP("STK",표.실시간[[#This Row],[nxt_code]],"누적거래량")</f>
        <v>425153</v>
      </c>
      <c r="N463" s="2">
        <f>_xll.IMDP("STK",표.실시간[[#This Row],[nxt_code]],"누적거래대금")/10^8</f>
        <v>185.0088275</v>
      </c>
      <c r="O463" s="2">
        <f>_xll.IMDP("STK",표.실시간[[#This Row],[nxt_code]],"가중평균가")</f>
        <v>43515.823127000003</v>
      </c>
      <c r="P463" s="2">
        <f>_xll.IMDP("STK",표.실시간[[#This Row],[nxt_code]],"시가")</f>
        <v>42500</v>
      </c>
      <c r="Q463" s="2">
        <f>_xll.IMDP("STK",표.실시간[[#This Row],[nxt_code]],"고가")</f>
        <v>44900</v>
      </c>
      <c r="R463" s="2">
        <f>_xll.IMDP("STK",표.실시간[[#This Row],[nxt_code]],"저가")</f>
        <v>41700</v>
      </c>
      <c r="S463">
        <f>_xll.IMDP("STK",표.실시간[[#This Row],[nxt_code]],"세션명")</f>
        <v>0</v>
      </c>
      <c r="T463">
        <f>_xll.IMDP("STK",표.실시간[[#This Row],[nxt_code]],"체결시간")</f>
        <v>0</v>
      </c>
      <c r="U463" s="2">
        <f>_xll.IMDP("STK","475400","현재가")</f>
        <v>43950</v>
      </c>
      <c r="V463">
        <f>_xll.IMDP("STK","475400","누적거래량")</f>
        <v>75579</v>
      </c>
    </row>
    <row r="464" spans="2:22" x14ac:dyDescent="0.3">
      <c r="B464">
        <v>456</v>
      </c>
      <c r="C464">
        <v>1</v>
      </c>
      <c r="D464">
        <f>IF(IFERROR(INDEX(표.kospi200[code],MATCH(표.실시간[[#This Row],[코드]],표.kospi200[code],0)),0)=0,0,1)</f>
        <v>0</v>
      </c>
      <c r="E464" t="s">
        <v>469</v>
      </c>
      <c r="F464">
        <v>33240</v>
      </c>
      <c r="G464" t="str">
        <f>ConvertStockCode(표.실시간[[#This Row],[코드]])</f>
        <v>N033240</v>
      </c>
      <c r="H464" s="2">
        <f>_xll.IMDP("STK",표.실시간[[#This Row],[nxt_code]],"현재가")</f>
        <v>30700</v>
      </c>
      <c r="I464" s="2">
        <f>_xll.IMDP("STK",표.실시간[[#This Row],[nxt_code]],"시가총액")/10^12</f>
        <v>0.66792872520000002</v>
      </c>
      <c r="J464" s="2">
        <f>표.실시간[[#This Row],[시가총액 (조원)]]/표.실시간[[#This Row],[현재가]]*(표.실시간[[#This Row],[현재가]]-표.실시간[[#This Row],[대비]])</f>
        <v>0.65161124819999994</v>
      </c>
      <c r="K464" s="3">
        <f>_xll.IMDP("STK",표.실시간[[#This Row],[nxt_code]],"전일대비")</f>
        <v>750</v>
      </c>
      <c r="L464">
        <f>_xll.IMDP("STK",표.실시간[[#This Row],[nxt_code]],"등락률")</f>
        <v>2.33</v>
      </c>
      <c r="M464" s="2">
        <f>_xll.IMDP("STK",표.실시간[[#This Row],[nxt_code]],"누적거래량")</f>
        <v>164813</v>
      </c>
      <c r="N464" s="2">
        <f>_xll.IMDP("STK",표.실시간[[#This Row],[nxt_code]],"누적거래대금")/10^8</f>
        <v>49.369816</v>
      </c>
      <c r="O464" s="2">
        <f>_xll.IMDP("STK",표.실시간[[#This Row],[nxt_code]],"가중평균가")</f>
        <v>29955.049662000001</v>
      </c>
      <c r="P464" s="2">
        <f>_xll.IMDP("STK",표.실시간[[#This Row],[nxt_code]],"시가")</f>
        <v>29700</v>
      </c>
      <c r="Q464" s="2">
        <f>_xll.IMDP("STK",표.실시간[[#This Row],[nxt_code]],"고가")</f>
        <v>31250</v>
      </c>
      <c r="R464" s="2">
        <f>_xll.IMDP("STK",표.실시간[[#This Row],[nxt_code]],"저가")</f>
        <v>29000</v>
      </c>
      <c r="S464">
        <f>_xll.IMDP("STK",표.실시간[[#This Row],[nxt_code]],"세션명")</f>
        <v>0</v>
      </c>
      <c r="T464">
        <f>_xll.IMDP("STK",표.실시간[[#This Row],[nxt_code]],"체결시간")</f>
        <v>0</v>
      </c>
      <c r="U464" s="2">
        <f>_xll.IMDP("STK","033240","현재가")</f>
        <v>30850</v>
      </c>
      <c r="V464">
        <f>_xll.IMDP("STK","033240","누적거래량")</f>
        <v>120076</v>
      </c>
    </row>
    <row r="465" spans="2:22" x14ac:dyDescent="0.3">
      <c r="B465">
        <v>457</v>
      </c>
      <c r="C465">
        <v>1</v>
      </c>
      <c r="D465">
        <f>IF(IFERROR(INDEX(표.kospi200[code],MATCH(표.실시간[[#This Row],[코드]],표.kospi200[code],0)),0)=0,0,1)</f>
        <v>0</v>
      </c>
      <c r="E465" t="s">
        <v>470</v>
      </c>
      <c r="F465">
        <v>16590</v>
      </c>
      <c r="G465" t="str">
        <f>ConvertStockCode(표.실시간[[#This Row],[코드]])</f>
        <v>N016590</v>
      </c>
      <c r="H465" s="2">
        <f>_xll.IMDP("STK",표.실시간[[#This Row],[nxt_code]],"현재가")</f>
        <v>12230</v>
      </c>
      <c r="I465" s="2">
        <f>_xll.IMDP("STK",표.실시간[[#This Row],[nxt_code]],"시가총액")/10^12</f>
        <v>0.49284233859999999</v>
      </c>
      <c r="J465" s="2">
        <f>표.실시간[[#This Row],[시가총액 (조원)]]/표.실시간[[#This Row],[현재가]]*(표.실시간[[#This Row],[현재가]]-표.실시간[[#This Row],[대비]])</f>
        <v>0.47632023239999999</v>
      </c>
      <c r="K465" s="3">
        <f>_xll.IMDP("STK",표.실시간[[#This Row],[nxt_code]],"전일대비")</f>
        <v>410</v>
      </c>
      <c r="L465">
        <f>_xll.IMDP("STK",표.실시간[[#This Row],[nxt_code]],"등락률")</f>
        <v>3.47</v>
      </c>
      <c r="M465" s="2">
        <f>_xll.IMDP("STK",표.실시간[[#This Row],[nxt_code]],"누적거래량")</f>
        <v>9</v>
      </c>
      <c r="N465" s="2">
        <f>_xll.IMDP("STK",표.실시간[[#This Row],[nxt_code]],"누적거래대금")/10^8</f>
        <v>1.1008999999999999E-3</v>
      </c>
      <c r="O465" s="2">
        <f>_xll.IMDP("STK",표.실시간[[#This Row],[nxt_code]],"가중평균가")</f>
        <v>12232.222222</v>
      </c>
      <c r="P465" s="2">
        <f>_xll.IMDP("STK",표.실시간[[#This Row],[nxt_code]],"시가")</f>
        <v>12240</v>
      </c>
      <c r="Q465" s="2">
        <f>_xll.IMDP("STK",표.실시간[[#This Row],[nxt_code]],"고가")</f>
        <v>12240</v>
      </c>
      <c r="R465" s="2">
        <f>_xll.IMDP("STK",표.실시간[[#This Row],[nxt_code]],"저가")</f>
        <v>12230</v>
      </c>
      <c r="S465">
        <f>_xll.IMDP("STK",표.실시간[[#This Row],[nxt_code]],"세션명")</f>
        <v>0</v>
      </c>
      <c r="T465">
        <f>_xll.IMDP("STK",표.실시간[[#This Row],[nxt_code]],"체결시간")</f>
        <v>0</v>
      </c>
      <c r="U465" s="2">
        <f>_xll.IMDP("STK","016590","현재가")</f>
        <v>11850</v>
      </c>
      <c r="V465">
        <f>_xll.IMDP("STK","016590","누적거래량")</f>
        <v>1121</v>
      </c>
    </row>
    <row r="466" spans="2:22" x14ac:dyDescent="0.3">
      <c r="B466">
        <v>458</v>
      </c>
      <c r="C466">
        <v>0</v>
      </c>
      <c r="D466">
        <f>IF(IFERROR(INDEX(표.kospi200[code],MATCH(표.실시간[[#This Row],[코드]],표.kospi200[code],0)),0)=0,0,1)</f>
        <v>0</v>
      </c>
      <c r="E466" t="s">
        <v>471</v>
      </c>
      <c r="F466">
        <v>89010</v>
      </c>
      <c r="G466" t="str">
        <f>ConvertStockCode(표.실시간[[#This Row],[코드]])</f>
        <v>N089010</v>
      </c>
      <c r="H466" s="2">
        <f>_xll.IMDP("STK",표.실시간[[#This Row],[nxt_code]],"현재가")</f>
        <v>35900</v>
      </c>
      <c r="I466" s="2">
        <f>_xll.IMDP("STK",표.실시간[[#This Row],[nxt_code]],"시가총액")/10^12</f>
        <v>0.59230045875000004</v>
      </c>
      <c r="J466" s="2">
        <f>표.실시간[[#This Row],[시가총액 (조원)]]/표.실시간[[#This Row],[현재가]]*(표.실시간[[#This Row],[현재가]]-표.실시간[[#This Row],[대비]])</f>
        <v>0.58075142473537611</v>
      </c>
      <c r="K466" s="3">
        <f>_xll.IMDP("STK",표.실시간[[#This Row],[nxt_code]],"전일대비")</f>
        <v>700</v>
      </c>
      <c r="L466">
        <f>_xll.IMDP("STK",표.실시간[[#This Row],[nxt_code]],"등락률")</f>
        <v>2.98</v>
      </c>
      <c r="M466" s="2">
        <f>_xll.IMDP("STK",표.실시간[[#This Row],[nxt_code]],"누적거래량")</f>
        <v>241493</v>
      </c>
      <c r="N466" s="2">
        <f>_xll.IMDP("STK",표.실시간[[#This Row],[nxt_code]],"누적거래대금")/10^8</f>
        <v>85.674999</v>
      </c>
      <c r="O466" s="2">
        <f>_xll.IMDP("STK",표.실시간[[#This Row],[nxt_code]],"가중평균가")</f>
        <v>35477.218387000001</v>
      </c>
      <c r="P466" s="2">
        <f>_xll.IMDP("STK",표.실시간[[#This Row],[nxt_code]],"시가")</f>
        <v>35150</v>
      </c>
      <c r="Q466" s="2">
        <f>_xll.IMDP("STK",표.실시간[[#This Row],[nxt_code]],"고가")</f>
        <v>36450</v>
      </c>
      <c r="R466" s="2">
        <f>_xll.IMDP("STK",표.실시간[[#This Row],[nxt_code]],"저가")</f>
        <v>34100</v>
      </c>
      <c r="S466">
        <f>_xll.IMDP("STK",표.실시간[[#This Row],[nxt_code]],"세션명")</f>
        <v>0</v>
      </c>
      <c r="T466">
        <f>_xll.IMDP("STK",표.실시간[[#This Row],[nxt_code]],"체결시간")</f>
        <v>0</v>
      </c>
      <c r="U466" s="2">
        <f>_xll.IMDP("STK","089010","현재가")</f>
        <v>36250</v>
      </c>
      <c r="V466">
        <f>_xll.IMDP("STK","089010","누적거래량")</f>
        <v>77488</v>
      </c>
    </row>
    <row r="467" spans="2:22" x14ac:dyDescent="0.3">
      <c r="B467">
        <v>459</v>
      </c>
      <c r="C467">
        <v>1</v>
      </c>
      <c r="D467">
        <f>IF(IFERROR(INDEX(표.kospi200[code],MATCH(표.실시간[[#This Row],[코드]],표.kospi200[code],0)),0)=0,0,1)</f>
        <v>0</v>
      </c>
      <c r="E467" t="s">
        <v>472</v>
      </c>
      <c r="F467">
        <v>9900</v>
      </c>
      <c r="G467" t="str">
        <f>ConvertStockCode(표.실시간[[#This Row],[코드]])</f>
        <v>N009900</v>
      </c>
      <c r="H467" s="2">
        <f>_xll.IMDP("STK",표.실시간[[#This Row],[nxt_code]],"현재가")</f>
        <v>9130</v>
      </c>
      <c r="I467" s="2">
        <f>_xll.IMDP("STK",표.실시간[[#This Row],[nxt_code]],"시가총액")/10^12</f>
        <v>0.47905231429</v>
      </c>
      <c r="J467" s="2">
        <f>표.실시간[[#This Row],[시가총액 (조원)]]/표.실시간[[#This Row],[현재가]]*(표.실시간[[#This Row],[현재가]]-표.실시간[[#This Row],[대비]])</f>
        <v>0.48062641828000002</v>
      </c>
      <c r="K467" s="3">
        <f>_xll.IMDP("STK",표.실시간[[#This Row],[nxt_code]],"전일대비")</f>
        <v>-30</v>
      </c>
      <c r="L467">
        <f>_xll.IMDP("STK",표.실시간[[#This Row],[nxt_code]],"등락률")</f>
        <v>-0.33</v>
      </c>
      <c r="M467" s="2">
        <f>_xll.IMDP("STK",표.실시간[[#This Row],[nxt_code]],"누적거래량")</f>
        <v>26478</v>
      </c>
      <c r="N467" s="2">
        <f>_xll.IMDP("STK",표.실시간[[#This Row],[nxt_code]],"누적거래대금")/10^8</f>
        <v>2.3977735</v>
      </c>
      <c r="O467" s="2">
        <f>_xll.IMDP("STK",표.실시간[[#This Row],[nxt_code]],"가중평균가")</f>
        <v>9090.2012990000003</v>
      </c>
      <c r="P467" s="2">
        <f>_xll.IMDP("STK",표.실시간[[#This Row],[nxt_code]],"시가")</f>
        <v>9230</v>
      </c>
      <c r="Q467" s="2">
        <f>_xll.IMDP("STK",표.실시간[[#This Row],[nxt_code]],"고가")</f>
        <v>9230</v>
      </c>
      <c r="R467" s="2">
        <f>_xll.IMDP("STK",표.실시간[[#This Row],[nxt_code]],"저가")</f>
        <v>9010</v>
      </c>
      <c r="S467">
        <f>_xll.IMDP("STK",표.실시간[[#This Row],[nxt_code]],"세션명")</f>
        <v>0</v>
      </c>
      <c r="T467">
        <f>_xll.IMDP("STK",표.실시간[[#This Row],[nxt_code]],"체결시간")</f>
        <v>0</v>
      </c>
      <c r="U467" s="2">
        <f>_xll.IMDP("STK","009900","현재가")</f>
        <v>9120</v>
      </c>
      <c r="V467">
        <f>_xll.IMDP("STK","009900","누적거래량")</f>
        <v>19305</v>
      </c>
    </row>
    <row r="468" spans="2:22" x14ac:dyDescent="0.3">
      <c r="B468">
        <v>460</v>
      </c>
      <c r="C468">
        <v>1</v>
      </c>
      <c r="D468">
        <f>IF(IFERROR(INDEX(표.kospi200[code],MATCH(표.실시간[[#This Row],[코드]],표.kospi200[code],0)),0)=0,0,1)</f>
        <v>0</v>
      </c>
      <c r="E468" t="s">
        <v>473</v>
      </c>
      <c r="F468">
        <v>4690</v>
      </c>
      <c r="G468" t="str">
        <f>ConvertStockCode(표.실시간[[#This Row],[코드]])</f>
        <v>N004690</v>
      </c>
      <c r="H468" s="2">
        <f>_xll.IMDP("STK",표.실시간[[#This Row],[nxt_code]],"현재가")</f>
        <v>141400</v>
      </c>
      <c r="I468" s="2">
        <f>_xll.IMDP("STK",표.실시간[[#This Row],[nxt_code]],"시가총액")/10^12</f>
        <v>0.57338053499999997</v>
      </c>
      <c r="J468" s="2">
        <f>표.실시간[[#This Row],[시가총액 (조원)]]/표.실시간[[#This Row],[현재가]]*(표.실시간[[#This Row],[현재가]]-표.실시간[[#This Row],[대비]])</f>
        <v>0.58230159000000004</v>
      </c>
      <c r="K468" s="3">
        <f>_xll.IMDP("STK",표.실시간[[#This Row],[nxt_code]],"전일대비")</f>
        <v>-2200</v>
      </c>
      <c r="L468">
        <f>_xll.IMDP("STK",표.실시간[[#This Row],[nxt_code]],"등락률")</f>
        <v>-1.53</v>
      </c>
      <c r="M468" s="2">
        <f>_xll.IMDP("STK",표.실시간[[#This Row],[nxt_code]],"누적거래량")</f>
        <v>4153</v>
      </c>
      <c r="N468" s="2">
        <f>_xll.IMDP("STK",표.실시간[[#This Row],[nxt_code]],"누적거래대금")/10^8</f>
        <v>5.8578650000000003</v>
      </c>
      <c r="O468" s="2">
        <f>_xll.IMDP("STK",표.실시간[[#This Row],[nxt_code]],"가중평균가")</f>
        <v>141051.40862</v>
      </c>
      <c r="P468" s="2">
        <f>_xll.IMDP("STK",표.실시간[[#This Row],[nxt_code]],"시가")</f>
        <v>143000</v>
      </c>
      <c r="Q468" s="2">
        <f>_xll.IMDP("STK",표.실시간[[#This Row],[nxt_code]],"고가")</f>
        <v>143000</v>
      </c>
      <c r="R468" s="2">
        <f>_xll.IMDP("STK",표.실시간[[#This Row],[nxt_code]],"저가")</f>
        <v>140200</v>
      </c>
      <c r="S468">
        <f>_xll.IMDP("STK",표.실시간[[#This Row],[nxt_code]],"세션명")</f>
        <v>0</v>
      </c>
      <c r="T468">
        <f>_xll.IMDP("STK",표.실시간[[#This Row],[nxt_code]],"체결시간")</f>
        <v>0</v>
      </c>
      <c r="U468" s="2">
        <f>_xll.IMDP("STK","004690","현재가")</f>
        <v>141000</v>
      </c>
      <c r="V468">
        <f>_xll.IMDP("STK","004690","누적거래량")</f>
        <v>3008</v>
      </c>
    </row>
    <row r="469" spans="2:22" x14ac:dyDescent="0.3">
      <c r="B469">
        <v>461</v>
      </c>
      <c r="C469">
        <v>1</v>
      </c>
      <c r="D469">
        <f>IF(IFERROR(INDEX(표.kospi200[code],MATCH(표.실시간[[#This Row],[코드]],표.kospi200[code],0)),0)=0,0,1)</f>
        <v>1</v>
      </c>
      <c r="E469" t="s">
        <v>474</v>
      </c>
      <c r="F469">
        <v>3030</v>
      </c>
      <c r="G469" t="str">
        <f>ConvertStockCode(표.실시간[[#This Row],[코드]])</f>
        <v>N003030</v>
      </c>
      <c r="H469" s="2">
        <f>_xll.IMDP("STK",표.실시간[[#This Row],[nxt_code]],"현재가")</f>
        <v>133300</v>
      </c>
      <c r="I469" s="2">
        <f>_xll.IMDP("STK",표.실시간[[#This Row],[nxt_code]],"시가총액")/10^12</f>
        <v>0.55208287810000001</v>
      </c>
      <c r="J469" s="2">
        <f>표.실시간[[#This Row],[시가총액 (조원)]]/표.실시간[[#This Row],[현재가]]*(표.실시간[[#This Row],[현재가]]-표.실시간[[#This Row],[대비]])</f>
        <v>0.56326535200000005</v>
      </c>
      <c r="K469" s="3">
        <f>_xll.IMDP("STK",표.실시간[[#This Row],[nxt_code]],"전일대비")</f>
        <v>-2700</v>
      </c>
      <c r="L469">
        <f>_xll.IMDP("STK",표.실시간[[#This Row],[nxt_code]],"등락률")</f>
        <v>-1.99</v>
      </c>
      <c r="M469" s="2">
        <f>_xll.IMDP("STK",표.실시간[[#This Row],[nxt_code]],"누적거래량")</f>
        <v>189</v>
      </c>
      <c r="N469" s="2">
        <f>_xll.IMDP("STK",표.실시간[[#This Row],[nxt_code]],"누적거래대금")/10^8</f>
        <v>0.25223499999999999</v>
      </c>
      <c r="O469" s="2">
        <f>_xll.IMDP("STK",표.실시간[[#This Row],[nxt_code]],"가중평균가")</f>
        <v>133457.67195799999</v>
      </c>
      <c r="P469" s="2">
        <f>_xll.IMDP("STK",표.실시간[[#This Row],[nxt_code]],"시가")</f>
        <v>132400</v>
      </c>
      <c r="Q469" s="2">
        <f>_xll.IMDP("STK",표.실시간[[#This Row],[nxt_code]],"고가")</f>
        <v>135400</v>
      </c>
      <c r="R469" s="2">
        <f>_xll.IMDP("STK",표.실시간[[#This Row],[nxt_code]],"저가")</f>
        <v>132400</v>
      </c>
      <c r="S469">
        <f>_xll.IMDP("STK",표.실시간[[#This Row],[nxt_code]],"세션명")</f>
        <v>0</v>
      </c>
      <c r="T469">
        <f>_xll.IMDP("STK",표.실시간[[#This Row],[nxt_code]],"체결시간")</f>
        <v>0</v>
      </c>
      <c r="U469" s="2">
        <f>_xll.IMDP("STK","003030","현재가")</f>
        <v>133200</v>
      </c>
      <c r="V469">
        <f>_xll.IMDP("STK","003030","누적거래량")</f>
        <v>1200</v>
      </c>
    </row>
    <row r="470" spans="2:22" x14ac:dyDescent="0.3">
      <c r="B470">
        <v>462</v>
      </c>
      <c r="C470">
        <v>1</v>
      </c>
      <c r="D470">
        <f>IF(IFERROR(INDEX(표.kospi200[code],MATCH(표.실시간[[#This Row],[코드]],표.kospi200[code],0)),0)=0,0,1)</f>
        <v>0</v>
      </c>
      <c r="E470" t="s">
        <v>475</v>
      </c>
      <c r="F470">
        <v>145720</v>
      </c>
      <c r="G470" t="str">
        <f>ConvertStockCode(표.실시간[[#This Row],[코드]])</f>
        <v>N145720</v>
      </c>
      <c r="H470" s="2">
        <f>_xll.IMDP("STK",표.실시간[[#This Row],[nxt_code]],"현재가")</f>
        <v>46800</v>
      </c>
      <c r="I470" s="2">
        <f>_xll.IMDP("STK",표.실시간[[#This Row],[nxt_code]],"시가총액")/10^12</f>
        <v>0.51802124400000005</v>
      </c>
      <c r="J470" s="2">
        <f>표.실시간[[#This Row],[시가총액 (조원)]]/표.실시간[[#This Row],[현재가]]*(표.실시간[[#This Row],[현재가]]-표.실시간[[#This Row],[대비]])</f>
        <v>0.5318572815</v>
      </c>
      <c r="K470" s="3">
        <f>_xll.IMDP("STK",표.실시간[[#This Row],[nxt_code]],"전일대비")</f>
        <v>-1250</v>
      </c>
      <c r="L470">
        <f>_xll.IMDP("STK",표.실시간[[#This Row],[nxt_code]],"등락률")</f>
        <v>-2.7</v>
      </c>
      <c r="M470" s="2">
        <f>_xll.IMDP("STK",표.실시간[[#This Row],[nxt_code]],"누적거래량")</f>
        <v>3573</v>
      </c>
      <c r="N470" s="2">
        <f>_xll.IMDP("STK",표.실시간[[#This Row],[nxt_code]],"누적거래대금")/10^8</f>
        <v>1.744696</v>
      </c>
      <c r="O470" s="2">
        <f>_xll.IMDP("STK",표.실시간[[#This Row],[nxt_code]],"가중평균가")</f>
        <v>47179.448349999999</v>
      </c>
      <c r="P470" s="2">
        <f>_xll.IMDP("STK",표.실시간[[#This Row],[nxt_code]],"시가")</f>
        <v>48100</v>
      </c>
      <c r="Q470" s="2">
        <f>_xll.IMDP("STK",표.실시간[[#This Row],[nxt_code]],"고가")</f>
        <v>48100</v>
      </c>
      <c r="R470" s="2">
        <f>_xll.IMDP("STK",표.실시간[[#This Row],[nxt_code]],"저가")</f>
        <v>46800</v>
      </c>
      <c r="S470">
        <f>_xll.IMDP("STK",표.실시간[[#This Row],[nxt_code]],"세션명")</f>
        <v>0</v>
      </c>
      <c r="T470">
        <f>_xll.IMDP("STK",표.실시간[[#This Row],[nxt_code]],"체결시간")</f>
        <v>0</v>
      </c>
      <c r="U470" s="2">
        <f>_xll.IMDP("STK","145720","현재가")</f>
        <v>46850</v>
      </c>
      <c r="V470">
        <f>_xll.IMDP("STK","145720","누적거래량")</f>
        <v>2284</v>
      </c>
    </row>
    <row r="471" spans="2:22" x14ac:dyDescent="0.3">
      <c r="B471">
        <v>463</v>
      </c>
      <c r="C471">
        <v>1</v>
      </c>
      <c r="D471">
        <f>IF(IFERROR(INDEX(표.kospi200[code],MATCH(표.실시간[[#This Row],[코드]],표.kospi200[code],0)),0)=0,0,1)</f>
        <v>0</v>
      </c>
      <c r="E471" t="s">
        <v>476</v>
      </c>
      <c r="F471">
        <v>93050</v>
      </c>
      <c r="G471" t="str">
        <f>ConvertStockCode(표.실시간[[#This Row],[코드]])</f>
        <v>N093050</v>
      </c>
      <c r="H471" s="2">
        <f>_xll.IMDP("STK",표.실시간[[#This Row],[nxt_code]],"현재가")</f>
        <v>19020</v>
      </c>
      <c r="I471" s="2">
        <f>_xll.IMDP("STK",표.실시간[[#This Row],[nxt_code]],"시가총액")/10^12</f>
        <v>0.55614479999999999</v>
      </c>
      <c r="J471" s="2">
        <f>표.실시간[[#This Row],[시가총액 (조원)]]/표.실시간[[#This Row],[현재가]]*(표.실시간[[#This Row],[현재가]]-표.실시간[[#This Row],[대비]])</f>
        <v>0.56286999999999998</v>
      </c>
      <c r="K471" s="3">
        <f>_xll.IMDP("STK",표.실시간[[#This Row],[nxt_code]],"전일대비")</f>
        <v>-230</v>
      </c>
      <c r="L471">
        <f>_xll.IMDP("STK",표.실시간[[#This Row],[nxt_code]],"등락률")</f>
        <v>-1.19</v>
      </c>
      <c r="M471" s="2">
        <f>_xll.IMDP("STK",표.실시간[[#This Row],[nxt_code]],"누적거래량")</f>
        <v>3225</v>
      </c>
      <c r="N471" s="2">
        <f>_xll.IMDP("STK",표.실시간[[#This Row],[nxt_code]],"누적거래대금")/10^8</f>
        <v>0.61433660000000001</v>
      </c>
      <c r="O471" s="2">
        <f>_xll.IMDP("STK",표.실시간[[#This Row],[nxt_code]],"가중평균가")</f>
        <v>19049.196898999999</v>
      </c>
      <c r="P471" s="2">
        <f>_xll.IMDP("STK",표.실시간[[#This Row],[nxt_code]],"시가")</f>
        <v>19260</v>
      </c>
      <c r="Q471" s="2">
        <f>_xll.IMDP("STK",표.실시간[[#This Row],[nxt_code]],"고가")</f>
        <v>19260</v>
      </c>
      <c r="R471" s="2">
        <f>_xll.IMDP("STK",표.실시간[[#This Row],[nxt_code]],"저가")</f>
        <v>18940</v>
      </c>
      <c r="S471">
        <f>_xll.IMDP("STK",표.실시간[[#This Row],[nxt_code]],"세션명")</f>
        <v>0</v>
      </c>
      <c r="T471">
        <f>_xll.IMDP("STK",표.실시간[[#This Row],[nxt_code]],"체결시간")</f>
        <v>0</v>
      </c>
      <c r="U471" s="2">
        <f>_xll.IMDP("STK","093050","현재가")</f>
        <v>18990</v>
      </c>
      <c r="V471">
        <f>_xll.IMDP("STK","093050","누적거래량")</f>
        <v>4161</v>
      </c>
    </row>
    <row r="472" spans="2:22" x14ac:dyDescent="0.3">
      <c r="B472">
        <v>464</v>
      </c>
      <c r="C472">
        <v>0</v>
      </c>
      <c r="D472">
        <f>IF(IFERROR(INDEX(표.kospi200[code],MATCH(표.실시간[[#This Row],[코드]],표.kospi200[code],0)),0)=0,0,1)</f>
        <v>0</v>
      </c>
      <c r="E472" t="s">
        <v>477</v>
      </c>
      <c r="F472">
        <v>272290</v>
      </c>
      <c r="G472" t="str">
        <f>ConvertStockCode(표.실시간[[#This Row],[코드]])</f>
        <v>N272290</v>
      </c>
      <c r="H472" s="2">
        <f>_xll.IMDP("STK",표.실시간[[#This Row],[nxt_code]],"현재가")</f>
        <v>32200</v>
      </c>
      <c r="I472" s="2">
        <f>_xll.IMDP("STK",표.실시간[[#This Row],[nxt_code]],"시가총액")/10^12</f>
        <v>0.64167058759999995</v>
      </c>
      <c r="J472" s="2">
        <f>표.실시간[[#This Row],[시가총액 (조원)]]/표.실시간[[#This Row],[현재가]]*(표.실시간[[#This Row],[현재가]]-표.실시간[[#This Row],[대비]])</f>
        <v>0.65163441659999988</v>
      </c>
      <c r="K472" s="3">
        <f>_xll.IMDP("STK",표.실시간[[#This Row],[nxt_code]],"전일대비")</f>
        <v>-500</v>
      </c>
      <c r="L472">
        <f>_xll.IMDP("STK",표.실시간[[#This Row],[nxt_code]],"등락률")</f>
        <v>-1.53</v>
      </c>
      <c r="M472" s="2">
        <f>_xll.IMDP("STK",표.실시간[[#This Row],[nxt_code]],"누적거래량")</f>
        <v>150365</v>
      </c>
      <c r="N472" s="2">
        <f>_xll.IMDP("STK",표.실시간[[#This Row],[nxt_code]],"누적거래대금")/10^8</f>
        <v>47.294423000000002</v>
      </c>
      <c r="O472" s="2">
        <f>_xll.IMDP("STK",표.실시간[[#This Row],[nxt_code]],"가중평균가")</f>
        <v>31453.079506999999</v>
      </c>
      <c r="P472" s="2">
        <f>_xll.IMDP("STK",표.실시간[[#This Row],[nxt_code]],"시가")</f>
        <v>32000</v>
      </c>
      <c r="Q472" s="2">
        <f>_xll.IMDP("STK",표.실시간[[#This Row],[nxt_code]],"고가")</f>
        <v>32300</v>
      </c>
      <c r="R472" s="2">
        <f>_xll.IMDP("STK",표.실시간[[#This Row],[nxt_code]],"저가")</f>
        <v>30900</v>
      </c>
      <c r="S472">
        <f>_xll.IMDP("STK",표.실시간[[#This Row],[nxt_code]],"세션명")</f>
        <v>0</v>
      </c>
      <c r="T472">
        <f>_xll.IMDP("STK",표.실시간[[#This Row],[nxt_code]],"체결시간")</f>
        <v>0</v>
      </c>
      <c r="U472" s="2">
        <f>_xll.IMDP("STK","272290","현재가")</f>
        <v>32050</v>
      </c>
      <c r="V472">
        <f>_xll.IMDP("STK","272290","누적거래량")</f>
        <v>69594</v>
      </c>
    </row>
    <row r="473" spans="2:22" x14ac:dyDescent="0.3">
      <c r="B473">
        <v>465</v>
      </c>
      <c r="C473">
        <v>1</v>
      </c>
      <c r="D473">
        <f>IF(IFERROR(INDEX(표.kospi200[code],MATCH(표.실시간[[#This Row],[코드]],표.kospi200[code],0)),0)=0,0,1)</f>
        <v>0</v>
      </c>
      <c r="E473" t="s">
        <v>478</v>
      </c>
      <c r="F473">
        <v>284740</v>
      </c>
      <c r="G473" t="str">
        <f>ConvertStockCode(표.실시간[[#This Row],[코드]])</f>
        <v>N284740</v>
      </c>
      <c r="H473" s="2">
        <f>_xll.IMDP("STK",표.실시간[[#This Row],[nxt_code]],"현재가")</f>
        <v>23100</v>
      </c>
      <c r="I473" s="2">
        <f>_xll.IMDP("STK",표.실시간[[#This Row],[nxt_code]],"시가총액")/10^12</f>
        <v>0.51830232300000001</v>
      </c>
      <c r="J473" s="2">
        <f>표.실시간[[#This Row],[시가총액 (조원)]]/표.실시간[[#This Row],[현재가]]*(표.실시간[[#This Row],[현재가]]-표.실시간[[#This Row],[대비]])</f>
        <v>0.52839912150000001</v>
      </c>
      <c r="K473" s="3">
        <f>_xll.IMDP("STK",표.실시간[[#This Row],[nxt_code]],"전일대비")</f>
        <v>-450</v>
      </c>
      <c r="L473">
        <f>_xll.IMDP("STK",표.실시간[[#This Row],[nxt_code]],"등락률")</f>
        <v>-1.91</v>
      </c>
      <c r="M473" s="2">
        <f>_xll.IMDP("STK",표.실시간[[#This Row],[nxt_code]],"누적거래량")</f>
        <v>794</v>
      </c>
      <c r="N473" s="2">
        <f>_xll.IMDP("STK",표.실시간[[#This Row],[nxt_code]],"누적거래대금")/10^8</f>
        <v>0.18363599999999999</v>
      </c>
      <c r="O473" s="2">
        <f>_xll.IMDP("STK",표.실시간[[#This Row],[nxt_code]],"가중평균가")</f>
        <v>23127.959697999999</v>
      </c>
      <c r="P473" s="2">
        <f>_xll.IMDP("STK",표.실시간[[#This Row],[nxt_code]],"시가")</f>
        <v>23450</v>
      </c>
      <c r="Q473" s="2">
        <f>_xll.IMDP("STK",표.실시간[[#This Row],[nxt_code]],"고가")</f>
        <v>23450</v>
      </c>
      <c r="R473" s="2">
        <f>_xll.IMDP("STK",표.실시간[[#This Row],[nxt_code]],"저가")</f>
        <v>23050</v>
      </c>
      <c r="S473">
        <f>_xll.IMDP("STK",표.실시간[[#This Row],[nxt_code]],"세션명")</f>
        <v>0</v>
      </c>
      <c r="T473">
        <f>_xll.IMDP("STK",표.실시간[[#This Row],[nxt_code]],"체결시간")</f>
        <v>0</v>
      </c>
      <c r="U473" s="2">
        <f>_xll.IMDP("STK","284740","현재가")</f>
        <v>23100</v>
      </c>
      <c r="V473">
        <f>_xll.IMDP("STK","284740","누적거래량")</f>
        <v>441</v>
      </c>
    </row>
    <row r="474" spans="2:22" x14ac:dyDescent="0.3">
      <c r="B474">
        <v>466</v>
      </c>
      <c r="C474">
        <v>0</v>
      </c>
      <c r="D474">
        <f>IF(IFERROR(INDEX(표.kospi200[code],MATCH(표.실시간[[#This Row],[코드]],표.kospi200[code],0)),0)=0,0,1)</f>
        <v>0</v>
      </c>
      <c r="E474" t="s">
        <v>479</v>
      </c>
      <c r="F474">
        <v>199800</v>
      </c>
      <c r="G474" t="str">
        <f>ConvertStockCode(표.실시간[[#This Row],[코드]])</f>
        <v>N199800</v>
      </c>
      <c r="H474" s="2">
        <f>_xll.IMDP("STK",표.실시간[[#This Row],[nxt_code]],"현재가")</f>
        <v>61500</v>
      </c>
      <c r="I474" s="2">
        <f>_xll.IMDP("STK",표.실시간[[#This Row],[nxt_code]],"시가총액")/10^12</f>
        <v>0.5519647755</v>
      </c>
      <c r="J474" s="2">
        <f>표.실시간[[#This Row],[시가총액 (조원)]]/표.실시간[[#This Row],[현재가]]*(표.실시간[[#This Row],[현재가]]-표.실시간[[#This Row],[대비]])</f>
        <v>0.54478474590000003</v>
      </c>
      <c r="K474" s="3">
        <f>_xll.IMDP("STK",표.실시간[[#This Row],[nxt_code]],"전일대비")</f>
        <v>800</v>
      </c>
      <c r="L474">
        <f>_xll.IMDP("STK",표.실시간[[#This Row],[nxt_code]],"등락률")</f>
        <v>1.32</v>
      </c>
      <c r="M474" s="2">
        <f>_xll.IMDP("STK",표.실시간[[#This Row],[nxt_code]],"누적거래량")</f>
        <v>10951</v>
      </c>
      <c r="N474" s="2">
        <f>_xll.IMDP("STK",표.실시간[[#This Row],[nxt_code]],"누적거래대금")/10^8</f>
        <v>6.6560360000000003</v>
      </c>
      <c r="O474" s="2">
        <f>_xll.IMDP("STK",표.실시간[[#This Row],[nxt_code]],"가중평균가")</f>
        <v>60780.166194999998</v>
      </c>
      <c r="P474" s="2">
        <f>_xll.IMDP("STK",표.실시간[[#This Row],[nxt_code]],"시가")</f>
        <v>60000</v>
      </c>
      <c r="Q474" s="2">
        <f>_xll.IMDP("STK",표.실시간[[#This Row],[nxt_code]],"고가")</f>
        <v>67600</v>
      </c>
      <c r="R474" s="2">
        <f>_xll.IMDP("STK",표.실시간[[#This Row],[nxt_code]],"저가")</f>
        <v>59000</v>
      </c>
      <c r="S474">
        <f>_xll.IMDP("STK",표.실시간[[#This Row],[nxt_code]],"세션명")</f>
        <v>0</v>
      </c>
      <c r="T474">
        <f>_xll.IMDP("STK",표.실시간[[#This Row],[nxt_code]],"체결시간")</f>
        <v>0</v>
      </c>
      <c r="U474" s="2">
        <f>_xll.IMDP("STK","199800","현재가")</f>
        <v>62100</v>
      </c>
      <c r="V474">
        <f>_xll.IMDP("STK","199800","누적거래량")</f>
        <v>7292</v>
      </c>
    </row>
    <row r="475" spans="2:22" x14ac:dyDescent="0.3">
      <c r="B475">
        <v>467</v>
      </c>
      <c r="C475">
        <v>0</v>
      </c>
      <c r="D475">
        <f>IF(IFERROR(INDEX(표.kospi200[code],MATCH(표.실시간[[#This Row],[코드]],표.kospi200[code],0)),0)=0,0,1)</f>
        <v>0</v>
      </c>
      <c r="E475" t="s">
        <v>480</v>
      </c>
      <c r="F475">
        <v>101730</v>
      </c>
      <c r="G475" t="str">
        <f>ConvertStockCode(표.실시간[[#This Row],[코드]])</f>
        <v>N101730</v>
      </c>
      <c r="H475" s="2">
        <f>_xll.IMDP("STK",표.실시간[[#This Row],[nxt_code]],"현재가")</f>
        <v>7170</v>
      </c>
      <c r="I475" s="2">
        <f>_xll.IMDP("STK",표.실시간[[#This Row],[nxt_code]],"시가총액")/10^12</f>
        <v>0.60086956061999997</v>
      </c>
      <c r="J475" s="2">
        <f>표.실시간[[#This Row],[시가총액 (조원)]]/표.실시간[[#This Row],[현재가]]*(표.실시간[[#This Row],[현재가]]-표.실시간[[#This Row],[대비]])</f>
        <v>0.64779940077999998</v>
      </c>
      <c r="K475" s="3">
        <f>_xll.IMDP("STK",표.실시간[[#This Row],[nxt_code]],"전일대비")</f>
        <v>-560</v>
      </c>
      <c r="L475">
        <f>_xll.IMDP("STK",표.실시간[[#This Row],[nxt_code]],"등락률")</f>
        <v>-7.6</v>
      </c>
      <c r="M475" s="2">
        <f>_xll.IMDP("STK",표.실시간[[#This Row],[nxt_code]],"누적거래량")</f>
        <v>35987</v>
      </c>
      <c r="N475" s="2">
        <f>_xll.IMDP("STK",표.실시간[[#This Row],[nxt_code]],"누적거래대금")/10^8</f>
        <v>2.6498433000000001</v>
      </c>
      <c r="O475" s="2">
        <f>_xll.IMDP("STK",표.실시간[[#This Row],[nxt_code]],"가중평균가")</f>
        <v>7360.0624950000001</v>
      </c>
      <c r="P475" s="2">
        <f>_xll.IMDP("STK",표.실시간[[#This Row],[nxt_code]],"시가")</f>
        <v>7820</v>
      </c>
      <c r="Q475" s="2">
        <f>_xll.IMDP("STK",표.실시간[[#This Row],[nxt_code]],"고가")</f>
        <v>7820</v>
      </c>
      <c r="R475" s="2">
        <f>_xll.IMDP("STK",표.실시간[[#This Row],[nxt_code]],"저가")</f>
        <v>6810</v>
      </c>
      <c r="S475">
        <f>_xll.IMDP("STK",표.실시간[[#This Row],[nxt_code]],"세션명")</f>
        <v>0</v>
      </c>
      <c r="T475">
        <f>_xll.IMDP("STK",표.실시간[[#This Row],[nxt_code]],"체결시간")</f>
        <v>0</v>
      </c>
      <c r="U475" s="2">
        <f>_xll.IMDP("STK","101730","현재가")</f>
        <v>7230</v>
      </c>
      <c r="V475">
        <f>_xll.IMDP("STK","101730","누적거래량")</f>
        <v>47647</v>
      </c>
    </row>
    <row r="476" spans="2:22" x14ac:dyDescent="0.3">
      <c r="B476">
        <v>468</v>
      </c>
      <c r="C476">
        <v>0</v>
      </c>
      <c r="D476">
        <f>IF(IFERROR(INDEX(표.kospi200[code],MATCH(표.실시간[[#This Row],[코드]],표.kospi200[code],0)),0)=0,0,1)</f>
        <v>0</v>
      </c>
      <c r="E476" t="s">
        <v>481</v>
      </c>
      <c r="F476">
        <v>25320</v>
      </c>
      <c r="G476" t="str">
        <f>ConvertStockCode(표.실시간[[#This Row],[코드]])</f>
        <v>N025320</v>
      </c>
      <c r="H476" s="2">
        <f>_xll.IMDP("STK",표.실시간[[#This Row],[nxt_code]],"현재가")</f>
        <v>7760</v>
      </c>
      <c r="I476" s="2">
        <f>_xll.IMDP("STK",표.실시간[[#This Row],[nxt_code]],"시가총액")/10^12</f>
        <v>0.71484734327999999</v>
      </c>
      <c r="J476" s="2">
        <f>표.실시간[[#This Row],[시가총액 (조원)]]/표.실시간[[#This Row],[현재가]]*(표.실시간[[#This Row],[현재가]]-표.실시간[[#This Row],[대비]])</f>
        <v>0.70563539298</v>
      </c>
      <c r="K476" s="3">
        <f>_xll.IMDP("STK",표.실시간[[#This Row],[nxt_code]],"전일대비")</f>
        <v>100</v>
      </c>
      <c r="L476">
        <f>_xll.IMDP("STK",표.실시간[[#This Row],[nxt_code]],"등락률")</f>
        <v>1.31</v>
      </c>
      <c r="M476" s="2">
        <f>_xll.IMDP("STK",표.실시간[[#This Row],[nxt_code]],"누적거래량")</f>
        <v>309208</v>
      </c>
      <c r="N476" s="2">
        <f>_xll.IMDP("STK",표.실시간[[#This Row],[nxt_code]],"누적거래대금")/10^8</f>
        <v>23.340869600000001</v>
      </c>
      <c r="O476" s="2">
        <f>_xll.IMDP("STK",표.실시간[[#This Row],[nxt_code]],"가중평균가")</f>
        <v>7548.5982249999997</v>
      </c>
      <c r="P476" s="2">
        <f>_xll.IMDP("STK",표.실시간[[#This Row],[nxt_code]],"시가")</f>
        <v>7660</v>
      </c>
      <c r="Q476" s="2">
        <f>_xll.IMDP("STK",표.실시간[[#This Row],[nxt_code]],"고가")</f>
        <v>7790</v>
      </c>
      <c r="R476" s="2">
        <f>_xll.IMDP("STK",표.실시간[[#This Row],[nxt_code]],"저가")</f>
        <v>7370</v>
      </c>
      <c r="S476">
        <f>_xll.IMDP("STK",표.실시간[[#This Row],[nxt_code]],"세션명")</f>
        <v>0</v>
      </c>
      <c r="T476">
        <f>_xll.IMDP("STK",표.실시간[[#This Row],[nxt_code]],"체결시간")</f>
        <v>0</v>
      </c>
      <c r="U476" s="2">
        <f>_xll.IMDP("STK","025320","현재가")</f>
        <v>7780</v>
      </c>
      <c r="V476">
        <f>_xll.IMDP("STK","025320","누적거래량")</f>
        <v>172583</v>
      </c>
    </row>
    <row r="477" spans="2:22" x14ac:dyDescent="0.3">
      <c r="B477">
        <v>469</v>
      </c>
      <c r="C477">
        <v>0</v>
      </c>
      <c r="D477">
        <f>IF(IFERROR(INDEX(표.kospi200[code],MATCH(표.실시간[[#This Row],[코드]],표.kospi200[code],0)),0)=0,0,1)</f>
        <v>0</v>
      </c>
      <c r="E477" t="s">
        <v>482</v>
      </c>
      <c r="F477">
        <v>253590</v>
      </c>
      <c r="G477" t="str">
        <f>ConvertStockCode(표.실시간[[#This Row],[코드]])</f>
        <v>N253590</v>
      </c>
      <c r="H477" s="2">
        <f>_xll.IMDP("STK",표.실시간[[#This Row],[nxt_code]],"현재가")</f>
        <v>15550</v>
      </c>
      <c r="I477" s="2">
        <f>_xll.IMDP("STK",표.실시간[[#This Row],[nxt_code]],"시가총액")/10^12</f>
        <v>0.6821655002</v>
      </c>
      <c r="J477" s="2">
        <f>표.실시간[[#This Row],[시가총액 (조원)]]/표.실시간[[#This Row],[현재가]]*(표.실시간[[#This Row],[현재가]]-표.실시간[[#This Row],[대비]])</f>
        <v>0.68392026675999995</v>
      </c>
      <c r="K477" s="3">
        <f>_xll.IMDP("STK",표.실시간[[#This Row],[nxt_code]],"전일대비")</f>
        <v>-40</v>
      </c>
      <c r="L477">
        <f>_xll.IMDP("STK",표.실시간[[#This Row],[nxt_code]],"등락률")</f>
        <v>-0.64</v>
      </c>
      <c r="M477" s="2">
        <f>_xll.IMDP("STK",표.실시간[[#This Row],[nxt_code]],"누적거래량")</f>
        <v>805718</v>
      </c>
      <c r="N477" s="2">
        <f>_xll.IMDP("STK",표.실시간[[#This Row],[nxt_code]],"누적거래대금")/10^8</f>
        <v>126.9732164</v>
      </c>
      <c r="O477" s="2">
        <f>_xll.IMDP("STK",표.실시간[[#This Row],[nxt_code]],"가중평균가")</f>
        <v>15759.014493999999</v>
      </c>
      <c r="P477" s="2">
        <f>_xll.IMDP("STK",표.실시간[[#This Row],[nxt_code]],"시가")</f>
        <v>15510</v>
      </c>
      <c r="Q477" s="2">
        <f>_xll.IMDP("STK",표.실시간[[#This Row],[nxt_code]],"고가")</f>
        <v>16070</v>
      </c>
      <c r="R477" s="2">
        <f>_xll.IMDP("STK",표.실시간[[#This Row],[nxt_code]],"저가")</f>
        <v>15270</v>
      </c>
      <c r="S477">
        <f>_xll.IMDP("STK",표.실시간[[#This Row],[nxt_code]],"세션명")</f>
        <v>0</v>
      </c>
      <c r="T477">
        <f>_xll.IMDP("STK",표.실시간[[#This Row],[nxt_code]],"체결시간")</f>
        <v>0</v>
      </c>
      <c r="U477" s="2">
        <f>_xll.IMDP("STK","253590","현재가")</f>
        <v>15550</v>
      </c>
      <c r="V477">
        <f>_xll.IMDP("STK","253590","누적거래량")</f>
        <v>163219</v>
      </c>
    </row>
    <row r="478" spans="2:22" x14ac:dyDescent="0.3">
      <c r="B478">
        <v>470</v>
      </c>
      <c r="C478">
        <v>1</v>
      </c>
      <c r="D478">
        <f>IF(IFERROR(INDEX(표.kospi200[code],MATCH(표.실시간[[#This Row],[코드]],표.kospi200[code],0)),0)=0,0,1)</f>
        <v>0</v>
      </c>
      <c r="E478" t="s">
        <v>483</v>
      </c>
      <c r="F478">
        <v>16800</v>
      </c>
      <c r="G478" t="str">
        <f>ConvertStockCode(표.실시간[[#This Row],[코드]])</f>
        <v>N016800</v>
      </c>
      <c r="H478" s="2">
        <f>_xll.IMDP("STK",표.실시간[[#This Row],[nxt_code]],"현재가")</f>
        <v>42850</v>
      </c>
      <c r="I478" s="2">
        <f>_xll.IMDP("STK",표.실시간[[#This Row],[nxt_code]],"시가총액")/10^12</f>
        <v>0.49277500000000002</v>
      </c>
      <c r="J478" s="2">
        <f>표.실시간[[#This Row],[시가총액 (조원)]]/표.실시간[[#This Row],[현재가]]*(표.실시간[[#This Row],[현재가]]-표.실시간[[#This Row],[대비]])</f>
        <v>0.485875</v>
      </c>
      <c r="K478" s="3">
        <f>_xll.IMDP("STK",표.실시간[[#This Row],[nxt_code]],"전일대비")</f>
        <v>600</v>
      </c>
      <c r="L478">
        <f>_xll.IMDP("STK",표.실시간[[#This Row],[nxt_code]],"등락률")</f>
        <v>1.42</v>
      </c>
      <c r="M478" s="2">
        <f>_xll.IMDP("STK",표.실시간[[#This Row],[nxt_code]],"누적거래량")</f>
        <v>23</v>
      </c>
      <c r="N478" s="2">
        <f>_xll.IMDP("STK",표.실시간[[#This Row],[nxt_code]],"누적거래대금")/10^8</f>
        <v>9.7654999999999999E-3</v>
      </c>
      <c r="O478" s="2">
        <f>_xll.IMDP("STK",표.실시간[[#This Row],[nxt_code]],"가중평균가")</f>
        <v>42458.695652000002</v>
      </c>
      <c r="P478" s="2">
        <f>_xll.IMDP("STK",표.실시간[[#This Row],[nxt_code]],"시가")</f>
        <v>42150</v>
      </c>
      <c r="Q478" s="2">
        <f>_xll.IMDP("STK",표.실시간[[#This Row],[nxt_code]],"고가")</f>
        <v>42850</v>
      </c>
      <c r="R478" s="2">
        <f>_xll.IMDP("STK",표.실시간[[#This Row],[nxt_code]],"저가")</f>
        <v>42150</v>
      </c>
      <c r="S478">
        <f>_xll.IMDP("STK",표.실시간[[#This Row],[nxt_code]],"세션명")</f>
        <v>0</v>
      </c>
      <c r="T478">
        <f>_xll.IMDP("STK",표.실시간[[#This Row],[nxt_code]],"체결시간")</f>
        <v>0</v>
      </c>
      <c r="U478" s="2">
        <f>_xll.IMDP("STK","016800","현재가")</f>
        <v>42800</v>
      </c>
      <c r="V478">
        <f>_xll.IMDP("STK","016800","누적거래량")</f>
        <v>15</v>
      </c>
    </row>
    <row r="479" spans="2:22" x14ac:dyDescent="0.3">
      <c r="B479">
        <v>471</v>
      </c>
      <c r="C479">
        <v>0</v>
      </c>
      <c r="D479">
        <f>IF(IFERROR(INDEX(표.kospi200[code],MATCH(표.실시간[[#This Row],[코드]],표.kospi200[code],0)),0)=0,0,1)</f>
        <v>0</v>
      </c>
      <c r="E479" t="s">
        <v>484</v>
      </c>
      <c r="F479">
        <v>383310</v>
      </c>
      <c r="G479" t="str">
        <f>ConvertStockCode(표.실시간[[#This Row],[코드]])</f>
        <v>N383310</v>
      </c>
      <c r="H479" s="2">
        <f>_xll.IMDP("STK",표.실시간[[#This Row],[nxt_code]],"현재가")</f>
        <v>43000</v>
      </c>
      <c r="I479" s="2">
        <f>_xll.IMDP("STK",표.실시간[[#This Row],[nxt_code]],"시가총액")/10^12</f>
        <v>0.90192207599999996</v>
      </c>
      <c r="J479" s="2">
        <f>표.실시간[[#This Row],[시가총액 (조원)]]/표.실시간[[#This Row],[현재가]]*(표.실시간[[#This Row],[현재가]]-표.실시간[[#This Row],[대비]])</f>
        <v>0.86941093139999992</v>
      </c>
      <c r="K479" s="3">
        <f>_xll.IMDP("STK",표.실시간[[#This Row],[nxt_code]],"전일대비")</f>
        <v>1550</v>
      </c>
      <c r="L479">
        <f>_xll.IMDP("STK",표.실시간[[#This Row],[nxt_code]],"등락률")</f>
        <v>3.74</v>
      </c>
      <c r="M479" s="2">
        <f>_xll.IMDP("STK",표.실시간[[#This Row],[nxt_code]],"누적거래량")</f>
        <v>1153366</v>
      </c>
      <c r="N479" s="2">
        <f>_xll.IMDP("STK",표.실시간[[#This Row],[nxt_code]],"누적거래대금")/10^8</f>
        <v>499.64308999999997</v>
      </c>
      <c r="O479" s="2">
        <f>_xll.IMDP("STK",표.실시간[[#This Row],[nxt_code]],"가중평균가")</f>
        <v>43322.926114000002</v>
      </c>
      <c r="P479" s="2">
        <f>_xll.IMDP("STK",표.실시간[[#This Row],[nxt_code]],"시가")</f>
        <v>41900</v>
      </c>
      <c r="Q479" s="2">
        <f>_xll.IMDP("STK",표.실시간[[#This Row],[nxt_code]],"고가")</f>
        <v>45200</v>
      </c>
      <c r="R479" s="2">
        <f>_xll.IMDP("STK",표.실시간[[#This Row],[nxt_code]],"저가")</f>
        <v>40500</v>
      </c>
      <c r="S479">
        <f>_xll.IMDP("STK",표.실시간[[#This Row],[nxt_code]],"세션명")</f>
        <v>0</v>
      </c>
      <c r="T479">
        <f>_xll.IMDP("STK",표.실시간[[#This Row],[nxt_code]],"체결시간")</f>
        <v>0</v>
      </c>
      <c r="U479" s="2">
        <f>_xll.IMDP("STK","383310","현재가")</f>
        <v>42950</v>
      </c>
      <c r="V479">
        <f>_xll.IMDP("STK","383310","누적거래량")</f>
        <v>173551</v>
      </c>
    </row>
    <row r="480" spans="2:22" x14ac:dyDescent="0.3">
      <c r="B480">
        <v>472</v>
      </c>
      <c r="C480">
        <v>0</v>
      </c>
      <c r="D480">
        <f>IF(IFERROR(INDEX(표.kospi200[code],MATCH(표.실시간[[#This Row],[코드]],표.kospi200[code],0)),0)=0,0,1)</f>
        <v>0</v>
      </c>
      <c r="E480" t="s">
        <v>485</v>
      </c>
      <c r="F480">
        <v>83450</v>
      </c>
      <c r="G480" t="str">
        <f>ConvertStockCode(표.실시간[[#This Row],[코드]])</f>
        <v>N083450</v>
      </c>
      <c r="H480" s="2">
        <f>_xll.IMDP("STK",표.실시간[[#This Row],[nxt_code]],"현재가")</f>
        <v>28500</v>
      </c>
      <c r="I480" s="2">
        <f>_xll.IMDP("STK",표.실시간[[#This Row],[nxt_code]],"시가총액")/10^12</f>
        <v>0.52525500000000003</v>
      </c>
      <c r="J480" s="2">
        <f>표.실시간[[#This Row],[시가총액 (조원)]]/표.실시간[[#This Row],[현재가]]*(표.실시간[[#This Row],[현재가]]-표.실시간[[#This Row],[대비]])</f>
        <v>0.53723450000000006</v>
      </c>
      <c r="K480" s="3">
        <f>_xll.IMDP("STK",표.실시간[[#This Row],[nxt_code]],"전일대비")</f>
        <v>-650</v>
      </c>
      <c r="L480">
        <f>_xll.IMDP("STK",표.실시간[[#This Row],[nxt_code]],"등락률")</f>
        <v>-2.4</v>
      </c>
      <c r="M480" s="2">
        <f>_xll.IMDP("STK",표.실시간[[#This Row],[nxt_code]],"누적거래량")</f>
        <v>103232</v>
      </c>
      <c r="N480" s="2">
        <f>_xll.IMDP("STK",표.실시간[[#This Row],[nxt_code]],"누적거래대금")/10^8</f>
        <v>29.081420000000001</v>
      </c>
      <c r="O480" s="2">
        <f>_xll.IMDP("STK",표.실시간[[#This Row],[nxt_code]],"가중평균가")</f>
        <v>28167.661075</v>
      </c>
      <c r="P480" s="2">
        <f>_xll.IMDP("STK",표.실시간[[#This Row],[nxt_code]],"시가")</f>
        <v>28300</v>
      </c>
      <c r="Q480" s="2">
        <f>_xll.IMDP("STK",표.실시간[[#This Row],[nxt_code]],"고가")</f>
        <v>28650</v>
      </c>
      <c r="R480" s="2">
        <f>_xll.IMDP("STK",표.실시간[[#This Row],[nxt_code]],"저가")</f>
        <v>27900</v>
      </c>
      <c r="S480">
        <f>_xll.IMDP("STK",표.실시간[[#This Row],[nxt_code]],"세션명")</f>
        <v>0</v>
      </c>
      <c r="T480">
        <f>_xll.IMDP("STK",표.실시간[[#This Row],[nxt_code]],"체결시간")</f>
        <v>0</v>
      </c>
      <c r="U480" s="2">
        <f>_xll.IMDP("STK","083450","현재가")</f>
        <v>28450</v>
      </c>
      <c r="V480">
        <f>_xll.IMDP("STK","083450","누적거래량")</f>
        <v>36570</v>
      </c>
    </row>
    <row r="481" spans="2:22" x14ac:dyDescent="0.3">
      <c r="B481">
        <v>473</v>
      </c>
      <c r="C481">
        <v>0</v>
      </c>
      <c r="D481">
        <f>IF(IFERROR(INDEX(표.kospi200[code],MATCH(표.실시간[[#This Row],[코드]],표.kospi200[code],0)),0)=0,0,1)</f>
        <v>0</v>
      </c>
      <c r="E481" t="s">
        <v>486</v>
      </c>
      <c r="F481">
        <v>36620</v>
      </c>
      <c r="G481" t="str">
        <f>ConvertStockCode(표.실시간[[#This Row],[코드]])</f>
        <v>N036620</v>
      </c>
      <c r="H481" s="2">
        <f>_xll.IMDP("STK",표.실시간[[#This Row],[nxt_code]],"현재가")</f>
        <v>6600</v>
      </c>
      <c r="I481" s="2">
        <f>_xll.IMDP("STK",표.실시간[[#This Row],[nxt_code]],"시가총액")/10^12</f>
        <v>0.59732488859999999</v>
      </c>
      <c r="J481" s="2">
        <f>표.실시간[[#This Row],[시가총액 (조원)]]/표.실시간[[#This Row],[현재가]]*(표.실시간[[#This Row],[현재가]]-표.실시간[[#This Row],[대비]])</f>
        <v>0.62719113302999996</v>
      </c>
      <c r="K481" s="3">
        <f>_xll.IMDP("STK",표.실시간[[#This Row],[nxt_code]],"전일대비")</f>
        <v>-330</v>
      </c>
      <c r="L481">
        <f>_xll.IMDP("STK",표.실시간[[#This Row],[nxt_code]],"등락률")</f>
        <v>-4.76</v>
      </c>
      <c r="M481" s="2">
        <f>_xll.IMDP("STK",표.실시간[[#This Row],[nxt_code]],"누적거래량")</f>
        <v>171178</v>
      </c>
      <c r="N481" s="2">
        <f>_xll.IMDP("STK",표.실시간[[#This Row],[nxt_code]],"누적거래대금")/10^8</f>
        <v>11.8010248</v>
      </c>
      <c r="O481" s="2">
        <f>_xll.IMDP("STK",표.실시간[[#This Row],[nxt_code]],"가중평균가")</f>
        <v>6894.0078750000002</v>
      </c>
      <c r="P481" s="2">
        <f>_xll.IMDP("STK",표.실시간[[#This Row],[nxt_code]],"시가")</f>
        <v>6940</v>
      </c>
      <c r="Q481" s="2">
        <f>_xll.IMDP("STK",표.실시간[[#This Row],[nxt_code]],"고가")</f>
        <v>7140</v>
      </c>
      <c r="R481" s="2">
        <f>_xll.IMDP("STK",표.실시간[[#This Row],[nxt_code]],"저가")</f>
        <v>6580</v>
      </c>
      <c r="S481">
        <f>_xll.IMDP("STK",표.실시간[[#This Row],[nxt_code]],"세션명")</f>
        <v>0</v>
      </c>
      <c r="T481">
        <f>_xll.IMDP("STK",표.실시간[[#This Row],[nxt_code]],"체결시간")</f>
        <v>0</v>
      </c>
      <c r="U481" s="2">
        <f>_xll.IMDP("STK","036620","현재가")</f>
        <v>6600</v>
      </c>
      <c r="V481">
        <f>_xll.IMDP("STK","036620","누적거래량")</f>
        <v>90879</v>
      </c>
    </row>
    <row r="482" spans="2:22" x14ac:dyDescent="0.3">
      <c r="B482">
        <v>474</v>
      </c>
      <c r="C482">
        <v>1</v>
      </c>
      <c r="D482">
        <f>IF(IFERROR(INDEX(표.kospi200[code],MATCH(표.실시간[[#This Row],[코드]],표.kospi200[code],0)),0)=0,0,1)</f>
        <v>0</v>
      </c>
      <c r="E482" t="s">
        <v>487</v>
      </c>
      <c r="F482">
        <v>17810</v>
      </c>
      <c r="G482" t="str">
        <f>ConvertStockCode(표.실시간[[#This Row],[코드]])</f>
        <v>N017810</v>
      </c>
      <c r="H482" s="2">
        <f>_xll.IMDP("STK",표.실시간[[#This Row],[nxt_code]],"현재가")</f>
        <v>12960</v>
      </c>
      <c r="I482" s="2">
        <f>_xll.IMDP("STK",표.실시간[[#This Row],[nxt_code]],"시가총액")/10^12</f>
        <v>0.49404222432</v>
      </c>
      <c r="J482" s="2">
        <f>표.실시간[[#This Row],[시가총액 (조원)]]/표.실시간[[#This Row],[현재가]]*(표.실시간[[#This Row],[현재가]]-표.실시간[[#This Row],[대비]])</f>
        <v>0.49937910019999998</v>
      </c>
      <c r="K482" s="3">
        <f>_xll.IMDP("STK",표.실시간[[#This Row],[nxt_code]],"전일대비")</f>
        <v>-140</v>
      </c>
      <c r="L482">
        <f>_xll.IMDP("STK",표.실시간[[#This Row],[nxt_code]],"등락률")</f>
        <v>-1.07</v>
      </c>
      <c r="M482" s="2">
        <f>_xll.IMDP("STK",표.실시간[[#This Row],[nxt_code]],"누적거래량")</f>
        <v>12521</v>
      </c>
      <c r="N482" s="2">
        <f>_xll.IMDP("STK",표.실시간[[#This Row],[nxt_code]],"누적거래대금")/10^8</f>
        <v>1.6238598</v>
      </c>
      <c r="O482" s="2">
        <f>_xll.IMDP("STK",표.실시간[[#This Row],[nxt_code]],"가중평균가")</f>
        <v>12969.090328</v>
      </c>
      <c r="P482" s="2">
        <f>_xll.IMDP("STK",표.실시간[[#This Row],[nxt_code]],"시가")</f>
        <v>13100</v>
      </c>
      <c r="Q482" s="2">
        <f>_xll.IMDP("STK",표.실시간[[#This Row],[nxt_code]],"고가")</f>
        <v>13100</v>
      </c>
      <c r="R482" s="2">
        <f>_xll.IMDP("STK",표.실시간[[#This Row],[nxt_code]],"저가")</f>
        <v>12940</v>
      </c>
      <c r="S482">
        <f>_xll.IMDP("STK",표.실시간[[#This Row],[nxt_code]],"세션명")</f>
        <v>0</v>
      </c>
      <c r="T482">
        <f>_xll.IMDP("STK",표.실시간[[#This Row],[nxt_code]],"체결시간")</f>
        <v>0</v>
      </c>
      <c r="U482" s="2">
        <f>_xll.IMDP("STK","017810","현재가")</f>
        <v>12970</v>
      </c>
      <c r="V482">
        <f>_xll.IMDP("STK","017810","누적거래량")</f>
        <v>4527</v>
      </c>
    </row>
    <row r="483" spans="2:22" x14ac:dyDescent="0.3">
      <c r="B483">
        <v>475</v>
      </c>
      <c r="C483">
        <v>1</v>
      </c>
      <c r="D483">
        <f>IF(IFERROR(INDEX(표.kospi200[code],MATCH(표.실시간[[#This Row],[코드]],표.kospi200[code],0)),0)=0,0,1)</f>
        <v>0</v>
      </c>
      <c r="E483" t="s">
        <v>488</v>
      </c>
      <c r="F483">
        <v>453340</v>
      </c>
      <c r="G483" t="str">
        <f>ConvertStockCode(표.실시간[[#This Row],[코드]])</f>
        <v>N453340</v>
      </c>
      <c r="H483" s="2">
        <f>_xll.IMDP("STK",표.실시간[[#This Row],[nxt_code]],"현재가")</f>
        <v>15250</v>
      </c>
      <c r="I483" s="2">
        <f>_xll.IMDP("STK",표.실시간[[#This Row],[nxt_code]],"시가총액")/10^12</f>
        <v>0.5004950265</v>
      </c>
      <c r="J483" s="2">
        <f>표.실시간[[#This Row],[시가총액 (조원)]]/표.실시간[[#This Row],[현재가]]*(표.실시간[[#This Row],[현재가]]-표.실시간[[#This Row],[대비]])</f>
        <v>0.50115141342000002</v>
      </c>
      <c r="K483" s="3">
        <f>_xll.IMDP("STK",표.실시간[[#This Row],[nxt_code]],"전일대비")</f>
        <v>-20</v>
      </c>
      <c r="L483">
        <f>_xll.IMDP("STK",표.실시간[[#This Row],[nxt_code]],"등락률")</f>
        <v>-0.13</v>
      </c>
      <c r="M483" s="2">
        <f>_xll.IMDP("STK",표.실시간[[#This Row],[nxt_code]],"누적거래량")</f>
        <v>5508</v>
      </c>
      <c r="N483" s="2">
        <f>_xll.IMDP("STK",표.실시간[[#This Row],[nxt_code]],"누적거래대금")/10^8</f>
        <v>0.83685500000000002</v>
      </c>
      <c r="O483" s="2">
        <f>_xll.IMDP("STK",표.실시간[[#This Row],[nxt_code]],"가중평균가")</f>
        <v>15193.445897</v>
      </c>
      <c r="P483" s="2">
        <f>_xll.IMDP("STK",표.실시간[[#This Row],[nxt_code]],"시가")</f>
        <v>15300</v>
      </c>
      <c r="Q483" s="2">
        <f>_xll.IMDP("STK",표.실시간[[#This Row],[nxt_code]],"고가")</f>
        <v>15300</v>
      </c>
      <c r="R483" s="2">
        <f>_xll.IMDP("STK",표.실시간[[#This Row],[nxt_code]],"저가")</f>
        <v>15140</v>
      </c>
      <c r="S483">
        <f>_xll.IMDP("STK",표.실시간[[#This Row],[nxt_code]],"세션명")</f>
        <v>0</v>
      </c>
      <c r="T483">
        <f>_xll.IMDP("STK",표.실시간[[#This Row],[nxt_code]],"체결시간")</f>
        <v>0</v>
      </c>
      <c r="U483" s="2">
        <f>_xll.IMDP("STK","453340","현재가")</f>
        <v>15260</v>
      </c>
      <c r="V483">
        <f>_xll.IMDP("STK","453340","누적거래량")</f>
        <v>4030</v>
      </c>
    </row>
    <row r="484" spans="2:22" x14ac:dyDescent="0.3">
      <c r="B484">
        <v>476</v>
      </c>
      <c r="C484">
        <v>1</v>
      </c>
      <c r="D484">
        <f>IF(IFERROR(INDEX(표.kospi200[code],MATCH(표.실시간[[#This Row],[코드]],표.kospi200[code],0)),0)=0,0,1)</f>
        <v>0</v>
      </c>
      <c r="E484" t="s">
        <v>489</v>
      </c>
      <c r="F484">
        <v>271940</v>
      </c>
      <c r="G484" t="str">
        <f>ConvertStockCode(표.실시간[[#This Row],[코드]])</f>
        <v>N271940</v>
      </c>
      <c r="H484" s="2">
        <f>_xll.IMDP("STK",표.실시간[[#This Row],[nxt_code]],"현재가")</f>
        <v>13840</v>
      </c>
      <c r="I484" s="2">
        <f>_xll.IMDP("STK",표.실시간[[#This Row],[nxt_code]],"시가총액")/10^12</f>
        <v>0.50257454960000003</v>
      </c>
      <c r="J484" s="2">
        <f>표.실시간[[#This Row],[시가총액 (조원)]]/표.실시간[[#This Row],[현재가]]*(표.실시간[[#This Row],[현재가]]-표.실시간[[#This Row],[대비]])</f>
        <v>0.51564729800000009</v>
      </c>
      <c r="K484" s="3">
        <f>_xll.IMDP("STK",표.실시간[[#This Row],[nxt_code]],"전일대비")</f>
        <v>-360</v>
      </c>
      <c r="L484">
        <f>_xll.IMDP("STK",표.실시간[[#This Row],[nxt_code]],"등락률")</f>
        <v>-2.54</v>
      </c>
      <c r="M484" s="2">
        <f>_xll.IMDP("STK",표.실시간[[#This Row],[nxt_code]],"누적거래량")</f>
        <v>6311</v>
      </c>
      <c r="N484" s="2">
        <f>_xll.IMDP("STK",표.실시간[[#This Row],[nxt_code]],"누적거래대금")/10^8</f>
        <v>0.87978000000000001</v>
      </c>
      <c r="O484" s="2">
        <f>_xll.IMDP("STK",표.실시간[[#This Row],[nxt_code]],"가중평균가")</f>
        <v>13940.421485999999</v>
      </c>
      <c r="P484" s="2">
        <f>_xll.IMDP("STK",표.실시간[[#This Row],[nxt_code]],"시가")</f>
        <v>14100</v>
      </c>
      <c r="Q484" s="2">
        <f>_xll.IMDP("STK",표.실시간[[#This Row],[nxt_code]],"고가")</f>
        <v>14100</v>
      </c>
      <c r="R484" s="2">
        <f>_xll.IMDP("STK",표.실시간[[#This Row],[nxt_code]],"저가")</f>
        <v>13820</v>
      </c>
      <c r="S484">
        <f>_xll.IMDP("STK",표.실시간[[#This Row],[nxt_code]],"세션명")</f>
        <v>0</v>
      </c>
      <c r="T484">
        <f>_xll.IMDP("STK",표.실시간[[#This Row],[nxt_code]],"체결시간")</f>
        <v>0</v>
      </c>
      <c r="U484" s="2">
        <f>_xll.IMDP("STK","271940","현재가")</f>
        <v>13850</v>
      </c>
      <c r="V484">
        <f>_xll.IMDP("STK","271940","누적거래량")</f>
        <v>8059</v>
      </c>
    </row>
    <row r="485" spans="2:22" x14ac:dyDescent="0.3">
      <c r="B485">
        <v>477</v>
      </c>
      <c r="C485">
        <v>0</v>
      </c>
      <c r="D485">
        <f>IF(IFERROR(INDEX(표.kospi200[code],MATCH(표.실시간[[#This Row],[코드]],표.kospi200[code],0)),0)=0,0,1)</f>
        <v>0</v>
      </c>
      <c r="E485" t="s">
        <v>490</v>
      </c>
      <c r="F485">
        <v>230360</v>
      </c>
      <c r="G485" t="str">
        <f>ConvertStockCode(표.실시간[[#This Row],[코드]])</f>
        <v>N230360</v>
      </c>
      <c r="H485" s="2">
        <f>_xll.IMDP("STK",표.실시간[[#This Row],[nxt_code]],"현재가")</f>
        <v>15900</v>
      </c>
      <c r="I485" s="2">
        <f>_xll.IMDP("STK",표.실시간[[#This Row],[nxt_code]],"시가총액")/10^12</f>
        <v>0.49288025219999998</v>
      </c>
      <c r="J485" s="2">
        <f>표.실시간[[#This Row],[시가총액 (조원)]]/표.실시간[[#This Row],[현재가]]*(표.실시간[[#This Row],[현재가]]-표.실시간[[#This Row],[대비]])</f>
        <v>0.49257026461999998</v>
      </c>
      <c r="K485" s="3">
        <f>_xll.IMDP("STK",표.실시간[[#This Row],[nxt_code]],"전일대비")</f>
        <v>10</v>
      </c>
      <c r="L485">
        <f>_xll.IMDP("STK",표.실시간[[#This Row],[nxt_code]],"등락률")</f>
        <v>0.06</v>
      </c>
      <c r="M485" s="2">
        <f>_xll.IMDP("STK",표.실시간[[#This Row],[nxt_code]],"누적거래량")</f>
        <v>6800</v>
      </c>
      <c r="N485" s="2">
        <f>_xll.IMDP("STK",표.실시간[[#This Row],[nxt_code]],"누적거래대금")/10^8</f>
        <v>1.0824541999999999</v>
      </c>
      <c r="O485" s="2">
        <f>_xll.IMDP("STK",표.실시간[[#This Row],[nxt_code]],"가중평균가")</f>
        <v>15918.444117999999</v>
      </c>
      <c r="P485" s="2">
        <f>_xll.IMDP("STK",표.실시간[[#This Row],[nxt_code]],"시가")</f>
        <v>15980</v>
      </c>
      <c r="Q485" s="2">
        <f>_xll.IMDP("STK",표.실시간[[#This Row],[nxt_code]],"고가")</f>
        <v>16000</v>
      </c>
      <c r="R485" s="2">
        <f>_xll.IMDP("STK",표.실시간[[#This Row],[nxt_code]],"저가")</f>
        <v>15890</v>
      </c>
      <c r="S485">
        <f>_xll.IMDP("STK",표.실시간[[#This Row],[nxt_code]],"세션명")</f>
        <v>0</v>
      </c>
      <c r="T485">
        <f>_xll.IMDP("STK",표.실시간[[#This Row],[nxt_code]],"체결시간")</f>
        <v>0</v>
      </c>
      <c r="U485" s="2">
        <f>_xll.IMDP("STK","230360","현재가")</f>
        <v>15890</v>
      </c>
      <c r="V485">
        <f>_xll.IMDP("STK","230360","누적거래량")</f>
        <v>9568</v>
      </c>
    </row>
    <row r="486" spans="2:22" x14ac:dyDescent="0.3">
      <c r="B486">
        <v>478</v>
      </c>
      <c r="C486">
        <v>1</v>
      </c>
      <c r="D486">
        <f>IF(IFERROR(INDEX(표.kospi200[code],MATCH(표.실시간[[#This Row],[코드]],표.kospi200[code],0)),0)=0,0,1)</f>
        <v>0</v>
      </c>
      <c r="E486" t="s">
        <v>491</v>
      </c>
      <c r="F486">
        <v>16610</v>
      </c>
      <c r="G486" t="str">
        <f>ConvertStockCode(표.실시간[[#This Row],[코드]])</f>
        <v>N016610</v>
      </c>
      <c r="H486" s="2">
        <f>_xll.IMDP("STK",표.실시간[[#This Row],[nxt_code]],"현재가")</f>
        <v>13270</v>
      </c>
      <c r="I486" s="2">
        <f>_xll.IMDP("STK",표.실시간[[#This Row],[nxt_code]],"시가총액")/10^12</f>
        <v>0.56326358203000004</v>
      </c>
      <c r="J486" s="2">
        <f>표.실시간[[#This Row],[시가총액 (조원)]]/표.실시간[[#This Row],[현재가]]*(표.실시간[[#This Row],[현재가]]-표.실시간[[#This Row],[대비]])</f>
        <v>0.57557303484000011</v>
      </c>
      <c r="K486" s="3">
        <f>_xll.IMDP("STK",표.실시간[[#This Row],[nxt_code]],"전일대비")</f>
        <v>-290</v>
      </c>
      <c r="L486">
        <f>_xll.IMDP("STK",표.실시간[[#This Row],[nxt_code]],"등락률")</f>
        <v>-1.99</v>
      </c>
      <c r="M486" s="2">
        <f>_xll.IMDP("STK",표.실시간[[#This Row],[nxt_code]],"누적거래량")</f>
        <v>14673</v>
      </c>
      <c r="N486" s="2">
        <f>_xll.IMDP("STK",표.실시간[[#This Row],[nxt_code]],"누적거래대금")/10^8</f>
        <v>1.9540767999999999</v>
      </c>
      <c r="O486" s="2">
        <f>_xll.IMDP("STK",표.실시간[[#This Row],[nxt_code]],"가중평균가")</f>
        <v>13313.870682000001</v>
      </c>
      <c r="P486" s="2">
        <f>_xll.IMDP("STK",표.실시간[[#This Row],[nxt_code]],"시가")</f>
        <v>13540</v>
      </c>
      <c r="Q486" s="2">
        <f>_xll.IMDP("STK",표.실시간[[#This Row],[nxt_code]],"고가")</f>
        <v>13540</v>
      </c>
      <c r="R486" s="2">
        <f>_xll.IMDP("STK",표.실시간[[#This Row],[nxt_code]],"저가")</f>
        <v>13230</v>
      </c>
      <c r="S486">
        <f>_xll.IMDP("STK",표.실시간[[#This Row],[nxt_code]],"세션명")</f>
        <v>0</v>
      </c>
      <c r="T486">
        <f>_xll.IMDP("STK",표.실시간[[#This Row],[nxt_code]],"체결시간")</f>
        <v>0</v>
      </c>
      <c r="U486" s="2">
        <f>_xll.IMDP("STK","016610","현재가")</f>
        <v>13270</v>
      </c>
      <c r="V486">
        <f>_xll.IMDP("STK","016610","누적거래량")</f>
        <v>9394</v>
      </c>
    </row>
    <row r="487" spans="2:22" x14ac:dyDescent="0.3">
      <c r="B487">
        <v>479</v>
      </c>
      <c r="C487">
        <v>1</v>
      </c>
      <c r="D487">
        <f>IF(IFERROR(INDEX(표.kospi200[code],MATCH(표.실시간[[#This Row],[코드]],표.kospi200[code],0)),0)=0,0,1)</f>
        <v>0</v>
      </c>
      <c r="E487" t="s">
        <v>492</v>
      </c>
      <c r="F487">
        <v>14830</v>
      </c>
      <c r="G487" t="str">
        <f>ConvertStockCode(표.실시간[[#This Row],[코드]])</f>
        <v>N014830</v>
      </c>
      <c r="H487" s="2">
        <f>_xll.IMDP("STK",표.실시간[[#This Row],[nxt_code]],"현재가")</f>
        <v>77500</v>
      </c>
      <c r="I487" s="2">
        <f>_xll.IMDP("STK",표.실시간[[#This Row],[nxt_code]],"시가총액")/10^12</f>
        <v>0.52448899999999998</v>
      </c>
      <c r="J487" s="2">
        <f>표.실시간[[#This Row],[시가총액 (조원)]]/표.실시간[[#This Row],[현재가]]*(표.실시간[[#This Row],[현재가]]-표.실시간[[#This Row],[대비]])</f>
        <v>0.54073123999999995</v>
      </c>
      <c r="K487" s="3">
        <f>_xll.IMDP("STK",표.실시간[[#This Row],[nxt_code]],"전일대비")</f>
        <v>-2400</v>
      </c>
      <c r="L487">
        <f>_xll.IMDP("STK",표.실시간[[#This Row],[nxt_code]],"등락률")</f>
        <v>-3</v>
      </c>
      <c r="M487" s="2">
        <f>_xll.IMDP("STK",표.실시간[[#This Row],[nxt_code]],"누적거래량")</f>
        <v>8601</v>
      </c>
      <c r="N487" s="2">
        <f>_xll.IMDP("STK",표.실시간[[#This Row],[nxt_code]],"누적거래대금")/10^8</f>
        <v>6.7207619999999997</v>
      </c>
      <c r="O487" s="2">
        <f>_xll.IMDP("STK",표.실시간[[#This Row],[nxt_code]],"가중평균가")</f>
        <v>78139.309383</v>
      </c>
      <c r="P487" s="2">
        <f>_xll.IMDP("STK",표.실시간[[#This Row],[nxt_code]],"시가")</f>
        <v>78500</v>
      </c>
      <c r="Q487" s="2">
        <f>_xll.IMDP("STK",표.실시간[[#This Row],[nxt_code]],"고가")</f>
        <v>78600</v>
      </c>
      <c r="R487" s="2">
        <f>_xll.IMDP("STK",표.실시간[[#This Row],[nxt_code]],"저가")</f>
        <v>77500</v>
      </c>
      <c r="S487">
        <f>_xll.IMDP("STK",표.실시간[[#This Row],[nxt_code]],"세션명")</f>
        <v>0</v>
      </c>
      <c r="T487">
        <f>_xll.IMDP("STK",표.실시간[[#This Row],[nxt_code]],"체결시간")</f>
        <v>0</v>
      </c>
      <c r="U487" s="2">
        <f>_xll.IMDP("STK","014830","현재가")</f>
        <v>78700</v>
      </c>
      <c r="V487">
        <f>_xll.IMDP("STK","014830","누적거래량")</f>
        <v>2114</v>
      </c>
    </row>
    <row r="488" spans="2:22" x14ac:dyDescent="0.3">
      <c r="B488">
        <v>480</v>
      </c>
      <c r="C488">
        <v>0</v>
      </c>
      <c r="D488">
        <f>IF(IFERROR(INDEX(표.kospi200[code],MATCH(표.실시간[[#This Row],[코드]],표.kospi200[code],0)),0)=0,0,1)</f>
        <v>0</v>
      </c>
      <c r="E488" t="s">
        <v>493</v>
      </c>
      <c r="F488">
        <v>199430</v>
      </c>
      <c r="G488" t="str">
        <f>ConvertStockCode(표.실시간[[#This Row],[코드]])</f>
        <v>N199430</v>
      </c>
      <c r="H488" s="2">
        <f>_xll.IMDP("STK",표.실시간[[#This Row],[nxt_code]],"현재가")</f>
        <v>34250</v>
      </c>
      <c r="I488" s="2">
        <f>_xll.IMDP("STK",표.실시간[[#This Row],[nxt_code]],"시가총액")/10^12</f>
        <v>0.37668297275000001</v>
      </c>
      <c r="J488" s="2">
        <f>표.실시간[[#This Row],[시가총액 (조원)]]/표.실시간[[#This Row],[현재가]]*(표.실시간[[#This Row],[현재가]]-표.실시간[[#This Row],[대비]])</f>
        <v>0.38713111359999997</v>
      </c>
      <c r="K488" s="3">
        <f>_xll.IMDP("STK",표.실시간[[#This Row],[nxt_code]],"전일대비")</f>
        <v>-950</v>
      </c>
      <c r="L488">
        <f>_xll.IMDP("STK",표.실시간[[#This Row],[nxt_code]],"등락률")</f>
        <v>-2.84</v>
      </c>
      <c r="M488" s="2">
        <f>_xll.IMDP("STK",표.실시간[[#This Row],[nxt_code]],"누적거래량")</f>
        <v>54605</v>
      </c>
      <c r="N488" s="2">
        <f>_xll.IMDP("STK",표.실시간[[#This Row],[nxt_code]],"누적거래대금")/10^8</f>
        <v>18.334246499999999</v>
      </c>
      <c r="O488" s="2">
        <f>_xll.IMDP("STK",표.실시간[[#This Row],[nxt_code]],"가중평균가")</f>
        <v>33576.131307000003</v>
      </c>
      <c r="P488" s="2">
        <f>_xll.IMDP("STK",표.실시간[[#This Row],[nxt_code]],"시가")</f>
        <v>35250</v>
      </c>
      <c r="Q488" s="2">
        <f>_xll.IMDP("STK",표.실시간[[#This Row],[nxt_code]],"고가")</f>
        <v>35850</v>
      </c>
      <c r="R488" s="2">
        <f>_xll.IMDP("STK",표.실시간[[#This Row],[nxt_code]],"저가")</f>
        <v>33100</v>
      </c>
      <c r="S488">
        <f>_xll.IMDP("STK",표.실시간[[#This Row],[nxt_code]],"세션명")</f>
        <v>0</v>
      </c>
      <c r="T488">
        <f>_xll.IMDP("STK",표.실시간[[#This Row],[nxt_code]],"체결시간")</f>
        <v>0</v>
      </c>
      <c r="U488" s="2">
        <f>_xll.IMDP("STK","199430","현재가")</f>
        <v>34550</v>
      </c>
      <c r="V488">
        <f>_xll.IMDP("STK","199430","누적거래량")</f>
        <v>23540</v>
      </c>
    </row>
    <row r="489" spans="2:22" x14ac:dyDescent="0.3">
      <c r="B489">
        <v>481</v>
      </c>
      <c r="C489">
        <v>0</v>
      </c>
      <c r="D489">
        <f>IF(IFERROR(INDEX(표.kospi200[code],MATCH(표.실시간[[#This Row],[코드]],표.kospi200[code],0)),0)=0,0,1)</f>
        <v>0</v>
      </c>
      <c r="E489" t="s">
        <v>494</v>
      </c>
      <c r="F489">
        <v>448900</v>
      </c>
      <c r="G489" t="str">
        <f>ConvertStockCode(표.실시간[[#This Row],[코드]])</f>
        <v>N448900</v>
      </c>
      <c r="H489" s="2">
        <f>_xll.IMDP("STK",표.실시간[[#This Row],[nxt_code]],"현재가")</f>
        <v>70000</v>
      </c>
      <c r="I489" s="2">
        <f>_xll.IMDP("STK",표.실시간[[#This Row],[nxt_code]],"시가총액")/10^12</f>
        <v>0.42031199000000002</v>
      </c>
      <c r="J489" s="2">
        <f>표.실시간[[#This Row],[시가총액 (조원)]]/표.실시간[[#This Row],[현재가]]*(표.실시간[[#This Row],[현재가]]-표.실시간[[#This Row],[대비]])</f>
        <v>0.43652402390000006</v>
      </c>
      <c r="K489" s="3">
        <f>_xll.IMDP("STK",표.실시간[[#This Row],[nxt_code]],"전일대비")</f>
        <v>-2700</v>
      </c>
      <c r="L489">
        <f>_xll.IMDP("STK",표.실시간[[#This Row],[nxt_code]],"등락률")</f>
        <v>-3.71</v>
      </c>
      <c r="M489" s="2">
        <f>_xll.IMDP("STK",표.실시간[[#This Row],[nxt_code]],"누적거래량")</f>
        <v>27961</v>
      </c>
      <c r="N489" s="2">
        <f>_xll.IMDP("STK",표.실시간[[#This Row],[nxt_code]],"누적거래대금")/10^8</f>
        <v>19.294938999999999</v>
      </c>
      <c r="O489" s="2">
        <f>_xll.IMDP("STK",표.실시간[[#This Row],[nxt_code]],"가중평균가")</f>
        <v>69006.612781999997</v>
      </c>
      <c r="P489" s="2">
        <f>_xll.IMDP("STK",표.실시간[[#This Row],[nxt_code]],"시가")</f>
        <v>71400</v>
      </c>
      <c r="Q489" s="2">
        <f>_xll.IMDP("STK",표.실시간[[#This Row],[nxt_code]],"고가")</f>
        <v>71400</v>
      </c>
      <c r="R489" s="2">
        <f>_xll.IMDP("STK",표.실시간[[#This Row],[nxt_code]],"저가")</f>
        <v>68100</v>
      </c>
      <c r="S489">
        <f>_xll.IMDP("STK",표.실시간[[#This Row],[nxt_code]],"세션명")</f>
        <v>0</v>
      </c>
      <c r="T489">
        <f>_xll.IMDP("STK",표.실시간[[#This Row],[nxt_code]],"체결시간")</f>
        <v>0</v>
      </c>
      <c r="U489" s="2">
        <f>_xll.IMDP("STK","448900","현재가")</f>
        <v>70000</v>
      </c>
      <c r="V489">
        <f>_xll.IMDP("STK","448900","누적거래량")</f>
        <v>12122</v>
      </c>
    </row>
    <row r="490" spans="2:22" x14ac:dyDescent="0.3">
      <c r="B490">
        <v>482</v>
      </c>
      <c r="C490">
        <v>0</v>
      </c>
      <c r="D490">
        <f>IF(IFERROR(INDEX(표.kospi200[code],MATCH(표.실시간[[#This Row],[코드]],표.kospi200[code],0)),0)=0,0,1)</f>
        <v>0</v>
      </c>
      <c r="E490" t="s">
        <v>495</v>
      </c>
      <c r="F490">
        <v>79370</v>
      </c>
      <c r="G490" t="str">
        <f>ConvertStockCode(표.실시간[[#This Row],[코드]])</f>
        <v>N079370</v>
      </c>
      <c r="H490" s="2">
        <f>_xll.IMDP("STK",표.실시간[[#This Row],[nxt_code]],"현재가")</f>
        <v>19950</v>
      </c>
      <c r="I490" s="2">
        <f>_xll.IMDP("STK",표.실시간[[#This Row],[nxt_code]],"시가총액")/10^12</f>
        <v>0.61878895050000005</v>
      </c>
      <c r="J490" s="2">
        <f>표.실시간[[#This Row],[시가총액 (조원)]]/표.실시간[[#This Row],[현재가]]*(표.실시간[[#This Row],[현재가]]-표.실시간[[#This Row],[대비]])</f>
        <v>0.61196521270000004</v>
      </c>
      <c r="K490" s="3">
        <f>_xll.IMDP("STK",표.실시간[[#This Row],[nxt_code]],"전일대비")</f>
        <v>220</v>
      </c>
      <c r="L490">
        <f>_xll.IMDP("STK",표.실시간[[#This Row],[nxt_code]],"등락률")</f>
        <v>1.22</v>
      </c>
      <c r="M490" s="2">
        <f>_xll.IMDP("STK",표.실시간[[#This Row],[nxt_code]],"누적거래량")</f>
        <v>252959</v>
      </c>
      <c r="N490" s="2">
        <f>_xll.IMDP("STK",표.실시간[[#This Row],[nxt_code]],"누적거래대금")/10^8</f>
        <v>49.383034199999997</v>
      </c>
      <c r="O490" s="2">
        <f>_xll.IMDP("STK",표.실시간[[#This Row],[nxt_code]],"가중평균가")</f>
        <v>19514.203712999999</v>
      </c>
      <c r="P490" s="2">
        <f>_xll.IMDP("STK",표.실시간[[#This Row],[nxt_code]],"시가")</f>
        <v>19480</v>
      </c>
      <c r="Q490" s="2">
        <f>_xll.IMDP("STK",표.실시간[[#This Row],[nxt_code]],"고가")</f>
        <v>20100</v>
      </c>
      <c r="R490" s="2">
        <f>_xll.IMDP("STK",표.실시간[[#This Row],[nxt_code]],"저가")</f>
        <v>19100</v>
      </c>
      <c r="S490">
        <f>_xll.IMDP("STK",표.실시간[[#This Row],[nxt_code]],"세션명")</f>
        <v>0</v>
      </c>
      <c r="T490">
        <f>_xll.IMDP("STK",표.실시간[[#This Row],[nxt_code]],"체결시간")</f>
        <v>0</v>
      </c>
      <c r="U490" s="2">
        <f>_xll.IMDP("STK","079370","현재가")</f>
        <v>20050</v>
      </c>
      <c r="V490">
        <f>_xll.IMDP("STK","079370","누적거래량")</f>
        <v>120278</v>
      </c>
    </row>
    <row r="491" spans="2:22" x14ac:dyDescent="0.3">
      <c r="B491">
        <v>483</v>
      </c>
      <c r="C491">
        <v>1</v>
      </c>
      <c r="D491">
        <f>IF(IFERROR(INDEX(표.kospi200[code],MATCH(표.실시간[[#This Row],[코드]],표.kospi200[code],0)),0)=0,0,1)</f>
        <v>0</v>
      </c>
      <c r="E491" t="s">
        <v>496</v>
      </c>
      <c r="F491">
        <v>34310</v>
      </c>
      <c r="G491" t="str">
        <f>ConvertStockCode(표.실시간[[#This Row],[코드]])</f>
        <v>N034310</v>
      </c>
      <c r="H491" s="2">
        <f>_xll.IMDP("STK",표.실시간[[#This Row],[nxt_code]],"현재가")</f>
        <v>13660</v>
      </c>
      <c r="I491" s="2">
        <f>_xll.IMDP("STK",표.실시간[[#This Row],[nxt_code]],"시가총액")/10^12</f>
        <v>0.50210276462000003</v>
      </c>
      <c r="J491" s="2">
        <f>표.실시간[[#This Row],[시가총액 (조원)]]/표.실시간[[#This Row],[현재가]]*(표.실시간[[#This Row],[현재가]]-표.실시간[[#This Row],[대비]])</f>
        <v>0.5120271970100001</v>
      </c>
      <c r="K491" s="3">
        <f>_xll.IMDP("STK",표.실시간[[#This Row],[nxt_code]],"전일대비")</f>
        <v>-270</v>
      </c>
      <c r="L491">
        <f>_xll.IMDP("STK",표.실시간[[#This Row],[nxt_code]],"등락률")</f>
        <v>-1.94</v>
      </c>
      <c r="M491" s="2">
        <f>_xll.IMDP("STK",표.실시간[[#This Row],[nxt_code]],"누적거래량")</f>
        <v>3891</v>
      </c>
      <c r="N491" s="2">
        <f>_xll.IMDP("STK",표.실시간[[#This Row],[nxt_code]],"누적거래대금")/10^8</f>
        <v>0.53902879999999997</v>
      </c>
      <c r="O491" s="2">
        <f>_xll.IMDP("STK",표.실시간[[#This Row],[nxt_code]],"가중평균가")</f>
        <v>13853.220251999999</v>
      </c>
      <c r="P491" s="2">
        <f>_xll.IMDP("STK",표.실시간[[#This Row],[nxt_code]],"시가")</f>
        <v>18100</v>
      </c>
      <c r="Q491" s="2">
        <f>_xll.IMDP("STK",표.실시간[[#This Row],[nxt_code]],"고가")</f>
        <v>18100</v>
      </c>
      <c r="R491" s="2">
        <f>_xll.IMDP("STK",표.실시간[[#This Row],[nxt_code]],"저가")</f>
        <v>13660</v>
      </c>
      <c r="S491">
        <f>_xll.IMDP("STK",표.실시간[[#This Row],[nxt_code]],"세션명")</f>
        <v>0</v>
      </c>
      <c r="T491">
        <f>_xll.IMDP("STK",표.실시간[[#This Row],[nxt_code]],"체결시간")</f>
        <v>0</v>
      </c>
      <c r="U491" s="2">
        <f>_xll.IMDP("STK","034310","현재가")</f>
        <v>13670</v>
      </c>
      <c r="V491">
        <f>_xll.IMDP("STK","034310","누적거래량")</f>
        <v>3425</v>
      </c>
    </row>
    <row r="492" spans="2:22" x14ac:dyDescent="0.3">
      <c r="B492">
        <v>484</v>
      </c>
      <c r="C492">
        <v>1</v>
      </c>
      <c r="D492">
        <f>IF(IFERROR(INDEX(표.kospi200[code],MATCH(표.실시간[[#This Row],[코드]],표.kospi200[code],0)),0)=0,0,1)</f>
        <v>0</v>
      </c>
      <c r="E492" t="s">
        <v>497</v>
      </c>
      <c r="F492">
        <v>3300</v>
      </c>
      <c r="G492" t="str">
        <f>ConvertStockCode(표.실시간[[#This Row],[코드]])</f>
        <v>N003300</v>
      </c>
      <c r="H492" s="2">
        <f>_xll.IMDP("STK",표.실시간[[#This Row],[nxt_code]],"현재가")</f>
        <v>15660</v>
      </c>
      <c r="I492" s="2">
        <f>_xll.IMDP("STK",표.실시간[[#This Row],[nxt_code]],"시가총액")/10^12</f>
        <v>0.48284296343999999</v>
      </c>
      <c r="J492" s="2">
        <f>표.실시간[[#This Row],[시가총액 (조원)]]/표.실시간[[#This Row],[현재가]]*(표.실시간[[#This Row],[현재가]]-표.실시간[[#This Row],[대비]])</f>
        <v>0.48099299039999993</v>
      </c>
      <c r="K492" s="3">
        <f>_xll.IMDP("STK",표.실시간[[#This Row],[nxt_code]],"전일대비")</f>
        <v>60</v>
      </c>
      <c r="L492">
        <f>_xll.IMDP("STK",표.실시간[[#This Row],[nxt_code]],"등락률")</f>
        <v>0.38</v>
      </c>
      <c r="M492" s="2">
        <f>_xll.IMDP("STK",표.실시간[[#This Row],[nxt_code]],"누적거래량")</f>
        <v>523</v>
      </c>
      <c r="N492" s="2">
        <f>_xll.IMDP("STK",표.실시간[[#This Row],[nxt_code]],"누적거래대금")/10^8</f>
        <v>8.1763299999999997E-2</v>
      </c>
      <c r="O492" s="2">
        <f>_xll.IMDP("STK",표.실시간[[#This Row],[nxt_code]],"가중평균가")</f>
        <v>15633.518163999999</v>
      </c>
      <c r="P492" s="2">
        <f>_xll.IMDP("STK",표.실시간[[#This Row],[nxt_code]],"시가")</f>
        <v>15600</v>
      </c>
      <c r="Q492" s="2">
        <f>_xll.IMDP("STK",표.실시간[[#This Row],[nxt_code]],"고가")</f>
        <v>15720</v>
      </c>
      <c r="R492" s="2">
        <f>_xll.IMDP("STK",표.실시간[[#This Row],[nxt_code]],"저가")</f>
        <v>15570</v>
      </c>
      <c r="S492">
        <f>_xll.IMDP("STK",표.실시간[[#This Row],[nxt_code]],"세션명")</f>
        <v>0</v>
      </c>
      <c r="T492">
        <f>_xll.IMDP("STK",표.실시간[[#This Row],[nxt_code]],"체결시간")</f>
        <v>0</v>
      </c>
      <c r="U492" s="2">
        <f>_xll.IMDP("STK","003300","현재가")</f>
        <v>15650</v>
      </c>
      <c r="V492">
        <f>_xll.IMDP("STK","003300","누적거래량")</f>
        <v>1559</v>
      </c>
    </row>
    <row r="493" spans="2:22" x14ac:dyDescent="0.3">
      <c r="B493">
        <v>485</v>
      </c>
      <c r="C493">
        <v>0</v>
      </c>
      <c r="D493">
        <f>IF(IFERROR(INDEX(표.kospi200[code],MATCH(표.실시간[[#This Row],[코드]],표.kospi200[code],0)),0)=0,0,1)</f>
        <v>0</v>
      </c>
      <c r="E493" t="s">
        <v>498</v>
      </c>
      <c r="F493">
        <v>459510</v>
      </c>
      <c r="G493" t="str">
        <f>ConvertStockCode(표.실시간[[#This Row],[코드]])</f>
        <v>N459510</v>
      </c>
      <c r="H493" s="2">
        <f>_xll.IMDP("STK",표.실시간[[#This Row],[nxt_code]],"현재가")</f>
        <v>31400</v>
      </c>
      <c r="I493" s="2">
        <f>_xll.IMDP("STK",표.실시간[[#This Row],[nxt_code]],"시가총액")/10^12</f>
        <v>0.40679899479999998</v>
      </c>
      <c r="J493" s="2">
        <f>표.실시간[[#This Row],[시가총액 (조원)]]/표.실시간[[#This Row],[현재가]]*(표.실시간[[#This Row],[현재가]]-표.실시간[[#This Row],[대비]])</f>
        <v>0.40096907289999995</v>
      </c>
      <c r="K493" s="3">
        <f>_xll.IMDP("STK",표.실시간[[#This Row],[nxt_code]],"전일대비")</f>
        <v>450</v>
      </c>
      <c r="L493">
        <f>_xll.IMDP("STK",표.실시간[[#This Row],[nxt_code]],"등락률")</f>
        <v>1.45</v>
      </c>
      <c r="M493" s="2">
        <f>_xll.IMDP("STK",표.실시간[[#This Row],[nxt_code]],"누적거래량")</f>
        <v>61687</v>
      </c>
      <c r="N493" s="2">
        <f>_xll.IMDP("STK",표.실시간[[#This Row],[nxt_code]],"누적거래대금")/10^8</f>
        <v>18.725351</v>
      </c>
      <c r="O493" s="2">
        <f>_xll.IMDP("STK",표.실시간[[#This Row],[nxt_code]],"가중평균가")</f>
        <v>30355.424967999999</v>
      </c>
      <c r="P493" s="2">
        <f>_xll.IMDP("STK",표.실시간[[#This Row],[nxt_code]],"시가")</f>
        <v>30800</v>
      </c>
      <c r="Q493" s="2">
        <f>_xll.IMDP("STK",표.실시간[[#This Row],[nxt_code]],"고가")</f>
        <v>31450</v>
      </c>
      <c r="R493" s="2">
        <f>_xll.IMDP("STK",표.실시간[[#This Row],[nxt_code]],"저가")</f>
        <v>29800</v>
      </c>
      <c r="S493">
        <f>_xll.IMDP("STK",표.실시간[[#This Row],[nxt_code]],"세션명")</f>
        <v>0</v>
      </c>
      <c r="T493">
        <f>_xll.IMDP("STK",표.실시간[[#This Row],[nxt_code]],"체결시간")</f>
        <v>0</v>
      </c>
      <c r="U493" s="2">
        <f>_xll.IMDP("STK","459510","현재가")</f>
        <v>31600</v>
      </c>
      <c r="V493">
        <f>_xll.IMDP("STK","459510","누적거래량")</f>
        <v>35977</v>
      </c>
    </row>
    <row r="494" spans="2:22" x14ac:dyDescent="0.3">
      <c r="B494">
        <v>486</v>
      </c>
      <c r="C494">
        <v>0</v>
      </c>
      <c r="D494">
        <f>IF(IFERROR(INDEX(표.kospi200[code],MATCH(표.실시간[[#This Row],[코드]],표.kospi200[code],0)),0)=0,0,1)</f>
        <v>0</v>
      </c>
      <c r="E494" t="s">
        <v>499</v>
      </c>
      <c r="F494">
        <v>200710</v>
      </c>
      <c r="G494" t="str">
        <f>ConvertStockCode(표.실시간[[#This Row],[코드]])</f>
        <v>N200710</v>
      </c>
      <c r="H494" s="2">
        <f>_xll.IMDP("STK",표.실시간[[#This Row],[nxt_code]],"현재가")</f>
        <v>37600</v>
      </c>
      <c r="I494" s="2">
        <f>_xll.IMDP("STK",표.실시간[[#This Row],[nxt_code]],"시가총액")/10^12</f>
        <v>0.5053749072</v>
      </c>
      <c r="J494" s="2">
        <f>표.실시간[[#This Row],[시가총액 (조원)]]/표.실시간[[#This Row],[현재가]]*(표.실시간[[#This Row],[현재가]]-표.실시간[[#This Row],[대비]])</f>
        <v>0.52015981140000001</v>
      </c>
      <c r="K494" s="3">
        <f>_xll.IMDP("STK",표.실시간[[#This Row],[nxt_code]],"전일대비")</f>
        <v>-1100</v>
      </c>
      <c r="L494">
        <f>_xll.IMDP("STK",표.실시간[[#This Row],[nxt_code]],"등락률")</f>
        <v>-1.83</v>
      </c>
      <c r="M494" s="2">
        <f>_xll.IMDP("STK",표.실시간[[#This Row],[nxt_code]],"누적거래량")</f>
        <v>126513</v>
      </c>
      <c r="N494" s="2">
        <f>_xll.IMDP("STK",표.실시간[[#This Row],[nxt_code]],"누적거래대금")/10^8</f>
        <v>45.8031705</v>
      </c>
      <c r="O494" s="2">
        <f>_xll.IMDP("STK",표.실시간[[#This Row],[nxt_code]],"가중평균가")</f>
        <v>36204.319319000002</v>
      </c>
      <c r="P494" s="2">
        <f>_xll.IMDP("STK",표.실시간[[#This Row],[nxt_code]],"시가")</f>
        <v>37000</v>
      </c>
      <c r="Q494" s="2">
        <f>_xll.IMDP("STK",표.실시간[[#This Row],[nxt_code]],"고가")</f>
        <v>37600</v>
      </c>
      <c r="R494" s="2">
        <f>_xll.IMDP("STK",표.실시간[[#This Row],[nxt_code]],"저가")</f>
        <v>35400</v>
      </c>
      <c r="S494">
        <f>_xll.IMDP("STK",표.실시간[[#This Row],[nxt_code]],"세션명")</f>
        <v>0</v>
      </c>
      <c r="T494">
        <f>_xll.IMDP("STK",표.실시간[[#This Row],[nxt_code]],"체결시간")</f>
        <v>0</v>
      </c>
      <c r="U494" s="2">
        <f>_xll.IMDP("STK","200710","현재가")</f>
        <v>37650</v>
      </c>
      <c r="V494">
        <f>_xll.IMDP("STK","200710","누적거래량")</f>
        <v>44125</v>
      </c>
    </row>
    <row r="495" spans="2:22" x14ac:dyDescent="0.3">
      <c r="B495">
        <v>487</v>
      </c>
      <c r="C495">
        <v>1</v>
      </c>
      <c r="D495">
        <f>IF(IFERROR(INDEX(표.kospi200[code],MATCH(표.실시간[[#This Row],[코드]],표.kospi200[code],0)),0)=0,0,1)</f>
        <v>0</v>
      </c>
      <c r="E495" t="s">
        <v>500</v>
      </c>
      <c r="F495">
        <v>145990</v>
      </c>
      <c r="G495" t="str">
        <f>ConvertStockCode(표.실시간[[#This Row],[코드]])</f>
        <v>N145990</v>
      </c>
      <c r="H495" s="2">
        <f>_xll.IMDP("STK",표.실시간[[#This Row],[nxt_code]],"현재가")</f>
        <v>47000</v>
      </c>
      <c r="I495" s="2">
        <f>_xll.IMDP("STK",표.실시간[[#This Row],[nxt_code]],"시가총액")/10^12</f>
        <v>0.48473210300000003</v>
      </c>
      <c r="J495" s="2">
        <f>표.실시간[[#This Row],[시가총액 (조원)]]/표.실시간[[#This Row],[현재가]]*(표.실시간[[#This Row],[현재가]]-표.실시간[[#This Row],[대비]])</f>
        <v>0.49040449995000007</v>
      </c>
      <c r="K495" s="3">
        <f>_xll.IMDP("STK",표.실시간[[#This Row],[nxt_code]],"전일대비")</f>
        <v>-550</v>
      </c>
      <c r="L495">
        <f>_xll.IMDP("STK",표.실시간[[#This Row],[nxt_code]],"등락률")</f>
        <v>-1.1599999999999999</v>
      </c>
      <c r="M495" s="2">
        <f>_xll.IMDP("STK",표.실시간[[#This Row],[nxt_code]],"누적거래량")</f>
        <v>824</v>
      </c>
      <c r="N495" s="2">
        <f>_xll.IMDP("STK",표.실시간[[#This Row],[nxt_code]],"누적거래대금")/10^8</f>
        <v>0.38913449999999999</v>
      </c>
      <c r="O495" s="2">
        <f>_xll.IMDP("STK",표.실시간[[#This Row],[nxt_code]],"가중평균가")</f>
        <v>46996.920290000002</v>
      </c>
      <c r="P495" s="2">
        <f>_xll.IMDP("STK",표.실시간[[#This Row],[nxt_code]],"시가")</f>
        <v>47550</v>
      </c>
      <c r="Q495" s="2">
        <f>_xll.IMDP("STK",표.실시간[[#This Row],[nxt_code]],"고가")</f>
        <v>47600</v>
      </c>
      <c r="R495" s="2">
        <f>_xll.IMDP("STK",표.실시간[[#This Row],[nxt_code]],"저가")</f>
        <v>46800</v>
      </c>
      <c r="S495">
        <f>_xll.IMDP("STK",표.실시간[[#This Row],[nxt_code]],"세션명")</f>
        <v>0</v>
      </c>
      <c r="T495">
        <f>_xll.IMDP("STK",표.실시간[[#This Row],[nxt_code]],"체결시간")</f>
        <v>0</v>
      </c>
      <c r="U495" s="2">
        <f>_xll.IMDP("STK","145990","현재가")</f>
        <v>47000</v>
      </c>
      <c r="V495">
        <f>_xll.IMDP("STK","145990","누적거래량")</f>
        <v>472</v>
      </c>
    </row>
    <row r="496" spans="2:22" x14ac:dyDescent="0.3">
      <c r="B496">
        <v>488</v>
      </c>
      <c r="C496">
        <v>0</v>
      </c>
      <c r="D496">
        <f>IF(IFERROR(INDEX(표.kospi200[code],MATCH(표.실시간[[#This Row],[코드]],표.kospi200[code],0)),0)=0,0,1)</f>
        <v>0</v>
      </c>
      <c r="E496" t="s">
        <v>501</v>
      </c>
      <c r="F496">
        <v>50890</v>
      </c>
      <c r="G496" t="str">
        <f>ConvertStockCode(표.실시간[[#This Row],[코드]])</f>
        <v>N050890</v>
      </c>
      <c r="H496" s="2">
        <f>_xll.IMDP("STK",표.실시간[[#This Row],[nxt_code]],"현재가")</f>
        <v>8430</v>
      </c>
      <c r="I496" s="2">
        <f>_xll.IMDP("STK",표.실시간[[#This Row],[nxt_code]],"시가총액")/10^12</f>
        <v>0.51217758162000004</v>
      </c>
      <c r="J496" s="2">
        <f>표.실시간[[#This Row],[시가총액 (조원)]]/표.실시간[[#This Row],[현재가]]*(표.실시간[[#This Row],[현재가]]-표.실시간[[#This Row],[대비]])</f>
        <v>0.51886080036000004</v>
      </c>
      <c r="K496" s="3">
        <f>_xll.IMDP("STK",표.실시간[[#This Row],[nxt_code]],"전일대비")</f>
        <v>-110</v>
      </c>
      <c r="L496">
        <f>_xll.IMDP("STK",표.실시간[[#This Row],[nxt_code]],"등락률")</f>
        <v>-0.82</v>
      </c>
      <c r="M496" s="2">
        <f>_xll.IMDP("STK",표.실시간[[#This Row],[nxt_code]],"누적거래량")</f>
        <v>311433</v>
      </c>
      <c r="N496" s="2">
        <f>_xll.IMDP("STK",표.실시간[[#This Row],[nxt_code]],"누적거래대금")/10^8</f>
        <v>25.648259299999999</v>
      </c>
      <c r="O496" s="2">
        <f>_xll.IMDP("STK",표.실시간[[#This Row],[nxt_code]],"가중평균가")</f>
        <v>8229.5640440000006</v>
      </c>
      <c r="P496" s="2">
        <f>_xll.IMDP("STK",표.실시간[[#This Row],[nxt_code]],"시가")</f>
        <v>8300</v>
      </c>
      <c r="Q496" s="2">
        <f>_xll.IMDP("STK",표.실시간[[#This Row],[nxt_code]],"고가")</f>
        <v>8430</v>
      </c>
      <c r="R496" s="2">
        <f>_xll.IMDP("STK",표.실시간[[#This Row],[nxt_code]],"저가")</f>
        <v>8100</v>
      </c>
      <c r="S496">
        <f>_xll.IMDP("STK",표.실시간[[#This Row],[nxt_code]],"세션명")</f>
        <v>0</v>
      </c>
      <c r="T496">
        <f>_xll.IMDP("STK",표.실시간[[#This Row],[nxt_code]],"체결시간")</f>
        <v>0</v>
      </c>
      <c r="U496" s="2">
        <f>_xll.IMDP("STK","050890","현재가")</f>
        <v>8510</v>
      </c>
      <c r="V496">
        <f>_xll.IMDP("STK","050890","누적거래량")</f>
        <v>173053</v>
      </c>
    </row>
    <row r="497" spans="2:22" x14ac:dyDescent="0.3">
      <c r="B497">
        <v>489</v>
      </c>
      <c r="C497">
        <v>0</v>
      </c>
      <c r="D497">
        <f>IF(IFERROR(INDEX(표.kospi200[code],MATCH(표.실시간[[#This Row],[코드]],표.kospi200[code],0)),0)=0,0,1)</f>
        <v>0</v>
      </c>
      <c r="E497" t="s">
        <v>502</v>
      </c>
      <c r="F497">
        <v>39440</v>
      </c>
      <c r="G497" t="str">
        <f>ConvertStockCode(표.실시간[[#This Row],[코드]])</f>
        <v>N039440</v>
      </c>
      <c r="H497" s="2">
        <f>_xll.IMDP("STK",표.실시간[[#This Row],[nxt_code]],"현재가")</f>
        <v>36400</v>
      </c>
      <c r="I497" s="2">
        <f>_xll.IMDP("STK",표.실시간[[#This Row],[nxt_code]],"시가총액")/10^12</f>
        <v>0.56445651080000003</v>
      </c>
      <c r="J497" s="2">
        <f>표.실시간[[#This Row],[시가총액 (조원)]]/표.실시간[[#This Row],[현재가]]*(표.실시간[[#This Row],[현재가]]-표.실시간[[#This Row],[대비]])</f>
        <v>0.58849243365000004</v>
      </c>
      <c r="K497" s="3">
        <f>_xll.IMDP("STK",표.실시간[[#This Row],[nxt_code]],"전일대비")</f>
        <v>-1550</v>
      </c>
      <c r="L497">
        <f>_xll.IMDP("STK",표.실시간[[#This Row],[nxt_code]],"등락률")</f>
        <v>-4.08</v>
      </c>
      <c r="M497" s="2">
        <f>_xll.IMDP("STK",표.실시간[[#This Row],[nxt_code]],"누적거래량")</f>
        <v>209515</v>
      </c>
      <c r="N497" s="2">
        <f>_xll.IMDP("STK",표.실시간[[#This Row],[nxt_code]],"누적거래대금")/10^8</f>
        <v>76.002725999999996</v>
      </c>
      <c r="O497" s="2">
        <f>_xll.IMDP("STK",표.실시간[[#This Row],[nxt_code]],"가중평균가")</f>
        <v>36275.553540000001</v>
      </c>
      <c r="P497" s="2">
        <f>_xll.IMDP("STK",표.실시간[[#This Row],[nxt_code]],"시가")</f>
        <v>37600</v>
      </c>
      <c r="Q497" s="2">
        <f>_xll.IMDP("STK",표.실시간[[#This Row],[nxt_code]],"고가")</f>
        <v>37800</v>
      </c>
      <c r="R497" s="2">
        <f>_xll.IMDP("STK",표.실시간[[#This Row],[nxt_code]],"저가")</f>
        <v>35700</v>
      </c>
      <c r="S497">
        <f>_xll.IMDP("STK",표.실시간[[#This Row],[nxt_code]],"세션명")</f>
        <v>0</v>
      </c>
      <c r="T497">
        <f>_xll.IMDP("STK",표.실시간[[#This Row],[nxt_code]],"체결시간")</f>
        <v>0</v>
      </c>
      <c r="U497" s="2">
        <f>_xll.IMDP("STK","039440","현재가")</f>
        <v>36300</v>
      </c>
      <c r="V497">
        <f>_xll.IMDP("STK","039440","누적거래량")</f>
        <v>45566</v>
      </c>
    </row>
    <row r="498" spans="2:22" x14ac:dyDescent="0.3">
      <c r="B498">
        <v>490</v>
      </c>
      <c r="C498">
        <v>0</v>
      </c>
      <c r="D498">
        <f>IF(IFERROR(INDEX(표.kospi200[code],MATCH(표.실시간[[#This Row],[코드]],표.kospi200[code],0)),0)=0,0,1)</f>
        <v>0</v>
      </c>
      <c r="E498" t="s">
        <v>503</v>
      </c>
      <c r="F498">
        <v>394800</v>
      </c>
      <c r="G498" t="str">
        <f>ConvertStockCode(표.실시간[[#This Row],[코드]])</f>
        <v>N394800</v>
      </c>
      <c r="H498" s="2">
        <f>_xll.IMDP("STK",표.실시간[[#This Row],[nxt_code]],"현재가")</f>
        <v>15970</v>
      </c>
      <c r="I498" s="2">
        <f>_xll.IMDP("STK",표.실시간[[#This Row],[nxt_code]],"시가총액")/10^12</f>
        <v>0.50723077171999997</v>
      </c>
      <c r="J498" s="2">
        <f>표.실시간[[#This Row],[시가총액 (조원)]]/표.실시간[[#This Row],[현재가]]*(표.실시간[[#This Row],[현재가]]-표.실시간[[#This Row],[대비]])</f>
        <v>0.48690342707999995</v>
      </c>
      <c r="K498" s="3">
        <f>_xll.IMDP("STK",표.실시간[[#This Row],[nxt_code]],"전일대비")</f>
        <v>640</v>
      </c>
      <c r="L498">
        <f>_xll.IMDP("STK",표.실시간[[#This Row],[nxt_code]],"등락률")</f>
        <v>4.17</v>
      </c>
      <c r="M498" s="2">
        <f>_xll.IMDP("STK",표.실시간[[#This Row],[nxt_code]],"누적거래량")</f>
        <v>2257100</v>
      </c>
      <c r="N498" s="2">
        <f>_xll.IMDP("STK",표.실시간[[#This Row],[nxt_code]],"누적거래대금")/10^8</f>
        <v>380.86765279999997</v>
      </c>
      <c r="O498" s="2">
        <f>_xll.IMDP("STK",표.실시간[[#This Row],[nxt_code]],"가중평균가")</f>
        <v>16874.203748</v>
      </c>
      <c r="P498" s="2">
        <f>_xll.IMDP("STK",표.실시간[[#This Row],[nxt_code]],"시가")</f>
        <v>15330</v>
      </c>
      <c r="Q498" s="2">
        <f>_xll.IMDP("STK",표.실시간[[#This Row],[nxt_code]],"고가")</f>
        <v>17850</v>
      </c>
      <c r="R498" s="2">
        <f>_xll.IMDP("STK",표.실시간[[#This Row],[nxt_code]],"저가")</f>
        <v>15330</v>
      </c>
      <c r="S498">
        <f>_xll.IMDP("STK",표.실시간[[#This Row],[nxt_code]],"세션명")</f>
        <v>0</v>
      </c>
      <c r="T498">
        <f>_xll.IMDP("STK",표.실시간[[#This Row],[nxt_code]],"체결시간")</f>
        <v>0</v>
      </c>
      <c r="U498" s="2">
        <f>_xll.IMDP("STK","394800","현재가")</f>
        <v>15970</v>
      </c>
      <c r="V498">
        <f>_xll.IMDP("STK","394800","누적거래량")</f>
        <v>515534</v>
      </c>
    </row>
    <row r="499" spans="2:22" x14ac:dyDescent="0.3">
      <c r="B499">
        <v>491</v>
      </c>
      <c r="C499">
        <v>1</v>
      </c>
      <c r="D499">
        <f>IF(IFERROR(INDEX(표.kospi200[code],MATCH(표.실시간[[#This Row],[코드]],표.kospi200[code],0)),0)=0,0,1)</f>
        <v>0</v>
      </c>
      <c r="E499" t="s">
        <v>504</v>
      </c>
      <c r="F499">
        <v>170900</v>
      </c>
      <c r="G499" t="str">
        <f>ConvertStockCode(표.실시간[[#This Row],[코드]])</f>
        <v>N170900</v>
      </c>
      <c r="H499" s="2">
        <f>_xll.IMDP("STK",표.실시간[[#This Row],[nxt_code]],"현재가")</f>
        <v>54000</v>
      </c>
      <c r="I499" s="2">
        <f>_xll.IMDP("STK",표.실시간[[#This Row],[nxt_code]],"시가총액")/10^12</f>
        <v>0.50504315399999999</v>
      </c>
      <c r="J499" s="2">
        <f>표.실시간[[#This Row],[시가총액 (조원)]]/표.실시간[[#This Row],[현재가]]*(표.실시간[[#This Row],[현재가]]-표.실시간[[#This Row],[대비]])</f>
        <v>0.51252527479999999</v>
      </c>
      <c r="K499" s="3">
        <f>_xll.IMDP("STK",표.실시간[[#This Row],[nxt_code]],"전일대비")</f>
        <v>-800</v>
      </c>
      <c r="L499">
        <f>_xll.IMDP("STK",표.실시간[[#This Row],[nxt_code]],"등락률")</f>
        <v>-1.46</v>
      </c>
      <c r="M499" s="2">
        <f>_xll.IMDP("STK",표.실시간[[#This Row],[nxt_code]],"누적거래량")</f>
        <v>2441</v>
      </c>
      <c r="N499" s="2">
        <f>_xll.IMDP("STK",표.실시간[[#This Row],[nxt_code]],"누적거래대금")/10^8</f>
        <v>1.310773</v>
      </c>
      <c r="O499" s="2">
        <f>_xll.IMDP("STK",표.실시간[[#This Row],[nxt_code]],"가중평균가")</f>
        <v>53698.197460000003</v>
      </c>
      <c r="P499" s="2">
        <f>_xll.IMDP("STK",표.실시간[[#This Row],[nxt_code]],"시가")</f>
        <v>54100</v>
      </c>
      <c r="Q499" s="2">
        <f>_xll.IMDP("STK",표.실시간[[#This Row],[nxt_code]],"고가")</f>
        <v>54100</v>
      </c>
      <c r="R499" s="2">
        <f>_xll.IMDP("STK",표.실시간[[#This Row],[nxt_code]],"저가")</f>
        <v>53100</v>
      </c>
      <c r="S499">
        <f>_xll.IMDP("STK",표.실시간[[#This Row],[nxt_code]],"세션명")</f>
        <v>0</v>
      </c>
      <c r="T499">
        <f>_xll.IMDP("STK",표.실시간[[#This Row],[nxt_code]],"체결시간")</f>
        <v>0</v>
      </c>
      <c r="U499" s="2">
        <f>_xll.IMDP("STK","170900","현재가")</f>
        <v>53900</v>
      </c>
      <c r="V499">
        <f>_xll.IMDP("STK","170900","누적거래량")</f>
        <v>2528</v>
      </c>
    </row>
    <row r="500" spans="2:22" x14ac:dyDescent="0.3">
      <c r="B500">
        <v>492</v>
      </c>
      <c r="C500">
        <v>1</v>
      </c>
      <c r="D500">
        <f>IF(IFERROR(INDEX(표.kospi200[code],MATCH(표.실시간[[#This Row],[코드]],표.kospi200[code],0)),0)=0,0,1)</f>
        <v>0</v>
      </c>
      <c r="E500" t="s">
        <v>505</v>
      </c>
      <c r="F500">
        <v>4700</v>
      </c>
      <c r="G500" t="str">
        <f>ConvertStockCode(표.실시간[[#This Row],[코드]])</f>
        <v>N004700</v>
      </c>
      <c r="H500" s="2">
        <f>_xll.IMDP("STK",표.실시간[[#This Row],[nxt_code]],"현재가")</f>
        <v>75400</v>
      </c>
      <c r="I500" s="2">
        <f>_xll.IMDP("STK",표.실시간[[#This Row],[nxt_code]],"시가총액")/10^12</f>
        <v>0.50134500520000003</v>
      </c>
      <c r="J500" s="2">
        <f>표.실시간[[#This Row],[시가총액 (조원)]]/표.실시간[[#This Row],[현재가]]*(표.실시간[[#This Row],[현재가]]-표.실시간[[#This Row],[대비]])</f>
        <v>0.46676948760000003</v>
      </c>
      <c r="K500" s="3">
        <f>_xll.IMDP("STK",표.실시간[[#This Row],[nxt_code]],"전일대비")</f>
        <v>5200</v>
      </c>
      <c r="L500">
        <f>_xll.IMDP("STK",표.실시간[[#This Row],[nxt_code]],"등락률")</f>
        <v>8.49</v>
      </c>
      <c r="M500" s="2">
        <f>_xll.IMDP("STK",표.실시간[[#This Row],[nxt_code]],"누적거래량")</f>
        <v>32101</v>
      </c>
      <c r="N500" s="2">
        <f>_xll.IMDP("STK",표.실시간[[#This Row],[nxt_code]],"누적거래대금")/10^8</f>
        <v>25.862086000000001</v>
      </c>
      <c r="O500" s="2">
        <f>_xll.IMDP("STK",표.실시간[[#This Row],[nxt_code]],"가중평균가")</f>
        <v>80564.736300999997</v>
      </c>
      <c r="P500" s="2">
        <f>_xll.IMDP("STK",표.실시간[[#This Row],[nxt_code]],"시가")</f>
        <v>71500</v>
      </c>
      <c r="Q500" s="2">
        <f>_xll.IMDP("STK",표.실시간[[#This Row],[nxt_code]],"고가")</f>
        <v>86100</v>
      </c>
      <c r="R500" s="2">
        <f>_xll.IMDP("STK",표.실시간[[#This Row],[nxt_code]],"저가")</f>
        <v>71500</v>
      </c>
      <c r="S500">
        <f>_xll.IMDP("STK",표.실시간[[#This Row],[nxt_code]],"세션명")</f>
        <v>0</v>
      </c>
      <c r="T500">
        <f>_xll.IMDP("STK",표.실시간[[#This Row],[nxt_code]],"체결시간")</f>
        <v>0</v>
      </c>
      <c r="U500" s="2">
        <f>_xll.IMDP("STK","004700","현재가")</f>
        <v>76100</v>
      </c>
      <c r="V500">
        <f>_xll.IMDP("STK","004700","누적거래량")</f>
        <v>8360</v>
      </c>
    </row>
    <row r="501" spans="2:22" x14ac:dyDescent="0.3">
      <c r="B501">
        <v>493</v>
      </c>
      <c r="C501">
        <v>0</v>
      </c>
      <c r="D501">
        <f>IF(IFERROR(INDEX(표.kospi200[code],MATCH(표.실시간[[#This Row],[코드]],표.kospi200[code],0)),0)=0,0,1)</f>
        <v>0</v>
      </c>
      <c r="E501" t="s">
        <v>506</v>
      </c>
      <c r="F501">
        <v>450950</v>
      </c>
      <c r="G501" t="str">
        <f>ConvertStockCode(표.실시간[[#This Row],[코드]])</f>
        <v>N450950</v>
      </c>
      <c r="H501" s="2">
        <f>_xll.IMDP("STK",표.실시간[[#This Row],[nxt_code]],"현재가")</f>
        <v>14910</v>
      </c>
      <c r="I501" s="2">
        <f>_xll.IMDP("STK",표.실시간[[#This Row],[nxt_code]],"시가총액")/10^12</f>
        <v>0.55923074171999998</v>
      </c>
      <c r="J501" s="2">
        <f>표.실시간[[#This Row],[시가총액 (조원)]]/표.실시간[[#This Row],[현재가]]*(표.실시간[[#This Row],[현재가]]-표.실시간[[#This Row],[대비]])</f>
        <v>0.53710155743999999</v>
      </c>
      <c r="K501" s="3">
        <f>_xll.IMDP("STK",표.실시간[[#This Row],[nxt_code]],"전일대비")</f>
        <v>590</v>
      </c>
      <c r="L501">
        <f>_xll.IMDP("STK",표.실시간[[#This Row],[nxt_code]],"등락률")</f>
        <v>4.05</v>
      </c>
      <c r="M501" s="2">
        <f>_xll.IMDP("STK",표.실시간[[#This Row],[nxt_code]],"누적거래량")</f>
        <v>406439</v>
      </c>
      <c r="N501" s="2">
        <f>_xll.IMDP("STK",표.실시간[[#This Row],[nxt_code]],"누적거래대금")/10^8</f>
        <v>60.825936749999997</v>
      </c>
      <c r="O501" s="2">
        <f>_xll.IMDP("STK",표.실시간[[#This Row],[nxt_code]],"가중평균가")</f>
        <v>14963.263005000001</v>
      </c>
      <c r="P501" s="2">
        <f>_xll.IMDP("STK",표.실시간[[#This Row],[nxt_code]],"시가")</f>
        <v>14340</v>
      </c>
      <c r="Q501" s="2">
        <f>_xll.IMDP("STK",표.실시간[[#This Row],[nxt_code]],"고가")</f>
        <v>15560</v>
      </c>
      <c r="R501" s="2">
        <f>_xll.IMDP("STK",표.실시간[[#This Row],[nxt_code]],"저가")</f>
        <v>14290</v>
      </c>
      <c r="S501">
        <f>_xll.IMDP("STK",표.실시간[[#This Row],[nxt_code]],"세션명")</f>
        <v>0</v>
      </c>
      <c r="T501">
        <f>_xll.IMDP("STK",표.실시간[[#This Row],[nxt_code]],"체결시간")</f>
        <v>0</v>
      </c>
      <c r="U501" s="2">
        <f>_xll.IMDP("STK","450950","현재가")</f>
        <v>14920</v>
      </c>
      <c r="V501">
        <f>_xll.IMDP("STK","450950","누적거래량")</f>
        <v>81949</v>
      </c>
    </row>
    <row r="502" spans="2:22" x14ac:dyDescent="0.3">
      <c r="B502">
        <v>494</v>
      </c>
      <c r="C502">
        <v>1</v>
      </c>
      <c r="D502">
        <f>IF(IFERROR(INDEX(표.kospi200[code],MATCH(표.실시간[[#This Row],[코드]],표.kospi200[code],0)),0)=0,0,1)</f>
        <v>0</v>
      </c>
      <c r="E502" t="s">
        <v>507</v>
      </c>
      <c r="F502">
        <v>29530</v>
      </c>
      <c r="G502" t="str">
        <f>ConvertStockCode(표.실시간[[#This Row],[코드]])</f>
        <v>N029530</v>
      </c>
      <c r="H502" s="2">
        <f>_xll.IMDP("STK",표.실시간[[#This Row],[nxt_code]],"현재가")</f>
        <v>54900</v>
      </c>
      <c r="I502" s="2">
        <f>_xll.IMDP("STK",표.실시간[[#This Row],[nxt_code]],"시가총액")/10^12</f>
        <v>0.55339359210000005</v>
      </c>
      <c r="J502" s="2">
        <f>표.실시간[[#This Row],[시가총액 (조원)]]/표.실시간[[#This Row],[현재가]]*(표.실시간[[#This Row],[현재가]]-표.실시간[[#This Row],[대비]])</f>
        <v>0.47779337460000004</v>
      </c>
      <c r="K502" s="3">
        <f>_xll.IMDP("STK",표.실시간[[#This Row],[nxt_code]],"전일대비")</f>
        <v>7500</v>
      </c>
      <c r="L502">
        <f>_xll.IMDP("STK",표.실시간[[#This Row],[nxt_code]],"등락률")</f>
        <v>16.100000000000001</v>
      </c>
      <c r="M502" s="2">
        <f>_xll.IMDP("STK",표.실시간[[#This Row],[nxt_code]],"누적거래량")</f>
        <v>11413</v>
      </c>
      <c r="N502" s="2">
        <f>_xll.IMDP("STK",표.실시간[[#This Row],[nxt_code]],"누적거래대금")/10^8</f>
        <v>5.6628629999999998</v>
      </c>
      <c r="O502" s="2">
        <f>_xll.IMDP("STK",표.실시간[[#This Row],[nxt_code]],"가중평균가")</f>
        <v>49617.655305</v>
      </c>
      <c r="P502" s="2">
        <f>_xll.IMDP("STK",표.실시간[[#This Row],[nxt_code]],"시가")</f>
        <v>47300</v>
      </c>
      <c r="Q502" s="2">
        <f>_xll.IMDP("STK",표.실시간[[#This Row],[nxt_code]],"고가")</f>
        <v>54900</v>
      </c>
      <c r="R502" s="2">
        <f>_xll.IMDP("STK",표.실시간[[#This Row],[nxt_code]],"저가")</f>
        <v>47300</v>
      </c>
      <c r="S502">
        <f>_xll.IMDP("STK",표.실시간[[#This Row],[nxt_code]],"세션명")</f>
        <v>0</v>
      </c>
      <c r="T502">
        <f>_xll.IMDP("STK",표.실시간[[#This Row],[nxt_code]],"체결시간")</f>
        <v>0</v>
      </c>
      <c r="U502" s="2">
        <f>_xll.IMDP("STK","029530","현재가")</f>
        <v>54900</v>
      </c>
      <c r="V502">
        <f>_xll.IMDP("STK","029530","누적거래량")</f>
        <v>16312</v>
      </c>
    </row>
    <row r="503" spans="2:22" x14ac:dyDescent="0.3">
      <c r="B503">
        <v>495</v>
      </c>
      <c r="C503">
        <v>0</v>
      </c>
      <c r="D503">
        <f>IF(IFERROR(INDEX(표.kospi200[code],MATCH(표.실시간[[#This Row],[코드]],표.kospi200[code],0)),0)=0,0,1)</f>
        <v>0</v>
      </c>
      <c r="E503" t="s">
        <v>508</v>
      </c>
      <c r="F503">
        <v>45100</v>
      </c>
      <c r="G503" t="str">
        <f>ConvertStockCode(표.실시간[[#This Row],[코드]])</f>
        <v>N045100</v>
      </c>
      <c r="H503" s="2">
        <f>_xll.IMDP("STK",표.실시간[[#This Row],[nxt_code]],"현재가")</f>
        <v>31050</v>
      </c>
      <c r="I503" s="2">
        <f>_xll.IMDP("STK",표.실시간[[#This Row],[nxt_code]],"시가총액")/10^12</f>
        <v>0.55889999999999995</v>
      </c>
      <c r="J503" s="2">
        <f>표.실시간[[#This Row],[시가총액 (조원)]]/표.실시간[[#This Row],[현재가]]*(표.실시간[[#This Row],[현재가]]-표.실시간[[#This Row],[대비]])</f>
        <v>0.56879999999999986</v>
      </c>
      <c r="K503" s="3">
        <f>_xll.IMDP("STK",표.실시간[[#This Row],[nxt_code]],"전일대비")</f>
        <v>-550</v>
      </c>
      <c r="L503">
        <f>_xll.IMDP("STK",표.실시간[[#This Row],[nxt_code]],"등락률")</f>
        <v>-1.1100000000000001</v>
      </c>
      <c r="M503" s="2">
        <f>_xll.IMDP("STK",표.실시간[[#This Row],[nxt_code]],"누적거래량")</f>
        <v>40001</v>
      </c>
      <c r="N503" s="2">
        <f>_xll.IMDP("STK",표.실시간[[#This Row],[nxt_code]],"누적거래대금")/10^8</f>
        <v>12.32300375</v>
      </c>
      <c r="O503" s="2">
        <f>_xll.IMDP("STK",표.실시간[[#This Row],[nxt_code]],"가중평균가")</f>
        <v>30805.198984999999</v>
      </c>
      <c r="P503" s="2">
        <f>_xll.IMDP("STK",표.실시간[[#This Row],[nxt_code]],"시가")</f>
        <v>30500</v>
      </c>
      <c r="Q503" s="2">
        <f>_xll.IMDP("STK",표.실시간[[#This Row],[nxt_code]],"고가")</f>
        <v>31350</v>
      </c>
      <c r="R503" s="2">
        <f>_xll.IMDP("STK",표.실시간[[#This Row],[nxt_code]],"저가")</f>
        <v>30200</v>
      </c>
      <c r="S503">
        <f>_xll.IMDP("STK",표.실시간[[#This Row],[nxt_code]],"세션명")</f>
        <v>0</v>
      </c>
      <c r="T503">
        <f>_xll.IMDP("STK",표.실시간[[#This Row],[nxt_code]],"체결시간")</f>
        <v>0</v>
      </c>
      <c r="U503" s="2">
        <f>_xll.IMDP("STK","045100","현재가")</f>
        <v>31400</v>
      </c>
      <c r="V503">
        <f>_xll.IMDP("STK","045100","누적거래량")</f>
        <v>17404</v>
      </c>
    </row>
    <row r="504" spans="2:22" x14ac:dyDescent="0.3">
      <c r="B504">
        <v>496</v>
      </c>
      <c r="C504">
        <v>1</v>
      </c>
      <c r="D504">
        <f>IF(IFERROR(INDEX(표.kospi200[code],MATCH(표.실시간[[#This Row],[코드]],표.kospi200[code],0)),0)=0,0,1)</f>
        <v>0</v>
      </c>
      <c r="E504" t="s">
        <v>509</v>
      </c>
      <c r="F504">
        <v>178920</v>
      </c>
      <c r="G504" t="str">
        <f>ConvertStockCode(표.실시간[[#This Row],[코드]])</f>
        <v>N178920</v>
      </c>
      <c r="H504" s="2">
        <f>_xll.IMDP("STK",표.실시간[[#This Row],[nxt_code]],"현재가")</f>
        <v>16100</v>
      </c>
      <c r="I504" s="2">
        <f>_xll.IMDP("STK",표.실시간[[#This Row],[nxt_code]],"시가총액")/10^12</f>
        <v>0.47279778420000002</v>
      </c>
      <c r="J504" s="2">
        <f>표.실시간[[#This Row],[시가총액 (조원)]]/표.실시간[[#This Row],[현재가]]*(표.실시간[[#This Row],[현재가]]-표.실시간[[#This Row],[대비]])</f>
        <v>0.47632174284000001</v>
      </c>
      <c r="K504" s="3">
        <f>_xll.IMDP("STK",표.실시간[[#This Row],[nxt_code]],"전일대비")</f>
        <v>-120</v>
      </c>
      <c r="L504">
        <f>_xll.IMDP("STK",표.실시간[[#This Row],[nxt_code]],"등락률")</f>
        <v>-0.74</v>
      </c>
      <c r="M504" s="2">
        <f>_xll.IMDP("STK",표.실시간[[#This Row],[nxt_code]],"누적거래량")</f>
        <v>30603</v>
      </c>
      <c r="N504" s="2">
        <f>_xll.IMDP("STK",표.실시간[[#This Row],[nxt_code]],"누적거래대금")/10^8</f>
        <v>4.9632971000000001</v>
      </c>
      <c r="O504" s="2">
        <f>_xll.IMDP("STK",표.실시간[[#This Row],[nxt_code]],"가중평균가")</f>
        <v>16218.335131</v>
      </c>
      <c r="P504" s="2">
        <f>_xll.IMDP("STK",표.실시간[[#This Row],[nxt_code]],"시가")</f>
        <v>16260</v>
      </c>
      <c r="Q504" s="2">
        <f>_xll.IMDP("STK",표.실시간[[#This Row],[nxt_code]],"고가")</f>
        <v>16650</v>
      </c>
      <c r="R504" s="2">
        <f>_xll.IMDP("STK",표.실시간[[#This Row],[nxt_code]],"저가")</f>
        <v>15850</v>
      </c>
      <c r="S504">
        <f>_xll.IMDP("STK",표.실시간[[#This Row],[nxt_code]],"세션명")</f>
        <v>0</v>
      </c>
      <c r="T504">
        <f>_xll.IMDP("STK",표.실시간[[#This Row],[nxt_code]],"체결시간")</f>
        <v>0</v>
      </c>
      <c r="U504" s="2">
        <f>_xll.IMDP("STK","178920","현재가")</f>
        <v>16090</v>
      </c>
      <c r="V504">
        <f>_xll.IMDP("STK","178920","누적거래량")</f>
        <v>12350</v>
      </c>
    </row>
    <row r="505" spans="2:22" x14ac:dyDescent="0.3">
      <c r="B505">
        <v>497</v>
      </c>
      <c r="C505">
        <v>1</v>
      </c>
      <c r="D505">
        <f>IF(IFERROR(INDEX(표.kospi200[code],MATCH(표.실시간[[#This Row],[코드]],표.kospi200[code],0)),0)=0,0,1)</f>
        <v>0</v>
      </c>
      <c r="E505" t="s">
        <v>510</v>
      </c>
      <c r="F505">
        <v>70</v>
      </c>
      <c r="G505" t="str">
        <f>ConvertStockCode(표.실시간[[#This Row],[코드]])</f>
        <v>N000070</v>
      </c>
      <c r="H505" s="2">
        <f>_xll.IMDP("STK",표.실시간[[#This Row],[nxt_code]],"현재가")</f>
        <v>60300</v>
      </c>
      <c r="I505" s="2">
        <f>_xll.IMDP("STK",표.실시간[[#This Row],[nxt_code]],"시가총액")/10^12</f>
        <v>0.46812041729999998</v>
      </c>
      <c r="J505" s="2">
        <f>표.실시간[[#This Row],[시가총액 (조원)]]/표.실시간[[#This Row],[현재가]]*(표.실시간[[#This Row],[현재가]]-표.실시간[[#This Row],[대비]])</f>
        <v>0.47200201279999993</v>
      </c>
      <c r="K505" s="3">
        <f>_xll.IMDP("STK",표.실시간[[#This Row],[nxt_code]],"전일대비")</f>
        <v>-500</v>
      </c>
      <c r="L505">
        <f>_xll.IMDP("STK",표.실시간[[#This Row],[nxt_code]],"등락률")</f>
        <v>-0.82</v>
      </c>
      <c r="M505" s="2">
        <f>_xll.IMDP("STK",표.실시간[[#This Row],[nxt_code]],"누적거래량")</f>
        <v>662</v>
      </c>
      <c r="N505" s="2">
        <f>_xll.IMDP("STK",표.실시간[[#This Row],[nxt_code]],"누적거래대금")/10^8</f>
        <v>0.398281</v>
      </c>
      <c r="O505" s="2">
        <f>_xll.IMDP("STK",표.실시간[[#This Row],[nxt_code]],"가중평균가")</f>
        <v>60163.293051000001</v>
      </c>
      <c r="P505" s="2">
        <f>_xll.IMDP("STK",표.실시간[[#This Row],[nxt_code]],"시가")</f>
        <v>60800</v>
      </c>
      <c r="Q505" s="2">
        <f>_xll.IMDP("STK",표.실시간[[#This Row],[nxt_code]],"고가")</f>
        <v>60800</v>
      </c>
      <c r="R505" s="2">
        <f>_xll.IMDP("STK",표.실시간[[#This Row],[nxt_code]],"저가")</f>
        <v>59900</v>
      </c>
      <c r="S505">
        <f>_xll.IMDP("STK",표.실시간[[#This Row],[nxt_code]],"세션명")</f>
        <v>0</v>
      </c>
      <c r="T505">
        <f>_xll.IMDP("STK",표.실시간[[#This Row],[nxt_code]],"체결시간")</f>
        <v>0</v>
      </c>
      <c r="U505" s="2">
        <f>_xll.IMDP("STK","000070","현재가")</f>
        <v>60300</v>
      </c>
      <c r="V505">
        <f>_xll.IMDP("STK","000070","누적거래량")</f>
        <v>800</v>
      </c>
    </row>
    <row r="506" spans="2:22" x14ac:dyDescent="0.3">
      <c r="B506">
        <v>498</v>
      </c>
      <c r="C506">
        <v>1</v>
      </c>
      <c r="D506">
        <f>IF(IFERROR(INDEX(표.kospi200[code],MATCH(표.실시간[[#This Row],[코드]],표.kospi200[code],0)),0)=0,0,1)</f>
        <v>0</v>
      </c>
      <c r="E506" t="s">
        <v>511</v>
      </c>
      <c r="F506">
        <v>200880</v>
      </c>
      <c r="G506" t="str">
        <f>ConvertStockCode(표.실시간[[#This Row],[코드]])</f>
        <v>N200880</v>
      </c>
      <c r="H506" s="2">
        <f>_xll.IMDP("STK",표.실시간[[#This Row],[nxt_code]],"현재가")</f>
        <v>15210</v>
      </c>
      <c r="I506" s="2">
        <f>_xll.IMDP("STK",표.실시간[[#This Row],[nxt_code]],"시가총액")/10^12</f>
        <v>0.41110252676999998</v>
      </c>
      <c r="J506" s="2">
        <f>표.실시간[[#This Row],[시가총액 (조원)]]/표.실시간[[#This Row],[현재가]]*(표.실시간[[#This Row],[현재가]]-표.실시간[[#This Row],[대비]])</f>
        <v>0.40731854558999997</v>
      </c>
      <c r="K506" s="3">
        <f>_xll.IMDP("STK",표.실시간[[#This Row],[nxt_code]],"전일대비")</f>
        <v>140</v>
      </c>
      <c r="L506">
        <f>_xll.IMDP("STK",표.실시간[[#This Row],[nxt_code]],"등락률")</f>
        <v>0.93</v>
      </c>
      <c r="M506" s="2">
        <f>_xll.IMDP("STK",표.실시간[[#This Row],[nxt_code]],"누적거래량")</f>
        <v>75168</v>
      </c>
      <c r="N506" s="2">
        <f>_xll.IMDP("STK",표.실시간[[#This Row],[nxt_code]],"누적거래대금")/10^8</f>
        <v>11.1579161</v>
      </c>
      <c r="O506" s="2">
        <f>_xll.IMDP("STK",표.실시간[[#This Row],[nxt_code]],"가중평균가")</f>
        <v>14843.970971999999</v>
      </c>
      <c r="P506" s="2">
        <f>_xll.IMDP("STK",표.실시간[[#This Row],[nxt_code]],"시가")</f>
        <v>15050</v>
      </c>
      <c r="Q506" s="2">
        <f>_xll.IMDP("STK",표.실시간[[#This Row],[nxt_code]],"고가")</f>
        <v>15220</v>
      </c>
      <c r="R506" s="2">
        <f>_xll.IMDP("STK",표.실시간[[#This Row],[nxt_code]],"저가")</f>
        <v>14760</v>
      </c>
      <c r="S506">
        <f>_xll.IMDP("STK",표.실시간[[#This Row],[nxt_code]],"세션명")</f>
        <v>0</v>
      </c>
      <c r="T506">
        <f>_xll.IMDP("STK",표.실시간[[#This Row],[nxt_code]],"체결시간")</f>
        <v>0</v>
      </c>
      <c r="U506" s="2">
        <f>_xll.IMDP("STK","200880","현재가")</f>
        <v>15190</v>
      </c>
      <c r="V506">
        <f>_xll.IMDP("STK","200880","누적거래량")</f>
        <v>26802</v>
      </c>
    </row>
    <row r="507" spans="2:22" x14ac:dyDescent="0.3">
      <c r="B507">
        <v>499</v>
      </c>
      <c r="C507">
        <v>0</v>
      </c>
      <c r="D507">
        <f>IF(IFERROR(INDEX(표.kospi200[code],MATCH(표.실시간[[#This Row],[코드]],표.kospi200[code],0)),0)=0,0,1)</f>
        <v>0</v>
      </c>
      <c r="E507" t="s">
        <v>512</v>
      </c>
      <c r="F507">
        <v>104830</v>
      </c>
      <c r="G507" t="str">
        <f>ConvertStockCode(표.실시간[[#This Row],[코드]])</f>
        <v>N104830</v>
      </c>
      <c r="H507" s="2">
        <f>_xll.IMDP("STK",표.실시간[[#This Row],[nxt_code]],"현재가")</f>
        <v>39050</v>
      </c>
      <c r="I507" s="2">
        <f>_xll.IMDP("STK",표.실시간[[#This Row],[nxt_code]],"시가총액")/10^12</f>
        <v>0.49234240000000001</v>
      </c>
      <c r="J507" s="2">
        <f>표.실시간[[#This Row],[시가총액 (조원)]]/표.실시간[[#This Row],[현재가]]*(표.실시간[[#This Row],[현재가]]-표.실시간[[#This Row],[대비]])</f>
        <v>0.50621119999999997</v>
      </c>
      <c r="K507" s="3">
        <f>_xll.IMDP("STK",표.실시간[[#This Row],[nxt_code]],"전일대비")</f>
        <v>-1100</v>
      </c>
      <c r="L507">
        <f>_xll.IMDP("STK",표.실시간[[#This Row],[nxt_code]],"등락률")</f>
        <v>-2.74</v>
      </c>
      <c r="M507" s="2">
        <f>_xll.IMDP("STK",표.실시간[[#This Row],[nxt_code]],"누적거래량")</f>
        <v>22973</v>
      </c>
      <c r="N507" s="2">
        <f>_xll.IMDP("STK",표.실시간[[#This Row],[nxt_code]],"누적거래대금")/10^8</f>
        <v>8.8408040000000003</v>
      </c>
      <c r="O507" s="2">
        <f>_xll.IMDP("STK",표.실시간[[#This Row],[nxt_code]],"가중평균가")</f>
        <v>38483.454489999996</v>
      </c>
      <c r="P507" s="2">
        <f>_xll.IMDP("STK",표.실시간[[#This Row],[nxt_code]],"시가")</f>
        <v>39800</v>
      </c>
      <c r="Q507" s="2">
        <f>_xll.IMDP("STK",표.실시간[[#This Row],[nxt_code]],"고가")</f>
        <v>39800</v>
      </c>
      <c r="R507" s="2">
        <f>_xll.IMDP("STK",표.실시간[[#This Row],[nxt_code]],"저가")</f>
        <v>38050</v>
      </c>
      <c r="S507">
        <f>_xll.IMDP("STK",표.실시간[[#This Row],[nxt_code]],"세션명")</f>
        <v>0</v>
      </c>
      <c r="T507">
        <f>_xll.IMDP("STK",표.실시간[[#This Row],[nxt_code]],"체결시간")</f>
        <v>0</v>
      </c>
      <c r="U507" s="2">
        <f>_xll.IMDP("STK","104830","현재가")</f>
        <v>39000</v>
      </c>
      <c r="V507">
        <f>_xll.IMDP("STK","104830","누적거래량")</f>
        <v>8047</v>
      </c>
    </row>
    <row r="508" spans="2:22" x14ac:dyDescent="0.3">
      <c r="B508">
        <v>500</v>
      </c>
      <c r="C508">
        <v>1</v>
      </c>
      <c r="D508">
        <f>IF(IFERROR(INDEX(표.kospi200[code],MATCH(표.실시간[[#This Row],[코드]],표.kospi200[code],0)),0)=0,0,1)</f>
        <v>0</v>
      </c>
      <c r="E508" t="s">
        <v>513</v>
      </c>
      <c r="F508">
        <v>60980</v>
      </c>
      <c r="G508" t="str">
        <f>ConvertStockCode(표.실시간[[#This Row],[코드]])</f>
        <v>N060980</v>
      </c>
      <c r="H508" s="2">
        <f>_xll.IMDP("STK",표.실시간[[#This Row],[nxt_code]],"현재가")</f>
        <v>45150</v>
      </c>
      <c r="I508" s="2">
        <f>_xll.IMDP("STK",표.실시간[[#This Row],[nxt_code]],"시가총액")/10^12</f>
        <v>0.41598848654999998</v>
      </c>
      <c r="J508" s="2">
        <f>표.실시간[[#This Row],[시가총액 (조원)]]/표.실시간[[#This Row],[현재가]]*(표.실시간[[#This Row],[현재가]]-표.실시간[[#This Row],[대비]])</f>
        <v>0.41921320349999996</v>
      </c>
      <c r="K508" s="3">
        <f>_xll.IMDP("STK",표.실시간[[#This Row],[nxt_code]],"전일대비")</f>
        <v>-350</v>
      </c>
      <c r="L508">
        <f>_xll.IMDP("STK",표.실시간[[#This Row],[nxt_code]],"등락률")</f>
        <v>-0.77</v>
      </c>
      <c r="M508" s="2">
        <f>_xll.IMDP("STK",표.실시간[[#This Row],[nxt_code]],"누적거래량")</f>
        <v>7052</v>
      </c>
      <c r="N508" s="2">
        <f>_xll.IMDP("STK",표.실시간[[#This Row],[nxt_code]],"누적거래대금")/10^8</f>
        <v>3.1638660000000001</v>
      </c>
      <c r="O508" s="2">
        <f>_xll.IMDP("STK",표.실시간[[#This Row],[nxt_code]],"가중평균가")</f>
        <v>44864.804311</v>
      </c>
      <c r="P508" s="2">
        <f>_xll.IMDP("STK",표.실시간[[#This Row],[nxt_code]],"시가")</f>
        <v>45550</v>
      </c>
      <c r="Q508" s="2">
        <f>_xll.IMDP("STK",표.실시간[[#This Row],[nxt_code]],"고가")</f>
        <v>45550</v>
      </c>
      <c r="R508" s="2">
        <f>_xll.IMDP("STK",표.실시간[[#This Row],[nxt_code]],"저가")</f>
        <v>44700</v>
      </c>
      <c r="S508">
        <f>_xll.IMDP("STK",표.실시간[[#This Row],[nxt_code]],"세션명")</f>
        <v>0</v>
      </c>
      <c r="T508">
        <f>_xll.IMDP("STK",표.실시간[[#This Row],[nxt_code]],"체결시간")</f>
        <v>0</v>
      </c>
      <c r="U508" s="2">
        <f>_xll.IMDP("STK","060980","현재가")</f>
        <v>45150</v>
      </c>
      <c r="V508">
        <f>_xll.IMDP("STK","060980","누적거래량")</f>
        <v>5638</v>
      </c>
    </row>
    <row r="509" spans="2:22" x14ac:dyDescent="0.3">
      <c r="B509">
        <v>501</v>
      </c>
      <c r="C509">
        <v>0</v>
      </c>
      <c r="D509">
        <f>IF(IFERROR(INDEX(표.kospi200[code],MATCH(표.실시간[[#This Row],[코드]],표.kospi200[code],0)),0)=0,0,1)</f>
        <v>0</v>
      </c>
      <c r="E509" t="s">
        <v>514</v>
      </c>
      <c r="F509">
        <v>53030</v>
      </c>
      <c r="G509" t="str">
        <f>ConvertStockCode(표.실시간[[#This Row],[코드]])</f>
        <v>N053030</v>
      </c>
      <c r="H509" s="2">
        <f>_xll.IMDP("STK",표.실시간[[#This Row],[nxt_code]],"현재가")</f>
        <v>15970</v>
      </c>
      <c r="I509" s="2">
        <f>_xll.IMDP("STK",표.실시간[[#This Row],[nxt_code]],"시가총액")/10^12</f>
        <v>0.52196648235999998</v>
      </c>
      <c r="J509" s="2">
        <f>표.실시간[[#This Row],[시가총액 (조원)]]/표.실시간[[#This Row],[현재가]]*(표.실시간[[#This Row],[현재가]]-표.실시간[[#This Row],[대비]])</f>
        <v>0.53275226440000001</v>
      </c>
      <c r="K509" s="3">
        <f>_xll.IMDP("STK",표.실시간[[#This Row],[nxt_code]],"전일대비")</f>
        <v>-330</v>
      </c>
      <c r="L509">
        <f>_xll.IMDP("STK",표.실시간[[#This Row],[nxt_code]],"등락률")</f>
        <v>-2.02</v>
      </c>
      <c r="M509" s="2">
        <f>_xll.IMDP("STK",표.실시간[[#This Row],[nxt_code]],"누적거래량")</f>
        <v>80019</v>
      </c>
      <c r="N509" s="2">
        <f>_xll.IMDP("STK",표.실시간[[#This Row],[nxt_code]],"누적거래대금")/10^8</f>
        <v>12.6464698</v>
      </c>
      <c r="O509" s="2">
        <f>_xll.IMDP("STK",표.실시간[[#This Row],[nxt_code]],"가중평균가")</f>
        <v>15804.333721000001</v>
      </c>
      <c r="P509" s="2">
        <f>_xll.IMDP("STK",표.실시간[[#This Row],[nxt_code]],"시가")</f>
        <v>16170</v>
      </c>
      <c r="Q509" s="2">
        <f>_xll.IMDP("STK",표.실시간[[#This Row],[nxt_code]],"고가")</f>
        <v>16290</v>
      </c>
      <c r="R509" s="2">
        <f>_xll.IMDP("STK",표.실시간[[#This Row],[nxt_code]],"저가")</f>
        <v>15520</v>
      </c>
      <c r="S509">
        <f>_xll.IMDP("STK",표.실시간[[#This Row],[nxt_code]],"세션명")</f>
        <v>0</v>
      </c>
      <c r="T509">
        <f>_xll.IMDP("STK",표.실시간[[#This Row],[nxt_code]],"체결시간")</f>
        <v>0</v>
      </c>
      <c r="U509" s="2">
        <f>_xll.IMDP("STK","053030","현재가")</f>
        <v>15900</v>
      </c>
      <c r="V509">
        <f>_xll.IMDP("STK","053030","누적거래량")</f>
        <v>42305</v>
      </c>
    </row>
    <row r="510" spans="2:22" x14ac:dyDescent="0.3">
      <c r="B510">
        <v>502</v>
      </c>
      <c r="C510">
        <v>0</v>
      </c>
      <c r="D510">
        <f>IF(IFERROR(INDEX(표.kospi200[code],MATCH(표.실시간[[#This Row],[코드]],표.kospi200[code],0)),0)=0,0,1)</f>
        <v>0</v>
      </c>
      <c r="E510" t="s">
        <v>515</v>
      </c>
      <c r="F510">
        <v>200670</v>
      </c>
      <c r="G510" t="str">
        <f>ConvertStockCode(표.실시간[[#This Row],[코드]])</f>
        <v>N200670</v>
      </c>
      <c r="H510" s="2">
        <f>_xll.IMDP("STK",표.실시간[[#This Row],[nxt_code]],"현재가")</f>
        <v>42950</v>
      </c>
      <c r="I510" s="2">
        <f>_xll.IMDP("STK",표.실시간[[#This Row],[nxt_code]],"시가총액")/10^12</f>
        <v>0.48232549349999998</v>
      </c>
      <c r="J510" s="2">
        <f>표.실시간[[#This Row],[시가총액 (조원)]]/표.실시간[[#This Row],[현재가]]*(표.실시간[[#This Row],[현재가]]-표.실시간[[#This Row],[대비]])</f>
        <v>0.49130943749999995</v>
      </c>
      <c r="K510" s="3">
        <f>_xll.IMDP("STK",표.실시간[[#This Row],[nxt_code]],"전일대비")</f>
        <v>-800</v>
      </c>
      <c r="L510">
        <f>_xll.IMDP("STK",표.실시간[[#This Row],[nxt_code]],"등락률")</f>
        <v>-1.94</v>
      </c>
      <c r="M510" s="2">
        <f>_xll.IMDP("STK",표.실시간[[#This Row],[nxt_code]],"누적거래량")</f>
        <v>20901</v>
      </c>
      <c r="N510" s="2">
        <f>_xll.IMDP("STK",표.실시간[[#This Row],[nxt_code]],"누적거래대금")/10^8</f>
        <v>8.9237859999999998</v>
      </c>
      <c r="O510" s="2">
        <f>_xll.IMDP("STK",표.실시간[[#This Row],[nxt_code]],"가중평균가")</f>
        <v>42695.497822999998</v>
      </c>
      <c r="P510" s="2">
        <f>_xll.IMDP("STK",표.실시간[[#This Row],[nxt_code]],"시가")</f>
        <v>43750</v>
      </c>
      <c r="Q510" s="2">
        <f>_xll.IMDP("STK",표.실시간[[#This Row],[nxt_code]],"고가")</f>
        <v>43750</v>
      </c>
      <c r="R510" s="2">
        <f>_xll.IMDP("STK",표.실시간[[#This Row],[nxt_code]],"저가")</f>
        <v>42400</v>
      </c>
      <c r="S510">
        <f>_xll.IMDP("STK",표.실시간[[#This Row],[nxt_code]],"세션명")</f>
        <v>0</v>
      </c>
      <c r="T510">
        <f>_xll.IMDP("STK",표.실시간[[#This Row],[nxt_code]],"체결시간")</f>
        <v>0</v>
      </c>
      <c r="U510" s="2">
        <f>_xll.IMDP("STK","200670","현재가")</f>
        <v>42900</v>
      </c>
      <c r="V510">
        <f>_xll.IMDP("STK","200670","누적거래량")</f>
        <v>10161</v>
      </c>
    </row>
    <row r="511" spans="2:22" x14ac:dyDescent="0.3">
      <c r="B511">
        <v>503</v>
      </c>
      <c r="C511">
        <v>0</v>
      </c>
      <c r="D511">
        <f>IF(IFERROR(INDEX(표.kospi200[code],MATCH(표.실시간[[#This Row],[코드]],표.kospi200[code],0)),0)=0,0,1)</f>
        <v>0</v>
      </c>
      <c r="E511" t="s">
        <v>516</v>
      </c>
      <c r="F511">
        <v>34950</v>
      </c>
      <c r="G511" t="str">
        <f>ConvertStockCode(표.실시간[[#This Row],[코드]])</f>
        <v>N034950</v>
      </c>
      <c r="H511" s="2">
        <f>_xll.IMDP("STK",표.실시간[[#This Row],[nxt_code]],"현재가")</f>
        <v>96300</v>
      </c>
      <c r="I511" s="2">
        <f>_xll.IMDP("STK",표.실시간[[#This Row],[nxt_code]],"시가총액")/10^12</f>
        <v>0.43725149819999998</v>
      </c>
      <c r="J511" s="2">
        <f>표.실시간[[#This Row],[시가총액 (조원)]]/표.실시간[[#This Row],[현재가]]*(표.실시간[[#This Row],[현재가]]-표.실시간[[#This Row],[대비]])</f>
        <v>0.43997580660000002</v>
      </c>
      <c r="K511" s="3">
        <f>_xll.IMDP("STK",표.실시간[[#This Row],[nxt_code]],"전일대비")</f>
        <v>-600</v>
      </c>
      <c r="L511">
        <f>_xll.IMDP("STK",표.실시간[[#This Row],[nxt_code]],"등락률")</f>
        <v>-0.62</v>
      </c>
      <c r="M511" s="2">
        <f>_xll.IMDP("STK",표.실시간[[#This Row],[nxt_code]],"누적거래량")</f>
        <v>113</v>
      </c>
      <c r="N511" s="2">
        <f>_xll.IMDP("STK",표.실시간[[#This Row],[nxt_code]],"누적거래대금")/10^8</f>
        <v>0.108926</v>
      </c>
      <c r="O511" s="2">
        <f>_xll.IMDP("STK",표.실시간[[#This Row],[nxt_code]],"가중평균가")</f>
        <v>96394.690264999997</v>
      </c>
      <c r="P511" s="2">
        <f>_xll.IMDP("STK",표.실시간[[#This Row],[nxt_code]],"시가")</f>
        <v>96900</v>
      </c>
      <c r="Q511" s="2">
        <f>_xll.IMDP("STK",표.실시간[[#This Row],[nxt_code]],"고가")</f>
        <v>97000</v>
      </c>
      <c r="R511" s="2">
        <f>_xll.IMDP("STK",표.실시간[[#This Row],[nxt_code]],"저가")</f>
        <v>96300</v>
      </c>
      <c r="S511">
        <f>_xll.IMDP("STK",표.실시간[[#This Row],[nxt_code]],"세션명")</f>
        <v>0</v>
      </c>
      <c r="T511">
        <f>_xll.IMDP("STK",표.실시간[[#This Row],[nxt_code]],"체결시간")</f>
        <v>0</v>
      </c>
      <c r="U511" s="2">
        <f>_xll.IMDP("STK","034950","현재가")</f>
        <v>96600</v>
      </c>
      <c r="V511">
        <f>_xll.IMDP("STK","034950","누적거래량")</f>
        <v>79</v>
      </c>
    </row>
    <row r="512" spans="2:22" x14ac:dyDescent="0.3">
      <c r="B512">
        <v>504</v>
      </c>
      <c r="C512">
        <v>0</v>
      </c>
      <c r="D512">
        <f>IF(IFERROR(INDEX(표.kospi200[code],MATCH(표.실시간[[#This Row],[코드]],표.kospi200[code],0)),0)=0,0,1)</f>
        <v>0</v>
      </c>
      <c r="E512" t="s">
        <v>517</v>
      </c>
      <c r="F512">
        <v>58970</v>
      </c>
      <c r="G512" t="str">
        <f>ConvertStockCode(표.실시간[[#This Row],[코드]])</f>
        <v>N058970</v>
      </c>
      <c r="H512" s="2">
        <f>_xll.IMDP("STK",표.실시간[[#This Row],[nxt_code]],"현재가")</f>
        <v>40350</v>
      </c>
      <c r="I512" s="2">
        <f>_xll.IMDP("STK",표.실시간[[#This Row],[nxt_code]],"시가총액")/10^12</f>
        <v>0.49876247639999999</v>
      </c>
      <c r="J512" s="2">
        <f>표.실시간[[#This Row],[시가총액 (조원)]]/표.실시간[[#This Row],[현재가]]*(표.실시간[[#This Row],[현재가]]-표.실시간[[#This Row],[대비]])</f>
        <v>0.52039405839999997</v>
      </c>
      <c r="K512" s="3">
        <f>_xll.IMDP("STK",표.실시간[[#This Row],[nxt_code]],"전일대비")</f>
        <v>-1750</v>
      </c>
      <c r="L512">
        <f>_xll.IMDP("STK",표.실시간[[#This Row],[nxt_code]],"등락률")</f>
        <v>-4.2699999999999996</v>
      </c>
      <c r="M512" s="2">
        <f>_xll.IMDP("STK",표.실시간[[#This Row],[nxt_code]],"누적거래량")</f>
        <v>16120</v>
      </c>
      <c r="N512" s="2">
        <f>_xll.IMDP("STK",표.실시간[[#This Row],[nxt_code]],"누적거래대금")/10^8</f>
        <v>6.5734465000000002</v>
      </c>
      <c r="O512" s="2">
        <f>_xll.IMDP("STK",표.실시간[[#This Row],[nxt_code]],"가중평균가")</f>
        <v>40742.819512000002</v>
      </c>
      <c r="P512" s="2">
        <f>_xll.IMDP("STK",표.실시간[[#This Row],[nxt_code]],"시가")</f>
        <v>42150</v>
      </c>
      <c r="Q512" s="2">
        <f>_xll.IMDP("STK",표.실시간[[#This Row],[nxt_code]],"고가")</f>
        <v>42250</v>
      </c>
      <c r="R512" s="2">
        <f>_xll.IMDP("STK",표.실시간[[#This Row],[nxt_code]],"저가")</f>
        <v>40100</v>
      </c>
      <c r="S512">
        <f>_xll.IMDP("STK",표.실시간[[#This Row],[nxt_code]],"세션명")</f>
        <v>0</v>
      </c>
      <c r="T512">
        <f>_xll.IMDP("STK",표.실시간[[#This Row],[nxt_code]],"체결시간")</f>
        <v>0</v>
      </c>
      <c r="U512" s="2">
        <f>_xll.IMDP("STK","058970","현재가")</f>
        <v>40850</v>
      </c>
      <c r="V512">
        <f>_xll.IMDP("STK","058970","누적거래량")</f>
        <v>14121</v>
      </c>
    </row>
    <row r="513" spans="2:22" x14ac:dyDescent="0.3">
      <c r="B513">
        <v>505</v>
      </c>
      <c r="C513">
        <v>0</v>
      </c>
      <c r="D513">
        <f>IF(IFERROR(INDEX(표.kospi200[code],MATCH(표.실시간[[#This Row],[코드]],표.kospi200[code],0)),0)=0,0,1)</f>
        <v>0</v>
      </c>
      <c r="E513" t="s">
        <v>518</v>
      </c>
      <c r="F513">
        <v>98070</v>
      </c>
      <c r="G513" t="str">
        <f>ConvertStockCode(표.실시간[[#This Row],[코드]])</f>
        <v>N098070</v>
      </c>
      <c r="H513" s="2">
        <f>_xll.IMDP("STK",표.실시간[[#This Row],[nxt_code]],"현재가")</f>
        <v>35400</v>
      </c>
      <c r="I513" s="2">
        <f>_xll.IMDP("STK",표.실시간[[#This Row],[nxt_code]],"시가총액")/10^12</f>
        <v>0.3936883914</v>
      </c>
      <c r="J513" s="2">
        <f>표.실시간[[#This Row],[시가총액 (조원)]]/표.실시간[[#This Row],[현재가]]*(표.실시간[[#This Row],[현재가]]-표.실시간[[#This Row],[대비]])</f>
        <v>0.40258530419999999</v>
      </c>
      <c r="K513" s="3">
        <f>_xll.IMDP("STK",표.실시간[[#This Row],[nxt_code]],"전일대비")</f>
        <v>-800</v>
      </c>
      <c r="L513">
        <f>_xll.IMDP("STK",표.실시간[[#This Row],[nxt_code]],"등락률")</f>
        <v>-2.21</v>
      </c>
      <c r="M513" s="2">
        <f>_xll.IMDP("STK",표.실시간[[#This Row],[nxt_code]],"누적거래량")</f>
        <v>14173</v>
      </c>
      <c r="N513" s="2">
        <f>_xll.IMDP("STK",표.실시간[[#This Row],[nxt_code]],"누적거래대금")/10^8</f>
        <v>5.0141125000000004</v>
      </c>
      <c r="O513" s="2">
        <f>_xll.IMDP("STK",표.실시간[[#This Row],[nxt_code]],"가중평균가")</f>
        <v>35377.919283000003</v>
      </c>
      <c r="P513" s="2">
        <f>_xll.IMDP("STK",표.실시간[[#This Row],[nxt_code]],"시가")</f>
        <v>36800</v>
      </c>
      <c r="Q513" s="2">
        <f>_xll.IMDP("STK",표.실시간[[#This Row],[nxt_code]],"고가")</f>
        <v>36800</v>
      </c>
      <c r="R513" s="2">
        <f>_xll.IMDP("STK",표.실시간[[#This Row],[nxt_code]],"저가")</f>
        <v>34900</v>
      </c>
      <c r="S513">
        <f>_xll.IMDP("STK",표.실시간[[#This Row],[nxt_code]],"세션명")</f>
        <v>0</v>
      </c>
      <c r="T513">
        <f>_xll.IMDP("STK",표.실시간[[#This Row],[nxt_code]],"체결시간")</f>
        <v>0</v>
      </c>
      <c r="U513" s="2">
        <f>_xll.IMDP("STK","098070","현재가")</f>
        <v>35400</v>
      </c>
      <c r="V513">
        <f>_xll.IMDP("STK","098070","누적거래량")</f>
        <v>7180</v>
      </c>
    </row>
    <row r="514" spans="2:22" x14ac:dyDescent="0.3">
      <c r="B514">
        <v>506</v>
      </c>
      <c r="C514">
        <v>1</v>
      </c>
      <c r="D514">
        <f>IF(IFERROR(INDEX(표.kospi200[code],MATCH(표.실시간[[#This Row],[코드]],표.kospi200[code],0)),0)=0,0,1)</f>
        <v>0</v>
      </c>
      <c r="E514" t="s">
        <v>519</v>
      </c>
      <c r="F514">
        <v>5610</v>
      </c>
      <c r="G514" t="str">
        <f>ConvertStockCode(표.실시간[[#This Row],[코드]])</f>
        <v>N005610</v>
      </c>
      <c r="H514" s="2">
        <f>_xll.IMDP("STK",표.실시간[[#This Row],[nxt_code]],"현재가")</f>
        <v>50600</v>
      </c>
      <c r="I514" s="2">
        <f>_xll.IMDP("STK",표.실시간[[#This Row],[nxt_code]],"시가총액")/10^12</f>
        <v>0.43662785539999999</v>
      </c>
      <c r="J514" s="2">
        <f>표.실시간[[#This Row],[시가총액 (조원)]]/표.실시간[[#This Row],[현재가]]*(표.실시간[[#This Row],[현재가]]-표.실시간[[#This Row],[대비]])</f>
        <v>0.43576495449999997</v>
      </c>
      <c r="K514" s="3">
        <f>_xll.IMDP("STK",표.실시간[[#This Row],[nxt_code]],"전일대비")</f>
        <v>100</v>
      </c>
      <c r="L514">
        <f>_xll.IMDP("STK",표.실시간[[#This Row],[nxt_code]],"등락률")</f>
        <v>0.2</v>
      </c>
      <c r="M514" s="2">
        <f>_xll.IMDP("STK",표.실시간[[#This Row],[nxt_code]],"누적거래량")</f>
        <v>230</v>
      </c>
      <c r="N514" s="2">
        <f>_xll.IMDP("STK",표.실시간[[#This Row],[nxt_code]],"누적거래대금")/10^8</f>
        <v>0.11643000000000001</v>
      </c>
      <c r="O514" s="2">
        <f>_xll.IMDP("STK",표.실시간[[#This Row],[nxt_code]],"가중평균가")</f>
        <v>50621.739130000002</v>
      </c>
      <c r="P514" s="2">
        <f>_xll.IMDP("STK",표.실시간[[#This Row],[nxt_code]],"시가")</f>
        <v>50800</v>
      </c>
      <c r="Q514" s="2">
        <f>_xll.IMDP("STK",표.실시간[[#This Row],[nxt_code]],"고가")</f>
        <v>50800</v>
      </c>
      <c r="R514" s="2">
        <f>_xll.IMDP("STK",표.실시간[[#This Row],[nxt_code]],"저가")</f>
        <v>50400</v>
      </c>
      <c r="S514">
        <f>_xll.IMDP("STK",표.실시간[[#This Row],[nxt_code]],"세션명")</f>
        <v>0</v>
      </c>
      <c r="T514">
        <f>_xll.IMDP("STK",표.실시간[[#This Row],[nxt_code]],"체결시간")</f>
        <v>0</v>
      </c>
      <c r="U514" s="2">
        <f>_xll.IMDP("STK","005610","현재가")</f>
        <v>50600</v>
      </c>
      <c r="V514">
        <f>_xll.IMDP("STK","005610","누적거래량")</f>
        <v>734</v>
      </c>
    </row>
    <row r="515" spans="2:22" x14ac:dyDescent="0.3">
      <c r="B515">
        <v>507</v>
      </c>
      <c r="C515">
        <v>1</v>
      </c>
      <c r="D515">
        <f>IF(IFERROR(INDEX(표.kospi200[code],MATCH(표.실시간[[#This Row],[코드]],표.kospi200[code],0)),0)=0,0,1)</f>
        <v>0</v>
      </c>
      <c r="E515" t="s">
        <v>520</v>
      </c>
      <c r="F515">
        <v>6220</v>
      </c>
      <c r="G515" t="str">
        <f>ConvertStockCode(표.실시간[[#This Row],[코드]])</f>
        <v>N006220</v>
      </c>
      <c r="H515" s="2">
        <f>_xll.IMDP("STK",표.실시간[[#This Row],[nxt_code]],"현재가")</f>
        <v>14210</v>
      </c>
      <c r="I515" s="2">
        <f>_xll.IMDP("STK",표.실시간[[#This Row],[nxt_code]],"시가총액")/10^12</f>
        <v>0.53711749497000005</v>
      </c>
      <c r="J515" s="2">
        <f>표.실시간[[#This Row],[시가총액 (조원)]]/표.실시간[[#This Row],[현재가]]*(표.실시간[[#This Row],[현재가]]-표.실시간[[#This Row],[대비]])</f>
        <v>0.53522756712000008</v>
      </c>
      <c r="K515" s="3">
        <f>_xll.IMDP("STK",표.실시간[[#This Row],[nxt_code]],"전일대비")</f>
        <v>50</v>
      </c>
      <c r="L515">
        <f>_xll.IMDP("STK",표.실시간[[#This Row],[nxt_code]],"등락률")</f>
        <v>0.28000000000000003</v>
      </c>
      <c r="M515" s="2">
        <f>_xll.IMDP("STK",표.실시간[[#This Row],[nxt_code]],"누적거래량")</f>
        <v>858337</v>
      </c>
      <c r="N515" s="2">
        <f>_xll.IMDP("STK",표.실시간[[#This Row],[nxt_code]],"누적거래대금")/10^8</f>
        <v>124.4024999</v>
      </c>
      <c r="O515" s="2">
        <f>_xll.IMDP("STK",표.실시간[[#This Row],[nxt_code]],"가중평균가")</f>
        <v>14493.433220000001</v>
      </c>
      <c r="P515" s="2">
        <f>_xll.IMDP("STK",표.실시간[[#This Row],[nxt_code]],"시가")</f>
        <v>14070</v>
      </c>
      <c r="Q515" s="2">
        <f>_xll.IMDP("STK",표.실시간[[#This Row],[nxt_code]],"고가")</f>
        <v>14800</v>
      </c>
      <c r="R515" s="2">
        <f>_xll.IMDP("STK",표.실시간[[#This Row],[nxt_code]],"저가")</f>
        <v>13780</v>
      </c>
      <c r="S515">
        <f>_xll.IMDP("STK",표.실시간[[#This Row],[nxt_code]],"세션명")</f>
        <v>0</v>
      </c>
      <c r="T515">
        <f>_xll.IMDP("STK",표.실시간[[#This Row],[nxt_code]],"체결시간")</f>
        <v>0</v>
      </c>
      <c r="U515" s="2">
        <f>_xll.IMDP("STK","006220","현재가")</f>
        <v>14210</v>
      </c>
      <c r="V515">
        <f>_xll.IMDP("STK","006220","누적거래량")</f>
        <v>159204</v>
      </c>
    </row>
    <row r="516" spans="2:22" x14ac:dyDescent="0.3">
      <c r="B516">
        <v>508</v>
      </c>
      <c r="C516">
        <v>1</v>
      </c>
      <c r="D516">
        <f>IF(IFERROR(INDEX(표.kospi200[code],MATCH(표.실시간[[#This Row],[코드]],표.kospi200[code],0)),0)=0,0,1)</f>
        <v>0</v>
      </c>
      <c r="E516" t="s">
        <v>521</v>
      </c>
      <c r="F516">
        <v>183190</v>
      </c>
      <c r="G516" t="str">
        <f>ConvertStockCode(표.실시간[[#This Row],[코드]])</f>
        <v>N183190</v>
      </c>
      <c r="H516" s="2">
        <f>_xll.IMDP("STK",표.실시간[[#This Row],[nxt_code]],"현재가")</f>
        <v>12470</v>
      </c>
      <c r="I516" s="2">
        <f>_xll.IMDP("STK",표.실시간[[#This Row],[nxt_code]],"시가총액")/10^12</f>
        <v>0.46048789526</v>
      </c>
      <c r="J516" s="2">
        <f>표.실시간[[#This Row],[시가총액 (조원)]]/표.실시간[[#This Row],[현재가]]*(표.실시간[[#This Row],[현재가]]-표.실시간[[#This Row],[대비]])</f>
        <v>0.46233427816</v>
      </c>
      <c r="K516" s="3">
        <f>_xll.IMDP("STK",표.실시간[[#This Row],[nxt_code]],"전일대비")</f>
        <v>-50</v>
      </c>
      <c r="L516">
        <f>_xll.IMDP("STK",표.실시간[[#This Row],[nxt_code]],"등락률")</f>
        <v>-0.4</v>
      </c>
      <c r="M516" s="2">
        <f>_xll.IMDP("STK",표.실시간[[#This Row],[nxt_code]],"누적거래량")</f>
        <v>4196</v>
      </c>
      <c r="N516" s="2">
        <f>_xll.IMDP("STK",표.실시간[[#This Row],[nxt_code]],"누적거래대금")/10^8</f>
        <v>0.51691949999999998</v>
      </c>
      <c r="O516" s="2">
        <f>_xll.IMDP("STK",표.실시간[[#This Row],[nxt_code]],"가중평균가")</f>
        <v>12319.339846999999</v>
      </c>
      <c r="P516" s="2">
        <f>_xll.IMDP("STK",표.실시간[[#This Row],[nxt_code]],"시가")</f>
        <v>12210</v>
      </c>
      <c r="Q516" s="2">
        <f>_xll.IMDP("STK",표.실시간[[#This Row],[nxt_code]],"고가")</f>
        <v>12470</v>
      </c>
      <c r="R516" s="2">
        <f>_xll.IMDP("STK",표.실시간[[#This Row],[nxt_code]],"저가")</f>
        <v>12160</v>
      </c>
      <c r="S516">
        <f>_xll.IMDP("STK",표.실시간[[#This Row],[nxt_code]],"세션명")</f>
        <v>0</v>
      </c>
      <c r="T516">
        <f>_xll.IMDP("STK",표.실시간[[#This Row],[nxt_code]],"체결시간")</f>
        <v>0</v>
      </c>
      <c r="U516" s="2">
        <f>_xll.IMDP("STK","183190","현재가")</f>
        <v>12400</v>
      </c>
      <c r="V516">
        <f>_xll.IMDP("STK","183190","누적거래량")</f>
        <v>5609</v>
      </c>
    </row>
    <row r="517" spans="2:22" x14ac:dyDescent="0.3">
      <c r="B517">
        <v>509</v>
      </c>
      <c r="C517">
        <v>0</v>
      </c>
      <c r="D517">
        <f>IF(IFERROR(INDEX(표.kospi200[code],MATCH(표.실시간[[#This Row],[코드]],표.kospi200[code],0)),0)=0,0,1)</f>
        <v>0</v>
      </c>
      <c r="E517" t="s">
        <v>522</v>
      </c>
      <c r="F517">
        <v>309710</v>
      </c>
      <c r="G517" t="str">
        <f>ConvertStockCode(표.실시간[[#This Row],[코드]])</f>
        <v>N309710</v>
      </c>
      <c r="H517" s="2">
        <f>_xll.IMDP("STK",표.실시간[[#This Row],[nxt_code]],"현재가")</f>
        <v>36900</v>
      </c>
      <c r="I517" s="2">
        <f>_xll.IMDP("STK",표.실시간[[#This Row],[nxt_code]],"시가총액")/10^12</f>
        <v>0.47169273690000002</v>
      </c>
      <c r="J517" s="2">
        <f>표.실시간[[#This Row],[시가총액 (조원)]]/표.실시간[[#This Row],[현재가]]*(표.실시간[[#This Row],[현재가]]-표.실시간[[#This Row],[대비]])</f>
        <v>0.44996163520000004</v>
      </c>
      <c r="K517" s="3">
        <f>_xll.IMDP("STK",표.실시간[[#This Row],[nxt_code]],"전일대비")</f>
        <v>1700</v>
      </c>
      <c r="L517">
        <f>_xll.IMDP("STK",표.실시간[[#This Row],[nxt_code]],"등락률")</f>
        <v>4.83</v>
      </c>
      <c r="M517" s="2">
        <f>_xll.IMDP("STK",표.실시간[[#This Row],[nxt_code]],"누적거래량")</f>
        <v>75703</v>
      </c>
      <c r="N517" s="2">
        <f>_xll.IMDP("STK",표.실시간[[#This Row],[nxt_code]],"누적거래대금")/10^8</f>
        <v>27.306674000000001</v>
      </c>
      <c r="O517" s="2">
        <f>_xll.IMDP("STK",표.실시간[[#This Row],[nxt_code]],"가중평균가")</f>
        <v>36070.795080999997</v>
      </c>
      <c r="P517" s="2">
        <f>_xll.IMDP("STK",표.실시간[[#This Row],[nxt_code]],"시가")</f>
        <v>37350</v>
      </c>
      <c r="Q517" s="2">
        <f>_xll.IMDP("STK",표.실시간[[#This Row],[nxt_code]],"고가")</f>
        <v>37350</v>
      </c>
      <c r="R517" s="2">
        <f>_xll.IMDP("STK",표.실시간[[#This Row],[nxt_code]],"저가")</f>
        <v>35400</v>
      </c>
      <c r="S517">
        <f>_xll.IMDP("STK",표.실시간[[#This Row],[nxt_code]],"세션명")</f>
        <v>0</v>
      </c>
      <c r="T517">
        <f>_xll.IMDP("STK",표.실시간[[#This Row],[nxt_code]],"체결시간")</f>
        <v>0</v>
      </c>
      <c r="U517" s="2">
        <f>_xll.IMDP("STK","309710","현재가")</f>
        <v>36950</v>
      </c>
      <c r="V517">
        <f>_xll.IMDP("STK","309710","누적거래량")</f>
        <v>36248</v>
      </c>
    </row>
    <row r="518" spans="2:22" x14ac:dyDescent="0.3">
      <c r="B518">
        <v>510</v>
      </c>
      <c r="C518">
        <v>0</v>
      </c>
      <c r="D518">
        <f>IF(IFERROR(INDEX(표.kospi200[code],MATCH(표.실시간[[#This Row],[코드]],표.kospi200[code],0)),0)=0,0,1)</f>
        <v>0</v>
      </c>
      <c r="E518" t="s">
        <v>523</v>
      </c>
      <c r="F518">
        <v>59090</v>
      </c>
      <c r="G518" t="str">
        <f>ConvertStockCode(표.실시간[[#This Row],[코드]])</f>
        <v>N059090</v>
      </c>
      <c r="H518" s="2">
        <f>_xll.IMDP("STK",표.실시간[[#This Row],[nxt_code]],"현재가")</f>
        <v>17410</v>
      </c>
      <c r="I518" s="2">
        <f>_xll.IMDP("STK",표.실시간[[#This Row],[nxt_code]],"시가총액")/10^12</f>
        <v>0.58178610498000005</v>
      </c>
      <c r="J518" s="2">
        <f>표.실시간[[#This Row],[시가총액 (조원)]]/표.실시간[[#This Row],[현재가]]*(표.실시간[[#This Row],[현재가]]-표.실시간[[#This Row],[대비]])</f>
        <v>0.59281364172000006</v>
      </c>
      <c r="K518" s="3">
        <f>_xll.IMDP("STK",표.실시간[[#This Row],[nxt_code]],"전일대비")</f>
        <v>-330</v>
      </c>
      <c r="L518">
        <f>_xll.IMDP("STK",표.실시간[[#This Row],[nxt_code]],"등락률")</f>
        <v>-1.8</v>
      </c>
      <c r="M518" s="2">
        <f>_xll.IMDP("STK",표.실시간[[#This Row],[nxt_code]],"누적거래량")</f>
        <v>192196</v>
      </c>
      <c r="N518" s="2">
        <f>_xll.IMDP("STK",표.실시간[[#This Row],[nxt_code]],"누적거래대금")/10^8</f>
        <v>33.065681300000001</v>
      </c>
      <c r="O518" s="2">
        <f>_xll.IMDP("STK",표.실시간[[#This Row],[nxt_code]],"가중평균가")</f>
        <v>17204.146444000002</v>
      </c>
      <c r="P518" s="2">
        <f>_xll.IMDP("STK",표.실시간[[#This Row],[nxt_code]],"시가")</f>
        <v>17590</v>
      </c>
      <c r="Q518" s="2">
        <f>_xll.IMDP("STK",표.실시간[[#This Row],[nxt_code]],"고가")</f>
        <v>17730</v>
      </c>
      <c r="R518" s="2">
        <f>_xll.IMDP("STK",표.실시간[[#This Row],[nxt_code]],"저가")</f>
        <v>16960</v>
      </c>
      <c r="S518">
        <f>_xll.IMDP("STK",표.실시간[[#This Row],[nxt_code]],"세션명")</f>
        <v>0</v>
      </c>
      <c r="T518">
        <f>_xll.IMDP("STK",표.실시간[[#This Row],[nxt_code]],"체결시간")</f>
        <v>0</v>
      </c>
      <c r="U518" s="2">
        <f>_xll.IMDP("STK","059090","현재가")</f>
        <v>17430</v>
      </c>
      <c r="V518">
        <f>_xll.IMDP("STK","059090","누적거래량")</f>
        <v>69924</v>
      </c>
    </row>
    <row r="519" spans="2:22" x14ac:dyDescent="0.3">
      <c r="B519">
        <v>511</v>
      </c>
      <c r="C519">
        <v>1</v>
      </c>
      <c r="D519">
        <f>IF(IFERROR(INDEX(표.kospi200[code],MATCH(표.실시간[[#This Row],[코드]],표.kospi200[code],0)),0)=0,0,1)</f>
        <v>0</v>
      </c>
      <c r="E519" t="s">
        <v>524</v>
      </c>
      <c r="F519">
        <v>344820</v>
      </c>
      <c r="G519" t="str">
        <f>ConvertStockCode(표.실시간[[#This Row],[코드]])</f>
        <v>N344820</v>
      </c>
      <c r="H519" s="2">
        <f>_xll.IMDP("STK",표.실시간[[#This Row],[nxt_code]],"현재가")</f>
        <v>26600</v>
      </c>
      <c r="I519" s="2">
        <f>_xll.IMDP("STK",표.실시간[[#This Row],[nxt_code]],"시가총액")/10^12</f>
        <v>0.42481561919999999</v>
      </c>
      <c r="J519" s="2">
        <f>표.실시간[[#This Row],[시가총액 (조원)]]/표.실시간[[#This Row],[현재가]]*(표.실시간[[#This Row],[현재가]]-표.실시간[[#This Row],[대비]])</f>
        <v>0.42960677279999998</v>
      </c>
      <c r="K519" s="3">
        <f>_xll.IMDP("STK",표.실시간[[#This Row],[nxt_code]],"전일대비")</f>
        <v>-300</v>
      </c>
      <c r="L519">
        <f>_xll.IMDP("STK",표.실시간[[#This Row],[nxt_code]],"등락률")</f>
        <v>-1.1200000000000001</v>
      </c>
      <c r="M519" s="2">
        <f>_xll.IMDP("STK",표.실시간[[#This Row],[nxt_code]],"누적거래량")</f>
        <v>3504</v>
      </c>
      <c r="N519" s="2">
        <f>_xll.IMDP("STK",표.실시간[[#This Row],[nxt_code]],"누적거래대금")/10^8</f>
        <v>0.93436750000000002</v>
      </c>
      <c r="O519" s="2">
        <f>_xll.IMDP("STK",표.실시간[[#This Row],[nxt_code]],"가중평균가")</f>
        <v>26665.739154999999</v>
      </c>
      <c r="P519" s="2">
        <f>_xll.IMDP("STK",표.실시간[[#This Row],[nxt_code]],"시가")</f>
        <v>26850</v>
      </c>
      <c r="Q519" s="2">
        <f>_xll.IMDP("STK",표.실시간[[#This Row],[nxt_code]],"고가")</f>
        <v>26950</v>
      </c>
      <c r="R519" s="2">
        <f>_xll.IMDP("STK",표.실시간[[#This Row],[nxt_code]],"저가")</f>
        <v>26550</v>
      </c>
      <c r="S519">
        <f>_xll.IMDP("STK",표.실시간[[#This Row],[nxt_code]],"세션명")</f>
        <v>0</v>
      </c>
      <c r="T519">
        <f>_xll.IMDP("STK",표.실시간[[#This Row],[nxt_code]],"체결시간")</f>
        <v>0</v>
      </c>
      <c r="U519" s="2">
        <f>_xll.IMDP("STK","344820","현재가")</f>
        <v>26600</v>
      </c>
      <c r="V519">
        <f>_xll.IMDP("STK","344820","누적거래량")</f>
        <v>3904</v>
      </c>
    </row>
    <row r="520" spans="2:22" x14ac:dyDescent="0.3">
      <c r="B520">
        <v>512</v>
      </c>
      <c r="C520">
        <v>0</v>
      </c>
      <c r="D520">
        <f>IF(IFERROR(INDEX(표.kospi200[code],MATCH(표.실시간[[#This Row],[코드]],표.kospi200[code],0)),0)=0,0,1)</f>
        <v>0</v>
      </c>
      <c r="E520" t="s">
        <v>525</v>
      </c>
      <c r="F520">
        <v>79940</v>
      </c>
      <c r="G520" t="str">
        <f>ConvertStockCode(표.실시간[[#This Row],[코드]])</f>
        <v>N079940</v>
      </c>
      <c r="H520" s="2">
        <f>_xll.IMDP("STK",표.실시간[[#This Row],[nxt_code]],"현재가")</f>
        <v>32800</v>
      </c>
      <c r="I520" s="2">
        <f>_xll.IMDP("STK",표.실시간[[#This Row],[nxt_code]],"시가총액")/10^12</f>
        <v>0.44019843520000002</v>
      </c>
      <c r="J520" s="2">
        <f>표.실시간[[#This Row],[시가총액 (조원)]]/표.실시간[[#This Row],[현재가]]*(표.실시간[[#This Row],[현재가]]-표.실시간[[#This Row],[대비]])</f>
        <v>0.44959291400000001</v>
      </c>
      <c r="K520" s="3">
        <f>_xll.IMDP("STK",표.실시간[[#This Row],[nxt_code]],"전일대비")</f>
        <v>-700</v>
      </c>
      <c r="L520">
        <f>_xll.IMDP("STK",표.실시간[[#This Row],[nxt_code]],"등락률")</f>
        <v>-2.09</v>
      </c>
      <c r="M520" s="2">
        <f>_xll.IMDP("STK",표.실시간[[#This Row],[nxt_code]],"누적거래량")</f>
        <v>669</v>
      </c>
      <c r="N520" s="2">
        <f>_xll.IMDP("STK",표.실시간[[#This Row],[nxt_code]],"누적거래대금")/10^8</f>
        <v>0.220579</v>
      </c>
      <c r="O520" s="2">
        <f>_xll.IMDP("STK",표.실시간[[#This Row],[nxt_code]],"가중평균가")</f>
        <v>32971.449925000001</v>
      </c>
      <c r="P520" s="2">
        <f>_xll.IMDP("STK",표.실시간[[#This Row],[nxt_code]],"시가")</f>
        <v>34000</v>
      </c>
      <c r="Q520" s="2">
        <f>_xll.IMDP("STK",표.실시간[[#This Row],[nxt_code]],"고가")</f>
        <v>34000</v>
      </c>
      <c r="R520" s="2">
        <f>_xll.IMDP("STK",표.실시간[[#This Row],[nxt_code]],"저가")</f>
        <v>32550</v>
      </c>
      <c r="S520">
        <f>_xll.IMDP("STK",표.실시간[[#This Row],[nxt_code]],"세션명")</f>
        <v>0</v>
      </c>
      <c r="T520">
        <f>_xll.IMDP("STK",표.실시간[[#This Row],[nxt_code]],"체결시간")</f>
        <v>0</v>
      </c>
      <c r="U520" s="2">
        <f>_xll.IMDP("STK","079940","현재가")</f>
        <v>32750</v>
      </c>
      <c r="V520">
        <f>_xll.IMDP("STK","079940","누적거래량")</f>
        <v>1528</v>
      </c>
    </row>
    <row r="521" spans="2:22" x14ac:dyDescent="0.3">
      <c r="B521">
        <v>513</v>
      </c>
      <c r="C521">
        <v>1</v>
      </c>
      <c r="D521">
        <f>IF(IFERROR(INDEX(표.kospi200[code],MATCH(표.실시간[[#This Row],[코드]],표.kospi200[code],0)),0)=0,0,1)</f>
        <v>0</v>
      </c>
      <c r="E521" t="s">
        <v>526</v>
      </c>
      <c r="F521">
        <v>130660</v>
      </c>
      <c r="G521" t="str">
        <f>ConvertStockCode(표.실시간[[#This Row],[코드]])</f>
        <v>N130660</v>
      </c>
      <c r="H521" s="2">
        <f>_xll.IMDP("STK",표.실시간[[#This Row],[nxt_code]],"현재가")</f>
        <v>13330</v>
      </c>
      <c r="I521" s="2">
        <f>_xll.IMDP("STK",표.실시간[[#This Row],[nxt_code]],"시가총액")/10^12</f>
        <v>0.434558</v>
      </c>
      <c r="J521" s="2">
        <f>표.실시간[[#This Row],[시가총액 (조원)]]/표.실시간[[#This Row],[현재가]]*(표.실시간[[#This Row],[현재가]]-표.실시간[[#This Row],[대비]])</f>
        <v>0.44694600000000001</v>
      </c>
      <c r="K521" s="3">
        <f>_xll.IMDP("STK",표.실시간[[#This Row],[nxt_code]],"전일대비")</f>
        <v>-380</v>
      </c>
      <c r="L521">
        <f>_xll.IMDP("STK",표.실시간[[#This Row],[nxt_code]],"등락률")</f>
        <v>-2.77</v>
      </c>
      <c r="M521" s="2">
        <f>_xll.IMDP("STK",표.실시간[[#This Row],[nxt_code]],"누적거래량")</f>
        <v>154688</v>
      </c>
      <c r="N521" s="2">
        <f>_xll.IMDP("STK",표.실시간[[#This Row],[nxt_code]],"누적거래대금")/10^8</f>
        <v>20.537460899999999</v>
      </c>
      <c r="O521" s="2">
        <f>_xll.IMDP("STK",표.실시간[[#This Row],[nxt_code]],"가중평균가")</f>
        <v>13276.699484999999</v>
      </c>
      <c r="P521" s="2">
        <f>_xll.IMDP("STK",표.실시간[[#This Row],[nxt_code]],"시가")</f>
        <v>13510</v>
      </c>
      <c r="Q521" s="2">
        <f>_xll.IMDP("STK",표.실시간[[#This Row],[nxt_code]],"고가")</f>
        <v>13550</v>
      </c>
      <c r="R521" s="2">
        <f>_xll.IMDP("STK",표.실시간[[#This Row],[nxt_code]],"저가")</f>
        <v>13130</v>
      </c>
      <c r="S521">
        <f>_xll.IMDP("STK",표.실시간[[#This Row],[nxt_code]],"세션명")</f>
        <v>0</v>
      </c>
      <c r="T521">
        <f>_xll.IMDP("STK",표.실시간[[#This Row],[nxt_code]],"체결시간")</f>
        <v>0</v>
      </c>
      <c r="U521" s="2">
        <f>_xll.IMDP("STK","130660","현재가")</f>
        <v>13330</v>
      </c>
      <c r="V521">
        <f>_xll.IMDP("STK","130660","누적거래량")</f>
        <v>47210</v>
      </c>
    </row>
    <row r="522" spans="2:22" x14ac:dyDescent="0.3">
      <c r="B522">
        <v>514</v>
      </c>
      <c r="C522">
        <v>0</v>
      </c>
      <c r="D522">
        <f>IF(IFERROR(INDEX(표.kospi200[code],MATCH(표.실시간[[#This Row],[코드]],표.kospi200[code],0)),0)=0,0,1)</f>
        <v>0</v>
      </c>
      <c r="E522" t="s">
        <v>527</v>
      </c>
      <c r="F522">
        <v>49070</v>
      </c>
      <c r="G522" t="str">
        <f>ConvertStockCode(표.실시간[[#This Row],[코드]])</f>
        <v>N049070</v>
      </c>
      <c r="H522" s="2">
        <f>_xll.IMDP("STK",표.실시간[[#This Row],[nxt_code]],"현재가")</f>
        <v>21750</v>
      </c>
      <c r="I522" s="2">
        <f>_xll.IMDP("STK",표.실시간[[#This Row],[nxt_code]],"시가총액")/10^12</f>
        <v>0.37409999999999999</v>
      </c>
      <c r="J522" s="2">
        <f>표.실시간[[#This Row],[시가총액 (조원)]]/표.실시간[[#This Row],[현재가]]*(표.실시간[[#This Row],[현재가]]-표.실시간[[#This Row],[대비]])</f>
        <v>0.37839999999999996</v>
      </c>
      <c r="K522" s="3">
        <f>_xll.IMDP("STK",표.실시간[[#This Row],[nxt_code]],"전일대비")</f>
        <v>-250</v>
      </c>
      <c r="L522">
        <f>_xll.IMDP("STK",표.실시간[[#This Row],[nxt_code]],"등락률")</f>
        <v>-1.1299999999999999</v>
      </c>
      <c r="M522" s="2">
        <f>_xll.IMDP("STK",표.실시간[[#This Row],[nxt_code]],"누적거래량")</f>
        <v>48794</v>
      </c>
      <c r="N522" s="2">
        <f>_xll.IMDP("STK",표.실시간[[#This Row],[nxt_code]],"누적거래대금")/10^8</f>
        <v>10.475787</v>
      </c>
      <c r="O522" s="2">
        <f>_xll.IMDP("STK",표.실시간[[#This Row],[nxt_code]],"가중평균가")</f>
        <v>21469.416322000001</v>
      </c>
      <c r="P522" s="2">
        <f>_xll.IMDP("STK",표.실시간[[#This Row],[nxt_code]],"시가")</f>
        <v>21900</v>
      </c>
      <c r="Q522" s="2">
        <f>_xll.IMDP("STK",표.실시간[[#This Row],[nxt_code]],"고가")</f>
        <v>22300</v>
      </c>
      <c r="R522" s="2">
        <f>_xll.IMDP("STK",표.실시간[[#This Row],[nxt_code]],"저가")</f>
        <v>21000</v>
      </c>
      <c r="S522">
        <f>_xll.IMDP("STK",표.실시간[[#This Row],[nxt_code]],"세션명")</f>
        <v>0</v>
      </c>
      <c r="T522">
        <f>_xll.IMDP("STK",표.실시간[[#This Row],[nxt_code]],"체결시간")</f>
        <v>0</v>
      </c>
      <c r="U522" s="2">
        <f>_xll.IMDP("STK","049070","현재가")</f>
        <v>21700</v>
      </c>
      <c r="V522">
        <f>_xll.IMDP("STK","049070","누적거래량")</f>
        <v>25741</v>
      </c>
    </row>
    <row r="523" spans="2:22" x14ac:dyDescent="0.3">
      <c r="B523">
        <v>515</v>
      </c>
      <c r="C523">
        <v>0</v>
      </c>
      <c r="D523">
        <f>IF(IFERROR(INDEX(표.kospi200[code],MATCH(표.실시간[[#This Row],[코드]],표.kospi200[code],0)),0)=0,0,1)</f>
        <v>0</v>
      </c>
      <c r="E523" t="s">
        <v>528</v>
      </c>
      <c r="F523">
        <v>89890</v>
      </c>
      <c r="G523" t="str">
        <f>ConvertStockCode(표.실시간[[#This Row],[코드]])</f>
        <v>N089890</v>
      </c>
      <c r="H523" s="2">
        <f>_xll.IMDP("STK",표.실시간[[#This Row],[nxt_code]],"현재가")</f>
        <v>25200</v>
      </c>
      <c r="I523" s="2">
        <f>_xll.IMDP("STK",표.실시간[[#This Row],[nxt_code]],"시가총액")/10^12</f>
        <v>0.41794104240000002</v>
      </c>
      <c r="J523" s="2">
        <f>표.실시간[[#This Row],[시가총액 (조원)]]/표.실시간[[#This Row],[현재가]]*(표.실시간[[#This Row],[현재가]]-표.실시간[[#This Row],[대비]])</f>
        <v>0.44613547780000001</v>
      </c>
      <c r="K523" s="3">
        <f>_xll.IMDP("STK",표.실시간[[#This Row],[nxt_code]],"전일대비")</f>
        <v>-1700</v>
      </c>
      <c r="L523">
        <f>_xll.IMDP("STK",표.실시간[[#This Row],[nxt_code]],"등락률")</f>
        <v>-6.32</v>
      </c>
      <c r="M523" s="2">
        <f>_xll.IMDP("STK",표.실시간[[#This Row],[nxt_code]],"누적거래량")</f>
        <v>29087</v>
      </c>
      <c r="N523" s="2">
        <f>_xll.IMDP("STK",표.실시간[[#This Row],[nxt_code]],"누적거래대금")/10^8</f>
        <v>7.4892562500000004</v>
      </c>
      <c r="O523" s="2">
        <f>_xll.IMDP("STK",표.실시간[[#This Row],[nxt_code]],"가중평균가")</f>
        <v>25747.778216999999</v>
      </c>
      <c r="P523" s="2">
        <f>_xll.IMDP("STK",표.실시간[[#This Row],[nxt_code]],"시가")</f>
        <v>27000</v>
      </c>
      <c r="Q523" s="2">
        <f>_xll.IMDP("STK",표.실시간[[#This Row],[nxt_code]],"고가")</f>
        <v>27000</v>
      </c>
      <c r="R523" s="2">
        <f>_xll.IMDP("STK",표.실시간[[#This Row],[nxt_code]],"저가")</f>
        <v>25050</v>
      </c>
      <c r="S523">
        <f>_xll.IMDP("STK",표.실시간[[#This Row],[nxt_code]],"세션명")</f>
        <v>0</v>
      </c>
      <c r="T523">
        <f>_xll.IMDP("STK",표.실시간[[#This Row],[nxt_code]],"체결시간")</f>
        <v>0</v>
      </c>
      <c r="U523" s="2">
        <f>_xll.IMDP("STK","089890","현재가")</f>
        <v>25250</v>
      </c>
      <c r="V523">
        <f>_xll.IMDP("STK","089890","누적거래량")</f>
        <v>27678</v>
      </c>
    </row>
    <row r="524" spans="2:22" x14ac:dyDescent="0.3">
      <c r="B524">
        <v>516</v>
      </c>
      <c r="C524">
        <v>1</v>
      </c>
      <c r="D524">
        <f>IF(IFERROR(INDEX(표.kospi200[code],MATCH(표.실시간[[#This Row],[코드]],표.kospi200[code],0)),0)=0,0,1)</f>
        <v>0</v>
      </c>
      <c r="E524" t="s">
        <v>529</v>
      </c>
      <c r="F524">
        <v>161000</v>
      </c>
      <c r="G524" t="str">
        <f>ConvertStockCode(표.실시간[[#This Row],[코드]])</f>
        <v>N161000</v>
      </c>
      <c r="H524" s="2">
        <f>_xll.IMDP("STK",표.실시간[[#This Row],[nxt_code]],"현재가")</f>
        <v>10100</v>
      </c>
      <c r="I524" s="2">
        <f>_xll.IMDP("STK",표.실시간[[#This Row],[nxt_code]],"시가총액")/10^12</f>
        <v>0.4913519609</v>
      </c>
      <c r="J524" s="2">
        <f>표.실시간[[#This Row],[시가총액 (조원)]]/표.실시간[[#This Row],[현재가]]*(표.실시간[[#This Row],[현재가]]-표.실시간[[#This Row],[대비]])</f>
        <v>0.45535191623999999</v>
      </c>
      <c r="K524" s="3">
        <f>_xll.IMDP("STK",표.실시간[[#This Row],[nxt_code]],"전일대비")</f>
        <v>740</v>
      </c>
      <c r="L524">
        <f>_xll.IMDP("STK",표.실시간[[#This Row],[nxt_code]],"등락률")</f>
        <v>7.91</v>
      </c>
      <c r="M524" s="2">
        <f>_xll.IMDP("STK",표.실시간[[#This Row],[nxt_code]],"누적거래량")</f>
        <v>949570</v>
      </c>
      <c r="N524" s="2">
        <f>_xll.IMDP("STK",표.실시간[[#This Row],[nxt_code]],"누적거래대금")/10^8</f>
        <v>95.329507800000002</v>
      </c>
      <c r="O524" s="2">
        <f>_xll.IMDP("STK",표.실시간[[#This Row],[nxt_code]],"가중평균가")</f>
        <v>10039.229104</v>
      </c>
      <c r="P524" s="2">
        <f>_xll.IMDP("STK",표.실시간[[#This Row],[nxt_code]],"시가")</f>
        <v>9370</v>
      </c>
      <c r="Q524" s="2">
        <f>_xll.IMDP("STK",표.실시간[[#This Row],[nxt_code]],"고가")</f>
        <v>10300</v>
      </c>
      <c r="R524" s="2">
        <f>_xll.IMDP("STK",표.실시간[[#This Row],[nxt_code]],"저가")</f>
        <v>9360</v>
      </c>
      <c r="S524">
        <f>_xll.IMDP("STK",표.실시간[[#This Row],[nxt_code]],"세션명")</f>
        <v>0</v>
      </c>
      <c r="T524">
        <f>_xll.IMDP("STK",표.실시간[[#This Row],[nxt_code]],"체결시간")</f>
        <v>0</v>
      </c>
      <c r="U524" s="2">
        <f>_xll.IMDP("STK","161000","현재가")</f>
        <v>10100</v>
      </c>
      <c r="V524">
        <f>_xll.IMDP("STK","161000","누적거래량")</f>
        <v>221530</v>
      </c>
    </row>
    <row r="525" spans="2:22" x14ac:dyDescent="0.3">
      <c r="B525">
        <v>517</v>
      </c>
      <c r="C525">
        <v>0</v>
      </c>
      <c r="D525">
        <f>IF(IFERROR(INDEX(표.kospi200[code],MATCH(표.실시간[[#This Row],[코드]],표.kospi200[code],0)),0)=0,0,1)</f>
        <v>0</v>
      </c>
      <c r="E525" t="s">
        <v>530</v>
      </c>
      <c r="F525">
        <v>101930</v>
      </c>
      <c r="G525" t="str">
        <f>ConvertStockCode(표.실시간[[#This Row],[코드]])</f>
        <v>N101930</v>
      </c>
      <c r="H525" s="2">
        <f>_xll.IMDP("STK",표.실시간[[#This Row],[nxt_code]],"현재가")</f>
        <v>42500</v>
      </c>
      <c r="I525" s="2">
        <f>_xll.IMDP("STK",표.실시간[[#This Row],[nxt_code]],"시가총액")/10^12</f>
        <v>0.39239748499999999</v>
      </c>
      <c r="J525" s="2">
        <f>표.실시간[[#This Row],[시가총액 (조원)]]/표.실시간[[#This Row],[현재가]]*(표.실시간[[#This Row],[현재가]]-표.실시간[[#This Row],[대비]])</f>
        <v>0.39655228190000003</v>
      </c>
      <c r="K525" s="3">
        <f>_xll.IMDP("STK",표.실시간[[#This Row],[nxt_code]],"전일대비")</f>
        <v>-450</v>
      </c>
      <c r="L525">
        <f>_xll.IMDP("STK",표.실시간[[#This Row],[nxt_code]],"등락률")</f>
        <v>-1.05</v>
      </c>
      <c r="M525" s="2">
        <f>_xll.IMDP("STK",표.실시간[[#This Row],[nxt_code]],"누적거래량")</f>
        <v>1134</v>
      </c>
      <c r="N525" s="2">
        <f>_xll.IMDP("STK",표.실시간[[#This Row],[nxt_code]],"누적거래대금")/10^8</f>
        <v>0.49699549999999998</v>
      </c>
      <c r="O525" s="2">
        <f>_xll.IMDP("STK",표.실시간[[#This Row],[nxt_code]],"가중평균가")</f>
        <v>43826.763668</v>
      </c>
      <c r="P525" s="2">
        <f>_xll.IMDP("STK",표.실시간[[#This Row],[nxt_code]],"시가")</f>
        <v>42950</v>
      </c>
      <c r="Q525" s="2">
        <f>_xll.IMDP("STK",표.실시간[[#This Row],[nxt_code]],"고가")</f>
        <v>44850</v>
      </c>
      <c r="R525" s="2">
        <f>_xll.IMDP("STK",표.실시간[[#This Row],[nxt_code]],"저가")</f>
        <v>42500</v>
      </c>
      <c r="S525">
        <f>_xll.IMDP("STK",표.실시간[[#This Row],[nxt_code]],"세션명")</f>
        <v>0</v>
      </c>
      <c r="T525">
        <f>_xll.IMDP("STK",표.실시간[[#This Row],[nxt_code]],"체결시간")</f>
        <v>0</v>
      </c>
      <c r="U525" s="2">
        <f>_xll.IMDP("STK","101930","현재가")</f>
        <v>42500</v>
      </c>
      <c r="V525">
        <f>_xll.IMDP("STK","101930","누적거래량")</f>
        <v>449</v>
      </c>
    </row>
    <row r="526" spans="2:22" x14ac:dyDescent="0.3">
      <c r="B526">
        <v>518</v>
      </c>
      <c r="C526">
        <v>0</v>
      </c>
      <c r="D526">
        <f>IF(IFERROR(INDEX(표.kospi200[code],MATCH(표.실시간[[#This Row],[코드]],표.kospi200[code],0)),0)=0,0,1)</f>
        <v>0</v>
      </c>
      <c r="E526" t="s">
        <v>531</v>
      </c>
      <c r="F526">
        <v>69080</v>
      </c>
      <c r="G526" t="str">
        <f>ConvertStockCode(표.실시간[[#This Row],[코드]])</f>
        <v>N069080</v>
      </c>
      <c r="H526" s="2">
        <f>_xll.IMDP("STK",표.실시간[[#This Row],[nxt_code]],"현재가")</f>
        <v>15800</v>
      </c>
      <c r="I526" s="2">
        <f>_xll.IMDP("STK",표.실시간[[#This Row],[nxt_code]],"시가총액")/10^12</f>
        <v>0.54669396719999996</v>
      </c>
      <c r="J526" s="2">
        <f>표.실시간[[#This Row],[시가총액 (조원)]]/표.실시간[[#This Row],[현재가]]*(표.실시간[[#This Row],[현재가]]-표.실시간[[#This Row],[대비]])</f>
        <v>0.59894130203999996</v>
      </c>
      <c r="K526" s="3">
        <f>_xll.IMDP("STK",표.실시간[[#This Row],[nxt_code]],"전일대비")</f>
        <v>-1510</v>
      </c>
      <c r="L526">
        <f>_xll.IMDP("STK",표.실시간[[#This Row],[nxt_code]],"등락률")</f>
        <v>-8.7200000000000006</v>
      </c>
      <c r="M526" s="2">
        <f>_xll.IMDP("STK",표.실시간[[#This Row],[nxt_code]],"누적거래량")</f>
        <v>25509</v>
      </c>
      <c r="N526" s="2">
        <f>_xll.IMDP("STK",표.실시간[[#This Row],[nxt_code]],"누적거래대금")/10^8</f>
        <v>4.0848291999999997</v>
      </c>
      <c r="O526" s="2">
        <f>_xll.IMDP("STK",표.실시간[[#This Row],[nxt_code]],"가중평균가")</f>
        <v>16013.286291</v>
      </c>
      <c r="P526" s="2">
        <f>_xll.IMDP("STK",표.실시간[[#This Row],[nxt_code]],"시가")</f>
        <v>17310</v>
      </c>
      <c r="Q526" s="2">
        <f>_xll.IMDP("STK",표.실시간[[#This Row],[nxt_code]],"고가")</f>
        <v>17310</v>
      </c>
      <c r="R526" s="2">
        <f>_xll.IMDP("STK",표.실시간[[#This Row],[nxt_code]],"저가")</f>
        <v>15670</v>
      </c>
      <c r="S526">
        <f>_xll.IMDP("STK",표.실시간[[#This Row],[nxt_code]],"세션명")</f>
        <v>0</v>
      </c>
      <c r="T526">
        <f>_xll.IMDP("STK",표.실시간[[#This Row],[nxt_code]],"체결시간")</f>
        <v>0</v>
      </c>
      <c r="U526" s="2">
        <f>_xll.IMDP("STK","069080","현재가")</f>
        <v>16000</v>
      </c>
      <c r="V526">
        <f>_xll.IMDP("STK","069080","누적거래량")</f>
        <v>42515</v>
      </c>
    </row>
    <row r="527" spans="2:22" x14ac:dyDescent="0.3">
      <c r="B527">
        <v>519</v>
      </c>
      <c r="C527">
        <v>0</v>
      </c>
      <c r="D527">
        <f>IF(IFERROR(INDEX(표.kospi200[code],MATCH(표.실시간[[#This Row],[코드]],표.kospi200[code],0)),0)=0,0,1)</f>
        <v>0</v>
      </c>
      <c r="E527" t="s">
        <v>532</v>
      </c>
      <c r="F527">
        <v>107640</v>
      </c>
      <c r="G527" t="str">
        <f>ConvertStockCode(표.실시간[[#This Row],[코드]])</f>
        <v>N107640</v>
      </c>
      <c r="H527" s="2">
        <f>_xll.IMDP("STK",표.실시간[[#This Row],[nxt_code]],"현재가")</f>
        <v>50200</v>
      </c>
      <c r="I527" s="2">
        <f>_xll.IMDP("STK",표.실시간[[#This Row],[nxt_code]],"시가총액")/10^12</f>
        <v>0.45506028920000002</v>
      </c>
      <c r="J527" s="2">
        <f>표.실시간[[#This Row],[시가총액 (조원)]]/표.실시간[[#This Row],[현재가]]*(표.실시간[[#This Row],[현재가]]-표.실시간[[#This Row],[대비]])</f>
        <v>0.47273693390000004</v>
      </c>
      <c r="K527" s="3">
        <f>_xll.IMDP("STK",표.실시간[[#This Row],[nxt_code]],"전일대비")</f>
        <v>-1950</v>
      </c>
      <c r="L527">
        <f>_xll.IMDP("STK",표.실시간[[#This Row],[nxt_code]],"등락률")</f>
        <v>-2.52</v>
      </c>
      <c r="M527" s="2">
        <f>_xll.IMDP("STK",표.실시간[[#This Row],[nxt_code]],"누적거래량")</f>
        <v>85655</v>
      </c>
      <c r="N527" s="2">
        <f>_xll.IMDP("STK",표.실시간[[#This Row],[nxt_code]],"누적거래대금")/10^8</f>
        <v>42.140755499999997</v>
      </c>
      <c r="O527" s="2">
        <f>_xll.IMDP("STK",표.실시간[[#This Row],[nxt_code]],"가중평균가")</f>
        <v>49071.061518000002</v>
      </c>
      <c r="P527" s="2">
        <f>_xll.IMDP("STK",표.실시간[[#This Row],[nxt_code]],"시가")</f>
        <v>50500</v>
      </c>
      <c r="Q527" s="2">
        <f>_xll.IMDP("STK",표.실시간[[#This Row],[nxt_code]],"고가")</f>
        <v>50500</v>
      </c>
      <c r="R527" s="2">
        <f>_xll.IMDP("STK",표.실시간[[#This Row],[nxt_code]],"저가")</f>
        <v>47950</v>
      </c>
      <c r="S527">
        <f>_xll.IMDP("STK",표.실시간[[#This Row],[nxt_code]],"세션명")</f>
        <v>0</v>
      </c>
      <c r="T527">
        <f>_xll.IMDP("STK",표.실시간[[#This Row],[nxt_code]],"체결시간")</f>
        <v>0</v>
      </c>
      <c r="U527" s="2">
        <f>_xll.IMDP("STK","107640","현재가")</f>
        <v>50300</v>
      </c>
      <c r="V527">
        <f>_xll.IMDP("STK","107640","누적거래량")</f>
        <v>25782</v>
      </c>
    </row>
    <row r="528" spans="2:22" x14ac:dyDescent="0.3">
      <c r="B528">
        <v>520</v>
      </c>
      <c r="C528">
        <v>0</v>
      </c>
      <c r="D528">
        <f>IF(IFERROR(INDEX(표.kospi200[code],MATCH(표.실시간[[#This Row],[코드]],표.kospi200[code],0)),0)=0,0,1)</f>
        <v>0</v>
      </c>
      <c r="E528" t="s">
        <v>533</v>
      </c>
      <c r="F528">
        <v>179900</v>
      </c>
      <c r="G528" t="str">
        <f>ConvertStockCode(표.실시간[[#This Row],[코드]])</f>
        <v>N179900</v>
      </c>
      <c r="H528" s="2">
        <f>_xll.IMDP("STK",표.실시간[[#This Row],[nxt_code]],"현재가")</f>
        <v>23850</v>
      </c>
      <c r="I528" s="2">
        <f>_xll.IMDP("STK",표.실시간[[#This Row],[nxt_code]],"시가총액")/10^12</f>
        <v>0.47200132620000002</v>
      </c>
      <c r="J528" s="2">
        <f>표.실시간[[#This Row],[시가총액 (조원)]]/표.실시간[[#This Row],[현재가]]*(표.실시간[[#This Row],[현재가]]-표.실시간[[#This Row],[대비]])</f>
        <v>0.48882317640000006</v>
      </c>
      <c r="K528" s="3">
        <f>_xll.IMDP("STK",표.실시간[[#This Row],[nxt_code]],"전일대비")</f>
        <v>-850</v>
      </c>
      <c r="L528">
        <f>_xll.IMDP("STK",표.실시간[[#This Row],[nxt_code]],"등락률")</f>
        <v>-3.44</v>
      </c>
      <c r="M528" s="2">
        <f>_xll.IMDP("STK",표.실시간[[#This Row],[nxt_code]],"누적거래량")</f>
        <v>12347</v>
      </c>
      <c r="N528" s="2">
        <f>_xll.IMDP("STK",표.실시간[[#This Row],[nxt_code]],"누적거래대금")/10^8</f>
        <v>2.9289619999999998</v>
      </c>
      <c r="O528" s="2">
        <f>_xll.IMDP("STK",표.실시간[[#This Row],[nxt_code]],"가중평균가")</f>
        <v>23722.053940000002</v>
      </c>
      <c r="P528" s="2">
        <f>_xll.IMDP("STK",표.실시간[[#This Row],[nxt_code]],"시가")</f>
        <v>24800</v>
      </c>
      <c r="Q528" s="2">
        <f>_xll.IMDP("STK",표.실시간[[#This Row],[nxt_code]],"고가")</f>
        <v>24800</v>
      </c>
      <c r="R528" s="2">
        <f>_xll.IMDP("STK",표.실시간[[#This Row],[nxt_code]],"저가")</f>
        <v>23400</v>
      </c>
      <c r="S528">
        <f>_xll.IMDP("STK",표.실시간[[#This Row],[nxt_code]],"세션명")</f>
        <v>0</v>
      </c>
      <c r="T528">
        <f>_xll.IMDP("STK",표.실시간[[#This Row],[nxt_code]],"체결시간")</f>
        <v>0</v>
      </c>
      <c r="U528" s="2">
        <f>_xll.IMDP("STK","179900","현재가")</f>
        <v>23650</v>
      </c>
      <c r="V528">
        <f>_xll.IMDP("STK","179900","누적거래량")</f>
        <v>12878</v>
      </c>
    </row>
    <row r="529" spans="2:22" x14ac:dyDescent="0.3">
      <c r="B529">
        <v>521</v>
      </c>
      <c r="C529">
        <v>0</v>
      </c>
      <c r="D529">
        <f>IF(IFERROR(INDEX(표.kospi200[code],MATCH(표.실시간[[#This Row],[코드]],표.kospi200[code],0)),0)=0,0,1)</f>
        <v>0</v>
      </c>
      <c r="E529" t="s">
        <v>534</v>
      </c>
      <c r="F529">
        <v>494120</v>
      </c>
      <c r="G529" t="str">
        <f>ConvertStockCode(표.실시간[[#This Row],[코드]])</f>
        <v>N494120</v>
      </c>
      <c r="H529" s="2">
        <f>_xll.IMDP("STK",표.실시간[[#This Row],[nxt_code]],"현재가")</f>
        <v>67200</v>
      </c>
      <c r="I529" s="2">
        <f>_xll.IMDP("STK",표.실시간[[#This Row],[nxt_code]],"시가총액")/10^12</f>
        <v>0.51182759040000003</v>
      </c>
      <c r="J529" s="2">
        <f>표.실시간[[#This Row],[시가총액 (조원)]]/표.실시간[[#This Row],[현재가]]*(표.실시간[[#This Row],[현재가]]-표.실시간[[#This Row],[대비]])</f>
        <v>0.54610175940000005</v>
      </c>
      <c r="K529" s="3">
        <f>_xll.IMDP("STK",표.실시간[[#This Row],[nxt_code]],"전일대비")</f>
        <v>-4500</v>
      </c>
      <c r="L529">
        <f>_xll.IMDP("STK",표.실시간[[#This Row],[nxt_code]],"등락률")</f>
        <v>-6.28</v>
      </c>
      <c r="M529" s="2">
        <f>_xll.IMDP("STK",표.실시간[[#This Row],[nxt_code]],"누적거래량")</f>
        <v>22434</v>
      </c>
      <c r="N529" s="2">
        <f>_xll.IMDP("STK",표.실시간[[#This Row],[nxt_code]],"누적거래대금")/10^8</f>
        <v>15.232830999999999</v>
      </c>
      <c r="O529" s="2">
        <f>_xll.IMDP("STK",표.실시간[[#This Row],[nxt_code]],"가중평균가")</f>
        <v>67900.646340000007</v>
      </c>
      <c r="P529" s="2">
        <f>_xll.IMDP("STK",표.실시간[[#This Row],[nxt_code]],"시가")</f>
        <v>68800</v>
      </c>
      <c r="Q529" s="2">
        <f>_xll.IMDP("STK",표.실시간[[#This Row],[nxt_code]],"고가")</f>
        <v>69300</v>
      </c>
      <c r="R529" s="2">
        <f>_xll.IMDP("STK",표.실시간[[#This Row],[nxt_code]],"저가")</f>
        <v>66100</v>
      </c>
      <c r="S529">
        <f>_xll.IMDP("STK",표.실시간[[#This Row],[nxt_code]],"세션명")</f>
        <v>0</v>
      </c>
      <c r="T529">
        <f>_xll.IMDP("STK",표.실시간[[#This Row],[nxt_code]],"체결시간")</f>
        <v>0</v>
      </c>
      <c r="U529" s="2">
        <f>_xll.IMDP("STK","494120","현재가")</f>
        <v>67800</v>
      </c>
      <c r="V529">
        <f>_xll.IMDP("STK","494120","누적거래량")</f>
        <v>18119</v>
      </c>
    </row>
    <row r="530" spans="2:22" x14ac:dyDescent="0.3">
      <c r="B530">
        <v>522</v>
      </c>
      <c r="C530">
        <v>0</v>
      </c>
      <c r="D530">
        <f>IF(IFERROR(INDEX(표.kospi200[code],MATCH(표.실시간[[#This Row],[코드]],표.kospi200[code],0)),0)=0,0,1)</f>
        <v>0</v>
      </c>
      <c r="E530" t="s">
        <v>535</v>
      </c>
      <c r="F530">
        <v>25900</v>
      </c>
      <c r="G530" t="str">
        <f>ConvertStockCode(표.실시간[[#This Row],[코드]])</f>
        <v>N025900</v>
      </c>
      <c r="H530" s="2">
        <f>_xll.IMDP("STK",표.실시간[[#This Row],[nxt_code]],"현재가")</f>
        <v>10510</v>
      </c>
      <c r="I530" s="2">
        <f>_xll.IMDP("STK",표.실시간[[#This Row],[nxt_code]],"시가총액")/10^12</f>
        <v>0.53135706535000005</v>
      </c>
      <c r="J530" s="2">
        <f>표.실시간[[#This Row],[시가총액 (조원)]]/표.실시간[[#This Row],[현재가]]*(표.실시간[[#This Row],[현재가]]-표.실시간[[#This Row],[대비]])</f>
        <v>0.54349081375000008</v>
      </c>
      <c r="K530" s="3">
        <f>_xll.IMDP("STK",표.실시간[[#This Row],[nxt_code]],"전일대비")</f>
        <v>-240</v>
      </c>
      <c r="L530">
        <f>_xll.IMDP("STK",표.실시간[[#This Row],[nxt_code]],"등락률")</f>
        <v>-2.14</v>
      </c>
      <c r="M530" s="2">
        <f>_xll.IMDP("STK",표.실시간[[#This Row],[nxt_code]],"누적거래량")</f>
        <v>50371</v>
      </c>
      <c r="N530" s="2">
        <f>_xll.IMDP("STK",표.실시간[[#This Row],[nxt_code]],"누적거래대금")/10^8</f>
        <v>5.2286272</v>
      </c>
      <c r="O530" s="2">
        <f>_xll.IMDP("STK",표.실시간[[#This Row],[nxt_code]],"가중평균가")</f>
        <v>10380.233071000001</v>
      </c>
      <c r="P530" s="2">
        <f>_xll.IMDP("STK",표.실시간[[#This Row],[nxt_code]],"시가")</f>
        <v>10520</v>
      </c>
      <c r="Q530" s="2">
        <f>_xll.IMDP("STK",표.실시간[[#This Row],[nxt_code]],"고가")</f>
        <v>10520</v>
      </c>
      <c r="R530" s="2">
        <f>_xll.IMDP("STK",표.실시간[[#This Row],[nxt_code]],"저가")</f>
        <v>10210</v>
      </c>
      <c r="S530">
        <f>_xll.IMDP("STK",표.실시간[[#This Row],[nxt_code]],"세션명")</f>
        <v>0</v>
      </c>
      <c r="T530">
        <f>_xll.IMDP("STK",표.실시간[[#This Row],[nxt_code]],"체결시간")</f>
        <v>0</v>
      </c>
      <c r="U530" s="2">
        <f>_xll.IMDP("STK","025900","현재가")</f>
        <v>10630</v>
      </c>
      <c r="V530">
        <f>_xll.IMDP("STK","025900","누적거래량")</f>
        <v>23620</v>
      </c>
    </row>
    <row r="531" spans="2:22" x14ac:dyDescent="0.3">
      <c r="B531">
        <v>523</v>
      </c>
      <c r="C531">
        <v>0</v>
      </c>
      <c r="D531">
        <f>IF(IFERROR(INDEX(표.kospi200[code],MATCH(표.실시간[[#This Row],[코드]],표.kospi200[code],0)),0)=0,0,1)</f>
        <v>0</v>
      </c>
      <c r="E531" t="s">
        <v>536</v>
      </c>
      <c r="F531">
        <v>352480</v>
      </c>
      <c r="G531" t="str">
        <f>ConvertStockCode(표.실시간[[#This Row],[코드]])</f>
        <v>N352480</v>
      </c>
      <c r="H531" s="2">
        <f>_xll.IMDP("STK",표.실시간[[#This Row],[nxt_code]],"현재가")</f>
        <v>36900</v>
      </c>
      <c r="I531" s="2">
        <f>_xll.IMDP("STK",표.실시간[[#This Row],[nxt_code]],"시가총액")/10^12</f>
        <v>0.50294334689999998</v>
      </c>
      <c r="J531" s="2">
        <f>표.실시간[[#This Row],[시가총액 (조원)]]/표.실시간[[#This Row],[현재가]]*(표.실시간[[#This Row],[현재가]]-표.실시간[[#This Row],[대비]])</f>
        <v>0.51793623799999999</v>
      </c>
      <c r="K531" s="3">
        <f>_xll.IMDP("STK",표.실시간[[#This Row],[nxt_code]],"전일대비")</f>
        <v>-1100</v>
      </c>
      <c r="L531">
        <f>_xll.IMDP("STK",표.실시간[[#This Row],[nxt_code]],"등락률")</f>
        <v>-3.02</v>
      </c>
      <c r="M531" s="2">
        <f>_xll.IMDP("STK",표.실시간[[#This Row],[nxt_code]],"누적거래량")</f>
        <v>7731</v>
      </c>
      <c r="N531" s="2">
        <f>_xll.IMDP("STK",표.실시간[[#This Row],[nxt_code]],"누적거래대금")/10^8</f>
        <v>2.8490004999999998</v>
      </c>
      <c r="O531" s="2">
        <f>_xll.IMDP("STK",표.실시간[[#This Row],[nxt_code]],"가중평균가")</f>
        <v>36851.642737000002</v>
      </c>
      <c r="P531" s="2">
        <f>_xll.IMDP("STK",표.실시간[[#This Row],[nxt_code]],"시가")</f>
        <v>37750</v>
      </c>
      <c r="Q531" s="2">
        <f>_xll.IMDP("STK",표.실시간[[#This Row],[nxt_code]],"고가")</f>
        <v>37750</v>
      </c>
      <c r="R531" s="2">
        <f>_xll.IMDP("STK",표.실시간[[#This Row],[nxt_code]],"저가")</f>
        <v>36550</v>
      </c>
      <c r="S531">
        <f>_xll.IMDP("STK",표.실시간[[#This Row],[nxt_code]],"세션명")</f>
        <v>0</v>
      </c>
      <c r="T531">
        <f>_xll.IMDP("STK",표.실시간[[#This Row],[nxt_code]],"체결시간")</f>
        <v>0</v>
      </c>
      <c r="U531" s="2">
        <f>_xll.IMDP("STK","352480","현재가")</f>
        <v>36950</v>
      </c>
      <c r="V531">
        <f>_xll.IMDP("STK","352480","누적거래량")</f>
        <v>5036</v>
      </c>
    </row>
    <row r="532" spans="2:22" x14ac:dyDescent="0.3">
      <c r="B532">
        <v>524</v>
      </c>
      <c r="C532">
        <v>0</v>
      </c>
      <c r="D532">
        <f>IF(IFERROR(INDEX(표.kospi200[code],MATCH(표.실시간[[#This Row],[코드]],표.kospi200[code],0)),0)=0,0,1)</f>
        <v>0</v>
      </c>
      <c r="E532" t="s">
        <v>537</v>
      </c>
      <c r="F532">
        <v>99190</v>
      </c>
      <c r="G532" t="str">
        <f>ConvertStockCode(표.실시간[[#This Row],[코드]])</f>
        <v>N099190</v>
      </c>
      <c r="H532" s="2">
        <f>_xll.IMDP("STK",표.실시간[[#This Row],[nxt_code]],"현재가")</f>
        <v>16630</v>
      </c>
      <c r="I532" s="2">
        <f>_xll.IMDP("STK",표.실시간[[#This Row],[nxt_code]],"시가총액")/10^12</f>
        <v>0.45911980938000002</v>
      </c>
      <c r="J532" s="2">
        <f>표.실시간[[#This Row],[시가총액 (조원)]]/표.실시간[[#This Row],[현재가]]*(표.실시간[[#This Row],[현재가]]-표.실시간[[#This Row],[대비]])</f>
        <v>0.45138959010000002</v>
      </c>
      <c r="K532" s="3">
        <f>_xll.IMDP("STK",표.실시간[[#This Row],[nxt_code]],"전일대비")</f>
        <v>280</v>
      </c>
      <c r="L532">
        <f>_xll.IMDP("STK",표.실시간[[#This Row],[nxt_code]],"등락률")</f>
        <v>1.4</v>
      </c>
      <c r="M532" s="2">
        <f>_xll.IMDP("STK",표.실시간[[#This Row],[nxt_code]],"누적거래량")</f>
        <v>18277</v>
      </c>
      <c r="N532" s="2">
        <f>_xll.IMDP("STK",표.실시간[[#This Row],[nxt_code]],"누적거래대금")/10^8</f>
        <v>2.9868823</v>
      </c>
      <c r="O532" s="2">
        <f>_xll.IMDP("STK",표.실시간[[#This Row],[nxt_code]],"가중평균가")</f>
        <v>16342.300706</v>
      </c>
      <c r="P532" s="2">
        <f>_xll.IMDP("STK",표.실시간[[#This Row],[nxt_code]],"시가")</f>
        <v>16410</v>
      </c>
      <c r="Q532" s="2">
        <f>_xll.IMDP("STK",표.실시간[[#This Row],[nxt_code]],"고가")</f>
        <v>16680</v>
      </c>
      <c r="R532" s="2">
        <f>_xll.IMDP("STK",표.실시간[[#This Row],[nxt_code]],"저가")</f>
        <v>16020</v>
      </c>
      <c r="S532">
        <f>_xll.IMDP("STK",표.실시간[[#This Row],[nxt_code]],"세션명")</f>
        <v>0</v>
      </c>
      <c r="T532">
        <f>_xll.IMDP("STK",표.실시간[[#This Row],[nxt_code]],"체결시간")</f>
        <v>0</v>
      </c>
      <c r="U532" s="2">
        <f>_xll.IMDP("STK","099190","현재가")</f>
        <v>16670</v>
      </c>
      <c r="V532">
        <f>_xll.IMDP("STK","099190","누적거래량")</f>
        <v>25713</v>
      </c>
    </row>
    <row r="533" spans="2:22" x14ac:dyDescent="0.3">
      <c r="B533">
        <v>525</v>
      </c>
      <c r="C533">
        <v>1</v>
      </c>
      <c r="D533">
        <f>IF(IFERROR(INDEX(표.kospi200[code],MATCH(표.실시간[[#This Row],[코드]],표.kospi200[code],0)),0)=0,0,1)</f>
        <v>0</v>
      </c>
      <c r="E533" t="s">
        <v>538</v>
      </c>
      <c r="F533">
        <v>26890</v>
      </c>
      <c r="G533" t="str">
        <f>ConvertStockCode(표.실시간[[#This Row],[코드]])</f>
        <v>N026890</v>
      </c>
      <c r="H533" s="2">
        <f>_xll.IMDP("STK",표.실시간[[#This Row],[nxt_code]],"현재가")</f>
        <v>11530</v>
      </c>
      <c r="I533" s="2">
        <f>_xll.IMDP("STK",표.실시간[[#This Row],[nxt_code]],"시가총액")/10^12</f>
        <v>0.48054935775000002</v>
      </c>
      <c r="J533" s="2">
        <f>표.실시간[[#This Row],[시가총액 (조원)]]/표.실시간[[#This Row],[현재가]]*(표.실시간[[#This Row],[현재가]]-표.실시간[[#This Row],[대비]])</f>
        <v>0.48430039350000004</v>
      </c>
      <c r="K533" s="3">
        <f>_xll.IMDP("STK",표.실시간[[#This Row],[nxt_code]],"전일대비")</f>
        <v>-90</v>
      </c>
      <c r="L533">
        <f>_xll.IMDP("STK",표.실시간[[#This Row],[nxt_code]],"등락률")</f>
        <v>-1.1100000000000001</v>
      </c>
      <c r="M533" s="2">
        <f>_xll.IMDP("STK",표.실시간[[#This Row],[nxt_code]],"누적거래량")</f>
        <v>4579</v>
      </c>
      <c r="N533" s="2">
        <f>_xll.IMDP("STK",표.실시간[[#This Row],[nxt_code]],"누적거래대금")/10^8</f>
        <v>0.52492780000000006</v>
      </c>
      <c r="O533" s="2">
        <f>_xll.IMDP("STK",표.실시간[[#This Row],[nxt_code]],"가중평균가")</f>
        <v>11463.808692000001</v>
      </c>
      <c r="P533" s="2">
        <f>_xll.IMDP("STK",표.실시간[[#This Row],[nxt_code]],"시가")</f>
        <v>11670</v>
      </c>
      <c r="Q533" s="2">
        <f>_xll.IMDP("STK",표.실시간[[#This Row],[nxt_code]],"고가")</f>
        <v>11670</v>
      </c>
      <c r="R533" s="2">
        <f>_xll.IMDP("STK",표.실시간[[#This Row],[nxt_code]],"저가")</f>
        <v>11300</v>
      </c>
      <c r="S533">
        <f>_xll.IMDP("STK",표.실시간[[#This Row],[nxt_code]],"세션명")</f>
        <v>0</v>
      </c>
      <c r="T533">
        <f>_xll.IMDP("STK",표.실시간[[#This Row],[nxt_code]],"체결시간")</f>
        <v>0</v>
      </c>
      <c r="U533" s="2">
        <f>_xll.IMDP("STK","026890","현재가")</f>
        <v>11540</v>
      </c>
      <c r="V533">
        <f>_xll.IMDP("STK","026890","누적거래량")</f>
        <v>7700</v>
      </c>
    </row>
    <row r="534" spans="2:22" x14ac:dyDescent="0.3">
      <c r="B534">
        <v>526</v>
      </c>
      <c r="C534">
        <v>0</v>
      </c>
      <c r="D534">
        <f>IF(IFERROR(INDEX(표.kospi200[code],MATCH(표.실시간[[#This Row],[코드]],표.kospi200[code],0)),0)=0,0,1)</f>
        <v>0</v>
      </c>
      <c r="E534" t="s">
        <v>539</v>
      </c>
      <c r="F534">
        <v>206650</v>
      </c>
      <c r="G534" t="str">
        <f>ConvertStockCode(표.실시간[[#This Row],[코드]])</f>
        <v>N206650</v>
      </c>
      <c r="H534" s="2">
        <f>_xll.IMDP("STK",표.실시간[[#This Row],[nxt_code]],"현재가")</f>
        <v>12680</v>
      </c>
      <c r="I534" s="2">
        <f>_xll.IMDP("STK",표.실시간[[#This Row],[nxt_code]],"시가총액")/10^12</f>
        <v>0.46500485275999998</v>
      </c>
      <c r="J534" s="2">
        <f>표.실시간[[#This Row],[시가총액 (조원)]]/표.실시간[[#This Row],[현재가]]*(표.실시간[[#This Row],[현재가]]-표.실시간[[#This Row],[대비]])</f>
        <v>0.45913728363999995</v>
      </c>
      <c r="K534" s="3">
        <f>_xll.IMDP("STK",표.실시간[[#This Row],[nxt_code]],"전일대비")</f>
        <v>160</v>
      </c>
      <c r="L534">
        <f>_xll.IMDP("STK",표.실시간[[#This Row],[nxt_code]],"등락률")</f>
        <v>1.28</v>
      </c>
      <c r="M534" s="2">
        <f>_xll.IMDP("STK",표.실시간[[#This Row],[nxt_code]],"누적거래량")</f>
        <v>135554</v>
      </c>
      <c r="N534" s="2">
        <f>_xll.IMDP("STK",표.실시간[[#This Row],[nxt_code]],"누적거래대금")/10^8</f>
        <v>17.376447800000001</v>
      </c>
      <c r="O534" s="2">
        <f>_xll.IMDP("STK",표.실시간[[#This Row],[nxt_code]],"가중평균가")</f>
        <v>12818.838100999999</v>
      </c>
      <c r="P534" s="2">
        <f>_xll.IMDP("STK",표.실시간[[#This Row],[nxt_code]],"시가")</f>
        <v>12620</v>
      </c>
      <c r="Q534" s="2">
        <f>_xll.IMDP("STK",표.실시간[[#This Row],[nxt_code]],"고가")</f>
        <v>13520</v>
      </c>
      <c r="R534" s="2">
        <f>_xll.IMDP("STK",표.실시간[[#This Row],[nxt_code]],"저가")</f>
        <v>12610</v>
      </c>
      <c r="S534">
        <f>_xll.IMDP("STK",표.실시간[[#This Row],[nxt_code]],"세션명")</f>
        <v>0</v>
      </c>
      <c r="T534">
        <f>_xll.IMDP("STK",표.실시간[[#This Row],[nxt_code]],"체결시간")</f>
        <v>0</v>
      </c>
      <c r="U534" s="2">
        <f>_xll.IMDP("STK","206650","현재가")</f>
        <v>12680</v>
      </c>
      <c r="V534">
        <f>_xll.IMDP("STK","206650","누적거래량")</f>
        <v>50481</v>
      </c>
    </row>
    <row r="535" spans="2:22" x14ac:dyDescent="0.3">
      <c r="B535">
        <v>527</v>
      </c>
      <c r="C535">
        <v>0</v>
      </c>
      <c r="D535">
        <f>IF(IFERROR(INDEX(표.kospi200[code],MATCH(표.실시간[[#This Row],[코드]],표.kospi200[code],0)),0)=0,0,1)</f>
        <v>0</v>
      </c>
      <c r="E535" t="s">
        <v>540</v>
      </c>
      <c r="F535">
        <v>425420</v>
      </c>
      <c r="G535" t="str">
        <f>ConvertStockCode(표.실시간[[#This Row],[코드]])</f>
        <v>N425420</v>
      </c>
      <c r="H535" s="2">
        <f>_xll.IMDP("STK",표.실시간[[#This Row],[nxt_code]],"현재가")</f>
        <v>37350</v>
      </c>
      <c r="I535" s="2">
        <f>_xll.IMDP("STK",표.실시간[[#This Row],[nxt_code]],"시가총액")/10^12</f>
        <v>0.44673251850000001</v>
      </c>
      <c r="J535" s="2">
        <f>표.실시간[[#This Row],[시가총액 (조원)]]/표.실시간[[#This Row],[현재가]]*(표.실시간[[#This Row],[현재가]]-표.실시간[[#This Row],[대비]])</f>
        <v>0.46586965450000001</v>
      </c>
      <c r="K535" s="3">
        <f>_xll.IMDP("STK",표.실시간[[#This Row],[nxt_code]],"전일대비")</f>
        <v>-1600</v>
      </c>
      <c r="L535">
        <f>_xll.IMDP("STK",표.실시간[[#This Row],[nxt_code]],"등락률")</f>
        <v>-3.49</v>
      </c>
      <c r="M535" s="2">
        <f>_xll.IMDP("STK",표.실시간[[#This Row],[nxt_code]],"누적거래량")</f>
        <v>26706</v>
      </c>
      <c r="N535" s="2">
        <f>_xll.IMDP("STK",표.실시간[[#This Row],[nxt_code]],"누적거래대금")/10^8</f>
        <v>9.9629574999999999</v>
      </c>
      <c r="O535" s="2">
        <f>_xll.IMDP("STK",표.실시간[[#This Row],[nxt_code]],"가중평균가")</f>
        <v>37108.751117</v>
      </c>
      <c r="P535" s="2">
        <f>_xll.IMDP("STK",표.실시간[[#This Row],[nxt_code]],"시가")</f>
        <v>38250</v>
      </c>
      <c r="Q535" s="2">
        <f>_xll.IMDP("STK",표.실시간[[#This Row],[nxt_code]],"고가")</f>
        <v>38400</v>
      </c>
      <c r="R535" s="2">
        <f>_xll.IMDP("STK",표.실시간[[#This Row],[nxt_code]],"저가")</f>
        <v>36600</v>
      </c>
      <c r="S535">
        <f>_xll.IMDP("STK",표.실시간[[#This Row],[nxt_code]],"세션명")</f>
        <v>0</v>
      </c>
      <c r="T535">
        <f>_xll.IMDP("STK",표.실시간[[#This Row],[nxt_code]],"체결시간")</f>
        <v>0</v>
      </c>
      <c r="U535" s="2">
        <f>_xll.IMDP("STK","425420","현재가")</f>
        <v>37100</v>
      </c>
      <c r="V535">
        <f>_xll.IMDP("STK","425420","누적거래량")</f>
        <v>11550</v>
      </c>
    </row>
    <row r="536" spans="2:22" x14ac:dyDescent="0.3">
      <c r="B536">
        <v>528</v>
      </c>
      <c r="C536">
        <v>1</v>
      </c>
      <c r="D536">
        <f>IF(IFERROR(INDEX(표.kospi200[code],MATCH(표.실시간[[#This Row],[코드]],표.kospi200[code],0)),0)=0,0,1)</f>
        <v>0</v>
      </c>
      <c r="E536" t="s">
        <v>541</v>
      </c>
      <c r="F536">
        <v>460860</v>
      </c>
      <c r="G536" t="str">
        <f>ConvertStockCode(표.실시간[[#This Row],[코드]])</f>
        <v>N460860</v>
      </c>
      <c r="H536" s="2">
        <f>_xll.IMDP("STK",표.실시간[[#This Row],[nxt_code]],"현재가")</f>
        <v>8500</v>
      </c>
      <c r="I536" s="2">
        <f>_xll.IMDP("STK",표.실시간[[#This Row],[nxt_code]],"시가총액")/10^12</f>
        <v>0.42166814450000001</v>
      </c>
      <c r="J536" s="2">
        <f>표.실시간[[#This Row],[시가총액 (조원)]]/표.실시간[[#This Row],[현재가]]*(표.실시간[[#This Row],[현재가]]-표.실시간[[#This Row],[대비]])</f>
        <v>0.43704662977000003</v>
      </c>
      <c r="K536" s="3">
        <f>_xll.IMDP("STK",표.실시간[[#This Row],[nxt_code]],"전일대비")</f>
        <v>-310</v>
      </c>
      <c r="L536">
        <f>_xll.IMDP("STK",표.실시간[[#This Row],[nxt_code]],"등락률")</f>
        <v>-3.52</v>
      </c>
      <c r="M536" s="2">
        <f>_xll.IMDP("STK",표.실시간[[#This Row],[nxt_code]],"누적거래량")</f>
        <v>78410</v>
      </c>
      <c r="N536" s="2">
        <f>_xll.IMDP("STK",표.실시간[[#This Row],[nxt_code]],"누적거래대금")/10^8</f>
        <v>6.7425585000000003</v>
      </c>
      <c r="O536" s="2">
        <f>_xll.IMDP("STK",표.실시간[[#This Row],[nxt_code]],"가중평균가")</f>
        <v>8599.1053439999996</v>
      </c>
      <c r="P536" s="2">
        <f>_xll.IMDP("STK",표.실시간[[#This Row],[nxt_code]],"시가")</f>
        <v>8840</v>
      </c>
      <c r="Q536" s="2">
        <f>_xll.IMDP("STK",표.실시간[[#This Row],[nxt_code]],"고가")</f>
        <v>8840</v>
      </c>
      <c r="R536" s="2">
        <f>_xll.IMDP("STK",표.실시간[[#This Row],[nxt_code]],"저가")</f>
        <v>8400</v>
      </c>
      <c r="S536">
        <f>_xll.IMDP("STK",표.실시간[[#This Row],[nxt_code]],"세션명")</f>
        <v>0</v>
      </c>
      <c r="T536">
        <f>_xll.IMDP("STK",표.실시간[[#This Row],[nxt_code]],"체결시간")</f>
        <v>0</v>
      </c>
      <c r="U536" s="2">
        <f>_xll.IMDP("STK","460860","현재가")</f>
        <v>8530</v>
      </c>
      <c r="V536">
        <f>_xll.IMDP("STK","460860","누적거래량")</f>
        <v>67459</v>
      </c>
    </row>
    <row r="537" spans="2:22" x14ac:dyDescent="0.3">
      <c r="B537">
        <v>529</v>
      </c>
      <c r="C537">
        <v>0</v>
      </c>
      <c r="D537">
        <f>IF(IFERROR(INDEX(표.kospi200[code],MATCH(표.실시간[[#This Row],[코드]],표.kospi200[code],0)),0)=0,0,1)</f>
        <v>0</v>
      </c>
      <c r="E537" t="s">
        <v>542</v>
      </c>
      <c r="F537">
        <v>194480</v>
      </c>
      <c r="G537" t="str">
        <f>ConvertStockCode(표.실시간[[#This Row],[코드]])</f>
        <v>N194480</v>
      </c>
      <c r="H537" s="2">
        <f>_xll.IMDP("STK",표.실시간[[#This Row],[nxt_code]],"현재가")</f>
        <v>36800</v>
      </c>
      <c r="I537" s="2">
        <f>_xll.IMDP("STK",표.실시간[[#This Row],[nxt_code]],"시가총액")/10^12</f>
        <v>0.44635271999999998</v>
      </c>
      <c r="J537" s="2">
        <f>표.실시간[[#This Row],[시가총액 (조원)]]/표.실시간[[#This Row],[현재가]]*(표.실시간[[#This Row],[현재가]]-표.실시간[[#This Row],[대비]])</f>
        <v>0.46636581749999995</v>
      </c>
      <c r="K537" s="3">
        <f>_xll.IMDP("STK",표.실시간[[#This Row],[nxt_code]],"전일대비")</f>
        <v>-1650</v>
      </c>
      <c r="L537">
        <f>_xll.IMDP("STK",표.실시간[[#This Row],[nxt_code]],"등락률")</f>
        <v>-4.29</v>
      </c>
      <c r="M537" s="2">
        <f>_xll.IMDP("STK",표.실시간[[#This Row],[nxt_code]],"누적거래량")</f>
        <v>17097</v>
      </c>
      <c r="N537" s="2">
        <f>_xll.IMDP("STK",표.실시간[[#This Row],[nxt_code]],"누적거래대금")/10^8</f>
        <v>6.3074050000000002</v>
      </c>
      <c r="O537" s="2">
        <f>_xll.IMDP("STK",표.실시간[[#This Row],[nxt_code]],"가중평균가")</f>
        <v>36891.881616999999</v>
      </c>
      <c r="P537" s="2">
        <f>_xll.IMDP("STK",표.실시간[[#This Row],[nxt_code]],"시가")</f>
        <v>38000</v>
      </c>
      <c r="Q537" s="2">
        <f>_xll.IMDP("STK",표.실시간[[#This Row],[nxt_code]],"고가")</f>
        <v>38000</v>
      </c>
      <c r="R537" s="2">
        <f>_xll.IMDP("STK",표.실시간[[#This Row],[nxt_code]],"저가")</f>
        <v>36300</v>
      </c>
      <c r="S537">
        <f>_xll.IMDP("STK",표.실시간[[#This Row],[nxt_code]],"세션명")</f>
        <v>0</v>
      </c>
      <c r="T537">
        <f>_xll.IMDP("STK",표.실시간[[#This Row],[nxt_code]],"체결시간")</f>
        <v>0</v>
      </c>
      <c r="U537" s="2">
        <f>_xll.IMDP("STK","194480","현재가")</f>
        <v>36750</v>
      </c>
      <c r="V537">
        <f>_xll.IMDP("STK","194480","누적거래량")</f>
        <v>15943</v>
      </c>
    </row>
    <row r="538" spans="2:22" x14ac:dyDescent="0.3">
      <c r="B538">
        <v>530</v>
      </c>
      <c r="C538">
        <v>0</v>
      </c>
      <c r="D538">
        <f>IF(IFERROR(INDEX(표.kospi200[code],MATCH(표.실시간[[#This Row],[코드]],표.kospi200[code],0)),0)=0,0,1)</f>
        <v>0</v>
      </c>
      <c r="E538" t="s">
        <v>543</v>
      </c>
      <c r="F538">
        <v>215200</v>
      </c>
      <c r="G538" t="str">
        <f>ConvertStockCode(표.실시간[[#This Row],[코드]])</f>
        <v>N215200</v>
      </c>
      <c r="H538" s="2">
        <f>_xll.IMDP("STK",표.실시간[[#This Row],[nxt_code]],"현재가")</f>
        <v>44750</v>
      </c>
      <c r="I538" s="2">
        <f>_xll.IMDP("STK",표.실시간[[#This Row],[nxt_code]],"시가총액")/10^12</f>
        <v>0.46384341600000001</v>
      </c>
      <c r="J538" s="2">
        <f>표.실시간[[#This Row],[시가총액 (조원)]]/표.실시간[[#This Row],[현재가]]*(표.실시간[[#This Row],[현재가]]-표.실시간[[#This Row],[대비]])</f>
        <v>0.48250080480000002</v>
      </c>
      <c r="K538" s="3">
        <f>_xll.IMDP("STK",표.실시간[[#This Row],[nxt_code]],"전일대비")</f>
        <v>-1800</v>
      </c>
      <c r="L538">
        <f>_xll.IMDP("STK",표.실시간[[#This Row],[nxt_code]],"등락률")</f>
        <v>-3.97</v>
      </c>
      <c r="M538" s="2">
        <f>_xll.IMDP("STK",표.실시간[[#This Row],[nxt_code]],"누적거래량")</f>
        <v>2024</v>
      </c>
      <c r="N538" s="2">
        <f>_xll.IMDP("STK",표.실시간[[#This Row],[nxt_code]],"누적거래대금")/10^8</f>
        <v>0.89692749999999999</v>
      </c>
      <c r="O538" s="2">
        <f>_xll.IMDP("STK",표.실시간[[#This Row],[nxt_code]],"가중평균가")</f>
        <v>45198.987154000002</v>
      </c>
      <c r="P538" s="2">
        <f>_xll.IMDP("STK",표.실시간[[#This Row],[nxt_code]],"시가")</f>
        <v>46250</v>
      </c>
      <c r="Q538" s="2">
        <f>_xll.IMDP("STK",표.실시간[[#This Row],[nxt_code]],"고가")</f>
        <v>46250</v>
      </c>
      <c r="R538" s="2">
        <f>_xll.IMDP("STK",표.실시간[[#This Row],[nxt_code]],"저가")</f>
        <v>44700</v>
      </c>
      <c r="S538">
        <f>_xll.IMDP("STK",표.실시간[[#This Row],[nxt_code]],"세션명")</f>
        <v>0</v>
      </c>
      <c r="T538">
        <f>_xll.IMDP("STK",표.실시간[[#This Row],[nxt_code]],"체결시간")</f>
        <v>0</v>
      </c>
      <c r="U538" s="2">
        <f>_xll.IMDP("STK","215200","현재가")</f>
        <v>44800</v>
      </c>
      <c r="V538">
        <f>_xll.IMDP("STK","215200","누적거래량")</f>
        <v>5188</v>
      </c>
    </row>
    <row r="539" spans="2:22" x14ac:dyDescent="0.3">
      <c r="B539">
        <v>531</v>
      </c>
      <c r="C539">
        <v>1</v>
      </c>
      <c r="D539">
        <f>IF(IFERROR(INDEX(표.kospi200[code],MATCH(표.실시간[[#This Row],[코드]],표.kospi200[code],0)),0)=0,0,1)</f>
        <v>0</v>
      </c>
      <c r="E539" t="s">
        <v>544</v>
      </c>
      <c r="F539">
        <v>72710</v>
      </c>
      <c r="G539" t="str">
        <f>ConvertStockCode(표.실시간[[#This Row],[코드]])</f>
        <v>N072710</v>
      </c>
      <c r="H539" s="2">
        <f>_xll.IMDP("STK",표.실시간[[#This Row],[nxt_code]],"현재가")</f>
        <v>87400</v>
      </c>
      <c r="I539" s="2">
        <f>_xll.IMDP("STK",표.실시간[[#This Row],[nxt_code]],"시가총액")/10^12</f>
        <v>0.40534284599999998</v>
      </c>
      <c r="J539" s="2">
        <f>표.실시간[[#This Row],[시가총액 (조원)]]/표.실시간[[#This Row],[현재가]]*(표.실시간[[#This Row],[현재가]]-표.실시간[[#This Row],[대비]])</f>
        <v>0.41044441500000001</v>
      </c>
      <c r="K539" s="3">
        <f>_xll.IMDP("STK",표.실시간[[#This Row],[nxt_code]],"전일대비")</f>
        <v>-1100</v>
      </c>
      <c r="L539">
        <f>_xll.IMDP("STK",표.실시간[[#This Row],[nxt_code]],"등락률")</f>
        <v>-1.24</v>
      </c>
      <c r="M539" s="2">
        <f>_xll.IMDP("STK",표.실시간[[#This Row],[nxt_code]],"누적거래량")</f>
        <v>1459</v>
      </c>
      <c r="N539" s="2">
        <f>_xll.IMDP("STK",표.실시간[[#This Row],[nxt_code]],"누적거래대금")/10^8</f>
        <v>1.2808079999999999</v>
      </c>
      <c r="O539" s="2">
        <f>_xll.IMDP("STK",표.실시간[[#This Row],[nxt_code]],"가중평균가")</f>
        <v>87786.703221000003</v>
      </c>
      <c r="P539" s="2">
        <f>_xll.IMDP("STK",표.실시간[[#This Row],[nxt_code]],"시가")</f>
        <v>88200</v>
      </c>
      <c r="Q539" s="2">
        <f>_xll.IMDP("STK",표.실시간[[#This Row],[nxt_code]],"고가")</f>
        <v>88500</v>
      </c>
      <c r="R539" s="2">
        <f>_xll.IMDP("STK",표.실시간[[#This Row],[nxt_code]],"저가")</f>
        <v>87300</v>
      </c>
      <c r="S539">
        <f>_xll.IMDP("STK",표.실시간[[#This Row],[nxt_code]],"세션명")</f>
        <v>0</v>
      </c>
      <c r="T539">
        <f>_xll.IMDP("STK",표.실시간[[#This Row],[nxt_code]],"체결시간")</f>
        <v>0</v>
      </c>
      <c r="U539" s="2">
        <f>_xll.IMDP("STK","072710","현재가")</f>
        <v>87700</v>
      </c>
      <c r="V539">
        <f>_xll.IMDP("STK","072710","누적거래량")</f>
        <v>412</v>
      </c>
    </row>
    <row r="540" spans="2:22" x14ac:dyDescent="0.3">
      <c r="B540">
        <v>532</v>
      </c>
      <c r="C540">
        <v>1</v>
      </c>
      <c r="D540">
        <f>IF(IFERROR(INDEX(표.kospi200[code],MATCH(표.실시간[[#This Row],[코드]],표.kospi200[code],0)),0)=0,0,1)</f>
        <v>0</v>
      </c>
      <c r="E540" t="s">
        <v>545</v>
      </c>
      <c r="F540">
        <v>403550</v>
      </c>
      <c r="G540" t="str">
        <f>ConvertStockCode(표.실시간[[#This Row],[코드]])</f>
        <v>N403550</v>
      </c>
      <c r="H540" s="2">
        <f>_xll.IMDP("STK",표.실시간[[#This Row],[nxt_code]],"현재가")</f>
        <v>11920</v>
      </c>
      <c r="I540" s="2">
        <f>_xll.IMDP("STK",표.실시간[[#This Row],[nxt_code]],"시가총액")/10^12</f>
        <v>0.39147547183999998</v>
      </c>
      <c r="J540" s="2">
        <f>표.실시간[[#This Row],[시가총액 (조원)]]/표.실시간[[#This Row],[현재가]]*(표.실시간[[#This Row],[현재가]]-표.실시간[[#This Row],[대비]])</f>
        <v>0.39147547183999998</v>
      </c>
      <c r="K540" s="3">
        <f>_xll.IMDP("STK",표.실시간[[#This Row],[nxt_code]],"전일대비")</f>
        <v>0</v>
      </c>
      <c r="L540">
        <f>_xll.IMDP("STK",표.실시간[[#This Row],[nxt_code]],"등락률")</f>
        <v>0</v>
      </c>
      <c r="M540" s="2">
        <f>_xll.IMDP("STK",표.실시간[[#This Row],[nxt_code]],"누적거래량")</f>
        <v>814</v>
      </c>
      <c r="N540" s="2">
        <f>_xll.IMDP("STK",표.실시간[[#This Row],[nxt_code]],"누적거래대금")/10^8</f>
        <v>9.4719300000000006E-2</v>
      </c>
      <c r="O540" s="2">
        <f>_xll.IMDP("STK",표.실시간[[#This Row],[nxt_code]],"가중평균가")</f>
        <v>11636.277641000001</v>
      </c>
      <c r="P540" s="2">
        <f>_xll.IMDP("STK",표.실시간[[#This Row],[nxt_code]],"시가")</f>
        <v>11920</v>
      </c>
      <c r="Q540" s="2">
        <f>_xll.IMDP("STK",표.실시간[[#This Row],[nxt_code]],"고가")</f>
        <v>11920</v>
      </c>
      <c r="R540" s="2">
        <f>_xll.IMDP("STK",표.실시간[[#This Row],[nxt_code]],"저가")</f>
        <v>11510</v>
      </c>
      <c r="S540">
        <f>_xll.IMDP("STK",표.실시간[[#This Row],[nxt_code]],"세션명")</f>
        <v>0</v>
      </c>
      <c r="T540">
        <f>_xll.IMDP("STK",표.실시간[[#This Row],[nxt_code]],"체결시간")</f>
        <v>0</v>
      </c>
      <c r="U540" s="2">
        <f>_xll.IMDP("STK","403550","현재가")</f>
        <v>11940</v>
      </c>
      <c r="V540">
        <f>_xll.IMDP("STK","403550","누적거래량")</f>
        <v>765</v>
      </c>
    </row>
    <row r="541" spans="2:22" x14ac:dyDescent="0.3">
      <c r="B541">
        <v>533</v>
      </c>
      <c r="C541">
        <v>0</v>
      </c>
      <c r="D541">
        <f>IF(IFERROR(INDEX(표.kospi200[code],MATCH(표.실시간[[#This Row],[코드]],표.kospi200[code],0)),0)=0,0,1)</f>
        <v>0</v>
      </c>
      <c r="E541" t="s">
        <v>546</v>
      </c>
      <c r="F541">
        <v>53610</v>
      </c>
      <c r="G541" t="str">
        <f>ConvertStockCode(표.실시간[[#This Row],[코드]])</f>
        <v>N053610</v>
      </c>
      <c r="H541" s="2">
        <f>_xll.IMDP("STK",표.실시간[[#This Row],[nxt_code]],"현재가")</f>
        <v>53300</v>
      </c>
      <c r="I541" s="2">
        <f>_xll.IMDP("STK",표.실시간[[#This Row],[nxt_code]],"시가총액")/10^12</f>
        <v>0.58630000000000004</v>
      </c>
      <c r="J541" s="2">
        <f>표.실시간[[#This Row],[시가총액 (조원)]]/표.실시간[[#This Row],[현재가]]*(표.실시간[[#This Row],[현재가]]-표.실시간[[#This Row],[대비]])</f>
        <v>0.56100000000000005</v>
      </c>
      <c r="K541" s="3">
        <f>_xll.IMDP("STK",표.실시간[[#This Row],[nxt_code]],"전일대비")</f>
        <v>2300</v>
      </c>
      <c r="L541">
        <f>_xll.IMDP("STK",표.실시간[[#This Row],[nxt_code]],"등락률")</f>
        <v>4.51</v>
      </c>
      <c r="M541" s="2">
        <f>_xll.IMDP("STK",표.실시간[[#This Row],[nxt_code]],"누적거래량")</f>
        <v>606266</v>
      </c>
      <c r="N541" s="2">
        <f>_xll.IMDP("STK",표.실시간[[#This Row],[nxt_code]],"누적거래대금")/10^8</f>
        <v>333.996712</v>
      </c>
      <c r="O541" s="2">
        <f>_xll.IMDP("STK",표.실시간[[#This Row],[nxt_code]],"가중평균가")</f>
        <v>55090.787212000003</v>
      </c>
      <c r="P541" s="2">
        <f>_xll.IMDP("STK",표.실시간[[#This Row],[nxt_code]],"시가")</f>
        <v>53000</v>
      </c>
      <c r="Q541" s="2">
        <f>_xll.IMDP("STK",표.실시간[[#This Row],[nxt_code]],"고가")</f>
        <v>58600</v>
      </c>
      <c r="R541" s="2">
        <f>_xll.IMDP("STK",표.실시간[[#This Row],[nxt_code]],"저가")</f>
        <v>49750</v>
      </c>
      <c r="S541">
        <f>_xll.IMDP("STK",표.실시간[[#This Row],[nxt_code]],"세션명")</f>
        <v>0</v>
      </c>
      <c r="T541">
        <f>_xll.IMDP("STK",표.실시간[[#This Row],[nxt_code]],"체결시간")</f>
        <v>0</v>
      </c>
      <c r="U541" s="2">
        <f>_xll.IMDP("STK","053610","현재가")</f>
        <v>53300</v>
      </c>
      <c r="V541">
        <f>_xll.IMDP("STK","053610","누적거래량")</f>
        <v>80160</v>
      </c>
    </row>
    <row r="542" spans="2:22" x14ac:dyDescent="0.3">
      <c r="B542">
        <v>534</v>
      </c>
      <c r="C542">
        <v>0</v>
      </c>
      <c r="D542">
        <f>IF(IFERROR(INDEX(표.kospi200[code],MATCH(표.실시간[[#This Row],[코드]],표.kospi200[code],0)),0)=0,0,1)</f>
        <v>0</v>
      </c>
      <c r="E542" t="s">
        <v>547</v>
      </c>
      <c r="F542">
        <v>270660</v>
      </c>
      <c r="G542" t="str">
        <f>ConvertStockCode(표.실시간[[#This Row],[코드]])</f>
        <v>N270660</v>
      </c>
      <c r="H542" s="2">
        <f>_xll.IMDP("STK",표.실시간[[#This Row],[nxt_code]],"현재가")</f>
        <v>25950</v>
      </c>
      <c r="I542" s="2">
        <f>_xll.IMDP("STK",표.실시간[[#This Row],[nxt_code]],"시가총액")/10^12</f>
        <v>0.32932062885000002</v>
      </c>
      <c r="J542" s="2">
        <f>표.실시간[[#This Row],[시가총액 (조원)]]/표.실시간[[#This Row],[현재가]]*(표.실시간[[#This Row],[현재가]]-표.실시간[[#This Row],[대비]])</f>
        <v>0.33503139120000003</v>
      </c>
      <c r="K542" s="3">
        <f>_xll.IMDP("STK",표.실시간[[#This Row],[nxt_code]],"전일대비")</f>
        <v>-450</v>
      </c>
      <c r="L542">
        <f>_xll.IMDP("STK",표.실시간[[#This Row],[nxt_code]],"등락률")</f>
        <v>-1.7</v>
      </c>
      <c r="M542" s="2">
        <f>_xll.IMDP("STK",표.실시간[[#This Row],[nxt_code]],"누적거래량")</f>
        <v>45536</v>
      </c>
      <c r="N542" s="2">
        <f>_xll.IMDP("STK",표.실시간[[#This Row],[nxt_code]],"누적거래대금")/10^8</f>
        <v>11.654726999999999</v>
      </c>
      <c r="O542" s="2">
        <f>_xll.IMDP("STK",표.실시간[[#This Row],[nxt_code]],"가중평균가")</f>
        <v>25594.533995000002</v>
      </c>
      <c r="P542" s="2">
        <f>_xll.IMDP("STK",표.실시간[[#This Row],[nxt_code]],"시가")</f>
        <v>25850</v>
      </c>
      <c r="Q542" s="2">
        <f>_xll.IMDP("STK",표.실시간[[#This Row],[nxt_code]],"고가")</f>
        <v>26400</v>
      </c>
      <c r="R542" s="2">
        <f>_xll.IMDP("STK",표.실시간[[#This Row],[nxt_code]],"저가")</f>
        <v>25150</v>
      </c>
      <c r="S542">
        <f>_xll.IMDP("STK",표.실시간[[#This Row],[nxt_code]],"세션명")</f>
        <v>0</v>
      </c>
      <c r="T542">
        <f>_xll.IMDP("STK",표.실시간[[#This Row],[nxt_code]],"체결시간")</f>
        <v>0</v>
      </c>
      <c r="U542" s="2">
        <f>_xll.IMDP("STK","270660","현재가")</f>
        <v>26050</v>
      </c>
      <c r="V542">
        <f>_xll.IMDP("STK","270660","누적거래량")</f>
        <v>15956</v>
      </c>
    </row>
    <row r="543" spans="2:22" x14ac:dyDescent="0.3">
      <c r="B543">
        <v>535</v>
      </c>
      <c r="C543">
        <v>0</v>
      </c>
      <c r="D543">
        <f>IF(IFERROR(INDEX(표.kospi200[code],MATCH(표.실시간[[#This Row],[코드]],표.kospi200[code],0)),0)=0,0,1)</f>
        <v>0</v>
      </c>
      <c r="E543" t="s">
        <v>548</v>
      </c>
      <c r="F543">
        <v>78340</v>
      </c>
      <c r="G543" t="str">
        <f>ConvertStockCode(표.실시간[[#This Row],[코드]])</f>
        <v>N078340</v>
      </c>
      <c r="H543" s="2">
        <f>_xll.IMDP("STK",표.실시간[[#This Row],[nxt_code]],"현재가")</f>
        <v>35800</v>
      </c>
      <c r="I543" s="2">
        <f>_xll.IMDP("STK",표.실시간[[#This Row],[nxt_code]],"시가총액")/10^12</f>
        <v>0.43286900540000001</v>
      </c>
      <c r="J543" s="2">
        <f>표.실시간[[#This Row],[시가총액 (조원)]]/표.실시간[[#This Row],[현재가]]*(표.실시간[[#This Row],[현재가]]-표.실시간[[#This Row],[대비]])</f>
        <v>0.44556488405</v>
      </c>
      <c r="K543" s="3">
        <f>_xll.IMDP("STK",표.실시간[[#This Row],[nxt_code]],"전일대비")</f>
        <v>-1050</v>
      </c>
      <c r="L543">
        <f>_xll.IMDP("STK",표.실시간[[#This Row],[nxt_code]],"등락률")</f>
        <v>-2.98</v>
      </c>
      <c r="M543" s="2">
        <f>_xll.IMDP("STK",표.실시간[[#This Row],[nxt_code]],"누적거래량")</f>
        <v>10116</v>
      </c>
      <c r="N543" s="2">
        <f>_xll.IMDP("STK",표.실시간[[#This Row],[nxt_code]],"누적거래대금")/10^8</f>
        <v>3.6380210000000002</v>
      </c>
      <c r="O543" s="2">
        <f>_xll.IMDP("STK",표.실시간[[#This Row],[nxt_code]],"가중평균가")</f>
        <v>35923.975510999997</v>
      </c>
      <c r="P543" s="2">
        <f>_xll.IMDP("STK",표.실시간[[#This Row],[nxt_code]],"시가")</f>
        <v>37000</v>
      </c>
      <c r="Q543" s="2">
        <f>_xll.IMDP("STK",표.실시간[[#This Row],[nxt_code]],"고가")</f>
        <v>37000</v>
      </c>
      <c r="R543" s="2">
        <f>_xll.IMDP("STK",표.실시간[[#This Row],[nxt_code]],"저가")</f>
        <v>35500</v>
      </c>
      <c r="S543">
        <f>_xll.IMDP("STK",표.실시간[[#This Row],[nxt_code]],"세션명")</f>
        <v>0</v>
      </c>
      <c r="T543">
        <f>_xll.IMDP("STK",표.실시간[[#This Row],[nxt_code]],"체결시간")</f>
        <v>0</v>
      </c>
      <c r="U543" s="2">
        <f>_xll.IMDP("STK","078340","현재가")</f>
        <v>36200</v>
      </c>
      <c r="V543">
        <f>_xll.IMDP("STK","078340","누적거래량")</f>
        <v>18935</v>
      </c>
    </row>
    <row r="544" spans="2:22" x14ac:dyDescent="0.3">
      <c r="B544">
        <v>536</v>
      </c>
      <c r="C544">
        <v>0</v>
      </c>
      <c r="D544">
        <f>IF(IFERROR(INDEX(표.kospi200[code],MATCH(표.실시간[[#This Row],[코드]],표.kospi200[code],0)),0)=0,0,1)</f>
        <v>0</v>
      </c>
      <c r="E544" t="s">
        <v>549</v>
      </c>
      <c r="F544">
        <v>122640</v>
      </c>
      <c r="G544" t="str">
        <f>ConvertStockCode(표.실시간[[#This Row],[코드]])</f>
        <v>N122640</v>
      </c>
      <c r="H544" s="2">
        <f>_xll.IMDP("STK",표.실시간[[#This Row],[nxt_code]],"현재가")</f>
        <v>22550</v>
      </c>
      <c r="I544" s="2">
        <f>_xll.IMDP("STK",표.실시간[[#This Row],[nxt_code]],"시가총액")/10^12</f>
        <v>0.48143846354999997</v>
      </c>
      <c r="J544" s="2">
        <f>표.실시간[[#This Row],[시가총액 (조원)]]/표.실시간[[#This Row],[현재가]]*(표.실시간[[#This Row],[현재가]]-표.실시간[[#This Row],[대비]])</f>
        <v>0.46329111569999992</v>
      </c>
      <c r="K544" s="3">
        <f>_xll.IMDP("STK",표.실시간[[#This Row],[nxt_code]],"전일대비")</f>
        <v>850</v>
      </c>
      <c r="L544">
        <f>_xll.IMDP("STK",표.실시간[[#This Row],[nxt_code]],"등락률")</f>
        <v>3.92</v>
      </c>
      <c r="M544" s="2">
        <f>_xll.IMDP("STK",표.실시간[[#This Row],[nxt_code]],"누적거래량")</f>
        <v>487809</v>
      </c>
      <c r="N544" s="2">
        <f>_xll.IMDP("STK",표.실시간[[#This Row],[nxt_code]],"누적거래대금")/10^8</f>
        <v>109.24845175</v>
      </c>
      <c r="O544" s="2">
        <f>_xll.IMDP("STK",표.실시간[[#This Row],[nxt_code]],"가중평균가")</f>
        <v>22395.743364999998</v>
      </c>
      <c r="P544" s="2">
        <f>_xll.IMDP("STK",표.실시간[[#This Row],[nxt_code]],"시가")</f>
        <v>21400</v>
      </c>
      <c r="Q544" s="2">
        <f>_xll.IMDP("STK",표.실시간[[#This Row],[nxt_code]],"고가")</f>
        <v>23700</v>
      </c>
      <c r="R544" s="2">
        <f>_xll.IMDP("STK",표.실시간[[#This Row],[nxt_code]],"저가")</f>
        <v>21350</v>
      </c>
      <c r="S544">
        <f>_xll.IMDP("STK",표.실시간[[#This Row],[nxt_code]],"세션명")</f>
        <v>0</v>
      </c>
      <c r="T544">
        <f>_xll.IMDP("STK",표.실시간[[#This Row],[nxt_code]],"체결시간")</f>
        <v>0</v>
      </c>
      <c r="U544" s="2">
        <f>_xll.IMDP("STK","122640","현재가")</f>
        <v>22500</v>
      </c>
      <c r="V544">
        <f>_xll.IMDP("STK","122640","누적거래량")</f>
        <v>116883</v>
      </c>
    </row>
    <row r="545" spans="2:22" x14ac:dyDescent="0.3">
      <c r="B545">
        <v>537</v>
      </c>
      <c r="C545">
        <v>1</v>
      </c>
      <c r="D545">
        <f>IF(IFERROR(INDEX(표.kospi200[code],MATCH(표.실시간[[#This Row],[코드]],표.kospi200[code],0)),0)=0,0,1)</f>
        <v>0</v>
      </c>
      <c r="E545" t="s">
        <v>550</v>
      </c>
      <c r="F545">
        <v>217590</v>
      </c>
      <c r="G545" t="str">
        <f>ConvertStockCode(표.실시간[[#This Row],[코드]])</f>
        <v>N217590</v>
      </c>
      <c r="H545" s="2">
        <f>_xll.IMDP("STK",표.실시간[[#This Row],[nxt_code]],"현재가")</f>
        <v>14900</v>
      </c>
      <c r="I545" s="2">
        <f>_xll.IMDP("STK",표.실시간[[#This Row],[nxt_code]],"시가총액")/10^12</f>
        <v>0.3590039525</v>
      </c>
      <c r="J545" s="2">
        <f>표.실시간[[#This Row],[시가총액 (조원)]]/표.실시간[[#This Row],[현재가]]*(표.실시간[[#This Row],[현재가]]-표.실시간[[#This Row],[대비]])</f>
        <v>0.36334091299999999</v>
      </c>
      <c r="K545" s="3">
        <f>_xll.IMDP("STK",표.실시간[[#This Row],[nxt_code]],"전일대비")</f>
        <v>-180</v>
      </c>
      <c r="L545">
        <f>_xll.IMDP("STK",표.실시간[[#This Row],[nxt_code]],"등락률")</f>
        <v>-1.19</v>
      </c>
      <c r="M545" s="2">
        <f>_xll.IMDP("STK",표.실시간[[#This Row],[nxt_code]],"누적거래량")</f>
        <v>39423</v>
      </c>
      <c r="N545" s="2">
        <f>_xll.IMDP("STK",표.실시간[[#This Row],[nxt_code]],"누적거래대금")/10^8</f>
        <v>5.8442862</v>
      </c>
      <c r="O545" s="2">
        <f>_xll.IMDP("STK",표.실시간[[#This Row],[nxt_code]],"가중평균가")</f>
        <v>14824.559775</v>
      </c>
      <c r="P545" s="2">
        <f>_xll.IMDP("STK",표.실시간[[#This Row],[nxt_code]],"시가")</f>
        <v>15080</v>
      </c>
      <c r="Q545" s="2">
        <f>_xll.IMDP("STK",표.실시간[[#This Row],[nxt_code]],"고가")</f>
        <v>15100</v>
      </c>
      <c r="R545" s="2">
        <f>_xll.IMDP("STK",표.실시간[[#This Row],[nxt_code]],"저가")</f>
        <v>14700</v>
      </c>
      <c r="S545">
        <f>_xll.IMDP("STK",표.실시간[[#This Row],[nxt_code]],"세션명")</f>
        <v>0</v>
      </c>
      <c r="T545">
        <f>_xll.IMDP("STK",표.실시간[[#This Row],[nxt_code]],"체결시간")</f>
        <v>0</v>
      </c>
      <c r="U545" s="2">
        <f>_xll.IMDP("STK","217590","현재가")</f>
        <v>14910</v>
      </c>
      <c r="V545">
        <f>_xll.IMDP("STK","217590","누적거래량")</f>
        <v>18046</v>
      </c>
    </row>
    <row r="546" spans="2:22" x14ac:dyDescent="0.3">
      <c r="B546">
        <v>538</v>
      </c>
      <c r="C546">
        <v>0</v>
      </c>
      <c r="D546">
        <f>IF(IFERROR(INDEX(표.kospi200[code],MATCH(표.실시간[[#This Row],[코드]],표.kospi200[code],0)),0)=0,0,1)</f>
        <v>0</v>
      </c>
      <c r="E546" t="s">
        <v>551</v>
      </c>
      <c r="F546">
        <v>41830</v>
      </c>
      <c r="G546" t="str">
        <f>ConvertStockCode(표.실시간[[#This Row],[코드]])</f>
        <v>N041830</v>
      </c>
      <c r="H546" s="2">
        <f>_xll.IMDP("STK",표.실시간[[#This Row],[nxt_code]],"현재가")</f>
        <v>31900</v>
      </c>
      <c r="I546" s="2">
        <f>_xll.IMDP("STK",표.실시간[[#This Row],[nxt_code]],"시가총액")/10^12</f>
        <v>0.4300401358</v>
      </c>
      <c r="J546" s="2">
        <f>표.실시간[[#This Row],[시가총액 (조원)]]/표.실시간[[#This Row],[현재가]]*(표.실시간[[#This Row],[현재가]]-표.실시간[[#This Row],[대비]])</f>
        <v>0.43812866500000003</v>
      </c>
      <c r="K546" s="3">
        <f>_xll.IMDP("STK",표.실시간[[#This Row],[nxt_code]],"전일대비")</f>
        <v>-600</v>
      </c>
      <c r="L546">
        <f>_xll.IMDP("STK",표.실시간[[#This Row],[nxt_code]],"등락률")</f>
        <v>-2.2999999999999998</v>
      </c>
      <c r="M546" s="2">
        <f>_xll.IMDP("STK",표.실시간[[#This Row],[nxt_code]],"누적거래량")</f>
        <v>2979</v>
      </c>
      <c r="N546" s="2">
        <f>_xll.IMDP("STK",표.실시간[[#This Row],[nxt_code]],"누적거래대금")/10^8</f>
        <v>0.94251050000000003</v>
      </c>
      <c r="O546" s="2">
        <f>_xll.IMDP("STK",표.실시간[[#This Row],[nxt_code]],"가중평균가")</f>
        <v>31584.944611999999</v>
      </c>
      <c r="P546" s="2">
        <f>_xll.IMDP("STK",표.실시간[[#This Row],[nxt_code]],"시가")</f>
        <v>32750</v>
      </c>
      <c r="Q546" s="2">
        <f>_xll.IMDP("STK",표.실시간[[#This Row],[nxt_code]],"고가")</f>
        <v>32750</v>
      </c>
      <c r="R546" s="2">
        <f>_xll.IMDP("STK",표.실시간[[#This Row],[nxt_code]],"저가")</f>
        <v>31150</v>
      </c>
      <c r="S546">
        <f>_xll.IMDP("STK",표.실시간[[#This Row],[nxt_code]],"세션명")</f>
        <v>0</v>
      </c>
      <c r="T546">
        <f>_xll.IMDP("STK",표.실시간[[#This Row],[nxt_code]],"체결시간")</f>
        <v>0</v>
      </c>
      <c r="U546" s="2">
        <f>_xll.IMDP("STK","041830","현재가")</f>
        <v>32000</v>
      </c>
      <c r="V546">
        <f>_xll.IMDP("STK","041830","누적거래량")</f>
        <v>1165</v>
      </c>
    </row>
    <row r="547" spans="2:22" x14ac:dyDescent="0.3">
      <c r="B547">
        <v>539</v>
      </c>
      <c r="C547">
        <v>1</v>
      </c>
      <c r="D547">
        <f>IF(IFERROR(INDEX(표.kospi200[code],MATCH(표.실시간[[#This Row],[코드]],표.kospi200[code],0)),0)=0,0,1)</f>
        <v>0</v>
      </c>
      <c r="E547" t="s">
        <v>552</v>
      </c>
      <c r="F547">
        <v>126720</v>
      </c>
      <c r="G547" t="str">
        <f>ConvertStockCode(표.실시간[[#This Row],[코드]])</f>
        <v>N126720</v>
      </c>
      <c r="H547" s="2">
        <f>_xll.IMDP("STK",표.실시간[[#This Row],[nxt_code]],"현재가")</f>
        <v>24250</v>
      </c>
      <c r="I547" s="2">
        <f>_xll.IMDP("STK",표.실시간[[#This Row],[nxt_code]],"시가총액")/10^12</f>
        <v>0.34643550000000001</v>
      </c>
      <c r="J547" s="2">
        <f>표.실시간[[#This Row],[시가총액 (조원)]]/표.실시간[[#This Row],[현재가]]*(표.실시간[[#This Row],[현재가]]-표.실시간[[#This Row],[대비]])</f>
        <v>0.35500710000000002</v>
      </c>
      <c r="K547" s="3">
        <f>_xll.IMDP("STK",표.실시간[[#This Row],[nxt_code]],"전일대비")</f>
        <v>-600</v>
      </c>
      <c r="L547">
        <f>_xll.IMDP("STK",표.실시간[[#This Row],[nxt_code]],"등락률")</f>
        <v>-2.41</v>
      </c>
      <c r="M547" s="2">
        <f>_xll.IMDP("STK",표.실시간[[#This Row],[nxt_code]],"누적거래량")</f>
        <v>6448</v>
      </c>
      <c r="N547" s="2">
        <f>_xll.IMDP("STK",표.실시간[[#This Row],[nxt_code]],"누적거래대금")/10^8</f>
        <v>1.5628555</v>
      </c>
      <c r="O547" s="2">
        <f>_xll.IMDP("STK",표.실시간[[#This Row],[nxt_code]],"가중평균가")</f>
        <v>24237.833437000001</v>
      </c>
      <c r="P547" s="2">
        <f>_xll.IMDP("STK",표.실시간[[#This Row],[nxt_code]],"시가")</f>
        <v>24800</v>
      </c>
      <c r="Q547" s="2">
        <f>_xll.IMDP("STK",표.실시간[[#This Row],[nxt_code]],"고가")</f>
        <v>24800</v>
      </c>
      <c r="R547" s="2">
        <f>_xll.IMDP("STK",표.실시간[[#This Row],[nxt_code]],"저가")</f>
        <v>24100</v>
      </c>
      <c r="S547">
        <f>_xll.IMDP("STK",표.실시간[[#This Row],[nxt_code]],"세션명")</f>
        <v>0</v>
      </c>
      <c r="T547">
        <f>_xll.IMDP("STK",표.실시간[[#This Row],[nxt_code]],"체결시간")</f>
        <v>0</v>
      </c>
      <c r="U547" s="2">
        <f>_xll.IMDP("STK","126720","현재가")</f>
        <v>24200</v>
      </c>
      <c r="V547">
        <f>_xll.IMDP("STK","126720","누적거래량")</f>
        <v>7599</v>
      </c>
    </row>
    <row r="548" spans="2:22" x14ac:dyDescent="0.3">
      <c r="B548">
        <v>540</v>
      </c>
      <c r="C548">
        <v>0</v>
      </c>
      <c r="D548">
        <f>IF(IFERROR(INDEX(표.kospi200[code],MATCH(표.실시간[[#This Row],[코드]],표.kospi200[code],0)),0)=0,0,1)</f>
        <v>0</v>
      </c>
      <c r="E548" t="s">
        <v>553</v>
      </c>
      <c r="F548">
        <v>138610</v>
      </c>
      <c r="G548" t="str">
        <f>ConvertStockCode(표.실시간[[#This Row],[코드]])</f>
        <v>N138610</v>
      </c>
      <c r="H548" s="2">
        <f>_xll.IMDP("STK",표.실시간[[#This Row],[nxt_code]],"현재가")</f>
        <v>34650</v>
      </c>
      <c r="I548" s="2">
        <f>_xll.IMDP("STK",표.실시간[[#This Row],[nxt_code]],"시가총액")/10^12</f>
        <v>0.39379621050000002</v>
      </c>
      <c r="J548" s="2">
        <f>표.실시간[[#This Row],[시가총액 (조원)]]/표.실시간[[#This Row],[현재가]]*(표.실시간[[#This Row],[현재가]]-표.실시간[[#This Row],[대비]])</f>
        <v>0.40572942899999997</v>
      </c>
      <c r="K548" s="3">
        <f>_xll.IMDP("STK",표.실시간[[#This Row],[nxt_code]],"전일대비")</f>
        <v>-1050</v>
      </c>
      <c r="L548">
        <f>_xll.IMDP("STK",표.실시간[[#This Row],[nxt_code]],"등락률")</f>
        <v>-2.94</v>
      </c>
      <c r="M548" s="2">
        <f>_xll.IMDP("STK",표.실시간[[#This Row],[nxt_code]],"누적거래량")</f>
        <v>64936</v>
      </c>
      <c r="N548" s="2">
        <f>_xll.IMDP("STK",표.실시간[[#This Row],[nxt_code]],"누적거래대금")/10^8</f>
        <v>22.648506000000001</v>
      </c>
      <c r="O548" s="2">
        <f>_xll.IMDP("STK",표.실시간[[#This Row],[nxt_code]],"가중평균가")</f>
        <v>34878.196993999998</v>
      </c>
      <c r="P548" s="2">
        <f>_xll.IMDP("STK",표.실시간[[#This Row],[nxt_code]],"시가")</f>
        <v>35150</v>
      </c>
      <c r="Q548" s="2">
        <f>_xll.IMDP("STK",표.실시간[[#This Row],[nxt_code]],"고가")</f>
        <v>36150</v>
      </c>
      <c r="R548" s="2">
        <f>_xll.IMDP("STK",표.실시간[[#This Row],[nxt_code]],"저가")</f>
        <v>34050</v>
      </c>
      <c r="S548">
        <f>_xll.IMDP("STK",표.실시간[[#This Row],[nxt_code]],"세션명")</f>
        <v>0</v>
      </c>
      <c r="T548">
        <f>_xll.IMDP("STK",표.실시간[[#This Row],[nxt_code]],"체결시간")</f>
        <v>0</v>
      </c>
      <c r="U548" s="2">
        <f>_xll.IMDP("STK","138610","현재가")</f>
        <v>34650</v>
      </c>
      <c r="V548">
        <f>_xll.IMDP("STK","138610","누적거래량")</f>
        <v>11868</v>
      </c>
    </row>
    <row r="549" spans="2:22" x14ac:dyDescent="0.3">
      <c r="B549">
        <v>541</v>
      </c>
      <c r="C549">
        <v>1</v>
      </c>
      <c r="D549">
        <f>IF(IFERROR(INDEX(표.kospi200[code],MATCH(표.실시간[[#This Row],[코드]],표.kospi200[code],0)),0)=0,0,1)</f>
        <v>0</v>
      </c>
      <c r="E549" t="s">
        <v>554</v>
      </c>
      <c r="F549">
        <v>1530</v>
      </c>
      <c r="G549" t="str">
        <f>ConvertStockCode(표.실시간[[#This Row],[코드]])</f>
        <v>N001530</v>
      </c>
      <c r="H549" s="2">
        <f>_xll.IMDP("STK",표.실시간[[#This Row],[nxt_code]],"현재가")</f>
        <v>19800</v>
      </c>
      <c r="I549" s="2">
        <f>_xll.IMDP("STK",표.실시간[[#This Row],[nxt_code]],"시가총액")/10^12</f>
        <v>0.39063974400000001</v>
      </c>
      <c r="J549" s="2">
        <f>표.실시간[[#This Row],[시가총액 (조원)]]/표.실시간[[#This Row],[현재가]]*(표.실시간[[#This Row],[현재가]]-표.실시간[[#This Row],[대비]])</f>
        <v>0.39458559999999998</v>
      </c>
      <c r="K549" s="3">
        <f>_xll.IMDP("STK",표.실시간[[#This Row],[nxt_code]],"전일대비")</f>
        <v>-200</v>
      </c>
      <c r="L549">
        <f>_xll.IMDP("STK",표.실시간[[#This Row],[nxt_code]],"등락률")</f>
        <v>-1</v>
      </c>
      <c r="M549" s="2">
        <f>_xll.IMDP("STK",표.실시간[[#This Row],[nxt_code]],"누적거래량")</f>
        <v>11290</v>
      </c>
      <c r="N549" s="2">
        <f>_xll.IMDP("STK",표.실시간[[#This Row],[nxt_code]],"누적거래대금")/10^8</f>
        <v>2.2444603000000001</v>
      </c>
      <c r="O549" s="2">
        <f>_xll.IMDP("STK",표.실시간[[#This Row],[nxt_code]],"가중평균가")</f>
        <v>19880.073516</v>
      </c>
      <c r="P549" s="2">
        <f>_xll.IMDP("STK",표.실시간[[#This Row],[nxt_code]],"시가")</f>
        <v>19920</v>
      </c>
      <c r="Q549" s="2">
        <f>_xll.IMDP("STK",표.실시간[[#This Row],[nxt_code]],"고가")</f>
        <v>20100</v>
      </c>
      <c r="R549" s="2">
        <f>_xll.IMDP("STK",표.실시간[[#This Row],[nxt_code]],"저가")</f>
        <v>19710</v>
      </c>
      <c r="S549">
        <f>_xll.IMDP("STK",표.실시간[[#This Row],[nxt_code]],"세션명")</f>
        <v>0</v>
      </c>
      <c r="T549">
        <f>_xll.IMDP("STK",표.실시간[[#This Row],[nxt_code]],"체결시간")</f>
        <v>0</v>
      </c>
      <c r="U549" s="2">
        <f>_xll.IMDP("STK","001530","현재가")</f>
        <v>19860</v>
      </c>
      <c r="V549">
        <f>_xll.IMDP("STK","001530","누적거래량")</f>
        <v>9916</v>
      </c>
    </row>
    <row r="550" spans="2:22" x14ac:dyDescent="0.3">
      <c r="B550">
        <v>542</v>
      </c>
      <c r="C550">
        <v>1</v>
      </c>
      <c r="D550">
        <f>IF(IFERROR(INDEX(표.kospi200[code],MATCH(표.실시간[[#This Row],[코드]],표.kospi200[code],0)),0)=0,0,1)</f>
        <v>0</v>
      </c>
      <c r="E550" t="s">
        <v>555</v>
      </c>
      <c r="F550">
        <v>31430</v>
      </c>
      <c r="G550" t="str">
        <f>ConvertStockCode(표.실시간[[#This Row],[코드]])</f>
        <v>N031430</v>
      </c>
      <c r="H550" s="2">
        <f>_xll.IMDP("STK",표.실시간[[#This Row],[nxt_code]],"현재가")</f>
        <v>11980</v>
      </c>
      <c r="I550" s="2">
        <f>_xll.IMDP("STK",표.실시간[[#This Row],[nxt_code]],"시가총액")/10^12</f>
        <v>0.42340914000000002</v>
      </c>
      <c r="J550" s="2">
        <f>표.실시간[[#This Row],[시가총액 (조원)]]/표.실시간[[#This Row],[현재가]]*(표.실시간[[#This Row],[현재가]]-표.실시간[[#This Row],[대비]])</f>
        <v>0.43083117000000004</v>
      </c>
      <c r="K550" s="3">
        <f>_xll.IMDP("STK",표.실시간[[#This Row],[nxt_code]],"전일대비")</f>
        <v>-210</v>
      </c>
      <c r="L550">
        <f>_xll.IMDP("STK",표.실시간[[#This Row],[nxt_code]],"등락률")</f>
        <v>-1.72</v>
      </c>
      <c r="M550" s="2">
        <f>_xll.IMDP("STK",표.실시간[[#This Row],[nxt_code]],"누적거래량")</f>
        <v>11759</v>
      </c>
      <c r="N550" s="2">
        <f>_xll.IMDP("STK",표.실시간[[#This Row],[nxt_code]],"누적거래대금")/10^8</f>
        <v>1.4069613999999999</v>
      </c>
      <c r="O550" s="2">
        <f>_xll.IMDP("STK",표.실시간[[#This Row],[nxt_code]],"가중평균가")</f>
        <v>11964.974913</v>
      </c>
      <c r="P550" s="2">
        <f>_xll.IMDP("STK",표.실시간[[#This Row],[nxt_code]],"시가")</f>
        <v>12850</v>
      </c>
      <c r="Q550" s="2">
        <f>_xll.IMDP("STK",표.실시간[[#This Row],[nxt_code]],"고가")</f>
        <v>12850</v>
      </c>
      <c r="R550" s="2">
        <f>_xll.IMDP("STK",표.실시간[[#This Row],[nxt_code]],"저가")</f>
        <v>11860</v>
      </c>
      <c r="S550">
        <f>_xll.IMDP("STK",표.실시간[[#This Row],[nxt_code]],"세션명")</f>
        <v>0</v>
      </c>
      <c r="T550">
        <f>_xll.IMDP("STK",표.실시간[[#This Row],[nxt_code]],"체결시간")</f>
        <v>0</v>
      </c>
      <c r="U550" s="2">
        <f>_xll.IMDP("STK","031430","현재가")</f>
        <v>11940</v>
      </c>
      <c r="V550">
        <f>_xll.IMDP("STK","031430","누적거래량")</f>
        <v>7049</v>
      </c>
    </row>
    <row r="551" spans="2:22" x14ac:dyDescent="0.3">
      <c r="B551">
        <v>543</v>
      </c>
      <c r="C551">
        <v>0</v>
      </c>
      <c r="D551">
        <f>IF(IFERROR(INDEX(표.kospi200[code],MATCH(표.실시간[[#This Row],[코드]],표.kospi200[code],0)),0)=0,0,1)</f>
        <v>0</v>
      </c>
      <c r="E551" t="s">
        <v>556</v>
      </c>
      <c r="F551">
        <v>64820</v>
      </c>
      <c r="G551" t="str">
        <f>ConvertStockCode(표.실시간[[#This Row],[코드]])</f>
        <v>N064820</v>
      </c>
      <c r="H551" s="2">
        <f>_xll.IMDP("STK",표.실시간[[#This Row],[nxt_code]],"현재가")</f>
        <v>11370</v>
      </c>
      <c r="I551" s="2">
        <f>_xll.IMDP("STK",표.실시간[[#This Row],[nxt_code]],"시가총액")/10^12</f>
        <v>0.35166166463999998</v>
      </c>
      <c r="J551" s="2">
        <f>표.실시간[[#This Row],[시가총액 (조원)]]/표.실시간[[#This Row],[현재가]]*(표.실시간[[#This Row],[현재가]]-표.실시간[[#This Row],[대비]])</f>
        <v>0.36496109434934032</v>
      </c>
      <c r="K551" s="3">
        <f>_xll.IMDP("STK",표.실시간[[#This Row],[nxt_code]],"전일대비")</f>
        <v>-430</v>
      </c>
      <c r="L551">
        <f>_xll.IMDP("STK",표.실시간[[#This Row],[nxt_code]],"등락률")</f>
        <v>-3.73</v>
      </c>
      <c r="M551" s="2">
        <f>_xll.IMDP("STK",표.실시간[[#This Row],[nxt_code]],"누적거래량")</f>
        <v>43527</v>
      </c>
      <c r="N551" s="2">
        <f>_xll.IMDP("STK",표.실시간[[#This Row],[nxt_code]],"누적거래대금")/10^8</f>
        <v>4.9770070000000004</v>
      </c>
      <c r="O551" s="2">
        <f>_xll.IMDP("STK",표.실시간[[#This Row],[nxt_code]],"가중평균가")</f>
        <v>11434.298252000001</v>
      </c>
      <c r="P551" s="2">
        <f>_xll.IMDP("STK",표.실시간[[#This Row],[nxt_code]],"시가")</f>
        <v>11810</v>
      </c>
      <c r="Q551" s="2">
        <f>_xll.IMDP("STK",표.실시간[[#This Row],[nxt_code]],"고가")</f>
        <v>11810</v>
      </c>
      <c r="R551" s="2">
        <f>_xll.IMDP("STK",표.실시간[[#This Row],[nxt_code]],"저가")</f>
        <v>11310</v>
      </c>
      <c r="S551">
        <f>_xll.IMDP("STK",표.실시간[[#This Row],[nxt_code]],"세션명")</f>
        <v>0</v>
      </c>
      <c r="T551">
        <f>_xll.IMDP("STK",표.실시간[[#This Row],[nxt_code]],"체결시간")</f>
        <v>0</v>
      </c>
      <c r="U551" s="2">
        <f>_xll.IMDP("STK","064820","현재가")</f>
        <v>11360</v>
      </c>
      <c r="V551">
        <f>_xll.IMDP("STK","064820","누적거래량")</f>
        <v>11156</v>
      </c>
    </row>
    <row r="552" spans="2:22" x14ac:dyDescent="0.3">
      <c r="B552">
        <v>544</v>
      </c>
      <c r="C552">
        <v>1</v>
      </c>
      <c r="D552">
        <f>IF(IFERROR(INDEX(표.kospi200[code],MATCH(표.실시간[[#This Row],[코드]],표.kospi200[code],0)),0)=0,0,1)</f>
        <v>0</v>
      </c>
      <c r="E552" t="s">
        <v>557</v>
      </c>
      <c r="F552">
        <v>15360</v>
      </c>
      <c r="G552" t="str">
        <f>ConvertStockCode(표.실시간[[#This Row],[코드]])</f>
        <v>N015360</v>
      </c>
      <c r="H552" s="2">
        <f>_xll.IMDP("STK",표.실시간[[#This Row],[nxt_code]],"현재가")</f>
        <v>77200</v>
      </c>
      <c r="I552" s="2">
        <f>_xll.IMDP("STK",표.실시간[[#This Row],[nxt_code]],"시가총액")/10^12</f>
        <v>0.44003999999999999</v>
      </c>
      <c r="J552" s="2">
        <f>표.실시간[[#This Row],[시가총액 (조원)]]/표.실시간[[#This Row],[현재가]]*(표.실시간[[#This Row],[현재가]]-표.실시간[[#This Row],[대비]])</f>
        <v>0.44573999999999997</v>
      </c>
      <c r="K552" s="3">
        <f>_xll.IMDP("STK",표.실시간[[#This Row],[nxt_code]],"전일대비")</f>
        <v>-1000</v>
      </c>
      <c r="L552">
        <f>_xll.IMDP("STK",표.실시간[[#This Row],[nxt_code]],"등락률")</f>
        <v>-1.28</v>
      </c>
      <c r="M552" s="2">
        <f>_xll.IMDP("STK",표.실시간[[#This Row],[nxt_code]],"누적거래량")</f>
        <v>969</v>
      </c>
      <c r="N552" s="2">
        <f>_xll.IMDP("STK",표.실시간[[#This Row],[nxt_code]],"누적거래대금")/10^8</f>
        <v>0.74934100000000003</v>
      </c>
      <c r="O552" s="2">
        <f>_xll.IMDP("STK",표.실시간[[#This Row],[nxt_code]],"가중평균가")</f>
        <v>77331.372549000007</v>
      </c>
      <c r="P552" s="2">
        <f>_xll.IMDP("STK",표.실시간[[#This Row],[nxt_code]],"시가")</f>
        <v>78200</v>
      </c>
      <c r="Q552" s="2">
        <f>_xll.IMDP("STK",표.실시간[[#This Row],[nxt_code]],"고가")</f>
        <v>78200</v>
      </c>
      <c r="R552" s="2">
        <f>_xll.IMDP("STK",표.실시간[[#This Row],[nxt_code]],"저가")</f>
        <v>76900</v>
      </c>
      <c r="S552">
        <f>_xll.IMDP("STK",표.실시간[[#This Row],[nxt_code]],"세션명")</f>
        <v>0</v>
      </c>
      <c r="T552">
        <f>_xll.IMDP("STK",표.실시간[[#This Row],[nxt_code]],"체결시간")</f>
        <v>0</v>
      </c>
      <c r="U552" s="2">
        <f>_xll.IMDP("STK","015360","현재가")</f>
        <v>77200</v>
      </c>
      <c r="V552">
        <f>_xll.IMDP("STK","015360","누적거래량")</f>
        <v>738</v>
      </c>
    </row>
    <row r="553" spans="2:22" x14ac:dyDescent="0.3">
      <c r="B553">
        <v>545</v>
      </c>
      <c r="C553">
        <v>0</v>
      </c>
      <c r="D553">
        <f>IF(IFERROR(INDEX(표.kospi200[code],MATCH(표.실시간[[#This Row],[코드]],표.kospi200[code],0)),0)=0,0,1)</f>
        <v>0</v>
      </c>
      <c r="E553" t="s">
        <v>558</v>
      </c>
      <c r="F553">
        <v>14940</v>
      </c>
      <c r="G553" t="str">
        <f>ConvertStockCode(표.실시간[[#This Row],[코드]])</f>
        <v>N014940</v>
      </c>
      <c r="H553" s="2">
        <f>_xll.IMDP("STK",표.실시간[[#This Row],[nxt_code]],"현재가")</f>
        <v>8190</v>
      </c>
      <c r="I553" s="2">
        <f>_xll.IMDP("STK",표.실시간[[#This Row],[nxt_code]],"시가총액")/10^12</f>
        <v>0.37370402019999999</v>
      </c>
      <c r="J553" s="2">
        <f>표.실시간[[#This Row],[시가총액 (조원)]]/표.실시간[[#This Row],[현재가]]*(표.실시간[[#This Row],[현재가]]-표.실시간[[#This Row],[대비]])</f>
        <v>0.38146100230427349</v>
      </c>
      <c r="K553" s="3">
        <f>_xll.IMDP("STK",표.실시간[[#This Row],[nxt_code]],"전일대비")</f>
        <v>-170</v>
      </c>
      <c r="L553">
        <f>_xll.IMDP("STK",표.실시간[[#This Row],[nxt_code]],"등락률")</f>
        <v>-2.0299999999999998</v>
      </c>
      <c r="M553" s="2">
        <f>_xll.IMDP("STK",표.실시간[[#This Row],[nxt_code]],"누적거래량")</f>
        <v>72072</v>
      </c>
      <c r="N553" s="2">
        <f>_xll.IMDP("STK",표.실시간[[#This Row],[nxt_code]],"누적거래대금")/10^8</f>
        <v>5.9085424</v>
      </c>
      <c r="O553" s="2">
        <f>_xll.IMDP("STK",표.실시간[[#This Row],[nxt_code]],"가중평균가")</f>
        <v>8198.1107780000002</v>
      </c>
      <c r="P553" s="2">
        <f>_xll.IMDP("STK",표.실시간[[#This Row],[nxt_code]],"시가")</f>
        <v>8370</v>
      </c>
      <c r="Q553" s="2">
        <f>_xll.IMDP("STK",표.실시간[[#This Row],[nxt_code]],"고가")</f>
        <v>8500</v>
      </c>
      <c r="R553" s="2">
        <f>_xll.IMDP("STK",표.실시간[[#This Row],[nxt_code]],"저가")</f>
        <v>8110</v>
      </c>
      <c r="S553">
        <f>_xll.IMDP("STK",표.실시간[[#This Row],[nxt_code]],"세션명")</f>
        <v>0</v>
      </c>
      <c r="T553">
        <f>_xll.IMDP("STK",표.실시간[[#This Row],[nxt_code]],"체결시간")</f>
        <v>0</v>
      </c>
      <c r="U553" s="2">
        <f>_xll.IMDP("STK","014940","현재가")</f>
        <v>8180</v>
      </c>
      <c r="V553">
        <f>_xll.IMDP("STK","014940","누적거래량")</f>
        <v>24561</v>
      </c>
    </row>
    <row r="554" spans="2:22" x14ac:dyDescent="0.3">
      <c r="B554">
        <v>546</v>
      </c>
      <c r="C554">
        <v>1</v>
      </c>
      <c r="D554">
        <f>IF(IFERROR(INDEX(표.kospi200[code],MATCH(표.실시간[[#This Row],[코드]],표.kospi200[code],0)),0)=0,0,1)</f>
        <v>0</v>
      </c>
      <c r="E554" t="s">
        <v>559</v>
      </c>
      <c r="F554">
        <v>1940</v>
      </c>
      <c r="G554" t="str">
        <f>ConvertStockCode(표.실시간[[#This Row],[코드]])</f>
        <v>N001940</v>
      </c>
      <c r="H554" s="2">
        <f>_xll.IMDP("STK",표.실시간[[#This Row],[nxt_code]],"현재가")</f>
        <v>23650</v>
      </c>
      <c r="I554" s="2">
        <f>_xll.IMDP("STK",표.실시간[[#This Row],[nxt_code]],"시가총액")/10^12</f>
        <v>0.33527138699999998</v>
      </c>
      <c r="J554" s="2">
        <f>표.실시간[[#This Row],[시가총액 (조원)]]/표.실시간[[#This Row],[현재가]]*(표.실시간[[#This Row],[현재가]]-표.실시간[[#This Row],[대비]])</f>
        <v>0.341650758</v>
      </c>
      <c r="K554" s="3">
        <f>_xll.IMDP("STK",표.실시간[[#This Row],[nxt_code]],"전일대비")</f>
        <v>-450</v>
      </c>
      <c r="L554">
        <f>_xll.IMDP("STK",표.실시간[[#This Row],[nxt_code]],"등락률")</f>
        <v>-1.87</v>
      </c>
      <c r="M554" s="2">
        <f>_xll.IMDP("STK",표.실시간[[#This Row],[nxt_code]],"누적거래량")</f>
        <v>857</v>
      </c>
      <c r="N554" s="2">
        <f>_xll.IMDP("STK",표.실시간[[#This Row],[nxt_code]],"누적거래대금")/10^8</f>
        <v>0.20665049999999999</v>
      </c>
      <c r="O554" s="2">
        <f>_xll.IMDP("STK",표.실시간[[#This Row],[nxt_code]],"가중평균가")</f>
        <v>24113.243874</v>
      </c>
      <c r="P554" s="2">
        <f>_xll.IMDP("STK",표.실시간[[#This Row],[nxt_code]],"시가")</f>
        <v>24150</v>
      </c>
      <c r="Q554" s="2">
        <f>_xll.IMDP("STK",표.실시간[[#This Row],[nxt_code]],"고가")</f>
        <v>25050</v>
      </c>
      <c r="R554" s="2">
        <f>_xll.IMDP("STK",표.실시간[[#This Row],[nxt_code]],"저가")</f>
        <v>23650</v>
      </c>
      <c r="S554">
        <f>_xll.IMDP("STK",표.실시간[[#This Row],[nxt_code]],"세션명")</f>
        <v>0</v>
      </c>
      <c r="T554">
        <f>_xll.IMDP("STK",표.실시간[[#This Row],[nxt_code]],"체결시간")</f>
        <v>0</v>
      </c>
      <c r="U554" s="2">
        <f>_xll.IMDP("STK","001940","현재가")</f>
        <v>23700</v>
      </c>
      <c r="V554">
        <f>_xll.IMDP("STK","001940","누적거래량")</f>
        <v>767</v>
      </c>
    </row>
    <row r="555" spans="2:22" x14ac:dyDescent="0.3">
      <c r="B555">
        <v>547</v>
      </c>
      <c r="C555">
        <v>0</v>
      </c>
      <c r="D555">
        <f>IF(IFERROR(INDEX(표.kospi200[code],MATCH(표.실시간[[#This Row],[코드]],표.kospi200[code],0)),0)=0,0,1)</f>
        <v>0</v>
      </c>
      <c r="E555" t="s">
        <v>560</v>
      </c>
      <c r="F555">
        <v>376270</v>
      </c>
      <c r="G555" t="str">
        <f>ConvertStockCode(표.실시간[[#This Row],[코드]])</f>
        <v>N376270</v>
      </c>
      <c r="H555" s="2">
        <f>_xll.IMDP("STK",표.실시간[[#This Row],[nxt_code]],"현재가")</f>
        <v>86500</v>
      </c>
      <c r="I555" s="2">
        <f>_xll.IMDP("STK",표.실시간[[#This Row],[nxt_code]],"시가총액")/10^12</f>
        <v>0.61914338550000003</v>
      </c>
      <c r="J555" s="2">
        <f>표.실시간[[#This Row],[시가총액 (조원)]]/표.실시간[[#This Row],[현재가]]*(표.실시간[[#This Row],[현재가]]-표.실시간[[#This Row],[대비]])</f>
        <v>0.63990079380000009</v>
      </c>
      <c r="K555" s="3">
        <f>_xll.IMDP("STK",표.실시간[[#This Row],[nxt_code]],"전일대비")</f>
        <v>-2900</v>
      </c>
      <c r="L555">
        <f>_xll.IMDP("STK",표.실시간[[#This Row],[nxt_code]],"등락률")</f>
        <v>-3.24</v>
      </c>
      <c r="M555" s="2">
        <f>_xll.IMDP("STK",표.실시간[[#This Row],[nxt_code]],"누적거래량")</f>
        <v>12269</v>
      </c>
      <c r="N555" s="2">
        <f>_xll.IMDP("STK",표.실시간[[#This Row],[nxt_code]],"누적거래대금")/10^8</f>
        <v>10.3811</v>
      </c>
      <c r="O555" s="2">
        <f>_xll.IMDP("STK",표.실시간[[#This Row],[nxt_code]],"가중평균가")</f>
        <v>84577.969691999999</v>
      </c>
      <c r="P555" s="2">
        <f>_xll.IMDP("STK",표.실시간[[#This Row],[nxt_code]],"시가")</f>
        <v>87800</v>
      </c>
      <c r="Q555" s="2">
        <f>_xll.IMDP("STK",표.실시간[[#This Row],[nxt_code]],"고가")</f>
        <v>89700</v>
      </c>
      <c r="R555" s="2">
        <f>_xll.IMDP("STK",표.실시간[[#This Row],[nxt_code]],"저가")</f>
        <v>81000</v>
      </c>
      <c r="S555">
        <f>_xll.IMDP("STK",표.실시간[[#This Row],[nxt_code]],"세션명")</f>
        <v>0</v>
      </c>
      <c r="T555">
        <f>_xll.IMDP("STK",표.실시간[[#This Row],[nxt_code]],"체결시간")</f>
        <v>0</v>
      </c>
      <c r="U555" s="2">
        <f>_xll.IMDP("STK","376270","현재가")</f>
        <v>86500</v>
      </c>
      <c r="V555">
        <f>_xll.IMDP("STK","376270","누적거래량")</f>
        <v>4487</v>
      </c>
    </row>
    <row r="556" spans="2:22" x14ac:dyDescent="0.3">
      <c r="B556">
        <v>548</v>
      </c>
      <c r="C556">
        <v>0</v>
      </c>
      <c r="D556">
        <f>IF(IFERROR(INDEX(표.kospi200[code],MATCH(표.실시간[[#This Row],[코드]],표.kospi200[code],0)),0)=0,0,1)</f>
        <v>0</v>
      </c>
      <c r="E556" t="s">
        <v>561</v>
      </c>
      <c r="F556">
        <v>65660</v>
      </c>
      <c r="G556" t="str">
        <f>ConvertStockCode(표.실시간[[#This Row],[코드]])</f>
        <v>N065660</v>
      </c>
      <c r="H556" s="2">
        <f>_xll.IMDP("STK",표.실시간[[#This Row],[nxt_code]],"현재가")</f>
        <v>41250</v>
      </c>
      <c r="I556" s="2">
        <f>_xll.IMDP("STK",표.실시간[[#This Row],[nxt_code]],"시가총액")/10^12</f>
        <v>0.41275162500000001</v>
      </c>
      <c r="J556" s="2">
        <f>표.실시간[[#This Row],[시가총액 (조원)]]/표.실시간[[#This Row],[현재가]]*(표.실시간[[#This Row],[현재가]]-표.실시간[[#This Row],[대비]])</f>
        <v>0.42826108000000002</v>
      </c>
      <c r="K556" s="3">
        <f>_xll.IMDP("STK",표.실시간[[#This Row],[nxt_code]],"전일대비")</f>
        <v>-1550</v>
      </c>
      <c r="L556">
        <f>_xll.IMDP("STK",표.실시간[[#This Row],[nxt_code]],"등락률")</f>
        <v>-3.62</v>
      </c>
      <c r="M556" s="2">
        <f>_xll.IMDP("STK",표.실시간[[#This Row],[nxt_code]],"누적거래량")</f>
        <v>5237</v>
      </c>
      <c r="N556" s="2">
        <f>_xll.IMDP("STK",표.실시간[[#This Row],[nxt_code]],"누적거래대금")/10^8</f>
        <v>2.101229</v>
      </c>
      <c r="O556" s="2">
        <f>_xll.IMDP("STK",표.실시간[[#This Row],[nxt_code]],"가중평균가")</f>
        <v>40122.761122999997</v>
      </c>
      <c r="P556" s="2">
        <f>_xll.IMDP("STK",표.실시간[[#This Row],[nxt_code]],"시가")</f>
        <v>42000</v>
      </c>
      <c r="Q556" s="2">
        <f>_xll.IMDP("STK",표.실시간[[#This Row],[nxt_code]],"고가")</f>
        <v>42000</v>
      </c>
      <c r="R556" s="2">
        <f>_xll.IMDP("STK",표.실시간[[#This Row],[nxt_code]],"저가")</f>
        <v>39350</v>
      </c>
      <c r="S556">
        <f>_xll.IMDP("STK",표.실시간[[#This Row],[nxt_code]],"세션명")</f>
        <v>0</v>
      </c>
      <c r="T556">
        <f>_xll.IMDP("STK",표.실시간[[#This Row],[nxt_code]],"체결시간")</f>
        <v>0</v>
      </c>
      <c r="U556" s="2">
        <f>_xll.IMDP("STK","065660","현재가")</f>
        <v>41250</v>
      </c>
      <c r="V556">
        <f>_xll.IMDP("STK","065660","누적거래량")</f>
        <v>1166</v>
      </c>
    </row>
    <row r="557" spans="2:22" x14ac:dyDescent="0.3">
      <c r="B557">
        <v>549</v>
      </c>
      <c r="C557">
        <v>1</v>
      </c>
      <c r="D557">
        <f>IF(IFERROR(INDEX(표.kospi200[code],MATCH(표.실시간[[#This Row],[코드]],표.kospi200[code],0)),0)=0,0,1)</f>
        <v>0</v>
      </c>
      <c r="E557" t="s">
        <v>562</v>
      </c>
      <c r="F557">
        <v>29460</v>
      </c>
      <c r="G557" t="str">
        <f>ConvertStockCode(표.실시간[[#This Row],[코드]])</f>
        <v>N029460</v>
      </c>
      <c r="H557" s="2">
        <f>_xll.IMDP("STK",표.실시간[[#This Row],[nxt_code]],"현재가")</f>
        <v>32650</v>
      </c>
      <c r="I557" s="2">
        <f>_xll.IMDP("STK",표.실시간[[#This Row],[nxt_code]],"시가총액")/10^12</f>
        <v>0.43200073695000002</v>
      </c>
      <c r="J557" s="2">
        <f>표.실시간[[#This Row],[시가총액 (조원)]]/표.실시간[[#This Row],[현재가]]*(표.실시간[[#This Row],[현재가]]-표.실시간[[#This Row],[대비]])</f>
        <v>0.44258574735</v>
      </c>
      <c r="K557" s="3">
        <f>_xll.IMDP("STK",표.실시간[[#This Row],[nxt_code]],"전일대비")</f>
        <v>-800</v>
      </c>
      <c r="L557">
        <f>_xll.IMDP("STK",표.실시간[[#This Row],[nxt_code]],"등락률")</f>
        <v>-2.39</v>
      </c>
      <c r="M557" s="2">
        <f>_xll.IMDP("STK",표.실시간[[#This Row],[nxt_code]],"누적거래량")</f>
        <v>9546</v>
      </c>
      <c r="N557" s="2">
        <f>_xll.IMDP("STK",표.실시간[[#This Row],[nxt_code]],"누적거래대금")/10^8</f>
        <v>3.1285449999999999</v>
      </c>
      <c r="O557" s="2">
        <f>_xll.IMDP("STK",표.실시간[[#This Row],[nxt_code]],"가중평균가")</f>
        <v>32773.360569999997</v>
      </c>
      <c r="P557" s="2">
        <f>_xll.IMDP("STK",표.실시간[[#This Row],[nxt_code]],"시가")</f>
        <v>33000</v>
      </c>
      <c r="Q557" s="2">
        <f>_xll.IMDP("STK",표.실시간[[#This Row],[nxt_code]],"고가")</f>
        <v>34050</v>
      </c>
      <c r="R557" s="2">
        <f>_xll.IMDP("STK",표.실시간[[#This Row],[nxt_code]],"저가")</f>
        <v>32150</v>
      </c>
      <c r="S557">
        <f>_xll.IMDP("STK",표.실시간[[#This Row],[nxt_code]],"세션명")</f>
        <v>0</v>
      </c>
      <c r="T557">
        <f>_xll.IMDP("STK",표.실시간[[#This Row],[nxt_code]],"체결시간")</f>
        <v>0</v>
      </c>
      <c r="U557" s="2">
        <f>_xll.IMDP("STK","029460","현재가")</f>
        <v>32600</v>
      </c>
      <c r="V557">
        <f>_xll.IMDP("STK","029460","누적거래량")</f>
        <v>7963</v>
      </c>
    </row>
    <row r="558" spans="2:22" x14ac:dyDescent="0.3">
      <c r="B558">
        <v>550</v>
      </c>
      <c r="C558">
        <v>0</v>
      </c>
      <c r="D558">
        <f>IF(IFERROR(INDEX(표.kospi200[code],MATCH(표.실시간[[#This Row],[코드]],표.kospi200[code],0)),0)=0,0,1)</f>
        <v>0</v>
      </c>
      <c r="E558" t="s">
        <v>563</v>
      </c>
      <c r="F558">
        <v>13030</v>
      </c>
      <c r="G558" t="str">
        <f>ConvertStockCode(표.실시간[[#This Row],[코드]])</f>
        <v>N013030</v>
      </c>
      <c r="H558" s="2">
        <f>_xll.IMDP("STK",표.실시간[[#This Row],[nxt_code]],"현재가")</f>
        <v>32600</v>
      </c>
      <c r="I558" s="2">
        <f>_xll.IMDP("STK",표.실시간[[#This Row],[nxt_code]],"시가총액")/10^12</f>
        <v>0.3836414944</v>
      </c>
      <c r="J558" s="2">
        <f>표.실시간[[#This Row],[시가총액 (조원)]]/표.실시간[[#This Row],[현재가]]*(표.실시간[[#This Row],[현재가]]-표.실시간[[#This Row],[대비]])</f>
        <v>0.39599804560000001</v>
      </c>
      <c r="K558" s="3">
        <f>_xll.IMDP("STK",표.실시간[[#This Row],[nxt_code]],"전일대비")</f>
        <v>-1050</v>
      </c>
      <c r="L558">
        <f>_xll.IMDP("STK",표.실시간[[#This Row],[nxt_code]],"등락률")</f>
        <v>-3.12</v>
      </c>
      <c r="M558" s="2">
        <f>_xll.IMDP("STK",표.실시간[[#This Row],[nxt_code]],"누적거래량")</f>
        <v>8268</v>
      </c>
      <c r="N558" s="2">
        <f>_xll.IMDP("STK",표.실시간[[#This Row],[nxt_code]],"누적거래대금")/10^8</f>
        <v>2.7155665</v>
      </c>
      <c r="O558" s="2">
        <f>_xll.IMDP("STK",표.실시간[[#This Row],[nxt_code]],"가중평균가")</f>
        <v>32844.297291000003</v>
      </c>
      <c r="P558" s="2">
        <f>_xll.IMDP("STK",표.실시간[[#This Row],[nxt_code]],"시가")</f>
        <v>33600</v>
      </c>
      <c r="Q558" s="2">
        <f>_xll.IMDP("STK",표.실시간[[#This Row],[nxt_code]],"고가")</f>
        <v>33650</v>
      </c>
      <c r="R558" s="2">
        <f>_xll.IMDP("STK",표.실시간[[#This Row],[nxt_code]],"저가")</f>
        <v>32600</v>
      </c>
      <c r="S558">
        <f>_xll.IMDP("STK",표.실시간[[#This Row],[nxt_code]],"세션명")</f>
        <v>0</v>
      </c>
      <c r="T558">
        <f>_xll.IMDP("STK",표.실시간[[#This Row],[nxt_code]],"체결시간")</f>
        <v>0</v>
      </c>
      <c r="U558" s="2">
        <f>_xll.IMDP("STK","013030","현재가")</f>
        <v>32750</v>
      </c>
      <c r="V558">
        <f>_xll.IMDP("STK","013030","누적거래량")</f>
        <v>4380</v>
      </c>
    </row>
    <row r="559" spans="2:22" x14ac:dyDescent="0.3">
      <c r="B559">
        <v>551</v>
      </c>
      <c r="C559">
        <v>0</v>
      </c>
      <c r="D559">
        <f>IF(IFERROR(INDEX(표.kospi200[code],MATCH(표.실시간[[#This Row],[코드]],표.kospi200[code],0)),0)=0,0,1)</f>
        <v>0</v>
      </c>
      <c r="E559" t="s">
        <v>564</v>
      </c>
      <c r="F559">
        <v>94360</v>
      </c>
      <c r="G559" t="str">
        <f>ConvertStockCode(표.실시간[[#This Row],[코드]])</f>
        <v>N094360</v>
      </c>
      <c r="H559" s="2">
        <f>_xll.IMDP("STK",표.실시간[[#This Row],[nxt_code]],"현재가")</f>
        <v>18270</v>
      </c>
      <c r="I559" s="2">
        <f>_xll.IMDP("STK",표.실시간[[#This Row],[nxt_code]],"시가총액")/10^12</f>
        <v>0.38877233597999999</v>
      </c>
      <c r="J559" s="2">
        <f>표.실시간[[#This Row],[시가총액 (조원)]]/표.실시간[[#This Row],[현재가]]*(표.실시간[[#This Row],[현재가]]-표.실시간[[#This Row],[대비]])</f>
        <v>0.39919918024000001</v>
      </c>
      <c r="K559" s="3">
        <f>_xll.IMDP("STK",표.실시간[[#This Row],[nxt_code]],"전일대비")</f>
        <v>-490</v>
      </c>
      <c r="L559">
        <f>_xll.IMDP("STK",표.실시간[[#This Row],[nxt_code]],"등락률")</f>
        <v>-2.61</v>
      </c>
      <c r="M559" s="2">
        <f>_xll.IMDP("STK",표.실시간[[#This Row],[nxt_code]],"누적거래량")</f>
        <v>86140</v>
      </c>
      <c r="N559" s="2">
        <f>_xll.IMDP("STK",표.실시간[[#This Row],[nxt_code]],"누적거래대금")/10^8</f>
        <v>15.6259193</v>
      </c>
      <c r="O559" s="2">
        <f>_xll.IMDP("STK",표.실시간[[#This Row],[nxt_code]],"가중평균가")</f>
        <v>18140.143139</v>
      </c>
      <c r="P559" s="2">
        <f>_xll.IMDP("STK",표.실시간[[#This Row],[nxt_code]],"시가")</f>
        <v>17980</v>
      </c>
      <c r="Q559" s="2">
        <f>_xll.IMDP("STK",표.실시간[[#This Row],[nxt_code]],"고가")</f>
        <v>18420</v>
      </c>
      <c r="R559" s="2">
        <f>_xll.IMDP("STK",표.실시간[[#This Row],[nxt_code]],"저가")</f>
        <v>17980</v>
      </c>
      <c r="S559">
        <f>_xll.IMDP("STK",표.실시간[[#This Row],[nxt_code]],"세션명")</f>
        <v>0</v>
      </c>
      <c r="T559">
        <f>_xll.IMDP("STK",표.실시간[[#This Row],[nxt_code]],"체결시간")</f>
        <v>0</v>
      </c>
      <c r="U559" s="2">
        <f>_xll.IMDP("STK","094360","현재가")</f>
        <v>18420</v>
      </c>
      <c r="V559">
        <f>_xll.IMDP("STK","094360","누적거래량")</f>
        <v>28419</v>
      </c>
    </row>
    <row r="560" spans="2:22" x14ac:dyDescent="0.3">
      <c r="B560">
        <v>552</v>
      </c>
      <c r="C560">
        <v>0</v>
      </c>
      <c r="D560">
        <f>IF(IFERROR(INDEX(표.kospi200[code],MATCH(표.실시간[[#This Row],[코드]],표.kospi200[code],0)),0)=0,0,1)</f>
        <v>0</v>
      </c>
      <c r="E560" t="s">
        <v>565</v>
      </c>
      <c r="F560">
        <v>304360</v>
      </c>
      <c r="G560" t="str">
        <f>ConvertStockCode(표.실시간[[#This Row],[코드]])</f>
        <v>N304360</v>
      </c>
      <c r="H560" s="2">
        <f>_xll.IMDP("STK",표.실시간[[#This Row],[nxt_code]],"현재가")</f>
        <v>33250</v>
      </c>
      <c r="I560" s="2">
        <f>_xll.IMDP("STK",표.실시간[[#This Row],[nxt_code]],"시가총액")/10^12</f>
        <v>0.41180550599999999</v>
      </c>
      <c r="J560" s="2">
        <f>표.실시간[[#This Row],[시가총액 (조원)]]/표.실시간[[#This Row],[현재가]]*(표.실시간[[#This Row],[현재가]]-표.실시간[[#This Row],[대비]])</f>
        <v>0.42542914679999999</v>
      </c>
      <c r="K560" s="3">
        <f>_xll.IMDP("STK",표.실시간[[#This Row],[nxt_code]],"전일대비")</f>
        <v>-1100</v>
      </c>
      <c r="L560">
        <f>_xll.IMDP("STK",표.실시간[[#This Row],[nxt_code]],"등락률")</f>
        <v>-3.34</v>
      </c>
      <c r="M560" s="2">
        <f>_xll.IMDP("STK",표.실시간[[#This Row],[nxt_code]],"누적거래량")</f>
        <v>17296</v>
      </c>
      <c r="N560" s="2">
        <f>_xll.IMDP("STK",표.실시간[[#This Row],[nxt_code]],"누적거래대금")/10^8</f>
        <v>5.7502000000000004</v>
      </c>
      <c r="O560" s="2">
        <f>_xll.IMDP("STK",표.실시간[[#This Row],[nxt_code]],"가중평균가")</f>
        <v>33245.837187999998</v>
      </c>
      <c r="P560" s="2">
        <f>_xll.IMDP("STK",표.실시간[[#This Row],[nxt_code]],"시가")</f>
        <v>33950</v>
      </c>
      <c r="Q560" s="2">
        <f>_xll.IMDP("STK",표.실시간[[#This Row],[nxt_code]],"고가")</f>
        <v>34250</v>
      </c>
      <c r="R560" s="2">
        <f>_xll.IMDP("STK",표.실시간[[#This Row],[nxt_code]],"저가")</f>
        <v>32850</v>
      </c>
      <c r="S560">
        <f>_xll.IMDP("STK",표.실시간[[#This Row],[nxt_code]],"세션명")</f>
        <v>0</v>
      </c>
      <c r="T560">
        <f>_xll.IMDP("STK",표.실시간[[#This Row],[nxt_code]],"체결시간")</f>
        <v>0</v>
      </c>
      <c r="U560" s="2">
        <f>_xll.IMDP("STK","304360","현재가")</f>
        <v>33250</v>
      </c>
      <c r="V560">
        <f>_xll.IMDP("STK","304360","누적거래량")</f>
        <v>5883</v>
      </c>
    </row>
    <row r="561" spans="2:22" x14ac:dyDescent="0.3">
      <c r="B561">
        <v>553</v>
      </c>
      <c r="C561">
        <v>0</v>
      </c>
      <c r="D561">
        <f>IF(IFERROR(INDEX(표.kospi200[code],MATCH(표.실시간[[#This Row],[코드]],표.kospi200[code],0)),0)=0,0,1)</f>
        <v>0</v>
      </c>
      <c r="E561" t="s">
        <v>566</v>
      </c>
      <c r="F561">
        <v>101160</v>
      </c>
      <c r="G561" t="str">
        <f>ConvertStockCode(표.실시간[[#This Row],[코드]])</f>
        <v>N101160</v>
      </c>
      <c r="H561" s="2">
        <f>_xll.IMDP("STK",표.실시간[[#This Row],[nxt_code]],"현재가")</f>
        <v>25400</v>
      </c>
      <c r="I561" s="2">
        <f>_xll.IMDP("STK",표.실시간[[#This Row],[nxt_code]],"시가총액")/10^12</f>
        <v>0.41937922220000001</v>
      </c>
      <c r="J561" s="2">
        <f>표.실시간[[#This Row],[시가총액 (조원)]]/표.실시간[[#This Row],[현재가]]*(표.실시간[[#This Row],[현재가]]-표.실시간[[#This Row],[대비]])</f>
        <v>0.42763471869999997</v>
      </c>
      <c r="K561" s="3">
        <f>_xll.IMDP("STK",표.실시간[[#This Row],[nxt_code]],"전일대비")</f>
        <v>-500</v>
      </c>
      <c r="L561">
        <f>_xll.IMDP("STK",표.실시간[[#This Row],[nxt_code]],"등락률")</f>
        <v>-1.93</v>
      </c>
      <c r="M561" s="2">
        <f>_xll.IMDP("STK",표.실시간[[#This Row],[nxt_code]],"누적거래량")</f>
        <v>67689</v>
      </c>
      <c r="N561" s="2">
        <f>_xll.IMDP("STK",표.실시간[[#This Row],[nxt_code]],"누적거래대금")/10^8</f>
        <v>16.967093500000001</v>
      </c>
      <c r="O561" s="2">
        <f>_xll.IMDP("STK",표.실시간[[#This Row],[nxt_code]],"가중평균가")</f>
        <v>25065.138421</v>
      </c>
      <c r="P561" s="2">
        <f>_xll.IMDP("STK",표.실시간[[#This Row],[nxt_code]],"시가")</f>
        <v>25600</v>
      </c>
      <c r="Q561" s="2">
        <f>_xll.IMDP("STK",표.실시간[[#This Row],[nxt_code]],"고가")</f>
        <v>25600</v>
      </c>
      <c r="R561" s="2">
        <f>_xll.IMDP("STK",표.실시간[[#This Row],[nxt_code]],"저가")</f>
        <v>24600</v>
      </c>
      <c r="S561">
        <f>_xll.IMDP("STK",표.실시간[[#This Row],[nxt_code]],"세션명")</f>
        <v>0</v>
      </c>
      <c r="T561">
        <f>_xll.IMDP("STK",표.실시간[[#This Row],[nxt_code]],"체결시간")</f>
        <v>0</v>
      </c>
      <c r="U561" s="2">
        <f>_xll.IMDP("STK","101160","현재가")</f>
        <v>25300</v>
      </c>
      <c r="V561">
        <f>_xll.IMDP("STK","101160","누적거래량")</f>
        <v>26075</v>
      </c>
    </row>
    <row r="562" spans="2:22" x14ac:dyDescent="0.3">
      <c r="B562">
        <v>554</v>
      </c>
      <c r="C562">
        <v>0</v>
      </c>
      <c r="D562">
        <f>IF(IFERROR(INDEX(표.kospi200[code],MATCH(표.실시간[[#This Row],[코드]],표.kospi200[code],0)),0)=0,0,1)</f>
        <v>0</v>
      </c>
      <c r="E562" t="s">
        <v>567</v>
      </c>
      <c r="F562">
        <v>484810</v>
      </c>
      <c r="G562" t="str">
        <f>ConvertStockCode(표.실시간[[#This Row],[코드]])</f>
        <v>N484810</v>
      </c>
      <c r="H562" s="2">
        <f>_xll.IMDP("STK",표.실시간[[#This Row],[nxt_code]],"현재가")</f>
        <v>22000</v>
      </c>
      <c r="I562" s="2">
        <f>_xll.IMDP("STK",표.실시간[[#This Row],[nxt_code]],"시가총액")/10^12</f>
        <v>0.33992012999999999</v>
      </c>
      <c r="J562" s="2">
        <f>표.실시간[[#This Row],[시가총액 (조원)]]/표.실시간[[#This Row],[현재가]]*(표.실시간[[#This Row],[현재가]]-표.실시간[[#This Row],[대비]])</f>
        <v>0.32987703525000001</v>
      </c>
      <c r="K562" s="3">
        <f>_xll.IMDP("STK",표.실시간[[#This Row],[nxt_code]],"전일대비")</f>
        <v>650</v>
      </c>
      <c r="L562">
        <f>_xll.IMDP("STK",표.실시간[[#This Row],[nxt_code]],"등락률")</f>
        <v>3.04</v>
      </c>
      <c r="M562" s="2">
        <f>_xll.IMDP("STK",표.실시간[[#This Row],[nxt_code]],"누적거래량")</f>
        <v>93279</v>
      </c>
      <c r="N562" s="2">
        <f>_xll.IMDP("STK",표.실시간[[#This Row],[nxt_code]],"누적거래대금")/10^8</f>
        <v>19.861923999999998</v>
      </c>
      <c r="O562" s="2">
        <f>_xll.IMDP("STK",표.실시간[[#This Row],[nxt_code]],"가중평균가")</f>
        <v>21292.269716999999</v>
      </c>
      <c r="P562" s="2">
        <f>_xll.IMDP("STK",표.실시간[[#This Row],[nxt_code]],"시가")</f>
        <v>21350</v>
      </c>
      <c r="Q562" s="2">
        <f>_xll.IMDP("STK",표.실시간[[#This Row],[nxt_code]],"고가")</f>
        <v>22250</v>
      </c>
      <c r="R562" s="2">
        <f>_xll.IMDP("STK",표.실시간[[#This Row],[nxt_code]],"저가")</f>
        <v>20300</v>
      </c>
      <c r="S562">
        <f>_xll.IMDP("STK",표.실시간[[#This Row],[nxt_code]],"세션명")</f>
        <v>0</v>
      </c>
      <c r="T562">
        <f>_xll.IMDP("STK",표.실시간[[#This Row],[nxt_code]],"체결시간")</f>
        <v>0</v>
      </c>
      <c r="U562" s="2">
        <f>_xll.IMDP("STK","484810","현재가")</f>
        <v>21900</v>
      </c>
      <c r="V562">
        <f>_xll.IMDP("STK","484810","누적거래량")</f>
        <v>43783</v>
      </c>
    </row>
    <row r="563" spans="2:22" x14ac:dyDescent="0.3">
      <c r="B563">
        <v>555</v>
      </c>
      <c r="C563">
        <v>1</v>
      </c>
      <c r="D563">
        <f>IF(IFERROR(INDEX(표.kospi200[code],MATCH(표.실시간[[#This Row],[코드]],표.kospi200[code],0)),0)=0,0,1)</f>
        <v>0</v>
      </c>
      <c r="E563" t="s">
        <v>568</v>
      </c>
      <c r="F563">
        <v>10690</v>
      </c>
      <c r="G563" t="str">
        <f>ConvertStockCode(표.실시간[[#This Row],[코드]])</f>
        <v>N010690</v>
      </c>
      <c r="H563" s="2">
        <f>_xll.IMDP("STK",표.실시간[[#This Row],[nxt_code]],"현재가")</f>
        <v>9080</v>
      </c>
      <c r="I563" s="2">
        <f>_xll.IMDP("STK",표.실시간[[#This Row],[nxt_code]],"시가총액")/10^12</f>
        <v>0.31707732280000001</v>
      </c>
      <c r="J563" s="2">
        <f>표.실시간[[#This Row],[시가총액 (조원)]]/표.실시간[[#This Row],[현재가]]*(표.실시간[[#This Row],[현재가]]-표.실시간[[#This Row],[대비]])</f>
        <v>0.32441060890000001</v>
      </c>
      <c r="K563" s="3">
        <f>_xll.IMDP("STK",표.실시간[[#This Row],[nxt_code]],"전일대비")</f>
        <v>-210</v>
      </c>
      <c r="L563">
        <f>_xll.IMDP("STK",표.실시간[[#This Row],[nxt_code]],"등락률")</f>
        <v>-2.2599999999999998</v>
      </c>
      <c r="M563" s="2">
        <f>_xll.IMDP("STK",표.실시간[[#This Row],[nxt_code]],"누적거래량")</f>
        <v>57297</v>
      </c>
      <c r="N563" s="2">
        <f>_xll.IMDP("STK",표.실시간[[#This Row],[nxt_code]],"누적거래대금")/10^8</f>
        <v>5.1688834999999997</v>
      </c>
      <c r="O563" s="2">
        <f>_xll.IMDP("STK",표.실시간[[#This Row],[nxt_code]],"가중평균가")</f>
        <v>9021.2114070000007</v>
      </c>
      <c r="P563" s="2">
        <f>_xll.IMDP("STK",표.실시간[[#This Row],[nxt_code]],"시가")</f>
        <v>9160</v>
      </c>
      <c r="Q563" s="2">
        <f>_xll.IMDP("STK",표.실시간[[#This Row],[nxt_code]],"고가")</f>
        <v>9160</v>
      </c>
      <c r="R563" s="2">
        <f>_xll.IMDP("STK",표.실시간[[#This Row],[nxt_code]],"저가")</f>
        <v>8940</v>
      </c>
      <c r="S563">
        <f>_xll.IMDP("STK",표.실시간[[#This Row],[nxt_code]],"세션명")</f>
        <v>0</v>
      </c>
      <c r="T563">
        <f>_xll.IMDP("STK",표.실시간[[#This Row],[nxt_code]],"체결시간")</f>
        <v>0</v>
      </c>
      <c r="U563" s="2">
        <f>_xll.IMDP("STK","010690","현재가")</f>
        <v>9090</v>
      </c>
      <c r="V563">
        <f>_xll.IMDP("STK","010690","누적거래량")</f>
        <v>22873</v>
      </c>
    </row>
    <row r="564" spans="2:22" x14ac:dyDescent="0.3">
      <c r="B564">
        <v>556</v>
      </c>
      <c r="C564">
        <v>0</v>
      </c>
      <c r="D564">
        <f>IF(IFERROR(INDEX(표.kospi200[code],MATCH(표.실시간[[#This Row],[코드]],표.kospi200[code],0)),0)=0,0,1)</f>
        <v>0</v>
      </c>
      <c r="E564" t="s">
        <v>569</v>
      </c>
      <c r="F564">
        <v>33640</v>
      </c>
      <c r="G564" t="str">
        <f>ConvertStockCode(표.실시간[[#This Row],[코드]])</f>
        <v>N033640</v>
      </c>
      <c r="H564" s="2">
        <f>_xll.IMDP("STK",표.실시간[[#This Row],[nxt_code]],"현재가")</f>
        <v>18470</v>
      </c>
      <c r="I564" s="2">
        <f>_xll.IMDP("STK",표.실시간[[#This Row],[nxt_code]],"시가총액")/10^12</f>
        <v>0.42567286892</v>
      </c>
      <c r="J564" s="2">
        <f>표.실시간[[#This Row],[시가총액 (조원)]]/표.실시간[[#This Row],[현재가]]*(표.실시간[[#This Row],[현재가]]-표.실시간[[#This Row],[대비]])</f>
        <v>0.44157510387153226</v>
      </c>
      <c r="K564" s="3">
        <f>_xll.IMDP("STK",표.실시간[[#This Row],[nxt_code]],"전일대비")</f>
        <v>-690</v>
      </c>
      <c r="L564">
        <f>_xll.IMDP("STK",표.실시간[[#This Row],[nxt_code]],"등락률")</f>
        <v>-3.6</v>
      </c>
      <c r="M564" s="2">
        <f>_xll.IMDP("STK",표.실시간[[#This Row],[nxt_code]],"누적거래량")</f>
        <v>91537</v>
      </c>
      <c r="N564" s="2">
        <f>_xll.IMDP("STK",표.실시간[[#This Row],[nxt_code]],"누적거래대금")/10^8</f>
        <v>16.680430300000001</v>
      </c>
      <c r="O564" s="2">
        <f>_xll.IMDP("STK",표.실시간[[#This Row],[nxt_code]],"가중평균가")</f>
        <v>18222.609764000001</v>
      </c>
      <c r="P564" s="2">
        <f>_xll.IMDP("STK",표.실시간[[#This Row],[nxt_code]],"시가")</f>
        <v>18900</v>
      </c>
      <c r="Q564" s="2">
        <f>_xll.IMDP("STK",표.실시간[[#This Row],[nxt_code]],"고가")</f>
        <v>18950</v>
      </c>
      <c r="R564" s="2">
        <f>_xll.IMDP("STK",표.실시간[[#This Row],[nxt_code]],"저가")</f>
        <v>17940</v>
      </c>
      <c r="S564">
        <f>_xll.IMDP("STK",표.실시간[[#This Row],[nxt_code]],"세션명")</f>
        <v>0</v>
      </c>
      <c r="T564">
        <f>_xll.IMDP("STK",표.실시간[[#This Row],[nxt_code]],"체결시간")</f>
        <v>0</v>
      </c>
      <c r="U564" s="2">
        <f>_xll.IMDP("STK","033640","현재가")</f>
        <v>18450</v>
      </c>
      <c r="V564">
        <f>_xll.IMDP("STK","033640","누적거래량")</f>
        <v>28031</v>
      </c>
    </row>
    <row r="565" spans="2:22" x14ac:dyDescent="0.3">
      <c r="B565">
        <v>557</v>
      </c>
      <c r="C565">
        <v>0</v>
      </c>
      <c r="D565">
        <f>IF(IFERROR(INDEX(표.kospi200[code],MATCH(표.실시간[[#This Row],[코드]],표.kospi200[code],0)),0)=0,0,1)</f>
        <v>0</v>
      </c>
      <c r="E565" t="s">
        <v>570</v>
      </c>
      <c r="F565">
        <v>200130</v>
      </c>
      <c r="G565" t="str">
        <f>ConvertStockCode(표.실시간[[#This Row],[코드]])</f>
        <v>N200130</v>
      </c>
      <c r="H565" s="2">
        <f>_xll.IMDP("STK",표.실시간[[#This Row],[nxt_code]],"현재가")</f>
        <v>14380</v>
      </c>
      <c r="I565" s="2">
        <f>_xll.IMDP("STK",표.실시간[[#This Row],[nxt_code]],"시가총액")/10^12</f>
        <v>0.42299572404000002</v>
      </c>
      <c r="J565" s="2">
        <f>표.실시간[[#This Row],[시가총액 (조원)]]/표.실시간[[#This Row],[현재가]]*(표.실시간[[#This Row],[현재가]]-표.실시간[[#This Row],[대비]])</f>
        <v>0.43917428094000005</v>
      </c>
      <c r="K565" s="3">
        <f>_xll.IMDP("STK",표.실시간[[#This Row],[nxt_code]],"전일대비")</f>
        <v>-550</v>
      </c>
      <c r="L565">
        <f>_xll.IMDP("STK",표.실시간[[#This Row],[nxt_code]],"등락률")</f>
        <v>-3.68</v>
      </c>
      <c r="M565" s="2">
        <f>_xll.IMDP("STK",표.실시간[[#This Row],[nxt_code]],"누적거래량")</f>
        <v>6822</v>
      </c>
      <c r="N565" s="2">
        <f>_xll.IMDP("STK",표.실시간[[#This Row],[nxt_code]],"누적거래대금")/10^8</f>
        <v>0.99885579999999996</v>
      </c>
      <c r="O565" s="2">
        <f>_xll.IMDP("STK",표.실시간[[#This Row],[nxt_code]],"가중평균가")</f>
        <v>14641.685723000001</v>
      </c>
      <c r="P565" s="2">
        <f>_xll.IMDP("STK",표.실시간[[#This Row],[nxt_code]],"시가")</f>
        <v>14760</v>
      </c>
      <c r="Q565" s="2">
        <f>_xll.IMDP("STK",표.실시간[[#This Row],[nxt_code]],"고가")</f>
        <v>14930</v>
      </c>
      <c r="R565" s="2">
        <f>_xll.IMDP("STK",표.실시간[[#This Row],[nxt_code]],"저가")</f>
        <v>14210</v>
      </c>
      <c r="S565">
        <f>_xll.IMDP("STK",표.실시간[[#This Row],[nxt_code]],"세션명")</f>
        <v>0</v>
      </c>
      <c r="T565">
        <f>_xll.IMDP("STK",표.실시간[[#This Row],[nxt_code]],"체결시간")</f>
        <v>0</v>
      </c>
      <c r="U565" s="2">
        <f>_xll.IMDP("STK","200130","현재가")</f>
        <v>14450</v>
      </c>
      <c r="V565">
        <f>_xll.IMDP("STK","200130","누적거래량")</f>
        <v>11543</v>
      </c>
    </row>
    <row r="566" spans="2:22" x14ac:dyDescent="0.3">
      <c r="B566">
        <v>558</v>
      </c>
      <c r="C566">
        <v>0</v>
      </c>
      <c r="D566">
        <f>IF(IFERROR(INDEX(표.kospi200[code],MATCH(표.실시간[[#This Row],[코드]],표.kospi200[code],0)),0)=0,0,1)</f>
        <v>0</v>
      </c>
      <c r="E566" t="s">
        <v>571</v>
      </c>
      <c r="F566">
        <v>114190</v>
      </c>
      <c r="G566" t="str">
        <f>ConvertStockCode(표.실시간[[#This Row],[코드]])</f>
        <v>N114190</v>
      </c>
      <c r="H566" s="2">
        <f>_xll.IMDP("STK",표.실시간[[#This Row],[nxt_code]],"현재가")</f>
        <v>17130</v>
      </c>
      <c r="I566" s="2">
        <f>_xll.IMDP("STK",표.실시간[[#This Row],[nxt_code]],"시가총액")/10^12</f>
        <v>0.44748764093999999</v>
      </c>
      <c r="J566" s="2">
        <f>표.실시간[[#This Row],[시가총액 (조원)]]/표.실시간[[#This Row],[현재가]]*(표.실시간[[#This Row],[현재가]]-표.실시간[[#This Row],[대비]])</f>
        <v>0.45741439537999995</v>
      </c>
      <c r="K566" s="3">
        <f>_xll.IMDP("STK",표.실시간[[#This Row],[nxt_code]],"전일대비")</f>
        <v>-380</v>
      </c>
      <c r="L566">
        <f>_xll.IMDP("STK",표.실시간[[#This Row],[nxt_code]],"등락률")</f>
        <v>-1.66</v>
      </c>
      <c r="M566" s="2">
        <f>_xll.IMDP("STK",표.실시간[[#This Row],[nxt_code]],"누적거래량")</f>
        <v>146286</v>
      </c>
      <c r="N566" s="2">
        <f>_xll.IMDP("STK",표.실시간[[#This Row],[nxt_code]],"누적거래대금")/10^8</f>
        <v>23.227741999999999</v>
      </c>
      <c r="O566" s="2">
        <f>_xll.IMDP("STK",표.실시간[[#This Row],[nxt_code]],"가중평균가")</f>
        <v>16878.606907000001</v>
      </c>
      <c r="P566" s="2">
        <f>_xll.IMDP("STK",표.실시간[[#This Row],[nxt_code]],"시가")</f>
        <v>17400</v>
      </c>
      <c r="Q566" s="2">
        <f>_xll.IMDP("STK",표.실시간[[#This Row],[nxt_code]],"고가")</f>
        <v>17420</v>
      </c>
      <c r="R566" s="2">
        <f>_xll.IMDP("STK",표.실시간[[#This Row],[nxt_code]],"저가")</f>
        <v>16700</v>
      </c>
      <c r="S566">
        <f>_xll.IMDP("STK",표.실시간[[#This Row],[nxt_code]],"세션명")</f>
        <v>0</v>
      </c>
      <c r="T566">
        <f>_xll.IMDP("STK",표.실시간[[#This Row],[nxt_code]],"체결시간")</f>
        <v>0</v>
      </c>
      <c r="U566" s="2">
        <f>_xll.IMDP("STK","114190","현재가")</f>
        <v>17150</v>
      </c>
      <c r="V566">
        <f>_xll.IMDP("STK","114190","누적거래량")</f>
        <v>43082</v>
      </c>
    </row>
    <row r="567" spans="2:22" x14ac:dyDescent="0.3">
      <c r="B567">
        <v>559</v>
      </c>
      <c r="C567">
        <v>0</v>
      </c>
      <c r="D567">
        <f>IF(IFERROR(INDEX(표.kospi200[code],MATCH(표.실시간[[#This Row],[코드]],표.kospi200[code],0)),0)=0,0,1)</f>
        <v>0</v>
      </c>
      <c r="E567" t="s">
        <v>572</v>
      </c>
      <c r="F567">
        <v>94480</v>
      </c>
      <c r="G567" t="str">
        <f>ConvertStockCode(표.실시간[[#This Row],[코드]])</f>
        <v>N094480</v>
      </c>
      <c r="H567" s="2">
        <f>_xll.IMDP("STK",표.실시간[[#This Row],[nxt_code]],"현재가")</f>
        <v>11380</v>
      </c>
      <c r="I567" s="2">
        <f>_xll.IMDP("STK",표.실시간[[#This Row],[nxt_code]],"시가총액")/10^12</f>
        <v>0.44643555643999999</v>
      </c>
      <c r="J567" s="2">
        <f>표.실시간[[#This Row],[시가총액 (조원)]]/표.실시간[[#This Row],[현재가]]*(표.실시간[[#This Row],[현재가]]-표.실시간[[#This Row],[대비]])</f>
        <v>0.43466660503999999</v>
      </c>
      <c r="K567" s="3">
        <f>_xll.IMDP("STK",표.실시간[[#This Row],[nxt_code]],"전일대비")</f>
        <v>300</v>
      </c>
      <c r="L567">
        <f>_xll.IMDP("STK",표.실시간[[#This Row],[nxt_code]],"등락률")</f>
        <v>2.71</v>
      </c>
      <c r="M567" s="2">
        <f>_xll.IMDP("STK",표.실시간[[#This Row],[nxt_code]],"누적거래량")</f>
        <v>1617854</v>
      </c>
      <c r="N567" s="2">
        <f>_xll.IMDP("STK",표.실시간[[#This Row],[nxt_code]],"누적거래대금")/10^8</f>
        <v>188.04874359999999</v>
      </c>
      <c r="O567" s="2">
        <f>_xll.IMDP("STK",표.실시간[[#This Row],[nxt_code]],"가중평균가")</f>
        <v>11623.34448</v>
      </c>
      <c r="P567" s="2">
        <f>_xll.IMDP("STK",표.실시간[[#This Row],[nxt_code]],"시가")</f>
        <v>11080</v>
      </c>
      <c r="Q567" s="2">
        <f>_xll.IMDP("STK",표.실시간[[#This Row],[nxt_code]],"고가")</f>
        <v>12030</v>
      </c>
      <c r="R567" s="2">
        <f>_xll.IMDP("STK",표.실시간[[#This Row],[nxt_code]],"저가")</f>
        <v>10930</v>
      </c>
      <c r="S567">
        <f>_xll.IMDP("STK",표.실시간[[#This Row],[nxt_code]],"세션명")</f>
        <v>0</v>
      </c>
      <c r="T567">
        <f>_xll.IMDP("STK",표.실시간[[#This Row],[nxt_code]],"체결시간")</f>
        <v>0</v>
      </c>
      <c r="U567" s="2">
        <f>_xll.IMDP("STK","094480","현재가")</f>
        <v>11370</v>
      </c>
      <c r="V567">
        <f>_xll.IMDP("STK","094480","누적거래량")</f>
        <v>303553</v>
      </c>
    </row>
    <row r="568" spans="2:22" x14ac:dyDescent="0.3">
      <c r="B568">
        <v>560</v>
      </c>
      <c r="C568">
        <v>1</v>
      </c>
      <c r="D568">
        <f>IF(IFERROR(INDEX(표.kospi200[code],MATCH(표.실시간[[#This Row],[코드]],표.kospi200[code],0)),0)=0,0,1)</f>
        <v>0</v>
      </c>
      <c r="E568" t="s">
        <v>573</v>
      </c>
      <c r="F568">
        <v>104700</v>
      </c>
      <c r="G568" t="str">
        <f>ConvertStockCode(표.실시간[[#This Row],[코드]])</f>
        <v>N104700</v>
      </c>
      <c r="H568" s="2">
        <f>_xll.IMDP("STK",표.실시간[[#This Row],[nxt_code]],"현재가")</f>
        <v>9310</v>
      </c>
      <c r="I568" s="2">
        <f>_xll.IMDP("STK",표.실시간[[#This Row],[nxt_code]],"시가총액")/10^12</f>
        <v>0.33934950000000003</v>
      </c>
      <c r="J568" s="2">
        <f>표.실시간[[#This Row],[시가총액 (조원)]]/표.실시간[[#This Row],[현재가]]*(표.실시간[[#This Row],[현재가]]-표.실시간[[#This Row],[대비]])</f>
        <v>0.34117200000000003</v>
      </c>
      <c r="K568" s="3">
        <f>_xll.IMDP("STK",표.실시간[[#This Row],[nxt_code]],"전일대비")</f>
        <v>-50</v>
      </c>
      <c r="L568">
        <f>_xll.IMDP("STK",표.실시간[[#This Row],[nxt_code]],"등락률")</f>
        <v>-0.53</v>
      </c>
      <c r="M568" s="2">
        <f>_xll.IMDP("STK",표.실시간[[#This Row],[nxt_code]],"누적거래량")</f>
        <v>1147</v>
      </c>
      <c r="N568" s="2">
        <f>_xll.IMDP("STK",표.실시간[[#This Row],[nxt_code]],"누적거래대금")/10^8</f>
        <v>0.10731110000000001</v>
      </c>
      <c r="O568" s="2">
        <f>_xll.IMDP("STK",표.실시간[[#This Row],[nxt_code]],"가중평균가")</f>
        <v>9363.9232780000002</v>
      </c>
      <c r="P568" s="2">
        <f>_xll.IMDP("STK",표.실시간[[#This Row],[nxt_code]],"시가")</f>
        <v>9390</v>
      </c>
      <c r="Q568" s="2">
        <f>_xll.IMDP("STK",표.실시간[[#This Row],[nxt_code]],"고가")</f>
        <v>9430</v>
      </c>
      <c r="R568" s="2">
        <f>_xll.IMDP("STK",표.실시간[[#This Row],[nxt_code]],"저가")</f>
        <v>9260</v>
      </c>
      <c r="S568">
        <f>_xll.IMDP("STK",표.실시간[[#This Row],[nxt_code]],"세션명")</f>
        <v>0</v>
      </c>
      <c r="T568">
        <f>_xll.IMDP("STK",표.실시간[[#This Row],[nxt_code]],"체결시간")</f>
        <v>0</v>
      </c>
      <c r="U568" s="2">
        <f>_xll.IMDP("STK","104700","현재가")</f>
        <v>9330</v>
      </c>
      <c r="V568">
        <f>_xll.IMDP("STK","104700","누적거래량")</f>
        <v>2646</v>
      </c>
    </row>
    <row r="569" spans="2:22" x14ac:dyDescent="0.3">
      <c r="B569">
        <v>561</v>
      </c>
      <c r="C569">
        <v>0</v>
      </c>
      <c r="D569">
        <f>IF(IFERROR(INDEX(표.kospi200[code],MATCH(표.실시간[[#This Row],[코드]],표.kospi200[code],0)),0)=0,0,1)</f>
        <v>0</v>
      </c>
      <c r="E569" t="s">
        <v>574</v>
      </c>
      <c r="F569">
        <v>78350</v>
      </c>
      <c r="G569" t="str">
        <f>ConvertStockCode(표.실시간[[#This Row],[코드]])</f>
        <v>N078350</v>
      </c>
      <c r="H569" s="2">
        <f>_xll.IMDP("STK",표.실시간[[#This Row],[nxt_code]],"현재가")</f>
        <v>26300</v>
      </c>
      <c r="I569" s="2">
        <f>_xll.IMDP("STK",표.실시간[[#This Row],[nxt_code]],"시가총액")/10^12</f>
        <v>0.40092724660000001</v>
      </c>
      <c r="J569" s="2">
        <f>표.실시간[[#This Row],[시가총액 (조원)]]/표.실시간[[#This Row],[현재가]]*(표.실시간[[#This Row],[현재가]]-표.실시간[[#This Row],[대비]])</f>
        <v>0.40931165670000003</v>
      </c>
      <c r="K569" s="3">
        <f>_xll.IMDP("STK",표.실시간[[#This Row],[nxt_code]],"전일대비")</f>
        <v>-550</v>
      </c>
      <c r="L569">
        <f>_xll.IMDP("STK",표.실시간[[#This Row],[nxt_code]],"등락률")</f>
        <v>-1.87</v>
      </c>
      <c r="M569" s="2">
        <f>_xll.IMDP("STK",표.실시간[[#This Row],[nxt_code]],"누적거래량")</f>
        <v>43549</v>
      </c>
      <c r="N569" s="2">
        <f>_xll.IMDP("STK",표.실시간[[#This Row],[nxt_code]],"누적거래대금")/10^8</f>
        <v>11.1497785</v>
      </c>
      <c r="O569" s="2">
        <f>_xll.IMDP("STK",표.실시간[[#This Row],[nxt_code]],"가중평균가")</f>
        <v>25602.834738000001</v>
      </c>
      <c r="P569" s="2">
        <f>_xll.IMDP("STK",표.실시간[[#This Row],[nxt_code]],"시가")</f>
        <v>26000</v>
      </c>
      <c r="Q569" s="2">
        <f>_xll.IMDP("STK",표.실시간[[#This Row],[nxt_code]],"고가")</f>
        <v>26300</v>
      </c>
      <c r="R569" s="2">
        <f>_xll.IMDP("STK",표.실시간[[#This Row],[nxt_code]],"저가")</f>
        <v>25250</v>
      </c>
      <c r="S569">
        <f>_xll.IMDP("STK",표.실시간[[#This Row],[nxt_code]],"세션명")</f>
        <v>0</v>
      </c>
      <c r="T569">
        <f>_xll.IMDP("STK",표.실시간[[#This Row],[nxt_code]],"체결시간")</f>
        <v>0</v>
      </c>
      <c r="U569" s="2">
        <f>_xll.IMDP("STK","078350","현재가")</f>
        <v>26300</v>
      </c>
      <c r="V569">
        <f>_xll.IMDP("STK","078350","누적거래량")</f>
        <v>27080</v>
      </c>
    </row>
    <row r="570" spans="2:22" x14ac:dyDescent="0.3">
      <c r="B570">
        <v>562</v>
      </c>
      <c r="C570">
        <v>1</v>
      </c>
      <c r="D570">
        <f>IF(IFERROR(INDEX(표.kospi200[code],MATCH(표.실시간[[#This Row],[코드]],표.kospi200[code],0)),0)=0,0,1)</f>
        <v>0</v>
      </c>
      <c r="E570" t="s">
        <v>575</v>
      </c>
      <c r="F570">
        <v>2710</v>
      </c>
      <c r="G570" t="str">
        <f>ConvertStockCode(표.실시간[[#This Row],[코드]])</f>
        <v>N002710</v>
      </c>
      <c r="H570" s="2">
        <f>_xll.IMDP("STK",표.실시간[[#This Row],[nxt_code]],"현재가")</f>
        <v>16960</v>
      </c>
      <c r="I570" s="2">
        <f>_xll.IMDP("STK",표.실시간[[#This Row],[nxt_code]],"시가총액")/10^12</f>
        <v>0.44458430112000002</v>
      </c>
      <c r="J570" s="2">
        <f>표.실시간[[#This Row],[시가총액 (조원)]]/표.실시간[[#This Row],[현재가]]*(표.실시간[[#This Row],[현재가]]-표.실시간[[#This Row],[대비]])</f>
        <v>0.44877849264000003</v>
      </c>
      <c r="K570" s="3">
        <f>_xll.IMDP("STK",표.실시간[[#This Row],[nxt_code]],"전일대비")</f>
        <v>-160</v>
      </c>
      <c r="L570">
        <f>_xll.IMDP("STK",표.실시간[[#This Row],[nxt_code]],"등락률")</f>
        <v>-0.88</v>
      </c>
      <c r="M570" s="2">
        <f>_xll.IMDP("STK",표.실시간[[#This Row],[nxt_code]],"누적거래량")</f>
        <v>68552</v>
      </c>
      <c r="N570" s="2">
        <f>_xll.IMDP("STK",표.실시간[[#This Row],[nxt_code]],"누적거래대금")/10^8</f>
        <v>11.260157100000001</v>
      </c>
      <c r="O570" s="2">
        <f>_xll.IMDP("STK",표.실시간[[#This Row],[nxt_code]],"가중평균가")</f>
        <v>16425.716390000001</v>
      </c>
      <c r="P570" s="2">
        <f>_xll.IMDP("STK",표.실시간[[#This Row],[nxt_code]],"시가")</f>
        <v>16820</v>
      </c>
      <c r="Q570" s="2">
        <f>_xll.IMDP("STK",표.실시간[[#This Row],[nxt_code]],"고가")</f>
        <v>16980</v>
      </c>
      <c r="R570" s="2">
        <f>_xll.IMDP("STK",표.실시간[[#This Row],[nxt_code]],"저가")</f>
        <v>16200</v>
      </c>
      <c r="S570">
        <f>_xll.IMDP("STK",표.실시간[[#This Row],[nxt_code]],"세션명")</f>
        <v>0</v>
      </c>
      <c r="T570">
        <f>_xll.IMDP("STK",표.실시간[[#This Row],[nxt_code]],"체결시간")</f>
        <v>0</v>
      </c>
      <c r="U570" s="2">
        <f>_xll.IMDP("STK","002710","현재가")</f>
        <v>17110</v>
      </c>
      <c r="V570">
        <f>_xll.IMDP("STK","002710","누적거래량")</f>
        <v>28965</v>
      </c>
    </row>
    <row r="571" spans="2:22" x14ac:dyDescent="0.3">
      <c r="B571">
        <v>563</v>
      </c>
      <c r="C571">
        <v>1</v>
      </c>
      <c r="D571">
        <f>IF(IFERROR(INDEX(표.kospi200[code],MATCH(표.실시간[[#This Row],[코드]],표.kospi200[code],0)),0)=0,0,1)</f>
        <v>0</v>
      </c>
      <c r="E571" t="s">
        <v>576</v>
      </c>
      <c r="F571">
        <v>6110</v>
      </c>
      <c r="G571" t="str">
        <f>ConvertStockCode(표.실시간[[#This Row],[코드]])</f>
        <v>N006110</v>
      </c>
      <c r="H571" s="2">
        <f>_xll.IMDP("STK",표.실시간[[#This Row],[nxt_code]],"현재가")</f>
        <v>31800</v>
      </c>
      <c r="I571" s="2">
        <f>_xll.IMDP("STK",표.실시간[[#This Row],[nxt_code]],"시가총액")/10^12</f>
        <v>0.4678389288</v>
      </c>
      <c r="J571" s="2">
        <f>표.실시간[[#This Row],[시가총액 (조원)]]/표.실시간[[#This Row],[현재가]]*(표.실시간[[#This Row],[현재가]]-표.실시간[[#This Row],[대비]])</f>
        <v>0.5031475272</v>
      </c>
      <c r="K571" s="3">
        <f>_xll.IMDP("STK",표.실시간[[#This Row],[nxt_code]],"전일대비")</f>
        <v>-2400</v>
      </c>
      <c r="L571">
        <f>_xll.IMDP("STK",표.실시간[[#This Row],[nxt_code]],"등락률")</f>
        <v>-7.02</v>
      </c>
      <c r="M571" s="2">
        <f>_xll.IMDP("STK",표.실시간[[#This Row],[nxt_code]],"누적거래량")</f>
        <v>113514</v>
      </c>
      <c r="N571" s="2">
        <f>_xll.IMDP("STK",표.실시간[[#This Row],[nxt_code]],"누적거래대금")/10^8</f>
        <v>36.302139750000002</v>
      </c>
      <c r="O571" s="2">
        <f>_xll.IMDP("STK",표.실시간[[#This Row],[nxt_code]],"가중평균가")</f>
        <v>31980.319388</v>
      </c>
      <c r="P571" s="2">
        <f>_xll.IMDP("STK",표.실시간[[#This Row],[nxt_code]],"시가")</f>
        <v>34000</v>
      </c>
      <c r="Q571" s="2">
        <f>_xll.IMDP("STK",표.실시간[[#This Row],[nxt_code]],"고가")</f>
        <v>34000</v>
      </c>
      <c r="R571" s="2">
        <f>_xll.IMDP("STK",표.실시간[[#This Row],[nxt_code]],"저가")</f>
        <v>31200</v>
      </c>
      <c r="S571">
        <f>_xll.IMDP("STK",표.실시간[[#This Row],[nxt_code]],"세션명")</f>
        <v>0</v>
      </c>
      <c r="T571">
        <f>_xll.IMDP("STK",표.실시간[[#This Row],[nxt_code]],"체결시간")</f>
        <v>0</v>
      </c>
      <c r="U571" s="2">
        <f>_xll.IMDP("STK","006110","현재가")</f>
        <v>31900</v>
      </c>
      <c r="V571">
        <f>_xll.IMDP("STK","006110","누적거래량")</f>
        <v>41746</v>
      </c>
    </row>
    <row r="572" spans="2:22" x14ac:dyDescent="0.3">
      <c r="B572">
        <v>564</v>
      </c>
      <c r="C572">
        <v>0</v>
      </c>
      <c r="D572">
        <f>IF(IFERROR(INDEX(표.kospi200[code],MATCH(표.실시간[[#This Row],[코드]],표.kospi200[code],0)),0)=0,0,1)</f>
        <v>0</v>
      </c>
      <c r="E572" t="s">
        <v>577</v>
      </c>
      <c r="F572">
        <v>441270</v>
      </c>
      <c r="G572" t="str">
        <f>ConvertStockCode(표.실시간[[#This Row],[코드]])</f>
        <v>N441270</v>
      </c>
      <c r="H572" s="2">
        <f>_xll.IMDP("STK",표.실시간[[#This Row],[nxt_code]],"현재가")</f>
        <v>9330</v>
      </c>
      <c r="I572" s="2">
        <f>_xll.IMDP("STK",표.실시간[[#This Row],[nxt_code]],"시가총액")/10^12</f>
        <v>0.36823671990000001</v>
      </c>
      <c r="J572" s="2">
        <f>표.실시간[[#This Row],[시가총액 (조원)]]/표.실시간[[#This Row],[현재가]]*(표.실시간[[#This Row],[현재가]]-표.실시간[[#This Row],[대비]])</f>
        <v>0.37494628499999999</v>
      </c>
      <c r="K572" s="3">
        <f>_xll.IMDP("STK",표.실시간[[#This Row],[nxt_code]],"전일대비")</f>
        <v>-170</v>
      </c>
      <c r="L572">
        <f>_xll.IMDP("STK",표.실시간[[#This Row],[nxt_code]],"등락률")</f>
        <v>-1.79</v>
      </c>
      <c r="M572" s="2">
        <f>_xll.IMDP("STK",표.실시간[[#This Row],[nxt_code]],"누적거래량")</f>
        <v>42469</v>
      </c>
      <c r="N572" s="2">
        <f>_xll.IMDP("STK",표.실시간[[#This Row],[nxt_code]],"누적거래대금")/10^8</f>
        <v>3.9321119000000002</v>
      </c>
      <c r="O572" s="2">
        <f>_xll.IMDP("STK",표.실시간[[#This Row],[nxt_code]],"가중평균가")</f>
        <v>9258.7814639999997</v>
      </c>
      <c r="P572" s="2">
        <f>_xll.IMDP("STK",표.실시간[[#This Row],[nxt_code]],"시가")</f>
        <v>9510</v>
      </c>
      <c r="Q572" s="2">
        <f>_xll.IMDP("STK",표.실시간[[#This Row],[nxt_code]],"고가")</f>
        <v>9510</v>
      </c>
      <c r="R572" s="2">
        <f>_xll.IMDP("STK",표.실시간[[#This Row],[nxt_code]],"저가")</f>
        <v>9150</v>
      </c>
      <c r="S572">
        <f>_xll.IMDP("STK",표.실시간[[#This Row],[nxt_code]],"세션명")</f>
        <v>0</v>
      </c>
      <c r="T572">
        <f>_xll.IMDP("STK",표.실시간[[#This Row],[nxt_code]],"체결시간")</f>
        <v>0</v>
      </c>
      <c r="U572" s="2">
        <f>_xll.IMDP("STK","441270","현재가")</f>
        <v>9360</v>
      </c>
      <c r="V572">
        <f>_xll.IMDP("STK","441270","누적거래량")</f>
        <v>19799</v>
      </c>
    </row>
    <row r="573" spans="2:22" x14ac:dyDescent="0.3">
      <c r="B573">
        <v>565</v>
      </c>
      <c r="C573">
        <v>0</v>
      </c>
      <c r="D573">
        <f>IF(IFERROR(INDEX(표.kospi200[code],MATCH(표.실시간[[#This Row],[코드]],표.kospi200[code],0)),0)=0,0,1)</f>
        <v>0</v>
      </c>
      <c r="E573" t="s">
        <v>578</v>
      </c>
      <c r="F573">
        <v>60720</v>
      </c>
      <c r="G573" t="str">
        <f>ConvertStockCode(표.실시간[[#This Row],[코드]])</f>
        <v>N060720</v>
      </c>
      <c r="H573" s="2">
        <f>_xll.IMDP("STK",표.실시간[[#This Row],[nxt_code]],"현재가")</f>
        <v>18690</v>
      </c>
      <c r="I573" s="2">
        <f>_xll.IMDP("STK",표.실시간[[#This Row],[nxt_code]],"시가총액")/10^12</f>
        <v>0.44253139097999999</v>
      </c>
      <c r="J573" s="2">
        <f>표.실시간[[#This Row],[시가총액 (조원)]]/표.실시간[[#This Row],[현재가]]*(표.실시간[[#This Row],[현재가]]-표.실시간[[#This Row],[대비]])</f>
        <v>0.45271269104</v>
      </c>
      <c r="K573" s="3">
        <f>_xll.IMDP("STK",표.실시간[[#This Row],[nxt_code]],"전일대비")</f>
        <v>-430</v>
      </c>
      <c r="L573">
        <f>_xll.IMDP("STK",표.실시간[[#This Row],[nxt_code]],"등락률")</f>
        <v>-2.25</v>
      </c>
      <c r="M573" s="2">
        <f>_xll.IMDP("STK",표.실시간[[#This Row],[nxt_code]],"누적거래량")</f>
        <v>493237</v>
      </c>
      <c r="N573" s="2">
        <f>_xll.IMDP("STK",표.실시간[[#This Row],[nxt_code]],"누적거래대금")/10^8</f>
        <v>91.626006399999994</v>
      </c>
      <c r="O573" s="2">
        <f>_xll.IMDP("STK",표.실시간[[#This Row],[nxt_code]],"가중평균가")</f>
        <v>18576.466566999999</v>
      </c>
      <c r="P573" s="2">
        <f>_xll.IMDP("STK",표.실시간[[#This Row],[nxt_code]],"시가")</f>
        <v>18980</v>
      </c>
      <c r="Q573" s="2">
        <f>_xll.IMDP("STK",표.실시간[[#This Row],[nxt_code]],"고가")</f>
        <v>19200</v>
      </c>
      <c r="R573" s="2">
        <f>_xll.IMDP("STK",표.실시간[[#This Row],[nxt_code]],"저가")</f>
        <v>18330</v>
      </c>
      <c r="S573">
        <f>_xll.IMDP("STK",표.실시간[[#This Row],[nxt_code]],"세션명")</f>
        <v>0</v>
      </c>
      <c r="T573">
        <f>_xll.IMDP("STK",표.실시간[[#This Row],[nxt_code]],"체결시간")</f>
        <v>0</v>
      </c>
      <c r="U573" s="2">
        <f>_xll.IMDP("STK","060720","현재가")</f>
        <v>18620</v>
      </c>
      <c r="V573">
        <f>_xll.IMDP("STK","060720","누적거래량")</f>
        <v>151905</v>
      </c>
    </row>
    <row r="574" spans="2:22" x14ac:dyDescent="0.3">
      <c r="B574">
        <v>566</v>
      </c>
      <c r="C574">
        <v>1</v>
      </c>
      <c r="D574">
        <f>IF(IFERROR(INDEX(표.kospi200[code],MATCH(표.실시간[[#This Row],[코드]],표.kospi200[code],0)),0)=0,0,1)</f>
        <v>0</v>
      </c>
      <c r="E574" t="s">
        <v>579</v>
      </c>
      <c r="F574">
        <v>475560</v>
      </c>
      <c r="G574" t="str">
        <f>ConvertStockCode(표.실시간[[#This Row],[코드]])</f>
        <v>N475560</v>
      </c>
      <c r="H574" s="2">
        <f>_xll.IMDP("STK",표.실시간[[#This Row],[nxt_code]],"현재가")</f>
        <v>23950</v>
      </c>
      <c r="I574" s="2">
        <f>_xll.IMDP("STK",표.실시간[[#This Row],[nxt_code]],"시가총액")/10^12</f>
        <v>0.35390052799999999</v>
      </c>
      <c r="J574" s="2">
        <f>표.실시간[[#This Row],[시가총액 (조원)]]/표.실시간[[#This Row],[현재가]]*(표.실시간[[#This Row],[현재가]]-표.실시간[[#This Row],[대비]])</f>
        <v>0.35759468799999999</v>
      </c>
      <c r="K574" s="3">
        <f>_xll.IMDP("STK",표.실시간[[#This Row],[nxt_code]],"전일대비")</f>
        <v>-250</v>
      </c>
      <c r="L574">
        <f>_xll.IMDP("STK",표.실시간[[#This Row],[nxt_code]],"등락률")</f>
        <v>-1.03</v>
      </c>
      <c r="M574" s="2">
        <f>_xll.IMDP("STK",표.실시간[[#This Row],[nxt_code]],"누적거래량")</f>
        <v>4512</v>
      </c>
      <c r="N574" s="2">
        <f>_xll.IMDP("STK",표.실시간[[#This Row],[nxt_code]],"누적거래대금")/10^8</f>
        <v>0.90379949999999998</v>
      </c>
      <c r="O574" s="2">
        <f>_xll.IMDP("STK",표.실시간[[#This Row],[nxt_code]],"가중평균가")</f>
        <v>24021.875</v>
      </c>
      <c r="P574" s="2">
        <f>_xll.IMDP("STK",표.실시간[[#This Row],[nxt_code]],"시가")</f>
        <v>24200</v>
      </c>
      <c r="Q574" s="2">
        <f>_xll.IMDP("STK",표.실시간[[#This Row],[nxt_code]],"고가")</f>
        <v>24200</v>
      </c>
      <c r="R574" s="2">
        <f>_xll.IMDP("STK",표.실시간[[#This Row],[nxt_code]],"저가")</f>
        <v>23850</v>
      </c>
      <c r="S574">
        <f>_xll.IMDP("STK",표.실시간[[#This Row],[nxt_code]],"세션명")</f>
        <v>0</v>
      </c>
      <c r="T574">
        <f>_xll.IMDP("STK",표.실시간[[#This Row],[nxt_code]],"체결시간")</f>
        <v>0</v>
      </c>
      <c r="U574" s="2">
        <f>_xll.IMDP("STK","475560","현재가")</f>
        <v>23900</v>
      </c>
      <c r="V574">
        <f>_xll.IMDP("STK","475560","누적거래량")</f>
        <v>2263</v>
      </c>
    </row>
    <row r="575" spans="2:22" x14ac:dyDescent="0.3">
      <c r="B575">
        <v>567</v>
      </c>
      <c r="C575">
        <v>0</v>
      </c>
      <c r="D575">
        <f>IF(IFERROR(INDEX(표.kospi200[code],MATCH(표.실시간[[#This Row],[코드]],표.kospi200[code],0)),0)=0,0,1)</f>
        <v>0</v>
      </c>
      <c r="E575" t="s">
        <v>580</v>
      </c>
      <c r="F575">
        <v>340570</v>
      </c>
      <c r="G575" t="str">
        <f>ConvertStockCode(표.실시간[[#This Row],[코드]])</f>
        <v>N340570</v>
      </c>
      <c r="H575" s="2">
        <f>_xll.IMDP("STK",표.실시간[[#This Row],[nxt_code]],"현재가")</f>
        <v>56100</v>
      </c>
      <c r="I575" s="2">
        <f>_xll.IMDP("STK",표.실시간[[#This Row],[nxt_code]],"시가총액")/10^12</f>
        <v>0.45598080000000002</v>
      </c>
      <c r="J575" s="2">
        <f>표.실시간[[#This Row],[시가총액 (조원)]]/표.실시간[[#This Row],[현재가]]*(표.실시간[[#This Row],[현재가]]-표.실시간[[#This Row],[대비]])</f>
        <v>0.44785280000000005</v>
      </c>
      <c r="K575" s="3">
        <f>_xll.IMDP("STK",표.실시간[[#This Row],[nxt_code]],"전일대비")</f>
        <v>1000</v>
      </c>
      <c r="L575">
        <f>_xll.IMDP("STK",표.실시간[[#This Row],[nxt_code]],"등락률")</f>
        <v>2</v>
      </c>
      <c r="M575" s="2">
        <f>_xll.IMDP("STK",표.실시간[[#This Row],[nxt_code]],"누적거래량")</f>
        <v>29628</v>
      </c>
      <c r="N575" s="2">
        <f>_xll.IMDP("STK",표.실시간[[#This Row],[nxt_code]],"누적거래대금")/10^8</f>
        <v>16.339777000000002</v>
      </c>
      <c r="O575" s="2">
        <f>_xll.IMDP("STK",표.실시간[[#This Row],[nxt_code]],"가중평균가")</f>
        <v>55149.780613000003</v>
      </c>
      <c r="P575" s="2">
        <f>_xll.IMDP("STK",표.실시간[[#This Row],[nxt_code]],"시가")</f>
        <v>54900</v>
      </c>
      <c r="Q575" s="2">
        <f>_xll.IMDP("STK",표.실시간[[#This Row],[nxt_code]],"고가")</f>
        <v>57200</v>
      </c>
      <c r="R575" s="2">
        <f>_xll.IMDP("STK",표.실시간[[#This Row],[nxt_code]],"저가")</f>
        <v>53600</v>
      </c>
      <c r="S575">
        <f>_xll.IMDP("STK",표.실시간[[#This Row],[nxt_code]],"세션명")</f>
        <v>0</v>
      </c>
      <c r="T575">
        <f>_xll.IMDP("STK",표.실시간[[#This Row],[nxt_code]],"체결시간")</f>
        <v>0</v>
      </c>
      <c r="U575" s="2">
        <f>_xll.IMDP("STK","340570","현재가")</f>
        <v>55900</v>
      </c>
      <c r="V575">
        <f>_xll.IMDP("STK","340570","누적거래량")</f>
        <v>7053</v>
      </c>
    </row>
    <row r="576" spans="2:22" x14ac:dyDescent="0.3">
      <c r="B576">
        <v>568</v>
      </c>
      <c r="C576">
        <v>0</v>
      </c>
      <c r="D576">
        <f>IF(IFERROR(INDEX(표.kospi200[code],MATCH(표.실시간[[#This Row],[코드]],표.kospi200[code],0)),0)=0,0,1)</f>
        <v>0</v>
      </c>
      <c r="E576" t="s">
        <v>581</v>
      </c>
      <c r="F576">
        <v>314930</v>
      </c>
      <c r="G576" t="str">
        <f>ConvertStockCode(표.실시간[[#This Row],[코드]])</f>
        <v>N314930</v>
      </c>
      <c r="H576" s="2">
        <f>_xll.IMDP("STK",표.실시간[[#This Row],[nxt_code]],"현재가")</f>
        <v>13270</v>
      </c>
      <c r="I576" s="2">
        <f>_xll.IMDP("STK",표.실시간[[#This Row],[nxt_code]],"시가총액")/10^12</f>
        <v>0.39496964681000002</v>
      </c>
      <c r="J576" s="2">
        <f>표.실시간[[#This Row],[시가총액 (조원)]]/표.실시간[[#This Row],[현재가]]*(표.실시간[[#This Row],[현재가]]-표.실시간[[#This Row],[대비]])</f>
        <v>0.40925641624999998</v>
      </c>
      <c r="K576" s="3">
        <f>_xll.IMDP("STK",표.실시간[[#This Row],[nxt_code]],"전일대비")</f>
        <v>-480</v>
      </c>
      <c r="L576">
        <f>_xll.IMDP("STK",표.실시간[[#This Row],[nxt_code]],"등락률")</f>
        <v>-3.49</v>
      </c>
      <c r="M576" s="2">
        <f>_xll.IMDP("STK",표.실시간[[#This Row],[nxt_code]],"누적거래량")</f>
        <v>20668</v>
      </c>
      <c r="N576" s="2">
        <f>_xll.IMDP("STK",표.실시간[[#This Row],[nxt_code]],"누적거래대금")/10^8</f>
        <v>2.7530415000000001</v>
      </c>
      <c r="O576" s="2">
        <f>_xll.IMDP("STK",표.실시간[[#This Row],[nxt_code]],"가중평균가")</f>
        <v>13320.309174</v>
      </c>
      <c r="P576" s="2">
        <f>_xll.IMDP("STK",표.실시간[[#This Row],[nxt_code]],"시가")</f>
        <v>13490</v>
      </c>
      <c r="Q576" s="2">
        <f>_xll.IMDP("STK",표.실시간[[#This Row],[nxt_code]],"고가")</f>
        <v>13570</v>
      </c>
      <c r="R576" s="2">
        <f>_xll.IMDP("STK",표.실시간[[#This Row],[nxt_code]],"저가")</f>
        <v>13240</v>
      </c>
      <c r="S576">
        <f>_xll.IMDP("STK",표.실시간[[#This Row],[nxt_code]],"세션명")</f>
        <v>0</v>
      </c>
      <c r="T576">
        <f>_xll.IMDP("STK",표.실시간[[#This Row],[nxt_code]],"체결시간")</f>
        <v>0</v>
      </c>
      <c r="U576" s="2">
        <f>_xll.IMDP("STK","314930","현재가")</f>
        <v>13280</v>
      </c>
      <c r="V576">
        <f>_xll.IMDP("STK","314930","누적거래량")</f>
        <v>15516</v>
      </c>
    </row>
    <row r="577" spans="2:22" x14ac:dyDescent="0.3">
      <c r="B577">
        <v>569</v>
      </c>
      <c r="C577">
        <v>0</v>
      </c>
      <c r="D577">
        <f>IF(IFERROR(INDEX(표.kospi200[code],MATCH(표.실시간[[#This Row],[코드]],표.kospi200[code],0)),0)=0,0,1)</f>
        <v>0</v>
      </c>
      <c r="E577" t="s">
        <v>582</v>
      </c>
      <c r="F577">
        <v>317330</v>
      </c>
      <c r="G577" t="str">
        <f>ConvertStockCode(표.실시간[[#This Row],[코드]])</f>
        <v>N317330</v>
      </c>
      <c r="H577" s="2">
        <f>_xll.IMDP("STK",표.실시간[[#This Row],[nxt_code]],"현재가")</f>
        <v>19680</v>
      </c>
      <c r="I577" s="2">
        <f>_xll.IMDP("STK",표.실시간[[#This Row],[nxt_code]],"시가총액")/10^12</f>
        <v>0.40297917311999998</v>
      </c>
      <c r="J577" s="2">
        <f>표.실시간[[#This Row],[시가총액 (조원)]]/표.실시간[[#This Row],[현재가]]*(표.실시간[[#This Row],[현재가]]-표.실시간[[#This Row],[대비]])</f>
        <v>0.40297917311999998</v>
      </c>
      <c r="K577" s="3">
        <f>_xll.IMDP("STK",표.실시간[[#This Row],[nxt_code]],"전일대비")</f>
        <v>0</v>
      </c>
      <c r="L577">
        <f>_xll.IMDP("STK",표.실시간[[#This Row],[nxt_code]],"등락률")</f>
        <v>0.05</v>
      </c>
      <c r="M577" s="2">
        <f>_xll.IMDP("STK",표.실시간[[#This Row],[nxt_code]],"누적거래량")</f>
        <v>60235</v>
      </c>
      <c r="N577" s="2">
        <f>_xll.IMDP("STK",표.실시간[[#This Row],[nxt_code]],"누적거래대금")/10^8</f>
        <v>11.460506000000001</v>
      </c>
      <c r="O577" s="2">
        <f>_xll.IMDP("STK",표.실시간[[#This Row],[nxt_code]],"가중평균가")</f>
        <v>19026.323565999999</v>
      </c>
      <c r="P577" s="2">
        <f>_xll.IMDP("STK",표.실시간[[#This Row],[nxt_code]],"시가")</f>
        <v>19370</v>
      </c>
      <c r="Q577" s="2">
        <f>_xll.IMDP("STK",표.실시간[[#This Row],[nxt_code]],"고가")</f>
        <v>19680</v>
      </c>
      <c r="R577" s="2">
        <f>_xll.IMDP("STK",표.실시간[[#This Row],[nxt_code]],"저가")</f>
        <v>18810</v>
      </c>
      <c r="S577">
        <f>_xll.IMDP("STK",표.실시간[[#This Row],[nxt_code]],"세션명")</f>
        <v>0</v>
      </c>
      <c r="T577">
        <f>_xll.IMDP("STK",표.실시간[[#This Row],[nxt_code]],"체결시간")</f>
        <v>0</v>
      </c>
      <c r="U577" s="2">
        <f>_xll.IMDP("STK","317330","현재가")</f>
        <v>19650</v>
      </c>
      <c r="V577">
        <f>_xll.IMDP("STK","317330","누적거래량")</f>
        <v>23436</v>
      </c>
    </row>
    <row r="578" spans="2:22" x14ac:dyDescent="0.3">
      <c r="B578">
        <v>570</v>
      </c>
      <c r="C578">
        <v>0</v>
      </c>
      <c r="D578">
        <f>IF(IFERROR(INDEX(표.kospi200[code],MATCH(표.실시간[[#This Row],[코드]],표.kospi200[code],0)),0)=0,0,1)</f>
        <v>0</v>
      </c>
      <c r="E578" t="s">
        <v>583</v>
      </c>
      <c r="F578">
        <v>144510</v>
      </c>
      <c r="G578" t="str">
        <f>ConvertStockCode(표.실시간[[#This Row],[코드]])</f>
        <v>N144510</v>
      </c>
      <c r="H578" s="2">
        <f>_xll.IMDP("STK",표.실시간[[#This Row],[nxt_code]],"현재가")</f>
        <v>25850</v>
      </c>
      <c r="I578" s="2">
        <f>_xll.IMDP("STK",표.실시간[[#This Row],[nxt_code]],"시가총액")/10^12</f>
        <v>0.40843889239999998</v>
      </c>
      <c r="J578" s="2">
        <f>표.실시간[[#This Row],[시가총액 (조원)]]/표.실시간[[#This Row],[현재가]]*(표.실시간[[#This Row],[현재가]]-표.실시간[[#This Row],[대비]])</f>
        <v>0.42344921919999995</v>
      </c>
      <c r="K578" s="3">
        <f>_xll.IMDP("STK",표.실시간[[#This Row],[nxt_code]],"전일대비")</f>
        <v>-950</v>
      </c>
      <c r="L578">
        <f>_xll.IMDP("STK",표.실시간[[#This Row],[nxt_code]],"등락률")</f>
        <v>-3.54</v>
      </c>
      <c r="M578" s="2">
        <f>_xll.IMDP("STK",표.실시간[[#This Row],[nxt_code]],"누적거래량")</f>
        <v>19615</v>
      </c>
      <c r="N578" s="2">
        <f>_xll.IMDP("STK",표.실시간[[#This Row],[nxt_code]],"누적거래대금")/10^8</f>
        <v>5.0275429999999997</v>
      </c>
      <c r="O578" s="2">
        <f>_xll.IMDP("STK",표.실시간[[#This Row],[nxt_code]],"가중평균가")</f>
        <v>25631.113943</v>
      </c>
      <c r="P578" s="2">
        <f>_xll.IMDP("STK",표.실시간[[#This Row],[nxt_code]],"시가")</f>
        <v>26450</v>
      </c>
      <c r="Q578" s="2">
        <f>_xll.IMDP("STK",표.실시간[[#This Row],[nxt_code]],"고가")</f>
        <v>26500</v>
      </c>
      <c r="R578" s="2">
        <f>_xll.IMDP("STK",표.실시간[[#This Row],[nxt_code]],"저가")</f>
        <v>25250</v>
      </c>
      <c r="S578">
        <f>_xll.IMDP("STK",표.실시간[[#This Row],[nxt_code]],"세션명")</f>
        <v>0</v>
      </c>
      <c r="T578">
        <f>_xll.IMDP("STK",표.실시간[[#This Row],[nxt_code]],"체결시간")</f>
        <v>0</v>
      </c>
      <c r="U578" s="2">
        <f>_xll.IMDP("STK","144510","현재가")</f>
        <v>25850</v>
      </c>
      <c r="V578">
        <f>_xll.IMDP("STK","144510","누적거래량")</f>
        <v>5178</v>
      </c>
    </row>
    <row r="579" spans="2:22" x14ac:dyDescent="0.3">
      <c r="B579">
        <v>571</v>
      </c>
      <c r="C579">
        <v>0</v>
      </c>
      <c r="D579">
        <f>IF(IFERROR(INDEX(표.kospi200[code],MATCH(표.실시간[[#This Row],[코드]],표.kospi200[code],0)),0)=0,0,1)</f>
        <v>0</v>
      </c>
      <c r="E579" t="s">
        <v>584</v>
      </c>
      <c r="F579">
        <v>46890</v>
      </c>
      <c r="G579" t="str">
        <f>ConvertStockCode(표.실시간[[#This Row],[코드]])</f>
        <v>N046890</v>
      </c>
      <c r="H579" s="2">
        <f>_xll.IMDP("STK",표.실시간[[#This Row],[nxt_code]],"현재가")</f>
        <v>7440</v>
      </c>
      <c r="I579" s="2">
        <f>_xll.IMDP("STK",표.실시간[[#This Row],[nxt_code]],"시가총액")/10^12</f>
        <v>0.43379217599999997</v>
      </c>
      <c r="J579" s="2">
        <f>표.실시간[[#This Row],[시가총액 (조원)]]/표.실시간[[#This Row],[현재가]]*(표.실시간[[#This Row],[현재가]]-표.실시간[[#This Row],[대비]])</f>
        <v>0.45303295799999999</v>
      </c>
      <c r="K579" s="3">
        <f>_xll.IMDP("STK",표.실시간[[#This Row],[nxt_code]],"전일대비")</f>
        <v>-330</v>
      </c>
      <c r="L579">
        <f>_xll.IMDP("STK",표.실시간[[#This Row],[nxt_code]],"등락률")</f>
        <v>-4.25</v>
      </c>
      <c r="M579" s="2">
        <f>_xll.IMDP("STK",표.실시간[[#This Row],[nxt_code]],"누적거래량")</f>
        <v>53745</v>
      </c>
      <c r="N579" s="2">
        <f>_xll.IMDP("STK",표.실시간[[#This Row],[nxt_code]],"누적거래대금")/10^8</f>
        <v>4.0857890000000001</v>
      </c>
      <c r="O579" s="2">
        <f>_xll.IMDP("STK",표.실시간[[#This Row],[nxt_code]],"가중평균가")</f>
        <v>7602.1750860000002</v>
      </c>
      <c r="P579" s="2">
        <f>_xll.IMDP("STK",표.실시간[[#This Row],[nxt_code]],"시가")</f>
        <v>7840</v>
      </c>
      <c r="Q579" s="2">
        <f>_xll.IMDP("STK",표.실시간[[#This Row],[nxt_code]],"고가")</f>
        <v>7920</v>
      </c>
      <c r="R579" s="2">
        <f>_xll.IMDP("STK",표.실시간[[#This Row],[nxt_code]],"저가")</f>
        <v>7400</v>
      </c>
      <c r="S579">
        <f>_xll.IMDP("STK",표.실시간[[#This Row],[nxt_code]],"세션명")</f>
        <v>0</v>
      </c>
      <c r="T579">
        <f>_xll.IMDP("STK",표.실시간[[#This Row],[nxt_code]],"체결시간")</f>
        <v>0</v>
      </c>
      <c r="U579" s="2">
        <f>_xll.IMDP("STK","046890","현재가")</f>
        <v>7460</v>
      </c>
      <c r="V579">
        <f>_xll.IMDP("STK","046890","누적거래량")</f>
        <v>74045</v>
      </c>
    </row>
    <row r="580" spans="2:22" x14ac:dyDescent="0.3">
      <c r="B580">
        <v>572</v>
      </c>
      <c r="C580">
        <v>0</v>
      </c>
      <c r="D580">
        <f>IF(IFERROR(INDEX(표.kospi200[code],MATCH(표.실시간[[#This Row],[코드]],표.kospi200[code],0)),0)=0,0,1)</f>
        <v>0</v>
      </c>
      <c r="E580" t="s">
        <v>585</v>
      </c>
      <c r="F580">
        <v>419530</v>
      </c>
      <c r="G580" t="str">
        <f>ConvertStockCode(표.실시간[[#This Row],[코드]])</f>
        <v>N419530</v>
      </c>
      <c r="H580" s="2">
        <f>_xll.IMDP("STK",표.실시간[[#This Row],[nxt_code]],"현재가")</f>
        <v>36600</v>
      </c>
      <c r="I580" s="2">
        <f>_xll.IMDP("STK",표.실시간[[#This Row],[nxt_code]],"시가총액")/10^12</f>
        <v>0.35957724899999999</v>
      </c>
      <c r="J580" s="2">
        <f>표.실시간[[#This Row],[시가총액 (조원)]]/표.실시간[[#This Row],[현재가]]*(표.실시간[[#This Row],[현재가]]-표.실시간[[#This Row],[대비]])</f>
        <v>0.36498073225</v>
      </c>
      <c r="K580" s="3">
        <f>_xll.IMDP("STK",표.실시간[[#This Row],[nxt_code]],"전일대비")</f>
        <v>-550</v>
      </c>
      <c r="L580">
        <f>_xll.IMDP("STK",표.실시간[[#This Row],[nxt_code]],"등락률")</f>
        <v>-1.48</v>
      </c>
      <c r="M580" s="2">
        <f>_xll.IMDP("STK",표.실시간[[#This Row],[nxt_code]],"누적거래량")</f>
        <v>22566</v>
      </c>
      <c r="N580" s="2">
        <f>_xll.IMDP("STK",표.실시간[[#This Row],[nxt_code]],"누적거래대금")/10^8</f>
        <v>8.2868645000000001</v>
      </c>
      <c r="O580" s="2">
        <f>_xll.IMDP("STK",표.실시간[[#This Row],[nxt_code]],"가중평균가")</f>
        <v>36722.788709</v>
      </c>
      <c r="P580" s="2">
        <f>_xll.IMDP("STK",표.실시간[[#This Row],[nxt_code]],"시가")</f>
        <v>37500</v>
      </c>
      <c r="Q580" s="2">
        <f>_xll.IMDP("STK",표.실시간[[#This Row],[nxt_code]],"고가")</f>
        <v>37650</v>
      </c>
      <c r="R580" s="2">
        <f>_xll.IMDP("STK",표.실시간[[#This Row],[nxt_code]],"저가")</f>
        <v>36050</v>
      </c>
      <c r="S580">
        <f>_xll.IMDP("STK",표.실시간[[#This Row],[nxt_code]],"세션명")</f>
        <v>0</v>
      </c>
      <c r="T580">
        <f>_xll.IMDP("STK",표.실시간[[#This Row],[nxt_code]],"체결시간")</f>
        <v>0</v>
      </c>
      <c r="U580" s="2">
        <f>_xll.IMDP("STK","419530","현재가")</f>
        <v>36650</v>
      </c>
      <c r="V580">
        <f>_xll.IMDP("STK","419530","누적거래량")</f>
        <v>13356</v>
      </c>
    </row>
    <row r="581" spans="2:22" x14ac:dyDescent="0.3">
      <c r="B581">
        <v>573</v>
      </c>
      <c r="C581">
        <v>0</v>
      </c>
      <c r="D581">
        <f>IF(IFERROR(INDEX(표.kospi200[code],MATCH(표.실시간[[#This Row],[코드]],표.kospi200[code],0)),0)=0,0,1)</f>
        <v>0</v>
      </c>
      <c r="E581" t="s">
        <v>586</v>
      </c>
      <c r="F581">
        <v>403850</v>
      </c>
      <c r="G581" t="str">
        <f>ConvertStockCode(표.실시간[[#This Row],[코드]])</f>
        <v>N403850</v>
      </c>
      <c r="H581" s="2">
        <f>_xll.IMDP("STK",표.실시간[[#This Row],[nxt_code]],"현재가")</f>
        <v>22950</v>
      </c>
      <c r="I581" s="2">
        <f>_xll.IMDP("STK",표.실시간[[#This Row],[nxt_code]],"시가총액")/10^12</f>
        <v>0.3293556795</v>
      </c>
      <c r="J581" s="2">
        <f>표.실시간[[#This Row],[시가총액 (조원)]]/표.실시간[[#This Row],[현재가]]*(표.실시간[[#This Row],[현재가]]-표.실시간[[#This Row],[대비]])</f>
        <v>0.33653118449999997</v>
      </c>
      <c r="K581" s="3">
        <f>_xll.IMDP("STK",표.실시간[[#This Row],[nxt_code]],"전일대비")</f>
        <v>-500</v>
      </c>
      <c r="L581">
        <f>_xll.IMDP("STK",표.실시간[[#This Row],[nxt_code]],"등락률")</f>
        <v>-2.13</v>
      </c>
      <c r="M581" s="2">
        <f>_xll.IMDP("STK",표.실시간[[#This Row],[nxt_code]],"누적거래량")</f>
        <v>15214</v>
      </c>
      <c r="N581" s="2">
        <f>_xll.IMDP("STK",표.실시간[[#This Row],[nxt_code]],"누적거래대금")/10^8</f>
        <v>3.5224709999999999</v>
      </c>
      <c r="O581" s="2">
        <f>_xll.IMDP("STK",표.실시간[[#This Row],[nxt_code]],"가중평균가")</f>
        <v>23152.826344000001</v>
      </c>
      <c r="P581" s="2">
        <f>_xll.IMDP("STK",표.실시간[[#This Row],[nxt_code]],"시가")</f>
        <v>23250</v>
      </c>
      <c r="Q581" s="2">
        <f>_xll.IMDP("STK",표.실시간[[#This Row],[nxt_code]],"고가")</f>
        <v>23450</v>
      </c>
      <c r="R581" s="2">
        <f>_xll.IMDP("STK",표.실시간[[#This Row],[nxt_code]],"저가")</f>
        <v>22850</v>
      </c>
      <c r="S581">
        <f>_xll.IMDP("STK",표.실시간[[#This Row],[nxt_code]],"세션명")</f>
        <v>0</v>
      </c>
      <c r="T581">
        <f>_xll.IMDP("STK",표.실시간[[#This Row],[nxt_code]],"체결시간")</f>
        <v>0</v>
      </c>
      <c r="U581" s="2">
        <f>_xll.IMDP("STK","403850","현재가")</f>
        <v>23000</v>
      </c>
      <c r="V581">
        <f>_xll.IMDP("STK","403850","누적거래량")</f>
        <v>11286</v>
      </c>
    </row>
    <row r="582" spans="2:22" x14ac:dyDescent="0.3">
      <c r="B582">
        <v>574</v>
      </c>
      <c r="C582">
        <v>0</v>
      </c>
      <c r="D582">
        <f>IF(IFERROR(INDEX(표.kospi200[code],MATCH(표.실시간[[#This Row],[코드]],표.kospi200[code],0)),0)=0,0,1)</f>
        <v>0</v>
      </c>
      <c r="E582" t="s">
        <v>587</v>
      </c>
      <c r="F582">
        <v>190510</v>
      </c>
      <c r="G582" t="str">
        <f>ConvertStockCode(표.실시간[[#This Row],[코드]])</f>
        <v>N190510</v>
      </c>
      <c r="H582" s="2">
        <f>_xll.IMDP("STK",표.실시간[[#This Row],[nxt_code]],"현재가")</f>
        <v>23850</v>
      </c>
      <c r="I582" s="2">
        <f>_xll.IMDP("STK",표.실시간[[#This Row],[nxt_code]],"시가총액")/10^12</f>
        <v>0.33498081045</v>
      </c>
      <c r="J582" s="2">
        <f>표.실시간[[#This Row],[시가총액 (조원)]]/표.실시간[[#This Row],[현재가]]*(표.실시간[[#This Row],[현재가]]-표.실시간[[#This Row],[대비]])</f>
        <v>0.35043065914999999</v>
      </c>
      <c r="K582" s="3">
        <f>_xll.IMDP("STK",표.실시간[[#This Row],[nxt_code]],"전일대비")</f>
        <v>-1100</v>
      </c>
      <c r="L582">
        <f>_xll.IMDP("STK",표.실시간[[#This Row],[nxt_code]],"등락률")</f>
        <v>-4.41</v>
      </c>
      <c r="M582" s="2">
        <f>_xll.IMDP("STK",표.실시간[[#This Row],[nxt_code]],"누적거래량")</f>
        <v>54087</v>
      </c>
      <c r="N582" s="2">
        <f>_xll.IMDP("STK",표.실시간[[#This Row],[nxt_code]],"누적거래대금")/10^8</f>
        <v>12.99169925</v>
      </c>
      <c r="O582" s="2">
        <f>_xll.IMDP("STK",표.실시간[[#This Row],[nxt_code]],"가중평균가")</f>
        <v>24020.003420000001</v>
      </c>
      <c r="P582" s="2">
        <f>_xll.IMDP("STK",표.실시간[[#This Row],[nxt_code]],"시가")</f>
        <v>24600</v>
      </c>
      <c r="Q582" s="2">
        <f>_xll.IMDP("STK",표.실시간[[#This Row],[nxt_code]],"고가")</f>
        <v>24700</v>
      </c>
      <c r="R582" s="2">
        <f>_xll.IMDP("STK",표.실시간[[#This Row],[nxt_code]],"저가")</f>
        <v>23600</v>
      </c>
      <c r="S582">
        <f>_xll.IMDP("STK",표.실시간[[#This Row],[nxt_code]],"세션명")</f>
        <v>0</v>
      </c>
      <c r="T582">
        <f>_xll.IMDP("STK",표.실시간[[#This Row],[nxt_code]],"체결시간")</f>
        <v>0</v>
      </c>
      <c r="U582" s="2">
        <f>_xll.IMDP("STK","190510","현재가")</f>
        <v>24000</v>
      </c>
      <c r="V582">
        <f>_xll.IMDP("STK","190510","누적거래량")</f>
        <v>39187</v>
      </c>
    </row>
    <row r="583" spans="2:22" x14ac:dyDescent="0.3">
      <c r="B583">
        <v>575</v>
      </c>
      <c r="C583">
        <v>0</v>
      </c>
      <c r="D583">
        <f>IF(IFERROR(INDEX(표.kospi200[code],MATCH(표.실시간[[#This Row],[코드]],표.kospi200[code],0)),0)=0,0,1)</f>
        <v>0</v>
      </c>
      <c r="E583" t="s">
        <v>588</v>
      </c>
      <c r="F583">
        <v>338840</v>
      </c>
      <c r="G583" t="str">
        <f>ConvertStockCode(표.실시간[[#This Row],[코드]])</f>
        <v>N338840</v>
      </c>
      <c r="H583" s="2">
        <f>_xll.IMDP("STK",표.실시간[[#This Row],[nxt_code]],"현재가")</f>
        <v>23800</v>
      </c>
      <c r="I583" s="2">
        <f>_xll.IMDP("STK",표.실시간[[#This Row],[nxt_code]],"시가총액")/10^12</f>
        <v>0.36123832779999998</v>
      </c>
      <c r="J583" s="2">
        <f>표.실시간[[#This Row],[시가총액 (조원)]]/표.실시간[[#This Row],[현재가]]*(표.실시간[[#This Row],[현재가]]-표.실시간[[#This Row],[대비]])</f>
        <v>0.35896161565000001</v>
      </c>
      <c r="K583" s="3">
        <f>_xll.IMDP("STK",표.실시간[[#This Row],[nxt_code]],"전일대비")</f>
        <v>150</v>
      </c>
      <c r="L583">
        <f>_xll.IMDP("STK",표.실시간[[#This Row],[nxt_code]],"등락률")</f>
        <v>0.63</v>
      </c>
      <c r="M583" s="2">
        <f>_xll.IMDP("STK",표.실시간[[#This Row],[nxt_code]],"누적거래량")</f>
        <v>55255</v>
      </c>
      <c r="N583" s="2">
        <f>_xll.IMDP("STK",표.실시간[[#This Row],[nxt_code]],"누적거래대금")/10^8</f>
        <v>12.557790000000001</v>
      </c>
      <c r="O583" s="2">
        <f>_xll.IMDP("STK",표.실시간[[#This Row],[nxt_code]],"가중평균가")</f>
        <v>22726.974934000002</v>
      </c>
      <c r="P583" s="2">
        <f>_xll.IMDP("STK",표.실시간[[#This Row],[nxt_code]],"시가")</f>
        <v>23400</v>
      </c>
      <c r="Q583" s="2">
        <f>_xll.IMDP("STK",표.실시간[[#This Row],[nxt_code]],"고가")</f>
        <v>23950</v>
      </c>
      <c r="R583" s="2">
        <f>_xll.IMDP("STK",표.실시간[[#This Row],[nxt_code]],"저가")</f>
        <v>22000</v>
      </c>
      <c r="S583">
        <f>_xll.IMDP("STK",표.실시간[[#This Row],[nxt_code]],"세션명")</f>
        <v>0</v>
      </c>
      <c r="T583">
        <f>_xll.IMDP("STK",표.실시간[[#This Row],[nxt_code]],"체결시간")</f>
        <v>0</v>
      </c>
      <c r="U583" s="2">
        <f>_xll.IMDP("STK","338840","현재가")</f>
        <v>23700</v>
      </c>
      <c r="V583">
        <f>_xll.IMDP("STK","338840","누적거래량")</f>
        <v>19811</v>
      </c>
    </row>
    <row r="584" spans="2:22" x14ac:dyDescent="0.3">
      <c r="B584">
        <v>576</v>
      </c>
      <c r="C584">
        <v>1</v>
      </c>
      <c r="D584">
        <f>IF(IFERROR(INDEX(표.kospi200[code],MATCH(표.실시간[[#This Row],[코드]],표.kospi200[code],0)),0)=0,0,1)</f>
        <v>0</v>
      </c>
      <c r="E584" t="s">
        <v>589</v>
      </c>
      <c r="F584">
        <v>34120</v>
      </c>
      <c r="G584" t="str">
        <f>ConvertStockCode(표.실시간[[#This Row],[코드]])</f>
        <v>N034120</v>
      </c>
      <c r="H584" s="2">
        <f>_xll.IMDP("STK",표.실시간[[#This Row],[nxt_code]],"현재가")</f>
        <v>18470</v>
      </c>
      <c r="I584" s="2">
        <f>_xll.IMDP("STK",표.실시간[[#This Row],[nxt_code]],"시가총액")/10^12</f>
        <v>0.34264136585999999</v>
      </c>
      <c r="J584" s="2">
        <f>표.실시간[[#This Row],[시가총액 (조원)]]/표.실시간[[#This Row],[현재가]]*(표.실시간[[#This Row],[현재가]]-표.실시간[[#This Row],[대비]])</f>
        <v>0.34449648966000002</v>
      </c>
      <c r="K584" s="3">
        <f>_xll.IMDP("STK",표.실시간[[#This Row],[nxt_code]],"전일대비")</f>
        <v>-100</v>
      </c>
      <c r="L584">
        <f>_xll.IMDP("STK",표.실시간[[#This Row],[nxt_code]],"등락률")</f>
        <v>-0.54</v>
      </c>
      <c r="M584" s="2">
        <f>_xll.IMDP("STK",표.실시간[[#This Row],[nxt_code]],"누적거래량")</f>
        <v>1285</v>
      </c>
      <c r="N584" s="2">
        <f>_xll.IMDP("STK",표.실시간[[#This Row],[nxt_code]],"누적거래대금")/10^8</f>
        <v>0.23764080000000001</v>
      </c>
      <c r="O584" s="2">
        <f>_xll.IMDP("STK",표.실시간[[#This Row],[nxt_code]],"가중평균가")</f>
        <v>18493.447470999999</v>
      </c>
      <c r="P584" s="2">
        <f>_xll.IMDP("STK",표.실시간[[#This Row],[nxt_code]],"시가")</f>
        <v>18600</v>
      </c>
      <c r="Q584" s="2">
        <f>_xll.IMDP("STK",표.실시간[[#This Row],[nxt_code]],"고가")</f>
        <v>18600</v>
      </c>
      <c r="R584" s="2">
        <f>_xll.IMDP("STK",표.실시간[[#This Row],[nxt_code]],"저가")</f>
        <v>18470</v>
      </c>
      <c r="S584">
        <f>_xll.IMDP("STK",표.실시간[[#This Row],[nxt_code]],"세션명")</f>
        <v>0</v>
      </c>
      <c r="T584">
        <f>_xll.IMDP("STK",표.실시간[[#This Row],[nxt_code]],"체결시간")</f>
        <v>0</v>
      </c>
      <c r="U584" s="2">
        <f>_xll.IMDP("STK","034120","현재가")</f>
        <v>18430</v>
      </c>
      <c r="V584">
        <f>_xll.IMDP("STK","034120","누적거래량")</f>
        <v>940</v>
      </c>
    </row>
    <row r="585" spans="2:22" x14ac:dyDescent="0.3">
      <c r="B585">
        <v>577</v>
      </c>
      <c r="C585">
        <v>0</v>
      </c>
      <c r="D585">
        <f>IF(IFERROR(INDEX(표.kospi200[code],MATCH(표.실시간[[#This Row],[코드]],표.kospi200[code],0)),0)=0,0,1)</f>
        <v>0</v>
      </c>
      <c r="E585" t="s">
        <v>590</v>
      </c>
      <c r="F585">
        <v>168360</v>
      </c>
      <c r="G585" t="str">
        <f>ConvertStockCode(표.실시간[[#This Row],[코드]])</f>
        <v>N168360</v>
      </c>
      <c r="H585" s="2">
        <f>_xll.IMDP("STK",표.실시간[[#This Row],[nxt_code]],"현재가")</f>
        <v>18830</v>
      </c>
      <c r="I585" s="2">
        <f>_xll.IMDP("STK",표.실시간[[#This Row],[nxt_code]],"시가총액")/10^12</f>
        <v>0.40085838771999999</v>
      </c>
      <c r="J585" s="2">
        <f>표.실시간[[#This Row],[시가총액 (조원)]]/표.실시간[[#This Row],[현재가]]*(표.실시간[[#This Row],[현재가]]-표.실시간[[#This Row],[대비]])</f>
        <v>0.40000685636</v>
      </c>
      <c r="K585" s="3">
        <f>_xll.IMDP("STK",표.실시간[[#This Row],[nxt_code]],"전일대비")</f>
        <v>40</v>
      </c>
      <c r="L585">
        <f>_xll.IMDP("STK",표.실시간[[#This Row],[nxt_code]],"등락률")</f>
        <v>0.21</v>
      </c>
      <c r="M585" s="2">
        <f>_xll.IMDP("STK",표.실시간[[#This Row],[nxt_code]],"누적거래량")</f>
        <v>74424</v>
      </c>
      <c r="N585" s="2">
        <f>_xll.IMDP("STK",표.실시간[[#This Row],[nxt_code]],"누적거래대금")/10^8</f>
        <v>13.964268799999999</v>
      </c>
      <c r="O585" s="2">
        <f>_xll.IMDP("STK",표.실시간[[#This Row],[nxt_code]],"가중평균가")</f>
        <v>18763.125873000001</v>
      </c>
      <c r="P585" s="2">
        <f>_xll.IMDP("STK",표.실시간[[#This Row],[nxt_code]],"시가")</f>
        <v>18660</v>
      </c>
      <c r="Q585" s="2">
        <f>_xll.IMDP("STK",표.실시간[[#This Row],[nxt_code]],"고가")</f>
        <v>19600</v>
      </c>
      <c r="R585" s="2">
        <f>_xll.IMDP("STK",표.실시간[[#This Row],[nxt_code]],"저가")</f>
        <v>17790</v>
      </c>
      <c r="S585">
        <f>_xll.IMDP("STK",표.실시간[[#This Row],[nxt_code]],"세션명")</f>
        <v>0</v>
      </c>
      <c r="T585">
        <f>_xll.IMDP("STK",표.실시간[[#This Row],[nxt_code]],"체결시간")</f>
        <v>0</v>
      </c>
      <c r="U585" s="2">
        <f>_xll.IMDP("STK","168360","현재가")</f>
        <v>18960</v>
      </c>
      <c r="V585">
        <f>_xll.IMDP("STK","168360","누적거래량")</f>
        <v>20300</v>
      </c>
    </row>
    <row r="586" spans="2:22" x14ac:dyDescent="0.3">
      <c r="B586">
        <v>578</v>
      </c>
      <c r="C586">
        <v>0</v>
      </c>
      <c r="D586">
        <f>IF(IFERROR(INDEX(표.kospi200[code],MATCH(표.실시간[[#This Row],[코드]],표.kospi200[code],0)),0)=0,0,1)</f>
        <v>0</v>
      </c>
      <c r="E586" t="s">
        <v>591</v>
      </c>
      <c r="F586">
        <v>110990</v>
      </c>
      <c r="G586" t="str">
        <f>ConvertStockCode(표.실시간[[#This Row],[코드]])</f>
        <v>N110990</v>
      </c>
      <c r="H586" s="2">
        <f>_xll.IMDP("STK",표.실시간[[#This Row],[nxt_code]],"현재가")</f>
        <v>22350</v>
      </c>
      <c r="I586" s="2">
        <f>_xll.IMDP("STK",표.실시간[[#This Row],[nxt_code]],"시가총액")/10^12</f>
        <v>0.42241499999999998</v>
      </c>
      <c r="J586" s="2">
        <f>표.실시간[[#This Row],[시가총액 (조원)]]/표.실시간[[#This Row],[현재가]]*(표.실시간[[#This Row],[현재가]]-표.실시간[[#This Row],[대비]])</f>
        <v>0.41390999999999994</v>
      </c>
      <c r="K586" s="3">
        <f>_xll.IMDP("STK",표.실시간[[#This Row],[nxt_code]],"전일대비")</f>
        <v>450</v>
      </c>
      <c r="L586">
        <f>_xll.IMDP("STK",표.실시간[[#This Row],[nxt_code]],"등락률")</f>
        <v>2.0499999999999998</v>
      </c>
      <c r="M586" s="2">
        <f>_xll.IMDP("STK",표.실시간[[#This Row],[nxt_code]],"누적거래량")</f>
        <v>111288</v>
      </c>
      <c r="N586" s="2">
        <f>_xll.IMDP("STK",표.실시간[[#This Row],[nxt_code]],"누적거래대금")/10^8</f>
        <v>24.409551</v>
      </c>
      <c r="O586" s="2">
        <f>_xll.IMDP("STK",표.실시간[[#This Row],[nxt_code]],"가중평균가")</f>
        <v>21933.677485</v>
      </c>
      <c r="P586" s="2">
        <f>_xll.IMDP("STK",표.실시간[[#This Row],[nxt_code]],"시가")</f>
        <v>21100</v>
      </c>
      <c r="Q586" s="2">
        <f>_xll.IMDP("STK",표.실시간[[#This Row],[nxt_code]],"고가")</f>
        <v>22700</v>
      </c>
      <c r="R586" s="2">
        <f>_xll.IMDP("STK",표.실시간[[#This Row],[nxt_code]],"저가")</f>
        <v>21100</v>
      </c>
      <c r="S586">
        <f>_xll.IMDP("STK",표.실시간[[#This Row],[nxt_code]],"세션명")</f>
        <v>0</v>
      </c>
      <c r="T586">
        <f>_xll.IMDP("STK",표.실시간[[#This Row],[nxt_code]],"체결시간")</f>
        <v>0</v>
      </c>
      <c r="U586" s="2">
        <f>_xll.IMDP("STK","110990","현재가")</f>
        <v>22350</v>
      </c>
      <c r="V586">
        <f>_xll.IMDP("STK","110990","누적거래량")</f>
        <v>44552</v>
      </c>
    </row>
    <row r="587" spans="2:22" x14ac:dyDescent="0.3">
      <c r="B587">
        <v>579</v>
      </c>
      <c r="C587">
        <v>1</v>
      </c>
      <c r="D587">
        <f>IF(IFERROR(INDEX(표.kospi200[code],MATCH(표.실시간[[#This Row],[코드]],표.kospi200[code],0)),0)=0,0,1)</f>
        <v>0</v>
      </c>
      <c r="E587" t="s">
        <v>592</v>
      </c>
      <c r="F587">
        <v>20000</v>
      </c>
      <c r="G587" t="str">
        <f>ConvertStockCode(표.실시간[[#This Row],[코드]])</f>
        <v>N020000</v>
      </c>
      <c r="H587" s="2">
        <f>_xll.IMDP("STK",표.실시간[[#This Row],[nxt_code]],"현재가")</f>
        <v>18680</v>
      </c>
      <c r="I587" s="2">
        <f>_xll.IMDP("STK",표.실시간[[#This Row],[nxt_code]],"시가총액")/10^12</f>
        <v>0.41913711395999997</v>
      </c>
      <c r="J587" s="2">
        <f>표.실시간[[#This Row],[시가총액 (조원)]]/표.실시간[[#This Row],[현재가]]*(표.실시간[[#This Row],[현재가]]-표.실시간[[#This Row],[대비]])</f>
        <v>0.41801522660999996</v>
      </c>
      <c r="K587" s="3">
        <f>_xll.IMDP("STK",표.실시간[[#This Row],[nxt_code]],"전일대비")</f>
        <v>50</v>
      </c>
      <c r="L587">
        <f>_xll.IMDP("STK",표.실시간[[#This Row],[nxt_code]],"등락률")</f>
        <v>0.48</v>
      </c>
      <c r="M587" s="2">
        <f>_xll.IMDP("STK",표.실시간[[#This Row],[nxt_code]],"누적거래량")</f>
        <v>10880</v>
      </c>
      <c r="N587" s="2">
        <f>_xll.IMDP("STK",표.실시간[[#This Row],[nxt_code]],"누적거래대금")/10^8</f>
        <v>1.9805877000000001</v>
      </c>
      <c r="O587" s="2">
        <f>_xll.IMDP("STK",표.실시간[[#This Row],[nxt_code]],"가중평균가")</f>
        <v>18203.931066000001</v>
      </c>
      <c r="P587" s="2">
        <f>_xll.IMDP("STK",표.실시간[[#This Row],[nxt_code]],"시가")</f>
        <v>18400</v>
      </c>
      <c r="Q587" s="2">
        <f>_xll.IMDP("STK",표.실시간[[#This Row],[nxt_code]],"고가")</f>
        <v>18680</v>
      </c>
      <c r="R587" s="2">
        <f>_xll.IMDP("STK",표.실시간[[#This Row],[nxt_code]],"저가")</f>
        <v>17990</v>
      </c>
      <c r="S587">
        <f>_xll.IMDP("STK",표.실시간[[#This Row],[nxt_code]],"세션명")</f>
        <v>0</v>
      </c>
      <c r="T587">
        <f>_xll.IMDP("STK",표.실시간[[#This Row],[nxt_code]],"체결시간")</f>
        <v>0</v>
      </c>
      <c r="U587" s="2">
        <f>_xll.IMDP("STK","020000","현재가")</f>
        <v>18670</v>
      </c>
      <c r="V587">
        <f>_xll.IMDP("STK","020000","누적거래량")</f>
        <v>15771</v>
      </c>
    </row>
    <row r="588" spans="2:22" x14ac:dyDescent="0.3">
      <c r="B588">
        <v>580</v>
      </c>
      <c r="C588">
        <v>1</v>
      </c>
      <c r="D588">
        <f>IF(IFERROR(INDEX(표.kospi200[code],MATCH(표.실시간[[#This Row],[코드]],표.kospi200[code],0)),0)=0,0,1)</f>
        <v>0</v>
      </c>
      <c r="E588" t="s">
        <v>593</v>
      </c>
      <c r="F588">
        <v>8060</v>
      </c>
      <c r="G588" t="str">
        <f>ConvertStockCode(표.실시간[[#This Row],[코드]])</f>
        <v>N008060</v>
      </c>
      <c r="H588" s="2">
        <f>_xll.IMDP("STK",표.실시간[[#This Row],[nxt_code]],"현재가")</f>
        <v>11090</v>
      </c>
      <c r="I588" s="2">
        <f>_xll.IMDP("STK",표.실시간[[#This Row],[nxt_code]],"시가총액")/10^12</f>
        <v>0.37584176349999998</v>
      </c>
      <c r="J588" s="2">
        <f>표.실시간[[#This Row],[시가총액 (조원)]]/표.실시간[[#This Row],[현재가]]*(표.실시간[[#This Row],[현재가]]-표.실시간[[#This Row],[대비]])</f>
        <v>0.372113847</v>
      </c>
      <c r="K588" s="3">
        <f>_xll.IMDP("STK",표.실시간[[#This Row],[nxt_code]],"전일대비")</f>
        <v>110</v>
      </c>
      <c r="L588">
        <f>_xll.IMDP("STK",표.실시간[[#This Row],[nxt_code]],"등락률")</f>
        <v>1</v>
      </c>
      <c r="M588" s="2">
        <f>_xll.IMDP("STK",표.실시간[[#This Row],[nxt_code]],"누적거래량")</f>
        <v>17881</v>
      </c>
      <c r="N588" s="2">
        <f>_xll.IMDP("STK",표.실시간[[#This Row],[nxt_code]],"누적거래대금")/10^8</f>
        <v>1.9374191999999999</v>
      </c>
      <c r="O588" s="2">
        <f>_xll.IMDP("STK",표.실시간[[#This Row],[nxt_code]],"가중평균가")</f>
        <v>10835.071864</v>
      </c>
      <c r="P588" s="2">
        <f>_xll.IMDP("STK",표.실시간[[#This Row],[nxt_code]],"시가")</f>
        <v>10980</v>
      </c>
      <c r="Q588" s="2">
        <f>_xll.IMDP("STK",표.실시간[[#This Row],[nxt_code]],"고가")</f>
        <v>11090</v>
      </c>
      <c r="R588" s="2">
        <f>_xll.IMDP("STK",표.실시간[[#This Row],[nxt_code]],"저가")</f>
        <v>10700</v>
      </c>
      <c r="S588">
        <f>_xll.IMDP("STK",표.실시간[[#This Row],[nxt_code]],"세션명")</f>
        <v>0</v>
      </c>
      <c r="T588">
        <f>_xll.IMDP("STK",표.실시간[[#This Row],[nxt_code]],"체결시간")</f>
        <v>0</v>
      </c>
      <c r="U588" s="2">
        <f>_xll.IMDP("STK","008060","현재가")</f>
        <v>11090</v>
      </c>
      <c r="V588">
        <f>_xll.IMDP("STK","008060","누적거래량")</f>
        <v>13121</v>
      </c>
    </row>
    <row r="589" spans="2:22" x14ac:dyDescent="0.3">
      <c r="B589">
        <v>581</v>
      </c>
      <c r="C589">
        <v>1</v>
      </c>
      <c r="D589">
        <f>IF(IFERROR(INDEX(표.kospi200[code],MATCH(표.실시간[[#This Row],[코드]],표.kospi200[code],0)),0)=0,0,1)</f>
        <v>0</v>
      </c>
      <c r="E589" t="s">
        <v>594</v>
      </c>
      <c r="F589">
        <v>7690</v>
      </c>
      <c r="G589" t="str">
        <f>ConvertStockCode(표.실시간[[#This Row],[코드]])</f>
        <v>N007690</v>
      </c>
      <c r="H589" s="2">
        <f>_xll.IMDP("STK",표.실시간[[#This Row],[nxt_code]],"현재가")</f>
        <v>36000</v>
      </c>
      <c r="I589" s="2">
        <f>_xll.IMDP("STK",표.실시간[[#This Row],[nxt_code]],"시가총액")/10^12</f>
        <v>0.33338995199999999</v>
      </c>
      <c r="J589" s="2">
        <f>표.실시간[[#This Row],[시가총액 (조원)]]/표.실시간[[#This Row],[현재가]]*(표.실시간[[#This Row],[현재가]]-표.실시간[[#This Row],[대비]])</f>
        <v>0.33940949279999999</v>
      </c>
      <c r="K589" s="3">
        <f>_xll.IMDP("STK",표.실시간[[#This Row],[nxt_code]],"전일대비")</f>
        <v>-650</v>
      </c>
      <c r="L589">
        <f>_xll.IMDP("STK",표.실시간[[#This Row],[nxt_code]],"등락률")</f>
        <v>-1.77</v>
      </c>
      <c r="M589" s="2">
        <f>_xll.IMDP("STK",표.실시간[[#This Row],[nxt_code]],"누적거래량")</f>
        <v>2199</v>
      </c>
      <c r="N589" s="2">
        <f>_xll.IMDP("STK",표.실시간[[#This Row],[nxt_code]],"누적거래대금")/10^8</f>
        <v>0.79652500000000004</v>
      </c>
      <c r="O589" s="2">
        <f>_xll.IMDP("STK",표.실시간[[#This Row],[nxt_code]],"가중평균가")</f>
        <v>36222.146430000001</v>
      </c>
      <c r="P589" s="2">
        <f>_xll.IMDP("STK",표.실시간[[#This Row],[nxt_code]],"시가")</f>
        <v>36550</v>
      </c>
      <c r="Q589" s="2">
        <f>_xll.IMDP("STK",표.실시간[[#This Row],[nxt_code]],"고가")</f>
        <v>36600</v>
      </c>
      <c r="R589" s="2">
        <f>_xll.IMDP("STK",표.실시간[[#This Row],[nxt_code]],"저가")</f>
        <v>35600</v>
      </c>
      <c r="S589">
        <f>_xll.IMDP("STK",표.실시간[[#This Row],[nxt_code]],"세션명")</f>
        <v>0</v>
      </c>
      <c r="T589">
        <f>_xll.IMDP("STK",표.실시간[[#This Row],[nxt_code]],"체결시간")</f>
        <v>0</v>
      </c>
      <c r="U589" s="2">
        <f>_xll.IMDP("STK","007690","현재가")</f>
        <v>35850</v>
      </c>
      <c r="V589">
        <f>_xll.IMDP("STK","007690","누적거래량")</f>
        <v>1609</v>
      </c>
    </row>
    <row r="590" spans="2:22" x14ac:dyDescent="0.3">
      <c r="B590">
        <v>582</v>
      </c>
      <c r="C590">
        <v>1</v>
      </c>
      <c r="D590">
        <f>IF(IFERROR(INDEX(표.kospi200[code],MATCH(표.실시간[[#This Row],[코드]],표.kospi200[code],0)),0)=0,0,1)</f>
        <v>0</v>
      </c>
      <c r="E590" t="s">
        <v>595</v>
      </c>
      <c r="F590">
        <v>84690</v>
      </c>
      <c r="G590" t="str">
        <f>ConvertStockCode(표.실시간[[#This Row],[코드]])</f>
        <v>N084690</v>
      </c>
      <c r="H590" s="2">
        <f>_xll.IMDP("STK",표.실시간[[#This Row],[nxt_code]],"현재가")</f>
        <v>9800</v>
      </c>
      <c r="I590" s="2">
        <f>_xll.IMDP("STK",표.실시간[[#This Row],[nxt_code]],"시가총액")/10^12</f>
        <v>0.35488287239999999</v>
      </c>
      <c r="J590" s="2">
        <f>표.실시간[[#This Row],[시가총액 (조원)]]/표.실시간[[#This Row],[현재가]]*(표.실시간[[#This Row],[현재가]]-표.실시간[[#This Row],[대비]])</f>
        <v>0.35053736783999995</v>
      </c>
      <c r="K590" s="3">
        <f>_xll.IMDP("STK",표.실시간[[#This Row],[nxt_code]],"전일대비")</f>
        <v>120</v>
      </c>
      <c r="L590">
        <f>_xll.IMDP("STK",표.실시간[[#This Row],[nxt_code]],"등락률")</f>
        <v>1.34</v>
      </c>
      <c r="M590" s="2">
        <f>_xll.IMDP("STK",표.실시간[[#This Row],[nxt_code]],"누적거래량")</f>
        <v>105350</v>
      </c>
      <c r="N590" s="2">
        <f>_xll.IMDP("STK",표.실시간[[#This Row],[nxt_code]],"누적거래대금")/10^8</f>
        <v>10.4143741</v>
      </c>
      <c r="O590" s="2">
        <f>_xll.IMDP("STK",표.실시간[[#This Row],[nxt_code]],"가중평균가")</f>
        <v>9885.4998579999992</v>
      </c>
      <c r="P590" s="2">
        <f>_xll.IMDP("STK",표.실시간[[#This Row],[nxt_code]],"시가")</f>
        <v>9870</v>
      </c>
      <c r="Q590" s="2">
        <f>_xll.IMDP("STK",표.실시간[[#This Row],[nxt_code]],"고가")</f>
        <v>10080</v>
      </c>
      <c r="R590" s="2">
        <f>_xll.IMDP("STK",표.실시간[[#This Row],[nxt_code]],"저가")</f>
        <v>9690</v>
      </c>
      <c r="S590">
        <f>_xll.IMDP("STK",표.실시간[[#This Row],[nxt_code]],"세션명")</f>
        <v>0</v>
      </c>
      <c r="T590">
        <f>_xll.IMDP("STK",표.실시간[[#This Row],[nxt_code]],"체결시간")</f>
        <v>0</v>
      </c>
      <c r="U590" s="2">
        <f>_xll.IMDP("STK","084690","현재가")</f>
        <v>9810</v>
      </c>
      <c r="V590">
        <f>_xll.IMDP("STK","084690","누적거래량")</f>
        <v>26456</v>
      </c>
    </row>
    <row r="591" spans="2:22" x14ac:dyDescent="0.3">
      <c r="B591">
        <v>583</v>
      </c>
      <c r="C591">
        <v>0</v>
      </c>
      <c r="D591">
        <f>IF(IFERROR(INDEX(표.kospi200[code],MATCH(표.실시간[[#This Row],[코드]],표.kospi200[code],0)),0)=0,0,1)</f>
        <v>0</v>
      </c>
      <c r="E591" t="s">
        <v>596</v>
      </c>
      <c r="F591">
        <v>481070</v>
      </c>
      <c r="G591" t="str">
        <f>ConvertStockCode(표.실시간[[#This Row],[코드]])</f>
        <v>N481070</v>
      </c>
      <c r="H591" s="2">
        <f>_xll.IMDP("STK",표.실시간[[#This Row],[nxt_code]],"현재가")</f>
        <v>27500</v>
      </c>
      <c r="I591" s="2">
        <f>_xll.IMDP("STK",표.실시간[[#This Row],[nxt_code]],"시가총액")/10^12</f>
        <v>0.38940000000000002</v>
      </c>
      <c r="J591" s="2">
        <f>표.실시간[[#This Row],[시가총액 (조원)]]/표.실시간[[#This Row],[현재가]]*(표.실시간[[#This Row],[현재가]]-표.실시간[[#This Row],[대비]])</f>
        <v>0.38586000000000004</v>
      </c>
      <c r="K591" s="3">
        <f>_xll.IMDP("STK",표.실시간[[#This Row],[nxt_code]],"전일대비")</f>
        <v>250</v>
      </c>
      <c r="L591">
        <f>_xll.IMDP("STK",표.실시간[[#This Row],[nxt_code]],"등락률")</f>
        <v>0.36</v>
      </c>
      <c r="M591" s="2">
        <f>_xll.IMDP("STK",표.실시간[[#This Row],[nxt_code]],"누적거래량")</f>
        <v>4415</v>
      </c>
      <c r="N591" s="2">
        <f>_xll.IMDP("STK",표.실시간[[#This Row],[nxt_code]],"누적거래대금")/10^8</f>
        <v>1.2074695</v>
      </c>
      <c r="O591" s="2">
        <f>_xll.IMDP("STK",표.실시간[[#This Row],[nxt_code]],"가중평균가")</f>
        <v>27134.146067000001</v>
      </c>
      <c r="P591" s="2">
        <f>_xll.IMDP("STK",표.실시간[[#This Row],[nxt_code]],"시가")</f>
        <v>26500</v>
      </c>
      <c r="Q591" s="2">
        <f>_xll.IMDP("STK",표.실시간[[#This Row],[nxt_code]],"고가")</f>
        <v>28300</v>
      </c>
      <c r="R591" s="2">
        <f>_xll.IMDP("STK",표.실시간[[#This Row],[nxt_code]],"저가")</f>
        <v>25000</v>
      </c>
      <c r="S591">
        <f>_xll.IMDP("STK",표.실시간[[#This Row],[nxt_code]],"세션명")</f>
        <v>0</v>
      </c>
      <c r="T591">
        <f>_xll.IMDP("STK",표.실시간[[#This Row],[nxt_code]],"체결시간")</f>
        <v>0</v>
      </c>
      <c r="U591" s="2">
        <f>_xll.IMDP("STK","481070","현재가")</f>
        <v>27500</v>
      </c>
      <c r="V591">
        <f>_xll.IMDP("STK","481070","누적거래량")</f>
        <v>1714</v>
      </c>
    </row>
    <row r="592" spans="2:22" x14ac:dyDescent="0.3">
      <c r="B592">
        <v>584</v>
      </c>
      <c r="C592">
        <v>1</v>
      </c>
      <c r="D592">
        <f>IF(IFERROR(INDEX(표.kospi200[code],MATCH(표.실시간[[#This Row],[코드]],표.kospi200[code],0)),0)=0,0,1)</f>
        <v>0</v>
      </c>
      <c r="E592" t="s">
        <v>597</v>
      </c>
      <c r="F592">
        <v>306200</v>
      </c>
      <c r="G592" t="str">
        <f>ConvertStockCode(표.실시간[[#This Row],[코드]])</f>
        <v>N306200</v>
      </c>
      <c r="H592" s="2">
        <f>_xll.IMDP("STK",표.실시간[[#This Row],[nxt_code]],"현재가")</f>
        <v>117600</v>
      </c>
      <c r="I592" s="2">
        <f>_xll.IMDP("STK",표.실시간[[#This Row],[nxt_code]],"시가총액")/10^12</f>
        <v>0.33354887999999999</v>
      </c>
      <c r="J592" s="2">
        <f>표.실시간[[#This Row],[시가총액 (조원)]]/표.실시간[[#This Row],[현재가]]*(표.실시간[[#This Row],[현재가]]-표.실시간[[#This Row],[대비]])</f>
        <v>0.34290866999999997</v>
      </c>
      <c r="K592" s="3">
        <f>_xll.IMDP("STK",표.실시간[[#This Row],[nxt_code]],"전일대비")</f>
        <v>-3300</v>
      </c>
      <c r="L592">
        <f>_xll.IMDP("STK",표.실시간[[#This Row],[nxt_code]],"등락률")</f>
        <v>-2.73</v>
      </c>
      <c r="M592" s="2">
        <f>_xll.IMDP("STK",표.실시간[[#This Row],[nxt_code]],"누적거래량")</f>
        <v>1568</v>
      </c>
      <c r="N592" s="2">
        <f>_xll.IMDP("STK",표.실시간[[#This Row],[nxt_code]],"누적거래대금")/10^8</f>
        <v>1.858614</v>
      </c>
      <c r="O592" s="2">
        <f>_xll.IMDP("STK",표.실시간[[#This Row],[nxt_code]],"가중평균가")</f>
        <v>118534.05612199999</v>
      </c>
      <c r="P592" s="2">
        <f>_xll.IMDP("STK",표.실시간[[#This Row],[nxt_code]],"시가")</f>
        <v>120000</v>
      </c>
      <c r="Q592" s="2">
        <f>_xll.IMDP("STK",표.실시간[[#This Row],[nxt_code]],"고가")</f>
        <v>120000</v>
      </c>
      <c r="R592" s="2">
        <f>_xll.IMDP("STK",표.실시간[[#This Row],[nxt_code]],"저가")</f>
        <v>116700</v>
      </c>
      <c r="S592">
        <f>_xll.IMDP("STK",표.실시간[[#This Row],[nxt_code]],"세션명")</f>
        <v>0</v>
      </c>
      <c r="T592">
        <f>_xll.IMDP("STK",표.실시간[[#This Row],[nxt_code]],"체결시간")</f>
        <v>0</v>
      </c>
      <c r="U592" s="2">
        <f>_xll.IMDP("STK","306200","현재가")</f>
        <v>117500</v>
      </c>
      <c r="V592">
        <f>_xll.IMDP("STK","306200","누적거래량")</f>
        <v>1456</v>
      </c>
    </row>
    <row r="593" spans="2:22" x14ac:dyDescent="0.3">
      <c r="B593">
        <v>585</v>
      </c>
      <c r="C593">
        <v>1</v>
      </c>
      <c r="D593">
        <f>IF(IFERROR(INDEX(표.kospi200[code],MATCH(표.실시간[[#This Row],[코드]],표.kospi200[code],0)),0)=0,0,1)</f>
        <v>0</v>
      </c>
      <c r="E593" t="s">
        <v>598</v>
      </c>
      <c r="F593">
        <v>18250</v>
      </c>
      <c r="G593" t="str">
        <f>ConvertStockCode(표.실시간[[#This Row],[코드]])</f>
        <v>N018250</v>
      </c>
      <c r="H593" s="2">
        <f>_xll.IMDP("STK",표.실시간[[#This Row],[nxt_code]],"현재가")</f>
        <v>12440</v>
      </c>
      <c r="I593" s="2">
        <f>_xll.IMDP("STK",표.실시간[[#This Row],[nxt_code]],"시가총액")/10^12</f>
        <v>0.3285395914</v>
      </c>
      <c r="J593" s="2">
        <f>표.실시간[[#This Row],[시가총액 (조원)]]/표.실시간[[#This Row],[현재가]]*(표.실시간[[#This Row],[현재가]]-표.실시간[[#This Row],[대비]])</f>
        <v>0.33197288294999999</v>
      </c>
      <c r="K593" s="3">
        <f>_xll.IMDP("STK",표.실시간[[#This Row],[nxt_code]],"전일대비")</f>
        <v>-130</v>
      </c>
      <c r="L593">
        <f>_xll.IMDP("STK",표.실시간[[#This Row],[nxt_code]],"등락률")</f>
        <v>-1.03</v>
      </c>
      <c r="M593" s="2">
        <f>_xll.IMDP("STK",표.실시간[[#This Row],[nxt_code]],"누적거래량")</f>
        <v>5511</v>
      </c>
      <c r="N593" s="2">
        <f>_xll.IMDP("STK",표.실시간[[#This Row],[nxt_code]],"누적거래대금")/10^8</f>
        <v>0.68663510000000005</v>
      </c>
      <c r="O593" s="2">
        <f>_xll.IMDP("STK",표.실시간[[#This Row],[nxt_code]],"가중평균가")</f>
        <v>12459.355834</v>
      </c>
      <c r="P593" s="2">
        <f>_xll.IMDP("STK",표.실시간[[#This Row],[nxt_code]],"시가")</f>
        <v>12600</v>
      </c>
      <c r="Q593" s="2">
        <f>_xll.IMDP("STK",표.실시간[[#This Row],[nxt_code]],"고가")</f>
        <v>12610</v>
      </c>
      <c r="R593" s="2">
        <f>_xll.IMDP("STK",표.실시간[[#This Row],[nxt_code]],"저가")</f>
        <v>12410</v>
      </c>
      <c r="S593">
        <f>_xll.IMDP("STK",표.실시간[[#This Row],[nxt_code]],"세션명")</f>
        <v>0</v>
      </c>
      <c r="T593">
        <f>_xll.IMDP("STK",표.실시간[[#This Row],[nxt_code]],"체결시간")</f>
        <v>0</v>
      </c>
      <c r="U593" s="2">
        <f>_xll.IMDP("STK","018250","현재가")</f>
        <v>12500</v>
      </c>
      <c r="V593">
        <f>_xll.IMDP("STK","018250","누적거래량")</f>
        <v>1185</v>
      </c>
    </row>
    <row r="594" spans="2:22" x14ac:dyDescent="0.3">
      <c r="B594">
        <v>586</v>
      </c>
      <c r="C594">
        <v>0</v>
      </c>
      <c r="D594">
        <f>IF(IFERROR(INDEX(표.kospi200[code],MATCH(표.실시간[[#This Row],[코드]],표.kospi200[code],0)),0)=0,0,1)</f>
        <v>0</v>
      </c>
      <c r="E594" t="s">
        <v>599</v>
      </c>
      <c r="F594">
        <v>304100</v>
      </c>
      <c r="G594" t="str">
        <f>ConvertStockCode(표.실시간[[#This Row],[코드]])</f>
        <v>N304100</v>
      </c>
      <c r="H594" s="2">
        <f>_xll.IMDP("STK",표.실시간[[#This Row],[nxt_code]],"현재가")</f>
        <v>30000</v>
      </c>
      <c r="I594" s="2">
        <f>_xll.IMDP("STK",표.실시간[[#This Row],[nxt_code]],"시가총액")/10^12</f>
        <v>0.37781565</v>
      </c>
      <c r="J594" s="2">
        <f>표.실시간[[#This Row],[시가총액 (조원)]]/표.실시간[[#This Row],[현재가]]*(표.실시간[[#This Row],[현재가]]-표.실시간[[#This Row],[대비]])</f>
        <v>0.38789073400000001</v>
      </c>
      <c r="K594" s="3">
        <f>_xll.IMDP("STK",표.실시간[[#This Row],[nxt_code]],"전일대비")</f>
        <v>-800</v>
      </c>
      <c r="L594">
        <f>_xll.IMDP("STK",표.실시간[[#This Row],[nxt_code]],"등락률")</f>
        <v>-3.38</v>
      </c>
      <c r="M594" s="2">
        <f>_xll.IMDP("STK",표.실시간[[#This Row],[nxt_code]],"누적거래량")</f>
        <v>67802</v>
      </c>
      <c r="N594" s="2">
        <f>_xll.IMDP("STK",표.실시간[[#This Row],[nxt_code]],"누적거래대금")/10^8</f>
        <v>20.471498499999999</v>
      </c>
      <c r="O594" s="2">
        <f>_xll.IMDP("STK",표.실시간[[#This Row],[nxt_code]],"가중평균가")</f>
        <v>30167.253905000001</v>
      </c>
      <c r="P594" s="2">
        <f>_xll.IMDP("STK",표.실시간[[#This Row],[nxt_code]],"시가")</f>
        <v>31950</v>
      </c>
      <c r="Q594" s="2">
        <f>_xll.IMDP("STK",표.실시간[[#This Row],[nxt_code]],"고가")</f>
        <v>32500</v>
      </c>
      <c r="R594" s="2">
        <f>_xll.IMDP("STK",표.실시간[[#This Row],[nxt_code]],"저가")</f>
        <v>29550</v>
      </c>
      <c r="S594">
        <f>_xll.IMDP("STK",표.실시간[[#This Row],[nxt_code]],"세션명")</f>
        <v>0</v>
      </c>
      <c r="T594">
        <f>_xll.IMDP("STK",표.실시간[[#This Row],[nxt_code]],"체결시간")</f>
        <v>0</v>
      </c>
      <c r="U594" s="2">
        <f>_xll.IMDP("STK","304100","현재가")</f>
        <v>30050</v>
      </c>
      <c r="V594">
        <f>_xll.IMDP("STK","304100","누적거래량")</f>
        <v>21027</v>
      </c>
    </row>
    <row r="595" spans="2:22" x14ac:dyDescent="0.3">
      <c r="B595">
        <v>587</v>
      </c>
      <c r="C595">
        <v>0</v>
      </c>
      <c r="D595">
        <f>IF(IFERROR(INDEX(표.kospi200[code],MATCH(표.실시간[[#This Row],[코드]],표.kospi200[code],0)),0)=0,0,1)</f>
        <v>0</v>
      </c>
      <c r="E595" t="s">
        <v>600</v>
      </c>
      <c r="F595">
        <v>215000</v>
      </c>
      <c r="G595" t="str">
        <f>ConvertStockCode(표.실시간[[#This Row],[코드]])</f>
        <v>N215000</v>
      </c>
      <c r="H595" s="2">
        <f>_xll.IMDP("STK",표.실시간[[#This Row],[nxt_code]],"현재가")</f>
        <v>59400</v>
      </c>
      <c r="I595" s="2">
        <f>_xll.IMDP("STK",표.실시간[[#This Row],[nxt_code]],"시가총액")/10^12</f>
        <v>0.37213210949999997</v>
      </c>
      <c r="J595" s="2">
        <f>표.실시간[[#This Row],[시가총액 (조원)]]/표.실시간[[#This Row],[현재가]]*(표.실시간[[#This Row],[현재가]]-표.실시간[[#This Row],[대비]])</f>
        <v>0.38090289995959592</v>
      </c>
      <c r="K595" s="3">
        <f>_xll.IMDP("STK",표.실시간[[#This Row],[nxt_code]],"전일대비")</f>
        <v>-1400</v>
      </c>
      <c r="L595">
        <f>_xll.IMDP("STK",표.실시간[[#This Row],[nxt_code]],"등락률")</f>
        <v>-2.14</v>
      </c>
      <c r="M595" s="2">
        <f>_xll.IMDP("STK",표.실시간[[#This Row],[nxt_code]],"누적거래량")</f>
        <v>1776</v>
      </c>
      <c r="N595" s="2">
        <f>_xll.IMDP("STK",표.실시간[[#This Row],[nxt_code]],"누적거래대금")/10^8</f>
        <v>1.063631</v>
      </c>
      <c r="O595" s="2">
        <f>_xll.IMDP("STK",표.실시간[[#This Row],[nxt_code]],"가중평균가")</f>
        <v>59889.132882999998</v>
      </c>
      <c r="P595" s="2">
        <f>_xll.IMDP("STK",표.실시간[[#This Row],[nxt_code]],"시가")</f>
        <v>61500</v>
      </c>
      <c r="Q595" s="2">
        <f>_xll.IMDP("STK",표.실시간[[#This Row],[nxt_code]],"고가")</f>
        <v>61500</v>
      </c>
      <c r="R595" s="2">
        <f>_xll.IMDP("STK",표.실시간[[#This Row],[nxt_code]],"저가")</f>
        <v>59000</v>
      </c>
      <c r="S595">
        <f>_xll.IMDP("STK",표.실시간[[#This Row],[nxt_code]],"세션명")</f>
        <v>0</v>
      </c>
      <c r="T595">
        <f>_xll.IMDP("STK",표.실시간[[#This Row],[nxt_code]],"체결시간")</f>
        <v>0</v>
      </c>
      <c r="U595" s="2">
        <f>_xll.IMDP("STK","215000","현재가")</f>
        <v>59200</v>
      </c>
      <c r="V595">
        <f>_xll.IMDP("STK","215000","누적거래량")</f>
        <v>4578</v>
      </c>
    </row>
    <row r="596" spans="2:22" x14ac:dyDescent="0.3">
      <c r="B596">
        <v>588</v>
      </c>
      <c r="C596">
        <v>1</v>
      </c>
      <c r="D596">
        <f>IF(IFERROR(INDEX(표.kospi200[code],MATCH(표.실시간[[#This Row],[코드]],표.kospi200[code],0)),0)=0,0,1)</f>
        <v>0</v>
      </c>
      <c r="E596" t="s">
        <v>601</v>
      </c>
      <c r="F596">
        <v>286940</v>
      </c>
      <c r="G596" t="str">
        <f>ConvertStockCode(표.실시간[[#This Row],[코드]])</f>
        <v>N286940</v>
      </c>
      <c r="H596" s="2">
        <f>_xll.IMDP("STK",표.실시간[[#This Row],[nxt_code]],"현재가")</f>
        <v>22300</v>
      </c>
      <c r="I596" s="2">
        <f>_xll.IMDP("STK",표.실시간[[#This Row],[nxt_code]],"시가총액")/10^12</f>
        <v>0.3373848841</v>
      </c>
      <c r="J596" s="2">
        <f>표.실시간[[#This Row],[시가총액 (조원)]]/표.실시간[[#This Row],[현재가]]*(표.실시간[[#This Row],[현재가]]-표.실시간[[#This Row],[대비]])</f>
        <v>0.32074258040000003</v>
      </c>
      <c r="K596" s="3">
        <f>_xll.IMDP("STK",표.실시간[[#This Row],[nxt_code]],"전일대비")</f>
        <v>1100</v>
      </c>
      <c r="L596">
        <f>_xll.IMDP("STK",표.실시간[[#This Row],[nxt_code]],"등락률")</f>
        <v>5.19</v>
      </c>
      <c r="M596" s="2">
        <f>_xll.IMDP("STK",표.실시간[[#This Row],[nxt_code]],"누적거래량")</f>
        <v>83054</v>
      </c>
      <c r="N596" s="2">
        <f>_xll.IMDP("STK",표.실시간[[#This Row],[nxt_code]],"누적거래대금")/10^8</f>
        <v>18.293619</v>
      </c>
      <c r="O596" s="2">
        <f>_xll.IMDP("STK",표.실시간[[#This Row],[nxt_code]],"가중평균가")</f>
        <v>22026.174536999999</v>
      </c>
      <c r="P596" s="2">
        <f>_xll.IMDP("STK",표.실시간[[#This Row],[nxt_code]],"시가")</f>
        <v>21000</v>
      </c>
      <c r="Q596" s="2">
        <f>_xll.IMDP("STK",표.실시간[[#This Row],[nxt_code]],"고가")</f>
        <v>22800</v>
      </c>
      <c r="R596" s="2">
        <f>_xll.IMDP("STK",표.실시간[[#This Row],[nxt_code]],"저가")</f>
        <v>20800</v>
      </c>
      <c r="S596">
        <f>_xll.IMDP("STK",표.실시간[[#This Row],[nxt_code]],"세션명")</f>
        <v>0</v>
      </c>
      <c r="T596">
        <f>_xll.IMDP("STK",표.실시간[[#This Row],[nxt_code]],"체결시간")</f>
        <v>0</v>
      </c>
      <c r="U596" s="2">
        <f>_xll.IMDP("STK","286940","현재가")</f>
        <v>22300</v>
      </c>
      <c r="V596">
        <f>_xll.IMDP("STK","286940","누적거래량")</f>
        <v>14297</v>
      </c>
    </row>
    <row r="597" spans="2:22" x14ac:dyDescent="0.3">
      <c r="B597">
        <v>589</v>
      </c>
      <c r="C597">
        <v>1</v>
      </c>
      <c r="D597">
        <f>IF(IFERROR(INDEX(표.kospi200[code],MATCH(표.실시간[[#This Row],[코드]],표.kospi200[code],0)),0)=0,0,1)</f>
        <v>0</v>
      </c>
      <c r="E597" t="s">
        <v>602</v>
      </c>
      <c r="F597">
        <v>17860</v>
      </c>
      <c r="G597" t="str">
        <f>ConvertStockCode(표.실시간[[#This Row],[코드]])</f>
        <v>N017860</v>
      </c>
      <c r="H597" s="2">
        <f>_xll.IMDP("STK",표.실시간[[#This Row],[nxt_code]],"현재가")</f>
        <v>19200</v>
      </c>
      <c r="I597" s="2">
        <f>_xll.IMDP("STK",표.실시간[[#This Row],[nxt_code]],"시가총액")/10^12</f>
        <v>0.33761687039999999</v>
      </c>
      <c r="J597" s="2">
        <f>표.실시간[[#This Row],[시가총액 (조원)]]/표.실시간[[#This Row],[현재가]]*(표.실시간[[#This Row],[현재가]]-표.실시간[[#This Row],[대비]])</f>
        <v>0.34429887096</v>
      </c>
      <c r="K597" s="3">
        <f>_xll.IMDP("STK",표.실시간[[#This Row],[nxt_code]],"전일대비")</f>
        <v>-380</v>
      </c>
      <c r="L597">
        <f>_xll.IMDP("STK",표.실시간[[#This Row],[nxt_code]],"등락률")</f>
        <v>-1.94</v>
      </c>
      <c r="M597" s="2">
        <f>_xll.IMDP("STK",표.실시간[[#This Row],[nxt_code]],"누적거래량")</f>
        <v>17548</v>
      </c>
      <c r="N597" s="2">
        <f>_xll.IMDP("STK",표.실시간[[#This Row],[nxt_code]],"누적거래대금")/10^8</f>
        <v>3.3833597000000002</v>
      </c>
      <c r="O597" s="2">
        <f>_xll.IMDP("STK",표.실시간[[#This Row],[nxt_code]],"가중평균가")</f>
        <v>19280.600068</v>
      </c>
      <c r="P597" s="2">
        <f>_xll.IMDP("STK",표.실시간[[#This Row],[nxt_code]],"시가")</f>
        <v>19580</v>
      </c>
      <c r="Q597" s="2">
        <f>_xll.IMDP("STK",표.실시간[[#This Row],[nxt_code]],"고가")</f>
        <v>19580</v>
      </c>
      <c r="R597" s="2">
        <f>_xll.IMDP("STK",표.실시간[[#This Row],[nxt_code]],"저가")</f>
        <v>19100</v>
      </c>
      <c r="S597">
        <f>_xll.IMDP("STK",표.실시간[[#This Row],[nxt_code]],"세션명")</f>
        <v>0</v>
      </c>
      <c r="T597">
        <f>_xll.IMDP("STK",표.실시간[[#This Row],[nxt_code]],"체결시간")</f>
        <v>0</v>
      </c>
      <c r="U597" s="2">
        <f>_xll.IMDP("STK","017860","현재가")</f>
        <v>19270</v>
      </c>
      <c r="V597">
        <f>_xll.IMDP("STK","017860","누적거래량")</f>
        <v>8482</v>
      </c>
    </row>
    <row r="598" spans="2:22" x14ac:dyDescent="0.3">
      <c r="B598">
        <v>590</v>
      </c>
      <c r="C598">
        <v>1</v>
      </c>
      <c r="D598">
        <f>IF(IFERROR(INDEX(표.kospi200[code],MATCH(표.실시간[[#This Row],[코드]],표.kospi200[code],0)),0)=0,0,1)</f>
        <v>0</v>
      </c>
      <c r="E598" t="s">
        <v>603</v>
      </c>
      <c r="F598">
        <v>1820</v>
      </c>
      <c r="G598" t="str">
        <f>ConvertStockCode(표.실시간[[#This Row],[코드]])</f>
        <v>N001820</v>
      </c>
      <c r="H598" s="2">
        <f>_xll.IMDP("STK",표.실시간[[#This Row],[nxt_code]],"현재가")</f>
        <v>31700</v>
      </c>
      <c r="I598" s="2">
        <f>_xll.IMDP("STK",표.실시간[[#This Row],[nxt_code]],"시가총액")/10^12</f>
        <v>0.32952150000000002</v>
      </c>
      <c r="J598" s="2">
        <f>표.실시간[[#This Row],[시가총액 (조원)]]/표.실시간[[#This Row],[현재가]]*(표.실시간[[#This Row],[현재가]]-표.실시간[[#This Row],[대비]])</f>
        <v>0.32952150000000002</v>
      </c>
      <c r="K598" s="3">
        <f>_xll.IMDP("STK",표.실시간[[#This Row],[nxt_code]],"전일대비")</f>
        <v>0</v>
      </c>
      <c r="L598">
        <f>_xll.IMDP("STK",표.실시간[[#This Row],[nxt_code]],"등락률")</f>
        <v>0.32</v>
      </c>
      <c r="M598" s="2">
        <f>_xll.IMDP("STK",표.실시간[[#This Row],[nxt_code]],"누적거래량")</f>
        <v>11149</v>
      </c>
      <c r="N598" s="2">
        <f>_xll.IMDP("STK",표.실시간[[#This Row],[nxt_code]],"누적거래대금")/10^8</f>
        <v>3.4617884999999999</v>
      </c>
      <c r="O598" s="2">
        <f>_xll.IMDP("STK",표.실시간[[#This Row],[nxt_code]],"가중평균가")</f>
        <v>31050.215265999999</v>
      </c>
      <c r="P598" s="2">
        <f>_xll.IMDP("STK",표.실시간[[#This Row],[nxt_code]],"시가")</f>
        <v>31500</v>
      </c>
      <c r="Q598" s="2">
        <f>_xll.IMDP("STK",표.실시간[[#This Row],[nxt_code]],"고가")</f>
        <v>31700</v>
      </c>
      <c r="R598" s="2">
        <f>_xll.IMDP("STK",표.실시간[[#This Row],[nxt_code]],"저가")</f>
        <v>30800</v>
      </c>
      <c r="S598">
        <f>_xll.IMDP("STK",표.실시간[[#This Row],[nxt_code]],"세션명")</f>
        <v>0</v>
      </c>
      <c r="T598">
        <f>_xll.IMDP("STK",표.실시간[[#This Row],[nxt_code]],"체결시간")</f>
        <v>0</v>
      </c>
      <c r="U598" s="2">
        <f>_xll.IMDP("STK","001820","현재가")</f>
        <v>31550</v>
      </c>
      <c r="V598">
        <f>_xll.IMDP("STK","001820","누적거래량")</f>
        <v>6336</v>
      </c>
    </row>
    <row r="599" spans="2:22" x14ac:dyDescent="0.3">
      <c r="B599">
        <v>591</v>
      </c>
      <c r="C599">
        <v>0</v>
      </c>
      <c r="D599">
        <f>IF(IFERROR(INDEX(표.kospi200[code],MATCH(표.실시간[[#This Row],[코드]],표.kospi200[code],0)),0)=0,0,1)</f>
        <v>0</v>
      </c>
      <c r="E599" t="s">
        <v>604</v>
      </c>
      <c r="F599">
        <v>95500</v>
      </c>
      <c r="G599" t="str">
        <f>ConvertStockCode(표.실시간[[#This Row],[코드]])</f>
        <v>N095500</v>
      </c>
      <c r="H599" s="2">
        <f>_xll.IMDP("STK",표.실시간[[#This Row],[nxt_code]],"현재가")</f>
        <v>11810</v>
      </c>
      <c r="I599" s="2">
        <f>_xll.IMDP("STK",표.실시간[[#This Row],[nxt_code]],"시가총액")/10^12</f>
        <v>0.36622808819000002</v>
      </c>
      <c r="J599" s="2">
        <f>표.실시간[[#This Row],[시가총액 (조원)]]/표.실시간[[#This Row],[현재가]]*(표.실시간[[#This Row],[현재가]]-표.실시간[[#This Row],[대비]])</f>
        <v>0.36994928806999999</v>
      </c>
      <c r="K599" s="3">
        <f>_xll.IMDP("STK",표.실시간[[#This Row],[nxt_code]],"전일대비")</f>
        <v>-120</v>
      </c>
      <c r="L599">
        <f>_xll.IMDP("STK",표.실시간[[#This Row],[nxt_code]],"등락률")</f>
        <v>-1.01</v>
      </c>
      <c r="M599" s="2">
        <f>_xll.IMDP("STK",표.실시간[[#This Row],[nxt_code]],"누적거래량")</f>
        <v>82208</v>
      </c>
      <c r="N599" s="2">
        <f>_xll.IMDP("STK",표.실시간[[#This Row],[nxt_code]],"누적거래대금")/10^8</f>
        <v>9.5617097999999991</v>
      </c>
      <c r="O599" s="2">
        <f>_xll.IMDP("STK",표.실시간[[#This Row],[nxt_code]],"가중평균가")</f>
        <v>11631.118383000001</v>
      </c>
      <c r="P599" s="2">
        <f>_xll.IMDP("STK",표.실시간[[#This Row],[nxt_code]],"시가")</f>
        <v>11700</v>
      </c>
      <c r="Q599" s="2">
        <f>_xll.IMDP("STK",표.실시간[[#This Row],[nxt_code]],"고가")</f>
        <v>11850</v>
      </c>
      <c r="R599" s="2">
        <f>_xll.IMDP("STK",표.실시간[[#This Row],[nxt_code]],"저가")</f>
        <v>11500</v>
      </c>
      <c r="S599">
        <f>_xll.IMDP("STK",표.실시간[[#This Row],[nxt_code]],"세션명")</f>
        <v>0</v>
      </c>
      <c r="T599">
        <f>_xll.IMDP("STK",표.실시간[[#This Row],[nxt_code]],"체결시간")</f>
        <v>0</v>
      </c>
      <c r="U599" s="2">
        <f>_xll.IMDP("STK","095500","현재가")</f>
        <v>11950</v>
      </c>
      <c r="V599">
        <f>_xll.IMDP("STK","095500","누적거래량")</f>
        <v>47309</v>
      </c>
    </row>
    <row r="600" spans="2:22" x14ac:dyDescent="0.3">
      <c r="B600">
        <v>592</v>
      </c>
      <c r="C600">
        <v>0</v>
      </c>
      <c r="D600">
        <f>IF(IFERROR(INDEX(표.kospi200[code],MATCH(표.실시간[[#This Row],[코드]],표.kospi200[code],0)),0)=0,0,1)</f>
        <v>0</v>
      </c>
      <c r="E600" t="s">
        <v>605</v>
      </c>
      <c r="F600">
        <v>101360</v>
      </c>
      <c r="G600" t="str">
        <f>ConvertStockCode(표.실시간[[#This Row],[코드]])</f>
        <v>N101360</v>
      </c>
      <c r="H600" s="2">
        <f>_xll.IMDP("STK",표.실시간[[#This Row],[nxt_code]],"현재가")</f>
        <v>22550</v>
      </c>
      <c r="I600" s="2">
        <f>_xll.IMDP("STK",표.실시간[[#This Row],[nxt_code]],"시가총액")/10^12</f>
        <v>0.40107687069999998</v>
      </c>
      <c r="J600" s="2">
        <f>표.실시간[[#This Row],[시가총액 (조원)]]/표.실시간[[#This Row],[현재가]]*(표.실시간[[#This Row],[현재가]]-표.실시간[[#This Row],[대비]])</f>
        <v>0.4081913163</v>
      </c>
      <c r="K600" s="3">
        <f>_xll.IMDP("STK",표.실시간[[#This Row],[nxt_code]],"전일대비")</f>
        <v>-400</v>
      </c>
      <c r="L600">
        <f>_xll.IMDP("STK",표.실시간[[#This Row],[nxt_code]],"등락률")</f>
        <v>-1.31</v>
      </c>
      <c r="M600" s="2">
        <f>_xll.IMDP("STK",표.실시간[[#This Row],[nxt_code]],"누적거래량")</f>
        <v>62549</v>
      </c>
      <c r="N600" s="2">
        <f>_xll.IMDP("STK",표.실시간[[#This Row],[nxt_code]],"누적거래대금")/10^8</f>
        <v>13.698093500000001</v>
      </c>
      <c r="O600" s="2">
        <f>_xll.IMDP("STK",표.실시간[[#This Row],[nxt_code]],"가중평균가")</f>
        <v>21881.754304999999</v>
      </c>
      <c r="P600" s="2">
        <f>_xll.IMDP("STK",표.실시간[[#This Row],[nxt_code]],"시가")</f>
        <v>22400</v>
      </c>
      <c r="Q600" s="2">
        <f>_xll.IMDP("STK",표.실시간[[#This Row],[nxt_code]],"고가")</f>
        <v>22600</v>
      </c>
      <c r="R600" s="2">
        <f>_xll.IMDP("STK",표.실시간[[#This Row],[nxt_code]],"저가")</f>
        <v>21550</v>
      </c>
      <c r="S600">
        <f>_xll.IMDP("STK",표.실시간[[#This Row],[nxt_code]],"세션명")</f>
        <v>0</v>
      </c>
      <c r="T600">
        <f>_xll.IMDP("STK",표.실시간[[#This Row],[nxt_code]],"체결시간")</f>
        <v>0</v>
      </c>
      <c r="U600" s="2">
        <f>_xll.IMDP("STK","101360","현재가")</f>
        <v>22900</v>
      </c>
      <c r="V600">
        <f>_xll.IMDP("STK","101360","누적거래량")</f>
        <v>35435</v>
      </c>
    </row>
    <row r="601" spans="2:22" x14ac:dyDescent="0.3">
      <c r="B601">
        <v>593</v>
      </c>
      <c r="C601">
        <v>1</v>
      </c>
      <c r="D601">
        <f>IF(IFERROR(INDEX(표.kospi200[code],MATCH(표.실시간[[#This Row],[코드]],표.kospi200[code],0)),0)=0,0,1)</f>
        <v>0</v>
      </c>
      <c r="E601" t="s">
        <v>606</v>
      </c>
      <c r="F601">
        <v>3960</v>
      </c>
      <c r="G601" t="str">
        <f>ConvertStockCode(표.실시간[[#This Row],[코드]])</f>
        <v>N003960</v>
      </c>
      <c r="H601" s="2">
        <f>_xll.IMDP("STK",표.실시간[[#This Row],[nxt_code]],"현재가")</f>
        <v>35800</v>
      </c>
      <c r="I601" s="2">
        <f>_xll.IMDP("STK",표.실시간[[#This Row],[nxt_code]],"시가총액")/10^12</f>
        <v>0.32808791859999997</v>
      </c>
      <c r="J601" s="2">
        <f>표.실시간[[#This Row],[시가총액 (조원)]]/표.실시간[[#This Row],[현재가]]*(표.실시간[[#This Row],[현재가]]-표.실시간[[#This Row],[대비]])</f>
        <v>0.33312837545000001</v>
      </c>
      <c r="K601" s="3">
        <f>_xll.IMDP("STK",표.실시간[[#This Row],[nxt_code]],"전일대비")</f>
        <v>-550</v>
      </c>
      <c r="L601">
        <f>_xll.IMDP("STK",표.실시간[[#This Row],[nxt_code]],"등락률")</f>
        <v>-1.51</v>
      </c>
      <c r="M601" s="2">
        <f>_xll.IMDP("STK",표.실시간[[#This Row],[nxt_code]],"누적거래량")</f>
        <v>2100</v>
      </c>
      <c r="N601" s="2">
        <f>_xll.IMDP("STK",표.실시간[[#This Row],[nxt_code]],"누적거래대금")/10^8</f>
        <v>0.76051199999999997</v>
      </c>
      <c r="O601" s="2">
        <f>_xll.IMDP("STK",표.실시간[[#This Row],[nxt_code]],"가중평균가")</f>
        <v>36214.857143000001</v>
      </c>
      <c r="P601" s="2">
        <f>_xll.IMDP("STK",표.실시간[[#This Row],[nxt_code]],"시가")</f>
        <v>35750</v>
      </c>
      <c r="Q601" s="2">
        <f>_xll.IMDP("STK",표.실시간[[#This Row],[nxt_code]],"고가")</f>
        <v>36550</v>
      </c>
      <c r="R601" s="2">
        <f>_xll.IMDP("STK",표.실시간[[#This Row],[nxt_code]],"저가")</f>
        <v>35700</v>
      </c>
      <c r="S601">
        <f>_xll.IMDP("STK",표.실시간[[#This Row],[nxt_code]],"세션명")</f>
        <v>0</v>
      </c>
      <c r="T601">
        <f>_xll.IMDP("STK",표.실시간[[#This Row],[nxt_code]],"체결시간")</f>
        <v>0</v>
      </c>
      <c r="U601" s="2">
        <f>_xll.IMDP("STK","003960","현재가")</f>
        <v>35900</v>
      </c>
      <c r="V601">
        <f>_xll.IMDP("STK","003960","누적거래량")</f>
        <v>1370</v>
      </c>
    </row>
    <row r="602" spans="2:22" x14ac:dyDescent="0.3">
      <c r="B602">
        <v>594</v>
      </c>
      <c r="C602">
        <v>1</v>
      </c>
      <c r="D602">
        <f>IF(IFERROR(INDEX(표.kospi200[code],MATCH(표.실시간[[#This Row],[코드]],표.kospi200[code],0)),0)=0,0,1)</f>
        <v>0</v>
      </c>
      <c r="E602" t="s">
        <v>607</v>
      </c>
      <c r="F602">
        <v>194370</v>
      </c>
      <c r="G602" t="str">
        <f>ConvertStockCode(표.실시간[[#This Row],[코드]])</f>
        <v>N194370</v>
      </c>
      <c r="H602" s="2">
        <f>_xll.IMDP("STK",표.실시간[[#This Row],[nxt_code]],"현재가")</f>
        <v>12560</v>
      </c>
      <c r="I602" s="2">
        <f>_xll.IMDP("STK",표.실시간[[#This Row],[nxt_code]],"시가총액")/10^12</f>
        <v>0.36445048048000001</v>
      </c>
      <c r="J602" s="2">
        <f>표.실시간[[#This Row],[시가총액 (조원)]]/표.실시간[[#This Row],[현재가]]*(표.실시간[[#This Row],[현재가]]-표.실시간[[#This Row],[대비]])</f>
        <v>0.34849126358000004</v>
      </c>
      <c r="K602" s="3">
        <f>_xll.IMDP("STK",표.실시간[[#This Row],[nxt_code]],"전일대비")</f>
        <v>550</v>
      </c>
      <c r="L602">
        <f>_xll.IMDP("STK",표.실시간[[#This Row],[nxt_code]],"등락률")</f>
        <v>4.58</v>
      </c>
      <c r="M602" s="2">
        <f>_xll.IMDP("STK",표.실시간[[#This Row],[nxt_code]],"누적거래량")</f>
        <v>79517</v>
      </c>
      <c r="N602" s="2">
        <f>_xll.IMDP("STK",표.실시간[[#This Row],[nxt_code]],"누적거래대금")/10^8</f>
        <v>9.7258246499999998</v>
      </c>
      <c r="O602" s="2">
        <f>_xll.IMDP("STK",표.실시간[[#This Row],[nxt_code]],"가중평균가")</f>
        <v>12231.126237</v>
      </c>
      <c r="P602" s="2">
        <f>_xll.IMDP("STK",표.실시간[[#This Row],[nxt_code]],"시가")</f>
        <v>12110</v>
      </c>
      <c r="Q602" s="2">
        <f>_xll.IMDP("STK",표.실시간[[#This Row],[nxt_code]],"고가")</f>
        <v>12600</v>
      </c>
      <c r="R602" s="2">
        <f>_xll.IMDP("STK",표.실시간[[#This Row],[nxt_code]],"저가")</f>
        <v>11900</v>
      </c>
      <c r="S602">
        <f>_xll.IMDP("STK",표.실시간[[#This Row],[nxt_code]],"세션명")</f>
        <v>0</v>
      </c>
      <c r="T602">
        <f>_xll.IMDP("STK",표.실시간[[#This Row],[nxt_code]],"체결시간")</f>
        <v>0</v>
      </c>
      <c r="U602" s="2">
        <f>_xll.IMDP("STK","194370","현재가")</f>
        <v>12610</v>
      </c>
      <c r="V602">
        <f>_xll.IMDP("STK","194370","누적거래량")</f>
        <v>90192</v>
      </c>
    </row>
    <row r="603" spans="2:22" x14ac:dyDescent="0.3">
      <c r="B603">
        <v>595</v>
      </c>
      <c r="C603">
        <v>0</v>
      </c>
      <c r="D603">
        <f>IF(IFERROR(INDEX(표.kospi200[code],MATCH(표.실시간[[#This Row],[코드]],표.kospi200[code],0)),0)=0,0,1)</f>
        <v>0</v>
      </c>
      <c r="E603" t="s">
        <v>608</v>
      </c>
      <c r="F603">
        <v>108860</v>
      </c>
      <c r="G603" t="str">
        <f>ConvertStockCode(표.실시간[[#This Row],[코드]])</f>
        <v>N108860</v>
      </c>
      <c r="H603" s="2">
        <f>_xll.IMDP("STK",표.실시간[[#This Row],[nxt_code]],"현재가")</f>
        <v>12980</v>
      </c>
      <c r="I603" s="2">
        <f>_xll.IMDP("STK",표.실시간[[#This Row],[nxt_code]],"시가총액")/10^12</f>
        <v>0.34935397419999997</v>
      </c>
      <c r="J603" s="2">
        <f>표.실시간[[#This Row],[시가총액 (조원)]]/표.실시간[[#This Row],[현재가]]*(표.실시간[[#This Row],[현재가]]-표.실시간[[#This Row],[대비]])</f>
        <v>0.35635181959999995</v>
      </c>
      <c r="K603" s="3">
        <f>_xll.IMDP("STK",표.실시간[[#This Row],[nxt_code]],"전일대비")</f>
        <v>-260</v>
      </c>
      <c r="L603">
        <f>_xll.IMDP("STK",표.실시간[[#This Row],[nxt_code]],"등락률")</f>
        <v>-1.96</v>
      </c>
      <c r="M603" s="2">
        <f>_xll.IMDP("STK",표.실시간[[#This Row],[nxt_code]],"누적거래량")</f>
        <v>86725</v>
      </c>
      <c r="N603" s="2">
        <f>_xll.IMDP("STK",표.실시간[[#This Row],[nxt_code]],"누적거래대금")/10^8</f>
        <v>11.1878989</v>
      </c>
      <c r="O603" s="2">
        <f>_xll.IMDP("STK",표.실시간[[#This Row],[nxt_code]],"가중평균가")</f>
        <v>12900.431133</v>
      </c>
      <c r="P603" s="2">
        <f>_xll.IMDP("STK",표.실시간[[#This Row],[nxt_code]],"시가")</f>
        <v>13800</v>
      </c>
      <c r="Q603" s="2">
        <f>_xll.IMDP("STK",표.실시간[[#This Row],[nxt_code]],"고가")</f>
        <v>13800</v>
      </c>
      <c r="R603" s="2">
        <f>_xll.IMDP("STK",표.실시간[[#This Row],[nxt_code]],"저가")</f>
        <v>12650</v>
      </c>
      <c r="S603">
        <f>_xll.IMDP("STK",표.실시간[[#This Row],[nxt_code]],"세션명")</f>
        <v>0</v>
      </c>
      <c r="T603">
        <f>_xll.IMDP("STK",표.실시간[[#This Row],[nxt_code]],"체결시간")</f>
        <v>0</v>
      </c>
      <c r="U603" s="2">
        <f>_xll.IMDP("STK","108860","현재가")</f>
        <v>13050</v>
      </c>
      <c r="V603">
        <f>_xll.IMDP("STK","108860","누적거래량")</f>
        <v>57211</v>
      </c>
    </row>
    <row r="604" spans="2:22" x14ac:dyDescent="0.3">
      <c r="B604">
        <v>596</v>
      </c>
      <c r="C604">
        <v>1</v>
      </c>
      <c r="D604">
        <f>IF(IFERROR(INDEX(표.kospi200[code],MATCH(표.실시간[[#This Row],[코드]],표.kospi200[code],0)),0)=0,0,1)</f>
        <v>0</v>
      </c>
      <c r="E604" t="s">
        <v>609</v>
      </c>
      <c r="F604">
        <v>17390</v>
      </c>
      <c r="G604" t="str">
        <f>ConvertStockCode(표.실시간[[#This Row],[코드]])</f>
        <v>N017390</v>
      </c>
      <c r="H604" s="2">
        <f>_xll.IMDP("STK",표.실시간[[#This Row],[nxt_code]],"현재가")</f>
        <v>65100</v>
      </c>
      <c r="I604" s="2">
        <f>_xll.IMDP("STK",표.실시간[[#This Row],[nxt_code]],"시가총액")/10^12</f>
        <v>0.32550000000000001</v>
      </c>
      <c r="J604" s="2">
        <f>표.실시간[[#This Row],[시가총액 (조원)]]/표.실시간[[#This Row],[현재가]]*(표.실시간[[#This Row],[현재가]]-표.실시간[[#This Row],[대비]])</f>
        <v>0.33100000000000002</v>
      </c>
      <c r="K604" s="3">
        <f>_xll.IMDP("STK",표.실시간[[#This Row],[nxt_code]],"전일대비")</f>
        <v>-1100</v>
      </c>
      <c r="L604">
        <f>_xll.IMDP("STK",표.실시간[[#This Row],[nxt_code]],"등락률")</f>
        <v>-1.66</v>
      </c>
      <c r="M604" s="2">
        <f>_xll.IMDP("STK",표.실시간[[#This Row],[nxt_code]],"누적거래량")</f>
        <v>1053</v>
      </c>
      <c r="N604" s="2">
        <f>_xll.IMDP("STK",표.실시간[[#This Row],[nxt_code]],"누적거래대금")/10^8</f>
        <v>0.69161600000000001</v>
      </c>
      <c r="O604" s="2">
        <f>_xll.IMDP("STK",표.실시간[[#This Row],[nxt_code]],"가중평균가")</f>
        <v>65680.531814000002</v>
      </c>
      <c r="P604" s="2">
        <f>_xll.IMDP("STK",표.실시간[[#This Row],[nxt_code]],"시가")</f>
        <v>66200</v>
      </c>
      <c r="Q604" s="2">
        <f>_xll.IMDP("STK",표.실시간[[#This Row],[nxt_code]],"고가")</f>
        <v>66200</v>
      </c>
      <c r="R604" s="2">
        <f>_xll.IMDP("STK",표.실시간[[#This Row],[nxt_code]],"저가")</f>
        <v>65100</v>
      </c>
      <c r="S604">
        <f>_xll.IMDP("STK",표.실시간[[#This Row],[nxt_code]],"세션명")</f>
        <v>0</v>
      </c>
      <c r="T604">
        <f>_xll.IMDP("STK",표.실시간[[#This Row],[nxt_code]],"체결시간")</f>
        <v>0</v>
      </c>
      <c r="U604" s="2">
        <f>_xll.IMDP("STK","017390","현재가")</f>
        <v>65200</v>
      </c>
      <c r="V604">
        <f>_xll.IMDP("STK","017390","누적거래량")</f>
        <v>761</v>
      </c>
    </row>
    <row r="605" spans="2:22" x14ac:dyDescent="0.3">
      <c r="B605">
        <v>597</v>
      </c>
      <c r="C605">
        <v>1</v>
      </c>
      <c r="D605">
        <f>IF(IFERROR(INDEX(표.kospi200[code],MATCH(표.실시간[[#This Row],[코드]],표.kospi200[code],0)),0)=0,0,1)</f>
        <v>0</v>
      </c>
      <c r="E605" t="s">
        <v>610</v>
      </c>
      <c r="F605">
        <v>24720</v>
      </c>
      <c r="G605" t="str">
        <f>ConvertStockCode(표.실시간[[#This Row],[코드]])</f>
        <v>N024720</v>
      </c>
      <c r="H605" s="2">
        <f>_xll.IMDP("STK",표.실시간[[#This Row],[nxt_code]],"현재가")</f>
        <v>9950</v>
      </c>
      <c r="I605" s="2">
        <f>_xll.IMDP("STK",표.실시간[[#This Row],[nxt_code]],"시가총액")/10^12</f>
        <v>0.34124777704999998</v>
      </c>
      <c r="J605" s="2">
        <f>표.실시간[[#This Row],[시가총액 (조원)]]/표.실시간[[#This Row],[현재가]]*(표.실시간[[#This Row],[현재가]]-표.실시간[[#This Row],[대비]])</f>
        <v>0.34570629071999998</v>
      </c>
      <c r="K605" s="3">
        <f>_xll.IMDP("STK",표.실시간[[#This Row],[nxt_code]],"전일대비")</f>
        <v>-130</v>
      </c>
      <c r="L605">
        <f>_xll.IMDP("STK",표.실시간[[#This Row],[nxt_code]],"등락률")</f>
        <v>-1.29</v>
      </c>
      <c r="M605" s="2">
        <f>_xll.IMDP("STK",표.실시간[[#This Row],[nxt_code]],"누적거래량")</f>
        <v>11028</v>
      </c>
      <c r="N605" s="2">
        <f>_xll.IMDP("STK",표.실시간[[#This Row],[nxt_code]],"누적거래대금")/10^8</f>
        <v>1.0891443000000001</v>
      </c>
      <c r="O605" s="2">
        <f>_xll.IMDP("STK",표.실시간[[#This Row],[nxt_code]],"가중평균가")</f>
        <v>9876.1724699999995</v>
      </c>
      <c r="P605" s="2">
        <f>_xll.IMDP("STK",표.실시간[[#This Row],[nxt_code]],"시가")</f>
        <v>10070</v>
      </c>
      <c r="Q605" s="2">
        <f>_xll.IMDP("STK",표.실시간[[#This Row],[nxt_code]],"고가")</f>
        <v>10070</v>
      </c>
      <c r="R605" s="2">
        <f>_xll.IMDP("STK",표.실시간[[#This Row],[nxt_code]],"저가")</f>
        <v>9700</v>
      </c>
      <c r="S605">
        <f>_xll.IMDP("STK",표.실시간[[#This Row],[nxt_code]],"세션명")</f>
        <v>0</v>
      </c>
      <c r="T605">
        <f>_xll.IMDP("STK",표.실시간[[#This Row],[nxt_code]],"체결시간")</f>
        <v>0</v>
      </c>
      <c r="U605" s="2">
        <f>_xll.IMDP("STK","024720","현재가")</f>
        <v>9970</v>
      </c>
      <c r="V605">
        <f>_xll.IMDP("STK","024720","누적거래량")</f>
        <v>9709</v>
      </c>
    </row>
    <row r="606" spans="2:22" x14ac:dyDescent="0.3">
      <c r="B606">
        <v>598</v>
      </c>
      <c r="C606">
        <v>0</v>
      </c>
      <c r="D606">
        <f>IF(IFERROR(INDEX(표.kospi200[code],MATCH(표.실시간[[#This Row],[코드]],표.kospi200[code],0)),0)=0,0,1)</f>
        <v>0</v>
      </c>
      <c r="E606" t="s">
        <v>611</v>
      </c>
      <c r="F606">
        <v>114810</v>
      </c>
      <c r="G606" t="str">
        <f>ConvertStockCode(표.실시간[[#This Row],[코드]])</f>
        <v>N114810</v>
      </c>
      <c r="H606" s="2">
        <f>_xll.IMDP("STK",표.실시간[[#This Row],[nxt_code]],"현재가")</f>
        <v>14280</v>
      </c>
      <c r="I606" s="2">
        <f>_xll.IMDP("STK",표.실시간[[#This Row],[nxt_code]],"시가총액")/10^12</f>
        <v>0.40831052472000001</v>
      </c>
      <c r="J606" s="2">
        <f>표.실시간[[#This Row],[시가총액 (조원)]]/표.실시간[[#This Row],[현재가]]*(표.실시간[[#This Row],[현재가]]-표.실시간[[#This Row],[대비]])</f>
        <v>0.40287782166000002</v>
      </c>
      <c r="K606" s="3">
        <f>_xll.IMDP("STK",표.실시간[[#This Row],[nxt_code]],"전일대비")</f>
        <v>190</v>
      </c>
      <c r="L606">
        <f>_xll.IMDP("STK",표.실시간[[#This Row],[nxt_code]],"등락률")</f>
        <v>1.06</v>
      </c>
      <c r="M606" s="2">
        <f>_xll.IMDP("STK",표.실시간[[#This Row],[nxt_code]],"누적거래량")</f>
        <v>177065</v>
      </c>
      <c r="N606" s="2">
        <f>_xll.IMDP("STK",표.실시간[[#This Row],[nxt_code]],"누적거래대금")/10^8</f>
        <v>24.907699900000001</v>
      </c>
      <c r="O606" s="2">
        <f>_xll.IMDP("STK",표.실시간[[#This Row],[nxt_code]],"가중평균가")</f>
        <v>14066.980996</v>
      </c>
      <c r="P606" s="2">
        <f>_xll.IMDP("STK",표.실시간[[#This Row],[nxt_code]],"시가")</f>
        <v>14270</v>
      </c>
      <c r="Q606" s="2">
        <f>_xll.IMDP("STK",표.실시간[[#This Row],[nxt_code]],"고가")</f>
        <v>14830</v>
      </c>
      <c r="R606" s="2">
        <f>_xll.IMDP("STK",표.실시간[[#This Row],[nxt_code]],"저가")</f>
        <v>13740</v>
      </c>
      <c r="S606">
        <f>_xll.IMDP("STK",표.실시간[[#This Row],[nxt_code]],"세션명")</f>
        <v>0</v>
      </c>
      <c r="T606">
        <f>_xll.IMDP("STK",표.실시간[[#This Row],[nxt_code]],"체결시간")</f>
        <v>0</v>
      </c>
      <c r="U606" s="2">
        <f>_xll.IMDP("STK","114810","현재가")</f>
        <v>14350</v>
      </c>
      <c r="V606">
        <f>_xll.IMDP("STK","114810","누적거래량")</f>
        <v>37712</v>
      </c>
    </row>
    <row r="607" spans="2:22" x14ac:dyDescent="0.3">
      <c r="B607">
        <v>599</v>
      </c>
      <c r="C607">
        <v>0</v>
      </c>
      <c r="D607">
        <f>IF(IFERROR(INDEX(표.kospi200[code],MATCH(표.실시간[[#This Row],[코드]],표.kospi200[code],0)),0)=0,0,1)</f>
        <v>0</v>
      </c>
      <c r="E607" t="s">
        <v>612</v>
      </c>
      <c r="F607">
        <v>42520</v>
      </c>
      <c r="G607" t="str">
        <f>ConvertStockCode(표.실시간[[#This Row],[코드]])</f>
        <v>N042520</v>
      </c>
      <c r="H607" s="2">
        <f>_xll.IMDP("STK",표.실시간[[#This Row],[nxt_code]],"현재가")</f>
        <v>39900</v>
      </c>
      <c r="I607" s="2">
        <f>_xll.IMDP("STK",표.실시간[[#This Row],[nxt_code]],"시가총액")/10^12</f>
        <v>0.5682305433</v>
      </c>
      <c r="J607" s="2">
        <f>표.실시간[[#This Row],[시가총액 (조원)]]/표.실시간[[#This Row],[현재가]]*(표.실시간[[#This Row],[현재가]]-표.실시간[[#This Row],[대비]])</f>
        <v>0.56253399650000002</v>
      </c>
      <c r="K607" s="3">
        <f>_xll.IMDP("STK",표.실시간[[#This Row],[nxt_code]],"전일대비")</f>
        <v>400</v>
      </c>
      <c r="L607">
        <f>_xll.IMDP("STK",표.실시간[[#This Row],[nxt_code]],"등락률")</f>
        <v>1.01</v>
      </c>
      <c r="M607" s="2">
        <f>_xll.IMDP("STK",표.실시간[[#This Row],[nxt_code]],"누적거래량")</f>
        <v>139169</v>
      </c>
      <c r="N607" s="2">
        <f>_xll.IMDP("STK",표.실시간[[#This Row],[nxt_code]],"누적거래대금")/10^8</f>
        <v>54.094319249999998</v>
      </c>
      <c r="O607" s="2">
        <f>_xll.IMDP("STK",표.실시간[[#This Row],[nxt_code]],"가중평균가")</f>
        <v>38869.517816</v>
      </c>
      <c r="P607" s="2">
        <f>_xll.IMDP("STK",표.실시간[[#This Row],[nxt_code]],"시가")</f>
        <v>39750</v>
      </c>
      <c r="Q607" s="2">
        <f>_xll.IMDP("STK",표.실시간[[#This Row],[nxt_code]],"고가")</f>
        <v>41000</v>
      </c>
      <c r="R607" s="2">
        <f>_xll.IMDP("STK",표.실시간[[#This Row],[nxt_code]],"저가")</f>
        <v>37300</v>
      </c>
      <c r="S607">
        <f>_xll.IMDP("STK",표.실시간[[#This Row],[nxt_code]],"세션명")</f>
        <v>0</v>
      </c>
      <c r="T607">
        <f>_xll.IMDP("STK",표.실시간[[#This Row],[nxt_code]],"체결시간")</f>
        <v>0</v>
      </c>
      <c r="U607" s="2">
        <f>_xll.IMDP("STK","042520","현재가")</f>
        <v>40050</v>
      </c>
      <c r="V607">
        <f>_xll.IMDP("STK","042520","누적거래량")</f>
        <v>129164</v>
      </c>
    </row>
    <row r="608" spans="2:22" x14ac:dyDescent="0.3">
      <c r="B608">
        <v>600</v>
      </c>
      <c r="C608">
        <v>0</v>
      </c>
      <c r="D608">
        <f>IF(IFERROR(INDEX(표.kospi200[code],MATCH(표.실시간[[#This Row],[코드]],표.kospi200[code],0)),0)=0,0,1)</f>
        <v>0</v>
      </c>
      <c r="E608" t="s">
        <v>613</v>
      </c>
      <c r="F608">
        <v>51500</v>
      </c>
      <c r="G608" t="str">
        <f>ConvertStockCode(표.실시간[[#This Row],[코드]])</f>
        <v>N051500</v>
      </c>
      <c r="H608" s="2">
        <f>_xll.IMDP("STK",표.실시간[[#This Row],[nxt_code]],"현재가")</f>
        <v>28000</v>
      </c>
      <c r="I608" s="2">
        <f>_xll.IMDP("STK",표.실시간[[#This Row],[nxt_code]],"시가총액")/10^12</f>
        <v>0.33240440799999998</v>
      </c>
      <c r="J608" s="2">
        <f>표.실시간[[#This Row],[시가총액 (조원)]]/표.실시간[[#This Row],[현재가]]*(표.실시간[[#This Row],[현재가]]-표.실시간[[#This Row],[대비]])</f>
        <v>0.3318108287</v>
      </c>
      <c r="K608" s="3">
        <f>_xll.IMDP("STK",표.실시간[[#This Row],[nxt_code]],"전일대비")</f>
        <v>50</v>
      </c>
      <c r="L608">
        <f>_xll.IMDP("STK",표.실시간[[#This Row],[nxt_code]],"등락률")</f>
        <v>0.18</v>
      </c>
      <c r="M608" s="2">
        <f>_xll.IMDP("STK",표.실시간[[#This Row],[nxt_code]],"누적거래량")</f>
        <v>4144</v>
      </c>
      <c r="N608" s="2">
        <f>_xll.IMDP("STK",표.실시간[[#This Row],[nxt_code]],"누적거래대금")/10^8</f>
        <v>1.1574869999999999</v>
      </c>
      <c r="O608" s="2">
        <f>_xll.IMDP("STK",표.실시간[[#This Row],[nxt_code]],"가중평균가")</f>
        <v>27931.6361</v>
      </c>
      <c r="P608" s="2">
        <f>_xll.IMDP("STK",표.실시간[[#This Row],[nxt_code]],"시가")</f>
        <v>27850</v>
      </c>
      <c r="Q608" s="2">
        <f>_xll.IMDP("STK",표.실시간[[#This Row],[nxt_code]],"고가")</f>
        <v>28150</v>
      </c>
      <c r="R608" s="2">
        <f>_xll.IMDP("STK",표.실시간[[#This Row],[nxt_code]],"저가")</f>
        <v>27700</v>
      </c>
      <c r="S608">
        <f>_xll.IMDP("STK",표.실시간[[#This Row],[nxt_code]],"세션명")</f>
        <v>0</v>
      </c>
      <c r="T608">
        <f>_xll.IMDP("STK",표.실시간[[#This Row],[nxt_code]],"체결시간")</f>
        <v>0</v>
      </c>
      <c r="U608" s="2">
        <f>_xll.IMDP("STK","051500","현재가")</f>
        <v>27800</v>
      </c>
      <c r="V608">
        <f>_xll.IMDP("STK","051500","누적거래량")</f>
        <v>1400</v>
      </c>
    </row>
    <row r="609" spans="2:22" x14ac:dyDescent="0.3">
      <c r="B609">
        <v>601</v>
      </c>
      <c r="C609">
        <v>0</v>
      </c>
      <c r="D609">
        <f>IF(IFERROR(INDEX(표.kospi200[code],MATCH(표.실시간[[#This Row],[코드]],표.kospi200[code],0)),0)=0,0,1)</f>
        <v>0</v>
      </c>
      <c r="E609" t="s">
        <v>614</v>
      </c>
      <c r="F609">
        <v>445090</v>
      </c>
      <c r="G609" t="str">
        <f>ConvertStockCode(표.실시간[[#This Row],[코드]])</f>
        <v>N445090</v>
      </c>
      <c r="H609" s="2">
        <f>_xll.IMDP("STK",표.실시간[[#This Row],[nxt_code]],"현재가")</f>
        <v>31200</v>
      </c>
      <c r="I609" s="2">
        <f>_xll.IMDP("STK",표.실시간[[#This Row],[nxt_code]],"시가총액")/10^12</f>
        <v>0.34088052959999998</v>
      </c>
      <c r="J609" s="2">
        <f>표.실시간[[#This Row],[시가총액 (조원)]]/표.실시간[[#This Row],[현재가]]*(표.실시간[[#This Row],[현재가]]-표.실시간[[#This Row],[대비]])</f>
        <v>0.34798220730000001</v>
      </c>
      <c r="K609" s="3">
        <f>_xll.IMDP("STK",표.실시간[[#This Row],[nxt_code]],"전일대비")</f>
        <v>-650</v>
      </c>
      <c r="L609">
        <f>_xll.IMDP("STK",표.실시간[[#This Row],[nxt_code]],"등락률")</f>
        <v>-1.89</v>
      </c>
      <c r="M609" s="2">
        <f>_xll.IMDP("STK",표.실시간[[#This Row],[nxt_code]],"누적거래량")</f>
        <v>32158</v>
      </c>
      <c r="N609" s="2">
        <f>_xll.IMDP("STK",표.실시간[[#This Row],[nxt_code]],"누적거래대금")/10^8</f>
        <v>9.8956234999999992</v>
      </c>
      <c r="O609" s="2">
        <f>_xll.IMDP("STK",표.실시간[[#This Row],[nxt_code]],"가중평균가")</f>
        <v>30771.887244000001</v>
      </c>
      <c r="P609" s="2">
        <f>_xll.IMDP("STK",표.실시간[[#This Row],[nxt_code]],"시가")</f>
        <v>31300</v>
      </c>
      <c r="Q609" s="2">
        <f>_xll.IMDP("STK",표.실시간[[#This Row],[nxt_code]],"고가")</f>
        <v>31300</v>
      </c>
      <c r="R609" s="2">
        <f>_xll.IMDP("STK",표.실시간[[#This Row],[nxt_code]],"저가")</f>
        <v>30550</v>
      </c>
      <c r="S609">
        <f>_xll.IMDP("STK",표.실시간[[#This Row],[nxt_code]],"세션명")</f>
        <v>0</v>
      </c>
      <c r="T609">
        <f>_xll.IMDP("STK",표.실시간[[#This Row],[nxt_code]],"체결시간")</f>
        <v>0</v>
      </c>
      <c r="U609" s="2">
        <f>_xll.IMDP("STK","445090","현재가")</f>
        <v>31200</v>
      </c>
      <c r="V609">
        <f>_xll.IMDP("STK","445090","누적거래량")</f>
        <v>14192</v>
      </c>
    </row>
    <row r="610" spans="2:22" x14ac:dyDescent="0.3">
      <c r="B610">
        <v>602</v>
      </c>
      <c r="C610">
        <v>1</v>
      </c>
      <c r="D610">
        <f>IF(IFERROR(INDEX(표.kospi200[code],MATCH(표.실시간[[#This Row],[코드]],표.kospi200[code],0)),0)=0,0,1)</f>
        <v>0</v>
      </c>
      <c r="E610" t="s">
        <v>615</v>
      </c>
      <c r="F610">
        <v>92790</v>
      </c>
      <c r="G610" t="str">
        <f>ConvertStockCode(표.실시간[[#This Row],[코드]])</f>
        <v>N092790</v>
      </c>
      <c r="H610" s="2">
        <f>_xll.IMDP("STK",표.실시간[[#This Row],[nxt_code]],"현재가")</f>
        <v>10960</v>
      </c>
      <c r="I610" s="2">
        <f>_xll.IMDP("STK",표.실시간[[#This Row],[nxt_code]],"시가총액")/10^12</f>
        <v>0.28498192</v>
      </c>
      <c r="J610" s="2">
        <f>표.실시간[[#This Row],[시가총액 (조원)]]/표.실시간[[#This Row],[현재가]]*(표.실시간[[#This Row],[현재가]]-표.실시간[[#This Row],[대비]])</f>
        <v>0.29226247999999999</v>
      </c>
      <c r="K610" s="3">
        <f>_xll.IMDP("STK",표.실시간[[#This Row],[nxt_code]],"전일대비")</f>
        <v>-280</v>
      </c>
      <c r="L610">
        <f>_xll.IMDP("STK",표.실시간[[#This Row],[nxt_code]],"등락률")</f>
        <v>-2.4900000000000002</v>
      </c>
      <c r="M610" s="2">
        <f>_xll.IMDP("STK",표.실시간[[#This Row],[nxt_code]],"누적거래량")</f>
        <v>61739</v>
      </c>
      <c r="N610" s="2">
        <f>_xll.IMDP("STK",표.실시간[[#This Row],[nxt_code]],"누적거래대금")/10^8</f>
        <v>6.7677130999999999</v>
      </c>
      <c r="O610" s="2">
        <f>_xll.IMDP("STK",표.실시간[[#This Row],[nxt_code]],"가중평균가")</f>
        <v>10961.811983</v>
      </c>
      <c r="P610" s="2">
        <f>_xll.IMDP("STK",표.실시간[[#This Row],[nxt_code]],"시가")</f>
        <v>11210</v>
      </c>
      <c r="Q610" s="2">
        <f>_xll.IMDP("STK",표.실시간[[#This Row],[nxt_code]],"고가")</f>
        <v>11210</v>
      </c>
      <c r="R610" s="2">
        <f>_xll.IMDP("STK",표.실시간[[#This Row],[nxt_code]],"저가")</f>
        <v>10810</v>
      </c>
      <c r="S610">
        <f>_xll.IMDP("STK",표.실시간[[#This Row],[nxt_code]],"세션명")</f>
        <v>0</v>
      </c>
      <c r="T610">
        <f>_xll.IMDP("STK",표.실시간[[#This Row],[nxt_code]],"체결시간")</f>
        <v>0</v>
      </c>
      <c r="U610" s="2">
        <f>_xll.IMDP("STK","092790","현재가")</f>
        <v>10970</v>
      </c>
      <c r="V610">
        <f>_xll.IMDP("STK","092790","누적거래량")</f>
        <v>18472</v>
      </c>
    </row>
    <row r="611" spans="2:22" x14ac:dyDescent="0.3">
      <c r="B611">
        <v>603</v>
      </c>
      <c r="C611">
        <v>1</v>
      </c>
      <c r="D611">
        <f>IF(IFERROR(INDEX(표.kospi200[code],MATCH(표.실시간[[#This Row],[코드]],표.kospi200[code],0)),0)=0,0,1)</f>
        <v>0</v>
      </c>
      <c r="E611" t="s">
        <v>616</v>
      </c>
      <c r="F611">
        <v>138490</v>
      </c>
      <c r="G611" t="str">
        <f>ConvertStockCode(표.실시간[[#This Row],[코드]])</f>
        <v>N138490</v>
      </c>
      <c r="H611" s="2">
        <f>_xll.IMDP("STK",표.실시간[[#This Row],[nxt_code]],"현재가")</f>
        <v>9510</v>
      </c>
      <c r="I611" s="2">
        <f>_xll.IMDP("STK",표.실시간[[#This Row],[nxt_code]],"시가총액")/10^12</f>
        <v>0.36137999999999998</v>
      </c>
      <c r="J611" s="2">
        <f>표.실시간[[#This Row],[시가총액 (조원)]]/표.실시간[[#This Row],[현재가]]*(표.실시간[[#This Row],[현재가]]-표.실시간[[#This Row],[대비]])</f>
        <v>0.38379999999999997</v>
      </c>
      <c r="K611" s="3">
        <f>_xll.IMDP("STK",표.실시간[[#This Row],[nxt_code]],"전일대비")</f>
        <v>-590</v>
      </c>
      <c r="L611">
        <f>_xll.IMDP("STK",표.실시간[[#This Row],[nxt_code]],"등락률")</f>
        <v>-5.84</v>
      </c>
      <c r="M611" s="2">
        <f>_xll.IMDP("STK",표.실시간[[#This Row],[nxt_code]],"누적거래량")</f>
        <v>35289</v>
      </c>
      <c r="N611" s="2">
        <f>_xll.IMDP("STK",표.실시간[[#This Row],[nxt_code]],"누적거래대금")/10^8</f>
        <v>3.3951134000000001</v>
      </c>
      <c r="O611" s="2">
        <f>_xll.IMDP("STK",표.실시간[[#This Row],[nxt_code]],"가중평균가")</f>
        <v>9620.8829949999999</v>
      </c>
      <c r="P611" s="2">
        <f>_xll.IMDP("STK",표.실시간[[#This Row],[nxt_code]],"시가")</f>
        <v>9850</v>
      </c>
      <c r="Q611" s="2">
        <f>_xll.IMDP("STK",표.실시간[[#This Row],[nxt_code]],"고가")</f>
        <v>9890</v>
      </c>
      <c r="R611" s="2">
        <f>_xll.IMDP("STK",표.실시간[[#This Row],[nxt_code]],"저가")</f>
        <v>9490</v>
      </c>
      <c r="S611">
        <f>_xll.IMDP("STK",표.실시간[[#This Row],[nxt_code]],"세션명")</f>
        <v>0</v>
      </c>
      <c r="T611">
        <f>_xll.IMDP("STK",표.실시간[[#This Row],[nxt_code]],"체결시간")</f>
        <v>0</v>
      </c>
      <c r="U611" s="2">
        <f>_xll.IMDP("STK","138490","현재가")</f>
        <v>9640</v>
      </c>
      <c r="V611">
        <f>_xll.IMDP("STK","138490","누적거래량")</f>
        <v>9516</v>
      </c>
    </row>
    <row r="612" spans="2:22" x14ac:dyDescent="0.3">
      <c r="B612">
        <v>604</v>
      </c>
      <c r="C612">
        <v>0</v>
      </c>
      <c r="D612">
        <f>IF(IFERROR(INDEX(표.kospi200[code],MATCH(표.실시간[[#This Row],[코드]],표.kospi200[code],0)),0)=0,0,1)</f>
        <v>0</v>
      </c>
      <c r="E612" t="s">
        <v>617</v>
      </c>
      <c r="F612">
        <v>357550</v>
      </c>
      <c r="G612" t="str">
        <f>ConvertStockCode(표.실시간[[#This Row],[코드]])</f>
        <v>N357550</v>
      </c>
      <c r="H612" s="2">
        <f>_xll.IMDP("STK",표.실시간[[#This Row],[nxt_code]],"현재가")</f>
        <v>56000</v>
      </c>
      <c r="I612" s="2">
        <f>_xll.IMDP("STK",표.실시간[[#This Row],[nxt_code]],"시가총액")/10^12</f>
        <v>0.30547999999999997</v>
      </c>
      <c r="J612" s="2">
        <f>표.실시간[[#This Row],[시가총액 (조원)]]/표.실시간[[#This Row],[현재가]]*(표.실시간[[#This Row],[현재가]]-표.실시간[[#This Row],[대비]])</f>
        <v>0.31748099999999996</v>
      </c>
      <c r="K612" s="3">
        <f>_xll.IMDP("STK",표.실시간[[#This Row],[nxt_code]],"전일대비")</f>
        <v>-2200</v>
      </c>
      <c r="L612">
        <f>_xll.IMDP("STK",표.실시간[[#This Row],[nxt_code]],"등락률")</f>
        <v>-4.2699999999999996</v>
      </c>
      <c r="M612" s="2">
        <f>_xll.IMDP("STK",표.실시간[[#This Row],[nxt_code]],"누적거래량")</f>
        <v>3426</v>
      </c>
      <c r="N612" s="2">
        <f>_xll.IMDP("STK",표.실시간[[#This Row],[nxt_code]],"누적거래대금")/10^8</f>
        <v>2.0222760000000002</v>
      </c>
      <c r="O612" s="2">
        <f>_xll.IMDP("STK",표.실시간[[#This Row],[nxt_code]],"가중평균가")</f>
        <v>56582.988248000001</v>
      </c>
      <c r="P612" s="2">
        <f>_xll.IMDP("STK",표.실시간[[#This Row],[nxt_code]],"시가")</f>
        <v>57800</v>
      </c>
      <c r="Q612" s="2">
        <f>_xll.IMDP("STK",표.실시간[[#This Row],[nxt_code]],"고가")</f>
        <v>58200</v>
      </c>
      <c r="R612" s="2">
        <f>_xll.IMDP("STK",표.실시간[[#This Row],[nxt_code]],"저가")</f>
        <v>56000</v>
      </c>
      <c r="S612">
        <f>_xll.IMDP("STK",표.실시간[[#This Row],[nxt_code]],"세션명")</f>
        <v>0</v>
      </c>
      <c r="T612">
        <f>_xll.IMDP("STK",표.실시간[[#This Row],[nxt_code]],"체결시간")</f>
        <v>0</v>
      </c>
      <c r="U612" s="2">
        <f>_xll.IMDP("STK","357550","현재가")</f>
        <v>56400</v>
      </c>
      <c r="V612">
        <f>_xll.IMDP("STK","357550","누적거래량")</f>
        <v>3965</v>
      </c>
    </row>
    <row r="613" spans="2:22" x14ac:dyDescent="0.3">
      <c r="B613">
        <v>605</v>
      </c>
      <c r="C613">
        <v>0</v>
      </c>
      <c r="D613">
        <f>IF(IFERROR(INDEX(표.kospi200[code],MATCH(표.실시간[[#This Row],[코드]],표.kospi200[code],0)),0)=0,0,1)</f>
        <v>0</v>
      </c>
      <c r="E613" t="s">
        <v>618</v>
      </c>
      <c r="F613" t="s">
        <v>708</v>
      </c>
      <c r="G613" t="str">
        <f>ConvertStockCode(표.실시간[[#This Row],[코드]])</f>
        <v>N0008Z0</v>
      </c>
      <c r="H613" s="2">
        <f>_xll.IMDP("STK",표.실시간[[#This Row],[nxt_code]],"현재가")</f>
        <v>32650</v>
      </c>
      <c r="I613" s="2">
        <f>_xll.IMDP("STK",표.실시간[[#This Row],[nxt_code]],"시가총액")/10^12</f>
        <v>0.30810381460000003</v>
      </c>
      <c r="J613" s="2">
        <f>표.실시간[[#This Row],[시가총액 (조원)]]/표.실시간[[#This Row],[현재가]]*(표.실시간[[#This Row],[현재가]]-표.실시간[[#This Row],[대비]])</f>
        <v>0.318484035</v>
      </c>
      <c r="K613" s="3">
        <f>_xll.IMDP("STK",표.실시간[[#This Row],[nxt_code]],"전일대비")</f>
        <v>-1100</v>
      </c>
      <c r="L613">
        <f>_xll.IMDP("STK",표.실시간[[#This Row],[nxt_code]],"등락률")</f>
        <v>-3.26</v>
      </c>
      <c r="M613" s="2">
        <f>_xll.IMDP("STK",표.실시간[[#This Row],[nxt_code]],"누적거래량")</f>
        <v>15057</v>
      </c>
      <c r="N613" s="2">
        <f>_xll.IMDP("STK",표.실시간[[#This Row],[nxt_code]],"누적거래대금")/10^8</f>
        <v>4.9351845000000001</v>
      </c>
      <c r="O613" s="2">
        <f>_xll.IMDP("STK",표.실시간[[#This Row],[nxt_code]],"가중평균가")</f>
        <v>32776.678620999999</v>
      </c>
      <c r="P613" s="2">
        <f>_xll.IMDP("STK",표.실시간[[#This Row],[nxt_code]],"시가")</f>
        <v>33350</v>
      </c>
      <c r="Q613" s="2">
        <f>_xll.IMDP("STK",표.실시간[[#This Row],[nxt_code]],"고가")</f>
        <v>33450</v>
      </c>
      <c r="R613" s="2">
        <f>_xll.IMDP("STK",표.실시간[[#This Row],[nxt_code]],"저가")</f>
        <v>32300</v>
      </c>
      <c r="S613">
        <f>_xll.IMDP("STK",표.실시간[[#This Row],[nxt_code]],"세션명")</f>
        <v>0</v>
      </c>
      <c r="T613">
        <f>_xll.IMDP("STK",표.실시간[[#This Row],[nxt_code]],"체결시간")</f>
        <v>0</v>
      </c>
      <c r="U613" s="2">
        <f>_xll.IMDP("STK","0008Z0","현재가")</f>
        <v>32600</v>
      </c>
      <c r="V613">
        <f>_xll.IMDP("STK","0008Z0","누적거래량")</f>
        <v>5372</v>
      </c>
    </row>
    <row r="614" spans="2:22" x14ac:dyDescent="0.3">
      <c r="B614">
        <v>606</v>
      </c>
      <c r="C614">
        <v>0</v>
      </c>
      <c r="D614">
        <f>IF(IFERROR(INDEX(표.kospi200[code],MATCH(표.실시간[[#This Row],[코드]],표.kospi200[code],0)),0)=0,0,1)</f>
        <v>0</v>
      </c>
      <c r="E614" t="s">
        <v>619</v>
      </c>
      <c r="F614">
        <v>243070</v>
      </c>
      <c r="G614" t="str">
        <f>ConvertStockCode(표.실시간[[#This Row],[코드]])</f>
        <v>N243070</v>
      </c>
      <c r="H614" s="2">
        <f>_xll.IMDP("STK",표.실시간[[#This Row],[nxt_code]],"현재가")</f>
        <v>27450</v>
      </c>
      <c r="I614" s="2">
        <f>_xll.IMDP("STK",표.실시간[[#This Row],[nxt_code]],"시가총액")/10^12</f>
        <v>0.32884180424999998</v>
      </c>
      <c r="J614" s="2">
        <f>표.실시간[[#This Row],[시가총액 (조원)]]/표.실시간[[#This Row],[현재가]]*(표.실시간[[#This Row],[현재가]]-표.실시간[[#This Row],[대비]])</f>
        <v>0.3294407875</v>
      </c>
      <c r="K614" s="3">
        <f>_xll.IMDP("STK",표.실시간[[#This Row],[nxt_code]],"전일대비")</f>
        <v>-50</v>
      </c>
      <c r="L614">
        <f>_xll.IMDP("STK",표.실시간[[#This Row],[nxt_code]],"등락률")</f>
        <v>-0.18</v>
      </c>
      <c r="M614" s="2">
        <f>_xll.IMDP("STK",표.실시간[[#This Row],[nxt_code]],"누적거래량")</f>
        <v>2123</v>
      </c>
      <c r="N614" s="2">
        <f>_xll.IMDP("STK",표.실시간[[#This Row],[nxt_code]],"누적거래대금")/10^8</f>
        <v>0.5850225</v>
      </c>
      <c r="O614" s="2">
        <f>_xll.IMDP("STK",표.실시간[[#This Row],[nxt_code]],"가중평균가")</f>
        <v>27556.406029000002</v>
      </c>
      <c r="P614" s="2">
        <f>_xll.IMDP("STK",표.실시간[[#This Row],[nxt_code]],"시가")</f>
        <v>27400</v>
      </c>
      <c r="Q614" s="2">
        <f>_xll.IMDP("STK",표.실시간[[#This Row],[nxt_code]],"고가")</f>
        <v>27750</v>
      </c>
      <c r="R614" s="2">
        <f>_xll.IMDP("STK",표.실시간[[#This Row],[nxt_code]],"저가")</f>
        <v>27100</v>
      </c>
      <c r="S614">
        <f>_xll.IMDP("STK",표.실시간[[#This Row],[nxt_code]],"세션명")</f>
        <v>0</v>
      </c>
      <c r="T614">
        <f>_xll.IMDP("STK",표.실시간[[#This Row],[nxt_code]],"체결시간")</f>
        <v>0</v>
      </c>
      <c r="U614" s="2">
        <f>_xll.IMDP("STK","243070","현재가")</f>
        <v>27400</v>
      </c>
      <c r="V614">
        <f>_xll.IMDP("STK","243070","누적거래량")</f>
        <v>1399</v>
      </c>
    </row>
    <row r="615" spans="2:22" x14ac:dyDescent="0.3">
      <c r="B615">
        <v>607</v>
      </c>
      <c r="C615">
        <v>0</v>
      </c>
      <c r="D615">
        <f>IF(IFERROR(INDEX(표.kospi200[code],MATCH(표.실시간[[#This Row],[코드]],표.kospi200[code],0)),0)=0,0,1)</f>
        <v>0</v>
      </c>
      <c r="E615" t="s">
        <v>620</v>
      </c>
      <c r="F615">
        <v>389260</v>
      </c>
      <c r="G615" t="str">
        <f>ConvertStockCode(표.실시간[[#This Row],[코드]])</f>
        <v>N389260</v>
      </c>
      <c r="H615" s="2">
        <f>_xll.IMDP("STK",표.실시간[[#This Row],[nxt_code]],"현재가")</f>
        <v>17040</v>
      </c>
      <c r="I615" s="2">
        <f>_xll.IMDP("STK",표.실시간[[#This Row],[nxt_code]],"시가총액")/10^12</f>
        <v>0.30529417800000003</v>
      </c>
      <c r="J615" s="2">
        <f>표.실시간[[#This Row],[시가총액 (조원)]]/표.실시간[[#This Row],[현재가]]*(표.실시간[[#This Row],[현재가]]-표.실시간[[#This Row],[대비]])</f>
        <v>0.31407317725</v>
      </c>
      <c r="K615" s="3">
        <f>_xll.IMDP("STK",표.실시간[[#This Row],[nxt_code]],"전일대비")</f>
        <v>-490</v>
      </c>
      <c r="L615">
        <f>_xll.IMDP("STK",표.실시간[[#This Row],[nxt_code]],"등락률")</f>
        <v>-3.07</v>
      </c>
      <c r="M615" s="2">
        <f>_xll.IMDP("STK",표.실시간[[#This Row],[nxt_code]],"누적거래량")</f>
        <v>7294</v>
      </c>
      <c r="N615" s="2">
        <f>_xll.IMDP("STK",표.실시간[[#This Row],[nxt_code]],"누적거래대금")/10^8</f>
        <v>1.3289644</v>
      </c>
      <c r="O615" s="2">
        <f>_xll.IMDP("STK",표.실시간[[#This Row],[nxt_code]],"가중평균가")</f>
        <v>17219.025654000001</v>
      </c>
      <c r="P615" s="2">
        <f>_xll.IMDP("STK",표.실시간[[#This Row],[nxt_code]],"시가")</f>
        <v>17620</v>
      </c>
      <c r="Q615" s="2">
        <f>_xll.IMDP("STK",표.실시간[[#This Row],[nxt_code]],"고가")</f>
        <v>17620</v>
      </c>
      <c r="R615" s="2">
        <f>_xll.IMDP("STK",표.실시간[[#This Row],[nxt_code]],"저가")</f>
        <v>17000</v>
      </c>
      <c r="S615">
        <f>_xll.IMDP("STK",표.실시간[[#This Row],[nxt_code]],"세션명")</f>
        <v>0</v>
      </c>
      <c r="T615">
        <f>_xll.IMDP("STK",표.실시간[[#This Row],[nxt_code]],"체결시간")</f>
        <v>0</v>
      </c>
      <c r="U615" s="2">
        <f>_xll.IMDP("STK","389260","현재가")</f>
        <v>17050</v>
      </c>
      <c r="V615">
        <f>_xll.IMDP("STK","389260","누적거래량")</f>
        <v>4349</v>
      </c>
    </row>
    <row r="616" spans="2:22" x14ac:dyDescent="0.3">
      <c r="B616">
        <v>608</v>
      </c>
      <c r="C616">
        <v>0</v>
      </c>
      <c r="D616">
        <f>IF(IFERROR(INDEX(표.kospi200[code],MATCH(표.실시간[[#This Row],[코드]],표.kospi200[code],0)),0)=0,0,1)</f>
        <v>0</v>
      </c>
      <c r="E616" t="s">
        <v>621</v>
      </c>
      <c r="F616">
        <v>64550</v>
      </c>
      <c r="G616" t="str">
        <f>ConvertStockCode(표.실시간[[#This Row],[코드]])</f>
        <v>N064550</v>
      </c>
      <c r="H616" s="2">
        <f>_xll.IMDP("STK",표.실시간[[#This Row],[nxt_code]],"현재가")</f>
        <v>13350</v>
      </c>
      <c r="I616" s="2">
        <f>_xll.IMDP("STK",표.실시간[[#This Row],[nxt_code]],"시가총액")/10^12</f>
        <v>0.34456738484999999</v>
      </c>
      <c r="J616" s="2">
        <f>표.실시간[[#This Row],[시가총액 (조원)]]/표.실시간[[#This Row],[현재가]]*(표.실시간[[#This Row],[현재가]]-표.실시간[[#This Row],[대비]])</f>
        <v>0.34947134013999998</v>
      </c>
      <c r="K616" s="3">
        <f>_xll.IMDP("STK",표.실시간[[#This Row],[nxt_code]],"전일대비")</f>
        <v>-190</v>
      </c>
      <c r="L616">
        <f>_xll.IMDP("STK",표.실시간[[#This Row],[nxt_code]],"등락률")</f>
        <v>-1.4</v>
      </c>
      <c r="M616" s="2">
        <f>_xll.IMDP("STK",표.실시간[[#This Row],[nxt_code]],"누적거래량")</f>
        <v>14271</v>
      </c>
      <c r="N616" s="2">
        <f>_xll.IMDP("STK",표.실시간[[#This Row],[nxt_code]],"누적거래대금")/10^8</f>
        <v>1.8978383999999999</v>
      </c>
      <c r="O616" s="2">
        <f>_xll.IMDP("STK",표.실시간[[#This Row],[nxt_code]],"가중평균가")</f>
        <v>13298.566322999999</v>
      </c>
      <c r="P616" s="2">
        <f>_xll.IMDP("STK",표.실시간[[#This Row],[nxt_code]],"시가")</f>
        <v>13540</v>
      </c>
      <c r="Q616" s="2">
        <f>_xll.IMDP("STK",표.실시간[[#This Row],[nxt_code]],"고가")</f>
        <v>13540</v>
      </c>
      <c r="R616" s="2">
        <f>_xll.IMDP("STK",표.실시간[[#This Row],[nxt_code]],"저가")</f>
        <v>13130</v>
      </c>
      <c r="S616">
        <f>_xll.IMDP("STK",표.실시간[[#This Row],[nxt_code]],"세션명")</f>
        <v>0</v>
      </c>
      <c r="T616">
        <f>_xll.IMDP("STK",표.실시간[[#This Row],[nxt_code]],"체결시간")</f>
        <v>0</v>
      </c>
      <c r="U616" s="2">
        <f>_xll.IMDP("STK","064550","현재가")</f>
        <v>13350</v>
      </c>
      <c r="V616">
        <f>_xll.IMDP("STK","064550","누적거래량")</f>
        <v>13374</v>
      </c>
    </row>
    <row r="617" spans="2:22" x14ac:dyDescent="0.3">
      <c r="B617">
        <v>609</v>
      </c>
      <c r="C617">
        <v>0</v>
      </c>
      <c r="D617">
        <f>IF(IFERROR(INDEX(표.kospi200[code],MATCH(표.실시간[[#This Row],[코드]],표.kospi200[code],0)),0)=0,0,1)</f>
        <v>0</v>
      </c>
      <c r="E617" t="s">
        <v>622</v>
      </c>
      <c r="F617">
        <v>54950</v>
      </c>
      <c r="G617" t="str">
        <f>ConvertStockCode(표.실시간[[#This Row],[코드]])</f>
        <v>N054950</v>
      </c>
      <c r="H617" s="2">
        <f>_xll.IMDP("STK",표.실시간[[#This Row],[nxt_code]],"현재가")</f>
        <v>24950</v>
      </c>
      <c r="I617" s="2">
        <f>_xll.IMDP("STK",표.실시간[[#This Row],[nxt_code]],"시가총액")/10^12</f>
        <v>0.30164280539999999</v>
      </c>
      <c r="J617" s="2">
        <f>표.실시간[[#This Row],[시가총액 (조원)]]/표.실시간[[#This Row],[현재가]]*(표.실시간[[#This Row],[현재가]]-표.실시간[[#This Row],[대비]])</f>
        <v>0.30587426759999997</v>
      </c>
      <c r="K617" s="3">
        <f>_xll.IMDP("STK",표.실시간[[#This Row],[nxt_code]],"전일대비")</f>
        <v>-350</v>
      </c>
      <c r="L617">
        <f>_xll.IMDP("STK",표.실시간[[#This Row],[nxt_code]],"등락률")</f>
        <v>-1.58</v>
      </c>
      <c r="M617" s="2">
        <f>_xll.IMDP("STK",표.실시간[[#This Row],[nxt_code]],"누적거래량")</f>
        <v>7112</v>
      </c>
      <c r="N617" s="2">
        <f>_xll.IMDP("STK",표.실시간[[#This Row],[nxt_code]],"누적거래대금")/10^8</f>
        <v>1.7720775</v>
      </c>
      <c r="O617" s="2">
        <f>_xll.IMDP("STK",표.실시간[[#This Row],[nxt_code]],"가중평균가")</f>
        <v>24899.220176999999</v>
      </c>
      <c r="P617" s="2">
        <f>_xll.IMDP("STK",표.실시간[[#This Row],[nxt_code]],"시가")</f>
        <v>25350</v>
      </c>
      <c r="Q617" s="2">
        <f>_xll.IMDP("STK",표.실시간[[#This Row],[nxt_code]],"고가")</f>
        <v>25350</v>
      </c>
      <c r="R617" s="2">
        <f>_xll.IMDP("STK",표.실시간[[#This Row],[nxt_code]],"저가")</f>
        <v>24750</v>
      </c>
      <c r="S617">
        <f>_xll.IMDP("STK",표.실시간[[#This Row],[nxt_code]],"세션명")</f>
        <v>0</v>
      </c>
      <c r="T617">
        <f>_xll.IMDP("STK",표.실시간[[#This Row],[nxt_code]],"체결시간")</f>
        <v>0</v>
      </c>
      <c r="U617" s="2">
        <f>_xll.IMDP("STK","054950","현재가")</f>
        <v>25150</v>
      </c>
      <c r="V617">
        <f>_xll.IMDP("STK","054950","누적거래량")</f>
        <v>7206</v>
      </c>
    </row>
    <row r="618" spans="2:22" x14ac:dyDescent="0.3">
      <c r="B618">
        <v>610</v>
      </c>
      <c r="C618">
        <v>1</v>
      </c>
      <c r="D618">
        <f>IF(IFERROR(INDEX(표.kospi200[code],MATCH(표.실시간[[#This Row],[코드]],표.kospi200[code],0)),0)=0,0,1)</f>
        <v>0</v>
      </c>
      <c r="E618" t="s">
        <v>623</v>
      </c>
      <c r="F618">
        <v>92230</v>
      </c>
      <c r="G618" t="str">
        <f>ConvertStockCode(표.실시간[[#This Row],[코드]])</f>
        <v>N092230</v>
      </c>
      <c r="H618" s="2">
        <f>_xll.IMDP("STK",표.실시간[[#This Row],[nxt_code]],"현재가")</f>
        <v>76000</v>
      </c>
      <c r="I618" s="2">
        <f>_xll.IMDP("STK",표.실시간[[#This Row],[nxt_code]],"시가총액")/10^12</f>
        <v>0.321073096</v>
      </c>
      <c r="J618" s="2">
        <f>표.실시간[[#This Row],[시가총액 (조원)]]/표.실시간[[#This Row],[현재가]]*(표.실시간[[#This Row],[현재가]]-표.실시간[[#This Row],[대비]])</f>
        <v>0.32234048980000002</v>
      </c>
      <c r="K618" s="3">
        <f>_xll.IMDP("STK",표.실시간[[#This Row],[nxt_code]],"전일대비")</f>
        <v>-300</v>
      </c>
      <c r="L618">
        <f>_xll.IMDP("STK",표.실시간[[#This Row],[nxt_code]],"등락률")</f>
        <v>-0.39</v>
      </c>
      <c r="M618" s="2">
        <f>_xll.IMDP("STK",표.실시간[[#This Row],[nxt_code]],"누적거래량")</f>
        <v>115</v>
      </c>
      <c r="N618" s="2">
        <f>_xll.IMDP("STK",표.실시간[[#This Row],[nxt_code]],"누적거래대금")/10^8</f>
        <v>8.7623000000000006E-2</v>
      </c>
      <c r="O618" s="2">
        <f>_xll.IMDP("STK",표.실시간[[#This Row],[nxt_code]],"가중평균가")</f>
        <v>76193.913042999993</v>
      </c>
      <c r="P618" s="2">
        <f>_xll.IMDP("STK",표.실시간[[#This Row],[nxt_code]],"시가")</f>
        <v>76300</v>
      </c>
      <c r="Q618" s="2">
        <f>_xll.IMDP("STK",표.실시간[[#This Row],[nxt_code]],"고가")</f>
        <v>76300</v>
      </c>
      <c r="R618" s="2">
        <f>_xll.IMDP("STK",표.실시간[[#This Row],[nxt_code]],"저가")</f>
        <v>75500</v>
      </c>
      <c r="S618">
        <f>_xll.IMDP("STK",표.실시간[[#This Row],[nxt_code]],"세션명")</f>
        <v>0</v>
      </c>
      <c r="T618">
        <f>_xll.IMDP("STK",표.실시간[[#This Row],[nxt_code]],"체결시간")</f>
        <v>0</v>
      </c>
      <c r="U618" s="2">
        <f>_xll.IMDP("STK","092230","현재가")</f>
        <v>76300</v>
      </c>
      <c r="V618">
        <f>_xll.IMDP("STK","092230","누적거래량")</f>
        <v>151</v>
      </c>
    </row>
    <row r="619" spans="2:22" x14ac:dyDescent="0.3">
      <c r="B619">
        <v>611</v>
      </c>
      <c r="C619">
        <v>1</v>
      </c>
      <c r="D619">
        <f>IF(IFERROR(INDEX(표.kospi200[code],MATCH(표.실시간[[#This Row],[코드]],표.kospi200[code],0)),0)=0,0,1)</f>
        <v>0</v>
      </c>
      <c r="E619" t="s">
        <v>624</v>
      </c>
      <c r="F619">
        <v>2810</v>
      </c>
      <c r="G619" t="str">
        <f>ConvertStockCode(표.실시간[[#This Row],[코드]])</f>
        <v>N002810</v>
      </c>
      <c r="H619" s="2">
        <f>_xll.IMDP("STK",표.실시간[[#This Row],[nxt_code]],"현재가")</f>
        <v>17120</v>
      </c>
      <c r="I619" s="2">
        <f>_xll.IMDP("STK",표.실시간[[#This Row],[nxt_code]],"시가총액")/10^12</f>
        <v>0.31615414976</v>
      </c>
      <c r="J619" s="2">
        <f>표.실시간[[#This Row],[시가총액 (조원)]]/표.실시간[[#This Row],[현재가]]*(표.실시간[[#This Row],[현재가]]-표.실시간[[#This Row],[대비]])</f>
        <v>0.31984753935999999</v>
      </c>
      <c r="K619" s="3">
        <f>_xll.IMDP("STK",표.실시간[[#This Row],[nxt_code]],"전일대비")</f>
        <v>-200</v>
      </c>
      <c r="L619">
        <f>_xll.IMDP("STK",표.실시간[[#This Row],[nxt_code]],"등락률")</f>
        <v>-1.1499999999999999</v>
      </c>
      <c r="M619" s="2">
        <f>_xll.IMDP("STK",표.실시간[[#This Row],[nxt_code]],"누적거래량")</f>
        <v>1079</v>
      </c>
      <c r="N619" s="2">
        <f>_xll.IMDP("STK",표.실시간[[#This Row],[nxt_code]],"누적거래대금")/10^8</f>
        <v>0.18635669999999999</v>
      </c>
      <c r="O619" s="2">
        <f>_xll.IMDP("STK",표.실시간[[#This Row],[nxt_code]],"가중평균가")</f>
        <v>17271.241891000001</v>
      </c>
      <c r="P619" s="2">
        <f>_xll.IMDP("STK",표.실시간[[#This Row],[nxt_code]],"시가")</f>
        <v>17330</v>
      </c>
      <c r="Q619" s="2">
        <f>_xll.IMDP("STK",표.실시간[[#This Row],[nxt_code]],"고가")</f>
        <v>17610</v>
      </c>
      <c r="R619" s="2">
        <f>_xll.IMDP("STK",표.실시간[[#This Row],[nxt_code]],"저가")</f>
        <v>17120</v>
      </c>
      <c r="S619">
        <f>_xll.IMDP("STK",표.실시간[[#This Row],[nxt_code]],"세션명")</f>
        <v>0</v>
      </c>
      <c r="T619">
        <f>_xll.IMDP("STK",표.실시간[[#This Row],[nxt_code]],"체결시간")</f>
        <v>0</v>
      </c>
      <c r="U619" s="2">
        <f>_xll.IMDP("STK","002810","현재가")</f>
        <v>17140</v>
      </c>
      <c r="V619">
        <f>_xll.IMDP("STK","002810","누적거래량")</f>
        <v>278</v>
      </c>
    </row>
    <row r="620" spans="2:22" x14ac:dyDescent="0.3">
      <c r="B620">
        <v>612</v>
      </c>
      <c r="C620">
        <v>1</v>
      </c>
      <c r="D620">
        <f>IF(IFERROR(INDEX(표.kospi200[code],MATCH(표.실시간[[#This Row],[코드]],표.kospi200[code],0)),0)=0,0,1)</f>
        <v>0</v>
      </c>
      <c r="E620" t="s">
        <v>625</v>
      </c>
      <c r="F620">
        <v>3920</v>
      </c>
      <c r="G620" t="str">
        <f>ConvertStockCode(표.실시간[[#This Row],[코드]])</f>
        <v>N003920</v>
      </c>
      <c r="H620" s="2">
        <f>_xll.IMDP("STK",표.실시간[[#This Row],[nxt_code]],"현재가")</f>
        <v>47100</v>
      </c>
      <c r="I620" s="2">
        <f>_xll.IMDP("STK",표.실시간[[#This Row],[nxt_code]],"시가총액")/10^12</f>
        <v>0.28260000000000002</v>
      </c>
      <c r="J620" s="2">
        <f>표.실시간[[#This Row],[시가총액 (조원)]]/표.실시간[[#This Row],[현재가]]*(표.실시간[[#This Row],[현재가]]-표.실시간[[#This Row],[대비]])</f>
        <v>0.28710000000000002</v>
      </c>
      <c r="K620" s="3">
        <f>_xll.IMDP("STK",표.실시간[[#This Row],[nxt_code]],"전일대비")</f>
        <v>-750</v>
      </c>
      <c r="L620">
        <f>_xll.IMDP("STK",표.실시간[[#This Row],[nxt_code]],"등락률")</f>
        <v>-1.57</v>
      </c>
      <c r="M620" s="2">
        <f>_xll.IMDP("STK",표.실시간[[#This Row],[nxt_code]],"누적거래량")</f>
        <v>1493</v>
      </c>
      <c r="N620" s="2">
        <f>_xll.IMDP("STK",표.실시간[[#This Row],[nxt_code]],"누적거래대금")/10^8</f>
        <v>0.70959950000000005</v>
      </c>
      <c r="O620" s="2">
        <f>_xll.IMDP("STK",표.실시간[[#This Row],[nxt_code]],"가중평균가")</f>
        <v>47528.432686</v>
      </c>
      <c r="P620" s="2">
        <f>_xll.IMDP("STK",표.실시간[[#This Row],[nxt_code]],"시가")</f>
        <v>48000</v>
      </c>
      <c r="Q620" s="2">
        <f>_xll.IMDP("STK",표.실시간[[#This Row],[nxt_code]],"고가")</f>
        <v>48000</v>
      </c>
      <c r="R620" s="2">
        <f>_xll.IMDP("STK",표.실시간[[#This Row],[nxt_code]],"저가")</f>
        <v>47000</v>
      </c>
      <c r="S620">
        <f>_xll.IMDP("STK",표.실시간[[#This Row],[nxt_code]],"세션명")</f>
        <v>0</v>
      </c>
      <c r="T620">
        <f>_xll.IMDP("STK",표.실시간[[#This Row],[nxt_code]],"체결시간")</f>
        <v>0</v>
      </c>
      <c r="U620" s="2">
        <f>_xll.IMDP("STK","003920","현재가")</f>
        <v>47100</v>
      </c>
      <c r="V620">
        <f>_xll.IMDP("STK","003920","누적거래량")</f>
        <v>1922</v>
      </c>
    </row>
    <row r="621" spans="2:22" x14ac:dyDescent="0.3">
      <c r="B621">
        <v>613</v>
      </c>
      <c r="C621">
        <v>1</v>
      </c>
      <c r="D621">
        <f>IF(IFERROR(INDEX(표.kospi200[code],MATCH(표.실시간[[#This Row],[코드]],표.kospi200[code],0)),0)=0,0,1)</f>
        <v>0</v>
      </c>
      <c r="E621" t="s">
        <v>626</v>
      </c>
      <c r="F621">
        <v>3200</v>
      </c>
      <c r="G621" t="str">
        <f>ConvertStockCode(표.실시간[[#This Row],[코드]])</f>
        <v>N003200</v>
      </c>
      <c r="H621" s="2">
        <f>_xll.IMDP("STK",표.실시간[[#This Row],[nxt_code]],"현재가")</f>
        <v>13400</v>
      </c>
      <c r="I621" s="2">
        <f>_xll.IMDP("STK",표.실시간[[#This Row],[nxt_code]],"시가총액")/10^12</f>
        <v>0.30766399999999999</v>
      </c>
      <c r="J621" s="2">
        <f>표.실시간[[#This Row],[시가총액 (조원)]]/표.실시간[[#This Row],[현재가]]*(표.실시간[[#This Row],[현재가]]-표.실시간[[#This Row],[대비]])</f>
        <v>0.30238320000000002</v>
      </c>
      <c r="K621" s="3">
        <f>_xll.IMDP("STK",표.실시간[[#This Row],[nxt_code]],"전일대비")</f>
        <v>230</v>
      </c>
      <c r="L621">
        <f>_xll.IMDP("STK",표.실시간[[#This Row],[nxt_code]],"등락률")</f>
        <v>1.75</v>
      </c>
      <c r="M621" s="2">
        <f>_xll.IMDP("STK",표.실시간[[#This Row],[nxt_code]],"누적거래량")</f>
        <v>8996</v>
      </c>
      <c r="N621" s="2">
        <f>_xll.IMDP("STK",표.실시간[[#This Row],[nxt_code]],"누적거래대금")/10^8</f>
        <v>1.1854876000000001</v>
      </c>
      <c r="O621" s="2">
        <f>_xll.IMDP("STK",표.실시간[[#This Row],[nxt_code]],"가중평균가")</f>
        <v>13177.941306999999</v>
      </c>
      <c r="P621" s="2">
        <f>_xll.IMDP("STK",표.실시간[[#This Row],[nxt_code]],"시가")</f>
        <v>13140</v>
      </c>
      <c r="Q621" s="2">
        <f>_xll.IMDP("STK",표.실시간[[#This Row],[nxt_code]],"고가")</f>
        <v>13600</v>
      </c>
      <c r="R621" s="2">
        <f>_xll.IMDP("STK",표.실시간[[#This Row],[nxt_code]],"저가")</f>
        <v>12940</v>
      </c>
      <c r="S621">
        <f>_xll.IMDP("STK",표.실시간[[#This Row],[nxt_code]],"세션명")</f>
        <v>0</v>
      </c>
      <c r="T621">
        <f>_xll.IMDP("STK",표.실시간[[#This Row],[nxt_code]],"체결시간")</f>
        <v>0</v>
      </c>
      <c r="U621" s="2">
        <f>_xll.IMDP("STK","003200","현재가")</f>
        <v>13450</v>
      </c>
      <c r="V621">
        <f>_xll.IMDP("STK","003200","누적거래량")</f>
        <v>4469</v>
      </c>
    </row>
    <row r="622" spans="2:22" x14ac:dyDescent="0.3">
      <c r="B622">
        <v>614</v>
      </c>
      <c r="C622">
        <v>1</v>
      </c>
      <c r="D622">
        <f>IF(IFERROR(INDEX(표.kospi200[code],MATCH(표.실시간[[#This Row],[코드]],표.kospi200[code],0)),0)=0,0,1)</f>
        <v>0</v>
      </c>
      <c r="E622" t="s">
        <v>627</v>
      </c>
      <c r="F622">
        <v>2320</v>
      </c>
      <c r="G622" t="str">
        <f>ConvertStockCode(표.실시간[[#This Row],[코드]])</f>
        <v>N002320</v>
      </c>
      <c r="H622" s="2">
        <f>_xll.IMDP("STK",표.실시간[[#This Row],[nxt_code]],"현재가")</f>
        <v>19820</v>
      </c>
      <c r="I622" s="2">
        <f>_xll.IMDP("STK",표.실시간[[#This Row],[nxt_code]],"시가총액")/10^12</f>
        <v>0.30195789820000002</v>
      </c>
      <c r="J622" s="2">
        <f>표.실시간[[#This Row],[시가총액 (조원)]]/표.실시간[[#This Row],[현재가]]*(표.실시간[[#This Row],[현재가]]-표.실시간[[#This Row],[대비]])</f>
        <v>0.30256729860000003</v>
      </c>
      <c r="K622" s="3">
        <f>_xll.IMDP("STK",표.실시간[[#This Row],[nxt_code]],"전일대비")</f>
        <v>-40</v>
      </c>
      <c r="L622">
        <f>_xll.IMDP("STK",표.실시간[[#This Row],[nxt_code]],"등락률")</f>
        <v>-0.2</v>
      </c>
      <c r="M622" s="2">
        <f>_xll.IMDP("STK",표.실시간[[#This Row],[nxt_code]],"누적거래량")</f>
        <v>1433</v>
      </c>
      <c r="N622" s="2">
        <f>_xll.IMDP("STK",표.실시간[[#This Row],[nxt_code]],"누적거래대금")/10^8</f>
        <v>0.2852287</v>
      </c>
      <c r="O622" s="2">
        <f>_xll.IMDP("STK",표.실시간[[#This Row],[nxt_code]],"가중평균가")</f>
        <v>19904.305651999999</v>
      </c>
      <c r="P622" s="2">
        <f>_xll.IMDP("STK",표.실시간[[#This Row],[nxt_code]],"시가")</f>
        <v>20000</v>
      </c>
      <c r="Q622" s="2">
        <f>_xll.IMDP("STK",표.실시간[[#This Row],[nxt_code]],"고가")</f>
        <v>20150</v>
      </c>
      <c r="R622" s="2">
        <f>_xll.IMDP("STK",표.실시간[[#This Row],[nxt_code]],"저가")</f>
        <v>19820</v>
      </c>
      <c r="S622">
        <f>_xll.IMDP("STK",표.실시간[[#This Row],[nxt_code]],"세션명")</f>
        <v>0</v>
      </c>
      <c r="T622">
        <f>_xll.IMDP("STK",표.실시간[[#This Row],[nxt_code]],"체결시간")</f>
        <v>0</v>
      </c>
      <c r="U622" s="2">
        <f>_xll.IMDP("STK","002320","현재가")</f>
        <v>19970</v>
      </c>
      <c r="V622">
        <f>_xll.IMDP("STK","002320","누적거래량")</f>
        <v>1594</v>
      </c>
    </row>
    <row r="623" spans="2:22" x14ac:dyDescent="0.3">
      <c r="B623">
        <v>615</v>
      </c>
      <c r="C623">
        <v>0</v>
      </c>
      <c r="D623">
        <f>IF(IFERROR(INDEX(표.kospi200[code],MATCH(표.실시간[[#This Row],[코드]],표.kospi200[code],0)),0)=0,0,1)</f>
        <v>0</v>
      </c>
      <c r="E623" t="s">
        <v>628</v>
      </c>
      <c r="F623">
        <v>67080</v>
      </c>
      <c r="G623" t="str">
        <f>ConvertStockCode(표.실시간[[#This Row],[코드]])</f>
        <v>N067080</v>
      </c>
      <c r="H623" s="2">
        <f>_xll.IMDP("STK",표.실시간[[#This Row],[nxt_code]],"현재가")</f>
        <v>16095</v>
      </c>
      <c r="I623" s="2">
        <f>_xll.IMDP("STK",표.실시간[[#This Row],[nxt_code]],"시가총액")/10^12</f>
        <v>0.29963498174999997</v>
      </c>
      <c r="J623" s="2">
        <f>표.실시간[[#This Row],[시가총액 (조원)]]/표.실시간[[#This Row],[현재가]]*(표.실시간[[#This Row],[현재가]]-표.실시간[[#This Row],[대비]])</f>
        <v>0.30736089149999996</v>
      </c>
      <c r="K623" s="3">
        <f>_xll.IMDP("STK",표.실시간[[#This Row],[nxt_code]],"전일대비")</f>
        <v>-415</v>
      </c>
      <c r="L623">
        <f>_xll.IMDP("STK",표.실시간[[#This Row],[nxt_code]],"등락률")</f>
        <v>-2.5099999999999998</v>
      </c>
      <c r="M623" s="2">
        <f>_xll.IMDP("STK",표.실시간[[#This Row],[nxt_code]],"누적거래량")</f>
        <v>34370</v>
      </c>
      <c r="N623" s="2">
        <f>_xll.IMDP("STK",표.실시간[[#This Row],[nxt_code]],"누적거래대금")/10^8</f>
        <v>5.5657091999999997</v>
      </c>
      <c r="O623" s="2">
        <f>_xll.IMDP("STK",표.실시간[[#This Row],[nxt_code]],"가중평균가")</f>
        <v>16179.387209</v>
      </c>
      <c r="P623" s="2">
        <f>_xll.IMDP("STK",표.실시간[[#This Row],[nxt_code]],"시가")</f>
        <v>16460</v>
      </c>
      <c r="Q623" s="2">
        <f>_xll.IMDP("STK",표.실시간[[#This Row],[nxt_code]],"고가")</f>
        <v>16460</v>
      </c>
      <c r="R623" s="2">
        <f>_xll.IMDP("STK",표.실시간[[#This Row],[nxt_code]],"저가")</f>
        <v>15990</v>
      </c>
      <c r="S623">
        <f>_xll.IMDP("STK",표.실시간[[#This Row],[nxt_code]],"세션명")</f>
        <v>0</v>
      </c>
      <c r="T623">
        <f>_xll.IMDP("STK",표.실시간[[#This Row],[nxt_code]],"체결시간")</f>
        <v>0</v>
      </c>
      <c r="U623" s="2">
        <f>_xll.IMDP("STK","067080","현재가")</f>
        <v>16100</v>
      </c>
      <c r="V623">
        <f>_xll.IMDP("STK","067080","누적거래량")</f>
        <v>20340</v>
      </c>
    </row>
    <row r="624" spans="2:22" x14ac:dyDescent="0.3">
      <c r="B624">
        <v>616</v>
      </c>
      <c r="C624">
        <v>0</v>
      </c>
      <c r="D624">
        <f>IF(IFERROR(INDEX(표.kospi200[code],MATCH(표.실시간[[#This Row],[코드]],표.kospi200[code],0)),0)=0,0,1)</f>
        <v>0</v>
      </c>
      <c r="E624" t="s">
        <v>629</v>
      </c>
      <c r="F624">
        <v>36890</v>
      </c>
      <c r="G624" t="str">
        <f>ConvertStockCode(표.실시간[[#This Row],[코드]])</f>
        <v>N036890</v>
      </c>
      <c r="H624" s="2">
        <f>_xll.IMDP("STK",표.실시간[[#This Row],[nxt_code]],"현재가")</f>
        <v>14060</v>
      </c>
      <c r="I624" s="2">
        <f>_xll.IMDP("STK",표.실시간[[#This Row],[nxt_code]],"시가총액")/10^12</f>
        <v>0.30977867937999998</v>
      </c>
      <c r="J624" s="2">
        <f>표.실시간[[#This Row],[시가총액 (조원)]]/표.실시간[[#This Row],[현재가]]*(표.실시간[[#This Row],[현재가]]-표.실시간[[#This Row],[대비]])</f>
        <v>0.31594781381999998</v>
      </c>
      <c r="K624" s="3">
        <f>_xll.IMDP("STK",표.실시간[[#This Row],[nxt_code]],"전일대비")</f>
        <v>-280</v>
      </c>
      <c r="L624">
        <f>_xll.IMDP("STK",표.실시간[[#This Row],[nxt_code]],"등락률")</f>
        <v>-1.95</v>
      </c>
      <c r="M624" s="2">
        <f>_xll.IMDP("STK",표.실시간[[#This Row],[nxt_code]],"누적거래량")</f>
        <v>22103</v>
      </c>
      <c r="N624" s="2">
        <f>_xll.IMDP("STK",표.실시간[[#This Row],[nxt_code]],"누적거래대금")/10^8</f>
        <v>3.0825151000000002</v>
      </c>
      <c r="O624" s="2">
        <f>_xll.IMDP("STK",표.실시간[[#This Row],[nxt_code]],"가중평균가")</f>
        <v>13991.302991</v>
      </c>
      <c r="P624" s="2">
        <f>_xll.IMDP("STK",표.실시간[[#This Row],[nxt_code]],"시가")</f>
        <v>14180</v>
      </c>
      <c r="Q624" s="2">
        <f>_xll.IMDP("STK",표.실시간[[#This Row],[nxt_code]],"고가")</f>
        <v>14180</v>
      </c>
      <c r="R624" s="2">
        <f>_xll.IMDP("STK",표.실시간[[#This Row],[nxt_code]],"저가")</f>
        <v>13920</v>
      </c>
      <c r="S624">
        <f>_xll.IMDP("STK",표.실시간[[#This Row],[nxt_code]],"세션명")</f>
        <v>0</v>
      </c>
      <c r="T624">
        <f>_xll.IMDP("STK",표.실시간[[#This Row],[nxt_code]],"체결시간")</f>
        <v>0</v>
      </c>
      <c r="U624" s="2">
        <f>_xll.IMDP("STK","036890","현재가")</f>
        <v>14060</v>
      </c>
      <c r="V624">
        <f>_xll.IMDP("STK","036890","누적거래량")</f>
        <v>6815</v>
      </c>
    </row>
    <row r="625" spans="2:22" x14ac:dyDescent="0.3">
      <c r="B625">
        <v>617</v>
      </c>
      <c r="C625">
        <v>0</v>
      </c>
      <c r="D625">
        <f>IF(IFERROR(INDEX(표.kospi200[code],MATCH(표.실시간[[#This Row],[코드]],표.kospi200[code],0)),0)=0,0,1)</f>
        <v>0</v>
      </c>
      <c r="E625" t="s">
        <v>630</v>
      </c>
      <c r="F625">
        <v>308430</v>
      </c>
      <c r="G625" t="str">
        <f>ConvertStockCode(표.실시간[[#This Row],[코드]])</f>
        <v>N308430</v>
      </c>
      <c r="H625" s="2">
        <f>_xll.IMDP("STK",표.실시간[[#This Row],[nxt_code]],"현재가")</f>
        <v>24500</v>
      </c>
      <c r="I625" s="2">
        <f>_xll.IMDP("STK",표.실시간[[#This Row],[nxt_code]],"시가총액")/10^12</f>
        <v>0.31437199500000002</v>
      </c>
      <c r="J625" s="2">
        <f>표.실시간[[#This Row],[시가총액 (조원)]]/표.실시간[[#This Row],[현재가]]*(표.실시간[[#This Row],[현재가]]-표.실시간[[#This Row],[대비]])</f>
        <v>0.32848665600000004</v>
      </c>
      <c r="K625" s="3">
        <f>_xll.IMDP("STK",표.실시간[[#This Row],[nxt_code]],"전일대비")</f>
        <v>-1100</v>
      </c>
      <c r="L625">
        <f>_xll.IMDP("STK",표.실시간[[#This Row],[nxt_code]],"등락률")</f>
        <v>-4.3</v>
      </c>
      <c r="M625" s="2">
        <f>_xll.IMDP("STK",표.실시간[[#This Row],[nxt_code]],"누적거래량")</f>
        <v>28511</v>
      </c>
      <c r="N625" s="2">
        <f>_xll.IMDP("STK",표.실시간[[#This Row],[nxt_code]],"누적거래대금")/10^8</f>
        <v>7.0741719999999999</v>
      </c>
      <c r="O625" s="2">
        <f>_xll.IMDP("STK",표.실시간[[#This Row],[nxt_code]],"가중평균가")</f>
        <v>24812.079548000002</v>
      </c>
      <c r="P625" s="2">
        <f>_xll.IMDP("STK",표.실시간[[#This Row],[nxt_code]],"시가")</f>
        <v>25250</v>
      </c>
      <c r="Q625" s="2">
        <f>_xll.IMDP("STK",표.실시간[[#This Row],[nxt_code]],"고가")</f>
        <v>25550</v>
      </c>
      <c r="R625" s="2">
        <f>_xll.IMDP("STK",표.실시간[[#This Row],[nxt_code]],"저가")</f>
        <v>24400</v>
      </c>
      <c r="S625">
        <f>_xll.IMDP("STK",표.실시간[[#This Row],[nxt_code]],"세션명")</f>
        <v>0</v>
      </c>
      <c r="T625">
        <f>_xll.IMDP("STK",표.실시간[[#This Row],[nxt_code]],"체결시간")</f>
        <v>0</v>
      </c>
      <c r="U625" s="2">
        <f>_xll.IMDP("STK","308430","현재가")</f>
        <v>24650</v>
      </c>
      <c r="V625">
        <f>_xll.IMDP("STK","308430","누적거래량")</f>
        <v>34797</v>
      </c>
    </row>
    <row r="626" spans="2:22" x14ac:dyDescent="0.3">
      <c r="B626">
        <v>618</v>
      </c>
      <c r="C626">
        <v>1</v>
      </c>
      <c r="D626">
        <f>IF(IFERROR(INDEX(표.kospi200[code],MATCH(표.실시간[[#This Row],[코드]],표.kospi200[code],0)),0)=0,0,1)</f>
        <v>0</v>
      </c>
      <c r="E626" t="s">
        <v>631</v>
      </c>
      <c r="F626">
        <v>5090</v>
      </c>
      <c r="G626" t="str">
        <f>ConvertStockCode(표.실시간[[#This Row],[코드]])</f>
        <v>N005090</v>
      </c>
      <c r="H626" s="2">
        <f>_xll.IMDP("STK",표.실시간[[#This Row],[nxt_code]],"현재가")</f>
        <v>21650</v>
      </c>
      <c r="I626" s="2">
        <f>_xll.IMDP("STK",표.실시간[[#This Row],[nxt_code]],"시가총액")/10^12</f>
        <v>0.31196205945</v>
      </c>
      <c r="J626" s="2">
        <f>표.실시간[[#This Row],[시가총액 (조원)]]/표.실시간[[#This Row],[현재가]]*(표.실시간[[#This Row],[현재가]]-표.실시간[[#This Row],[대비]])</f>
        <v>0.31412345939999997</v>
      </c>
      <c r="K626" s="3">
        <f>_xll.IMDP("STK",표.실시간[[#This Row],[nxt_code]],"전일대비")</f>
        <v>-150</v>
      </c>
      <c r="L626">
        <f>_xll.IMDP("STK",표.실시간[[#This Row],[nxt_code]],"등락률")</f>
        <v>-0.69</v>
      </c>
      <c r="M626" s="2">
        <f>_xll.IMDP("STK",표.실시간[[#This Row],[nxt_code]],"누적거래량")</f>
        <v>2180</v>
      </c>
      <c r="N626" s="2">
        <f>_xll.IMDP("STK",표.실시간[[#This Row],[nxt_code]],"누적거래대금")/10^8</f>
        <v>0.47492499999999999</v>
      </c>
      <c r="O626" s="2">
        <f>_xll.IMDP("STK",표.실시간[[#This Row],[nxt_code]],"가중평균가")</f>
        <v>21785.550458999998</v>
      </c>
      <c r="P626" s="2">
        <f>_xll.IMDP("STK",표.실시간[[#This Row],[nxt_code]],"시가")</f>
        <v>21750</v>
      </c>
      <c r="Q626" s="2">
        <f>_xll.IMDP("STK",표.실시간[[#This Row],[nxt_code]],"고가")</f>
        <v>21900</v>
      </c>
      <c r="R626" s="2">
        <f>_xll.IMDP("STK",표.실시간[[#This Row],[nxt_code]],"저가")</f>
        <v>21650</v>
      </c>
      <c r="S626">
        <f>_xll.IMDP("STK",표.실시간[[#This Row],[nxt_code]],"세션명")</f>
        <v>0</v>
      </c>
      <c r="T626">
        <f>_xll.IMDP("STK",표.실시간[[#This Row],[nxt_code]],"체결시간")</f>
        <v>0</v>
      </c>
      <c r="U626" s="2">
        <f>_xll.IMDP("STK","005090","현재가")</f>
        <v>21800</v>
      </c>
      <c r="V626">
        <f>_xll.IMDP("STK","005090","누적거래량")</f>
        <v>2119</v>
      </c>
    </row>
    <row r="627" spans="2:22" x14ac:dyDescent="0.3">
      <c r="B627">
        <v>619</v>
      </c>
      <c r="C627">
        <v>0</v>
      </c>
      <c r="D627">
        <f>IF(IFERROR(INDEX(표.kospi200[code],MATCH(표.실시간[[#This Row],[코드]],표.kospi200[code],0)),0)=0,0,1)</f>
        <v>0</v>
      </c>
      <c r="E627" t="s">
        <v>632</v>
      </c>
      <c r="F627">
        <v>394280</v>
      </c>
      <c r="G627" t="str">
        <f>ConvertStockCode(표.실시간[[#This Row],[코드]])</f>
        <v>N394280</v>
      </c>
      <c r="H627" s="2">
        <f>_xll.IMDP("STK",표.실시간[[#This Row],[nxt_code]],"현재가")</f>
        <v>15030</v>
      </c>
      <c r="I627" s="2">
        <f>_xll.IMDP("STK",표.실시간[[#This Row],[nxt_code]],"시가총액")/10^12</f>
        <v>0.33155547236999999</v>
      </c>
      <c r="J627" s="2">
        <f>표.실시간[[#This Row],[시가총액 (조원)]]/표.실시간[[#This Row],[현재가]]*(표.실시간[[#This Row],[현재가]]-표.실시간[[#This Row],[대비]])</f>
        <v>0.35185028504999999</v>
      </c>
      <c r="K627" s="3">
        <f>_xll.IMDP("STK",표.실시간[[#This Row],[nxt_code]],"전일대비")</f>
        <v>-920</v>
      </c>
      <c r="L627">
        <f>_xll.IMDP("STK",표.실시간[[#This Row],[nxt_code]],"등락률")</f>
        <v>-5.47</v>
      </c>
      <c r="M627" s="2">
        <f>_xll.IMDP("STK",표.실시간[[#This Row],[nxt_code]],"누적거래량")</f>
        <v>124473</v>
      </c>
      <c r="N627" s="2">
        <f>_xll.IMDP("STK",표.실시간[[#This Row],[nxt_code]],"누적거래대금")/10^8</f>
        <v>18.735956900000001</v>
      </c>
      <c r="O627" s="2">
        <f>_xll.IMDP("STK",표.실시간[[#This Row],[nxt_code]],"가중평균가")</f>
        <v>15052.225704</v>
      </c>
      <c r="P627" s="2">
        <f>_xll.IMDP("STK",표.실시간[[#This Row],[nxt_code]],"시가")</f>
        <v>15610</v>
      </c>
      <c r="Q627" s="2">
        <f>_xll.IMDP("STK",표.실시간[[#This Row],[nxt_code]],"고가")</f>
        <v>15750</v>
      </c>
      <c r="R627" s="2">
        <f>_xll.IMDP("STK",표.실시간[[#This Row],[nxt_code]],"저가")</f>
        <v>14680</v>
      </c>
      <c r="S627">
        <f>_xll.IMDP("STK",표.실시간[[#This Row],[nxt_code]],"세션명")</f>
        <v>0</v>
      </c>
      <c r="T627">
        <f>_xll.IMDP("STK",표.실시간[[#This Row],[nxt_code]],"체결시간")</f>
        <v>0</v>
      </c>
      <c r="U627" s="2">
        <f>_xll.IMDP("STK","394280","현재가")</f>
        <v>14930</v>
      </c>
      <c r="V627">
        <f>_xll.IMDP("STK","394280","누적거래량")</f>
        <v>51459</v>
      </c>
    </row>
    <row r="628" spans="2:22" x14ac:dyDescent="0.3">
      <c r="B628">
        <v>620</v>
      </c>
      <c r="C628">
        <v>1</v>
      </c>
      <c r="D628">
        <f>IF(IFERROR(INDEX(표.kospi200[code],MATCH(표.실시간[[#This Row],[코드]],표.kospi200[code],0)),0)=0,0,1)</f>
        <v>0</v>
      </c>
      <c r="E628" t="s">
        <v>633</v>
      </c>
      <c r="F628">
        <v>33270</v>
      </c>
      <c r="G628" t="str">
        <f>ConvertStockCode(표.실시간[[#This Row],[코드]])</f>
        <v>N033270</v>
      </c>
      <c r="H628" s="2">
        <f>_xll.IMDP("STK",표.실시간[[#This Row],[nxt_code]],"현재가")</f>
        <v>18900</v>
      </c>
      <c r="I628" s="2">
        <f>_xll.IMDP("STK",표.실시간[[#This Row],[nxt_code]],"시가총액")/10^12</f>
        <v>0.30870923579999998</v>
      </c>
      <c r="J628" s="2">
        <f>표.실시간[[#This Row],[시가총액 (조원)]]/표.실시간[[#This Row],[현재가]]*(표.실시간[[#This Row],[현재가]]-표.실시간[[#This Row],[대비]])</f>
        <v>0.31164932375999999</v>
      </c>
      <c r="K628" s="3">
        <f>_xll.IMDP("STK",표.실시간[[#This Row],[nxt_code]],"전일대비")</f>
        <v>-180</v>
      </c>
      <c r="L628">
        <f>_xll.IMDP("STK",표.실시간[[#This Row],[nxt_code]],"등락률")</f>
        <v>-0.94</v>
      </c>
      <c r="M628" s="2">
        <f>_xll.IMDP("STK",표.실시간[[#This Row],[nxt_code]],"누적거래량")</f>
        <v>3433</v>
      </c>
      <c r="N628" s="2">
        <f>_xll.IMDP("STK",표.실시간[[#This Row],[nxt_code]],"누적거래대금")/10^8</f>
        <v>0.66705340000000002</v>
      </c>
      <c r="O628" s="2">
        <f>_xll.IMDP("STK",표.실시간[[#This Row],[nxt_code]],"가중평균가")</f>
        <v>18827.360993999999</v>
      </c>
      <c r="P628" s="2">
        <f>_xll.IMDP("STK",표.실시간[[#This Row],[nxt_code]],"시가")</f>
        <v>19080</v>
      </c>
      <c r="Q628" s="2">
        <f>_xll.IMDP("STK",표.실시간[[#This Row],[nxt_code]],"고가")</f>
        <v>19080</v>
      </c>
      <c r="R628" s="2">
        <f>_xll.IMDP("STK",표.실시간[[#This Row],[nxt_code]],"저가")</f>
        <v>18780</v>
      </c>
      <c r="S628">
        <f>_xll.IMDP("STK",표.실시간[[#This Row],[nxt_code]],"세션명")</f>
        <v>0</v>
      </c>
      <c r="T628">
        <f>_xll.IMDP("STK",표.실시간[[#This Row],[nxt_code]],"체결시간")</f>
        <v>0</v>
      </c>
      <c r="U628" s="2">
        <f>_xll.IMDP("STK","033270","현재가")</f>
        <v>18860</v>
      </c>
      <c r="V628">
        <f>_xll.IMDP("STK","033270","누적거래량")</f>
        <v>1163</v>
      </c>
    </row>
    <row r="629" spans="2:22" x14ac:dyDescent="0.3">
      <c r="B629">
        <v>621</v>
      </c>
      <c r="C629">
        <v>0</v>
      </c>
      <c r="D629">
        <f>IF(IFERROR(INDEX(표.kospi200[code],MATCH(표.실시간[[#This Row],[코드]],표.kospi200[code],0)),0)=0,0,1)</f>
        <v>0</v>
      </c>
      <c r="E629" t="s">
        <v>634</v>
      </c>
      <c r="F629">
        <v>36200</v>
      </c>
      <c r="G629" t="str">
        <f>ConvertStockCode(표.실시간[[#This Row],[코드]])</f>
        <v>N036200</v>
      </c>
      <c r="H629" s="2">
        <f>_xll.IMDP("STK",표.실시간[[#This Row],[nxt_code]],"현재가")</f>
        <v>11170</v>
      </c>
      <c r="I629" s="2">
        <f>_xll.IMDP("STK",표.실시간[[#This Row],[nxt_code]],"시가총액")/10^12</f>
        <v>0.34251937091000001</v>
      </c>
      <c r="J629" s="2">
        <f>표.실시간[[#This Row],[시가총액 (조원)]]/표.실시간[[#This Row],[현재가]]*(표.실시간[[#This Row],[현재가]]-표.실시간[[#This Row],[대비]])</f>
        <v>0.35171863781000001</v>
      </c>
      <c r="K629" s="3">
        <f>_xll.IMDP("STK",표.실시간[[#This Row],[nxt_code]],"전일대비")</f>
        <v>-300</v>
      </c>
      <c r="L629">
        <f>_xll.IMDP("STK",표.실시간[[#This Row],[nxt_code]],"등락률")</f>
        <v>-2.79</v>
      </c>
      <c r="M629" s="2">
        <f>_xll.IMDP("STK",표.실시간[[#This Row],[nxt_code]],"누적거래량")</f>
        <v>315321</v>
      </c>
      <c r="N629" s="2">
        <f>_xll.IMDP("STK",표.실시간[[#This Row],[nxt_code]],"누적거래대금")/10^8</f>
        <v>35.403866299999997</v>
      </c>
      <c r="O629" s="2">
        <f>_xll.IMDP("STK",표.실시간[[#This Row],[nxt_code]],"가중평균가")</f>
        <v>11227.88089</v>
      </c>
      <c r="P629" s="2">
        <f>_xll.IMDP("STK",표.실시간[[#This Row],[nxt_code]],"시가")</f>
        <v>11360</v>
      </c>
      <c r="Q629" s="2">
        <f>_xll.IMDP("STK",표.실시간[[#This Row],[nxt_code]],"고가")</f>
        <v>11720</v>
      </c>
      <c r="R629" s="2">
        <f>_xll.IMDP("STK",표.실시간[[#This Row],[nxt_code]],"저가")</f>
        <v>10910</v>
      </c>
      <c r="S629">
        <f>_xll.IMDP("STK",표.실시간[[#This Row],[nxt_code]],"세션명")</f>
        <v>0</v>
      </c>
      <c r="T629">
        <f>_xll.IMDP("STK",표.실시간[[#This Row],[nxt_code]],"체결시간")</f>
        <v>0</v>
      </c>
      <c r="U629" s="2">
        <f>_xll.IMDP("STK","036200","현재가")</f>
        <v>11190</v>
      </c>
      <c r="V629">
        <f>_xll.IMDP("STK","036200","누적거래량")</f>
        <v>61971</v>
      </c>
    </row>
    <row r="630" spans="2:22" x14ac:dyDescent="0.3">
      <c r="B630">
        <v>622</v>
      </c>
      <c r="C630">
        <v>0</v>
      </c>
      <c r="D630">
        <f>IF(IFERROR(INDEX(표.kospi200[code],MATCH(표.실시간[[#This Row],[코드]],표.kospi200[code],0)),0)=0,0,1)</f>
        <v>0</v>
      </c>
      <c r="E630" t="s">
        <v>635</v>
      </c>
      <c r="F630">
        <v>93520</v>
      </c>
      <c r="G630" t="str">
        <f>ConvertStockCode(표.실시간[[#This Row],[코드]])</f>
        <v>N093520</v>
      </c>
      <c r="H630" s="2">
        <f>_xll.IMDP("STK",표.실시간[[#This Row],[nxt_code]],"현재가")</f>
        <v>23300</v>
      </c>
      <c r="I630" s="2">
        <f>_xll.IMDP("STK",표.실시간[[#This Row],[nxt_code]],"시가총액")/10^12</f>
        <v>0.33000004360000001</v>
      </c>
      <c r="J630" s="2">
        <f>표.실시간[[#This Row],[시가총액 (조원)]]/표.실시간[[#This Row],[현재가]]*(표.실시간[[#This Row],[현재가]]-표.실시간[[#This Row],[대비]])</f>
        <v>0.33849789880000003</v>
      </c>
      <c r="K630" s="3">
        <f>_xll.IMDP("STK",표.실시간[[#This Row],[nxt_code]],"전일대비")</f>
        <v>-600</v>
      </c>
      <c r="L630">
        <f>_xll.IMDP("STK",표.실시간[[#This Row],[nxt_code]],"등락률")</f>
        <v>-2.5099999999999998</v>
      </c>
      <c r="M630" s="2">
        <f>_xll.IMDP("STK",표.실시간[[#This Row],[nxt_code]],"누적거래량")</f>
        <v>13903</v>
      </c>
      <c r="N630" s="2">
        <f>_xll.IMDP("STK",표.실시간[[#This Row],[nxt_code]],"누적거래대금")/10^8</f>
        <v>3.225298</v>
      </c>
      <c r="O630" s="2">
        <f>_xll.IMDP("STK",표.실시간[[#This Row],[nxt_code]],"가중평균가")</f>
        <v>23198.575847</v>
      </c>
      <c r="P630" s="2">
        <f>_xll.IMDP("STK",표.실시간[[#This Row],[nxt_code]],"시가")</f>
        <v>23400</v>
      </c>
      <c r="Q630" s="2">
        <f>_xll.IMDP("STK",표.실시간[[#This Row],[nxt_code]],"고가")</f>
        <v>23650</v>
      </c>
      <c r="R630" s="2">
        <f>_xll.IMDP("STK",표.실시간[[#This Row],[nxt_code]],"저가")</f>
        <v>22850</v>
      </c>
      <c r="S630">
        <f>_xll.IMDP("STK",표.실시간[[#This Row],[nxt_code]],"세션명")</f>
        <v>0</v>
      </c>
      <c r="T630">
        <f>_xll.IMDP("STK",표.실시간[[#This Row],[nxt_code]],"체결시간")</f>
        <v>0</v>
      </c>
      <c r="U630" s="2">
        <f>_xll.IMDP("STK","093520","현재가")</f>
        <v>23250</v>
      </c>
      <c r="V630">
        <f>_xll.IMDP("STK","093520","누적거래량")</f>
        <v>3989</v>
      </c>
    </row>
    <row r="631" spans="2:22" x14ac:dyDescent="0.3">
      <c r="B631">
        <v>623</v>
      </c>
      <c r="C631">
        <v>1</v>
      </c>
      <c r="D631">
        <f>IF(IFERROR(INDEX(표.kospi200[code],MATCH(표.실시간[[#This Row],[코드]],표.kospi200[code],0)),0)=0,0,1)</f>
        <v>0</v>
      </c>
      <c r="E631" t="s">
        <v>636</v>
      </c>
      <c r="F631">
        <v>490</v>
      </c>
      <c r="G631" t="str">
        <f>ConvertStockCode(표.실시간[[#This Row],[코드]])</f>
        <v>N000490</v>
      </c>
      <c r="H631" s="2">
        <f>_xll.IMDP("STK",표.실시간[[#This Row],[nxt_code]],"현재가")</f>
        <v>9780</v>
      </c>
      <c r="I631" s="2">
        <f>_xll.IMDP("STK",표.실시간[[#This Row],[nxt_code]],"시가총액")/10^12</f>
        <v>0.28192673969999998</v>
      </c>
      <c r="J631" s="2">
        <f>표.실시간[[#This Row],[시가총액 (조원)]]/표.실시간[[#This Row],[현재가]]*(표.실시간[[#This Row],[현재가]]-표.실시간[[#This Row],[대비]])</f>
        <v>0.28394462025</v>
      </c>
      <c r="K631" s="3">
        <f>_xll.IMDP("STK",표.실시간[[#This Row],[nxt_code]],"전일대비")</f>
        <v>-70</v>
      </c>
      <c r="L631">
        <f>_xll.IMDP("STK",표.실시간[[#This Row],[nxt_code]],"등락률")</f>
        <v>-0.71</v>
      </c>
      <c r="M631" s="2">
        <f>_xll.IMDP("STK",표.실시간[[#This Row],[nxt_code]],"누적거래량")</f>
        <v>15804</v>
      </c>
      <c r="N631" s="2">
        <f>_xll.IMDP("STK",표.실시간[[#This Row],[nxt_code]],"누적거래대금")/10^8</f>
        <v>1.5464351000000001</v>
      </c>
      <c r="O631" s="2">
        <f>_xll.IMDP("STK",표.실시간[[#This Row],[nxt_code]],"가중평균가")</f>
        <v>9785.0866870000009</v>
      </c>
      <c r="P631" s="2">
        <f>_xll.IMDP("STK",표.실시간[[#This Row],[nxt_code]],"시가")</f>
        <v>9800</v>
      </c>
      <c r="Q631" s="2">
        <f>_xll.IMDP("STK",표.실시간[[#This Row],[nxt_code]],"고가")</f>
        <v>9950</v>
      </c>
      <c r="R631" s="2">
        <f>_xll.IMDP("STK",표.실시간[[#This Row],[nxt_code]],"저가")</f>
        <v>9670</v>
      </c>
      <c r="S631">
        <f>_xll.IMDP("STK",표.실시간[[#This Row],[nxt_code]],"세션명")</f>
        <v>0</v>
      </c>
      <c r="T631">
        <f>_xll.IMDP("STK",표.실시간[[#This Row],[nxt_code]],"체결시간")</f>
        <v>0</v>
      </c>
      <c r="U631" s="2">
        <f>_xll.IMDP("STK","000490","현재가")</f>
        <v>9810</v>
      </c>
      <c r="V631">
        <f>_xll.IMDP("STK","000490","누적거래량")</f>
        <v>9930</v>
      </c>
    </row>
    <row r="632" spans="2:22" x14ac:dyDescent="0.3">
      <c r="B632">
        <v>624</v>
      </c>
      <c r="C632">
        <v>0</v>
      </c>
      <c r="D632">
        <f>IF(IFERROR(INDEX(표.kospi200[code],MATCH(표.실시간[[#This Row],[코드]],표.kospi200[code],0)),0)=0,0,1)</f>
        <v>0</v>
      </c>
      <c r="E632" t="s">
        <v>637</v>
      </c>
      <c r="F632">
        <v>206640</v>
      </c>
      <c r="G632" t="str">
        <f>ConvertStockCode(표.실시간[[#This Row],[코드]])</f>
        <v>N206640</v>
      </c>
      <c r="H632" s="2">
        <f>_xll.IMDP("STK",표.실시간[[#This Row],[nxt_code]],"현재가")</f>
        <v>12810</v>
      </c>
      <c r="I632" s="2">
        <f>_xll.IMDP("STK",표.실시간[[#This Row],[nxt_code]],"시가총액")/10^12</f>
        <v>0.30086283359999999</v>
      </c>
      <c r="J632" s="2">
        <f>표.실시간[[#This Row],[시가총액 (조원)]]/표.실시간[[#This Row],[현재가]]*(표.실시간[[#This Row],[현재가]]-표.실시간[[#This Row],[대비]])</f>
        <v>0.30602987679999999</v>
      </c>
      <c r="K632" s="3">
        <f>_xll.IMDP("STK",표.실시간[[#This Row],[nxt_code]],"전일대비")</f>
        <v>-220</v>
      </c>
      <c r="L632">
        <f>_xll.IMDP("STK",표.실시간[[#This Row],[nxt_code]],"등락률")</f>
        <v>-1.69</v>
      </c>
      <c r="M632" s="2">
        <f>_xll.IMDP("STK",표.실시간[[#This Row],[nxt_code]],"누적거래량")</f>
        <v>9099</v>
      </c>
      <c r="N632" s="2">
        <f>_xll.IMDP("STK",표.실시간[[#This Row],[nxt_code]],"누적거래대금")/10^8</f>
        <v>1.1704017</v>
      </c>
      <c r="O632" s="2">
        <f>_xll.IMDP("STK",표.실시간[[#This Row],[nxt_code]],"가중평균가")</f>
        <v>12862.970656</v>
      </c>
      <c r="P632" s="2">
        <f>_xll.IMDP("STK",표.실시간[[#This Row],[nxt_code]],"시가")</f>
        <v>13050</v>
      </c>
      <c r="Q632" s="2">
        <f>_xll.IMDP("STK",표.실시간[[#This Row],[nxt_code]],"고가")</f>
        <v>13050</v>
      </c>
      <c r="R632" s="2">
        <f>_xll.IMDP("STK",표.실시간[[#This Row],[nxt_code]],"저가")</f>
        <v>12810</v>
      </c>
      <c r="S632">
        <f>_xll.IMDP("STK",표.실시간[[#This Row],[nxt_code]],"세션명")</f>
        <v>0</v>
      </c>
      <c r="T632">
        <f>_xll.IMDP("STK",표.실시간[[#This Row],[nxt_code]],"체결시간")</f>
        <v>0</v>
      </c>
      <c r="U632" s="2">
        <f>_xll.IMDP("STK","206640","현재가")</f>
        <v>12810</v>
      </c>
      <c r="V632">
        <f>_xll.IMDP("STK","206640","누적거래량")</f>
        <v>7004</v>
      </c>
    </row>
    <row r="633" spans="2:22" x14ac:dyDescent="0.3">
      <c r="B633">
        <v>625</v>
      </c>
      <c r="C633">
        <v>1</v>
      </c>
      <c r="D633">
        <f>IF(IFERROR(INDEX(표.kospi200[code],MATCH(표.실시간[[#This Row],[코드]],표.kospi200[code],0)),0)=0,0,1)</f>
        <v>0</v>
      </c>
      <c r="E633" t="s">
        <v>638</v>
      </c>
      <c r="F633">
        <v>3120</v>
      </c>
      <c r="G633" t="str">
        <f>ConvertStockCode(표.실시간[[#This Row],[코드]])</f>
        <v>N003120</v>
      </c>
      <c r="H633" s="2">
        <f>_xll.IMDP("STK",표.실시간[[#This Row],[nxt_code]],"현재가")</f>
        <v>23950</v>
      </c>
      <c r="I633" s="2">
        <f>_xll.IMDP("STK",표.실시간[[#This Row],[nxt_code]],"시가총액")/10^12</f>
        <v>0.31853500000000001</v>
      </c>
      <c r="J633" s="2">
        <f>표.실시간[[#This Row],[시가총액 (조원)]]/표.실시간[[#This Row],[현재가]]*(표.실시간[[#This Row],[현재가]]-표.실시간[[#This Row],[대비]])</f>
        <v>0.29126999999999997</v>
      </c>
      <c r="K633" s="3">
        <f>_xll.IMDP("STK",표.실시간[[#This Row],[nxt_code]],"전일대비")</f>
        <v>2050</v>
      </c>
      <c r="L633">
        <f>_xll.IMDP("STK",표.실시간[[#This Row],[nxt_code]],"등락률")</f>
        <v>9.36</v>
      </c>
      <c r="M633" s="2">
        <f>_xll.IMDP("STK",표.실시간[[#This Row],[nxt_code]],"누적거래량")</f>
        <v>185923</v>
      </c>
      <c r="N633" s="2">
        <f>_xll.IMDP("STK",표.실시간[[#This Row],[nxt_code]],"누적거래대금")/10^8</f>
        <v>50.162380249999998</v>
      </c>
      <c r="O633" s="2">
        <f>_xll.IMDP("STK",표.실시간[[#This Row],[nxt_code]],"가중평균가")</f>
        <v>26980.190858999998</v>
      </c>
      <c r="P633" s="2">
        <f>_xll.IMDP("STK",표.실시간[[#This Row],[nxt_code]],"시가")</f>
        <v>22000</v>
      </c>
      <c r="Q633" s="2">
        <f>_xll.IMDP("STK",표.실시간[[#This Row],[nxt_code]],"고가")</f>
        <v>28450</v>
      </c>
      <c r="R633" s="2">
        <f>_xll.IMDP("STK",표.실시간[[#This Row],[nxt_code]],"저가")</f>
        <v>22000</v>
      </c>
      <c r="S633">
        <f>_xll.IMDP("STK",표.실시간[[#This Row],[nxt_code]],"세션명")</f>
        <v>0</v>
      </c>
      <c r="T633">
        <f>_xll.IMDP("STK",표.실시간[[#This Row],[nxt_code]],"체결시간")</f>
        <v>0</v>
      </c>
      <c r="U633" s="2">
        <f>_xll.IMDP("STK","003120","현재가")</f>
        <v>23750</v>
      </c>
      <c r="V633">
        <f>_xll.IMDP("STK","003120","누적거래량")</f>
        <v>43709</v>
      </c>
    </row>
    <row r="634" spans="2:22" x14ac:dyDescent="0.3">
      <c r="B634">
        <v>626</v>
      </c>
      <c r="C634">
        <v>1</v>
      </c>
      <c r="D634">
        <f>IF(IFERROR(INDEX(표.kospi200[code],MATCH(표.실시간[[#This Row],[코드]],표.kospi200[code],0)),0)=0,0,1)</f>
        <v>0</v>
      </c>
      <c r="E634" t="s">
        <v>639</v>
      </c>
      <c r="F634">
        <v>11500</v>
      </c>
      <c r="G634" t="str">
        <f>ConvertStockCode(표.실시간[[#This Row],[코드]])</f>
        <v>N011500</v>
      </c>
      <c r="H634" s="2">
        <f>_xll.IMDP("STK",표.실시간[[#This Row],[nxt_code]],"현재가")</f>
        <v>26500</v>
      </c>
      <c r="I634" s="2">
        <f>_xll.IMDP("STK",표.실시간[[#This Row],[nxt_code]],"시가총액")/10^12</f>
        <v>0.41438161299999998</v>
      </c>
      <c r="J634" s="2">
        <f>표.실시간[[#This Row],[시가총액 (조원)]]/표.실시간[[#This Row],[현재가]]*(표.실시간[[#This Row],[현재가]]-표.실시간[[#This Row],[대비]])</f>
        <v>0.40499938779999994</v>
      </c>
      <c r="K634" s="3">
        <f>_xll.IMDP("STK",표.실시간[[#This Row],[nxt_code]],"전일대비")</f>
        <v>600</v>
      </c>
      <c r="L634">
        <f>_xll.IMDP("STK",표.실시간[[#This Row],[nxt_code]],"등락률")</f>
        <v>2.12</v>
      </c>
      <c r="M634" s="2">
        <f>_xll.IMDP("STK",표.실시간[[#This Row],[nxt_code]],"누적거래량")</f>
        <v>254376</v>
      </c>
      <c r="N634" s="2">
        <f>_xll.IMDP("STK",표.실시간[[#This Row],[nxt_code]],"누적거래대금")/10^8</f>
        <v>64.036547249999998</v>
      </c>
      <c r="O634" s="2">
        <f>_xll.IMDP("STK",표.실시간[[#This Row],[nxt_code]],"가중평균가")</f>
        <v>25173.973665000001</v>
      </c>
      <c r="P634" s="2">
        <f>_xll.IMDP("STK",표.실시간[[#This Row],[nxt_code]],"시가")</f>
        <v>25400</v>
      </c>
      <c r="Q634" s="2">
        <f>_xll.IMDP("STK",표.실시간[[#This Row],[nxt_code]],"고가")</f>
        <v>26550</v>
      </c>
      <c r="R634" s="2">
        <f>_xll.IMDP("STK",표.실시간[[#This Row],[nxt_code]],"저가")</f>
        <v>24400</v>
      </c>
      <c r="S634">
        <f>_xll.IMDP("STK",표.실시간[[#This Row],[nxt_code]],"세션명")</f>
        <v>0</v>
      </c>
      <c r="T634">
        <f>_xll.IMDP("STK",표.실시간[[#This Row],[nxt_code]],"체결시간")</f>
        <v>0</v>
      </c>
      <c r="U634" s="2">
        <f>_xll.IMDP("STK","011500","현재가")</f>
        <v>26500</v>
      </c>
      <c r="V634">
        <f>_xll.IMDP("STK","011500","누적거래량")</f>
        <v>108028</v>
      </c>
    </row>
    <row r="635" spans="2:22" x14ac:dyDescent="0.3">
      <c r="B635">
        <v>627</v>
      </c>
      <c r="C635">
        <v>1</v>
      </c>
      <c r="D635">
        <f>IF(IFERROR(INDEX(표.kospi200[code],MATCH(표.실시간[[#This Row],[코드]],표.kospi200[code],0)),0)=0,0,1)</f>
        <v>0</v>
      </c>
      <c r="E635" t="s">
        <v>640</v>
      </c>
      <c r="F635">
        <v>9680</v>
      </c>
      <c r="G635" t="str">
        <f>ConvertStockCode(표.실시간[[#This Row],[코드]])</f>
        <v>N009680</v>
      </c>
      <c r="H635" s="2">
        <f>_xll.IMDP("STK",표.실시간[[#This Row],[nxt_code]],"현재가")</f>
        <v>10240</v>
      </c>
      <c r="I635" s="2">
        <f>_xll.IMDP("STK",표.실시간[[#This Row],[nxt_code]],"시가총액")/10^12</f>
        <v>0.28723199999999999</v>
      </c>
      <c r="J635" s="2">
        <f>표.실시간[[#This Row],[시가총액 (조원)]]/표.실시간[[#This Row],[현재가]]*(표.실시간[[#This Row],[현재가]]-표.실시간[[#This Row],[대비]])</f>
        <v>0.29031749999999995</v>
      </c>
      <c r="K635" s="3">
        <f>_xll.IMDP("STK",표.실시간[[#This Row],[nxt_code]],"전일대비")</f>
        <v>-110</v>
      </c>
      <c r="L635">
        <f>_xll.IMDP("STK",표.실시간[[#This Row],[nxt_code]],"등락률")</f>
        <v>-1.06</v>
      </c>
      <c r="M635" s="2">
        <f>_xll.IMDP("STK",표.실시간[[#This Row],[nxt_code]],"누적거래량")</f>
        <v>4435</v>
      </c>
      <c r="N635" s="2">
        <f>_xll.IMDP("STK",표.실시간[[#This Row],[nxt_code]],"누적거래대금")/10^8</f>
        <v>0.4566134</v>
      </c>
      <c r="O635" s="2">
        <f>_xll.IMDP("STK",표.실시간[[#This Row],[nxt_code]],"가중평균가")</f>
        <v>10295.679819999999</v>
      </c>
      <c r="P635" s="2">
        <f>_xll.IMDP("STK",표.실시간[[#This Row],[nxt_code]],"시가")</f>
        <v>10370</v>
      </c>
      <c r="Q635" s="2">
        <f>_xll.IMDP("STK",표.실시간[[#This Row],[nxt_code]],"고가")</f>
        <v>10380</v>
      </c>
      <c r="R635" s="2">
        <f>_xll.IMDP("STK",표.실시간[[#This Row],[nxt_code]],"저가")</f>
        <v>10240</v>
      </c>
      <c r="S635">
        <f>_xll.IMDP("STK",표.실시간[[#This Row],[nxt_code]],"세션명")</f>
        <v>0</v>
      </c>
      <c r="T635">
        <f>_xll.IMDP("STK",표.실시간[[#This Row],[nxt_code]],"체결시간")</f>
        <v>0</v>
      </c>
      <c r="U635" s="2">
        <f>_xll.IMDP("STK","009680","현재가")</f>
        <v>10300</v>
      </c>
      <c r="V635">
        <f>_xll.IMDP("STK","009680","누적거래량")</f>
        <v>2370</v>
      </c>
    </row>
    <row r="636" spans="2:22" x14ac:dyDescent="0.3">
      <c r="B636">
        <v>628</v>
      </c>
      <c r="C636">
        <v>0</v>
      </c>
      <c r="D636">
        <f>IF(IFERROR(INDEX(표.kospi200[code],MATCH(표.실시간[[#This Row],[코드]],표.kospi200[code],0)),0)=0,0,1)</f>
        <v>0</v>
      </c>
      <c r="E636" t="s">
        <v>641</v>
      </c>
      <c r="F636">
        <v>25770</v>
      </c>
      <c r="G636" t="str">
        <f>ConvertStockCode(표.실시간[[#This Row],[코드]])</f>
        <v>N025770</v>
      </c>
      <c r="H636" s="2">
        <f>_xll.IMDP("STK",표.실시간[[#This Row],[nxt_code]],"현재가")</f>
        <v>7900</v>
      </c>
      <c r="I636" s="2">
        <f>_xll.IMDP("STK",표.실시간[[#This Row],[nxt_code]],"시가총액")/10^12</f>
        <v>0.29580974090000001</v>
      </c>
      <c r="J636" s="2">
        <f>표.실시간[[#This Row],[시가총액 (조원)]]/표.실시간[[#This Row],[현재가]]*(표.실시간[[#This Row],[현재가]]-표.실시간[[#This Row],[대비]])</f>
        <v>0.30254970968000006</v>
      </c>
      <c r="K636" s="3">
        <f>_xll.IMDP("STK",표.실시간[[#This Row],[nxt_code]],"전일대비")</f>
        <v>-180</v>
      </c>
      <c r="L636">
        <f>_xll.IMDP("STK",표.실시간[[#This Row],[nxt_code]],"등락률")</f>
        <v>-2.23</v>
      </c>
      <c r="M636" s="2">
        <f>_xll.IMDP("STK",표.실시간[[#This Row],[nxt_code]],"누적거래량")</f>
        <v>6528</v>
      </c>
      <c r="N636" s="2">
        <f>_xll.IMDP("STK",표.실시간[[#This Row],[nxt_code]],"누적거래대금")/10^8</f>
        <v>0.51709669999999996</v>
      </c>
      <c r="O636" s="2">
        <f>_xll.IMDP("STK",표.실시간[[#This Row],[nxt_code]],"가중평균가")</f>
        <v>7921.2117029999999</v>
      </c>
      <c r="P636" s="2">
        <f>_xll.IMDP("STK",표.실시간[[#This Row],[nxt_code]],"시가")</f>
        <v>7980</v>
      </c>
      <c r="Q636" s="2">
        <f>_xll.IMDP("STK",표.실시간[[#This Row],[nxt_code]],"고가")</f>
        <v>8000</v>
      </c>
      <c r="R636" s="2">
        <f>_xll.IMDP("STK",표.실시간[[#This Row],[nxt_code]],"저가")</f>
        <v>7870</v>
      </c>
      <c r="S636">
        <f>_xll.IMDP("STK",표.실시간[[#This Row],[nxt_code]],"세션명")</f>
        <v>0</v>
      </c>
      <c r="T636">
        <f>_xll.IMDP("STK",표.실시간[[#This Row],[nxt_code]],"체결시간")</f>
        <v>0</v>
      </c>
      <c r="U636" s="2">
        <f>_xll.IMDP("STK","025770","현재가")</f>
        <v>7870</v>
      </c>
      <c r="V636">
        <f>_xll.IMDP("STK","025770","누적거래량")</f>
        <v>3063</v>
      </c>
    </row>
    <row r="637" spans="2:22" x14ac:dyDescent="0.3">
      <c r="B637">
        <v>629</v>
      </c>
      <c r="C637">
        <v>0</v>
      </c>
      <c r="D637">
        <f>IF(IFERROR(INDEX(표.kospi200[code],MATCH(표.실시간[[#This Row],[코드]],표.kospi200[code],0)),0)=0,0,1)</f>
        <v>0</v>
      </c>
      <c r="E637" t="s">
        <v>642</v>
      </c>
      <c r="F637">
        <v>416180</v>
      </c>
      <c r="G637" t="str">
        <f>ConvertStockCode(표.실시간[[#This Row],[코드]])</f>
        <v>N416180</v>
      </c>
      <c r="H637" s="2">
        <f>_xll.IMDP("STK",표.실시간[[#This Row],[nxt_code]],"현재가")</f>
        <v>39500</v>
      </c>
      <c r="I637" s="2">
        <f>_xll.IMDP("STK",표.실시간[[#This Row],[nxt_code]],"시가총액")/10^12</f>
        <v>0.35707123099999999</v>
      </c>
      <c r="J637" s="2">
        <f>표.실시간[[#This Row],[시가총액 (조원)]]/표.실시간[[#This Row],[현재가]]*(표.실시간[[#This Row],[현재가]]-표.실시간[[#This Row],[대비]])</f>
        <v>0.35571526429999994</v>
      </c>
      <c r="K637" s="3">
        <f>_xll.IMDP("STK",표.실시간[[#This Row],[nxt_code]],"전일대비")</f>
        <v>150</v>
      </c>
      <c r="L637">
        <f>_xll.IMDP("STK",표.실시간[[#This Row],[nxt_code]],"등락률")</f>
        <v>0.38</v>
      </c>
      <c r="M637" s="2">
        <f>_xll.IMDP("STK",표.실시간[[#This Row],[nxt_code]],"누적거래량")</f>
        <v>78677</v>
      </c>
      <c r="N637" s="2">
        <f>_xll.IMDP("STK",표.실시간[[#This Row],[nxt_code]],"누적거래대금")/10^8</f>
        <v>29.948181999999999</v>
      </c>
      <c r="O637" s="2">
        <f>_xll.IMDP("STK",표.실시간[[#This Row],[nxt_code]],"가중평균가")</f>
        <v>38064.722854</v>
      </c>
      <c r="P637" s="2">
        <f>_xll.IMDP("STK",표.실시간[[#This Row],[nxt_code]],"시가")</f>
        <v>38200</v>
      </c>
      <c r="Q637" s="2">
        <f>_xll.IMDP("STK",표.실시간[[#This Row],[nxt_code]],"고가")</f>
        <v>40000</v>
      </c>
      <c r="R637" s="2">
        <f>_xll.IMDP("STK",표.실시간[[#This Row],[nxt_code]],"저가")</f>
        <v>37300</v>
      </c>
      <c r="S637">
        <f>_xll.IMDP("STK",표.실시간[[#This Row],[nxt_code]],"세션명")</f>
        <v>0</v>
      </c>
      <c r="T637">
        <f>_xll.IMDP("STK",표.실시간[[#This Row],[nxt_code]],"체결시간")</f>
        <v>0</v>
      </c>
      <c r="U637" s="2">
        <f>_xll.IMDP("STK","416180","현재가")</f>
        <v>39550</v>
      </c>
      <c r="V637">
        <f>_xll.IMDP("STK","416180","누적거래량")</f>
        <v>29323</v>
      </c>
    </row>
    <row r="638" spans="2:22" x14ac:dyDescent="0.3">
      <c r="B638">
        <v>630</v>
      </c>
      <c r="C638">
        <v>0</v>
      </c>
      <c r="D638">
        <f>IF(IFERROR(INDEX(표.kospi200[code],MATCH(표.실시간[[#This Row],[코드]],표.kospi200[code],0)),0)=0,0,1)</f>
        <v>0</v>
      </c>
      <c r="E638" t="s">
        <v>643</v>
      </c>
      <c r="F638">
        <v>65680</v>
      </c>
      <c r="G638" t="str">
        <f>ConvertStockCode(표.실시간[[#This Row],[코드]])</f>
        <v>N065680</v>
      </c>
      <c r="H638" s="2">
        <f>_xll.IMDP("STK",표.실시간[[#This Row],[nxt_code]],"현재가")</f>
        <v>31700</v>
      </c>
      <c r="I638" s="2">
        <f>_xll.IMDP("STK",표.실시간[[#This Row],[nxt_code]],"시가총액")/10^12</f>
        <v>0.29292293069999997</v>
      </c>
      <c r="J638" s="2">
        <f>표.실시간[[#This Row],[시가총액 (조원)]]/표.실시간[[#This Row],[현재가]]*(표.실시간[[#This Row],[현재가]]-표.실시간[[#This Row],[대비]])</f>
        <v>0.29153686005000001</v>
      </c>
      <c r="K638" s="3">
        <f>_xll.IMDP("STK",표.실시간[[#This Row],[nxt_code]],"전일대비")</f>
        <v>150</v>
      </c>
      <c r="L638">
        <f>_xll.IMDP("STK",표.실시간[[#This Row],[nxt_code]],"등락률")</f>
        <v>0.48</v>
      </c>
      <c r="M638" s="2">
        <f>_xll.IMDP("STK",표.실시간[[#This Row],[nxt_code]],"누적거래량")</f>
        <v>6502</v>
      </c>
      <c r="N638" s="2">
        <f>_xll.IMDP("STK",표.실시간[[#This Row],[nxt_code]],"누적거래대금")/10^8</f>
        <v>2.0669575</v>
      </c>
      <c r="O638" s="2">
        <f>_xll.IMDP("STK",표.실시간[[#This Row],[nxt_code]],"가중평균가")</f>
        <v>31789.564749000001</v>
      </c>
      <c r="P638" s="2">
        <f>_xll.IMDP("STK",표.실시간[[#This Row],[nxt_code]],"시가")</f>
        <v>34000</v>
      </c>
      <c r="Q638" s="2">
        <f>_xll.IMDP("STK",표.실시간[[#This Row],[nxt_code]],"고가")</f>
        <v>34000</v>
      </c>
      <c r="R638" s="2">
        <f>_xll.IMDP("STK",표.실시간[[#This Row],[nxt_code]],"저가")</f>
        <v>31250</v>
      </c>
      <c r="S638">
        <f>_xll.IMDP("STK",표.실시간[[#This Row],[nxt_code]],"세션명")</f>
        <v>0</v>
      </c>
      <c r="T638">
        <f>_xll.IMDP("STK",표.실시간[[#This Row],[nxt_code]],"체결시간")</f>
        <v>0</v>
      </c>
      <c r="U638" s="2">
        <f>_xll.IMDP("STK","065680","현재가")</f>
        <v>32150</v>
      </c>
      <c r="V638">
        <f>_xll.IMDP("STK","065680","누적거래량")</f>
        <v>3773</v>
      </c>
    </row>
    <row r="639" spans="2:22" x14ac:dyDescent="0.3">
      <c r="B639">
        <v>631</v>
      </c>
      <c r="C639">
        <v>1</v>
      </c>
      <c r="D639">
        <f>IF(IFERROR(INDEX(표.kospi200[code],MATCH(표.실시간[[#This Row],[코드]],표.kospi200[code],0)),0)=0,0,1)</f>
        <v>0</v>
      </c>
      <c r="E639" t="s">
        <v>644</v>
      </c>
      <c r="F639">
        <v>11760</v>
      </c>
      <c r="G639" t="str">
        <f>ConvertStockCode(표.실시간[[#This Row],[코드]])</f>
        <v>N011760</v>
      </c>
      <c r="H639" s="2">
        <f>_xll.IMDP("STK",표.실시간[[#This Row],[nxt_code]],"현재가")</f>
        <v>22450</v>
      </c>
      <c r="I639" s="2">
        <f>_xll.IMDP("STK",표.실시간[[#This Row],[nxt_code]],"시가총액")/10^12</f>
        <v>0.29699028669999999</v>
      </c>
      <c r="J639" s="2">
        <f>표.실시간[[#This Row],[시가총액 (조원)]]/표.실시간[[#This Row],[현재가]]*(표.실시간[[#This Row],[현재가]]-표.실시간[[#This Row],[대비]])</f>
        <v>0.3002975282</v>
      </c>
      <c r="K639" s="3">
        <f>_xll.IMDP("STK",표.실시간[[#This Row],[nxt_code]],"전일대비")</f>
        <v>-250</v>
      </c>
      <c r="L639">
        <f>_xll.IMDP("STK",표.실시간[[#This Row],[nxt_code]],"등락률")</f>
        <v>-1.1000000000000001</v>
      </c>
      <c r="M639" s="2">
        <f>_xll.IMDP("STK",표.실시간[[#This Row],[nxt_code]],"누적거래량")</f>
        <v>7421</v>
      </c>
      <c r="N639" s="2">
        <f>_xll.IMDP("STK",표.실시간[[#This Row],[nxt_code]],"누적거래대금")/10^8</f>
        <v>1.6615255</v>
      </c>
      <c r="O639" s="2">
        <f>_xll.IMDP("STK",표.실시간[[#This Row],[nxt_code]],"가중평균가")</f>
        <v>22389.5095</v>
      </c>
      <c r="P639" s="2">
        <f>_xll.IMDP("STK",표.실시간[[#This Row],[nxt_code]],"시가")</f>
        <v>22600</v>
      </c>
      <c r="Q639" s="2">
        <f>_xll.IMDP("STK",표.실시간[[#This Row],[nxt_code]],"고가")</f>
        <v>22600</v>
      </c>
      <c r="R639" s="2">
        <f>_xll.IMDP("STK",표.실시간[[#This Row],[nxt_code]],"저가")</f>
        <v>22250</v>
      </c>
      <c r="S639">
        <f>_xll.IMDP("STK",표.실시간[[#This Row],[nxt_code]],"세션명")</f>
        <v>0</v>
      </c>
      <c r="T639">
        <f>_xll.IMDP("STK",표.실시간[[#This Row],[nxt_code]],"체결시간")</f>
        <v>0</v>
      </c>
      <c r="U639" s="2">
        <f>_xll.IMDP("STK","011760","현재가")</f>
        <v>22400</v>
      </c>
      <c r="V639">
        <f>_xll.IMDP("STK","011760","누적거래량")</f>
        <v>2395</v>
      </c>
    </row>
    <row r="640" spans="2:22" x14ac:dyDescent="0.3">
      <c r="B640">
        <v>632</v>
      </c>
      <c r="C640">
        <v>0</v>
      </c>
      <c r="D640">
        <f>IF(IFERROR(INDEX(표.kospi200[code],MATCH(표.실시간[[#This Row],[코드]],표.kospi200[code],0)),0)=0,0,1)</f>
        <v>0</v>
      </c>
      <c r="E640" t="s">
        <v>645</v>
      </c>
      <c r="F640">
        <v>472850</v>
      </c>
      <c r="G640" t="str">
        <f>ConvertStockCode(표.실시간[[#This Row],[코드]])</f>
        <v>N472850</v>
      </c>
      <c r="H640" s="2">
        <f>_xll.IMDP("STK",표.실시간[[#This Row],[nxt_code]],"현재가")</f>
        <v>5700</v>
      </c>
      <c r="I640" s="2">
        <f>_xll.IMDP("STK",표.실시간[[#This Row],[nxt_code]],"시가총액")/10^12</f>
        <v>0.32815841639999999</v>
      </c>
      <c r="J640" s="2">
        <f>표.실시간[[#This Row],[시가총액 (조원)]]/표.실시간[[#This Row],[현재가]]*(표.실시간[[#This Row],[현재가]]-표.실시간[[#This Row],[대비]])</f>
        <v>0.33333986507999996</v>
      </c>
      <c r="K640" s="3">
        <f>_xll.IMDP("STK",표.실시간[[#This Row],[nxt_code]],"전일대비")</f>
        <v>-90</v>
      </c>
      <c r="L640">
        <f>_xll.IMDP("STK",표.실시간[[#This Row],[nxt_code]],"등락률")</f>
        <v>-1.72</v>
      </c>
      <c r="M640" s="2">
        <f>_xll.IMDP("STK",표.실시간[[#This Row],[nxt_code]],"누적거래량")</f>
        <v>17286</v>
      </c>
      <c r="N640" s="2">
        <f>_xll.IMDP("STK",표.실시간[[#This Row],[nxt_code]],"누적거래대금")/10^8</f>
        <v>0.98361620000000005</v>
      </c>
      <c r="O640" s="2">
        <f>_xll.IMDP("STK",표.실시간[[#This Row],[nxt_code]],"가중평균가")</f>
        <v>5723.5520070000002</v>
      </c>
      <c r="P640" s="2">
        <f>_xll.IMDP("STK",표.실시간[[#This Row],[nxt_code]],"시가")</f>
        <v>5800</v>
      </c>
      <c r="Q640" s="2">
        <f>_xll.IMDP("STK",표.실시간[[#This Row],[nxt_code]],"고가")</f>
        <v>5950</v>
      </c>
      <c r="R640" s="2">
        <f>_xll.IMDP("STK",표.실시간[[#This Row],[nxt_code]],"저가")</f>
        <v>5600</v>
      </c>
      <c r="S640">
        <f>_xll.IMDP("STK",표.실시간[[#This Row],[nxt_code]],"세션명")</f>
        <v>0</v>
      </c>
      <c r="T640">
        <f>_xll.IMDP("STK",표.실시간[[#This Row],[nxt_code]],"체결시간")</f>
        <v>0</v>
      </c>
      <c r="U640" s="2">
        <f>_xll.IMDP("STK","472850","현재가")</f>
        <v>5700</v>
      </c>
      <c r="V640">
        <f>_xll.IMDP("STK","472850","누적거래량")</f>
        <v>7135</v>
      </c>
    </row>
    <row r="641" spans="2:22" x14ac:dyDescent="0.3">
      <c r="B641">
        <v>633</v>
      </c>
      <c r="C641">
        <v>0</v>
      </c>
      <c r="D641">
        <f>IF(IFERROR(INDEX(표.kospi200[code],MATCH(표.실시간[[#This Row],[코드]],표.kospi200[code],0)),0)=0,0,1)</f>
        <v>0</v>
      </c>
      <c r="E641" t="s">
        <v>646</v>
      </c>
      <c r="F641">
        <v>448280</v>
      </c>
      <c r="G641" t="str">
        <f>ConvertStockCode(표.실시간[[#This Row],[코드]])</f>
        <v>N448280</v>
      </c>
      <c r="H641" s="2">
        <f>_xll.IMDP("STK",표.실시간[[#This Row],[nxt_code]],"현재가")</f>
        <v>10830</v>
      </c>
      <c r="I641" s="2">
        <f>_xll.IMDP("STK",표.실시간[[#This Row],[nxt_code]],"시가총액")/10^12</f>
        <v>0.32090512707000002</v>
      </c>
      <c r="J641" s="2">
        <f>표.실시간[[#This Row],[시가총액 (조원)]]/표.실시간[[#This Row],[현재가]]*(표.실시간[[#This Row],[현재가]]-표.실시간[[#This Row],[대비]])</f>
        <v>0.32475717384000002</v>
      </c>
      <c r="K641" s="3">
        <f>_xll.IMDP("STK",표.실시간[[#This Row],[nxt_code]],"전일대비")</f>
        <v>-130</v>
      </c>
      <c r="L641">
        <f>_xll.IMDP("STK",표.실시간[[#This Row],[nxt_code]],"등락률")</f>
        <v>-1.19</v>
      </c>
      <c r="M641" s="2">
        <f>_xll.IMDP("STK",표.실시간[[#This Row],[nxt_code]],"누적거래량")</f>
        <v>4585</v>
      </c>
      <c r="N641" s="2">
        <f>_xll.IMDP("STK",표.실시간[[#This Row],[nxt_code]],"누적거래대금")/10^8</f>
        <v>0.50817630000000003</v>
      </c>
      <c r="O641" s="2">
        <f>_xll.IMDP("STK",표.실시간[[#This Row],[nxt_code]],"가중평균가")</f>
        <v>11004.250758</v>
      </c>
      <c r="P641" s="2">
        <f>_xll.IMDP("STK",표.실시간[[#This Row],[nxt_code]],"시가")</f>
        <v>10960</v>
      </c>
      <c r="Q641" s="2">
        <f>_xll.IMDP("STK",표.실시간[[#This Row],[nxt_code]],"고가")</f>
        <v>11100</v>
      </c>
      <c r="R641" s="2">
        <f>_xll.IMDP("STK",표.실시간[[#This Row],[nxt_code]],"저가")</f>
        <v>10820</v>
      </c>
      <c r="S641">
        <f>_xll.IMDP("STK",표.실시간[[#This Row],[nxt_code]],"세션명")</f>
        <v>0</v>
      </c>
      <c r="T641">
        <f>_xll.IMDP("STK",표.실시간[[#This Row],[nxt_code]],"체결시간")</f>
        <v>0</v>
      </c>
      <c r="U641" s="2">
        <f>_xll.IMDP("STK","448280","현재가")</f>
        <v>10790</v>
      </c>
      <c r="V641">
        <f>_xll.IMDP("STK","448280","누적거래량")</f>
        <v>2981</v>
      </c>
    </row>
    <row r="642" spans="2:22" x14ac:dyDescent="0.3">
      <c r="B642">
        <v>634</v>
      </c>
      <c r="C642">
        <v>0</v>
      </c>
      <c r="D642">
        <f>IF(IFERROR(INDEX(표.kospi200[code],MATCH(표.실시간[[#This Row],[코드]],표.kospi200[code],0)),0)=0,0,1)</f>
        <v>0</v>
      </c>
      <c r="E642" t="s">
        <v>647</v>
      </c>
      <c r="F642">
        <v>265520</v>
      </c>
      <c r="G642" t="str">
        <f>ConvertStockCode(표.실시간[[#This Row],[코드]])</f>
        <v>N265520</v>
      </c>
      <c r="H642" s="2">
        <f>_xll.IMDP("STK",표.실시간[[#This Row],[nxt_code]],"현재가")</f>
        <v>21150</v>
      </c>
      <c r="I642" s="2">
        <f>_xll.IMDP("STK",표.실시간[[#This Row],[nxt_code]],"시가총액")/10^12</f>
        <v>0.31832486415</v>
      </c>
      <c r="J642" s="2">
        <f>표.실시간[[#This Row],[시가총액 (조원)]]/표.실시간[[#This Row],[현재가]]*(표.실시간[[#This Row],[현재가]]-표.실시간[[#This Row],[대비]])</f>
        <v>0.32359265149999999</v>
      </c>
      <c r="K642" s="3">
        <f>_xll.IMDP("STK",표.실시간[[#This Row],[nxt_code]],"전일대비")</f>
        <v>-350</v>
      </c>
      <c r="L642">
        <f>_xll.IMDP("STK",표.실시간[[#This Row],[nxt_code]],"등락률")</f>
        <v>-1.63</v>
      </c>
      <c r="M642" s="2">
        <f>_xll.IMDP("STK",표.실시간[[#This Row],[nxt_code]],"누적거래량")</f>
        <v>23933</v>
      </c>
      <c r="N642" s="2">
        <f>_xll.IMDP("STK",표.실시간[[#This Row],[nxt_code]],"누적거래대금")/10^8</f>
        <v>4.9953595000000002</v>
      </c>
      <c r="O642" s="2">
        <f>_xll.IMDP("STK",표.실시간[[#This Row],[nxt_code]],"가중평균가")</f>
        <v>20872.266327000001</v>
      </c>
      <c r="P642" s="2">
        <f>_xll.IMDP("STK",표.실시간[[#This Row],[nxt_code]],"시가")</f>
        <v>21500</v>
      </c>
      <c r="Q642" s="2">
        <f>_xll.IMDP("STK",표.실시간[[#This Row],[nxt_code]],"고가")</f>
        <v>21500</v>
      </c>
      <c r="R642" s="2">
        <f>_xll.IMDP("STK",표.실시간[[#This Row],[nxt_code]],"저가")</f>
        <v>20450</v>
      </c>
      <c r="S642">
        <f>_xll.IMDP("STK",표.실시간[[#This Row],[nxt_code]],"세션명")</f>
        <v>0</v>
      </c>
      <c r="T642">
        <f>_xll.IMDP("STK",표.실시간[[#This Row],[nxt_code]],"체결시간")</f>
        <v>0</v>
      </c>
      <c r="U642" s="2">
        <f>_xll.IMDP("STK","265520","현재가")</f>
        <v>21200</v>
      </c>
      <c r="V642">
        <f>_xll.IMDP("STK","265520","누적거래량")</f>
        <v>15987</v>
      </c>
    </row>
    <row r="643" spans="2:22" x14ac:dyDescent="0.3">
      <c r="B643">
        <v>635</v>
      </c>
      <c r="C643">
        <v>0</v>
      </c>
      <c r="D643">
        <f>IF(IFERROR(INDEX(표.kospi200[code],MATCH(표.실시간[[#This Row],[코드]],표.kospi200[code],0)),0)=0,0,1)</f>
        <v>0</v>
      </c>
      <c r="E643" t="s">
        <v>648</v>
      </c>
      <c r="F643">
        <v>92460</v>
      </c>
      <c r="G643" t="str">
        <f>ConvertStockCode(표.실시간[[#This Row],[코드]])</f>
        <v>N092460</v>
      </c>
      <c r="H643" s="2">
        <f>_xll.IMDP("STK",표.실시간[[#This Row],[nxt_code]],"현재가")</f>
        <v>15780</v>
      </c>
      <c r="I643" s="2">
        <f>_xll.IMDP("STK",표.실시간[[#This Row],[nxt_code]],"시가총액")/10^12</f>
        <v>0.26999075039999998</v>
      </c>
      <c r="J643" s="2">
        <f>표.실시간[[#This Row],[시가총액 (조원)]]/표.실시간[[#This Row],[현재가]]*(표.실시간[[#This Row],[현재가]]-표.실시간[[#This Row],[대비]])</f>
        <v>0.27255720239999998</v>
      </c>
      <c r="K643" s="3">
        <f>_xll.IMDP("STK",표.실시간[[#This Row],[nxt_code]],"전일대비")</f>
        <v>-150</v>
      </c>
      <c r="L643">
        <f>_xll.IMDP("STK",표.실시간[[#This Row],[nxt_code]],"등락률")</f>
        <v>-1</v>
      </c>
      <c r="M643" s="2">
        <f>_xll.IMDP("STK",표.실시간[[#This Row],[nxt_code]],"누적거래량")</f>
        <v>12835</v>
      </c>
      <c r="N643" s="2">
        <f>_xll.IMDP("STK",표.실시간[[#This Row],[nxt_code]],"누적거래대금")/10^8</f>
        <v>2.0312397</v>
      </c>
      <c r="O643" s="2">
        <f>_xll.IMDP("STK",표.실시간[[#This Row],[nxt_code]],"가중평균가")</f>
        <v>15825.786521</v>
      </c>
      <c r="P643" s="2">
        <f>_xll.IMDP("STK",표.실시간[[#This Row],[nxt_code]],"시가")</f>
        <v>15810</v>
      </c>
      <c r="Q643" s="2">
        <f>_xll.IMDP("STK",표.실시간[[#This Row],[nxt_code]],"고가")</f>
        <v>15960</v>
      </c>
      <c r="R643" s="2">
        <f>_xll.IMDP("STK",표.실시간[[#This Row],[nxt_code]],"저가")</f>
        <v>15700</v>
      </c>
      <c r="S643">
        <f>_xll.IMDP("STK",표.실시간[[#This Row],[nxt_code]],"세션명")</f>
        <v>0</v>
      </c>
      <c r="T643">
        <f>_xll.IMDP("STK",표.실시간[[#This Row],[nxt_code]],"체결시간")</f>
        <v>0</v>
      </c>
      <c r="U643" s="2">
        <f>_xll.IMDP("STK","092460","현재가")</f>
        <v>15790</v>
      </c>
      <c r="V643">
        <f>_xll.IMDP("STK","092460","누적거래량")</f>
        <v>5134</v>
      </c>
    </row>
    <row r="644" spans="2:22" x14ac:dyDescent="0.3">
      <c r="B644">
        <v>636</v>
      </c>
      <c r="C644">
        <v>0</v>
      </c>
      <c r="D644">
        <f>IF(IFERROR(INDEX(표.kospi200[code],MATCH(표.실시간[[#This Row],[코드]],표.kospi200[code],0)),0)=0,0,1)</f>
        <v>0</v>
      </c>
      <c r="E644" t="s">
        <v>649</v>
      </c>
      <c r="F644">
        <v>402030</v>
      </c>
      <c r="G644" t="str">
        <f>ConvertStockCode(표.실시간[[#This Row],[코드]])</f>
        <v>N402030</v>
      </c>
      <c r="H644" s="2">
        <f>_xll.IMDP("STK",표.실시간[[#This Row],[nxt_code]],"현재가")</f>
        <v>22400</v>
      </c>
      <c r="I644" s="2">
        <f>_xll.IMDP("STK",표.실시간[[#This Row],[nxt_code]],"시가총액")/10^12</f>
        <v>0.28039173119999999</v>
      </c>
      <c r="J644" s="2">
        <f>표.실시간[[#This Row],[시가총액 (조원)]]/표.실시간[[#This Row],[현재가]]*(표.실시간[[#This Row],[현재가]]-표.실시간[[#This Row],[대비]])</f>
        <v>0.2897798472</v>
      </c>
      <c r="K644" s="3">
        <f>_xll.IMDP("STK",표.실시간[[#This Row],[nxt_code]],"전일대비")</f>
        <v>-750</v>
      </c>
      <c r="L644">
        <f>_xll.IMDP("STK",표.실시간[[#This Row],[nxt_code]],"등락률")</f>
        <v>-3.03</v>
      </c>
      <c r="M644" s="2">
        <f>_xll.IMDP("STK",표.실시간[[#This Row],[nxt_code]],"누적거래량")</f>
        <v>10750</v>
      </c>
      <c r="N644" s="2">
        <f>_xll.IMDP("STK",표.실시간[[#This Row],[nxt_code]],"누적거래대금")/10^8</f>
        <v>2.3905829999999999</v>
      </c>
      <c r="O644" s="2">
        <f>_xll.IMDP("STK",표.실시간[[#This Row],[nxt_code]],"가중평균가")</f>
        <v>22231.730232999998</v>
      </c>
      <c r="P644" s="2">
        <f>_xll.IMDP("STK",표.실시간[[#This Row],[nxt_code]],"시가")</f>
        <v>23050</v>
      </c>
      <c r="Q644" s="2">
        <f>_xll.IMDP("STK",표.실시간[[#This Row],[nxt_code]],"고가")</f>
        <v>23050</v>
      </c>
      <c r="R644" s="2">
        <f>_xll.IMDP("STK",표.실시간[[#This Row],[nxt_code]],"저가")</f>
        <v>22000</v>
      </c>
      <c r="S644">
        <f>_xll.IMDP("STK",표.실시간[[#This Row],[nxt_code]],"세션명")</f>
        <v>0</v>
      </c>
      <c r="T644">
        <f>_xll.IMDP("STK",표.실시간[[#This Row],[nxt_code]],"체결시간")</f>
        <v>0</v>
      </c>
      <c r="U644" s="2">
        <f>_xll.IMDP("STK","402030","현재가")</f>
        <v>22350</v>
      </c>
      <c r="V644">
        <f>_xll.IMDP("STK","402030","누적거래량")</f>
        <v>5516</v>
      </c>
    </row>
    <row r="645" spans="2:22" x14ac:dyDescent="0.3">
      <c r="B645">
        <v>637</v>
      </c>
      <c r="C645">
        <v>0</v>
      </c>
      <c r="D645">
        <f>IF(IFERROR(INDEX(표.kospi200[code],MATCH(표.실시간[[#This Row],[코드]],표.kospi200[code],0)),0)=0,0,1)</f>
        <v>0</v>
      </c>
      <c r="E645" t="s">
        <v>650</v>
      </c>
      <c r="F645">
        <v>43150</v>
      </c>
      <c r="G645" t="str">
        <f>ConvertStockCode(표.실시간[[#This Row],[코드]])</f>
        <v>N043150</v>
      </c>
      <c r="H645" s="2">
        <f>_xll.IMDP("STK",표.실시간[[#This Row],[nxt_code]],"현재가")</f>
        <v>20200</v>
      </c>
      <c r="I645" s="2">
        <f>_xll.IMDP("STK",표.실시간[[#This Row],[nxt_code]],"시가총액")/10^12</f>
        <v>0.30005597119999999</v>
      </c>
      <c r="J645" s="2">
        <f>표.실시간[[#This Row],[시가총액 (조원)]]/표.실시간[[#This Row],[현재가]]*(표.실시간[[#This Row],[현재가]]-표.실시간[[#This Row],[대비]])</f>
        <v>0.30674038639999995</v>
      </c>
      <c r="K645" s="3">
        <f>_xll.IMDP("STK",표.실시간[[#This Row],[nxt_code]],"전일대비")</f>
        <v>-450</v>
      </c>
      <c r="L645">
        <f>_xll.IMDP("STK",표.실시간[[#This Row],[nxt_code]],"등락률")</f>
        <v>-2.1800000000000002</v>
      </c>
      <c r="M645" s="2">
        <f>_xll.IMDP("STK",표.실시간[[#This Row],[nxt_code]],"누적거래량")</f>
        <v>6700</v>
      </c>
      <c r="N645" s="2">
        <f>_xll.IMDP("STK",표.실시간[[#This Row],[nxt_code]],"누적거래대금")/10^8</f>
        <v>1.3528389999999999</v>
      </c>
      <c r="O645" s="2">
        <f>_xll.IMDP("STK",표.실시간[[#This Row],[nxt_code]],"가중평균가")</f>
        <v>20191.626865999999</v>
      </c>
      <c r="P645" s="2">
        <f>_xll.IMDP("STK",표.실시간[[#This Row],[nxt_code]],"시가")</f>
        <v>20250</v>
      </c>
      <c r="Q645" s="2">
        <f>_xll.IMDP("STK",표.실시간[[#This Row],[nxt_code]],"고가")</f>
        <v>20500</v>
      </c>
      <c r="R645" s="2">
        <f>_xll.IMDP("STK",표.실시간[[#This Row],[nxt_code]],"저가")</f>
        <v>20000</v>
      </c>
      <c r="S645">
        <f>_xll.IMDP("STK",표.실시간[[#This Row],[nxt_code]],"세션명")</f>
        <v>0</v>
      </c>
      <c r="T645">
        <f>_xll.IMDP("STK",표.실시간[[#This Row],[nxt_code]],"체결시간")</f>
        <v>0</v>
      </c>
      <c r="U645" s="2">
        <f>_xll.IMDP("STK","043150","현재가")</f>
        <v>20200</v>
      </c>
      <c r="V645">
        <f>_xll.IMDP("STK","043150","누적거래량")</f>
        <v>1943</v>
      </c>
    </row>
    <row r="646" spans="2:22" x14ac:dyDescent="0.3">
      <c r="B646">
        <v>638</v>
      </c>
      <c r="C646">
        <v>0</v>
      </c>
      <c r="D646">
        <f>IF(IFERROR(INDEX(표.kospi200[code],MATCH(표.실시간[[#This Row],[코드]],표.kospi200[code],0)),0)=0,0,1)</f>
        <v>0</v>
      </c>
      <c r="E646" t="s">
        <v>651</v>
      </c>
      <c r="F646">
        <v>338220</v>
      </c>
      <c r="G646" t="str">
        <f>ConvertStockCode(표.실시간[[#This Row],[코드]])</f>
        <v>N338220</v>
      </c>
      <c r="H646" s="2">
        <f>_xll.IMDP("STK",표.실시간[[#This Row],[nxt_code]],"현재가")</f>
        <v>20750</v>
      </c>
      <c r="I646" s="2">
        <f>_xll.IMDP("STK",표.실시간[[#This Row],[nxt_code]],"시가총액")/10^12</f>
        <v>0.29053782724999999</v>
      </c>
      <c r="J646" s="2">
        <f>표.실시간[[#This Row],[시가총액 (조원)]]/표.실시간[[#This Row],[현재가]]*(표.실시간[[#This Row],[현재가]]-표.실시간[[#This Row],[대비]])</f>
        <v>0.3010391945</v>
      </c>
      <c r="K646" s="3">
        <f>_xll.IMDP("STK",표.실시간[[#This Row],[nxt_code]],"전일대비")</f>
        <v>-750</v>
      </c>
      <c r="L646">
        <f>_xll.IMDP("STK",표.실시간[[#This Row],[nxt_code]],"등락률")</f>
        <v>-3.49</v>
      </c>
      <c r="M646" s="2">
        <f>_xll.IMDP("STK",표.실시간[[#This Row],[nxt_code]],"누적거래량")</f>
        <v>35550</v>
      </c>
      <c r="N646" s="2">
        <f>_xll.IMDP("STK",표.실시간[[#This Row],[nxt_code]],"누적거래대금")/10^8</f>
        <v>7.3984862500000004</v>
      </c>
      <c r="O646" s="2">
        <f>_xll.IMDP("STK",표.실시간[[#This Row],[nxt_code]],"가중평균가")</f>
        <v>20811.494374000002</v>
      </c>
      <c r="P646" s="2">
        <f>_xll.IMDP("STK",표.실시간[[#This Row],[nxt_code]],"시가")</f>
        <v>21550</v>
      </c>
      <c r="Q646" s="2">
        <f>_xll.IMDP("STK",표.실시간[[#This Row],[nxt_code]],"고가")</f>
        <v>21550</v>
      </c>
      <c r="R646" s="2">
        <f>_xll.IMDP("STK",표.실시간[[#This Row],[nxt_code]],"저가")</f>
        <v>20550</v>
      </c>
      <c r="S646">
        <f>_xll.IMDP("STK",표.실시간[[#This Row],[nxt_code]],"세션명")</f>
        <v>0</v>
      </c>
      <c r="T646">
        <f>_xll.IMDP("STK",표.실시간[[#This Row],[nxt_code]],"체결시간")</f>
        <v>0</v>
      </c>
      <c r="U646" s="2">
        <f>_xll.IMDP("STK","338220","현재가")</f>
        <v>20750</v>
      </c>
      <c r="V646">
        <f>_xll.IMDP("STK","338220","누적거래량")</f>
        <v>16071</v>
      </c>
    </row>
    <row r="647" spans="2:22" x14ac:dyDescent="0.3">
      <c r="B647">
        <v>639</v>
      </c>
      <c r="C647">
        <v>0</v>
      </c>
      <c r="D647">
        <f>IF(IFERROR(INDEX(표.kospi200[code],MATCH(표.실시간[[#This Row],[코드]],표.kospi200[code],0)),0)=0,0,1)</f>
        <v>0</v>
      </c>
      <c r="E647" t="s">
        <v>652</v>
      </c>
      <c r="F647">
        <v>18310</v>
      </c>
      <c r="G647" t="str">
        <f>ConvertStockCode(표.실시간[[#This Row],[코드]])</f>
        <v>N018310</v>
      </c>
      <c r="H647" s="2">
        <f>_xll.IMDP("STK",표.실시간[[#This Row],[nxt_code]],"현재가")</f>
        <v>19500</v>
      </c>
      <c r="I647" s="2">
        <f>_xll.IMDP("STK",표.실시간[[#This Row],[nxt_code]],"시가총액")/10^12</f>
        <v>0.28665000000000002</v>
      </c>
      <c r="J647" s="2">
        <f>표.실시간[[#This Row],[시가총액 (조원)]]/표.실시간[[#This Row],[현재가]]*(표.실시간[[#This Row],[현재가]]-표.실시간[[#This Row],[대비]])</f>
        <v>0.29047200000000001</v>
      </c>
      <c r="K647" s="3">
        <f>_xll.IMDP("STK",표.실시간[[#This Row],[nxt_code]],"전일대비")</f>
        <v>-260</v>
      </c>
      <c r="L647">
        <f>_xll.IMDP("STK",표.실시간[[#This Row],[nxt_code]],"등락률")</f>
        <v>-1.32</v>
      </c>
      <c r="M647" s="2">
        <f>_xll.IMDP("STK",표.실시간[[#This Row],[nxt_code]],"누적거래량")</f>
        <v>292</v>
      </c>
      <c r="N647" s="2">
        <f>_xll.IMDP("STK",표.실시간[[#This Row],[nxt_code]],"누적거래대금")/10^8</f>
        <v>5.7461199999999997E-2</v>
      </c>
      <c r="O647" s="2">
        <f>_xll.IMDP("STK",표.실시간[[#This Row],[nxt_code]],"가중평균가")</f>
        <v>19678.493150999999</v>
      </c>
      <c r="P647" s="2">
        <f>_xll.IMDP("STK",표.실시간[[#This Row],[nxt_code]],"시가")</f>
        <v>19760</v>
      </c>
      <c r="Q647" s="2">
        <f>_xll.IMDP("STK",표.실시간[[#This Row],[nxt_code]],"고가")</f>
        <v>19980</v>
      </c>
      <c r="R647" s="2">
        <f>_xll.IMDP("STK",표.실시간[[#This Row],[nxt_code]],"저가")</f>
        <v>19500</v>
      </c>
      <c r="S647">
        <f>_xll.IMDP("STK",표.실시간[[#This Row],[nxt_code]],"세션명")</f>
        <v>0</v>
      </c>
      <c r="T647">
        <f>_xll.IMDP("STK",표.실시간[[#This Row],[nxt_code]],"체결시간")</f>
        <v>0</v>
      </c>
      <c r="U647" s="2">
        <f>_xll.IMDP("STK","018310","현재가")</f>
        <v>19490</v>
      </c>
      <c r="V647">
        <f>_xll.IMDP("STK","018310","누적거래량")</f>
        <v>1404</v>
      </c>
    </row>
    <row r="648" spans="2:22" x14ac:dyDescent="0.3">
      <c r="B648">
        <v>640</v>
      </c>
      <c r="C648">
        <v>0</v>
      </c>
      <c r="D648">
        <f>IF(IFERROR(INDEX(표.kospi200[code],MATCH(표.실시간[[#This Row],[코드]],표.kospi200[code],0)),0)=0,0,1)</f>
        <v>0</v>
      </c>
      <c r="E648" t="s">
        <v>653</v>
      </c>
      <c r="F648">
        <v>92730</v>
      </c>
      <c r="G648" t="str">
        <f>ConvertStockCode(표.실시간[[#This Row],[코드]])</f>
        <v>N092730</v>
      </c>
      <c r="H648" s="2">
        <f>_xll.IMDP("STK",표.실시간[[#This Row],[nxt_code]],"현재가")</f>
        <v>19070</v>
      </c>
      <c r="I648" s="2">
        <f>_xll.IMDP("STK",표.실시간[[#This Row],[nxt_code]],"시가총액")/10^12</f>
        <v>0.30565375023000002</v>
      </c>
      <c r="J648" s="2">
        <f>표.실시간[[#This Row],[시가총액 (조원)]]/표.실시간[[#This Row],[현재가]]*(표.실시간[[#This Row],[현재가]]-표.실시간[[#This Row],[대비]])</f>
        <v>0.30020423397000001</v>
      </c>
      <c r="K648" s="3">
        <f>_xll.IMDP("STK",표.실시간[[#This Row],[nxt_code]],"전일대비")</f>
        <v>340</v>
      </c>
      <c r="L648">
        <f>_xll.IMDP("STK",표.실시간[[#This Row],[nxt_code]],"등락률")</f>
        <v>1.98</v>
      </c>
      <c r="M648" s="2">
        <f>_xll.IMDP("STK",표.실시간[[#This Row],[nxt_code]],"누적거래량")</f>
        <v>4731</v>
      </c>
      <c r="N648" s="2">
        <f>_xll.IMDP("STK",표.실시간[[#This Row],[nxt_code]],"누적거래대금")/10^8</f>
        <v>0.89626620000000001</v>
      </c>
      <c r="O648" s="2">
        <f>_xll.IMDP("STK",표.실시간[[#This Row],[nxt_code]],"가중평균가")</f>
        <v>18944.540266</v>
      </c>
      <c r="P648" s="2">
        <f>_xll.IMDP("STK",표.실시간[[#This Row],[nxt_code]],"시가")</f>
        <v>18690</v>
      </c>
      <c r="Q648" s="2">
        <f>_xll.IMDP("STK",표.실시간[[#This Row],[nxt_code]],"고가")</f>
        <v>19160</v>
      </c>
      <c r="R648" s="2">
        <f>_xll.IMDP("STK",표.실시간[[#This Row],[nxt_code]],"저가")</f>
        <v>18510</v>
      </c>
      <c r="S648">
        <f>_xll.IMDP("STK",표.실시간[[#This Row],[nxt_code]],"세션명")</f>
        <v>0</v>
      </c>
      <c r="T648">
        <f>_xll.IMDP("STK",표.실시간[[#This Row],[nxt_code]],"체결시간")</f>
        <v>0</v>
      </c>
      <c r="U648" s="2">
        <f>_xll.IMDP("STK","092730","현재가")</f>
        <v>19070</v>
      </c>
      <c r="V648">
        <f>_xll.IMDP("STK","092730","누적거래량")</f>
        <v>16042</v>
      </c>
    </row>
    <row r="649" spans="2:22" x14ac:dyDescent="0.3">
      <c r="B649">
        <v>641</v>
      </c>
      <c r="C649">
        <v>0</v>
      </c>
      <c r="D649">
        <f>IF(IFERROR(INDEX(표.kospi200[code],MATCH(표.실시간[[#This Row],[코드]],표.kospi200[code],0)),0)=0,0,1)</f>
        <v>0</v>
      </c>
      <c r="E649" t="s">
        <v>654</v>
      </c>
      <c r="F649">
        <v>473980</v>
      </c>
      <c r="G649" t="str">
        <f>ConvertStockCode(표.실시간[[#This Row],[코드]])</f>
        <v>N473980</v>
      </c>
      <c r="H649" s="2">
        <f>_xll.IMDP("STK",표.실시간[[#This Row],[nxt_code]],"현재가")</f>
        <v>23350</v>
      </c>
      <c r="I649" s="2">
        <f>_xll.IMDP("STK",표.실시간[[#This Row],[nxt_code]],"시가총액")/10^12</f>
        <v>0.25818846870000001</v>
      </c>
      <c r="J649" s="2">
        <f>표.실시간[[#This Row],[시가총액 (조원)]]/표.실시간[[#This Row],[현재가]]*(표.실시간[[#This Row],[현재가]]-표.실시간[[#This Row],[대비]])</f>
        <v>0.27145725510000002</v>
      </c>
      <c r="K649" s="3">
        <f>_xll.IMDP("STK",표.실시간[[#This Row],[nxt_code]],"전일대비")</f>
        <v>-1200</v>
      </c>
      <c r="L649">
        <f>_xll.IMDP("STK",표.실시간[[#This Row],[nxt_code]],"등락률")</f>
        <v>-4.8899999999999997</v>
      </c>
      <c r="M649" s="2">
        <f>_xll.IMDP("STK",표.실시간[[#This Row],[nxt_code]],"누적거래량")</f>
        <v>51609</v>
      </c>
      <c r="N649" s="2">
        <f>_xll.IMDP("STK",표.실시간[[#This Row],[nxt_code]],"누적거래대금")/10^8</f>
        <v>12.092140000000001</v>
      </c>
      <c r="O649" s="2">
        <f>_xll.IMDP("STK",표.실시간[[#This Row],[nxt_code]],"가중평균가")</f>
        <v>23430.293165999999</v>
      </c>
      <c r="P649" s="2">
        <f>_xll.IMDP("STK",표.실시간[[#This Row],[nxt_code]],"시가")</f>
        <v>23350</v>
      </c>
      <c r="Q649" s="2">
        <f>_xll.IMDP("STK",표.실시간[[#This Row],[nxt_code]],"고가")</f>
        <v>23650</v>
      </c>
      <c r="R649" s="2">
        <f>_xll.IMDP("STK",표.실시간[[#This Row],[nxt_code]],"저가")</f>
        <v>23200</v>
      </c>
      <c r="S649">
        <f>_xll.IMDP("STK",표.실시간[[#This Row],[nxt_code]],"세션명")</f>
        <v>0</v>
      </c>
      <c r="T649">
        <f>_xll.IMDP("STK",표.실시간[[#This Row],[nxt_code]],"체결시간")</f>
        <v>0</v>
      </c>
      <c r="U649" s="2">
        <f>_xll.IMDP("STK","473980","현재가")</f>
        <v>23450</v>
      </c>
      <c r="V649">
        <f>_xll.IMDP("STK","473980","누적거래량")</f>
        <v>11851</v>
      </c>
    </row>
    <row r="650" spans="2:22" x14ac:dyDescent="0.3">
      <c r="B650">
        <v>642</v>
      </c>
      <c r="C650">
        <v>0</v>
      </c>
      <c r="D650">
        <f>IF(IFERROR(INDEX(표.kospi200[code],MATCH(표.실시간[[#This Row],[코드]],표.kospi200[code],0)),0)=0,0,1)</f>
        <v>0</v>
      </c>
      <c r="E650" t="s">
        <v>655</v>
      </c>
      <c r="F650">
        <v>294570</v>
      </c>
      <c r="G650" t="str">
        <f>ConvertStockCode(표.실시간[[#This Row],[코드]])</f>
        <v>N294570</v>
      </c>
      <c r="H650" s="2">
        <f>_xll.IMDP("STK",표.실시간[[#This Row],[nxt_code]],"현재가")</f>
        <v>33600</v>
      </c>
      <c r="I650" s="2">
        <f>_xll.IMDP("STK",표.실시간[[#This Row],[nxt_code]],"시가총액")/10^12</f>
        <v>0.33908219519999999</v>
      </c>
      <c r="J650" s="2">
        <f>표.실시간[[#This Row],[시가총액 (조원)]]/표.실시간[[#This Row],[현재가]]*(표.실시간[[#This Row],[현재가]]-표.실시간[[#This Row],[대비]])</f>
        <v>0.338073022</v>
      </c>
      <c r="K650" s="3">
        <f>_xll.IMDP("STK",표.실시간[[#This Row],[nxt_code]],"전일대비")</f>
        <v>100</v>
      </c>
      <c r="L650">
        <f>_xll.IMDP("STK",표.실시간[[#This Row],[nxt_code]],"등락률")</f>
        <v>0.6</v>
      </c>
      <c r="M650" s="2">
        <f>_xll.IMDP("STK",표.실시간[[#This Row],[nxt_code]],"누적거래량")</f>
        <v>72482</v>
      </c>
      <c r="N650" s="2">
        <f>_xll.IMDP("STK",표.실시간[[#This Row],[nxt_code]],"누적거래대금")/10^8</f>
        <v>24.8572445</v>
      </c>
      <c r="O650" s="2">
        <f>_xll.IMDP("STK",표.실시간[[#This Row],[nxt_code]],"가중평균가")</f>
        <v>34294.368947000003</v>
      </c>
      <c r="P650" s="2">
        <f>_xll.IMDP("STK",표.실시간[[#This Row],[nxt_code]],"시가")</f>
        <v>33250</v>
      </c>
      <c r="Q650" s="2">
        <f>_xll.IMDP("STK",표.실시간[[#This Row],[nxt_code]],"고가")</f>
        <v>35100</v>
      </c>
      <c r="R650" s="2">
        <f>_xll.IMDP("STK",표.실시간[[#This Row],[nxt_code]],"저가")</f>
        <v>32650</v>
      </c>
      <c r="S650">
        <f>_xll.IMDP("STK",표.실시간[[#This Row],[nxt_code]],"세션명")</f>
        <v>0</v>
      </c>
      <c r="T650">
        <f>_xll.IMDP("STK",표.실시간[[#This Row],[nxt_code]],"체결시간")</f>
        <v>0</v>
      </c>
      <c r="U650" s="2">
        <f>_xll.IMDP("STK","294570","현재가")</f>
        <v>33650</v>
      </c>
      <c r="V650">
        <f>_xll.IMDP("STK","294570","누적거래량")</f>
        <v>16607</v>
      </c>
    </row>
    <row r="651" spans="2:22" x14ac:dyDescent="0.3">
      <c r="B651">
        <v>643</v>
      </c>
      <c r="C651">
        <v>0</v>
      </c>
      <c r="D651">
        <f>IF(IFERROR(INDEX(표.kospi200[code],MATCH(표.실시간[[#This Row],[코드]],표.kospi200[code],0)),0)=0,0,1)</f>
        <v>0</v>
      </c>
      <c r="E651" t="s">
        <v>656</v>
      </c>
      <c r="F651">
        <v>378340</v>
      </c>
      <c r="G651" t="str">
        <f>ConvertStockCode(표.실시간[[#This Row],[코드]])</f>
        <v>N378340</v>
      </c>
      <c r="H651" s="2">
        <f>_xll.IMDP("STK",표.실시간[[#This Row],[nxt_code]],"현재가")</f>
        <v>16880</v>
      </c>
      <c r="I651" s="2">
        <f>_xll.IMDP("STK",표.실시간[[#This Row],[nxt_code]],"시가총액")/10^12</f>
        <v>0.36229344815999998</v>
      </c>
      <c r="J651" s="2">
        <f>표.실시간[[#This Row],[시가총액 (조원)]]/표.실시간[[#This Row],[현재가]]*(표.실시간[[#This Row],[현재가]]-표.실시간[[#This Row],[대비]])</f>
        <v>0.36637139573999999</v>
      </c>
      <c r="K651" s="3">
        <f>_xll.IMDP("STK",표.실시간[[#This Row],[nxt_code]],"전일대비")</f>
        <v>-190</v>
      </c>
      <c r="L651">
        <f>_xll.IMDP("STK",표.실시간[[#This Row],[nxt_code]],"등락률")</f>
        <v>-1.29</v>
      </c>
      <c r="M651" s="2">
        <f>_xll.IMDP("STK",표.실시간[[#This Row],[nxt_code]],"누적거래량")</f>
        <v>101378</v>
      </c>
      <c r="N651" s="2">
        <f>_xll.IMDP("STK",표.실시간[[#This Row],[nxt_code]],"누적거래대금")/10^8</f>
        <v>16.686333699999999</v>
      </c>
      <c r="O651" s="2">
        <f>_xll.IMDP("STK",표.실시간[[#This Row],[nxt_code]],"가중평균가")</f>
        <v>16459.521494000001</v>
      </c>
      <c r="P651" s="2">
        <f>_xll.IMDP("STK",표.실시간[[#This Row],[nxt_code]],"시가")</f>
        <v>16900</v>
      </c>
      <c r="Q651" s="2">
        <f>_xll.IMDP("STK",표.실시간[[#This Row],[nxt_code]],"고가")</f>
        <v>16910</v>
      </c>
      <c r="R651" s="2">
        <f>_xll.IMDP("STK",표.실시간[[#This Row],[nxt_code]],"저가")</f>
        <v>16240</v>
      </c>
      <c r="S651">
        <f>_xll.IMDP("STK",표.실시간[[#This Row],[nxt_code]],"세션명")</f>
        <v>0</v>
      </c>
      <c r="T651">
        <f>_xll.IMDP("STK",표.실시간[[#This Row],[nxt_code]],"체결시간")</f>
        <v>0</v>
      </c>
      <c r="U651" s="2">
        <f>_xll.IMDP("STK","378340","현재가")</f>
        <v>16880</v>
      </c>
      <c r="V651">
        <f>_xll.IMDP("STK","378340","누적거래량")</f>
        <v>32377</v>
      </c>
    </row>
    <row r="652" spans="2:22" x14ac:dyDescent="0.3">
      <c r="B652">
        <v>644</v>
      </c>
      <c r="C652">
        <v>1</v>
      </c>
      <c r="D652">
        <f>IF(IFERROR(INDEX(표.kospi200[code],MATCH(표.실시간[[#This Row],[코드]],표.kospi200[code],0)),0)=0,0,1)</f>
        <v>0</v>
      </c>
      <c r="E652" t="s">
        <v>657</v>
      </c>
      <c r="F652">
        <v>7160</v>
      </c>
      <c r="G652" t="str">
        <f>ConvertStockCode(표.실시간[[#This Row],[코드]])</f>
        <v>N007160</v>
      </c>
      <c r="H652" s="2">
        <f>_xll.IMDP("STK",표.실시간[[#This Row],[nxt_code]],"현재가")</f>
        <v>58500</v>
      </c>
      <c r="I652" s="2">
        <f>_xll.IMDP("STK",표.실시간[[#This Row],[nxt_code]],"시가총액")/10^12</f>
        <v>0.29249999999999998</v>
      </c>
      <c r="J652" s="2">
        <f>표.실시간[[#This Row],[시가총액 (조원)]]/표.실시간[[#This Row],[현재가]]*(표.실시간[[#This Row],[현재가]]-표.실시간[[#This Row],[대비]])</f>
        <v>0.29199999999999998</v>
      </c>
      <c r="K652" s="3">
        <f>_xll.IMDP("STK",표.실시간[[#This Row],[nxt_code]],"전일대비")</f>
        <v>100</v>
      </c>
      <c r="L652">
        <f>_xll.IMDP("STK",표.실시간[[#This Row],[nxt_code]],"등락률")</f>
        <v>0.17</v>
      </c>
      <c r="M652" s="2">
        <f>_xll.IMDP("STK",표.실시간[[#This Row],[nxt_code]],"누적거래량")</f>
        <v>4472</v>
      </c>
      <c r="N652" s="2">
        <f>_xll.IMDP("STK",표.실시간[[#This Row],[nxt_code]],"누적거래대금")/10^8</f>
        <v>2.6161829999999999</v>
      </c>
      <c r="O652" s="2">
        <f>_xll.IMDP("STK",표.실시간[[#This Row],[nxt_code]],"가중평균가")</f>
        <v>58501.408766</v>
      </c>
      <c r="P652" s="2">
        <f>_xll.IMDP("STK",표.실시간[[#This Row],[nxt_code]],"시가")</f>
        <v>58500</v>
      </c>
      <c r="Q652" s="2">
        <f>_xll.IMDP("STK",표.실시간[[#This Row],[nxt_code]],"고가")</f>
        <v>59200</v>
      </c>
      <c r="R652" s="2">
        <f>_xll.IMDP("STK",표.실시간[[#This Row],[nxt_code]],"저가")</f>
        <v>57800</v>
      </c>
      <c r="S652">
        <f>_xll.IMDP("STK",표.실시간[[#This Row],[nxt_code]],"세션명")</f>
        <v>0</v>
      </c>
      <c r="T652">
        <f>_xll.IMDP("STK",표.실시간[[#This Row],[nxt_code]],"체결시간")</f>
        <v>0</v>
      </c>
      <c r="U652" s="2">
        <f>_xll.IMDP("STK","007160","현재가")</f>
        <v>58600</v>
      </c>
      <c r="V652">
        <f>_xll.IMDP("STK","007160","누적거래량")</f>
        <v>703</v>
      </c>
    </row>
    <row r="653" spans="2:22" x14ac:dyDescent="0.3">
      <c r="B653">
        <v>645</v>
      </c>
      <c r="C653">
        <v>0</v>
      </c>
      <c r="D653">
        <f>IF(IFERROR(INDEX(표.kospi200[code],MATCH(표.실시간[[#This Row],[코드]],표.kospi200[code],0)),0)=0,0,1)</f>
        <v>0</v>
      </c>
      <c r="E653" t="s">
        <v>658</v>
      </c>
      <c r="F653">
        <v>43370</v>
      </c>
      <c r="G653" t="str">
        <f>ConvertStockCode(표.실시간[[#This Row],[코드]])</f>
        <v>N043370</v>
      </c>
      <c r="H653" s="2">
        <f>_xll.IMDP("STK",표.실시간[[#This Row],[nxt_code]],"현재가")</f>
        <v>11790</v>
      </c>
      <c r="I653" s="2">
        <f>_xll.IMDP("STK",표.실시간[[#This Row],[nxt_code]],"시가총액")/10^12</f>
        <v>0.24759</v>
      </c>
      <c r="J653" s="2">
        <f>표.실시간[[#This Row],[시가총액 (조원)]]/표.실시간[[#This Row],[현재가]]*(표.실시간[[#This Row],[현재가]]-표.실시간[[#This Row],[대비]])</f>
        <v>0.24716999999999997</v>
      </c>
      <c r="K653" s="3">
        <f>_xll.IMDP("STK",표.실시간[[#This Row],[nxt_code]],"전일대비")</f>
        <v>20</v>
      </c>
      <c r="L653">
        <f>_xll.IMDP("STK",표.실시간[[#This Row],[nxt_code]],"등락률")</f>
        <v>0.17</v>
      </c>
      <c r="M653" s="2">
        <f>_xll.IMDP("STK",표.실시간[[#This Row],[nxt_code]],"누적거래량")</f>
        <v>16243</v>
      </c>
      <c r="N653" s="2">
        <f>_xll.IMDP("STK",표.실시간[[#This Row],[nxt_code]],"누적거래대금")/10^8</f>
        <v>1.8938326999999999</v>
      </c>
      <c r="O653" s="2">
        <f>_xll.IMDP("STK",표.실시간[[#This Row],[nxt_code]],"가중평균가")</f>
        <v>11659.377578</v>
      </c>
      <c r="P653" s="2">
        <f>_xll.IMDP("STK",표.실시간[[#This Row],[nxt_code]],"시가")</f>
        <v>11770</v>
      </c>
      <c r="Q653" s="2">
        <f>_xll.IMDP("STK",표.실시간[[#This Row],[nxt_code]],"고가")</f>
        <v>11800</v>
      </c>
      <c r="R653" s="2">
        <f>_xll.IMDP("STK",표.실시간[[#This Row],[nxt_code]],"저가")</f>
        <v>11570</v>
      </c>
      <c r="S653">
        <f>_xll.IMDP("STK",표.실시간[[#This Row],[nxt_code]],"세션명")</f>
        <v>0</v>
      </c>
      <c r="T653">
        <f>_xll.IMDP("STK",표.실시간[[#This Row],[nxt_code]],"체결시간")</f>
        <v>0</v>
      </c>
      <c r="U653" s="2">
        <f>_xll.IMDP("STK","043370","현재가")</f>
        <v>11710</v>
      </c>
      <c r="V653">
        <f>_xll.IMDP("STK","043370","누적거래량")</f>
        <v>12474</v>
      </c>
    </row>
    <row r="654" spans="2:22" x14ac:dyDescent="0.3">
      <c r="B654">
        <v>646</v>
      </c>
      <c r="C654">
        <v>0</v>
      </c>
      <c r="D654">
        <f>IF(IFERROR(INDEX(표.kospi200[code],MATCH(표.실시간[[#This Row],[코드]],표.kospi200[code],0)),0)=0,0,1)</f>
        <v>0</v>
      </c>
      <c r="E654" t="s">
        <v>659</v>
      </c>
      <c r="F654">
        <v>382900</v>
      </c>
      <c r="G654" t="str">
        <f>ConvertStockCode(표.실시간[[#This Row],[코드]])</f>
        <v>N382900</v>
      </c>
      <c r="H654" s="2">
        <f>_xll.IMDP("STK",표.실시간[[#This Row],[nxt_code]],"현재가")</f>
        <v>30750</v>
      </c>
      <c r="I654" s="2">
        <f>_xll.IMDP("STK",표.실시간[[#This Row],[nxt_code]],"시가총액")/10^12</f>
        <v>0.26940075000000002</v>
      </c>
      <c r="J654" s="2">
        <f>표.실시간[[#This Row],[시가총액 (조원)]]/표.실시간[[#This Row],[현재가]]*(표.실시간[[#This Row],[현재가]]-표.실시간[[#This Row],[대비]])</f>
        <v>0.27290515000000004</v>
      </c>
      <c r="K654" s="3">
        <f>_xll.IMDP("STK",표.실시간[[#This Row],[nxt_code]],"전일대비")</f>
        <v>-400</v>
      </c>
      <c r="L654">
        <f>_xll.IMDP("STK",표.실시간[[#This Row],[nxt_code]],"등락률")</f>
        <v>-1.28</v>
      </c>
      <c r="M654" s="2">
        <f>_xll.IMDP("STK",표.실시간[[#This Row],[nxt_code]],"누적거래량")</f>
        <v>14772</v>
      </c>
      <c r="N654" s="2">
        <f>_xll.IMDP("STK",표.실시간[[#This Row],[nxt_code]],"누적거래대금")/10^8</f>
        <v>4.5113884999999998</v>
      </c>
      <c r="O654" s="2">
        <f>_xll.IMDP("STK",표.실시간[[#This Row],[nxt_code]],"가중평균가")</f>
        <v>30540.13336</v>
      </c>
      <c r="P654" s="2">
        <f>_xll.IMDP("STK",표.실시간[[#This Row],[nxt_code]],"시가")</f>
        <v>31250</v>
      </c>
      <c r="Q654" s="2">
        <f>_xll.IMDP("STK",표.실시간[[#This Row],[nxt_code]],"고가")</f>
        <v>31350</v>
      </c>
      <c r="R654" s="2">
        <f>_xll.IMDP("STK",표.실시간[[#This Row],[nxt_code]],"저가")</f>
        <v>30300</v>
      </c>
      <c r="S654">
        <f>_xll.IMDP("STK",표.실시간[[#This Row],[nxt_code]],"세션명")</f>
        <v>0</v>
      </c>
      <c r="T654">
        <f>_xll.IMDP("STK",표.실시간[[#This Row],[nxt_code]],"체결시간")</f>
        <v>0</v>
      </c>
      <c r="U654" s="2">
        <f>_xll.IMDP("STK","382900","현재가")</f>
        <v>30700</v>
      </c>
      <c r="V654">
        <f>_xll.IMDP("STK","382900","누적거래량")</f>
        <v>3888</v>
      </c>
    </row>
    <row r="655" spans="2:22" x14ac:dyDescent="0.3">
      <c r="B655">
        <v>647</v>
      </c>
      <c r="C655">
        <v>0</v>
      </c>
      <c r="D655">
        <f>IF(IFERROR(INDEX(표.kospi200[code],MATCH(표.실시간[[#This Row],[코드]],표.kospi200[code],0)),0)=0,0,1)</f>
        <v>0</v>
      </c>
      <c r="E655" t="s">
        <v>660</v>
      </c>
      <c r="F655">
        <v>35600</v>
      </c>
      <c r="G655" t="str">
        <f>ConvertStockCode(표.실시간[[#This Row],[코드]])</f>
        <v>N035600</v>
      </c>
      <c r="H655" s="2">
        <f>_xll.IMDP("STK",표.실시간[[#This Row],[nxt_code]],"현재가")</f>
        <v>11550</v>
      </c>
      <c r="I655" s="2">
        <f>_xll.IMDP("STK",표.실시간[[#This Row],[nxt_code]],"시가총액")/10^12</f>
        <v>0.31825371270000002</v>
      </c>
      <c r="J655" s="2">
        <f>표.실시간[[#This Row],[시가총액 (조원)]]/표.실시간[[#This Row],[현재가]]*(표.실시간[[#This Row],[현재가]]-표.실시간[[#This Row],[대비]])</f>
        <v>0.31825371270000002</v>
      </c>
      <c r="K655" s="3">
        <f>_xll.IMDP("STK",표.실시간[[#This Row],[nxt_code]],"전일대비")</f>
        <v>0</v>
      </c>
      <c r="L655">
        <f>_xll.IMDP("STK",표.실시간[[#This Row],[nxt_code]],"등락률")</f>
        <v>-0.17</v>
      </c>
      <c r="M655" s="2">
        <f>_xll.IMDP("STK",표.실시간[[#This Row],[nxt_code]],"누적거래량")</f>
        <v>57290</v>
      </c>
      <c r="N655" s="2">
        <f>_xll.IMDP("STK",표.실시간[[#This Row],[nxt_code]],"누적거래대금")/10^8</f>
        <v>6.6574160999999998</v>
      </c>
      <c r="O655" s="2">
        <f>_xll.IMDP("STK",표.실시간[[#This Row],[nxt_code]],"가중평균가")</f>
        <v>11620.555245</v>
      </c>
      <c r="P655" s="2">
        <f>_xll.IMDP("STK",표.실시간[[#This Row],[nxt_code]],"시가")</f>
        <v>11490</v>
      </c>
      <c r="Q655" s="2">
        <f>_xll.IMDP("STK",표.실시간[[#This Row],[nxt_code]],"고가")</f>
        <v>11800</v>
      </c>
      <c r="R655" s="2">
        <f>_xll.IMDP("STK",표.실시간[[#This Row],[nxt_code]],"저가")</f>
        <v>11410</v>
      </c>
      <c r="S655">
        <f>_xll.IMDP("STK",표.실시간[[#This Row],[nxt_code]],"세션명")</f>
        <v>0</v>
      </c>
      <c r="T655">
        <f>_xll.IMDP("STK",표.실시간[[#This Row],[nxt_code]],"체결시간")</f>
        <v>0</v>
      </c>
      <c r="U655" s="2">
        <f>_xll.IMDP("STK","035600","현재가")</f>
        <v>11600</v>
      </c>
      <c r="V655">
        <f>_xll.IMDP("STK","035600","누적거래량")</f>
        <v>36522</v>
      </c>
    </row>
    <row r="656" spans="2:22" x14ac:dyDescent="0.3">
      <c r="B656">
        <v>648</v>
      </c>
      <c r="C656">
        <v>1</v>
      </c>
      <c r="D656">
        <f>IF(IFERROR(INDEX(표.kospi200[code],MATCH(표.실시간[[#This Row],[코드]],표.kospi200[code],0)),0)=0,0,1)</f>
        <v>0</v>
      </c>
      <c r="E656" t="s">
        <v>661</v>
      </c>
      <c r="F656">
        <v>13890</v>
      </c>
      <c r="G656" t="str">
        <f>ConvertStockCode(표.실시간[[#This Row],[코드]])</f>
        <v>N013890</v>
      </c>
      <c r="H656" s="2">
        <f>_xll.IMDP("STK",표.실시간[[#This Row],[nxt_code]],"현재가")</f>
        <v>12170</v>
      </c>
      <c r="I656" s="2">
        <f>_xll.IMDP("STK",표.실시간[[#This Row],[nxt_code]],"시가총액")/10^12</f>
        <v>0.27083818992000003</v>
      </c>
      <c r="J656" s="2">
        <f>표.실시간[[#This Row],[시가총액 (조원)]]/표.실시간[[#This Row],[현재가]]*(표.실시간[[#This Row],[현재가]]-표.실시간[[#This Row],[대비]])</f>
        <v>0.27996256608000003</v>
      </c>
      <c r="K656" s="3">
        <f>_xll.IMDP("STK",표.실시간[[#This Row],[nxt_code]],"전일대비")</f>
        <v>-410</v>
      </c>
      <c r="L656">
        <f>_xll.IMDP("STK",표.실시간[[#This Row],[nxt_code]],"등락률")</f>
        <v>-3.26</v>
      </c>
      <c r="M656" s="2">
        <f>_xll.IMDP("STK",표.실시간[[#This Row],[nxt_code]],"누적거래량")</f>
        <v>3232</v>
      </c>
      <c r="N656" s="2">
        <f>_xll.IMDP("STK",표.실시간[[#This Row],[nxt_code]],"누적거래대금")/10^8</f>
        <v>0.39839669999999999</v>
      </c>
      <c r="O656" s="2">
        <f>_xll.IMDP("STK",표.실시간[[#This Row],[nxt_code]],"가중평균가")</f>
        <v>12326.630569000001</v>
      </c>
      <c r="P656" s="2">
        <f>_xll.IMDP("STK",표.실시간[[#This Row],[nxt_code]],"시가")</f>
        <v>12580</v>
      </c>
      <c r="Q656" s="2">
        <f>_xll.IMDP("STK",표.실시간[[#This Row],[nxt_code]],"고가")</f>
        <v>12580</v>
      </c>
      <c r="R656" s="2">
        <f>_xll.IMDP("STK",표.실시간[[#This Row],[nxt_code]],"저가")</f>
        <v>12160</v>
      </c>
      <c r="S656">
        <f>_xll.IMDP("STK",표.실시간[[#This Row],[nxt_code]],"세션명")</f>
        <v>0</v>
      </c>
      <c r="T656">
        <f>_xll.IMDP("STK",표.실시간[[#This Row],[nxt_code]],"체결시간")</f>
        <v>0</v>
      </c>
      <c r="U656" s="2">
        <f>_xll.IMDP("STK","013890","현재가")</f>
        <v>12180</v>
      </c>
      <c r="V656">
        <f>_xll.IMDP("STK","013890","누적거래량")</f>
        <v>9586</v>
      </c>
    </row>
    <row r="657" spans="2:22" x14ac:dyDescent="0.3">
      <c r="B657">
        <v>649</v>
      </c>
      <c r="C657">
        <v>1</v>
      </c>
      <c r="D657">
        <f>IF(IFERROR(INDEX(표.kospi200[code],MATCH(표.실시간[[#This Row],[코드]],표.kospi200[code],0)),0)=0,0,1)</f>
        <v>0</v>
      </c>
      <c r="E657" t="s">
        <v>662</v>
      </c>
      <c r="F657">
        <v>320</v>
      </c>
      <c r="G657" t="str">
        <f>ConvertStockCode(표.실시간[[#This Row],[코드]])</f>
        <v>N000320</v>
      </c>
      <c r="H657" s="2">
        <f>_xll.IMDP("STK",표.실시간[[#This Row],[nxt_code]],"현재가")</f>
        <v>21050</v>
      </c>
      <c r="I657" s="2">
        <f>_xll.IMDP("STK",표.실시간[[#This Row],[nxt_code]],"시가총액")/10^12</f>
        <v>0.27977872855000002</v>
      </c>
      <c r="J657" s="2">
        <f>표.실시간[[#This Row],[시가총액 (조원)]]/표.실시간[[#This Row],[현재가]]*(표.실시간[[#This Row],[현재가]]-표.실시간[[#This Row],[대비]])</f>
        <v>0.28177240120000002</v>
      </c>
      <c r="K657" s="3">
        <f>_xll.IMDP("STK",표.실시간[[#This Row],[nxt_code]],"전일대비")</f>
        <v>-150</v>
      </c>
      <c r="L657">
        <f>_xll.IMDP("STK",표.실시간[[#This Row],[nxt_code]],"등락률")</f>
        <v>-0.71</v>
      </c>
      <c r="M657" s="2">
        <f>_xll.IMDP("STK",표.실시간[[#This Row],[nxt_code]],"누적거래량")</f>
        <v>3736</v>
      </c>
      <c r="N657" s="2">
        <f>_xll.IMDP("STK",표.실시간[[#This Row],[nxt_code]],"누적거래대금")/10^8</f>
        <v>0.78106850000000005</v>
      </c>
      <c r="O657" s="2">
        <f>_xll.IMDP("STK",표.실시간[[#This Row],[nxt_code]],"가중평균가")</f>
        <v>20906.544432999999</v>
      </c>
      <c r="P657" s="2">
        <f>_xll.IMDP("STK",표.실시간[[#This Row],[nxt_code]],"시가")</f>
        <v>20950</v>
      </c>
      <c r="Q657" s="2">
        <f>_xll.IMDP("STK",표.실시간[[#This Row],[nxt_code]],"고가")</f>
        <v>21400</v>
      </c>
      <c r="R657" s="2">
        <f>_xll.IMDP("STK",표.실시간[[#This Row],[nxt_code]],"저가")</f>
        <v>20550</v>
      </c>
      <c r="S657">
        <f>_xll.IMDP("STK",표.실시간[[#This Row],[nxt_code]],"세션명")</f>
        <v>0</v>
      </c>
      <c r="T657">
        <f>_xll.IMDP("STK",표.실시간[[#This Row],[nxt_code]],"체결시간")</f>
        <v>0</v>
      </c>
      <c r="U657" s="2">
        <f>_xll.IMDP("STK","000320","현재가")</f>
        <v>21000</v>
      </c>
      <c r="V657">
        <f>_xll.IMDP("STK","000320","누적거래량")</f>
        <v>1716</v>
      </c>
    </row>
    <row r="658" spans="2:22" x14ac:dyDescent="0.3">
      <c r="B658">
        <v>650</v>
      </c>
      <c r="C658">
        <v>0</v>
      </c>
      <c r="D658">
        <f>IF(IFERROR(INDEX(표.kospi200[code],MATCH(표.실시간[[#This Row],[코드]],표.kospi200[code],0)),0)=0,0,1)</f>
        <v>0</v>
      </c>
      <c r="E658" t="s">
        <v>663</v>
      </c>
      <c r="F658">
        <v>267980</v>
      </c>
      <c r="G658" t="str">
        <f>ConvertStockCode(표.실시간[[#This Row],[코드]])</f>
        <v>N267980</v>
      </c>
      <c r="H658" s="2">
        <f>_xll.IMDP("STK",표.실시간[[#This Row],[nxt_code]],"현재가")</f>
        <v>35300</v>
      </c>
      <c r="I658" s="2">
        <f>_xll.IMDP("STK",표.실시간[[#This Row],[nxt_code]],"시가총액")/10^12</f>
        <v>0.27052642139999999</v>
      </c>
      <c r="J658" s="2">
        <f>표.실시간[[#This Row],[시가총액 (조원)]]/표.실시간[[#This Row],[현재가]]*(표.실시간[[#This Row],[현재가]]-표.실시간[[#This Row],[대비]])</f>
        <v>0.27052642139999999</v>
      </c>
      <c r="K658" s="3">
        <f>_xll.IMDP("STK",표.실시간[[#This Row],[nxt_code]],"전일대비")</f>
        <v>0</v>
      </c>
      <c r="L658">
        <f>_xll.IMDP("STK",표.실시간[[#This Row],[nxt_code]],"등락률")</f>
        <v>0</v>
      </c>
      <c r="M658" s="2">
        <f>_xll.IMDP("STK",표.실시간[[#This Row],[nxt_code]],"누적거래량")</f>
        <v>488</v>
      </c>
      <c r="N658" s="2">
        <f>_xll.IMDP("STK",표.실시간[[#This Row],[nxt_code]],"누적거래대금")/10^8</f>
        <v>0.1724695</v>
      </c>
      <c r="O658" s="2">
        <f>_xll.IMDP("STK",표.실시간[[#This Row],[nxt_code]],"가중평균가")</f>
        <v>35342.110655999997</v>
      </c>
      <c r="P658" s="2">
        <f>_xll.IMDP("STK",표.실시간[[#This Row],[nxt_code]],"시가")</f>
        <v>35300</v>
      </c>
      <c r="Q658" s="2">
        <f>_xll.IMDP("STK",표.실시간[[#This Row],[nxt_code]],"고가")</f>
        <v>35700</v>
      </c>
      <c r="R658" s="2">
        <f>_xll.IMDP("STK",표.실시간[[#This Row],[nxt_code]],"저가")</f>
        <v>35300</v>
      </c>
      <c r="S658">
        <f>_xll.IMDP("STK",표.실시간[[#This Row],[nxt_code]],"세션명")</f>
        <v>0</v>
      </c>
      <c r="T658">
        <f>_xll.IMDP("STK",표.실시간[[#This Row],[nxt_code]],"체결시간")</f>
        <v>0</v>
      </c>
      <c r="U658" s="2">
        <f>_xll.IMDP("STK","267980","현재가")</f>
        <v>35300</v>
      </c>
      <c r="V658">
        <f>_xll.IMDP("STK","267980","누적거래량")</f>
        <v>214</v>
      </c>
    </row>
    <row r="659" spans="2:22" x14ac:dyDescent="0.3">
      <c r="B659">
        <v>651</v>
      </c>
      <c r="C659">
        <v>0</v>
      </c>
      <c r="D659">
        <f>IF(IFERROR(INDEX(표.kospi200[code],MATCH(표.실시간[[#This Row],[코드]],표.kospi200[code],0)),0)=0,0,1)</f>
        <v>0</v>
      </c>
      <c r="E659" t="s">
        <v>664</v>
      </c>
      <c r="F659">
        <v>5710</v>
      </c>
      <c r="G659" t="str">
        <f>ConvertStockCode(표.실시간[[#This Row],[코드]])</f>
        <v>N005710</v>
      </c>
      <c r="H659" s="2">
        <f>_xll.IMDP("STK",표.실시간[[#This Row],[nxt_code]],"현재가")</f>
        <v>12920</v>
      </c>
      <c r="I659" s="2">
        <f>_xll.IMDP("STK",표.실시간[[#This Row],[nxt_code]],"시가총액")/10^12</f>
        <v>0.258885792</v>
      </c>
      <c r="J659" s="2">
        <f>표.실시간[[#This Row],[시가총액 (조원)]]/표.실시간[[#This Row],[현재가]]*(표.실시간[[#This Row],[현재가]]-표.실시간[[#This Row],[대비]])</f>
        <v>0.25988767200000001</v>
      </c>
      <c r="K659" s="3">
        <f>_xll.IMDP("STK",표.실시간[[#This Row],[nxt_code]],"전일대비")</f>
        <v>-50</v>
      </c>
      <c r="L659">
        <f>_xll.IMDP("STK",표.실시간[[#This Row],[nxt_code]],"등락률")</f>
        <v>-0.39</v>
      </c>
      <c r="M659" s="2">
        <f>_xll.IMDP("STK",표.실시간[[#This Row],[nxt_code]],"누적거래량")</f>
        <v>1588</v>
      </c>
      <c r="N659" s="2">
        <f>_xll.IMDP("STK",표.실시간[[#This Row],[nxt_code]],"누적거래대금")/10^8</f>
        <v>0.2029928</v>
      </c>
      <c r="O659" s="2">
        <f>_xll.IMDP("STK",표.실시간[[#This Row],[nxt_code]],"가중평균가")</f>
        <v>12782.921914</v>
      </c>
      <c r="P659" s="2">
        <f>_xll.IMDP("STK",표.실시간[[#This Row],[nxt_code]],"시가")</f>
        <v>12960</v>
      </c>
      <c r="Q659" s="2">
        <f>_xll.IMDP("STK",표.실시간[[#This Row],[nxt_code]],"고가")</f>
        <v>12960</v>
      </c>
      <c r="R659" s="2">
        <f>_xll.IMDP("STK",표.실시간[[#This Row],[nxt_code]],"저가")</f>
        <v>12740</v>
      </c>
      <c r="S659">
        <f>_xll.IMDP("STK",표.실시간[[#This Row],[nxt_code]],"세션명")</f>
        <v>0</v>
      </c>
      <c r="T659">
        <f>_xll.IMDP("STK",표.실시간[[#This Row],[nxt_code]],"체결시간")</f>
        <v>0</v>
      </c>
      <c r="U659" s="2">
        <f>_xll.IMDP("STK","005710","현재가")</f>
        <v>12950</v>
      </c>
      <c r="V659">
        <f>_xll.IMDP("STK","005710","누적거래량")</f>
        <v>4321</v>
      </c>
    </row>
    <row r="660" spans="2:22" x14ac:dyDescent="0.3">
      <c r="B660">
        <v>652</v>
      </c>
      <c r="C660">
        <v>1</v>
      </c>
      <c r="D660">
        <f>IF(IFERROR(INDEX(표.kospi200[code],MATCH(표.실시간[[#This Row],[코드]],표.kospi200[code],0)),0)=0,0,1)</f>
        <v>0</v>
      </c>
      <c r="E660" t="s">
        <v>665</v>
      </c>
      <c r="F660">
        <v>1460</v>
      </c>
      <c r="G660" t="str">
        <f>ConvertStockCode(표.실시간[[#This Row],[코드]])</f>
        <v>N001460</v>
      </c>
      <c r="H660" s="2">
        <f>_xll.IMDP("STK",표.실시간[[#This Row],[nxt_code]],"현재가")</f>
        <v>42050</v>
      </c>
      <c r="I660" s="2">
        <f>_xll.IMDP("STK",표.실시간[[#This Row],[nxt_code]],"시가총액")/10^12</f>
        <v>0.26265060750000002</v>
      </c>
      <c r="J660" s="2">
        <f>표.실시간[[#This Row],[시가총액 (조원)]]/표.실시간[[#This Row],[현재가]]*(표.실시간[[#This Row],[현재가]]-표.실시간[[#This Row],[대비]])</f>
        <v>0.26015214749999999</v>
      </c>
      <c r="K660" s="3">
        <f>_xll.IMDP("STK",표.실시간[[#This Row],[nxt_code]],"전일대비")</f>
        <v>400</v>
      </c>
      <c r="L660">
        <f>_xll.IMDP("STK",표.실시간[[#This Row],[nxt_code]],"등락률")</f>
        <v>0.96</v>
      </c>
      <c r="M660" s="2">
        <f>_xll.IMDP("STK",표.실시간[[#This Row],[nxt_code]],"누적거래량")</f>
        <v>93</v>
      </c>
      <c r="N660" s="2">
        <f>_xll.IMDP("STK",표.실시간[[#This Row],[nxt_code]],"누적거래대금")/10^8</f>
        <v>3.8935999999999998E-2</v>
      </c>
      <c r="O660" s="2">
        <f>_xll.IMDP("STK",표.실시간[[#This Row],[nxt_code]],"가중평균가")</f>
        <v>41866.666666999998</v>
      </c>
      <c r="P660" s="2">
        <f>_xll.IMDP("STK",표.실시간[[#This Row],[nxt_code]],"시가")</f>
        <v>41700</v>
      </c>
      <c r="Q660" s="2">
        <f>_xll.IMDP("STK",표.실시간[[#This Row],[nxt_code]],"고가")</f>
        <v>42600</v>
      </c>
      <c r="R660" s="2">
        <f>_xll.IMDP("STK",표.실시간[[#This Row],[nxt_code]],"저가")</f>
        <v>40650</v>
      </c>
      <c r="S660">
        <f>_xll.IMDP("STK",표.실시간[[#This Row],[nxt_code]],"세션명")</f>
        <v>0</v>
      </c>
      <c r="T660">
        <f>_xll.IMDP("STK",표.실시간[[#This Row],[nxt_code]],"체결시간")</f>
        <v>0</v>
      </c>
      <c r="U660" s="2">
        <f>_xll.IMDP("STK","001460","현재가")</f>
        <v>42050</v>
      </c>
      <c r="V660">
        <f>_xll.IMDP("STK","001460","누적거래량")</f>
        <v>645</v>
      </c>
    </row>
    <row r="661" spans="2:22" x14ac:dyDescent="0.3">
      <c r="B661">
        <v>653</v>
      </c>
      <c r="C661">
        <v>0</v>
      </c>
      <c r="D661">
        <f>IF(IFERROR(INDEX(표.kospi200[code],MATCH(표.실시간[[#This Row],[코드]],표.kospi200[code],0)),0)=0,0,1)</f>
        <v>0</v>
      </c>
      <c r="E661" t="s">
        <v>666</v>
      </c>
      <c r="F661">
        <v>452430</v>
      </c>
      <c r="G661" t="str">
        <f>ConvertStockCode(표.실시간[[#This Row],[코드]])</f>
        <v>N452430</v>
      </c>
      <c r="H661" s="2">
        <f>_xll.IMDP("STK",표.실시간[[#This Row],[nxt_code]],"현재가")</f>
        <v>38100</v>
      </c>
      <c r="I661" s="2">
        <f>_xll.IMDP("STK",표.실시간[[#This Row],[nxt_code]],"시가총액")/10^12</f>
        <v>0.31310755260000001</v>
      </c>
      <c r="J661" s="2">
        <f>표.실시간[[#This Row],[시가총액 (조원)]]/표.실시간[[#This Row],[현재가]]*(표.실시간[[#This Row],[현재가]]-표.실시간[[#This Row],[대비]])</f>
        <v>0.31968198940000003</v>
      </c>
      <c r="K661" s="3">
        <f>_xll.IMDP("STK",표.실시간[[#This Row],[nxt_code]],"전일대비")</f>
        <v>-800</v>
      </c>
      <c r="L661">
        <f>_xll.IMDP("STK",표.실시간[[#This Row],[nxt_code]],"등락률")</f>
        <v>-1.8</v>
      </c>
      <c r="M661" s="2">
        <f>_xll.IMDP("STK",표.실시간[[#This Row],[nxt_code]],"누적거래량")</f>
        <v>13133</v>
      </c>
      <c r="N661" s="2">
        <f>_xll.IMDP("STK",표.실시간[[#This Row],[nxt_code]],"누적거래대금")/10^8</f>
        <v>4.9070685000000003</v>
      </c>
      <c r="O661" s="2">
        <f>_xll.IMDP("STK",표.실시간[[#This Row],[nxt_code]],"가중평균가")</f>
        <v>37364.414070999999</v>
      </c>
      <c r="P661" s="2">
        <f>_xll.IMDP("STK",표.실시간[[#This Row],[nxt_code]],"시가")</f>
        <v>35150</v>
      </c>
      <c r="Q661" s="2">
        <f>_xll.IMDP("STK",표.실시간[[#This Row],[nxt_code]],"고가")</f>
        <v>38650</v>
      </c>
      <c r="R661" s="2">
        <f>_xll.IMDP("STK",표.실시간[[#This Row],[nxt_code]],"저가")</f>
        <v>35150</v>
      </c>
      <c r="S661">
        <f>_xll.IMDP("STK",표.실시간[[#This Row],[nxt_code]],"세션명")</f>
        <v>0</v>
      </c>
      <c r="T661">
        <f>_xll.IMDP("STK",표.실시간[[#This Row],[nxt_code]],"체결시간")</f>
        <v>0</v>
      </c>
      <c r="U661" s="2">
        <f>_xll.IMDP("STK","452430","현재가")</f>
        <v>38100</v>
      </c>
      <c r="V661">
        <f>_xll.IMDP("STK","452430","누적거래량")</f>
        <v>9087</v>
      </c>
    </row>
    <row r="662" spans="2:22" x14ac:dyDescent="0.3">
      <c r="B662">
        <v>654</v>
      </c>
      <c r="C662">
        <v>1</v>
      </c>
      <c r="D662">
        <f>IF(IFERROR(INDEX(표.kospi200[code],MATCH(표.실시간[[#This Row],[코드]],표.kospi200[code],0)),0)=0,0,1)</f>
        <v>0</v>
      </c>
      <c r="E662" t="s">
        <v>667</v>
      </c>
      <c r="F662">
        <v>4360</v>
      </c>
      <c r="G662" t="str">
        <f>ConvertStockCode(표.실시간[[#This Row],[코드]])</f>
        <v>N004360</v>
      </c>
      <c r="H662" s="2">
        <f>_xll.IMDP("STK",표.실시간[[#This Row],[nxt_code]],"현재가")</f>
        <v>14220</v>
      </c>
      <c r="I662" s="2">
        <f>_xll.IMDP("STK",표.실시간[[#This Row],[nxt_code]],"시가총액")/10^12</f>
        <v>0.27182387466000002</v>
      </c>
      <c r="J662" s="2">
        <f>표.실시간[[#This Row],[시가총액 (조원)]]/표.실시간[[#This Row],[현재가]]*(표.실시간[[#This Row],[현재가]]-표.실시간[[#This Row],[대비]])</f>
        <v>0.27717624350000003</v>
      </c>
      <c r="K662" s="3">
        <f>_xll.IMDP("STK",표.실시간[[#This Row],[nxt_code]],"전일대비")</f>
        <v>-280</v>
      </c>
      <c r="L662">
        <f>_xll.IMDP("STK",표.실시간[[#This Row],[nxt_code]],"등락률")</f>
        <v>-1.93</v>
      </c>
      <c r="M662" s="2">
        <f>_xll.IMDP("STK",표.실시간[[#This Row],[nxt_code]],"누적거래량")</f>
        <v>3723</v>
      </c>
      <c r="N662" s="2">
        <f>_xll.IMDP("STK",표.실시간[[#This Row],[nxt_code]],"누적거래대금")/10^8</f>
        <v>0.5335974</v>
      </c>
      <c r="O662" s="2">
        <f>_xll.IMDP("STK",표.실시간[[#This Row],[nxt_code]],"가중평균가")</f>
        <v>14332.457694999999</v>
      </c>
      <c r="P662" s="2">
        <f>_xll.IMDP("STK",표.실시간[[#This Row],[nxt_code]],"시가")</f>
        <v>14500</v>
      </c>
      <c r="Q662" s="2">
        <f>_xll.IMDP("STK",표.실시간[[#This Row],[nxt_code]],"고가")</f>
        <v>14500</v>
      </c>
      <c r="R662" s="2">
        <f>_xll.IMDP("STK",표.실시간[[#This Row],[nxt_code]],"저가")</f>
        <v>14220</v>
      </c>
      <c r="S662">
        <f>_xll.IMDP("STK",표.실시간[[#This Row],[nxt_code]],"세션명")</f>
        <v>0</v>
      </c>
      <c r="T662">
        <f>_xll.IMDP("STK",표.실시간[[#This Row],[nxt_code]],"체결시간")</f>
        <v>0</v>
      </c>
      <c r="U662" s="2">
        <f>_xll.IMDP("STK","004360","현재가")</f>
        <v>14300</v>
      </c>
      <c r="V662">
        <f>_xll.IMDP("STK","004360","누적거래량")</f>
        <v>3828</v>
      </c>
    </row>
    <row r="663" spans="2:22" x14ac:dyDescent="0.3">
      <c r="B663">
        <v>655</v>
      </c>
      <c r="C663">
        <v>0</v>
      </c>
      <c r="D663">
        <f>IF(IFERROR(INDEX(표.kospi200[code],MATCH(표.실시간[[#This Row],[코드]],표.kospi200[code],0)),0)=0,0,1)</f>
        <v>0</v>
      </c>
      <c r="E663" t="s">
        <v>668</v>
      </c>
      <c r="F663">
        <v>380550</v>
      </c>
      <c r="G663" t="str">
        <f>ConvertStockCode(표.실시간[[#This Row],[코드]])</f>
        <v>N380550</v>
      </c>
      <c r="H663" s="2">
        <f>_xll.IMDP("STK",표.실시간[[#This Row],[nxt_code]],"현재가")</f>
        <v>32150</v>
      </c>
      <c r="I663" s="2">
        <f>_xll.IMDP("STK",표.실시간[[#This Row],[nxt_code]],"시가총액")/10^12</f>
        <v>0.37411678645000002</v>
      </c>
      <c r="J663" s="2">
        <f>표.실시간[[#This Row],[시가총액 (조원)]]/표.실시간[[#This Row],[현재가]]*(표.실시간[[#This Row],[현재가]]-표.실시간[[#This Row],[대비]])</f>
        <v>0.32873403475000001</v>
      </c>
      <c r="K663" s="3">
        <f>_xll.IMDP("STK",표.실시간[[#This Row],[nxt_code]],"전일대비")</f>
        <v>3900</v>
      </c>
      <c r="L663">
        <f>_xll.IMDP("STK",표.실시간[[#This Row],[nxt_code]],"등락률")</f>
        <v>13.81</v>
      </c>
      <c r="M663" s="2">
        <f>_xll.IMDP("STK",표.실시간[[#This Row],[nxt_code]],"누적거래량")</f>
        <v>4053270</v>
      </c>
      <c r="N663" s="2">
        <f>_xll.IMDP("STK",표.실시간[[#This Row],[nxt_code]],"누적거래대금")/10^8</f>
        <v>1333.8507462499999</v>
      </c>
      <c r="O663" s="2">
        <f>_xll.IMDP("STK",표.실시간[[#This Row],[nxt_code]],"가중평균가")</f>
        <v>32907.074388000001</v>
      </c>
      <c r="P663" s="2">
        <f>_xll.IMDP("STK",표.실시간[[#This Row],[nxt_code]],"시가")</f>
        <v>32000</v>
      </c>
      <c r="Q663" s="2">
        <f>_xll.IMDP("STK",표.실시간[[#This Row],[nxt_code]],"고가")</f>
        <v>34400</v>
      </c>
      <c r="R663" s="2">
        <f>_xll.IMDP("STK",표.실시간[[#This Row],[nxt_code]],"저가")</f>
        <v>30550</v>
      </c>
      <c r="S663">
        <f>_xll.IMDP("STK",표.실시간[[#This Row],[nxt_code]],"세션명")</f>
        <v>0</v>
      </c>
      <c r="T663">
        <f>_xll.IMDP("STK",표.실시간[[#This Row],[nxt_code]],"체결시간")</f>
        <v>0</v>
      </c>
      <c r="U663" s="2">
        <f>_xll.IMDP("STK","380550","현재가")</f>
        <v>31600</v>
      </c>
      <c r="V663">
        <f>_xll.IMDP("STK","380550","누적거래량")</f>
        <v>690168</v>
      </c>
    </row>
    <row r="664" spans="2:22" x14ac:dyDescent="0.3">
      <c r="B664">
        <v>656</v>
      </c>
      <c r="C664">
        <v>0</v>
      </c>
      <c r="D664">
        <f>IF(IFERROR(INDEX(표.kospi200[code],MATCH(표.실시간[[#This Row],[코드]],표.kospi200[code],0)),0)=0,0,1)</f>
        <v>0</v>
      </c>
      <c r="E664" t="s">
        <v>669</v>
      </c>
      <c r="F664">
        <v>114840</v>
      </c>
      <c r="G664" t="str">
        <f>ConvertStockCode(표.실시간[[#This Row],[코드]])</f>
        <v>N114840</v>
      </c>
      <c r="H664" s="2">
        <f>_xll.IMDP("STK",표.실시간[[#This Row],[nxt_code]],"현재가")</f>
        <v>14800</v>
      </c>
      <c r="I664" s="2">
        <f>_xll.IMDP("STK",표.실시간[[#This Row],[nxt_code]],"시가총액")/10^12</f>
        <v>0.25633452000000001</v>
      </c>
      <c r="J664" s="2">
        <f>표.실시간[[#This Row],[시가총액 (조원)]]/표.실시간[[#This Row],[현재가]]*(표.실시간[[#This Row],[현재가]]-표.실시간[[#This Row],[대비]])</f>
        <v>0.26049129599999998</v>
      </c>
      <c r="K664" s="3">
        <f>_xll.IMDP("STK",표.실시간[[#This Row],[nxt_code]],"전일대비")</f>
        <v>-240</v>
      </c>
      <c r="L664">
        <f>_xll.IMDP("STK",표.실시간[[#This Row],[nxt_code]],"등락률")</f>
        <v>-1.6</v>
      </c>
      <c r="M664" s="2">
        <f>_xll.IMDP("STK",표.실시간[[#This Row],[nxt_code]],"누적거래량")</f>
        <v>7371</v>
      </c>
      <c r="N664" s="2">
        <f>_xll.IMDP("STK",표.실시간[[#This Row],[nxt_code]],"누적거래대금")/10^8</f>
        <v>1.0990386000000001</v>
      </c>
      <c r="O664" s="2">
        <f>_xll.IMDP("STK",표.실시간[[#This Row],[nxt_code]],"가중평균가")</f>
        <v>14910.305249999999</v>
      </c>
      <c r="P664" s="2">
        <f>_xll.IMDP("STK",표.실시간[[#This Row],[nxt_code]],"시가")</f>
        <v>15180</v>
      </c>
      <c r="Q664" s="2">
        <f>_xll.IMDP("STK",표.실시간[[#This Row],[nxt_code]],"고가")</f>
        <v>15210</v>
      </c>
      <c r="R664" s="2">
        <f>_xll.IMDP("STK",표.실시간[[#This Row],[nxt_code]],"저가")</f>
        <v>14780</v>
      </c>
      <c r="S664">
        <f>_xll.IMDP("STK",표.실시간[[#This Row],[nxt_code]],"세션명")</f>
        <v>0</v>
      </c>
      <c r="T664">
        <f>_xll.IMDP("STK",표.실시간[[#This Row],[nxt_code]],"체결시간")</f>
        <v>0</v>
      </c>
      <c r="U664" s="2">
        <f>_xll.IMDP("STK","114840","현재가")</f>
        <v>14950</v>
      </c>
      <c r="V664">
        <f>_xll.IMDP("STK","114840","누적거래량")</f>
        <v>8296</v>
      </c>
    </row>
    <row r="665" spans="2:22" x14ac:dyDescent="0.3">
      <c r="B665">
        <v>657</v>
      </c>
      <c r="C665">
        <v>0</v>
      </c>
      <c r="D665">
        <f>IF(IFERROR(INDEX(표.kospi200[code],MATCH(표.실시간[[#This Row],[코드]],표.kospi200[code],0)),0)=0,0,1)</f>
        <v>0</v>
      </c>
      <c r="E665" t="s">
        <v>670</v>
      </c>
      <c r="F665">
        <v>300080</v>
      </c>
      <c r="G665" t="str">
        <f>ConvertStockCode(표.실시간[[#This Row],[코드]])</f>
        <v>N300080</v>
      </c>
      <c r="H665" s="2">
        <f>_xll.IMDP("STK",표.실시간[[#This Row],[nxt_code]],"현재가")</f>
        <v>15800</v>
      </c>
      <c r="I665" s="2">
        <f>_xll.IMDP("STK",표.실시간[[#This Row],[nxt_code]],"시가총액")/10^12</f>
        <v>0.26078612579999999</v>
      </c>
      <c r="J665" s="2">
        <f>표.실시간[[#This Row],[시가총액 (조원)]]/표.실시간[[#This Row],[현재가]]*(표.실시간[[#This Row],[현재가]]-표.실시간[[#This Row],[대비]])</f>
        <v>0.26953401483</v>
      </c>
      <c r="K665" s="3">
        <f>_xll.IMDP("STK",표.실시간[[#This Row],[nxt_code]],"전일대비")</f>
        <v>-530</v>
      </c>
      <c r="L665">
        <f>_xll.IMDP("STK",표.실시간[[#This Row],[nxt_code]],"등락률")</f>
        <v>-3.25</v>
      </c>
      <c r="M665" s="2">
        <f>_xll.IMDP("STK",표.실시간[[#This Row],[nxt_code]],"누적거래량")</f>
        <v>52823</v>
      </c>
      <c r="N665" s="2">
        <f>_xll.IMDP("STK",표.실시간[[#This Row],[nxt_code]],"누적거래대금")/10^8</f>
        <v>8.3962088000000001</v>
      </c>
      <c r="O665" s="2">
        <f>_xll.IMDP("STK",표.실시간[[#This Row],[nxt_code]],"가중평균가")</f>
        <v>15894.986654</v>
      </c>
      <c r="P665" s="2">
        <f>_xll.IMDP("STK",표.실시간[[#This Row],[nxt_code]],"시가")</f>
        <v>16200</v>
      </c>
      <c r="Q665" s="2">
        <f>_xll.IMDP("STK",표.실시간[[#This Row],[nxt_code]],"고가")</f>
        <v>16500</v>
      </c>
      <c r="R665" s="2">
        <f>_xll.IMDP("STK",표.실시간[[#This Row],[nxt_code]],"저가")</f>
        <v>15730</v>
      </c>
      <c r="S665">
        <f>_xll.IMDP("STK",표.실시간[[#This Row],[nxt_code]],"세션명")</f>
        <v>0</v>
      </c>
      <c r="T665">
        <f>_xll.IMDP("STK",표.실시간[[#This Row],[nxt_code]],"체결시간")</f>
        <v>0</v>
      </c>
      <c r="U665" s="2">
        <f>_xll.IMDP("STK","300080","현재가")</f>
        <v>15750</v>
      </c>
      <c r="V665">
        <f>_xll.IMDP("STK","300080","누적거래량")</f>
        <v>28144</v>
      </c>
    </row>
    <row r="666" spans="2:22" x14ac:dyDescent="0.3">
      <c r="B666">
        <v>658</v>
      </c>
      <c r="C666">
        <v>1</v>
      </c>
      <c r="D666">
        <f>IF(IFERROR(INDEX(표.kospi200[code],MATCH(표.실시간[[#This Row],[코드]],표.kospi200[code],0)),0)=0,0,1)</f>
        <v>0</v>
      </c>
      <c r="E666" t="s">
        <v>671</v>
      </c>
      <c r="F666">
        <v>35150</v>
      </c>
      <c r="G666" t="str">
        <f>ConvertStockCode(표.실시간[[#This Row],[코드]])</f>
        <v>N035150</v>
      </c>
      <c r="H666" s="2">
        <f>_xll.IMDP("STK",표.실시간[[#This Row],[nxt_code]],"현재가")</f>
        <v>12640</v>
      </c>
      <c r="I666" s="2">
        <f>_xll.IMDP("STK",표.실시간[[#This Row],[nxt_code]],"시가총액")/10^12</f>
        <v>0.25986407888000002</v>
      </c>
      <c r="J666" s="2">
        <f>표.실시간[[#This Row],[시가총액 (조원)]]/표.실시간[[#This Row],[현재가]]*(표.실시간[[#This Row],[현재가]]-표.실시간[[#This Row],[대비]])</f>
        <v>0.26150878824000001</v>
      </c>
      <c r="K666" s="3">
        <f>_xll.IMDP("STK",표.실시간[[#This Row],[nxt_code]],"전일대비")</f>
        <v>-80</v>
      </c>
      <c r="L666">
        <f>_xll.IMDP("STK",표.실시간[[#This Row],[nxt_code]],"등락률")</f>
        <v>-0.55000000000000004</v>
      </c>
      <c r="M666" s="2">
        <f>_xll.IMDP("STK",표.실시간[[#This Row],[nxt_code]],"누적거래량")</f>
        <v>761</v>
      </c>
      <c r="N666" s="2">
        <f>_xll.IMDP("STK",표.실시간[[#This Row],[nxt_code]],"누적거래대금")/10^8</f>
        <v>9.6272700000000003E-2</v>
      </c>
      <c r="O666" s="2">
        <f>_xll.IMDP("STK",표.실시간[[#This Row],[nxt_code]],"가중평균가")</f>
        <v>12650.814716999999</v>
      </c>
      <c r="P666" s="2">
        <f>_xll.IMDP("STK",표.실시간[[#This Row],[nxt_code]],"시가")</f>
        <v>12770</v>
      </c>
      <c r="Q666" s="2">
        <f>_xll.IMDP("STK",표.실시간[[#This Row],[nxt_code]],"고가")</f>
        <v>12770</v>
      </c>
      <c r="R666" s="2">
        <f>_xll.IMDP("STK",표.실시간[[#This Row],[nxt_code]],"저가")</f>
        <v>12520</v>
      </c>
      <c r="S666">
        <f>_xll.IMDP("STK",표.실시간[[#This Row],[nxt_code]],"세션명")</f>
        <v>0</v>
      </c>
      <c r="T666">
        <f>_xll.IMDP("STK",표.실시간[[#This Row],[nxt_code]],"체결시간")</f>
        <v>0</v>
      </c>
      <c r="U666" s="2">
        <f>_xll.IMDP("STK","035150","현재가")</f>
        <v>12700</v>
      </c>
      <c r="V666">
        <f>_xll.IMDP("STK","035150","누적거래량")</f>
        <v>706</v>
      </c>
    </row>
    <row r="667" spans="2:22" x14ac:dyDescent="0.3">
      <c r="B667">
        <v>659</v>
      </c>
      <c r="C667">
        <v>0</v>
      </c>
      <c r="D667">
        <f>IF(IFERROR(INDEX(표.kospi200[code],MATCH(표.실시간[[#This Row],[코드]],표.kospi200[code],0)),0)=0,0,1)</f>
        <v>0</v>
      </c>
      <c r="E667" t="s">
        <v>672</v>
      </c>
      <c r="F667">
        <v>236200</v>
      </c>
      <c r="G667" t="str">
        <f>ConvertStockCode(표.실시간[[#This Row],[코드]])</f>
        <v>N236200</v>
      </c>
      <c r="H667" s="2">
        <f>_xll.IMDP("STK",표.실시간[[#This Row],[nxt_code]],"현재가")</f>
        <v>43350</v>
      </c>
      <c r="I667" s="2">
        <f>_xll.IMDP("STK",표.실시간[[#This Row],[nxt_code]],"시가총액")/10^12</f>
        <v>0.31460278455000001</v>
      </c>
      <c r="J667" s="2">
        <f>표.실시간[[#This Row],[시가총액 (조원)]]/표.실시간[[#This Row],[현재가]]*(표.실시간[[#This Row],[현재가]]-표.실시간[[#This Row],[대비]])</f>
        <v>0.31641710280000002</v>
      </c>
      <c r="K667" s="3">
        <f>_xll.IMDP("STK",표.실시간[[#This Row],[nxt_code]],"전일대비")</f>
        <v>-250</v>
      </c>
      <c r="L667">
        <f>_xll.IMDP("STK",표.실시간[[#This Row],[nxt_code]],"등락률")</f>
        <v>-0.8</v>
      </c>
      <c r="M667" s="2">
        <f>_xll.IMDP("STK",표.실시간[[#This Row],[nxt_code]],"누적거래량")</f>
        <v>11665</v>
      </c>
      <c r="N667" s="2">
        <f>_xll.IMDP("STK",표.실시간[[#This Row],[nxt_code]],"누적거래대금")/10^8</f>
        <v>5.0068159999999997</v>
      </c>
      <c r="O667" s="2">
        <f>_xll.IMDP("STK",표.실시간[[#This Row],[nxt_code]],"가중평균가")</f>
        <v>42921.697384999999</v>
      </c>
      <c r="P667" s="2">
        <f>_xll.IMDP("STK",표.실시간[[#This Row],[nxt_code]],"시가")</f>
        <v>44800</v>
      </c>
      <c r="Q667" s="2">
        <f>_xll.IMDP("STK",표.실시간[[#This Row],[nxt_code]],"고가")</f>
        <v>44800</v>
      </c>
      <c r="R667" s="2">
        <f>_xll.IMDP("STK",표.실시간[[#This Row],[nxt_code]],"저가")</f>
        <v>42350</v>
      </c>
      <c r="S667">
        <f>_xll.IMDP("STK",표.실시간[[#This Row],[nxt_code]],"세션명")</f>
        <v>0</v>
      </c>
      <c r="T667">
        <f>_xll.IMDP("STK",표.실시간[[#This Row],[nxt_code]],"체결시간")</f>
        <v>0</v>
      </c>
      <c r="U667" s="2">
        <f>_xll.IMDP("STK","236200","현재가")</f>
        <v>43450</v>
      </c>
      <c r="V667">
        <f>_xll.IMDP("STK","236200","누적거래량")</f>
        <v>9721</v>
      </c>
    </row>
    <row r="668" spans="2:22" x14ac:dyDescent="0.3">
      <c r="B668">
        <v>660</v>
      </c>
      <c r="C668">
        <v>1</v>
      </c>
      <c r="D668">
        <f>IF(IFERROR(INDEX(표.kospi200[code],MATCH(표.실시간[[#This Row],[코드]],표.kospi200[code],0)),0)=0,0,1)</f>
        <v>0</v>
      </c>
      <c r="E668" t="s">
        <v>673</v>
      </c>
      <c r="F668">
        <v>108670</v>
      </c>
      <c r="G668" t="str">
        <f>ConvertStockCode(표.실시간[[#This Row],[코드]])</f>
        <v>N108670</v>
      </c>
      <c r="H668" s="2">
        <f>_xll.IMDP("STK",표.실시간[[#This Row],[nxt_code]],"현재가")</f>
        <v>28700</v>
      </c>
      <c r="I668" s="2">
        <f>_xll.IMDP("STK",표.실시간[[#This Row],[nxt_code]],"시가총액")/10^12</f>
        <v>0.25737212900000001</v>
      </c>
      <c r="J668" s="2">
        <f>표.실시간[[#This Row],[시가총액 (조원)]]/표.실시간[[#This Row],[현재가]]*(표.실시간[[#This Row],[현재가]]-표.실시간[[#This Row],[대비]])</f>
        <v>0.26006243000000001</v>
      </c>
      <c r="K668" s="3">
        <f>_xll.IMDP("STK",표.실시간[[#This Row],[nxt_code]],"전일대비")</f>
        <v>-300</v>
      </c>
      <c r="L668">
        <f>_xll.IMDP("STK",표.실시간[[#This Row],[nxt_code]],"등락률")</f>
        <v>-1.03</v>
      </c>
      <c r="M668" s="2">
        <f>_xll.IMDP("STK",표.실시간[[#This Row],[nxt_code]],"누적거래량")</f>
        <v>1652</v>
      </c>
      <c r="N668" s="2">
        <f>_xll.IMDP("STK",표.실시간[[#This Row],[nxt_code]],"누적거래대금")/10^8</f>
        <v>0.474746</v>
      </c>
      <c r="O668" s="2">
        <f>_xll.IMDP("STK",표.실시간[[#This Row],[nxt_code]],"가중평균가")</f>
        <v>28737.651332000001</v>
      </c>
      <c r="P668" s="2">
        <f>_xll.IMDP("STK",표.실시간[[#This Row],[nxt_code]],"시가")</f>
        <v>28950</v>
      </c>
      <c r="Q668" s="2">
        <f>_xll.IMDP("STK",표.실시간[[#This Row],[nxt_code]],"고가")</f>
        <v>29000</v>
      </c>
      <c r="R668" s="2">
        <f>_xll.IMDP("STK",표.실시간[[#This Row],[nxt_code]],"저가")</f>
        <v>28400</v>
      </c>
      <c r="S668">
        <f>_xll.IMDP("STK",표.실시간[[#This Row],[nxt_code]],"세션명")</f>
        <v>0</v>
      </c>
      <c r="T668">
        <f>_xll.IMDP("STK",표.실시간[[#This Row],[nxt_code]],"체결시간")</f>
        <v>0</v>
      </c>
      <c r="U668" s="2">
        <f>_xll.IMDP("STK","108670","현재가")</f>
        <v>28800</v>
      </c>
      <c r="V668">
        <f>_xll.IMDP("STK","108670","누적거래량")</f>
        <v>1212</v>
      </c>
    </row>
    <row r="669" spans="2:22" x14ac:dyDescent="0.3">
      <c r="B669">
        <v>661</v>
      </c>
      <c r="C669">
        <v>1</v>
      </c>
      <c r="D669">
        <f>IF(IFERROR(INDEX(표.kospi200[code],MATCH(표.실시간[[#This Row],[코드]],표.kospi200[code],0)),0)=0,0,1)</f>
        <v>0</v>
      </c>
      <c r="E669" t="s">
        <v>674</v>
      </c>
      <c r="F669">
        <v>5500</v>
      </c>
      <c r="G669" t="str">
        <f>ConvertStockCode(표.실시간[[#This Row],[코드]])</f>
        <v>N005500</v>
      </c>
      <c r="H669" s="2">
        <f>_xll.IMDP("STK",표.실시간[[#This Row],[nxt_code]],"현재가")</f>
        <v>19090</v>
      </c>
      <c r="I669" s="2">
        <f>_xll.IMDP("STK",표.실시간[[#This Row],[nxt_code]],"시가총액")/10^12</f>
        <v>0.25427880000000003</v>
      </c>
      <c r="J669" s="2">
        <f>표.실시간[[#This Row],[시가총액 (조원)]]/표.실시간[[#This Row],[현재가]]*(표.실시간[[#This Row],[현재가]]-표.실시간[[#This Row],[대비]])</f>
        <v>0.25734240000000003</v>
      </c>
      <c r="K669" s="3">
        <f>_xll.IMDP("STK",표.실시간[[#This Row],[nxt_code]],"전일대비")</f>
        <v>-230</v>
      </c>
      <c r="L669">
        <f>_xll.IMDP("STK",표.실시간[[#This Row],[nxt_code]],"등락률")</f>
        <v>-1.04</v>
      </c>
      <c r="M669" s="2">
        <f>_xll.IMDP("STK",표.실시간[[#This Row],[nxt_code]],"누적거래량")</f>
        <v>1235</v>
      </c>
      <c r="N669" s="2">
        <f>_xll.IMDP("STK",표.실시간[[#This Row],[nxt_code]],"누적거래대금")/10^8</f>
        <v>0.2358401</v>
      </c>
      <c r="O669" s="2">
        <f>_xll.IMDP("STK",표.실시간[[#This Row],[nxt_code]],"가중평균가")</f>
        <v>19097.766798000001</v>
      </c>
      <c r="P669" s="2">
        <f>_xll.IMDP("STK",표.실시간[[#This Row],[nxt_code]],"시가")</f>
        <v>18800</v>
      </c>
      <c r="Q669" s="2">
        <f>_xll.IMDP("STK",표.실시간[[#This Row],[nxt_code]],"고가")</f>
        <v>19250</v>
      </c>
      <c r="R669" s="2">
        <f>_xll.IMDP("STK",표.실시간[[#This Row],[nxt_code]],"저가")</f>
        <v>18800</v>
      </c>
      <c r="S669">
        <f>_xll.IMDP("STK",표.실시간[[#This Row],[nxt_code]],"세션명")</f>
        <v>0</v>
      </c>
      <c r="T669">
        <f>_xll.IMDP("STK",표.실시간[[#This Row],[nxt_code]],"체결시간")</f>
        <v>0</v>
      </c>
      <c r="U669" s="2">
        <f>_xll.IMDP("STK","005500","현재가")</f>
        <v>19130</v>
      </c>
      <c r="V669">
        <f>_xll.IMDP("STK","005500","누적거래량")</f>
        <v>1483</v>
      </c>
    </row>
    <row r="670" spans="2:22" x14ac:dyDescent="0.3">
      <c r="B670">
        <v>662</v>
      </c>
      <c r="C670">
        <v>1</v>
      </c>
      <c r="D670">
        <f>IF(IFERROR(INDEX(표.kospi200[code],MATCH(표.실시간[[#This Row],[코드]],표.kospi200[code],0)),0)=0,0,1)</f>
        <v>0</v>
      </c>
      <c r="E670" t="s">
        <v>675</v>
      </c>
      <c r="F670">
        <v>3220</v>
      </c>
      <c r="G670" t="str">
        <f>ConvertStockCode(표.실시간[[#This Row],[코드]])</f>
        <v>N003220</v>
      </c>
      <c r="H670" s="2">
        <f>_xll.IMDP("STK",표.실시간[[#This Row],[nxt_code]],"현재가")</f>
        <v>11340</v>
      </c>
      <c r="I670" s="2">
        <f>_xll.IMDP("STK",표.실시간[[#This Row],[nxt_code]],"시가총액")/10^12</f>
        <v>0.25432879122000002</v>
      </c>
      <c r="J670" s="2">
        <f>표.실시간[[#This Row],[시가총액 (조원)]]/표.실시간[[#This Row],[현재가]]*(표.실시간[[#This Row],[현재가]]-표.실시간[[#This Row],[대비]])</f>
        <v>0.25948713531000001</v>
      </c>
      <c r="K670" s="3">
        <f>_xll.IMDP("STK",표.실시간[[#This Row],[nxt_code]],"전일대비")</f>
        <v>-230</v>
      </c>
      <c r="L670">
        <f>_xll.IMDP("STK",표.실시간[[#This Row],[nxt_code]],"등락률")</f>
        <v>-1.99</v>
      </c>
      <c r="M670" s="2">
        <f>_xll.IMDP("STK",표.실시간[[#This Row],[nxt_code]],"누적거래량")</f>
        <v>5772</v>
      </c>
      <c r="N670" s="2">
        <f>_xll.IMDP("STK",표.실시간[[#This Row],[nxt_code]],"누적거래대금")/10^8</f>
        <v>0.66170289999999998</v>
      </c>
      <c r="O670" s="2">
        <f>_xll.IMDP("STK",표.실시간[[#This Row],[nxt_code]],"가중평균가")</f>
        <v>11464.014207</v>
      </c>
      <c r="P670" s="2">
        <f>_xll.IMDP("STK",표.실시간[[#This Row],[nxt_code]],"시가")</f>
        <v>11650</v>
      </c>
      <c r="Q670" s="2">
        <f>_xll.IMDP("STK",표.실시간[[#This Row],[nxt_code]],"고가")</f>
        <v>11850</v>
      </c>
      <c r="R670" s="2">
        <f>_xll.IMDP("STK",표.실시간[[#This Row],[nxt_code]],"저가")</f>
        <v>11340</v>
      </c>
      <c r="S670">
        <f>_xll.IMDP("STK",표.실시간[[#This Row],[nxt_code]],"세션명")</f>
        <v>0</v>
      </c>
      <c r="T670">
        <f>_xll.IMDP("STK",표.실시간[[#This Row],[nxt_code]],"체결시간")</f>
        <v>0</v>
      </c>
      <c r="U670" s="2">
        <f>_xll.IMDP("STK","003220","현재가")</f>
        <v>11390</v>
      </c>
      <c r="V670">
        <f>_xll.IMDP("STK","003220","누적거래량")</f>
        <v>4898</v>
      </c>
    </row>
    <row r="671" spans="2:22" x14ac:dyDescent="0.3">
      <c r="B671">
        <v>663</v>
      </c>
      <c r="C671">
        <v>0</v>
      </c>
      <c r="D671">
        <f>IF(IFERROR(INDEX(표.kospi200[code],MATCH(표.실시간[[#This Row],[코드]],표.kospi200[code],0)),0)=0,0,1)</f>
        <v>0</v>
      </c>
      <c r="E671" t="s">
        <v>676</v>
      </c>
      <c r="F671">
        <v>194700</v>
      </c>
      <c r="G671" t="str">
        <f>ConvertStockCode(표.실시간[[#This Row],[코드]])</f>
        <v>N194700</v>
      </c>
      <c r="H671" s="2">
        <f>_xll.IMDP("STK",표.실시간[[#This Row],[nxt_code]],"현재가")</f>
        <v>13910</v>
      </c>
      <c r="I671" s="2">
        <f>_xll.IMDP("STK",표.실시간[[#This Row],[nxt_code]],"시가총액")/10^12</f>
        <v>0.26087993568000001</v>
      </c>
      <c r="J671" s="2">
        <f>표.실시간[[#This Row],[시가총액 (조원)]]/표.실시간[[#This Row],[현재가]]*(표.실시간[[#This Row],[현재가]]-표.실시간[[#This Row],[대비]])</f>
        <v>0.26369316288</v>
      </c>
      <c r="K671" s="3">
        <f>_xll.IMDP("STK",표.실시간[[#This Row],[nxt_code]],"전일대비")</f>
        <v>-150</v>
      </c>
      <c r="L671">
        <f>_xll.IMDP("STK",표.실시간[[#This Row],[nxt_code]],"등락률")</f>
        <v>-1.07</v>
      </c>
      <c r="M671" s="2">
        <f>_xll.IMDP("STK",표.실시간[[#This Row],[nxt_code]],"누적거래량")</f>
        <v>5953</v>
      </c>
      <c r="N671" s="2">
        <f>_xll.IMDP("STK",표.실시간[[#This Row],[nxt_code]],"누적거래대금")/10^8</f>
        <v>0.82743909999999998</v>
      </c>
      <c r="O671" s="2">
        <f>_xll.IMDP("STK",표.실시간[[#This Row],[nxt_code]],"가중평균가")</f>
        <v>13904.204603</v>
      </c>
      <c r="P671" s="2">
        <f>_xll.IMDP("STK",표.실시간[[#This Row],[nxt_code]],"시가")</f>
        <v>14310</v>
      </c>
      <c r="Q671" s="2">
        <f>_xll.IMDP("STK",표.실시간[[#This Row],[nxt_code]],"고가")</f>
        <v>14310</v>
      </c>
      <c r="R671" s="2">
        <f>_xll.IMDP("STK",표.실시간[[#This Row],[nxt_code]],"저가")</f>
        <v>13820</v>
      </c>
      <c r="S671">
        <f>_xll.IMDP("STK",표.실시간[[#This Row],[nxt_code]],"세션명")</f>
        <v>0</v>
      </c>
      <c r="T671">
        <f>_xll.IMDP("STK",표.실시간[[#This Row],[nxt_code]],"체결시간")</f>
        <v>0</v>
      </c>
      <c r="U671" s="2">
        <f>_xll.IMDP("STK","194700","현재가")</f>
        <v>13920</v>
      </c>
      <c r="V671">
        <f>_xll.IMDP("STK","194700","누적거래량")</f>
        <v>10540</v>
      </c>
    </row>
    <row r="672" spans="2:22" x14ac:dyDescent="0.3">
      <c r="B672">
        <v>664</v>
      </c>
      <c r="C672">
        <v>0</v>
      </c>
      <c r="D672">
        <f>IF(IFERROR(INDEX(표.kospi200[code],MATCH(표.실시간[[#This Row],[코드]],표.kospi200[code],0)),0)=0,0,1)</f>
        <v>0</v>
      </c>
      <c r="E672" t="s">
        <v>677</v>
      </c>
      <c r="F672">
        <v>108380</v>
      </c>
      <c r="G672" t="str">
        <f>ConvertStockCode(표.실시간[[#This Row],[코드]])</f>
        <v>N108380</v>
      </c>
      <c r="H672" s="2">
        <f>_xll.IMDP("STK",표.실시간[[#This Row],[nxt_code]],"현재가")</f>
        <v>28650</v>
      </c>
      <c r="I672" s="2">
        <f>_xll.IMDP("STK",표.실시간[[#This Row],[nxt_code]],"시가총액")/10^12</f>
        <v>0.27410409045</v>
      </c>
      <c r="J672" s="2">
        <f>표.실시간[[#This Row],[시가총액 (조원)]]/표.실시간[[#This Row],[현재가]]*(표.실시간[[#This Row],[현재가]]-표.실시간[[#This Row],[대비]])</f>
        <v>0.28032285690000003</v>
      </c>
      <c r="K672" s="3">
        <f>_xll.IMDP("STK",표.실시간[[#This Row],[nxt_code]],"전일대비")</f>
        <v>-650</v>
      </c>
      <c r="L672">
        <f>_xll.IMDP("STK",표.실시간[[#This Row],[nxt_code]],"등락률")</f>
        <v>-2.2200000000000002</v>
      </c>
      <c r="M672" s="2">
        <f>_xll.IMDP("STK",표.실시간[[#This Row],[nxt_code]],"누적거래량")</f>
        <v>12205</v>
      </c>
      <c r="N672" s="2">
        <f>_xll.IMDP("STK",표.실시간[[#This Row],[nxt_code]],"누적거래대금")/10^8</f>
        <v>3.5275495000000001</v>
      </c>
      <c r="O672" s="2">
        <f>_xll.IMDP("STK",표.실시간[[#This Row],[nxt_code]],"가중평균가")</f>
        <v>28902.494879000002</v>
      </c>
      <c r="P672" s="2">
        <f>_xll.IMDP("STK",표.실시간[[#This Row],[nxt_code]],"시가")</f>
        <v>29600</v>
      </c>
      <c r="Q672" s="2">
        <f>_xll.IMDP("STK",표.실시간[[#This Row],[nxt_code]],"고가")</f>
        <v>29600</v>
      </c>
      <c r="R672" s="2">
        <f>_xll.IMDP("STK",표.실시간[[#This Row],[nxt_code]],"저가")</f>
        <v>28250</v>
      </c>
      <c r="S672">
        <f>_xll.IMDP("STK",표.실시간[[#This Row],[nxt_code]],"세션명")</f>
        <v>0</v>
      </c>
      <c r="T672">
        <f>_xll.IMDP("STK",표.실시간[[#This Row],[nxt_code]],"체결시간")</f>
        <v>0</v>
      </c>
      <c r="U672" s="2">
        <f>_xll.IMDP("STK","108380","현재가")</f>
        <v>28650</v>
      </c>
      <c r="V672">
        <f>_xll.IMDP("STK","108380","누적거래량")</f>
        <v>5422</v>
      </c>
    </row>
    <row r="673" spans="2:22" x14ac:dyDescent="0.3">
      <c r="B673">
        <v>665</v>
      </c>
      <c r="C673">
        <v>1</v>
      </c>
      <c r="D673">
        <f>IF(IFERROR(INDEX(표.kospi200[code],MATCH(표.실시간[[#This Row],[코드]],표.kospi200[code],0)),0)=0,0,1)</f>
        <v>0</v>
      </c>
      <c r="E673" t="s">
        <v>678</v>
      </c>
      <c r="F673">
        <v>78520</v>
      </c>
      <c r="G673" t="str">
        <f>ConvertStockCode(표.실시간[[#This Row],[코드]])</f>
        <v>N078520</v>
      </c>
      <c r="H673" s="2">
        <f>_xll.IMDP("STK",표.실시간[[#This Row],[nxt_code]],"현재가")</f>
        <v>10470</v>
      </c>
      <c r="I673" s="2">
        <f>_xll.IMDP("STK",표.실시간[[#This Row],[nxt_code]],"시가총액")/10^12</f>
        <v>0.27236826567</v>
      </c>
      <c r="J673" s="2">
        <f>표.실시간[[#This Row],[시가총액 (조원)]]/표.실시간[[#This Row],[현재가]]*(표.실시간[[#This Row],[현재가]]-표.실시간[[#This Row],[대비]])</f>
        <v>0.27262840727999998</v>
      </c>
      <c r="K673" s="3">
        <f>_xll.IMDP("STK",표.실시간[[#This Row],[nxt_code]],"전일대비")</f>
        <v>-10</v>
      </c>
      <c r="L673">
        <f>_xll.IMDP("STK",표.실시간[[#This Row],[nxt_code]],"등락률")</f>
        <v>-1.23</v>
      </c>
      <c r="M673" s="2">
        <f>_xll.IMDP("STK",표.실시간[[#This Row],[nxt_code]],"누적거래량")</f>
        <v>22952</v>
      </c>
      <c r="N673" s="2">
        <f>_xll.IMDP("STK",표.실시간[[#This Row],[nxt_code]],"누적거래대금")/10^8</f>
        <v>2.4213130999999999</v>
      </c>
      <c r="O673" s="2">
        <f>_xll.IMDP("STK",표.실시간[[#This Row],[nxt_code]],"가중평균가")</f>
        <v>10502.789538000001</v>
      </c>
      <c r="P673" s="2">
        <f>_xll.IMDP("STK",표.실시간[[#This Row],[nxt_code]],"시가")</f>
        <v>10500</v>
      </c>
      <c r="Q673" s="2">
        <f>_xll.IMDP("STK",표.실시간[[#This Row],[nxt_code]],"고가")</f>
        <v>10650</v>
      </c>
      <c r="R673" s="2">
        <f>_xll.IMDP("STK",표.실시간[[#This Row],[nxt_code]],"저가")</f>
        <v>10250</v>
      </c>
      <c r="S673">
        <f>_xll.IMDP("STK",표.실시간[[#This Row],[nxt_code]],"세션명")</f>
        <v>0</v>
      </c>
      <c r="T673">
        <f>_xll.IMDP("STK",표.실시간[[#This Row],[nxt_code]],"체결시간")</f>
        <v>0</v>
      </c>
      <c r="U673" s="2">
        <f>_xll.IMDP("STK","078520","현재가")</f>
        <v>10480</v>
      </c>
      <c r="V673">
        <f>_xll.IMDP("STK","078520","누적거래량")</f>
        <v>6446</v>
      </c>
    </row>
    <row r="674" spans="2:22" x14ac:dyDescent="0.3">
      <c r="B674">
        <v>666</v>
      </c>
      <c r="C674">
        <v>0</v>
      </c>
      <c r="D674">
        <f>IF(IFERROR(INDEX(표.kospi200[code],MATCH(표.실시간[[#This Row],[코드]],표.kospi200[code],0)),0)=0,0,1)</f>
        <v>0</v>
      </c>
      <c r="E674" t="s">
        <v>679</v>
      </c>
      <c r="F674">
        <v>484120</v>
      </c>
      <c r="G674" t="str">
        <f>ConvertStockCode(표.실시간[[#This Row],[코드]])</f>
        <v>N484120</v>
      </c>
      <c r="H674" s="2">
        <f>_xll.IMDP("STK",표.실시간[[#This Row],[nxt_code]],"현재가")</f>
        <v>23900</v>
      </c>
      <c r="I674" s="2">
        <f>_xll.IMDP("STK",표.실시간[[#This Row],[nxt_code]],"시가총액")/10^12</f>
        <v>0.26188238580000001</v>
      </c>
      <c r="J674" s="2">
        <f>표.실시간[[#This Row],[시가총액 (조원)]]/표.실시간[[#This Row],[현재가]]*(표.실시간[[#This Row],[현재가]]-표.실시간[[#This Row],[대비]])</f>
        <v>0.26462174129999999</v>
      </c>
      <c r="K674" s="3">
        <f>_xll.IMDP("STK",표.실시간[[#This Row],[nxt_code]],"전일대비")</f>
        <v>-250</v>
      </c>
      <c r="L674">
        <f>_xll.IMDP("STK",표.실시간[[#This Row],[nxt_code]],"등락률")</f>
        <v>-1.04</v>
      </c>
      <c r="M674" s="2">
        <f>_xll.IMDP("STK",표.실시간[[#This Row],[nxt_code]],"누적거래량")</f>
        <v>8830</v>
      </c>
      <c r="N674" s="2">
        <f>_xll.IMDP("STK",표.실시간[[#This Row],[nxt_code]],"누적거래대금")/10^8</f>
        <v>2.0806255</v>
      </c>
      <c r="O674" s="2">
        <f>_xll.IMDP("STK",표.실시간[[#This Row],[nxt_code]],"가중평균가")</f>
        <v>23563.142694999999</v>
      </c>
      <c r="P674" s="2">
        <f>_xll.IMDP("STK",표.실시간[[#This Row],[nxt_code]],"시가")</f>
        <v>24400</v>
      </c>
      <c r="Q674" s="2">
        <f>_xll.IMDP("STK",표.실시간[[#This Row],[nxt_code]],"고가")</f>
        <v>24400</v>
      </c>
      <c r="R674" s="2">
        <f>_xll.IMDP("STK",표.실시간[[#This Row],[nxt_code]],"저가")</f>
        <v>23250</v>
      </c>
      <c r="S674">
        <f>_xll.IMDP("STK",표.실시간[[#This Row],[nxt_code]],"세션명")</f>
        <v>0</v>
      </c>
      <c r="T674">
        <f>_xll.IMDP("STK",표.실시간[[#This Row],[nxt_code]],"체결시간")</f>
        <v>0</v>
      </c>
      <c r="U674" s="2">
        <f>_xll.IMDP("STK","484120","현재가")</f>
        <v>23750</v>
      </c>
      <c r="V674">
        <f>_xll.IMDP("STK","484120","누적거래량")</f>
        <v>4357</v>
      </c>
    </row>
    <row r="675" spans="2:22" x14ac:dyDescent="0.3">
      <c r="B675">
        <v>667</v>
      </c>
      <c r="C675">
        <v>0</v>
      </c>
      <c r="D675">
        <f>IF(IFERROR(INDEX(표.kospi200[code],MATCH(표.실시간[[#This Row],[코드]],표.kospi200[code],0)),0)=0,0,1)</f>
        <v>0</v>
      </c>
      <c r="E675" t="s">
        <v>680</v>
      </c>
      <c r="F675">
        <v>51360</v>
      </c>
      <c r="G675" t="str">
        <f>ConvertStockCode(표.실시간[[#This Row],[코드]])</f>
        <v>N051360</v>
      </c>
      <c r="H675" s="2">
        <f>_xll.IMDP("STK",표.실시간[[#This Row],[nxt_code]],"현재가")</f>
        <v>15320</v>
      </c>
      <c r="I675" s="2">
        <f>_xll.IMDP("STK",표.실시간[[#This Row],[nxt_code]],"시가총액")/10^12</f>
        <v>0.23052403852</v>
      </c>
      <c r="J675" s="2">
        <f>표.실시간[[#This Row],[시가총액 (조원)]]/표.실시간[[#This Row],[현재가]]*(표.실시간[[#This Row],[현재가]]-표.실시간[[#This Row],[대비]])</f>
        <v>0.23308207289000002</v>
      </c>
      <c r="K675" s="3">
        <f>_xll.IMDP("STK",표.실시간[[#This Row],[nxt_code]],"전일대비")</f>
        <v>-170</v>
      </c>
      <c r="L675">
        <f>_xll.IMDP("STK",표.실시간[[#This Row],[nxt_code]],"등락률")</f>
        <v>-1.79</v>
      </c>
      <c r="M675" s="2">
        <f>_xll.IMDP("STK",표.실시간[[#This Row],[nxt_code]],"누적거래량")</f>
        <v>12686</v>
      </c>
      <c r="N675" s="2">
        <f>_xll.IMDP("STK",표.실시간[[#This Row],[nxt_code]],"누적거래대금")/10^8</f>
        <v>1.9890897000000001</v>
      </c>
      <c r="O675" s="2">
        <f>_xll.IMDP("STK",표.실시간[[#This Row],[nxt_code]],"가중평균가")</f>
        <v>15344.894372000001</v>
      </c>
      <c r="P675" s="2">
        <f>_xll.IMDP("STK",표.실시간[[#This Row],[nxt_code]],"시가")</f>
        <v>15750</v>
      </c>
      <c r="Q675" s="2">
        <f>_xll.IMDP("STK",표.실시간[[#This Row],[nxt_code]],"고가")</f>
        <v>15750</v>
      </c>
      <c r="R675" s="2">
        <f>_xll.IMDP("STK",표.실시간[[#This Row],[nxt_code]],"저가")</f>
        <v>15260</v>
      </c>
      <c r="S675">
        <f>_xll.IMDP("STK",표.실시간[[#This Row],[nxt_code]],"세션명")</f>
        <v>0</v>
      </c>
      <c r="T675">
        <f>_xll.IMDP("STK",표.실시간[[#This Row],[nxt_code]],"체결시간")</f>
        <v>0</v>
      </c>
      <c r="U675" s="2">
        <f>_xll.IMDP("STK","051360","현재가")</f>
        <v>15440</v>
      </c>
      <c r="V675">
        <f>_xll.IMDP("STK","051360","누적거래량")</f>
        <v>2693</v>
      </c>
    </row>
    <row r="676" spans="2:22" x14ac:dyDescent="0.3">
      <c r="B676">
        <v>668</v>
      </c>
      <c r="C676">
        <v>1</v>
      </c>
      <c r="D676">
        <f>IF(IFERROR(INDEX(표.kospi200[code],MATCH(표.실시간[[#This Row],[코드]],표.kospi200[code],0)),0)=0,0,1)</f>
        <v>0</v>
      </c>
      <c r="E676" t="s">
        <v>681</v>
      </c>
      <c r="F676">
        <v>37710</v>
      </c>
      <c r="G676" t="str">
        <f>ConvertStockCode(표.실시간[[#This Row],[코드]])</f>
        <v>N037710</v>
      </c>
      <c r="H676" s="2">
        <f>_xll.IMDP("STK",표.실시간[[#This Row],[nxt_code]],"현재가")</f>
        <v>31350</v>
      </c>
      <c r="I676" s="2">
        <f>_xll.IMDP("STK",표.실시간[[#This Row],[nxt_code]],"시가총액")/10^12</f>
        <v>0.24945790649999999</v>
      </c>
      <c r="J676" s="2">
        <f>표.실시간[[#This Row],[시가총액 (조원)]]/표.실시간[[#This Row],[현재가]]*(표.실시간[[#This Row],[현재가]]-표.실시간[[#This Row],[대비]])</f>
        <v>0.25025362550000002</v>
      </c>
      <c r="K676" s="3">
        <f>_xll.IMDP("STK",표.실시간[[#This Row],[nxt_code]],"전일대비")</f>
        <v>-100</v>
      </c>
      <c r="L676">
        <f>_xll.IMDP("STK",표.실시간[[#This Row],[nxt_code]],"등락률")</f>
        <v>-0.32</v>
      </c>
      <c r="M676" s="2">
        <f>_xll.IMDP("STK",표.실시간[[#This Row],[nxt_code]],"누적거래량")</f>
        <v>2859</v>
      </c>
      <c r="N676" s="2">
        <f>_xll.IMDP("STK",표.실시간[[#This Row],[nxt_code]],"누적거래대금")/10^8</f>
        <v>0.89542299999999997</v>
      </c>
      <c r="O676" s="2">
        <f>_xll.IMDP("STK",표.실시간[[#This Row],[nxt_code]],"가중평균가")</f>
        <v>31319.447359000002</v>
      </c>
      <c r="P676" s="2">
        <f>_xll.IMDP("STK",표.실시간[[#This Row],[nxt_code]],"시가")</f>
        <v>31550</v>
      </c>
      <c r="Q676" s="2">
        <f>_xll.IMDP("STK",표.실시간[[#This Row],[nxt_code]],"고가")</f>
        <v>31550</v>
      </c>
      <c r="R676" s="2">
        <f>_xll.IMDP("STK",표.실시간[[#This Row],[nxt_code]],"저가")</f>
        <v>31150</v>
      </c>
      <c r="S676">
        <f>_xll.IMDP("STK",표.실시간[[#This Row],[nxt_code]],"세션명")</f>
        <v>0</v>
      </c>
      <c r="T676">
        <f>_xll.IMDP("STK",표.실시간[[#This Row],[nxt_code]],"체결시간")</f>
        <v>0</v>
      </c>
      <c r="U676" s="2">
        <f>_xll.IMDP("STK","037710","현재가")</f>
        <v>31150</v>
      </c>
      <c r="V676">
        <f>_xll.IMDP("STK","037710","누적거래량")</f>
        <v>2015</v>
      </c>
    </row>
    <row r="677" spans="2:22" x14ac:dyDescent="0.3">
      <c r="B677">
        <v>669</v>
      </c>
      <c r="C677">
        <v>0</v>
      </c>
      <c r="D677">
        <f>IF(IFERROR(INDEX(표.kospi200[code],MATCH(표.실시간[[#This Row],[코드]],표.kospi200[code],0)),0)=0,0,1)</f>
        <v>0</v>
      </c>
      <c r="E677" t="s">
        <v>682</v>
      </c>
      <c r="F677">
        <v>86390</v>
      </c>
      <c r="G677" t="str">
        <f>ConvertStockCode(표.실시간[[#This Row],[코드]])</f>
        <v>N086390</v>
      </c>
      <c r="H677" s="2">
        <f>_xll.IMDP("STK",표.실시간[[#This Row],[nxt_code]],"현재가")</f>
        <v>14410</v>
      </c>
      <c r="I677" s="2">
        <f>_xll.IMDP("STK",표.실시간[[#This Row],[nxt_code]],"시가총액")/10^12</f>
        <v>0.30475409691999999</v>
      </c>
      <c r="J677" s="2">
        <f>표.실시간[[#This Row],[시가총액 (조원)]]/표.실시간[[#This Row],[현재가]]*(표.실시간[[#This Row],[현재가]]-표.실시간[[#This Row],[대비]])</f>
        <v>0.30560004861165857</v>
      </c>
      <c r="K677" s="3">
        <f>_xll.IMDP("STK",표.실시간[[#This Row],[nxt_code]],"전일대비")</f>
        <v>-40</v>
      </c>
      <c r="L677">
        <f>_xll.IMDP("STK",표.실시간[[#This Row],[nxt_code]],"등락률")</f>
        <v>7.0000000000000007E-2</v>
      </c>
      <c r="M677" s="2">
        <f>_xll.IMDP("STK",표.실시간[[#This Row],[nxt_code]],"누적거래량")</f>
        <v>42653</v>
      </c>
      <c r="N677" s="2">
        <f>_xll.IMDP("STK",표.실시간[[#This Row],[nxt_code]],"누적거래대금")/10^8</f>
        <v>6.0520145000000003</v>
      </c>
      <c r="O677" s="2">
        <f>_xll.IMDP("STK",표.실시간[[#This Row],[nxt_code]],"가중평균가")</f>
        <v>14155.765676999999</v>
      </c>
      <c r="P677" s="2">
        <f>_xll.IMDP("STK",표.실시간[[#This Row],[nxt_code]],"시가")</f>
        <v>14400</v>
      </c>
      <c r="Q677" s="2">
        <f>_xll.IMDP("STK",표.실시간[[#This Row],[nxt_code]],"고가")</f>
        <v>14600</v>
      </c>
      <c r="R677" s="2">
        <f>_xll.IMDP("STK",표.실시간[[#This Row],[nxt_code]],"저가")</f>
        <v>13860</v>
      </c>
      <c r="S677">
        <f>_xll.IMDP("STK",표.실시간[[#This Row],[nxt_code]],"세션명")</f>
        <v>0</v>
      </c>
      <c r="T677">
        <f>_xll.IMDP("STK",표.실시간[[#This Row],[nxt_code]],"체결시간")</f>
        <v>0</v>
      </c>
      <c r="U677" s="2">
        <f>_xll.IMDP("STK","086390","현재가")</f>
        <v>14480</v>
      </c>
      <c r="V677">
        <f>_xll.IMDP("STK","086390","누적거래량")</f>
        <v>21777</v>
      </c>
    </row>
    <row r="678" spans="2:22" x14ac:dyDescent="0.3">
      <c r="B678">
        <v>670</v>
      </c>
      <c r="C678">
        <v>0</v>
      </c>
      <c r="D678">
        <f>IF(IFERROR(INDEX(표.kospi200[code],MATCH(표.실시간[[#This Row],[코드]],표.kospi200[code],0)),0)=0,0,1)</f>
        <v>0</v>
      </c>
      <c r="E678" t="s">
        <v>683</v>
      </c>
      <c r="F678">
        <v>176750</v>
      </c>
      <c r="G678" t="str">
        <f>ConvertStockCode(표.실시간[[#This Row],[코드]])</f>
        <v>N176750</v>
      </c>
      <c r="H678" s="2">
        <f>_xll.IMDP("STK",표.실시간[[#This Row],[nxt_code]],"현재가")</f>
        <v>10390</v>
      </c>
      <c r="I678" s="2">
        <f>_xll.IMDP("STK",표.실시간[[#This Row],[nxt_code]],"시가총액")/10^12</f>
        <v>0.29564973579999998</v>
      </c>
      <c r="J678" s="2">
        <f>표.실시간[[#This Row],[시가총액 (조원)]]/표.실시간[[#This Row],[현재가]]*(표.실시간[[#This Row],[현재가]]-표.실시간[[#This Row],[대비]])</f>
        <v>0.28654406539999999</v>
      </c>
      <c r="K678" s="3">
        <f>_xll.IMDP("STK",표.실시간[[#This Row],[nxt_code]],"전일대비")</f>
        <v>320</v>
      </c>
      <c r="L678">
        <f>_xll.IMDP("STK",표.실시간[[#This Row],[nxt_code]],"등락률")</f>
        <v>3.18</v>
      </c>
      <c r="M678" s="2">
        <f>_xll.IMDP("STK",표.실시간[[#This Row],[nxt_code]],"누적거래량")</f>
        <v>71149</v>
      </c>
      <c r="N678" s="2">
        <f>_xll.IMDP("STK",표.실시간[[#This Row],[nxt_code]],"누적거래대금")/10^8</f>
        <v>7.2567522000000002</v>
      </c>
      <c r="O678" s="2">
        <f>_xll.IMDP("STK",표.실시간[[#This Row],[nxt_code]],"가중평균가")</f>
        <v>10199.373428000001</v>
      </c>
      <c r="P678" s="2">
        <f>_xll.IMDP("STK",표.실시간[[#This Row],[nxt_code]],"시가")</f>
        <v>10250</v>
      </c>
      <c r="Q678" s="2">
        <f>_xll.IMDP("STK",표.실시간[[#This Row],[nxt_code]],"고가")</f>
        <v>10450</v>
      </c>
      <c r="R678" s="2">
        <f>_xll.IMDP("STK",표.실시간[[#This Row],[nxt_code]],"저가")</f>
        <v>9800</v>
      </c>
      <c r="S678">
        <f>_xll.IMDP("STK",표.실시간[[#This Row],[nxt_code]],"세션명")</f>
        <v>0</v>
      </c>
      <c r="T678">
        <f>_xll.IMDP("STK",표.실시간[[#This Row],[nxt_code]],"체결시간")</f>
        <v>0</v>
      </c>
      <c r="U678" s="2">
        <f>_xll.IMDP("STK","176750","현재가")</f>
        <v>10390</v>
      </c>
      <c r="V678">
        <f>_xll.IMDP("STK","176750","누적거래량")</f>
        <v>28005</v>
      </c>
    </row>
    <row r="679" spans="2:22" x14ac:dyDescent="0.3">
      <c r="B679">
        <v>671</v>
      </c>
      <c r="C679">
        <v>1</v>
      </c>
      <c r="D679">
        <f>IF(IFERROR(INDEX(표.kospi200[code],MATCH(표.실시간[[#This Row],[코드]],표.kospi200[code],0)),0)=0,0,1)</f>
        <v>0</v>
      </c>
      <c r="E679" t="s">
        <v>684</v>
      </c>
      <c r="F679">
        <v>226320</v>
      </c>
      <c r="G679" t="str">
        <f>ConvertStockCode(표.실시간[[#This Row],[코드]])</f>
        <v>N226320</v>
      </c>
      <c r="H679" s="2">
        <f>_xll.IMDP("STK",표.실시간[[#This Row],[nxt_code]],"현재가")</f>
        <v>11340</v>
      </c>
      <c r="I679" s="2">
        <f>_xll.IMDP("STK",표.실시간[[#This Row],[nxt_code]],"시가총액")/10^12</f>
        <v>0.24867843210000001</v>
      </c>
      <c r="J679" s="2">
        <f>표.실시간[[#This Row],[시가총액 (조원)]]/표.실시간[[#This Row],[현재가]]*(표.실시간[[#This Row],[현재가]]-표.실시간[[#This Row],[대비]])</f>
        <v>0.25021348415</v>
      </c>
      <c r="K679" s="3">
        <f>_xll.IMDP("STK",표.실시간[[#This Row],[nxt_code]],"전일대비")</f>
        <v>-70</v>
      </c>
      <c r="L679">
        <f>_xll.IMDP("STK",표.실시간[[#This Row],[nxt_code]],"등락률")</f>
        <v>-0.61</v>
      </c>
      <c r="M679" s="2">
        <f>_xll.IMDP("STK",표.실시간[[#This Row],[nxt_code]],"누적거래량")</f>
        <v>1194</v>
      </c>
      <c r="N679" s="2">
        <f>_xll.IMDP("STK",표.실시간[[#This Row],[nxt_code]],"누적거래대금")/10^8</f>
        <v>0.13592129999999999</v>
      </c>
      <c r="O679" s="2">
        <f>_xll.IMDP("STK",표.실시간[[#This Row],[nxt_code]],"가중평균가")</f>
        <v>11383.693466999999</v>
      </c>
      <c r="P679" s="2">
        <f>_xll.IMDP("STK",표.실시간[[#This Row],[nxt_code]],"시가")</f>
        <v>11570</v>
      </c>
      <c r="Q679" s="2">
        <f>_xll.IMDP("STK",표.실시간[[#This Row],[nxt_code]],"고가")</f>
        <v>11570</v>
      </c>
      <c r="R679" s="2">
        <f>_xll.IMDP("STK",표.실시간[[#This Row],[nxt_code]],"저가")</f>
        <v>11300</v>
      </c>
      <c r="S679">
        <f>_xll.IMDP("STK",표.실시간[[#This Row],[nxt_code]],"세션명")</f>
        <v>0</v>
      </c>
      <c r="T679">
        <f>_xll.IMDP("STK",표.실시간[[#This Row],[nxt_code]],"체결시간")</f>
        <v>0</v>
      </c>
      <c r="U679" s="2">
        <f>_xll.IMDP("STK","226320","현재가")</f>
        <v>11360</v>
      </c>
      <c r="V679">
        <f>_xll.IMDP("STK","226320","누적거래량")</f>
        <v>721</v>
      </c>
    </row>
    <row r="680" spans="2:22" x14ac:dyDescent="0.3">
      <c r="B680">
        <v>672</v>
      </c>
      <c r="C680">
        <v>0</v>
      </c>
      <c r="D680">
        <f>IF(IFERROR(INDEX(표.kospi200[code],MATCH(표.실시간[[#This Row],[코드]],표.kospi200[code],0)),0)=0,0,1)</f>
        <v>0</v>
      </c>
      <c r="E680" t="s">
        <v>685</v>
      </c>
      <c r="F680">
        <v>372170</v>
      </c>
      <c r="G680" t="str">
        <f>ConvertStockCode(표.실시간[[#This Row],[코드]])</f>
        <v>N372170</v>
      </c>
      <c r="H680" s="2">
        <f>_xll.IMDP("STK",표.실시간[[#This Row],[nxt_code]],"현재가")</f>
        <v>36350</v>
      </c>
      <c r="I680" s="2">
        <f>_xll.IMDP("STK",표.실시간[[#This Row],[nxt_code]],"시가총액")/10^12</f>
        <v>0.29003839479999999</v>
      </c>
      <c r="J680" s="2">
        <f>표.실시간[[#This Row],[시가총액 (조원)]]/표.실시간[[#This Row],[현재가]]*(표.실시간[[#This Row],[현재가]]-표.실시간[[#This Row],[대비]])</f>
        <v>0.29003839479999999</v>
      </c>
      <c r="K680" s="3">
        <f>_xll.IMDP("STK",표.실시간[[#This Row],[nxt_code]],"전일대비")</f>
        <v>0</v>
      </c>
      <c r="L680">
        <f>_xll.IMDP("STK",표.실시간[[#This Row],[nxt_code]],"등락률")</f>
        <v>-0.55000000000000004</v>
      </c>
      <c r="M680" s="2">
        <f>_xll.IMDP("STK",표.실시간[[#This Row],[nxt_code]],"누적거래량")</f>
        <v>10381</v>
      </c>
      <c r="N680" s="2">
        <f>_xll.IMDP("STK",표.실시간[[#This Row],[nxt_code]],"누적거래대금")/10^8</f>
        <v>3.6453060000000002</v>
      </c>
      <c r="O680" s="2">
        <f>_xll.IMDP("STK",표.실시간[[#This Row],[nxt_code]],"가중평균가")</f>
        <v>35115.171949000003</v>
      </c>
      <c r="P680" s="2">
        <f>_xll.IMDP("STK",표.실시간[[#This Row],[nxt_code]],"시가")</f>
        <v>35100</v>
      </c>
      <c r="Q680" s="2">
        <f>_xll.IMDP("STK",표.실시간[[#This Row],[nxt_code]],"고가")</f>
        <v>36550</v>
      </c>
      <c r="R680" s="2">
        <f>_xll.IMDP("STK",표.실시간[[#This Row],[nxt_code]],"저가")</f>
        <v>34250</v>
      </c>
      <c r="S680">
        <f>_xll.IMDP("STK",표.실시간[[#This Row],[nxt_code]],"세션명")</f>
        <v>0</v>
      </c>
      <c r="T680">
        <f>_xll.IMDP("STK",표.실시간[[#This Row],[nxt_code]],"체결시간")</f>
        <v>0</v>
      </c>
      <c r="U680" s="2">
        <f>_xll.IMDP("STK","372170","현재가")</f>
        <v>36700</v>
      </c>
      <c r="V680">
        <f>_xll.IMDP("STK","372170","누적거래량")</f>
        <v>5102</v>
      </c>
    </row>
    <row r="681" spans="2:22" x14ac:dyDescent="0.3">
      <c r="B681">
        <v>673</v>
      </c>
      <c r="C681">
        <v>0</v>
      </c>
      <c r="D681">
        <f>IF(IFERROR(INDEX(표.kospi200[code],MATCH(표.실시간[[#This Row],[코드]],표.kospi200[code],0)),0)=0,0,1)</f>
        <v>0</v>
      </c>
      <c r="E681" t="s">
        <v>686</v>
      </c>
      <c r="F681">
        <v>89980</v>
      </c>
      <c r="G681" t="str">
        <f>ConvertStockCode(표.실시간[[#This Row],[코드]])</f>
        <v>N089980</v>
      </c>
      <c r="H681" s="2">
        <f>_xll.IMDP("STK",표.실시간[[#This Row],[nxt_code]],"현재가")</f>
        <v>17070</v>
      </c>
      <c r="I681" s="2">
        <f>_xll.IMDP("STK",표.실시간[[#This Row],[nxt_code]],"시가총액")/10^12</f>
        <v>0.27293286159000002</v>
      </c>
      <c r="J681" s="2">
        <f>표.실시간[[#This Row],[시가총액 (조원)]]/표.실시간[[#This Row],[현재가]]*(표.실시간[[#This Row],[현재가]]-표.실시간[[#This Row],[대비]])</f>
        <v>0.28060759935000001</v>
      </c>
      <c r="K681" s="3">
        <f>_xll.IMDP("STK",표.실시간[[#This Row],[nxt_code]],"전일대비")</f>
        <v>-480</v>
      </c>
      <c r="L681">
        <f>_xll.IMDP("STK",표.실시간[[#This Row],[nxt_code]],"등락률")</f>
        <v>-2.74</v>
      </c>
      <c r="M681" s="2">
        <f>_xll.IMDP("STK",표.실시간[[#This Row],[nxt_code]],"누적거래량")</f>
        <v>12755</v>
      </c>
      <c r="N681" s="2">
        <f>_xll.IMDP("STK",표.실시간[[#This Row],[nxt_code]],"누적거래대금")/10^8</f>
        <v>2.1860249</v>
      </c>
      <c r="O681" s="2">
        <f>_xll.IMDP("STK",표.실시간[[#This Row],[nxt_code]],"가중평균가")</f>
        <v>17138.572325000001</v>
      </c>
      <c r="P681" s="2">
        <f>_xll.IMDP("STK",표.실시간[[#This Row],[nxt_code]],"시가")</f>
        <v>17060</v>
      </c>
      <c r="Q681" s="2">
        <f>_xll.IMDP("STK",표.실시간[[#This Row],[nxt_code]],"고가")</f>
        <v>17310</v>
      </c>
      <c r="R681" s="2">
        <f>_xll.IMDP("STK",표.실시간[[#This Row],[nxt_code]],"저가")</f>
        <v>16810</v>
      </c>
      <c r="S681">
        <f>_xll.IMDP("STK",표.실시간[[#This Row],[nxt_code]],"세션명")</f>
        <v>0</v>
      </c>
      <c r="T681">
        <f>_xll.IMDP("STK",표.실시간[[#This Row],[nxt_code]],"체결시간")</f>
        <v>0</v>
      </c>
      <c r="U681" s="2">
        <f>_xll.IMDP("STK","089980","현재가")</f>
        <v>17070</v>
      </c>
      <c r="V681">
        <f>_xll.IMDP("STK","089980","누적거래량")</f>
        <v>7354</v>
      </c>
    </row>
    <row r="682" spans="2:22" x14ac:dyDescent="0.3">
      <c r="B682">
        <v>674</v>
      </c>
      <c r="C682">
        <v>0</v>
      </c>
      <c r="D682">
        <f>IF(IFERROR(INDEX(표.kospi200[code],MATCH(표.실시간[[#This Row],[코드]],표.kospi200[code],0)),0)=0,0,1)</f>
        <v>0</v>
      </c>
      <c r="E682" t="s">
        <v>687</v>
      </c>
      <c r="F682">
        <v>61090</v>
      </c>
      <c r="G682" t="str">
        <f>ConvertStockCode(표.실시간[[#This Row],[코드]])</f>
        <v>N061090</v>
      </c>
      <c r="H682" s="2">
        <f>_xll.IMDP("STK",표.실시간[[#This Row],[nxt_code]],"현재가")</f>
        <v>45900</v>
      </c>
      <c r="I682" s="2">
        <f>_xll.IMDP("STK",표.실시간[[#This Row],[nxt_code]],"시가총액")/10^12</f>
        <v>0.2563801416</v>
      </c>
      <c r="J682" s="2">
        <f>표.실시간[[#This Row],[시가총액 (조원)]]/표.실시간[[#This Row],[현재가]]*(표.실시간[[#This Row],[현재가]]-표.실시간[[#This Row],[대비]])</f>
        <v>0.26364145280000001</v>
      </c>
      <c r="K682" s="3">
        <f>_xll.IMDP("STK",표.실시간[[#This Row],[nxt_code]],"전일대비")</f>
        <v>-1300</v>
      </c>
      <c r="L682">
        <f>_xll.IMDP("STK",표.실시간[[#This Row],[nxt_code]],"등락률")</f>
        <v>-2.75</v>
      </c>
      <c r="M682" s="2">
        <f>_xll.IMDP("STK",표.실시간[[#This Row],[nxt_code]],"누적거래량")</f>
        <v>7305</v>
      </c>
      <c r="N682" s="2">
        <f>_xll.IMDP("STK",표.실시간[[#This Row],[nxt_code]],"누적거래대금")/10^8</f>
        <v>3.368906</v>
      </c>
      <c r="O682" s="2">
        <f>_xll.IMDP("STK",표.실시간[[#This Row],[nxt_code]],"가중평균가")</f>
        <v>46117.809718999997</v>
      </c>
      <c r="P682" s="2">
        <f>_xll.IMDP("STK",표.실시간[[#This Row],[nxt_code]],"시가")</f>
        <v>47200</v>
      </c>
      <c r="Q682" s="2">
        <f>_xll.IMDP("STK",표.실시간[[#This Row],[nxt_code]],"고가")</f>
        <v>47200</v>
      </c>
      <c r="R682" s="2">
        <f>_xll.IMDP("STK",표.실시간[[#This Row],[nxt_code]],"저가")</f>
        <v>45650</v>
      </c>
      <c r="S682">
        <f>_xll.IMDP("STK",표.실시간[[#This Row],[nxt_code]],"세션명")</f>
        <v>0</v>
      </c>
      <c r="T682">
        <f>_xll.IMDP("STK",표.실시간[[#This Row],[nxt_code]],"체결시간")</f>
        <v>0</v>
      </c>
      <c r="U682" s="2">
        <f>_xll.IMDP("STK","061090","현재가")</f>
        <v>45950</v>
      </c>
      <c r="V682">
        <f>_xll.IMDP("STK","061090","누적거래량")</f>
        <v>4413</v>
      </c>
    </row>
    <row r="683" spans="2:22" x14ac:dyDescent="0.3">
      <c r="B683">
        <v>675</v>
      </c>
      <c r="C683">
        <v>1</v>
      </c>
      <c r="D683">
        <f>IF(IFERROR(INDEX(표.kospi200[code],MATCH(표.실시간[[#This Row],[코드]],표.kospi200[code],0)),0)=0,0,1)</f>
        <v>0</v>
      </c>
      <c r="E683" t="s">
        <v>688</v>
      </c>
      <c r="F683">
        <v>1130</v>
      </c>
      <c r="G683" t="str">
        <f>ConvertStockCode(표.실시간[[#This Row],[코드]])</f>
        <v>N001130</v>
      </c>
      <c r="H683" s="2">
        <f>_xll.IMDP("STK",표.실시간[[#This Row],[nxt_code]],"현재가")</f>
        <v>144000</v>
      </c>
      <c r="I683" s="2">
        <f>_xll.IMDP("STK",표.실시간[[#This Row],[nxt_code]],"시가총액")/10^12</f>
        <v>0.24335999999999999</v>
      </c>
      <c r="J683" s="2">
        <f>표.실시간[[#This Row],[시가총액 (조원)]]/표.실시간[[#This Row],[현재가]]*(표.실시간[[#This Row],[현재가]]-표.실시간[[#This Row],[대비]])</f>
        <v>0.24504999999999999</v>
      </c>
      <c r="K683" s="3">
        <f>_xll.IMDP("STK",표.실시간[[#This Row],[nxt_code]],"전일대비")</f>
        <v>-1000</v>
      </c>
      <c r="L683">
        <f>_xll.IMDP("STK",표.실시간[[#This Row],[nxt_code]],"등락률")</f>
        <v>-0.69</v>
      </c>
      <c r="M683" s="2">
        <f>_xll.IMDP("STK",표.실시간[[#This Row],[nxt_code]],"누적거래량")</f>
        <v>113</v>
      </c>
      <c r="N683" s="2">
        <f>_xll.IMDP("STK",표.실시간[[#This Row],[nxt_code]],"누적거래대금")/10^8</f>
        <v>0.16231200000000001</v>
      </c>
      <c r="O683" s="2">
        <f>_xll.IMDP("STK",표.실시간[[#This Row],[nxt_code]],"가중평균가")</f>
        <v>143638.93805299999</v>
      </c>
      <c r="P683" s="2">
        <f>_xll.IMDP("STK",표.실시간[[#This Row],[nxt_code]],"시가")</f>
        <v>144000</v>
      </c>
      <c r="Q683" s="2">
        <f>_xll.IMDP("STK",표.실시간[[#This Row],[nxt_code]],"고가")</f>
        <v>144000</v>
      </c>
      <c r="R683" s="2">
        <f>_xll.IMDP("STK",표.실시간[[#This Row],[nxt_code]],"저가")</f>
        <v>143000</v>
      </c>
      <c r="S683">
        <f>_xll.IMDP("STK",표.실시간[[#This Row],[nxt_code]],"세션명")</f>
        <v>0</v>
      </c>
      <c r="T683">
        <f>_xll.IMDP("STK",표.실시간[[#This Row],[nxt_code]],"체결시간")</f>
        <v>0</v>
      </c>
      <c r="U683" s="2">
        <f>_xll.IMDP("STK","001130","현재가")</f>
        <v>143700</v>
      </c>
      <c r="V683">
        <f>_xll.IMDP("STK","001130","누적거래량")</f>
        <v>146</v>
      </c>
    </row>
    <row r="684" spans="2:22" x14ac:dyDescent="0.3">
      <c r="B684">
        <v>676</v>
      </c>
      <c r="C684">
        <v>1</v>
      </c>
      <c r="D684">
        <f>IF(IFERROR(INDEX(표.kospi200[code],MATCH(표.실시간[[#This Row],[코드]],표.kospi200[code],0)),0)=0,0,1)</f>
        <v>0</v>
      </c>
      <c r="E684" t="s">
        <v>689</v>
      </c>
      <c r="F684">
        <v>1630</v>
      </c>
      <c r="G684" t="str">
        <f>ConvertStockCode(표.실시간[[#This Row],[코드]])</f>
        <v>N001630</v>
      </c>
      <c r="H684" s="2">
        <f>_xll.IMDP("STK",표.실시간[[#This Row],[nxt_code]],"현재가")</f>
        <v>49650</v>
      </c>
      <c r="I684" s="2">
        <f>_xll.IMDP("STK",표.실시간[[#This Row],[nxt_code]],"시가총액")/10^12</f>
        <v>0.24873959865</v>
      </c>
      <c r="J684" s="2">
        <f>표.실시간[[#This Row],[시가총액 (조원)]]/표.실시간[[#This Row],[현재가]]*(표.실시간[[#This Row],[현재가]]-표.실시간[[#This Row],[대비]])</f>
        <v>0.25049304999999999</v>
      </c>
      <c r="K684" s="3">
        <f>_xll.IMDP("STK",표.실시간[[#This Row],[nxt_code]],"전일대비")</f>
        <v>-350</v>
      </c>
      <c r="L684">
        <f>_xll.IMDP("STK",표.실시간[[#This Row],[nxt_code]],"등락률")</f>
        <v>-0.7</v>
      </c>
      <c r="M684" s="2">
        <f>_xll.IMDP("STK",표.실시간[[#This Row],[nxt_code]],"누적거래량")</f>
        <v>1048</v>
      </c>
      <c r="N684" s="2">
        <f>_xll.IMDP("STK",표.실시간[[#This Row],[nxt_code]],"누적거래대금")/10^8</f>
        <v>0.51910400000000001</v>
      </c>
      <c r="O684" s="2">
        <f>_xll.IMDP("STK",표.실시간[[#This Row],[nxt_code]],"가중평균가")</f>
        <v>49532.824427</v>
      </c>
      <c r="P684" s="2">
        <f>_xll.IMDP("STK",표.실시간[[#This Row],[nxt_code]],"시가")</f>
        <v>49900</v>
      </c>
      <c r="Q684" s="2">
        <f>_xll.IMDP("STK",표.실시간[[#This Row],[nxt_code]],"고가")</f>
        <v>49900</v>
      </c>
      <c r="R684" s="2">
        <f>_xll.IMDP("STK",표.실시간[[#This Row],[nxt_code]],"저가")</f>
        <v>49400</v>
      </c>
      <c r="S684">
        <f>_xll.IMDP("STK",표.실시간[[#This Row],[nxt_code]],"세션명")</f>
        <v>0</v>
      </c>
      <c r="T684">
        <f>_xll.IMDP("STK",표.실시간[[#This Row],[nxt_code]],"체결시간")</f>
        <v>0</v>
      </c>
      <c r="U684" s="2">
        <f>_xll.IMDP("STK","001630","현재가")</f>
        <v>49500</v>
      </c>
      <c r="V684">
        <f>_xll.IMDP("STK","001630","누적거래량")</f>
        <v>269</v>
      </c>
    </row>
    <row r="685" spans="2:22" x14ac:dyDescent="0.3">
      <c r="B685">
        <v>677</v>
      </c>
      <c r="C685">
        <v>1</v>
      </c>
      <c r="D685">
        <f>IF(IFERROR(INDEX(표.kospi200[code],MATCH(표.실시간[[#This Row],[코드]],표.kospi200[code],0)),0)=0,0,1)</f>
        <v>0</v>
      </c>
      <c r="E685" t="s">
        <v>690</v>
      </c>
      <c r="F685">
        <v>1750</v>
      </c>
      <c r="G685" t="str">
        <f>ConvertStockCode(표.실시간[[#This Row],[코드]])</f>
        <v>N001750</v>
      </c>
      <c r="H685" s="2">
        <f>_xll.IMDP("STK",표.실시간[[#This Row],[nxt_code]],"현재가")</f>
        <v>19860</v>
      </c>
      <c r="I685" s="2">
        <f>_xll.IMDP("STK",표.실시간[[#This Row],[nxt_code]],"시가총액")/10^12</f>
        <v>0.25278868523999998</v>
      </c>
      <c r="J685" s="2">
        <f>표.실시간[[#This Row],[시가총액 (조원)]]/표.실시간[[#This Row],[현재가]]*(표.실시간[[#This Row],[현재가]]-표.실시간[[#This Row],[대비]])</f>
        <v>0.26029852029999995</v>
      </c>
      <c r="K685" s="3">
        <f>_xll.IMDP("STK",표.실시간[[#This Row],[nxt_code]],"전일대비")</f>
        <v>-590</v>
      </c>
      <c r="L685">
        <f>_xll.IMDP("STK",표.실시간[[#This Row],[nxt_code]],"등락률")</f>
        <v>-2.89</v>
      </c>
      <c r="M685" s="2">
        <f>_xll.IMDP("STK",표.실시간[[#This Row],[nxt_code]],"누적거래량")</f>
        <v>7191</v>
      </c>
      <c r="N685" s="2">
        <f>_xll.IMDP("STK",표.실시간[[#This Row],[nxt_code]],"누적거래대금")/10^8</f>
        <v>1.4400014000000001</v>
      </c>
      <c r="O685" s="2">
        <f>_xll.IMDP("STK",표.실시간[[#This Row],[nxt_code]],"가중평균가")</f>
        <v>20025.050758000001</v>
      </c>
      <c r="P685" s="2">
        <f>_xll.IMDP("STK",표.실시간[[#This Row],[nxt_code]],"시가")</f>
        <v>20450</v>
      </c>
      <c r="Q685" s="2">
        <f>_xll.IMDP("STK",표.실시간[[#This Row],[nxt_code]],"고가")</f>
        <v>20450</v>
      </c>
      <c r="R685" s="2">
        <f>_xll.IMDP("STK",표.실시간[[#This Row],[nxt_code]],"저가")</f>
        <v>19810</v>
      </c>
      <c r="S685">
        <f>_xll.IMDP("STK",표.실시간[[#This Row],[nxt_code]],"세션명")</f>
        <v>0</v>
      </c>
      <c r="T685">
        <f>_xll.IMDP("STK",표.실시간[[#This Row],[nxt_code]],"체결시간")</f>
        <v>0</v>
      </c>
      <c r="U685" s="2">
        <f>_xll.IMDP("STK","001750","현재가")</f>
        <v>19900</v>
      </c>
      <c r="V685">
        <f>_xll.IMDP("STK","001750","누적거래량")</f>
        <v>1850</v>
      </c>
    </row>
    <row r="686" spans="2:22" x14ac:dyDescent="0.3">
      <c r="B686">
        <v>678</v>
      </c>
      <c r="C686">
        <v>0</v>
      </c>
      <c r="D686">
        <f>IF(IFERROR(INDEX(표.kospi200[code],MATCH(표.실시간[[#This Row],[코드]],표.kospi200[code],0)),0)=0,0,1)</f>
        <v>0</v>
      </c>
      <c r="E686" t="s">
        <v>691</v>
      </c>
      <c r="F686">
        <v>241770</v>
      </c>
      <c r="G686" t="str">
        <f>ConvertStockCode(표.실시간[[#This Row],[코드]])</f>
        <v>N241770</v>
      </c>
      <c r="H686" s="2">
        <f>_xll.IMDP("STK",표.실시간[[#This Row],[nxt_code]],"현재가")</f>
        <v>24900</v>
      </c>
      <c r="I686" s="2">
        <f>_xll.IMDP("STK",표.실시간[[#This Row],[nxt_code]],"시가총액")/10^12</f>
        <v>0.25379673600000002</v>
      </c>
      <c r="J686" s="2">
        <f>표.실시간[[#This Row],[시가총액 (조원)]]/표.실시간[[#This Row],[현재가]]*(표.실시간[[#This Row],[현재가]]-표.실시간[[#This Row],[대비]])</f>
        <v>0.25940268799999999</v>
      </c>
      <c r="K686" s="3">
        <f>_xll.IMDP("STK",표.실시간[[#This Row],[nxt_code]],"전일대비")</f>
        <v>-550</v>
      </c>
      <c r="L686">
        <f>_xll.IMDP("STK",표.실시간[[#This Row],[nxt_code]],"등락률")</f>
        <v>-2.16</v>
      </c>
      <c r="M686" s="2">
        <f>_xll.IMDP("STK",표.실시간[[#This Row],[nxt_code]],"누적거래량")</f>
        <v>16143</v>
      </c>
      <c r="N686" s="2">
        <f>_xll.IMDP("STK",표.실시간[[#This Row],[nxt_code]],"누적거래대금")/10^8</f>
        <v>4.1028650000000004</v>
      </c>
      <c r="O686" s="2">
        <f>_xll.IMDP("STK",표.실시간[[#This Row],[nxt_code]],"가중평균가")</f>
        <v>25415.752958000001</v>
      </c>
      <c r="P686" s="2">
        <f>_xll.IMDP("STK",표.실시간[[#This Row],[nxt_code]],"시가")</f>
        <v>25750</v>
      </c>
      <c r="Q686" s="2">
        <f>_xll.IMDP("STK",표.실시간[[#This Row],[nxt_code]],"고가")</f>
        <v>26050</v>
      </c>
      <c r="R686" s="2">
        <f>_xll.IMDP("STK",표.실시간[[#This Row],[nxt_code]],"저가")</f>
        <v>24550</v>
      </c>
      <c r="S686">
        <f>_xll.IMDP("STK",표.실시간[[#This Row],[nxt_code]],"세션명")</f>
        <v>0</v>
      </c>
      <c r="T686">
        <f>_xll.IMDP("STK",표.실시간[[#This Row],[nxt_code]],"체결시간")</f>
        <v>0</v>
      </c>
      <c r="U686" s="2">
        <f>_xll.IMDP("STK","241770","현재가")</f>
        <v>24900</v>
      </c>
      <c r="V686">
        <f>_xll.IMDP("STK","241770","누적거래량")</f>
        <v>8840</v>
      </c>
    </row>
    <row r="687" spans="2:22" x14ac:dyDescent="0.3">
      <c r="B687">
        <v>679</v>
      </c>
      <c r="C687">
        <v>1</v>
      </c>
      <c r="D687">
        <f>IF(IFERROR(INDEX(표.kospi200[code],MATCH(표.실시간[[#This Row],[코드]],표.kospi200[code],0)),0)=0,0,1)</f>
        <v>0</v>
      </c>
      <c r="E687" t="s">
        <v>692</v>
      </c>
      <c r="F687">
        <v>84010</v>
      </c>
      <c r="G687" t="str">
        <f>ConvertStockCode(표.실시간[[#This Row],[코드]])</f>
        <v>N084010</v>
      </c>
      <c r="H687" s="2">
        <f>_xll.IMDP("STK",표.실시간[[#This Row],[nxt_code]],"현재가")</f>
        <v>10320</v>
      </c>
      <c r="I687" s="2">
        <f>_xll.IMDP("STK",표.실시간[[#This Row],[nxt_code]],"시가총액")/10^12</f>
        <v>0.35471487072000002</v>
      </c>
      <c r="J687" s="2">
        <f>표.실시간[[#This Row],[시가총액 (조원)]]/표.실시간[[#This Row],[현재가]]*(표.실시간[[#This Row],[현재가]]-표.실시간[[#This Row],[대비]])</f>
        <v>0.36021432608000004</v>
      </c>
      <c r="K687" s="3">
        <f>_xll.IMDP("STK",표.실시간[[#This Row],[nxt_code]],"전일대비")</f>
        <v>-160</v>
      </c>
      <c r="L687">
        <f>_xll.IMDP("STK",표.실시간[[#This Row],[nxt_code]],"등락률")</f>
        <v>-1.53</v>
      </c>
      <c r="M687" s="2">
        <f>_xll.IMDP("STK",표.실시간[[#This Row],[nxt_code]],"누적거래량")</f>
        <v>2203</v>
      </c>
      <c r="N687" s="2">
        <f>_xll.IMDP("STK",표.실시간[[#This Row],[nxt_code]],"누적거래대금")/10^8</f>
        <v>0.2280278</v>
      </c>
      <c r="O687" s="2">
        <f>_xll.IMDP("STK",표.실시간[[#This Row],[nxt_code]],"가중평균가")</f>
        <v>10350.785293000001</v>
      </c>
      <c r="P687" s="2">
        <f>_xll.IMDP("STK",표.실시간[[#This Row],[nxt_code]],"시가")</f>
        <v>10480</v>
      </c>
      <c r="Q687" s="2">
        <f>_xll.IMDP("STK",표.실시간[[#This Row],[nxt_code]],"고가")</f>
        <v>10510</v>
      </c>
      <c r="R687" s="2">
        <f>_xll.IMDP("STK",표.실시간[[#This Row],[nxt_code]],"저가")</f>
        <v>10100</v>
      </c>
      <c r="S687">
        <f>_xll.IMDP("STK",표.실시간[[#This Row],[nxt_code]],"세션명")</f>
        <v>0</v>
      </c>
      <c r="T687">
        <f>_xll.IMDP("STK",표.실시간[[#This Row],[nxt_code]],"체결시간")</f>
        <v>0</v>
      </c>
      <c r="U687" s="2">
        <f>_xll.IMDP("STK","084010","현재가")</f>
        <v>10360</v>
      </c>
      <c r="V687">
        <f>_xll.IMDP("STK","084010","누적거래량")</f>
        <v>999</v>
      </c>
    </row>
    <row r="688" spans="2:22" x14ac:dyDescent="0.3">
      <c r="B688">
        <v>680</v>
      </c>
      <c r="C688">
        <v>0</v>
      </c>
      <c r="D688">
        <f>IF(IFERROR(INDEX(표.kospi200[code],MATCH(표.실시간[[#This Row],[코드]],표.kospi200[code],0)),0)=0,0,1)</f>
        <v>0</v>
      </c>
      <c r="E688" t="s">
        <v>693</v>
      </c>
      <c r="F688" t="s">
        <v>709</v>
      </c>
      <c r="G688" t="str">
        <f>ConvertStockCode(표.실시간[[#This Row],[코드]])</f>
        <v>N0007C0</v>
      </c>
      <c r="H688" s="2">
        <f>_xll.IMDP("STK",표.실시간[[#This Row],[nxt_code]],"현재가")</f>
        <v>44400</v>
      </c>
      <c r="I688" s="2">
        <f>_xll.IMDP("STK",표.실시간[[#This Row],[nxt_code]],"시가총액")/10^12</f>
        <v>0.35654638560000002</v>
      </c>
      <c r="J688" s="2">
        <f>표.실시간[[#This Row],[시가총액 (조원)]]/표.실시간[[#This Row],[현재가]]*(표.실시간[[#This Row],[현재가]]-표.실시간[[#This Row],[대비]])</f>
        <v>0.31157657120000004</v>
      </c>
      <c r="K688" s="3">
        <f>_xll.IMDP("STK",표.실시간[[#This Row],[nxt_code]],"전일대비")</f>
        <v>5600</v>
      </c>
      <c r="L688">
        <f>_xll.IMDP("STK",표.실시간[[#This Row],[nxt_code]],"등락률")</f>
        <v>14.43</v>
      </c>
      <c r="M688" s="2">
        <f>_xll.IMDP("STK",표.실시간[[#This Row],[nxt_code]],"누적거래량")</f>
        <v>1144307</v>
      </c>
      <c r="N688" s="2">
        <f>_xll.IMDP("STK",표.실시간[[#This Row],[nxt_code]],"누적거래대금")/10^8</f>
        <v>527.08659250000005</v>
      </c>
      <c r="O688" s="2">
        <f>_xll.IMDP("STK",표.실시간[[#This Row],[nxt_code]],"가중평균가")</f>
        <v>46061.641893</v>
      </c>
      <c r="P688" s="2">
        <f>_xll.IMDP("STK",표.실시간[[#This Row],[nxt_code]],"시가")</f>
        <v>43600</v>
      </c>
      <c r="Q688" s="2">
        <f>_xll.IMDP("STK",표.실시간[[#This Row],[nxt_code]],"고가")</f>
        <v>47600</v>
      </c>
      <c r="R688" s="2">
        <f>_xll.IMDP("STK",표.실시간[[#This Row],[nxt_code]],"저가")</f>
        <v>43600</v>
      </c>
      <c r="S688">
        <f>_xll.IMDP("STK",표.실시간[[#This Row],[nxt_code]],"세션명")</f>
        <v>0</v>
      </c>
      <c r="T688">
        <f>_xll.IMDP("STK",표.실시간[[#This Row],[nxt_code]],"체결시간")</f>
        <v>0</v>
      </c>
      <c r="U688" s="2">
        <f>_xll.IMDP("STK","0007C0","현재가")</f>
        <v>44450</v>
      </c>
      <c r="V688">
        <f>_xll.IMDP("STK","0007C0","누적거래량")</f>
        <v>199261</v>
      </c>
    </row>
    <row r="689" spans="2:22" x14ac:dyDescent="0.3">
      <c r="B689">
        <v>681</v>
      </c>
      <c r="C689">
        <v>1</v>
      </c>
      <c r="D689">
        <f>IF(IFERROR(INDEX(표.kospi200[code],MATCH(표.실시간[[#This Row],[코드]],표.kospi200[code],0)),0)=0,0,1)</f>
        <v>0</v>
      </c>
      <c r="E689" t="s">
        <v>694</v>
      </c>
      <c r="F689">
        <v>8490</v>
      </c>
      <c r="G689" t="str">
        <f>ConvertStockCode(표.실시간[[#This Row],[코드]])</f>
        <v>N008490</v>
      </c>
      <c r="H689" s="2">
        <f>_xll.IMDP("STK",표.실시간[[#This Row],[nxt_code]],"현재가")</f>
        <v>21150</v>
      </c>
      <c r="I689" s="2">
        <f>_xll.IMDP("STK",표.실시간[[#This Row],[nxt_code]],"시가총액")/10^12</f>
        <v>0.24468673995000001</v>
      </c>
      <c r="J689" s="2">
        <f>표.실시간[[#This Row],[시가총액 (조원)]]/표.실시간[[#This Row],[현재가]]*(표.실시간[[#This Row],[현재가]]-표.실시간[[#This Row],[대비]])</f>
        <v>0.25047129644999999</v>
      </c>
      <c r="K689" s="3">
        <f>_xll.IMDP("STK",표.실시간[[#This Row],[nxt_code]],"전일대비")</f>
        <v>-500</v>
      </c>
      <c r="L689">
        <f>_xll.IMDP("STK",표.실시간[[#This Row],[nxt_code]],"등락률")</f>
        <v>-2.31</v>
      </c>
      <c r="M689" s="2">
        <f>_xll.IMDP("STK",표.실시간[[#This Row],[nxt_code]],"누적거래량")</f>
        <v>1706</v>
      </c>
      <c r="N689" s="2">
        <f>_xll.IMDP("STK",표.실시간[[#This Row],[nxt_code]],"누적거래대금")/10^8</f>
        <v>0.36400900000000003</v>
      </c>
      <c r="O689" s="2">
        <f>_xll.IMDP("STK",표.실시간[[#This Row],[nxt_code]],"가중평균가")</f>
        <v>21336.987104</v>
      </c>
      <c r="P689" s="2">
        <f>_xll.IMDP("STK",표.실시간[[#This Row],[nxt_code]],"시가")</f>
        <v>21700</v>
      </c>
      <c r="Q689" s="2">
        <f>_xll.IMDP("STK",표.실시간[[#This Row],[nxt_code]],"고가")</f>
        <v>21700</v>
      </c>
      <c r="R689" s="2">
        <f>_xll.IMDP("STK",표.실시간[[#This Row],[nxt_code]],"저가")</f>
        <v>21000</v>
      </c>
      <c r="S689">
        <f>_xll.IMDP("STK",표.실시간[[#This Row],[nxt_code]],"세션명")</f>
        <v>0</v>
      </c>
      <c r="T689">
        <f>_xll.IMDP("STK",표.실시간[[#This Row],[nxt_code]],"체결시간")</f>
        <v>0</v>
      </c>
      <c r="U689" s="2">
        <f>_xll.IMDP("STK","008490","현재가")</f>
        <v>21150</v>
      </c>
      <c r="V689">
        <f>_xll.IMDP("STK","008490","누적거래량")</f>
        <v>1460</v>
      </c>
    </row>
    <row r="690" spans="2:22" x14ac:dyDescent="0.3">
      <c r="B690">
        <v>682</v>
      </c>
      <c r="C690">
        <v>0</v>
      </c>
      <c r="D690">
        <f>IF(IFERROR(INDEX(표.kospi200[code],MATCH(표.실시간[[#This Row],[코드]],표.kospi200[code],0)),0)=0,0,1)</f>
        <v>0</v>
      </c>
      <c r="E690" t="s">
        <v>695</v>
      </c>
      <c r="F690">
        <v>488280</v>
      </c>
      <c r="G690" t="str">
        <f>ConvertStockCode(표.실시간[[#This Row],[코드]])</f>
        <v>N488280</v>
      </c>
      <c r="H690" s="2">
        <f>_xll.IMDP("STK",표.실시간[[#This Row],[nxt_code]],"현재가")</f>
        <v>23300</v>
      </c>
      <c r="I690" s="2">
        <f>_xll.IMDP("STK",표.실시간[[#This Row],[nxt_code]],"시가총액")/10^12</f>
        <v>0.2483608279</v>
      </c>
      <c r="J690" s="2">
        <f>표.실시간[[#This Row],[시가총액 (조원)]]/표.실시간[[#This Row],[현재가]]*(표.실시간[[#This Row],[현재가]]-표.실시간[[#This Row],[대비]])</f>
        <v>0.24356415954999999</v>
      </c>
      <c r="K690" s="3">
        <f>_xll.IMDP("STK",표.실시간[[#This Row],[nxt_code]],"전일대비")</f>
        <v>450</v>
      </c>
      <c r="L690">
        <f>_xll.IMDP("STK",표.실시간[[#This Row],[nxt_code]],"등락률")</f>
        <v>1.97</v>
      </c>
      <c r="M690" s="2">
        <f>_xll.IMDP("STK",표.실시간[[#This Row],[nxt_code]],"누적거래량")</f>
        <v>92802</v>
      </c>
      <c r="N690" s="2">
        <f>_xll.IMDP("STK",표.실시간[[#This Row],[nxt_code]],"누적거래대금")/10^8</f>
        <v>21.735263499999999</v>
      </c>
      <c r="O690" s="2">
        <f>_xll.IMDP("STK",표.실시간[[#This Row],[nxt_code]],"가중평균가")</f>
        <v>23421.115385000001</v>
      </c>
      <c r="P690" s="2">
        <f>_xll.IMDP("STK",표.실시간[[#This Row],[nxt_code]],"시가")</f>
        <v>22900</v>
      </c>
      <c r="Q690" s="2">
        <f>_xll.IMDP("STK",표.실시간[[#This Row],[nxt_code]],"고가")</f>
        <v>24350</v>
      </c>
      <c r="R690" s="2">
        <f>_xll.IMDP("STK",표.실시간[[#This Row],[nxt_code]],"저가")</f>
        <v>22700</v>
      </c>
      <c r="S690">
        <f>_xll.IMDP("STK",표.실시간[[#This Row],[nxt_code]],"세션명")</f>
        <v>0</v>
      </c>
      <c r="T690">
        <f>_xll.IMDP("STK",표.실시간[[#This Row],[nxt_code]],"체결시간")</f>
        <v>0</v>
      </c>
      <c r="U690" s="2">
        <f>_xll.IMDP("STK","488280","현재가")</f>
        <v>23450</v>
      </c>
      <c r="V690">
        <f>_xll.IMDP("STK","488280","누적거래량")</f>
        <v>19758</v>
      </c>
    </row>
    <row r="691" spans="2:22" x14ac:dyDescent="0.3">
      <c r="B691">
        <v>683</v>
      </c>
      <c r="C691">
        <v>0</v>
      </c>
      <c r="D691">
        <f>IF(IFERROR(INDEX(표.kospi200[code],MATCH(표.실시간[[#This Row],[코드]],표.kospi200[code],0)),0)=0,0,1)</f>
        <v>0</v>
      </c>
      <c r="E691" t="s">
        <v>696</v>
      </c>
      <c r="F691">
        <v>36800</v>
      </c>
      <c r="G691" t="str">
        <f>ConvertStockCode(표.실시간[[#This Row],[코드]])</f>
        <v>N036800</v>
      </c>
      <c r="H691" s="2">
        <f>_xll.IMDP("STK",표.실시간[[#This Row],[nxt_code]],"현재가")</f>
        <v>23950</v>
      </c>
      <c r="I691" s="2">
        <f>_xll.IMDP("STK",표.실시간[[#This Row],[nxt_code]],"시가총액")/10^12</f>
        <v>0.23949999999999999</v>
      </c>
      <c r="J691" s="2">
        <f>표.실시간[[#This Row],[시가총액 (조원)]]/표.실시간[[#This Row],[현재가]]*(표.실시간[[#This Row],[현재가]]-표.실시간[[#This Row],[대비]])</f>
        <v>0.24349999999999997</v>
      </c>
      <c r="K691" s="3">
        <f>_xll.IMDP("STK",표.실시간[[#This Row],[nxt_code]],"전일대비")</f>
        <v>-400</v>
      </c>
      <c r="L691">
        <f>_xll.IMDP("STK",표.실시간[[#This Row],[nxt_code]],"등락률")</f>
        <v>-1.64</v>
      </c>
      <c r="M691" s="2">
        <f>_xll.IMDP("STK",표.실시간[[#This Row],[nxt_code]],"누적거래량")</f>
        <v>989</v>
      </c>
      <c r="N691" s="2">
        <f>_xll.IMDP("STK",표.실시간[[#This Row],[nxt_code]],"누적거래대금")/10^8</f>
        <v>0.23640749999999999</v>
      </c>
      <c r="O691" s="2">
        <f>_xll.IMDP("STK",표.실시간[[#This Row],[nxt_code]],"가중평균가")</f>
        <v>23903.690597000001</v>
      </c>
      <c r="P691" s="2">
        <f>_xll.IMDP("STK",표.실시간[[#This Row],[nxt_code]],"시가")</f>
        <v>23750</v>
      </c>
      <c r="Q691" s="2">
        <f>_xll.IMDP("STK",표.실시간[[#This Row],[nxt_code]],"고가")</f>
        <v>24350</v>
      </c>
      <c r="R691" s="2">
        <f>_xll.IMDP("STK",표.실시간[[#This Row],[nxt_code]],"저가")</f>
        <v>23750</v>
      </c>
      <c r="S691">
        <f>_xll.IMDP("STK",표.실시간[[#This Row],[nxt_code]],"세션명")</f>
        <v>0</v>
      </c>
      <c r="T691">
        <f>_xll.IMDP("STK",표.실시간[[#This Row],[nxt_code]],"체결시간")</f>
        <v>0</v>
      </c>
      <c r="U691" s="2">
        <f>_xll.IMDP("STK","036800","현재가")</f>
        <v>24050</v>
      </c>
      <c r="V691">
        <f>_xll.IMDP("STK","036800","누적거래량")</f>
        <v>696</v>
      </c>
    </row>
    <row r="692" spans="2:22" x14ac:dyDescent="0.3">
      <c r="B692">
        <v>684</v>
      </c>
      <c r="C692">
        <v>1</v>
      </c>
      <c r="D692">
        <f>IF(IFERROR(INDEX(표.kospi200[code],MATCH(표.실시간[[#This Row],[코드]],표.kospi200[code],0)),0)=0,0,1)</f>
        <v>0</v>
      </c>
      <c r="E692" t="s">
        <v>697</v>
      </c>
      <c r="F692">
        <v>4980</v>
      </c>
      <c r="G692" t="str">
        <f>ConvertStockCode(표.실시간[[#This Row],[코드]])</f>
        <v>N004980</v>
      </c>
      <c r="H692" s="2">
        <f>_xll.IMDP("STK",표.실시간[[#This Row],[nxt_code]],"현재가")</f>
        <v>9720</v>
      </c>
      <c r="I692" s="2">
        <f>_xll.IMDP("STK",표.실시간[[#This Row],[nxt_code]],"시가총액")/10^12</f>
        <v>0.23829622955999999</v>
      </c>
      <c r="J692" s="2">
        <f>표.실시간[[#This Row],[시가총액 (조원)]]/표.실시간[[#This Row],[현재가]]*(표.실시간[[#This Row],[현재가]]-표.실시간[[#This Row],[대비]])</f>
        <v>0.24123815832000001</v>
      </c>
      <c r="K692" s="3">
        <f>_xll.IMDP("STK",표.실시간[[#This Row],[nxt_code]],"전일대비")</f>
        <v>-120</v>
      </c>
      <c r="L692">
        <f>_xll.IMDP("STK",표.실시간[[#This Row],[nxt_code]],"등락률")</f>
        <v>-1.22</v>
      </c>
      <c r="M692" s="2">
        <f>_xll.IMDP("STK",표.실시간[[#This Row],[nxt_code]],"누적거래량")</f>
        <v>10024</v>
      </c>
      <c r="N692" s="2">
        <f>_xll.IMDP("STK",표.실시간[[#This Row],[nxt_code]],"누적거래대금")/10^8</f>
        <v>0.96969340000000004</v>
      </c>
      <c r="O692" s="2">
        <f>_xll.IMDP("STK",표.실시간[[#This Row],[nxt_code]],"가중평균가")</f>
        <v>9673.717079</v>
      </c>
      <c r="P692" s="2">
        <f>_xll.IMDP("STK",표.실시간[[#This Row],[nxt_code]],"시가")</f>
        <v>9810</v>
      </c>
      <c r="Q692" s="2">
        <f>_xll.IMDP("STK",표.실시간[[#This Row],[nxt_code]],"고가")</f>
        <v>9810</v>
      </c>
      <c r="R692" s="2">
        <f>_xll.IMDP("STK",표.실시간[[#This Row],[nxt_code]],"저가")</f>
        <v>9540</v>
      </c>
      <c r="S692">
        <f>_xll.IMDP("STK",표.실시간[[#This Row],[nxt_code]],"세션명")</f>
        <v>0</v>
      </c>
      <c r="T692">
        <f>_xll.IMDP("STK",표.실시간[[#This Row],[nxt_code]],"체결시간")</f>
        <v>0</v>
      </c>
      <c r="U692" s="2">
        <f>_xll.IMDP("STK","004980","현재가")</f>
        <v>9720</v>
      </c>
      <c r="V692">
        <f>_xll.IMDP("STK","004980","누적거래량")</f>
        <v>15696</v>
      </c>
    </row>
    <row r="693" spans="2:22" x14ac:dyDescent="0.3">
      <c r="B693">
        <v>685</v>
      </c>
      <c r="C693">
        <v>0</v>
      </c>
      <c r="D693">
        <f>IF(IFERROR(INDEX(표.kospi200[code],MATCH(표.실시간[[#This Row],[코드]],표.kospi200[code],0)),0)=0,0,1)</f>
        <v>0</v>
      </c>
      <c r="E693" t="s">
        <v>698</v>
      </c>
      <c r="F693">
        <v>237880</v>
      </c>
      <c r="G693" t="str">
        <f>ConvertStockCode(표.실시간[[#This Row],[코드]])</f>
        <v>N237880</v>
      </c>
      <c r="H693" s="2">
        <f>_xll.IMDP("STK",표.실시간[[#This Row],[nxt_code]],"현재가")</f>
        <v>13160</v>
      </c>
      <c r="I693" s="2">
        <f>_xll.IMDP("STK",표.실시간[[#This Row],[nxt_code]],"시가총액")/10^12</f>
        <v>0.23781900548000001</v>
      </c>
      <c r="J693" s="2">
        <f>표.실시간[[#This Row],[시가총액 (조원)]]/표.실시간[[#This Row],[현재가]]*(표.실시간[[#This Row],[현재가]]-표.실시간[[#This Row],[대비]])</f>
        <v>0.23962614078</v>
      </c>
      <c r="K693" s="3">
        <f>_xll.IMDP("STK",표.실시간[[#This Row],[nxt_code]],"전일대비")</f>
        <v>-100</v>
      </c>
      <c r="L693">
        <f>_xll.IMDP("STK",표.실시간[[#This Row],[nxt_code]],"등락률")</f>
        <v>-0.75</v>
      </c>
      <c r="M693" s="2">
        <f>_xll.IMDP("STK",표.실시간[[#This Row],[nxt_code]],"누적거래량")</f>
        <v>5056</v>
      </c>
      <c r="N693" s="2">
        <f>_xll.IMDP("STK",표.실시간[[#This Row],[nxt_code]],"누적거래대금")/10^8</f>
        <v>0.66615170000000001</v>
      </c>
      <c r="O693" s="2">
        <f>_xll.IMDP("STK",표.실시간[[#This Row],[nxt_code]],"가중평균가")</f>
        <v>13175.46875</v>
      </c>
      <c r="P693" s="2">
        <f>_xll.IMDP("STK",표.실시간[[#This Row],[nxt_code]],"시가")</f>
        <v>13260</v>
      </c>
      <c r="Q693" s="2">
        <f>_xll.IMDP("STK",표.실시간[[#This Row],[nxt_code]],"고가")</f>
        <v>13260</v>
      </c>
      <c r="R693" s="2">
        <f>_xll.IMDP("STK",표.실시간[[#This Row],[nxt_code]],"저가")</f>
        <v>13100</v>
      </c>
      <c r="S693">
        <f>_xll.IMDP("STK",표.실시간[[#This Row],[nxt_code]],"세션명")</f>
        <v>0</v>
      </c>
      <c r="T693">
        <f>_xll.IMDP("STK",표.실시간[[#This Row],[nxt_code]],"체결시간")</f>
        <v>0</v>
      </c>
      <c r="U693" s="2">
        <f>_xll.IMDP("STK","237880","현재가")</f>
        <v>13230</v>
      </c>
      <c r="V693">
        <f>_xll.IMDP("STK","237880","누적거래량")</f>
        <v>4898</v>
      </c>
    </row>
    <row r="694" spans="2:22" x14ac:dyDescent="0.3">
      <c r="B694">
        <v>686</v>
      </c>
      <c r="C694">
        <v>0</v>
      </c>
      <c r="D694">
        <f>IF(IFERROR(INDEX(표.kospi200[code],MATCH(표.실시간[[#This Row],[코드]],표.kospi200[code],0)),0)=0,0,1)</f>
        <v>0</v>
      </c>
      <c r="E694" t="s">
        <v>699</v>
      </c>
      <c r="F694">
        <v>299030</v>
      </c>
      <c r="G694" t="str">
        <f>ConvertStockCode(표.실시간[[#This Row],[코드]])</f>
        <v>N299030</v>
      </c>
      <c r="H694" s="2">
        <f>_xll.IMDP("STK",표.실시간[[#This Row],[nxt_code]],"현재가")</f>
        <v>31350</v>
      </c>
      <c r="I694" s="2">
        <f>_xll.IMDP("STK",표.실시간[[#This Row],[nxt_code]],"시가총액")/10^12</f>
        <v>0.25064042850000001</v>
      </c>
      <c r="J694" s="2">
        <f>표.실시간[[#This Row],[시가총액 (조원)]]/표.실시간[[#This Row],[현재가]]*(표.실시간[[#This Row],[현재가]]-표.실시간[[#This Row],[대비]])</f>
        <v>0.25463788350000005</v>
      </c>
      <c r="K694" s="3">
        <f>_xll.IMDP("STK",표.실시간[[#This Row],[nxt_code]],"전일대비")</f>
        <v>-500</v>
      </c>
      <c r="L694">
        <f>_xll.IMDP("STK",표.실시간[[#This Row],[nxt_code]],"등락률")</f>
        <v>-1.57</v>
      </c>
      <c r="M694" s="2">
        <f>_xll.IMDP("STK",표.실시간[[#This Row],[nxt_code]],"누적거래량")</f>
        <v>10723</v>
      </c>
      <c r="N694" s="2">
        <f>_xll.IMDP("STK",표.실시간[[#This Row],[nxt_code]],"누적거래대금")/10^8</f>
        <v>3.3249439999999999</v>
      </c>
      <c r="O694" s="2">
        <f>_xll.IMDP("STK",표.실시간[[#This Row],[nxt_code]],"가중평균가")</f>
        <v>31007.591159</v>
      </c>
      <c r="P694" s="2">
        <f>_xll.IMDP("STK",표.실시간[[#This Row],[nxt_code]],"시가")</f>
        <v>31850</v>
      </c>
      <c r="Q694" s="2">
        <f>_xll.IMDP("STK",표.실시간[[#This Row],[nxt_code]],"고가")</f>
        <v>31850</v>
      </c>
      <c r="R694" s="2">
        <f>_xll.IMDP("STK",표.실시간[[#This Row],[nxt_code]],"저가")</f>
        <v>30650</v>
      </c>
      <c r="S694">
        <f>_xll.IMDP("STK",표.실시간[[#This Row],[nxt_code]],"세션명")</f>
        <v>0</v>
      </c>
      <c r="T694">
        <f>_xll.IMDP("STK",표.실시간[[#This Row],[nxt_code]],"체결시간")</f>
        <v>0</v>
      </c>
      <c r="U694" s="2">
        <f>_xll.IMDP("STK","299030","현재가")</f>
        <v>31450</v>
      </c>
      <c r="V694">
        <f>_xll.IMDP("STK","299030","누적거래량")</f>
        <v>6515</v>
      </c>
    </row>
    <row r="695" spans="2:22" x14ac:dyDescent="0.3">
      <c r="B695">
        <v>687</v>
      </c>
      <c r="C695">
        <v>0</v>
      </c>
      <c r="D695">
        <f>IF(IFERROR(INDEX(표.kospi200[code],MATCH(표.실시간[[#This Row],[코드]],표.kospi200[code],0)),0)=0,0,1)</f>
        <v>0</v>
      </c>
      <c r="E695" t="s">
        <v>700</v>
      </c>
      <c r="F695">
        <v>439090</v>
      </c>
      <c r="G695" t="str">
        <f>ConvertStockCode(표.실시간[[#This Row],[코드]])</f>
        <v>N439090</v>
      </c>
      <c r="H695" s="2">
        <f>_xll.IMDP("STK",표.실시간[[#This Row],[nxt_code]],"현재가")</f>
        <v>14120</v>
      </c>
      <c r="I695" s="2">
        <f>_xll.IMDP("STK",표.실시간[[#This Row],[nxt_code]],"시가총액")/10^12</f>
        <v>0.2313316312</v>
      </c>
      <c r="J695" s="2">
        <f>표.실시간[[#This Row],[시가총액 (조원)]]/표.실시간[[#This Row],[현재가]]*(표.실시간[[#This Row],[현재가]]-표.실시간[[#This Row],[대비]])</f>
        <v>0.23575511139999999</v>
      </c>
      <c r="K695" s="3">
        <f>_xll.IMDP("STK",표.실시간[[#This Row],[nxt_code]],"전일대비")</f>
        <v>-270</v>
      </c>
      <c r="L695">
        <f>_xll.IMDP("STK",표.실시간[[#This Row],[nxt_code]],"등락률")</f>
        <v>-1.88</v>
      </c>
      <c r="M695" s="2">
        <f>_xll.IMDP("STK",표.실시간[[#This Row],[nxt_code]],"누적거래량")</f>
        <v>7503</v>
      </c>
      <c r="N695" s="2">
        <f>_xll.IMDP("STK",표.실시간[[#This Row],[nxt_code]],"누적거래대금")/10^8</f>
        <v>1.0656677999999999</v>
      </c>
      <c r="O695" s="2">
        <f>_xll.IMDP("STK",표.실시간[[#This Row],[nxt_code]],"가중평균가")</f>
        <v>14203.222711</v>
      </c>
      <c r="P695" s="2">
        <f>_xll.IMDP("STK",표.실시간[[#This Row],[nxt_code]],"시가")</f>
        <v>14350</v>
      </c>
      <c r="Q695" s="2">
        <f>_xll.IMDP("STK",표.실시간[[#This Row],[nxt_code]],"고가")</f>
        <v>14400</v>
      </c>
      <c r="R695" s="2">
        <f>_xll.IMDP("STK",표.실시간[[#This Row],[nxt_code]],"저가")</f>
        <v>14050</v>
      </c>
      <c r="S695">
        <f>_xll.IMDP("STK",표.실시간[[#This Row],[nxt_code]],"세션명")</f>
        <v>0</v>
      </c>
      <c r="T695">
        <f>_xll.IMDP("STK",표.실시간[[#This Row],[nxt_code]],"체결시간")</f>
        <v>0</v>
      </c>
      <c r="U695" s="2">
        <f>_xll.IMDP("STK","439090","현재가")</f>
        <v>14140</v>
      </c>
      <c r="V695">
        <f>_xll.IMDP("STK","439090","누적거래량")</f>
        <v>3370</v>
      </c>
    </row>
    <row r="696" spans="2:22" x14ac:dyDescent="0.3">
      <c r="B696">
        <v>688</v>
      </c>
      <c r="C696">
        <v>0</v>
      </c>
      <c r="D696">
        <f>IF(IFERROR(INDEX(표.kospi200[code],MATCH(표.실시간[[#This Row],[코드]],표.kospi200[code],0)),0)=0,0,1)</f>
        <v>0</v>
      </c>
      <c r="E696" t="s">
        <v>701</v>
      </c>
      <c r="F696">
        <v>39840</v>
      </c>
      <c r="G696" t="str">
        <f>ConvertStockCode(표.실시간[[#This Row],[코드]])</f>
        <v>N039840</v>
      </c>
      <c r="H696" s="2">
        <f>_xll.IMDP("STK",표.실시간[[#This Row],[nxt_code]],"현재가")</f>
        <v>15820</v>
      </c>
      <c r="I696" s="2">
        <f>_xll.IMDP("STK",표.실시간[[#This Row],[nxt_code]],"시가총액")/10^12</f>
        <v>0.22741387633999999</v>
      </c>
      <c r="J696" s="2">
        <f>표.실시간[[#This Row],[시가총액 (조원)]]/표.실시간[[#This Row],[현재가]]*(표.실시간[[#This Row],[현재가]]-표.실시간[[#This Row],[대비]])</f>
        <v>0.22798887981999996</v>
      </c>
      <c r="K696" s="3">
        <f>_xll.IMDP("STK",표.실시간[[#This Row],[nxt_code]],"전일대비")</f>
        <v>-40</v>
      </c>
      <c r="L696">
        <f>_xll.IMDP("STK",표.실시간[[#This Row],[nxt_code]],"등락률")</f>
        <v>-0.25</v>
      </c>
      <c r="M696" s="2">
        <f>_xll.IMDP("STK",표.실시간[[#This Row],[nxt_code]],"누적거래량")</f>
        <v>1173</v>
      </c>
      <c r="N696" s="2">
        <f>_xll.IMDP("STK",표.실시간[[#This Row],[nxt_code]],"누적거래대금")/10^8</f>
        <v>0.1860764</v>
      </c>
      <c r="O696" s="2">
        <f>_xll.IMDP("STK",표.실시간[[#This Row],[nxt_code]],"가중평균가")</f>
        <v>15863.290708</v>
      </c>
      <c r="P696" s="2">
        <f>_xll.IMDP("STK",표.실시간[[#This Row],[nxt_code]],"시가")</f>
        <v>16100</v>
      </c>
      <c r="Q696" s="2">
        <f>_xll.IMDP("STK",표.실시간[[#This Row],[nxt_code]],"고가")</f>
        <v>16100</v>
      </c>
      <c r="R696" s="2">
        <f>_xll.IMDP("STK",표.실시간[[#This Row],[nxt_code]],"저가")</f>
        <v>15710</v>
      </c>
      <c r="S696">
        <f>_xll.IMDP("STK",표.실시간[[#This Row],[nxt_code]],"세션명")</f>
        <v>0</v>
      </c>
      <c r="T696">
        <f>_xll.IMDP("STK",표.실시간[[#This Row],[nxt_code]],"체결시간")</f>
        <v>0</v>
      </c>
      <c r="U696" s="2">
        <f>_xll.IMDP("STK","039840","현재가")</f>
        <v>15860</v>
      </c>
      <c r="V696">
        <f>_xll.IMDP("STK","039840","누적거래량")</f>
        <v>1513</v>
      </c>
    </row>
    <row r="697" spans="2:22" x14ac:dyDescent="0.3">
      <c r="B697">
        <v>689</v>
      </c>
      <c r="C697">
        <v>0</v>
      </c>
      <c r="D697">
        <f>IF(IFERROR(INDEX(표.kospi200[code],MATCH(표.실시간[[#This Row],[코드]],표.kospi200[code],0)),0)=0,0,1)</f>
        <v>0</v>
      </c>
      <c r="E697" t="s">
        <v>702</v>
      </c>
      <c r="F697">
        <v>356680</v>
      </c>
      <c r="G697" t="str">
        <f>ConvertStockCode(표.실시간[[#This Row],[코드]])</f>
        <v>N356680</v>
      </c>
      <c r="H697" s="2">
        <f>_xll.IMDP("STK",표.실시간[[#This Row],[nxt_code]],"현재가")</f>
        <v>7530</v>
      </c>
      <c r="I697" s="2">
        <f>_xll.IMDP("STK",표.실시간[[#This Row],[nxt_code]],"시가총액")/10^12</f>
        <v>0.21493249476000001</v>
      </c>
      <c r="J697" s="2">
        <f>표.실시간[[#This Row],[시가총액 (조원)]]/표.실시간[[#This Row],[현재가]]*(표.실시간[[#This Row],[현재가]]-표.실시간[[#This Row],[대비]])</f>
        <v>0.22149749792000001</v>
      </c>
      <c r="K697" s="3">
        <f>_xll.IMDP("STK",표.실시간[[#This Row],[nxt_code]],"전일대비")</f>
        <v>-230</v>
      </c>
      <c r="L697">
        <f>_xll.IMDP("STK",표.실시간[[#This Row],[nxt_code]],"등락률")</f>
        <v>-2.96</v>
      </c>
      <c r="M697" s="2">
        <f>_xll.IMDP("STK",표.실시간[[#This Row],[nxt_code]],"누적거래량")</f>
        <v>65891</v>
      </c>
      <c r="N697" s="2">
        <f>_xll.IMDP("STK",표.실시간[[#This Row],[nxt_code]],"누적거래대금")/10^8</f>
        <v>4.9604920000000003</v>
      </c>
      <c r="O697" s="2">
        <f>_xll.IMDP("STK",표.실시간[[#This Row],[nxt_code]],"가중평균가")</f>
        <v>7528.330121</v>
      </c>
      <c r="P697" s="2">
        <f>_xll.IMDP("STK",표.실시간[[#This Row],[nxt_code]],"시가")</f>
        <v>7760</v>
      </c>
      <c r="Q697" s="2">
        <f>_xll.IMDP("STK",표.실시간[[#This Row],[nxt_code]],"고가")</f>
        <v>7760</v>
      </c>
      <c r="R697" s="2">
        <f>_xll.IMDP("STK",표.실시간[[#This Row],[nxt_code]],"저가")</f>
        <v>7440</v>
      </c>
      <c r="S697">
        <f>_xll.IMDP("STK",표.실시간[[#This Row],[nxt_code]],"세션명")</f>
        <v>0</v>
      </c>
      <c r="T697">
        <f>_xll.IMDP("STK",표.실시간[[#This Row],[nxt_code]],"체결시간")</f>
        <v>0</v>
      </c>
      <c r="U697" s="2">
        <f>_xll.IMDP("STK","356680","현재가")</f>
        <v>7520</v>
      </c>
      <c r="V697">
        <f>_xll.IMDP("STK","356680","누적거래량")</f>
        <v>26501</v>
      </c>
    </row>
    <row r="698" spans="2:22" x14ac:dyDescent="0.3">
      <c r="B698">
        <v>690</v>
      </c>
      <c r="C698">
        <v>0</v>
      </c>
      <c r="D698">
        <f>IF(IFERROR(INDEX(표.kospi200[code],MATCH(표.실시간[[#This Row],[코드]],표.kospi200[code],0)),0)=0,0,1)</f>
        <v>0</v>
      </c>
      <c r="E698" t="s">
        <v>703</v>
      </c>
      <c r="F698">
        <v>84850</v>
      </c>
      <c r="G698" t="str">
        <f>ConvertStockCode(표.실시간[[#This Row],[코드]])</f>
        <v>N084850</v>
      </c>
      <c r="H698" s="2">
        <f>_xll.IMDP("STK",표.실시간[[#This Row],[nxt_code]],"현재가")</f>
        <v>10560</v>
      </c>
      <c r="I698" s="2">
        <f>_xll.IMDP("STK",표.실시간[[#This Row],[nxt_code]],"시가총액")/10^12</f>
        <v>0.23953178304</v>
      </c>
      <c r="J698" s="2">
        <f>표.실시간[[#This Row],[시가총액 (조원)]]/표.실시간[[#This Row],[현재가]]*(표.실시간[[#This Row],[현재가]]-표.실시간[[#This Row],[대비]])</f>
        <v>0.25291471409999999</v>
      </c>
      <c r="K698" s="3">
        <f>_xll.IMDP("STK",표.실시간[[#This Row],[nxt_code]],"전일대비")</f>
        <v>-590</v>
      </c>
      <c r="L698">
        <f>_xll.IMDP("STK",표.실시간[[#This Row],[nxt_code]],"등락률")</f>
        <v>-5.29</v>
      </c>
      <c r="M698" s="2">
        <f>_xll.IMDP("STK",표.실시간[[#This Row],[nxt_code]],"누적거래량")</f>
        <v>14029</v>
      </c>
      <c r="N698" s="2">
        <f>_xll.IMDP("STK",표.실시간[[#This Row],[nxt_code]],"누적거래대금")/10^8</f>
        <v>1.4720378000000001</v>
      </c>
      <c r="O698" s="2">
        <f>_xll.IMDP("STK",표.실시간[[#This Row],[nxt_code]],"가중평균가")</f>
        <v>10492.820586</v>
      </c>
      <c r="P698" s="2">
        <f>_xll.IMDP("STK",표.실시간[[#This Row],[nxt_code]],"시가")</f>
        <v>11110</v>
      </c>
      <c r="Q698" s="2">
        <f>_xll.IMDP("STK",표.실시간[[#This Row],[nxt_code]],"고가")</f>
        <v>11280</v>
      </c>
      <c r="R698" s="2">
        <f>_xll.IMDP("STK",표.실시간[[#This Row],[nxt_code]],"저가")</f>
        <v>10240</v>
      </c>
      <c r="S698">
        <f>_xll.IMDP("STK",표.실시간[[#This Row],[nxt_code]],"세션명")</f>
        <v>0</v>
      </c>
      <c r="T698">
        <f>_xll.IMDP("STK",표.실시간[[#This Row],[nxt_code]],"체결시간")</f>
        <v>0</v>
      </c>
      <c r="U698" s="2">
        <f>_xll.IMDP("STK","084850","현재가")</f>
        <v>10550</v>
      </c>
      <c r="V698">
        <f>_xll.IMDP("STK","084850","누적거래량")</f>
        <v>13037</v>
      </c>
    </row>
    <row r="699" spans="2:22" x14ac:dyDescent="0.3">
      <c r="B699">
        <v>691</v>
      </c>
      <c r="C699">
        <v>0</v>
      </c>
      <c r="D699">
        <f>IF(IFERROR(INDEX(표.kospi200[code],MATCH(표.실시간[[#This Row],[코드]],표.kospi200[code],0)),0)=0,0,1)</f>
        <v>0</v>
      </c>
      <c r="E699" t="s">
        <v>704</v>
      </c>
      <c r="F699">
        <v>469610</v>
      </c>
      <c r="G699" t="str">
        <f>ConvertStockCode(표.실시간[[#This Row],[코드]])</f>
        <v>N469610</v>
      </c>
      <c r="H699" s="2">
        <f>_xll.IMDP("STK",표.실시간[[#This Row],[nxt_code]],"현재가")</f>
        <v>24200</v>
      </c>
      <c r="I699" s="2">
        <f>_xll.IMDP("STK",표.실시간[[#This Row],[nxt_code]],"시가총액")/10^12</f>
        <v>0.21482097999999999</v>
      </c>
      <c r="J699" s="2">
        <f>표.실시간[[#This Row],[시가총액 (조원)]]/표.실시간[[#This Row],[현재가]]*(표.실시간[[#This Row],[현재가]]-표.실시간[[#This Row],[대비]])</f>
        <v>0.221478655</v>
      </c>
      <c r="K699" s="3">
        <f>_xll.IMDP("STK",표.실시간[[#This Row],[nxt_code]],"전일대비")</f>
        <v>-750</v>
      </c>
      <c r="L699">
        <f>_xll.IMDP("STK",표.실시간[[#This Row],[nxt_code]],"등락률")</f>
        <v>-3.01</v>
      </c>
      <c r="M699" s="2">
        <f>_xll.IMDP("STK",표.실시간[[#This Row],[nxt_code]],"누적거래량")</f>
        <v>24392</v>
      </c>
      <c r="N699" s="2">
        <f>_xll.IMDP("STK",표.실시간[[#This Row],[nxt_code]],"누적거래대금")/10^8</f>
        <v>5.8976905000000004</v>
      </c>
      <c r="O699" s="2">
        <f>_xll.IMDP("STK",표.실시간[[#This Row],[nxt_code]],"가중평균가")</f>
        <v>24178.790176999999</v>
      </c>
      <c r="P699" s="2">
        <f>_xll.IMDP("STK",표.실시간[[#This Row],[nxt_code]],"시가")</f>
        <v>24850</v>
      </c>
      <c r="Q699" s="2">
        <f>_xll.IMDP("STK",표.실시간[[#This Row],[nxt_code]],"고가")</f>
        <v>24950</v>
      </c>
      <c r="R699" s="2">
        <f>_xll.IMDP("STK",표.실시간[[#This Row],[nxt_code]],"저가")</f>
        <v>24000</v>
      </c>
      <c r="S699">
        <f>_xll.IMDP("STK",표.실시간[[#This Row],[nxt_code]],"세션명")</f>
        <v>0</v>
      </c>
      <c r="T699">
        <f>_xll.IMDP("STK",표.실시간[[#This Row],[nxt_code]],"체결시간")</f>
        <v>0</v>
      </c>
      <c r="U699" s="2">
        <f>_xll.IMDP("STK","469610","현재가")</f>
        <v>24450</v>
      </c>
      <c r="V699">
        <f>_xll.IMDP("STK","469610","누적거래량")</f>
        <v>8725</v>
      </c>
    </row>
  </sheetData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DB2A1-468C-4308-9109-3456BD01D50A}">
  <dimension ref="B2:C202"/>
  <sheetViews>
    <sheetView topLeftCell="A2" workbookViewId="0">
      <selection activeCell="C3" sqref="C3"/>
    </sheetView>
  </sheetViews>
  <sheetFormatPr defaultRowHeight="16.5" x14ac:dyDescent="0.3"/>
  <cols>
    <col min="2" max="2" width="32.625" customWidth="1"/>
  </cols>
  <sheetData>
    <row r="2" spans="2:3" x14ac:dyDescent="0.3">
      <c r="B2" t="s">
        <v>724</v>
      </c>
      <c r="C2" t="s">
        <v>723</v>
      </c>
    </row>
    <row r="3" spans="2:3" x14ac:dyDescent="0.3">
      <c r="B3" t="s">
        <v>14</v>
      </c>
      <c r="C3">
        <v>5930</v>
      </c>
    </row>
    <row r="4" spans="2:3" x14ac:dyDescent="0.3">
      <c r="B4" t="s">
        <v>15</v>
      </c>
      <c r="C4">
        <v>660</v>
      </c>
    </row>
    <row r="5" spans="2:3" x14ac:dyDescent="0.3">
      <c r="B5" t="s">
        <v>16</v>
      </c>
      <c r="C5">
        <v>5380</v>
      </c>
    </row>
    <row r="6" spans="2:3" x14ac:dyDescent="0.3">
      <c r="B6" t="s">
        <v>17</v>
      </c>
      <c r="C6">
        <v>373220</v>
      </c>
    </row>
    <row r="7" spans="2:3" x14ac:dyDescent="0.3">
      <c r="B7" t="s">
        <v>18</v>
      </c>
      <c r="C7">
        <v>207940</v>
      </c>
    </row>
    <row r="8" spans="2:3" x14ac:dyDescent="0.3">
      <c r="B8" t="s">
        <v>20</v>
      </c>
      <c r="C8">
        <v>12450</v>
      </c>
    </row>
    <row r="9" spans="2:3" x14ac:dyDescent="0.3">
      <c r="B9" t="s">
        <v>23</v>
      </c>
      <c r="C9">
        <v>402340</v>
      </c>
    </row>
    <row r="10" spans="2:3" x14ac:dyDescent="0.3">
      <c r="B10" t="s">
        <v>21</v>
      </c>
      <c r="C10">
        <v>329180</v>
      </c>
    </row>
    <row r="11" spans="2:3" x14ac:dyDescent="0.3">
      <c r="B11" t="s">
        <v>19</v>
      </c>
      <c r="C11">
        <v>270</v>
      </c>
    </row>
    <row r="12" spans="2:3" x14ac:dyDescent="0.3">
      <c r="B12" t="s">
        <v>22</v>
      </c>
      <c r="C12">
        <v>34020</v>
      </c>
    </row>
    <row r="13" spans="2:3" x14ac:dyDescent="0.3">
      <c r="B13" t="s">
        <v>24</v>
      </c>
      <c r="C13">
        <v>105560</v>
      </c>
    </row>
    <row r="14" spans="2:3" x14ac:dyDescent="0.3">
      <c r="B14" t="s">
        <v>25</v>
      </c>
      <c r="C14">
        <v>28260</v>
      </c>
    </row>
    <row r="15" spans="2:3" x14ac:dyDescent="0.3">
      <c r="B15" t="s">
        <v>26</v>
      </c>
      <c r="C15">
        <v>68270</v>
      </c>
    </row>
    <row r="16" spans="2:3" x14ac:dyDescent="0.3">
      <c r="B16" t="s">
        <v>31</v>
      </c>
      <c r="C16">
        <v>35420</v>
      </c>
    </row>
    <row r="17" spans="2:3" x14ac:dyDescent="0.3">
      <c r="B17" t="s">
        <v>28</v>
      </c>
      <c r="C17">
        <v>42660</v>
      </c>
    </row>
    <row r="18" spans="2:3" x14ac:dyDescent="0.3">
      <c r="B18" t="s">
        <v>27</v>
      </c>
      <c r="C18">
        <v>12330</v>
      </c>
    </row>
    <row r="19" spans="2:3" x14ac:dyDescent="0.3">
      <c r="B19" t="s">
        <v>30</v>
      </c>
      <c r="C19">
        <v>55550</v>
      </c>
    </row>
    <row r="20" spans="2:3" x14ac:dyDescent="0.3">
      <c r="B20" t="s">
        <v>29</v>
      </c>
      <c r="C20">
        <v>15760</v>
      </c>
    </row>
    <row r="21" spans="2:3" x14ac:dyDescent="0.3">
      <c r="B21" t="s">
        <v>32</v>
      </c>
      <c r="C21">
        <v>32830</v>
      </c>
    </row>
    <row r="22" spans="2:3" x14ac:dyDescent="0.3">
      <c r="B22" t="s">
        <v>33</v>
      </c>
      <c r="C22">
        <v>10130</v>
      </c>
    </row>
    <row r="23" spans="2:3" x14ac:dyDescent="0.3">
      <c r="B23" t="s">
        <v>34</v>
      </c>
      <c r="C23">
        <v>267260</v>
      </c>
    </row>
    <row r="24" spans="2:3" x14ac:dyDescent="0.3">
      <c r="B24" t="s">
        <v>39</v>
      </c>
      <c r="C24">
        <v>6400</v>
      </c>
    </row>
    <row r="25" spans="2:3" x14ac:dyDescent="0.3">
      <c r="B25" t="s">
        <v>35</v>
      </c>
      <c r="C25">
        <v>9540</v>
      </c>
    </row>
    <row r="26" spans="2:3" x14ac:dyDescent="0.3">
      <c r="B26" t="s">
        <v>36</v>
      </c>
      <c r="C26">
        <v>5490</v>
      </c>
    </row>
    <row r="27" spans="2:3" x14ac:dyDescent="0.3">
      <c r="B27" t="s">
        <v>37</v>
      </c>
      <c r="C27">
        <v>86790</v>
      </c>
    </row>
    <row r="28" spans="2:3" x14ac:dyDescent="0.3">
      <c r="B28" t="s">
        <v>40</v>
      </c>
      <c r="C28">
        <v>35720</v>
      </c>
    </row>
    <row r="29" spans="2:3" x14ac:dyDescent="0.3">
      <c r="B29" t="s">
        <v>38</v>
      </c>
      <c r="C29">
        <v>10140</v>
      </c>
    </row>
    <row r="30" spans="2:3" x14ac:dyDescent="0.3">
      <c r="B30" t="s">
        <v>41</v>
      </c>
      <c r="C30">
        <v>51910</v>
      </c>
    </row>
    <row r="31" spans="2:3" x14ac:dyDescent="0.3">
      <c r="B31" t="s">
        <v>42</v>
      </c>
      <c r="C31">
        <v>64350</v>
      </c>
    </row>
    <row r="32" spans="2:3" x14ac:dyDescent="0.3">
      <c r="B32" t="s">
        <v>43</v>
      </c>
      <c r="C32">
        <v>810</v>
      </c>
    </row>
    <row r="33" spans="2:3" x14ac:dyDescent="0.3">
      <c r="B33" t="s">
        <v>45</v>
      </c>
      <c r="C33">
        <v>298040</v>
      </c>
    </row>
    <row r="34" spans="2:3" x14ac:dyDescent="0.3">
      <c r="B34" t="s">
        <v>48</v>
      </c>
      <c r="C34">
        <v>316140</v>
      </c>
    </row>
    <row r="35" spans="2:3" x14ac:dyDescent="0.3">
      <c r="B35" t="s">
        <v>46</v>
      </c>
      <c r="C35">
        <v>34730</v>
      </c>
    </row>
    <row r="36" spans="2:3" x14ac:dyDescent="0.3">
      <c r="B36" t="s">
        <v>54</v>
      </c>
      <c r="C36">
        <v>3670</v>
      </c>
    </row>
    <row r="37" spans="2:3" x14ac:dyDescent="0.3">
      <c r="B37" t="s">
        <v>47</v>
      </c>
      <c r="C37">
        <v>9150</v>
      </c>
    </row>
    <row r="38" spans="2:3" x14ac:dyDescent="0.3">
      <c r="B38" t="s">
        <v>56</v>
      </c>
      <c r="C38">
        <v>6800</v>
      </c>
    </row>
    <row r="39" spans="2:3" x14ac:dyDescent="0.3">
      <c r="B39" t="s">
        <v>52</v>
      </c>
      <c r="C39">
        <v>138040</v>
      </c>
    </row>
    <row r="40" spans="2:3" x14ac:dyDescent="0.3">
      <c r="B40" t="s">
        <v>55</v>
      </c>
      <c r="C40">
        <v>96770</v>
      </c>
    </row>
    <row r="41" spans="2:3" x14ac:dyDescent="0.3">
      <c r="B41" t="s">
        <v>51</v>
      </c>
      <c r="C41">
        <v>11200</v>
      </c>
    </row>
    <row r="42" spans="2:3" x14ac:dyDescent="0.3">
      <c r="B42" t="s">
        <v>49</v>
      </c>
      <c r="C42">
        <v>267250</v>
      </c>
    </row>
    <row r="43" spans="2:3" x14ac:dyDescent="0.3">
      <c r="B43" t="s">
        <v>44</v>
      </c>
      <c r="C43">
        <v>86280</v>
      </c>
    </row>
    <row r="44" spans="2:3" x14ac:dyDescent="0.3">
      <c r="B44" t="s">
        <v>60</v>
      </c>
      <c r="C44">
        <v>24110</v>
      </c>
    </row>
    <row r="45" spans="2:3" x14ac:dyDescent="0.3">
      <c r="B45" t="s">
        <v>59</v>
      </c>
      <c r="C45">
        <v>42700</v>
      </c>
    </row>
    <row r="46" spans="2:3" x14ac:dyDescent="0.3">
      <c r="B46" t="s">
        <v>57</v>
      </c>
      <c r="C46">
        <v>33780</v>
      </c>
    </row>
    <row r="47" spans="2:3" x14ac:dyDescent="0.3">
      <c r="B47" t="s">
        <v>58</v>
      </c>
      <c r="C47">
        <v>272210</v>
      </c>
    </row>
    <row r="48" spans="2:3" x14ac:dyDescent="0.3">
      <c r="B48" t="s">
        <v>63</v>
      </c>
      <c r="C48">
        <v>10120</v>
      </c>
    </row>
    <row r="49" spans="2:3" x14ac:dyDescent="0.3">
      <c r="B49" t="s">
        <v>53</v>
      </c>
      <c r="C49">
        <v>66570</v>
      </c>
    </row>
    <row r="50" spans="2:3" x14ac:dyDescent="0.3">
      <c r="B50" t="s">
        <v>64</v>
      </c>
      <c r="C50">
        <v>352820</v>
      </c>
    </row>
    <row r="51" spans="2:3" x14ac:dyDescent="0.3">
      <c r="B51" t="s">
        <v>61</v>
      </c>
      <c r="C51">
        <v>47810</v>
      </c>
    </row>
    <row r="52" spans="2:3" x14ac:dyDescent="0.3">
      <c r="B52" t="s">
        <v>65</v>
      </c>
      <c r="C52" t="s">
        <v>705</v>
      </c>
    </row>
    <row r="53" spans="2:3" x14ac:dyDescent="0.3">
      <c r="B53" t="s">
        <v>71</v>
      </c>
      <c r="C53">
        <v>17670</v>
      </c>
    </row>
    <row r="54" spans="2:3" x14ac:dyDescent="0.3">
      <c r="B54" t="s">
        <v>69</v>
      </c>
      <c r="C54">
        <v>150</v>
      </c>
    </row>
    <row r="55" spans="2:3" x14ac:dyDescent="0.3">
      <c r="B55" t="s">
        <v>67</v>
      </c>
      <c r="C55">
        <v>30200</v>
      </c>
    </row>
    <row r="56" spans="2:3" x14ac:dyDescent="0.3">
      <c r="B56" t="s">
        <v>70</v>
      </c>
      <c r="C56">
        <v>3550</v>
      </c>
    </row>
    <row r="57" spans="2:3" x14ac:dyDescent="0.3">
      <c r="B57" t="s">
        <v>68</v>
      </c>
      <c r="C57">
        <v>18260</v>
      </c>
    </row>
    <row r="58" spans="2:3" x14ac:dyDescent="0.3">
      <c r="B58" t="s">
        <v>75</v>
      </c>
      <c r="C58">
        <v>259960</v>
      </c>
    </row>
    <row r="59" spans="2:3" x14ac:dyDescent="0.3">
      <c r="B59" t="s">
        <v>66</v>
      </c>
      <c r="C59">
        <v>307950</v>
      </c>
    </row>
    <row r="60" spans="2:3" x14ac:dyDescent="0.3">
      <c r="B60" t="s">
        <v>73</v>
      </c>
      <c r="C60">
        <v>720</v>
      </c>
    </row>
    <row r="61" spans="2:3" x14ac:dyDescent="0.3">
      <c r="B61" t="s">
        <v>78</v>
      </c>
      <c r="C61">
        <v>71050</v>
      </c>
    </row>
    <row r="62" spans="2:3" x14ac:dyDescent="0.3">
      <c r="B62" t="s">
        <v>74</v>
      </c>
      <c r="C62">
        <v>79550</v>
      </c>
    </row>
    <row r="63" spans="2:3" x14ac:dyDescent="0.3">
      <c r="B63" t="s">
        <v>77</v>
      </c>
      <c r="C63">
        <v>10950</v>
      </c>
    </row>
    <row r="64" spans="2:3" x14ac:dyDescent="0.3">
      <c r="B64" t="s">
        <v>80</v>
      </c>
      <c r="C64">
        <v>323410</v>
      </c>
    </row>
    <row r="65" spans="2:3" x14ac:dyDescent="0.3">
      <c r="B65" t="s">
        <v>76</v>
      </c>
      <c r="C65">
        <v>47050</v>
      </c>
    </row>
    <row r="66" spans="2:3" x14ac:dyDescent="0.3">
      <c r="B66" t="s">
        <v>90</v>
      </c>
      <c r="C66">
        <v>39490</v>
      </c>
    </row>
    <row r="67" spans="2:3" x14ac:dyDescent="0.3">
      <c r="B67" t="s">
        <v>82</v>
      </c>
      <c r="C67">
        <v>278470</v>
      </c>
    </row>
    <row r="68" spans="2:3" x14ac:dyDescent="0.3">
      <c r="B68" t="s">
        <v>86</v>
      </c>
      <c r="C68">
        <v>326030</v>
      </c>
    </row>
    <row r="69" spans="2:3" x14ac:dyDescent="0.3">
      <c r="B69" t="s">
        <v>100</v>
      </c>
      <c r="C69">
        <v>377300</v>
      </c>
    </row>
    <row r="70" spans="2:3" x14ac:dyDescent="0.3">
      <c r="B70" t="s">
        <v>83</v>
      </c>
      <c r="C70">
        <v>5830</v>
      </c>
    </row>
    <row r="71" spans="2:3" x14ac:dyDescent="0.3">
      <c r="B71" t="s">
        <v>94</v>
      </c>
      <c r="C71">
        <v>7660</v>
      </c>
    </row>
    <row r="72" spans="2:3" x14ac:dyDescent="0.3">
      <c r="B72" t="s">
        <v>85</v>
      </c>
      <c r="C72">
        <v>3230</v>
      </c>
    </row>
    <row r="73" spans="2:3" x14ac:dyDescent="0.3">
      <c r="B73" t="s">
        <v>93</v>
      </c>
      <c r="C73">
        <v>5940</v>
      </c>
    </row>
    <row r="74" spans="2:3" x14ac:dyDescent="0.3">
      <c r="B74" t="s">
        <v>87</v>
      </c>
      <c r="C74">
        <v>3490</v>
      </c>
    </row>
    <row r="75" spans="2:3" x14ac:dyDescent="0.3">
      <c r="B75" t="s">
        <v>92</v>
      </c>
      <c r="C75">
        <v>100</v>
      </c>
    </row>
    <row r="76" spans="2:3" x14ac:dyDescent="0.3">
      <c r="B76" t="s">
        <v>84</v>
      </c>
      <c r="C76">
        <v>880</v>
      </c>
    </row>
    <row r="77" spans="2:3" x14ac:dyDescent="0.3">
      <c r="B77" t="s">
        <v>91</v>
      </c>
      <c r="C77">
        <v>443060</v>
      </c>
    </row>
    <row r="78" spans="2:3" x14ac:dyDescent="0.3">
      <c r="B78" t="s">
        <v>725</v>
      </c>
      <c r="C78">
        <v>161390</v>
      </c>
    </row>
    <row r="79" spans="2:3" x14ac:dyDescent="0.3">
      <c r="B79" t="s">
        <v>96</v>
      </c>
      <c r="C79">
        <v>16360</v>
      </c>
    </row>
    <row r="80" spans="2:3" x14ac:dyDescent="0.3">
      <c r="B80" t="s">
        <v>88</v>
      </c>
      <c r="C80">
        <v>180640</v>
      </c>
    </row>
    <row r="81" spans="2:3" x14ac:dyDescent="0.3">
      <c r="B81" t="s">
        <v>98</v>
      </c>
      <c r="C81">
        <v>90430</v>
      </c>
    </row>
    <row r="82" spans="2:3" x14ac:dyDescent="0.3">
      <c r="B82" t="s">
        <v>95</v>
      </c>
      <c r="C82">
        <v>454910</v>
      </c>
    </row>
    <row r="83" spans="2:3" x14ac:dyDescent="0.3">
      <c r="B83" t="s">
        <v>97</v>
      </c>
      <c r="C83">
        <v>6260</v>
      </c>
    </row>
    <row r="84" spans="2:3" x14ac:dyDescent="0.3">
      <c r="B84" t="s">
        <v>104</v>
      </c>
      <c r="C84">
        <v>32640</v>
      </c>
    </row>
    <row r="85" spans="2:3" x14ac:dyDescent="0.3">
      <c r="B85" t="s">
        <v>99</v>
      </c>
      <c r="C85">
        <v>64400</v>
      </c>
    </row>
    <row r="86" spans="2:3" x14ac:dyDescent="0.3">
      <c r="B86" t="s">
        <v>106</v>
      </c>
      <c r="C86">
        <v>29780</v>
      </c>
    </row>
    <row r="87" spans="2:3" x14ac:dyDescent="0.3">
      <c r="B87" t="s">
        <v>118</v>
      </c>
      <c r="C87">
        <v>28050</v>
      </c>
    </row>
    <row r="88" spans="2:3" x14ac:dyDescent="0.3">
      <c r="B88" t="s">
        <v>107</v>
      </c>
      <c r="C88">
        <v>34220</v>
      </c>
    </row>
    <row r="89" spans="2:3" x14ac:dyDescent="0.3">
      <c r="B89" t="s">
        <v>103</v>
      </c>
      <c r="C89">
        <v>22100</v>
      </c>
    </row>
    <row r="90" spans="2:3" x14ac:dyDescent="0.3">
      <c r="B90" t="s">
        <v>114</v>
      </c>
      <c r="C90">
        <v>128940</v>
      </c>
    </row>
    <row r="91" spans="2:3" x14ac:dyDescent="0.3">
      <c r="B91" t="s">
        <v>102</v>
      </c>
      <c r="C91">
        <v>11070</v>
      </c>
    </row>
    <row r="92" spans="2:3" x14ac:dyDescent="0.3">
      <c r="B92" t="s">
        <v>109</v>
      </c>
      <c r="C92">
        <v>78930</v>
      </c>
    </row>
    <row r="93" spans="2:3" x14ac:dyDescent="0.3">
      <c r="B93" t="s">
        <v>108</v>
      </c>
      <c r="C93">
        <v>241560</v>
      </c>
    </row>
    <row r="94" spans="2:3" x14ac:dyDescent="0.3">
      <c r="B94" t="s">
        <v>110</v>
      </c>
      <c r="C94">
        <v>1040</v>
      </c>
    </row>
    <row r="95" spans="2:3" x14ac:dyDescent="0.3">
      <c r="B95" t="s">
        <v>111</v>
      </c>
      <c r="C95">
        <v>21240</v>
      </c>
    </row>
    <row r="96" spans="2:3" x14ac:dyDescent="0.3">
      <c r="B96" t="s">
        <v>123</v>
      </c>
      <c r="C96">
        <v>66970</v>
      </c>
    </row>
    <row r="97" spans="2:3" x14ac:dyDescent="0.3">
      <c r="B97" t="s">
        <v>112</v>
      </c>
      <c r="C97">
        <v>52690</v>
      </c>
    </row>
    <row r="98" spans="2:3" x14ac:dyDescent="0.3">
      <c r="B98" t="s">
        <v>115</v>
      </c>
      <c r="C98">
        <v>1440</v>
      </c>
    </row>
    <row r="99" spans="2:3" x14ac:dyDescent="0.3">
      <c r="B99" t="s">
        <v>120</v>
      </c>
      <c r="C99">
        <v>138930</v>
      </c>
    </row>
    <row r="100" spans="2:3" x14ac:dyDescent="0.3">
      <c r="B100" t="s">
        <v>119</v>
      </c>
      <c r="C100">
        <v>36570</v>
      </c>
    </row>
    <row r="101" spans="2:3" x14ac:dyDescent="0.3">
      <c r="B101" t="s">
        <v>124</v>
      </c>
      <c r="C101">
        <v>82740</v>
      </c>
    </row>
    <row r="102" spans="2:3" x14ac:dyDescent="0.3">
      <c r="B102" t="s">
        <v>121</v>
      </c>
      <c r="C102">
        <v>9830</v>
      </c>
    </row>
    <row r="103" spans="2:3" x14ac:dyDescent="0.3">
      <c r="B103" t="s">
        <v>129</v>
      </c>
      <c r="C103">
        <v>450080</v>
      </c>
    </row>
    <row r="104" spans="2:3" x14ac:dyDescent="0.3">
      <c r="B104" t="s">
        <v>128</v>
      </c>
      <c r="C104">
        <v>251270</v>
      </c>
    </row>
    <row r="105" spans="2:3" x14ac:dyDescent="0.3">
      <c r="B105" t="s">
        <v>122</v>
      </c>
      <c r="C105">
        <v>271560</v>
      </c>
    </row>
    <row r="106" spans="2:3" x14ac:dyDescent="0.3">
      <c r="B106" t="s">
        <v>126</v>
      </c>
      <c r="C106">
        <v>175330</v>
      </c>
    </row>
    <row r="107" spans="2:3" x14ac:dyDescent="0.3">
      <c r="B107" t="s">
        <v>127</v>
      </c>
      <c r="C107">
        <v>62040</v>
      </c>
    </row>
    <row r="108" spans="2:3" x14ac:dyDescent="0.3">
      <c r="B108" t="s">
        <v>131</v>
      </c>
      <c r="C108">
        <v>11790</v>
      </c>
    </row>
    <row r="109" spans="2:3" x14ac:dyDescent="0.3">
      <c r="B109" t="s">
        <v>130</v>
      </c>
      <c r="C109">
        <v>4020</v>
      </c>
    </row>
    <row r="110" spans="2:3" x14ac:dyDescent="0.3">
      <c r="B110" t="s">
        <v>132</v>
      </c>
      <c r="C110">
        <v>51900</v>
      </c>
    </row>
    <row r="111" spans="2:3" x14ac:dyDescent="0.3">
      <c r="B111" t="s">
        <v>135</v>
      </c>
      <c r="C111">
        <v>2380</v>
      </c>
    </row>
    <row r="112" spans="2:3" x14ac:dyDescent="0.3">
      <c r="B112" t="s">
        <v>139</v>
      </c>
      <c r="C112">
        <v>302440</v>
      </c>
    </row>
    <row r="113" spans="2:3" x14ac:dyDescent="0.3">
      <c r="B113" t="s">
        <v>141</v>
      </c>
      <c r="C113">
        <v>11780</v>
      </c>
    </row>
    <row r="114" spans="2:3" x14ac:dyDescent="0.3">
      <c r="B114" t="s">
        <v>136</v>
      </c>
      <c r="C114">
        <v>35250</v>
      </c>
    </row>
    <row r="115" spans="2:3" x14ac:dyDescent="0.3">
      <c r="B115" t="s">
        <v>142</v>
      </c>
      <c r="C115">
        <v>36460</v>
      </c>
    </row>
    <row r="116" spans="2:3" x14ac:dyDescent="0.3">
      <c r="B116" t="s">
        <v>157</v>
      </c>
      <c r="C116">
        <v>11170</v>
      </c>
    </row>
    <row r="117" spans="2:3" x14ac:dyDescent="0.3">
      <c r="B117" t="s">
        <v>143</v>
      </c>
      <c r="C117">
        <v>111770</v>
      </c>
    </row>
    <row r="118" spans="2:3" x14ac:dyDescent="0.3">
      <c r="B118" t="s">
        <v>145</v>
      </c>
      <c r="C118">
        <v>17800</v>
      </c>
    </row>
    <row r="119" spans="2:3" x14ac:dyDescent="0.3">
      <c r="B119" t="s">
        <v>149</v>
      </c>
      <c r="C119">
        <v>103140</v>
      </c>
    </row>
    <row r="120" spans="2:3" x14ac:dyDescent="0.3">
      <c r="B120" t="s">
        <v>150</v>
      </c>
      <c r="C120">
        <v>18880</v>
      </c>
    </row>
    <row r="121" spans="2:3" x14ac:dyDescent="0.3">
      <c r="B121" t="s">
        <v>155</v>
      </c>
      <c r="C121">
        <v>97950</v>
      </c>
    </row>
    <row r="122" spans="2:3" x14ac:dyDescent="0.3">
      <c r="B122" t="s">
        <v>158</v>
      </c>
      <c r="C122">
        <v>4990</v>
      </c>
    </row>
    <row r="123" spans="2:3" x14ac:dyDescent="0.3">
      <c r="B123" t="s">
        <v>167</v>
      </c>
      <c r="C123">
        <v>457190</v>
      </c>
    </row>
    <row r="124" spans="2:3" x14ac:dyDescent="0.3">
      <c r="B124" t="s">
        <v>156</v>
      </c>
      <c r="C124">
        <v>71970</v>
      </c>
    </row>
    <row r="125" spans="2:3" x14ac:dyDescent="0.3">
      <c r="B125" t="s">
        <v>147</v>
      </c>
      <c r="C125">
        <v>204320</v>
      </c>
    </row>
    <row r="126" spans="2:3" x14ac:dyDescent="0.3">
      <c r="B126" t="s">
        <v>169</v>
      </c>
      <c r="C126">
        <v>88350</v>
      </c>
    </row>
    <row r="127" spans="2:3" x14ac:dyDescent="0.3">
      <c r="B127" t="s">
        <v>160</v>
      </c>
      <c r="C127">
        <v>14680</v>
      </c>
    </row>
    <row r="128" spans="2:3" x14ac:dyDescent="0.3">
      <c r="B128" t="s">
        <v>161</v>
      </c>
      <c r="C128">
        <v>12750</v>
      </c>
    </row>
    <row r="129" spans="2:3" x14ac:dyDescent="0.3">
      <c r="B129" t="s">
        <v>195</v>
      </c>
      <c r="C129">
        <v>9420</v>
      </c>
    </row>
    <row r="130" spans="2:3" x14ac:dyDescent="0.3">
      <c r="B130" t="s">
        <v>173</v>
      </c>
      <c r="C130">
        <v>8930</v>
      </c>
    </row>
    <row r="131" spans="2:3" x14ac:dyDescent="0.3">
      <c r="B131" t="s">
        <v>168</v>
      </c>
      <c r="C131">
        <v>4170</v>
      </c>
    </row>
    <row r="132" spans="2:3" x14ac:dyDescent="0.3">
      <c r="B132" t="s">
        <v>152</v>
      </c>
      <c r="C132">
        <v>5850</v>
      </c>
    </row>
    <row r="133" spans="2:3" x14ac:dyDescent="0.3">
      <c r="B133" t="s">
        <v>174</v>
      </c>
      <c r="C133">
        <v>51600</v>
      </c>
    </row>
    <row r="134" spans="2:3" x14ac:dyDescent="0.3">
      <c r="B134" t="s">
        <v>180</v>
      </c>
      <c r="C134">
        <v>26960</v>
      </c>
    </row>
    <row r="135" spans="2:3" x14ac:dyDescent="0.3">
      <c r="B135" t="s">
        <v>181</v>
      </c>
      <c r="C135">
        <v>9970</v>
      </c>
    </row>
    <row r="136" spans="2:3" x14ac:dyDescent="0.3">
      <c r="B136" t="s">
        <v>183</v>
      </c>
      <c r="C136">
        <v>383220</v>
      </c>
    </row>
    <row r="137" spans="2:3" x14ac:dyDescent="0.3">
      <c r="B137" t="s">
        <v>179</v>
      </c>
      <c r="C137">
        <v>240</v>
      </c>
    </row>
    <row r="138" spans="2:3" x14ac:dyDescent="0.3">
      <c r="B138" t="s">
        <v>188</v>
      </c>
      <c r="C138">
        <v>1450</v>
      </c>
    </row>
    <row r="139" spans="2:3" x14ac:dyDescent="0.3">
      <c r="B139" t="s">
        <v>171</v>
      </c>
      <c r="C139">
        <v>1430</v>
      </c>
    </row>
    <row r="140" spans="2:3" x14ac:dyDescent="0.3">
      <c r="B140" t="s">
        <v>187</v>
      </c>
      <c r="C140">
        <v>4370</v>
      </c>
    </row>
    <row r="141" spans="2:3" x14ac:dyDescent="0.3">
      <c r="B141" t="s">
        <v>196</v>
      </c>
      <c r="C141">
        <v>28670</v>
      </c>
    </row>
    <row r="142" spans="2:3" x14ac:dyDescent="0.3">
      <c r="B142" t="s">
        <v>199</v>
      </c>
      <c r="C142">
        <v>139480</v>
      </c>
    </row>
    <row r="143" spans="2:3" x14ac:dyDescent="0.3">
      <c r="B143" t="s">
        <v>192</v>
      </c>
      <c r="C143">
        <v>30000</v>
      </c>
    </row>
    <row r="144" spans="2:3" x14ac:dyDescent="0.3">
      <c r="B144" t="s">
        <v>197</v>
      </c>
      <c r="C144">
        <v>81660</v>
      </c>
    </row>
    <row r="145" spans="2:3" x14ac:dyDescent="0.3">
      <c r="B145" t="s">
        <v>201</v>
      </c>
      <c r="C145">
        <v>139130</v>
      </c>
    </row>
    <row r="146" spans="2:3" x14ac:dyDescent="0.3">
      <c r="B146" t="s">
        <v>172</v>
      </c>
      <c r="C146">
        <v>11210</v>
      </c>
    </row>
    <row r="147" spans="2:3" x14ac:dyDescent="0.3">
      <c r="B147" t="s">
        <v>215</v>
      </c>
      <c r="C147">
        <v>2790</v>
      </c>
    </row>
    <row r="148" spans="2:3" x14ac:dyDescent="0.3">
      <c r="B148" t="s">
        <v>207</v>
      </c>
      <c r="C148">
        <v>10060</v>
      </c>
    </row>
    <row r="149" spans="2:3" x14ac:dyDescent="0.3">
      <c r="B149" t="s">
        <v>202</v>
      </c>
      <c r="C149">
        <v>120</v>
      </c>
    </row>
    <row r="150" spans="2:3" x14ac:dyDescent="0.3">
      <c r="B150" t="s">
        <v>219</v>
      </c>
      <c r="C150">
        <v>361610</v>
      </c>
    </row>
    <row r="151" spans="2:3" x14ac:dyDescent="0.3">
      <c r="B151" t="s">
        <v>213</v>
      </c>
      <c r="C151">
        <v>192820</v>
      </c>
    </row>
    <row r="152" spans="2:3" x14ac:dyDescent="0.3">
      <c r="B152" t="s">
        <v>208</v>
      </c>
      <c r="C152">
        <v>23530</v>
      </c>
    </row>
    <row r="153" spans="2:3" x14ac:dyDescent="0.3">
      <c r="B153" t="s">
        <v>216</v>
      </c>
      <c r="C153">
        <v>47040</v>
      </c>
    </row>
    <row r="154" spans="2:3" x14ac:dyDescent="0.3">
      <c r="B154" t="s">
        <v>218</v>
      </c>
      <c r="C154">
        <v>282330</v>
      </c>
    </row>
    <row r="155" spans="2:3" x14ac:dyDescent="0.3">
      <c r="B155" t="s">
        <v>237</v>
      </c>
      <c r="C155">
        <v>6280</v>
      </c>
    </row>
    <row r="156" spans="2:3" x14ac:dyDescent="0.3">
      <c r="B156" t="s">
        <v>211</v>
      </c>
      <c r="C156">
        <v>69960</v>
      </c>
    </row>
    <row r="157" spans="2:3" x14ac:dyDescent="0.3">
      <c r="B157" t="s">
        <v>225</v>
      </c>
      <c r="C157">
        <v>69620</v>
      </c>
    </row>
    <row r="158" spans="2:3" x14ac:dyDescent="0.3">
      <c r="B158" t="s">
        <v>235</v>
      </c>
      <c r="C158">
        <v>6040</v>
      </c>
    </row>
    <row r="159" spans="2:3" x14ac:dyDescent="0.3">
      <c r="B159" t="s">
        <v>226</v>
      </c>
      <c r="C159">
        <v>17960</v>
      </c>
    </row>
    <row r="160" spans="2:3" x14ac:dyDescent="0.3">
      <c r="B160" t="s">
        <v>234</v>
      </c>
      <c r="C160">
        <v>8770</v>
      </c>
    </row>
    <row r="161" spans="2:3" x14ac:dyDescent="0.3">
      <c r="B161" t="s">
        <v>240</v>
      </c>
      <c r="C161">
        <v>7070</v>
      </c>
    </row>
    <row r="162" spans="2:3" x14ac:dyDescent="0.3">
      <c r="B162" t="s">
        <v>232</v>
      </c>
      <c r="C162">
        <v>73240</v>
      </c>
    </row>
    <row r="163" spans="2:3" x14ac:dyDescent="0.3">
      <c r="B163" t="s">
        <v>243</v>
      </c>
      <c r="C163">
        <v>375500</v>
      </c>
    </row>
    <row r="164" spans="2:3" x14ac:dyDescent="0.3">
      <c r="B164" t="s">
        <v>239</v>
      </c>
      <c r="C164">
        <v>298020</v>
      </c>
    </row>
    <row r="165" spans="2:3" x14ac:dyDescent="0.3">
      <c r="B165" t="s">
        <v>245</v>
      </c>
      <c r="C165">
        <v>112610</v>
      </c>
    </row>
    <row r="166" spans="2:3" x14ac:dyDescent="0.3">
      <c r="B166" t="s">
        <v>248</v>
      </c>
      <c r="C166">
        <v>6360</v>
      </c>
    </row>
    <row r="167" spans="2:3" x14ac:dyDescent="0.3">
      <c r="B167" t="s">
        <v>253</v>
      </c>
      <c r="C167">
        <v>161890</v>
      </c>
    </row>
    <row r="168" spans="2:3" x14ac:dyDescent="0.3">
      <c r="B168" t="s">
        <v>252</v>
      </c>
      <c r="C168">
        <v>7310</v>
      </c>
    </row>
    <row r="169" spans="2:3" x14ac:dyDescent="0.3">
      <c r="B169" t="s">
        <v>250</v>
      </c>
      <c r="C169">
        <v>34230</v>
      </c>
    </row>
    <row r="170" spans="2:3" x14ac:dyDescent="0.3">
      <c r="B170" t="s">
        <v>259</v>
      </c>
      <c r="C170">
        <v>7340</v>
      </c>
    </row>
    <row r="171" spans="2:3" x14ac:dyDescent="0.3">
      <c r="B171" t="s">
        <v>285</v>
      </c>
      <c r="C171">
        <v>120110</v>
      </c>
    </row>
    <row r="172" spans="2:3" x14ac:dyDescent="0.3">
      <c r="B172" t="s">
        <v>277</v>
      </c>
      <c r="C172">
        <v>3090</v>
      </c>
    </row>
    <row r="173" spans="2:3" x14ac:dyDescent="0.3">
      <c r="B173" t="s">
        <v>275</v>
      </c>
      <c r="C173">
        <v>1800</v>
      </c>
    </row>
    <row r="174" spans="2:3" x14ac:dyDescent="0.3">
      <c r="B174" t="s">
        <v>282</v>
      </c>
      <c r="C174">
        <v>80</v>
      </c>
    </row>
    <row r="175" spans="2:3" x14ac:dyDescent="0.3">
      <c r="B175" t="s">
        <v>295</v>
      </c>
      <c r="C175">
        <v>4000</v>
      </c>
    </row>
    <row r="176" spans="2:3" x14ac:dyDescent="0.3">
      <c r="B176" t="s">
        <v>287</v>
      </c>
      <c r="C176">
        <v>300720</v>
      </c>
    </row>
    <row r="177" spans="2:3" x14ac:dyDescent="0.3">
      <c r="B177" t="s">
        <v>326</v>
      </c>
      <c r="C177">
        <v>298050</v>
      </c>
    </row>
    <row r="178" spans="2:3" x14ac:dyDescent="0.3">
      <c r="B178" t="s">
        <v>289</v>
      </c>
      <c r="C178">
        <v>5300</v>
      </c>
    </row>
    <row r="179" spans="2:3" x14ac:dyDescent="0.3">
      <c r="B179" t="s">
        <v>298</v>
      </c>
      <c r="C179">
        <v>185750</v>
      </c>
    </row>
    <row r="180" spans="2:3" x14ac:dyDescent="0.3">
      <c r="B180" t="s">
        <v>300</v>
      </c>
      <c r="C180">
        <v>285130</v>
      </c>
    </row>
    <row r="181" spans="2:3" x14ac:dyDescent="0.3">
      <c r="B181" t="s">
        <v>279</v>
      </c>
      <c r="C181">
        <v>71320</v>
      </c>
    </row>
    <row r="182" spans="2:3" x14ac:dyDescent="0.3">
      <c r="B182" t="s">
        <v>306</v>
      </c>
      <c r="C182">
        <v>192080</v>
      </c>
    </row>
    <row r="183" spans="2:3" x14ac:dyDescent="0.3">
      <c r="B183" t="s">
        <v>329</v>
      </c>
      <c r="C183">
        <v>670</v>
      </c>
    </row>
    <row r="184" spans="2:3" x14ac:dyDescent="0.3">
      <c r="B184" t="s">
        <v>320</v>
      </c>
      <c r="C184">
        <v>137310</v>
      </c>
    </row>
    <row r="185" spans="2:3" x14ac:dyDescent="0.3">
      <c r="B185" t="s">
        <v>314</v>
      </c>
      <c r="C185">
        <v>6650</v>
      </c>
    </row>
    <row r="186" spans="2:3" x14ac:dyDescent="0.3">
      <c r="B186" t="s">
        <v>315</v>
      </c>
      <c r="C186">
        <v>280360</v>
      </c>
    </row>
    <row r="187" spans="2:3" x14ac:dyDescent="0.3">
      <c r="B187" t="s">
        <v>309</v>
      </c>
      <c r="C187">
        <v>9240</v>
      </c>
    </row>
    <row r="188" spans="2:3" x14ac:dyDescent="0.3">
      <c r="B188" t="s">
        <v>349</v>
      </c>
      <c r="C188">
        <v>3240</v>
      </c>
    </row>
    <row r="189" spans="2:3" x14ac:dyDescent="0.3">
      <c r="B189" t="s">
        <v>338</v>
      </c>
      <c r="C189">
        <v>4490</v>
      </c>
    </row>
    <row r="190" spans="2:3" x14ac:dyDescent="0.3">
      <c r="B190" t="s">
        <v>363</v>
      </c>
      <c r="C190">
        <v>93370</v>
      </c>
    </row>
    <row r="191" spans="2:3" x14ac:dyDescent="0.3">
      <c r="B191" t="s">
        <v>373</v>
      </c>
      <c r="C191">
        <v>210</v>
      </c>
    </row>
    <row r="192" spans="2:3" x14ac:dyDescent="0.3">
      <c r="B192" t="s">
        <v>389</v>
      </c>
      <c r="C192">
        <v>14820</v>
      </c>
    </row>
    <row r="193" spans="2:3" x14ac:dyDescent="0.3">
      <c r="B193" t="s">
        <v>377</v>
      </c>
      <c r="C193">
        <v>69260</v>
      </c>
    </row>
    <row r="194" spans="2:3" x14ac:dyDescent="0.3">
      <c r="B194" t="s">
        <v>359</v>
      </c>
      <c r="C194">
        <v>114090</v>
      </c>
    </row>
    <row r="195" spans="2:3" x14ac:dyDescent="0.3">
      <c r="B195" t="s">
        <v>379</v>
      </c>
      <c r="C195">
        <v>1680</v>
      </c>
    </row>
    <row r="196" spans="2:3" x14ac:dyDescent="0.3">
      <c r="B196" t="s">
        <v>397</v>
      </c>
      <c r="C196">
        <v>5250</v>
      </c>
    </row>
    <row r="197" spans="2:3" x14ac:dyDescent="0.3">
      <c r="B197" t="s">
        <v>405</v>
      </c>
      <c r="C197">
        <v>8730</v>
      </c>
    </row>
    <row r="198" spans="2:3" x14ac:dyDescent="0.3">
      <c r="B198" t="s">
        <v>396</v>
      </c>
      <c r="C198">
        <v>268280</v>
      </c>
    </row>
    <row r="199" spans="2:3" x14ac:dyDescent="0.3">
      <c r="B199" t="s">
        <v>400</v>
      </c>
      <c r="C199">
        <v>2840</v>
      </c>
    </row>
    <row r="200" spans="2:3" x14ac:dyDescent="0.3">
      <c r="B200" t="s">
        <v>451</v>
      </c>
      <c r="C200">
        <v>5420</v>
      </c>
    </row>
    <row r="201" spans="2:3" x14ac:dyDescent="0.3">
      <c r="B201" t="s">
        <v>438</v>
      </c>
      <c r="C201">
        <v>2030</v>
      </c>
    </row>
    <row r="202" spans="2:3" x14ac:dyDescent="0.3">
      <c r="B202" t="s">
        <v>474</v>
      </c>
      <c r="C202">
        <v>3030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넥스트레이드 실시간</vt:lpstr>
      <vt:lpstr>코스피200종목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2026-01-21T23:55:35Z</dcterms:created>
  <dcterms:modified xsi:type="dcterms:W3CDTF">2026-02-02T00:14:07Z</dcterms:modified>
</cp:coreProperties>
</file>