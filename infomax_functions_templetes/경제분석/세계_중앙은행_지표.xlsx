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480" yWindow="105" windowWidth="18240" windowHeight="11880"/>
  </bookViews>
  <sheets>
    <sheet name="Global Central Bank Monitor" sheetId="2" r:id="rId1"/>
    <sheet name="RAW_정책금리" sheetId="4" state="hidden" r:id="rId2"/>
  </sheets>
  <calcPr calcId="145621"/>
</workbook>
</file>

<file path=xl/calcChain.xml><?xml version="1.0" encoding="utf-8"?>
<calcChain xmlns="http://schemas.openxmlformats.org/spreadsheetml/2006/main">
  <c r="A15" i="4" l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AP15" i="4"/>
  <c r="AL15" i="4"/>
  <c r="AH15" i="4"/>
  <c r="AD15" i="4"/>
  <c r="Z15" i="4"/>
  <c r="V15" i="4"/>
  <c r="R15" i="4"/>
  <c r="N15" i="4"/>
  <c r="J15" i="4"/>
  <c r="F15" i="4"/>
  <c r="AP14" i="4"/>
  <c r="AL14" i="4"/>
  <c r="AH14" i="4"/>
  <c r="AD14" i="4"/>
  <c r="Z14" i="4"/>
  <c r="V14" i="4"/>
  <c r="R14" i="4"/>
  <c r="N14" i="4"/>
  <c r="J14" i="4"/>
  <c r="F14" i="4"/>
  <c r="B14" i="4"/>
  <c r="AM13" i="4"/>
  <c r="AI13" i="4"/>
  <c r="AE13" i="4"/>
  <c r="AA13" i="4"/>
  <c r="W13" i="4"/>
  <c r="S13" i="4"/>
  <c r="O13" i="4"/>
  <c r="K13" i="4"/>
  <c r="G13" i="4"/>
  <c r="C13" i="4"/>
  <c r="AN12" i="4"/>
  <c r="AJ12" i="4"/>
  <c r="AF12" i="4"/>
  <c r="AB12" i="4"/>
  <c r="X12" i="4"/>
  <c r="T12" i="4"/>
  <c r="P12" i="4"/>
  <c r="L12" i="4"/>
  <c r="H12" i="4"/>
  <c r="D12" i="4"/>
  <c r="AO11" i="4"/>
  <c r="AK11" i="4"/>
  <c r="AG11" i="4"/>
  <c r="AC11" i="4"/>
  <c r="Y11" i="4"/>
  <c r="U11" i="4"/>
  <c r="Q11" i="4"/>
  <c r="M11" i="4"/>
  <c r="I11" i="4"/>
  <c r="E11" i="4"/>
  <c r="AP10" i="4"/>
  <c r="AL10" i="4"/>
  <c r="AH10" i="4"/>
  <c r="AD10" i="4"/>
  <c r="Z10" i="4"/>
  <c r="V10" i="4"/>
  <c r="R10" i="4"/>
  <c r="N10" i="4"/>
  <c r="J10" i="4"/>
  <c r="F10" i="4"/>
  <c r="B10" i="4"/>
  <c r="AM9" i="4"/>
  <c r="AI9" i="4"/>
  <c r="AE9" i="4"/>
  <c r="AA9" i="4"/>
  <c r="W9" i="4"/>
  <c r="S9" i="4"/>
  <c r="O9" i="4"/>
  <c r="K9" i="4"/>
  <c r="G9" i="4"/>
  <c r="C9" i="4"/>
  <c r="AN8" i="4"/>
  <c r="AJ8" i="4"/>
  <c r="AF8" i="4"/>
  <c r="AB8" i="4"/>
  <c r="X8" i="4"/>
  <c r="T8" i="4"/>
  <c r="P8" i="4"/>
  <c r="L8" i="4"/>
  <c r="H8" i="4"/>
  <c r="AO15" i="4"/>
  <c r="AK15" i="4"/>
  <c r="AG15" i="4"/>
  <c r="AC15" i="4"/>
  <c r="Y15" i="4"/>
  <c r="U15" i="4"/>
  <c r="Q15" i="4"/>
  <c r="M15" i="4"/>
  <c r="I15" i="4"/>
  <c r="E15" i="4"/>
  <c r="AO14" i="4"/>
  <c r="AK14" i="4"/>
  <c r="AG14" i="4"/>
  <c r="AC14" i="4"/>
  <c r="Y14" i="4"/>
  <c r="U14" i="4"/>
  <c r="Q14" i="4"/>
  <c r="M14" i="4"/>
  <c r="I14" i="4"/>
  <c r="E14" i="4"/>
  <c r="AP13" i="4"/>
  <c r="AL13" i="4"/>
  <c r="AH13" i="4"/>
  <c r="AD13" i="4"/>
  <c r="Z13" i="4"/>
  <c r="V13" i="4"/>
  <c r="R13" i="4"/>
  <c r="N13" i="4"/>
  <c r="J13" i="4"/>
  <c r="F13" i="4"/>
  <c r="B13" i="4"/>
  <c r="AM12" i="4"/>
  <c r="AI12" i="4"/>
  <c r="AE12" i="4"/>
  <c r="AA12" i="4"/>
  <c r="W12" i="4"/>
  <c r="S12" i="4"/>
  <c r="O12" i="4"/>
  <c r="K12" i="4"/>
  <c r="G12" i="4"/>
  <c r="C12" i="4"/>
  <c r="AN11" i="4"/>
  <c r="AJ11" i="4"/>
  <c r="AF11" i="4"/>
  <c r="AB11" i="4"/>
  <c r="X11" i="4"/>
  <c r="T11" i="4"/>
  <c r="P11" i="4"/>
  <c r="L11" i="4"/>
  <c r="H11" i="4"/>
  <c r="D11" i="4"/>
  <c r="AO10" i="4"/>
  <c r="AK10" i="4"/>
  <c r="AG10" i="4"/>
  <c r="AC10" i="4"/>
  <c r="AN15" i="4"/>
  <c r="AJ15" i="4"/>
  <c r="AF15" i="4"/>
  <c r="AB15" i="4"/>
  <c r="X15" i="4"/>
  <c r="T15" i="4"/>
  <c r="P15" i="4"/>
  <c r="L15" i="4"/>
  <c r="H15" i="4"/>
  <c r="D15" i="4"/>
  <c r="AN14" i="4"/>
  <c r="AJ14" i="4"/>
  <c r="AF14" i="4"/>
  <c r="AB14" i="4"/>
  <c r="X14" i="4"/>
  <c r="T14" i="4"/>
  <c r="P14" i="4"/>
  <c r="L14" i="4"/>
  <c r="H14" i="4"/>
  <c r="D14" i="4"/>
  <c r="AO13" i="4"/>
  <c r="AK13" i="4"/>
  <c r="AG13" i="4"/>
  <c r="AC13" i="4"/>
  <c r="Y13" i="4"/>
  <c r="U13" i="4"/>
  <c r="Q13" i="4"/>
  <c r="M13" i="4"/>
  <c r="I13" i="4"/>
  <c r="E13" i="4"/>
  <c r="AP12" i="4"/>
  <c r="AL12" i="4"/>
  <c r="AH12" i="4"/>
  <c r="AD12" i="4"/>
  <c r="Z12" i="4"/>
  <c r="V12" i="4"/>
  <c r="R12" i="4"/>
  <c r="N12" i="4"/>
  <c r="J12" i="4"/>
  <c r="F12" i="4"/>
  <c r="B12" i="4"/>
  <c r="AM11" i="4"/>
  <c r="AI11" i="4"/>
  <c r="AE11" i="4"/>
  <c r="AA11" i="4"/>
  <c r="W11" i="4"/>
  <c r="S11" i="4"/>
  <c r="AM15" i="4"/>
  <c r="AI15" i="4"/>
  <c r="AE15" i="4"/>
  <c r="AA15" i="4"/>
  <c r="W15" i="4"/>
  <c r="S15" i="4"/>
  <c r="O15" i="4"/>
  <c r="K15" i="4"/>
  <c r="G15" i="4"/>
  <c r="C15" i="4"/>
  <c r="AM14" i="4"/>
  <c r="AI14" i="4"/>
  <c r="AE14" i="4"/>
  <c r="AA14" i="4"/>
  <c r="W14" i="4"/>
  <c r="S14" i="4"/>
  <c r="O14" i="4"/>
  <c r="K14" i="4"/>
  <c r="G14" i="4"/>
  <c r="C14" i="4"/>
  <c r="AN13" i="4"/>
  <c r="AJ13" i="4"/>
  <c r="AF13" i="4"/>
  <c r="AB13" i="4"/>
  <c r="X13" i="4"/>
  <c r="T13" i="4"/>
  <c r="P13" i="4"/>
  <c r="L13" i="4"/>
  <c r="H13" i="4"/>
  <c r="D13" i="4"/>
  <c r="AO12" i="4"/>
  <c r="AK12" i="4"/>
  <c r="AG12" i="4"/>
  <c r="AC12" i="4"/>
  <c r="Y12" i="4"/>
  <c r="U12" i="4"/>
  <c r="Q12" i="4"/>
  <c r="M12" i="4"/>
  <c r="I12" i="4"/>
  <c r="E12" i="4"/>
  <c r="AP11" i="4"/>
  <c r="AL11" i="4"/>
  <c r="AH11" i="4"/>
  <c r="AD11" i="4"/>
  <c r="Z11" i="4"/>
  <c r="V11" i="4"/>
  <c r="R11" i="4"/>
  <c r="N11" i="4"/>
  <c r="J11" i="4"/>
  <c r="F11" i="4"/>
  <c r="B11" i="4"/>
  <c r="AM10" i="4"/>
  <c r="AI10" i="4"/>
  <c r="AE10" i="4"/>
  <c r="AA10" i="4"/>
  <c r="W10" i="4"/>
  <c r="S10" i="4"/>
  <c r="O10" i="4"/>
  <c r="K10" i="4"/>
  <c r="G10" i="4"/>
  <c r="C10" i="4"/>
  <c r="AN9" i="4"/>
  <c r="AJ9" i="4"/>
  <c r="AF9" i="4"/>
  <c r="AB9" i="4"/>
  <c r="X9" i="4"/>
  <c r="T9" i="4"/>
  <c r="P9" i="4"/>
  <c r="L9" i="4"/>
  <c r="H9" i="4"/>
  <c r="D9" i="4"/>
  <c r="AO8" i="4"/>
  <c r="AK8" i="4"/>
  <c r="AG8" i="4"/>
  <c r="AC8" i="4"/>
  <c r="Y8" i="4"/>
  <c r="U8" i="4"/>
  <c r="Q8" i="4"/>
  <c r="M8" i="4"/>
  <c r="I8" i="4"/>
  <c r="E8" i="4"/>
  <c r="AP7" i="4"/>
  <c r="AL7" i="4"/>
  <c r="AH7" i="4"/>
  <c r="AD7" i="4"/>
  <c r="Z7" i="4"/>
  <c r="V7" i="4"/>
  <c r="R7" i="4"/>
  <c r="N7" i="4"/>
  <c r="J7" i="4"/>
  <c r="F7" i="4"/>
  <c r="B7" i="4"/>
  <c r="AM6" i="4"/>
  <c r="AI6" i="4"/>
  <c r="AE6" i="4"/>
  <c r="AA6" i="4"/>
  <c r="W6" i="4"/>
  <c r="S6" i="4"/>
  <c r="O6" i="4"/>
  <c r="K6" i="4"/>
  <c r="G6" i="4"/>
  <c r="C6" i="4"/>
  <c r="AN5" i="4"/>
  <c r="AJ5" i="4"/>
  <c r="AF5" i="4"/>
  <c r="AB5" i="4"/>
  <c r="X5" i="4"/>
  <c r="T5" i="4"/>
  <c r="P5" i="4"/>
  <c r="L5" i="4"/>
  <c r="H5" i="4"/>
  <c r="D5" i="4"/>
  <c r="AO4" i="4"/>
  <c r="AK4" i="4"/>
  <c r="AG4" i="4"/>
  <c r="AC4" i="4"/>
  <c r="Y4" i="4"/>
  <c r="U4" i="4"/>
  <c r="Q4" i="4"/>
  <c r="M4" i="4"/>
  <c r="I4" i="4"/>
  <c r="E4" i="4"/>
  <c r="AP3" i="4"/>
  <c r="AL3" i="4"/>
  <c r="AH3" i="4"/>
  <c r="AD3" i="4"/>
  <c r="Z3" i="4"/>
  <c r="O11" i="4"/>
  <c r="AN10" i="4"/>
  <c r="Y10" i="4"/>
  <c r="Q10" i="4"/>
  <c r="I10" i="4"/>
  <c r="AP9" i="4"/>
  <c r="AH9" i="4"/>
  <c r="Z9" i="4"/>
  <c r="R9" i="4"/>
  <c r="J9" i="4"/>
  <c r="B9" i="4"/>
  <c r="AI8" i="4"/>
  <c r="AA8" i="4"/>
  <c r="S8" i="4"/>
  <c r="K8" i="4"/>
  <c r="D8" i="4"/>
  <c r="AN7" i="4"/>
  <c r="AI7" i="4"/>
  <c r="AC7" i="4"/>
  <c r="X7" i="4"/>
  <c r="S7" i="4"/>
  <c r="M7" i="4"/>
  <c r="H7" i="4"/>
  <c r="C7" i="4"/>
  <c r="AL6" i="4"/>
  <c r="AG6" i="4"/>
  <c r="AB6" i="4"/>
  <c r="V6" i="4"/>
  <c r="Q6" i="4"/>
  <c r="L6" i="4"/>
  <c r="F6" i="4"/>
  <c r="AP5" i="4"/>
  <c r="AK5" i="4"/>
  <c r="AE5" i="4"/>
  <c r="Z5" i="4"/>
  <c r="U5" i="4"/>
  <c r="O5" i="4"/>
  <c r="J5" i="4"/>
  <c r="E5" i="4"/>
  <c r="AN4" i="4"/>
  <c r="AI4" i="4"/>
  <c r="AD4" i="4"/>
  <c r="X4" i="4"/>
  <c r="S4" i="4"/>
  <c r="N4" i="4"/>
  <c r="H4" i="4"/>
  <c r="C4" i="4"/>
  <c r="AM3" i="4"/>
  <c r="AG3" i="4"/>
  <c r="AB3" i="4"/>
  <c r="S3" i="4"/>
  <c r="K3" i="4"/>
  <c r="C3" i="4"/>
  <c r="P7" i="4"/>
  <c r="N6" i="4"/>
  <c r="AH5" i="4"/>
  <c r="R5" i="4"/>
  <c r="B5" i="4"/>
  <c r="AA4" i="4"/>
  <c r="K4" i="4"/>
  <c r="AJ3" i="4"/>
  <c r="Q3" i="4"/>
  <c r="E3" i="4"/>
  <c r="K11" i="4"/>
  <c r="AJ10" i="4"/>
  <c r="X10" i="4"/>
  <c r="P10" i="4"/>
  <c r="H10" i="4"/>
  <c r="AO9" i="4"/>
  <c r="AG9" i="4"/>
  <c r="Y9" i="4"/>
  <c r="Q9" i="4"/>
  <c r="I9" i="4"/>
  <c r="AP8" i="4"/>
  <c r="AH8" i="4"/>
  <c r="Z8" i="4"/>
  <c r="R8" i="4"/>
  <c r="J8" i="4"/>
  <c r="C8" i="4"/>
  <c r="AM7" i="4"/>
  <c r="AG7" i="4"/>
  <c r="AB7" i="4"/>
  <c r="W7" i="4"/>
  <c r="Q7" i="4"/>
  <c r="L7" i="4"/>
  <c r="G7" i="4"/>
  <c r="AP6" i="4"/>
  <c r="AK6" i="4"/>
  <c r="AF6" i="4"/>
  <c r="Z6" i="4"/>
  <c r="U6" i="4"/>
  <c r="P6" i="4"/>
  <c r="J6" i="4"/>
  <c r="E6" i="4"/>
  <c r="AO5" i="4"/>
  <c r="AI5" i="4"/>
  <c r="AD5" i="4"/>
  <c r="Y5" i="4"/>
  <c r="S5" i="4"/>
  <c r="N5" i="4"/>
  <c r="I5" i="4"/>
  <c r="C5" i="4"/>
  <c r="AM4" i="4"/>
  <c r="AH4" i="4"/>
  <c r="AB4" i="4"/>
  <c r="W4" i="4"/>
  <c r="R4" i="4"/>
  <c r="L4" i="4"/>
  <c r="G4" i="4"/>
  <c r="B4" i="4"/>
  <c r="AK3" i="4"/>
  <c r="AF3" i="4"/>
  <c r="AA3" i="4"/>
  <c r="V3" i="4"/>
  <c r="R3" i="4"/>
  <c r="N3" i="4"/>
  <c r="J3" i="4"/>
  <c r="F3" i="4"/>
  <c r="B3" i="4"/>
  <c r="AM8" i="4"/>
  <c r="AK7" i="4"/>
  <c r="U7" i="4"/>
  <c r="E7" i="4"/>
  <c r="AJ6" i="4"/>
  <c r="Y6" i="4"/>
  <c r="I6" i="4"/>
  <c r="AM5" i="4"/>
  <c r="W5" i="4"/>
  <c r="G5" i="4"/>
  <c r="AF4" i="4"/>
  <c r="P4" i="4"/>
  <c r="AO3" i="4"/>
  <c r="Y3" i="4"/>
  <c r="M3" i="4"/>
  <c r="G11" i="4"/>
  <c r="AF10" i="4"/>
  <c r="U10" i="4"/>
  <c r="M10" i="4"/>
  <c r="E10" i="4"/>
  <c r="AL9" i="4"/>
  <c r="AD9" i="4"/>
  <c r="V9" i="4"/>
  <c r="N9" i="4"/>
  <c r="F9" i="4"/>
  <c r="AE8" i="4"/>
  <c r="W8" i="4"/>
  <c r="O8" i="4"/>
  <c r="G8" i="4"/>
  <c r="B8" i="4"/>
  <c r="AF7" i="4"/>
  <c r="K7" i="4"/>
  <c r="AO6" i="4"/>
  <c r="AD6" i="4"/>
  <c r="C11" i="4"/>
  <c r="AB10" i="4"/>
  <c r="T10" i="4"/>
  <c r="L10" i="4"/>
  <c r="D10" i="4"/>
  <c r="AK9" i="4"/>
  <c r="AC9" i="4"/>
  <c r="U9" i="4"/>
  <c r="M9" i="4"/>
  <c r="E9" i="4"/>
  <c r="AL8" i="4"/>
  <c r="AD8" i="4"/>
  <c r="V8" i="4"/>
  <c r="N8" i="4"/>
  <c r="F8" i="4"/>
  <c r="AO7" i="4"/>
  <c r="AJ7" i="4"/>
  <c r="AE7" i="4"/>
  <c r="Y7" i="4"/>
  <c r="T7" i="4"/>
  <c r="O7" i="4"/>
  <c r="I7" i="4"/>
  <c r="D7" i="4"/>
  <c r="AN6" i="4"/>
  <c r="AH6" i="4"/>
  <c r="AC6" i="4"/>
  <c r="X6" i="4"/>
  <c r="R6" i="4"/>
  <c r="M6" i="4"/>
  <c r="H6" i="4"/>
  <c r="B6" i="4"/>
  <c r="AL5" i="4"/>
  <c r="AG5" i="4"/>
  <c r="AA5" i="4"/>
  <c r="V5" i="4"/>
  <c r="Q5" i="4"/>
  <c r="K5" i="4"/>
  <c r="F5" i="4"/>
  <c r="AP4" i="4"/>
  <c r="AJ4" i="4"/>
  <c r="AE4" i="4"/>
  <c r="Z4" i="4"/>
  <c r="T4" i="4"/>
  <c r="O4" i="4"/>
  <c r="J4" i="4"/>
  <c r="D4" i="4"/>
  <c r="AN3" i="4"/>
  <c r="AI3" i="4"/>
  <c r="AC3" i="4"/>
  <c r="X3" i="4"/>
  <c r="T3" i="4"/>
  <c r="P3" i="4"/>
  <c r="L3" i="4"/>
  <c r="H3" i="4"/>
  <c r="D3" i="4"/>
  <c r="W3" i="4"/>
  <c r="O3" i="4"/>
  <c r="G3" i="4"/>
  <c r="AA7" i="4"/>
  <c r="T6" i="4"/>
  <c r="D6" i="4"/>
  <c r="AC5" i="4"/>
  <c r="M5" i="4"/>
  <c r="AL4" i="4"/>
  <c r="V4" i="4"/>
  <c r="F4" i="4"/>
  <c r="AE3" i="4"/>
  <c r="U3" i="4"/>
  <c r="I3" i="4"/>
  <c r="B15" i="4"/>
  <c r="F4" i="2" l="1"/>
  <c r="K35" i="2"/>
  <c r="F35" i="2"/>
  <c r="R35" i="2"/>
  <c r="Q35" i="2"/>
  <c r="Q30" i="2"/>
  <c r="R30" i="2"/>
  <c r="K30" i="2"/>
  <c r="F30" i="2"/>
  <c r="Q28" i="2"/>
  <c r="K28" i="2"/>
  <c r="F28" i="2"/>
  <c r="R28" i="2"/>
  <c r="F27" i="2"/>
  <c r="R27" i="2"/>
  <c r="Q27" i="2"/>
  <c r="K27" i="2"/>
  <c r="Q22" i="2"/>
  <c r="K22" i="2"/>
  <c r="F22" i="2"/>
  <c r="R22" i="2"/>
  <c r="Q17" i="2"/>
  <c r="K17" i="2"/>
  <c r="F17" i="2"/>
  <c r="R17" i="2"/>
  <c r="Q10" i="2"/>
  <c r="K10" i="2"/>
  <c r="F10" i="2"/>
  <c r="R10" i="2"/>
  <c r="Q9" i="2"/>
  <c r="R9" i="2"/>
  <c r="K9" i="2"/>
  <c r="F9" i="2"/>
  <c r="R8" i="2"/>
  <c r="R48" i="2"/>
  <c r="R44" i="2"/>
  <c r="R40" i="2"/>
  <c r="R36" i="2"/>
  <c r="R31" i="2"/>
  <c r="R24" i="2"/>
  <c r="R19" i="2"/>
  <c r="R47" i="2"/>
  <c r="R43" i="2"/>
  <c r="R39" i="2"/>
  <c r="R34" i="2"/>
  <c r="R29" i="2"/>
  <c r="R23" i="2"/>
  <c r="R18" i="2"/>
  <c r="R13" i="2"/>
  <c r="R46" i="2"/>
  <c r="R42" i="2"/>
  <c r="R38" i="2"/>
  <c r="R33" i="2"/>
  <c r="R26" i="2"/>
  <c r="R21" i="2"/>
  <c r="R16" i="2"/>
  <c r="R12" i="2"/>
  <c r="R14" i="2"/>
  <c r="R45" i="2"/>
  <c r="R41" i="2"/>
  <c r="R37" i="2"/>
  <c r="R32" i="2"/>
  <c r="R25" i="2"/>
  <c r="R20" i="2"/>
  <c r="R15" i="2"/>
  <c r="R11" i="2"/>
  <c r="Q47" i="2"/>
  <c r="Q43" i="2"/>
  <c r="Q39" i="2"/>
  <c r="Q34" i="2"/>
  <c r="Q29" i="2"/>
  <c r="Q23" i="2"/>
  <c r="Q18" i="2"/>
  <c r="Q13" i="2"/>
  <c r="Q46" i="2"/>
  <c r="Q42" i="2"/>
  <c r="Q38" i="2"/>
  <c r="Q33" i="2"/>
  <c r="Q26" i="2"/>
  <c r="Q21" i="2"/>
  <c r="Q16" i="2"/>
  <c r="Q12" i="2"/>
  <c r="Q45" i="2"/>
  <c r="Q41" i="2"/>
  <c r="Q37" i="2"/>
  <c r="Q32" i="2"/>
  <c r="Q25" i="2"/>
  <c r="Q20" i="2"/>
  <c r="Q15" i="2"/>
  <c r="Q11" i="2"/>
  <c r="Q48" i="2"/>
  <c r="Q44" i="2"/>
  <c r="Q40" i="2"/>
  <c r="Q36" i="2"/>
  <c r="Q31" i="2"/>
  <c r="Q24" i="2"/>
  <c r="Q19" i="2"/>
  <c r="Q14" i="2"/>
  <c r="Q8" i="2"/>
  <c r="F13" i="2"/>
  <c r="F20" i="2"/>
  <c r="F38" i="2"/>
  <c r="F42" i="2"/>
  <c r="F24" i="2"/>
  <c r="F34" i="2"/>
  <c r="F8" i="2"/>
  <c r="F14" i="2"/>
  <c r="F36" i="2"/>
  <c r="F44" i="2"/>
  <c r="F32" i="2"/>
  <c r="F40" i="2"/>
  <c r="F39" i="2"/>
  <c r="F46" i="2"/>
  <c r="F41" i="2"/>
  <c r="F12" i="2"/>
  <c r="F21" i="2"/>
  <c r="F19" i="2"/>
  <c r="F31" i="2"/>
  <c r="F47" i="2"/>
  <c r="F33" i="2"/>
  <c r="F37" i="2"/>
  <c r="F11" i="2"/>
  <c r="F25" i="2"/>
  <c r="F26" i="2"/>
  <c r="F29" i="2"/>
  <c r="F45" i="2"/>
  <c r="F18" i="2"/>
  <c r="F16" i="2"/>
  <c r="F23" i="2"/>
  <c r="F48" i="2"/>
  <c r="F43" i="2"/>
  <c r="F15" i="2"/>
  <c r="G8" i="2"/>
  <c r="S35" i="2" l="1"/>
  <c r="S30" i="2"/>
  <c r="S28" i="2"/>
  <c r="S27" i="2"/>
  <c r="S22" i="2"/>
  <c r="S17" i="2"/>
  <c r="S10" i="2"/>
  <c r="S9" i="2"/>
  <c r="S11" i="2"/>
  <c r="S15" i="2"/>
  <c r="S20" i="2"/>
  <c r="S25" i="2"/>
  <c r="S32" i="2"/>
  <c r="S37" i="2"/>
  <c r="S41" i="2"/>
  <c r="S45" i="2"/>
  <c r="S14" i="2"/>
  <c r="S12" i="2"/>
  <c r="S16" i="2"/>
  <c r="S21" i="2"/>
  <c r="S26" i="2"/>
  <c r="S33" i="2"/>
  <c r="S38" i="2"/>
  <c r="S42" i="2"/>
  <c r="S46" i="2"/>
  <c r="S13" i="2"/>
  <c r="S18" i="2"/>
  <c r="S23" i="2"/>
  <c r="S29" i="2"/>
  <c r="S34" i="2"/>
  <c r="S39" i="2"/>
  <c r="S43" i="2"/>
  <c r="S47" i="2"/>
  <c r="S19" i="2"/>
  <c r="S24" i="2"/>
  <c r="S31" i="2"/>
  <c r="S36" i="2"/>
  <c r="S40" i="2"/>
  <c r="S44" i="2"/>
  <c r="S48" i="2"/>
  <c r="S8" i="2"/>
  <c r="M8" i="2"/>
  <c r="B1" i="2"/>
  <c r="I35" i="2"/>
  <c r="H35" i="2"/>
  <c r="G35" i="2"/>
  <c r="J35" i="2"/>
  <c r="T35" i="2"/>
  <c r="J30" i="2"/>
  <c r="I30" i="2"/>
  <c r="G30" i="2"/>
  <c r="H30" i="2"/>
  <c r="T30" i="2"/>
  <c r="J28" i="2"/>
  <c r="I28" i="2"/>
  <c r="H28" i="2"/>
  <c r="G28" i="2"/>
  <c r="T28" i="2"/>
  <c r="H27" i="2"/>
  <c r="G27" i="2"/>
  <c r="J27" i="2"/>
  <c r="I27" i="2"/>
  <c r="T27" i="2"/>
  <c r="J22" i="2"/>
  <c r="I22" i="2"/>
  <c r="G22" i="2"/>
  <c r="H22" i="2"/>
  <c r="T22" i="2"/>
  <c r="J17" i="2"/>
  <c r="I17" i="2"/>
  <c r="H17" i="2"/>
  <c r="G17" i="2"/>
  <c r="T17" i="2"/>
  <c r="J10" i="2"/>
  <c r="I10" i="2"/>
  <c r="G10" i="2"/>
  <c r="H10" i="2"/>
  <c r="T10" i="2"/>
  <c r="J9" i="2"/>
  <c r="I9" i="2"/>
  <c r="H9" i="2"/>
  <c r="G9" i="2"/>
  <c r="T9" i="2"/>
  <c r="T12" i="2"/>
  <c r="T33" i="2"/>
  <c r="T13" i="2"/>
  <c r="T34" i="2"/>
  <c r="T20" i="2"/>
  <c r="T41" i="2"/>
  <c r="T16" i="2"/>
  <c r="T38" i="2"/>
  <c r="T18" i="2"/>
  <c r="T39" i="2"/>
  <c r="T24" i="2"/>
  <c r="T44" i="2"/>
  <c r="T31" i="2"/>
  <c r="T11" i="2"/>
  <c r="T14" i="2"/>
  <c r="T46" i="2"/>
  <c r="T47" i="2"/>
  <c r="T15" i="2"/>
  <c r="T19" i="2"/>
  <c r="T25" i="2"/>
  <c r="T45" i="2"/>
  <c r="T21" i="2"/>
  <c r="T42" i="2"/>
  <c r="T23" i="2"/>
  <c r="T43" i="2"/>
  <c r="T48" i="2"/>
  <c r="T32" i="2"/>
  <c r="T26" i="2"/>
  <c r="T29" i="2"/>
  <c r="T36" i="2"/>
  <c r="T37" i="2"/>
  <c r="T40" i="2"/>
  <c r="T8" i="2"/>
  <c r="I44" i="2"/>
  <c r="I24" i="2"/>
  <c r="H13" i="2"/>
  <c r="H42" i="2"/>
  <c r="H21" i="2"/>
  <c r="G46" i="2"/>
  <c r="G26" i="2"/>
  <c r="J46" i="2"/>
  <c r="J15" i="2"/>
  <c r="I34" i="2"/>
  <c r="I13" i="2"/>
  <c r="J11" i="2"/>
  <c r="H32" i="2"/>
  <c r="J26" i="2"/>
  <c r="G37" i="2"/>
  <c r="G15" i="2"/>
  <c r="J29" i="2"/>
  <c r="I33" i="2"/>
  <c r="I12" i="2"/>
  <c r="H48" i="2"/>
  <c r="H31" i="2"/>
  <c r="J21" i="2"/>
  <c r="G36" i="2"/>
  <c r="G14" i="2"/>
  <c r="J23" i="2"/>
  <c r="I37" i="2"/>
  <c r="I15" i="2"/>
  <c r="J19" i="2"/>
  <c r="H34" i="2"/>
  <c r="J34" i="2"/>
  <c r="G39" i="2"/>
  <c r="G18" i="2"/>
  <c r="J36" i="2"/>
  <c r="K20" i="2"/>
  <c r="K16" i="2"/>
  <c r="K36" i="2"/>
  <c r="K31" i="2"/>
  <c r="K18" i="2"/>
  <c r="K25" i="2"/>
  <c r="K47" i="2"/>
  <c r="K11" i="2"/>
  <c r="I14" i="2"/>
  <c r="J31" i="2"/>
  <c r="G16" i="2"/>
  <c r="I43" i="2"/>
  <c r="H11" i="2"/>
  <c r="H20" i="2"/>
  <c r="G25" i="2"/>
  <c r="I42" i="2"/>
  <c r="J41" i="2"/>
  <c r="H18" i="2"/>
  <c r="G24" i="2"/>
  <c r="I45" i="2"/>
  <c r="H14" i="2"/>
  <c r="H23" i="2"/>
  <c r="G29" i="2"/>
  <c r="K19" i="2"/>
  <c r="I8" i="2"/>
  <c r="H26" i="2"/>
  <c r="G33" i="2"/>
  <c r="I39" i="2"/>
  <c r="H37" i="2"/>
  <c r="G20" i="2"/>
  <c r="I16" i="2"/>
  <c r="J39" i="2"/>
  <c r="J38" i="2"/>
  <c r="J37" i="2"/>
  <c r="G43" i="2"/>
  <c r="K39" i="2"/>
  <c r="K12" i="2"/>
  <c r="K40" i="2"/>
  <c r="K48" i="2"/>
  <c r="I40" i="2"/>
  <c r="I19" i="2"/>
  <c r="J33" i="2"/>
  <c r="H38" i="2"/>
  <c r="H12" i="2"/>
  <c r="G42" i="2"/>
  <c r="G21" i="2"/>
  <c r="J42" i="2"/>
  <c r="I47" i="2"/>
  <c r="I29" i="2"/>
  <c r="H19" i="2"/>
  <c r="H45" i="2"/>
  <c r="H25" i="2"/>
  <c r="J8" i="2"/>
  <c r="G32" i="2"/>
  <c r="G11" i="2"/>
  <c r="I46" i="2"/>
  <c r="I26" i="2"/>
  <c r="H16" i="2"/>
  <c r="H44" i="2"/>
  <c r="H24" i="2"/>
  <c r="G48" i="2"/>
  <c r="G31" i="2"/>
  <c r="J48" i="2"/>
  <c r="J12" i="2"/>
  <c r="I32" i="2"/>
  <c r="I11" i="2"/>
  <c r="H47" i="2"/>
  <c r="H29" i="2"/>
  <c r="J18" i="2"/>
  <c r="G34" i="2"/>
  <c r="G13" i="2"/>
  <c r="J20" i="2"/>
  <c r="K41" i="2"/>
  <c r="K45" i="2"/>
  <c r="K43" i="2"/>
  <c r="K32" i="2"/>
  <c r="K46" i="2"/>
  <c r="K13" i="2"/>
  <c r="K21" i="2"/>
  <c r="K29" i="2"/>
  <c r="K33" i="2"/>
  <c r="K26" i="2"/>
  <c r="K24" i="2"/>
  <c r="I36" i="2"/>
  <c r="J13" i="2"/>
  <c r="H33" i="2"/>
  <c r="G38" i="2"/>
  <c r="J32" i="2"/>
  <c r="I23" i="2"/>
  <c r="H41" i="2"/>
  <c r="G45" i="2"/>
  <c r="J45" i="2"/>
  <c r="I21" i="2"/>
  <c r="H40" i="2"/>
  <c r="G44" i="2"/>
  <c r="J44" i="2"/>
  <c r="I25" i="2"/>
  <c r="H43" i="2"/>
  <c r="G47" i="2"/>
  <c r="J47" i="2"/>
  <c r="K14" i="2"/>
  <c r="K8" i="2"/>
  <c r="K37" i="2"/>
  <c r="I48" i="2"/>
  <c r="H46" i="2"/>
  <c r="J14" i="2"/>
  <c r="J16" i="2"/>
  <c r="I18" i="2"/>
  <c r="H8" i="2"/>
  <c r="J40" i="2"/>
  <c r="J24" i="2"/>
  <c r="G40" i="2"/>
  <c r="I41" i="2"/>
  <c r="H39" i="2"/>
  <c r="G23" i="2"/>
  <c r="K42" i="2"/>
  <c r="K23" i="2"/>
  <c r="K44" i="2"/>
  <c r="K34" i="2"/>
  <c r="I31" i="2"/>
  <c r="G12" i="2"/>
  <c r="J25" i="2"/>
  <c r="G41" i="2"/>
  <c r="I38" i="2"/>
  <c r="H36" i="2"/>
  <c r="G19" i="2"/>
  <c r="I20" i="2"/>
  <c r="H15" i="2"/>
  <c r="J43" i="2"/>
  <c r="K15" i="2"/>
  <c r="K38" i="2"/>
  <c r="P35" i="2" l="1"/>
  <c r="M35" i="2"/>
  <c r="N35" i="2"/>
  <c r="O35" i="2"/>
  <c r="N30" i="2"/>
  <c r="M30" i="2"/>
  <c r="O30" i="2"/>
  <c r="P30" i="2"/>
  <c r="M28" i="2"/>
  <c r="N28" i="2"/>
  <c r="O28" i="2"/>
  <c r="P28" i="2"/>
  <c r="O27" i="2"/>
  <c r="P27" i="2"/>
  <c r="M27" i="2"/>
  <c r="N27" i="2"/>
  <c r="N22" i="2"/>
  <c r="M22" i="2"/>
  <c r="O22" i="2"/>
  <c r="P22" i="2"/>
  <c r="M17" i="2"/>
  <c r="N17" i="2"/>
  <c r="O17" i="2"/>
  <c r="P17" i="2"/>
  <c r="N10" i="2"/>
  <c r="M10" i="2"/>
  <c r="O10" i="2"/>
  <c r="P10" i="2"/>
  <c r="M9" i="2"/>
  <c r="N9" i="2"/>
  <c r="O9" i="2"/>
  <c r="P9" i="2"/>
  <c r="P31" i="2"/>
  <c r="P20" i="2"/>
  <c r="P41" i="2"/>
  <c r="P12" i="2"/>
  <c r="P33" i="2"/>
  <c r="P8" i="2"/>
  <c r="P13" i="2"/>
  <c r="P34" i="2"/>
  <c r="P40" i="2"/>
  <c r="P25" i="2"/>
  <c r="P45" i="2"/>
  <c r="P16" i="2"/>
  <c r="P38" i="2"/>
  <c r="P24" i="2"/>
  <c r="P18" i="2"/>
  <c r="P39" i="2"/>
  <c r="P11" i="2"/>
  <c r="P32" i="2"/>
  <c r="P19" i="2"/>
  <c r="P21" i="2"/>
  <c r="P42" i="2"/>
  <c r="P36" i="2"/>
  <c r="P23" i="2"/>
  <c r="P43" i="2"/>
  <c r="P14" i="2"/>
  <c r="P15" i="2"/>
  <c r="P37" i="2"/>
  <c r="P44" i="2"/>
  <c r="P26" i="2"/>
  <c r="P46" i="2"/>
  <c r="P48" i="2"/>
  <c r="P29" i="2"/>
  <c r="P47" i="2"/>
  <c r="N16" i="2"/>
  <c r="N12" i="2"/>
  <c r="N33" i="2"/>
  <c r="O12" i="2"/>
  <c r="O33" i="2"/>
  <c r="M13" i="2"/>
  <c r="M34" i="2"/>
  <c r="O45" i="2"/>
  <c r="N23" i="2"/>
  <c r="M38" i="2"/>
  <c r="O13" i="2"/>
  <c r="M20" i="2"/>
  <c r="N26" i="2"/>
  <c r="O34" i="2"/>
  <c r="M41" i="2"/>
  <c r="N46" i="2"/>
  <c r="M14" i="2"/>
  <c r="N20" i="2"/>
  <c r="O26" i="2"/>
  <c r="M36" i="2"/>
  <c r="N41" i="2"/>
  <c r="O46" i="2"/>
  <c r="N14" i="2"/>
  <c r="O20" i="2"/>
  <c r="M29" i="2"/>
  <c r="N36" i="2"/>
  <c r="O41" i="2"/>
  <c r="M47" i="2"/>
  <c r="M12" i="2"/>
  <c r="N18" i="2"/>
  <c r="O24" i="2"/>
  <c r="M33" i="2"/>
  <c r="N39" i="2"/>
  <c r="O44" i="2"/>
  <c r="M11" i="2"/>
  <c r="O18" i="2"/>
  <c r="O39" i="2"/>
  <c r="M19" i="2"/>
  <c r="N45" i="2"/>
  <c r="O25" i="2"/>
  <c r="O8" i="2"/>
  <c r="M15" i="2"/>
  <c r="N21" i="2"/>
  <c r="O29" i="2"/>
  <c r="M37" i="2"/>
  <c r="N42" i="2"/>
  <c r="O47" i="2"/>
  <c r="N15" i="2"/>
  <c r="O21" i="2"/>
  <c r="M31" i="2"/>
  <c r="N37" i="2"/>
  <c r="O42" i="2"/>
  <c r="M48" i="2"/>
  <c r="O15" i="2"/>
  <c r="M23" i="2"/>
  <c r="N31" i="2"/>
  <c r="O37" i="2"/>
  <c r="M43" i="2"/>
  <c r="N48" i="2"/>
  <c r="N13" i="2"/>
  <c r="O19" i="2"/>
  <c r="M26" i="2"/>
  <c r="N34" i="2"/>
  <c r="O40" i="2"/>
  <c r="M46" i="2"/>
  <c r="O23" i="2"/>
  <c r="M32" i="2"/>
  <c r="N38" i="2"/>
  <c r="O43" i="2"/>
  <c r="N11" i="2"/>
  <c r="O16" i="2"/>
  <c r="M24" i="2"/>
  <c r="N32" i="2"/>
  <c r="O38" i="2"/>
  <c r="M44" i="2"/>
  <c r="O11" i="2"/>
  <c r="M18" i="2"/>
  <c r="N24" i="2"/>
  <c r="O32" i="2"/>
  <c r="M39" i="2"/>
  <c r="N44" i="2"/>
  <c r="N8" i="2"/>
  <c r="O14" i="2"/>
  <c r="M21" i="2"/>
  <c r="N29" i="2"/>
  <c r="O36" i="2"/>
  <c r="M42" i="2"/>
  <c r="N47" i="2"/>
  <c r="M25" i="2"/>
  <c r="M45" i="2"/>
  <c r="N25" i="2"/>
  <c r="M40" i="2"/>
  <c r="N19" i="2"/>
  <c r="N40" i="2"/>
  <c r="M16" i="2"/>
  <c r="O31" i="2"/>
  <c r="N43" i="2"/>
  <c r="O48" i="2"/>
  <c r="U7" i="2"/>
  <c r="B2" i="2"/>
  <c r="D2" i="2" s="1"/>
  <c r="D1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8" i="2"/>
  <c r="V7" i="2" l="1"/>
  <c r="B3" i="2"/>
  <c r="W7" i="2" s="1"/>
  <c r="D3" i="2" l="1"/>
  <c r="B4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D4" i="2" l="1"/>
  <c r="X7" i="2"/>
  <c r="B5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D5" i="2" l="1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</calcChain>
</file>

<file path=xl/sharedStrings.xml><?xml version="1.0" encoding="utf-8"?>
<sst xmlns="http://schemas.openxmlformats.org/spreadsheetml/2006/main" count="266" uniqueCount="215">
  <si>
    <t>192334</t>
    <phoneticPr fontId="1" type="noConversion"/>
  </si>
  <si>
    <t>192336</t>
    <phoneticPr fontId="1" type="noConversion"/>
  </si>
  <si>
    <t>700106</t>
    <phoneticPr fontId="1" type="noConversion"/>
  </si>
  <si>
    <t>702150</t>
    <phoneticPr fontId="1" type="noConversion"/>
  </si>
  <si>
    <t>702056</t>
    <phoneticPr fontId="1" type="noConversion"/>
  </si>
  <si>
    <t>702163</t>
    <phoneticPr fontId="1" type="noConversion"/>
  </si>
  <si>
    <t>700180</t>
    <phoneticPr fontId="1" type="noConversion"/>
  </si>
  <si>
    <t>192335</t>
    <phoneticPr fontId="1" type="noConversion"/>
  </si>
  <si>
    <t>192333</t>
    <phoneticPr fontId="1" type="noConversion"/>
  </si>
  <si>
    <t>700113</t>
    <phoneticPr fontId="1" type="noConversion"/>
  </si>
  <si>
    <t>700110</t>
    <phoneticPr fontId="1" type="noConversion"/>
  </si>
  <si>
    <t>192331</t>
    <phoneticPr fontId="1" type="noConversion"/>
  </si>
  <si>
    <t>192329</t>
    <phoneticPr fontId="1" type="noConversion"/>
  </si>
  <si>
    <t>701894</t>
    <phoneticPr fontId="1" type="noConversion"/>
  </si>
  <si>
    <t>702160</t>
    <phoneticPr fontId="1" type="noConversion"/>
  </si>
  <si>
    <t>702159</t>
    <phoneticPr fontId="1" type="noConversion"/>
  </si>
  <si>
    <t>192330</t>
    <phoneticPr fontId="1" type="noConversion"/>
  </si>
  <si>
    <t>68</t>
    <phoneticPr fontId="1" type="noConversion"/>
  </si>
  <si>
    <t>700300</t>
    <phoneticPr fontId="1" type="noConversion"/>
  </si>
  <si>
    <t>700301</t>
    <phoneticPr fontId="1" type="noConversion"/>
  </si>
  <si>
    <t>701890</t>
    <phoneticPr fontId="1" type="noConversion"/>
  </si>
  <si>
    <t>702151</t>
    <phoneticPr fontId="1" type="noConversion"/>
  </si>
  <si>
    <t>702158</t>
    <phoneticPr fontId="1" type="noConversion"/>
  </si>
  <si>
    <t>700108</t>
    <phoneticPr fontId="1" type="noConversion"/>
  </si>
  <si>
    <t>700107</t>
    <phoneticPr fontId="1" type="noConversion"/>
  </si>
  <si>
    <t>정책금리</t>
    <phoneticPr fontId="1" type="noConversion"/>
  </si>
  <si>
    <t>701895</t>
    <phoneticPr fontId="1" type="noConversion"/>
  </si>
  <si>
    <t>CPI</t>
    <phoneticPr fontId="1" type="noConversion"/>
  </si>
  <si>
    <t>700344</t>
    <phoneticPr fontId="1" type="noConversion"/>
  </si>
  <si>
    <t>190123</t>
    <phoneticPr fontId="1" type="noConversion"/>
  </si>
  <si>
    <t>190133</t>
    <phoneticPr fontId="1" type="noConversion"/>
  </si>
  <si>
    <t>190190</t>
    <phoneticPr fontId="1" type="noConversion"/>
  </si>
  <si>
    <t>190044</t>
    <phoneticPr fontId="1" type="noConversion"/>
  </si>
  <si>
    <t>700063</t>
    <phoneticPr fontId="1" type="noConversion"/>
  </si>
  <si>
    <t>190113</t>
    <phoneticPr fontId="1" type="noConversion"/>
  </si>
  <si>
    <t>704522</t>
    <phoneticPr fontId="1" type="noConversion"/>
  </si>
  <si>
    <t>700046</t>
    <phoneticPr fontId="1" type="noConversion"/>
  </si>
  <si>
    <t>700070</t>
    <phoneticPr fontId="1" type="noConversion"/>
  </si>
  <si>
    <t>190150</t>
    <phoneticPr fontId="1" type="noConversion"/>
  </si>
  <si>
    <t>190167</t>
    <phoneticPr fontId="1" type="noConversion"/>
  </si>
  <si>
    <t>701722</t>
    <phoneticPr fontId="1" type="noConversion"/>
  </si>
  <si>
    <t>702219</t>
    <phoneticPr fontId="1" type="noConversion"/>
  </si>
  <si>
    <t>701974</t>
    <phoneticPr fontId="1" type="noConversion"/>
  </si>
  <si>
    <t>701924</t>
    <phoneticPr fontId="1" type="noConversion"/>
  </si>
  <si>
    <t>170001</t>
    <phoneticPr fontId="1" type="noConversion"/>
  </si>
  <si>
    <t>190029</t>
    <phoneticPr fontId="1" type="noConversion"/>
  </si>
  <si>
    <t>190175</t>
    <phoneticPr fontId="1" type="noConversion"/>
  </si>
  <si>
    <t>190188</t>
    <phoneticPr fontId="1" type="noConversion"/>
  </si>
  <si>
    <t>190138</t>
    <phoneticPr fontId="1" type="noConversion"/>
  </si>
  <si>
    <t>701930</t>
    <phoneticPr fontId="1" type="noConversion"/>
  </si>
  <si>
    <t>190095</t>
    <phoneticPr fontId="1" type="noConversion"/>
  </si>
  <si>
    <t>190058</t>
    <phoneticPr fontId="1" type="noConversion"/>
  </si>
  <si>
    <t>190076</t>
    <phoneticPr fontId="1" type="noConversion"/>
  </si>
  <si>
    <t>190010</t>
    <phoneticPr fontId="1" type="noConversion"/>
  </si>
  <si>
    <t>702000</t>
    <phoneticPr fontId="1" type="noConversion"/>
  </si>
  <si>
    <t>701979</t>
    <phoneticPr fontId="1" type="noConversion"/>
  </si>
  <si>
    <t>전망치</t>
    <phoneticPr fontId="1" type="noConversion"/>
  </si>
  <si>
    <t>703544</t>
  </si>
  <si>
    <t>703547</t>
  </si>
  <si>
    <t>703550</t>
  </si>
  <si>
    <t>703553</t>
  </si>
  <si>
    <t>703559</t>
  </si>
  <si>
    <t>703562</t>
  </si>
  <si>
    <t>703565</t>
  </si>
  <si>
    <t>702803</t>
  </si>
  <si>
    <t>702806</t>
  </si>
  <si>
    <t>703568</t>
  </si>
  <si>
    <t>703571</t>
  </si>
  <si>
    <t>703574</t>
  </si>
  <si>
    <t>703580</t>
  </si>
  <si>
    <t>703583</t>
  </si>
  <si>
    <t>703586</t>
  </si>
  <si>
    <t>703589</t>
  </si>
  <si>
    <t>703595</t>
  </si>
  <si>
    <t>703556</t>
  </si>
  <si>
    <t>700834</t>
    <phoneticPr fontId="1" type="noConversion"/>
  </si>
  <si>
    <t>국가</t>
    <phoneticPr fontId="1" type="noConversion"/>
  </si>
  <si>
    <t>정책금리</t>
    <phoneticPr fontId="1" type="noConversion"/>
  </si>
  <si>
    <t>DATE</t>
    <phoneticPr fontId="1" type="noConversion"/>
  </si>
  <si>
    <t>1M</t>
    <phoneticPr fontId="1" type="noConversion"/>
  </si>
  <si>
    <t>3M</t>
    <phoneticPr fontId="1" type="noConversion"/>
  </si>
  <si>
    <t>6M</t>
    <phoneticPr fontId="1" type="noConversion"/>
  </si>
  <si>
    <t>1Y</t>
    <phoneticPr fontId="1" type="noConversion"/>
  </si>
  <si>
    <t>CPI</t>
    <phoneticPr fontId="1" type="noConversion"/>
  </si>
  <si>
    <t>노르웨이</t>
    <phoneticPr fontId="1" type="noConversion"/>
  </si>
  <si>
    <t>뉴질랜드</t>
    <phoneticPr fontId="1" type="noConversion"/>
  </si>
  <si>
    <t>대만</t>
    <phoneticPr fontId="1" type="noConversion"/>
  </si>
  <si>
    <t>덴마크</t>
    <phoneticPr fontId="1" type="noConversion"/>
  </si>
  <si>
    <t>독일</t>
    <phoneticPr fontId="1" type="noConversion"/>
  </si>
  <si>
    <t>러시아</t>
    <phoneticPr fontId="1" type="noConversion"/>
  </si>
  <si>
    <t>멕시코</t>
    <phoneticPr fontId="1" type="noConversion"/>
  </si>
  <si>
    <t>미국</t>
    <phoneticPr fontId="1" type="noConversion"/>
  </si>
  <si>
    <t>베네수엘라</t>
    <phoneticPr fontId="1" type="noConversion"/>
  </si>
  <si>
    <t>베트남</t>
    <phoneticPr fontId="1" type="noConversion"/>
  </si>
  <si>
    <t>브라질</t>
    <phoneticPr fontId="1" type="noConversion"/>
  </si>
  <si>
    <t>사우디아라비아</t>
    <phoneticPr fontId="1" type="noConversion"/>
  </si>
  <si>
    <t>스웨덴</t>
    <phoneticPr fontId="1" type="noConversion"/>
  </si>
  <si>
    <t>스위스</t>
    <phoneticPr fontId="1" type="noConversion"/>
  </si>
  <si>
    <t>아르헨티나</t>
    <phoneticPr fontId="1" type="noConversion"/>
  </si>
  <si>
    <t>영국</t>
    <phoneticPr fontId="1" type="noConversion"/>
  </si>
  <si>
    <t>이탈리아</t>
    <phoneticPr fontId="1" type="noConversion"/>
  </si>
  <si>
    <t>인도</t>
    <phoneticPr fontId="1" type="noConversion"/>
  </si>
  <si>
    <t>일본</t>
    <phoneticPr fontId="1" type="noConversion"/>
  </si>
  <si>
    <t>중국</t>
    <phoneticPr fontId="1" type="noConversion"/>
  </si>
  <si>
    <t>체코</t>
    <phoneticPr fontId="1" type="noConversion"/>
  </si>
  <si>
    <t>캐나다</t>
    <phoneticPr fontId="1" type="noConversion"/>
  </si>
  <si>
    <t>태국</t>
    <phoneticPr fontId="1" type="noConversion"/>
  </si>
  <si>
    <t>폴란드</t>
    <phoneticPr fontId="1" type="noConversion"/>
  </si>
  <si>
    <t>프랑스</t>
    <phoneticPr fontId="1" type="noConversion"/>
  </si>
  <si>
    <t>핀란드</t>
    <phoneticPr fontId="1" type="noConversion"/>
  </si>
  <si>
    <t>한국</t>
    <phoneticPr fontId="1" type="noConversion"/>
  </si>
  <si>
    <t>헝가리</t>
    <phoneticPr fontId="1" type="noConversion"/>
  </si>
  <si>
    <t>호주</t>
    <phoneticPr fontId="1" type="noConversion"/>
  </si>
  <si>
    <t>홍콩</t>
    <phoneticPr fontId="1" type="noConversion"/>
  </si>
  <si>
    <t>정책금리</t>
    <phoneticPr fontId="1" type="noConversion"/>
  </si>
  <si>
    <t>12M Chart</t>
    <phoneticPr fontId="1" type="noConversion"/>
  </si>
  <si>
    <t>남아프리카공화국</t>
  </si>
  <si>
    <t>노르웨이</t>
  </si>
  <si>
    <t>뉴질랜드</t>
  </si>
  <si>
    <t>대만</t>
  </si>
  <si>
    <t>덴마크</t>
  </si>
  <si>
    <t>독일</t>
  </si>
  <si>
    <t>러시아</t>
  </si>
  <si>
    <t>멕시코</t>
  </si>
  <si>
    <t>미국</t>
  </si>
  <si>
    <t>베네수엘라</t>
  </si>
  <si>
    <t>베트남</t>
  </si>
  <si>
    <t>브라질</t>
  </si>
  <si>
    <t>사우디아라비아</t>
  </si>
  <si>
    <t>스웨덴</t>
  </si>
  <si>
    <t>스위스</t>
  </si>
  <si>
    <t>아르헨티나</t>
  </si>
  <si>
    <t>영국</t>
  </si>
  <si>
    <t>이탈리아</t>
  </si>
  <si>
    <t>인도</t>
  </si>
  <si>
    <t>일본</t>
  </si>
  <si>
    <t>중국</t>
  </si>
  <si>
    <t>체코</t>
  </si>
  <si>
    <t>캐나다</t>
  </si>
  <si>
    <t>태국</t>
  </si>
  <si>
    <t>폴란드</t>
  </si>
  <si>
    <t>프랑스</t>
  </si>
  <si>
    <t>핀란드</t>
  </si>
  <si>
    <t>한국</t>
  </si>
  <si>
    <t>헝가리</t>
  </si>
  <si>
    <t>호주</t>
  </si>
  <si>
    <t>홍콩</t>
  </si>
  <si>
    <t>DATE</t>
    <phoneticPr fontId="1" type="noConversion"/>
  </si>
  <si>
    <t>Global Central Bank Monitor</t>
  </si>
  <si>
    <t>703723</t>
    <phoneticPr fontId="1" type="noConversion"/>
  </si>
  <si>
    <t>705149</t>
    <phoneticPr fontId="1" type="noConversion"/>
  </si>
  <si>
    <t>튀르키예</t>
    <phoneticPr fontId="1" type="noConversion"/>
  </si>
  <si>
    <t>대비(bp)</t>
    <phoneticPr fontId="1" type="noConversion"/>
  </si>
  <si>
    <t>701929</t>
    <phoneticPr fontId="1" type="noConversion"/>
  </si>
  <si>
    <t>135027</t>
    <phoneticPr fontId="1" type="noConversion"/>
  </si>
  <si>
    <t>777799</t>
    <phoneticPr fontId="1" type="noConversion"/>
  </si>
  <si>
    <t>CPI 증가율 전망(IMF)</t>
    <phoneticPr fontId="1" type="noConversion"/>
  </si>
  <si>
    <t>CPI
YoY%</t>
    <phoneticPr fontId="1" type="noConversion"/>
  </si>
  <si>
    <t>707673</t>
    <phoneticPr fontId="1" type="noConversion"/>
  </si>
  <si>
    <t>707676</t>
    <phoneticPr fontId="1" type="noConversion"/>
  </si>
  <si>
    <t>707535</t>
    <phoneticPr fontId="1" type="noConversion"/>
  </si>
  <si>
    <t>707539</t>
    <phoneticPr fontId="1" type="noConversion"/>
  </si>
  <si>
    <t>707694</t>
    <phoneticPr fontId="1" type="noConversion"/>
  </si>
  <si>
    <t>707533</t>
    <phoneticPr fontId="1" type="noConversion"/>
  </si>
  <si>
    <t>707682</t>
    <phoneticPr fontId="1" type="noConversion"/>
  </si>
  <si>
    <t>707538</t>
    <phoneticPr fontId="1" type="noConversion"/>
  </si>
  <si>
    <t>707543</t>
    <phoneticPr fontId="1" type="noConversion"/>
  </si>
  <si>
    <t>707531</t>
    <phoneticPr fontId="1" type="noConversion"/>
  </si>
  <si>
    <t>707541</t>
    <phoneticPr fontId="1" type="noConversion"/>
  </si>
  <si>
    <t>707688</t>
    <phoneticPr fontId="1" type="noConversion"/>
  </si>
  <si>
    <t>707542</t>
    <phoneticPr fontId="1" type="noConversion"/>
  </si>
  <si>
    <t>707691</t>
    <phoneticPr fontId="1" type="noConversion"/>
  </si>
  <si>
    <t>701896</t>
  </si>
  <si>
    <t>701928</t>
  </si>
  <si>
    <t>703592</t>
  </si>
  <si>
    <t>그리스</t>
  </si>
  <si>
    <t>그리스</t>
    <phoneticPr fontId="1" type="noConversion"/>
  </si>
  <si>
    <t>네덜란드</t>
  </si>
  <si>
    <t>네덜란드</t>
    <phoneticPr fontId="1" type="noConversion"/>
  </si>
  <si>
    <t>말레이시아</t>
  </si>
  <si>
    <t>말레이시아</t>
    <phoneticPr fontId="1" type="noConversion"/>
  </si>
  <si>
    <t>벨기에</t>
  </si>
  <si>
    <t>벨기에</t>
    <phoneticPr fontId="1" type="noConversion"/>
  </si>
  <si>
    <t>스페인</t>
  </si>
  <si>
    <t>스페인</t>
    <phoneticPr fontId="1" type="noConversion"/>
  </si>
  <si>
    <t>싱가포르</t>
  </si>
  <si>
    <t>싱가포르</t>
    <phoneticPr fontId="1" type="noConversion"/>
  </si>
  <si>
    <t>아일랜드</t>
  </si>
  <si>
    <t>아일랜드</t>
    <phoneticPr fontId="1" type="noConversion"/>
  </si>
  <si>
    <t>유럽연합(EU)</t>
  </si>
  <si>
    <t>유럽연합(EU)</t>
    <phoneticPr fontId="1" type="noConversion"/>
  </si>
  <si>
    <t>인도네시아</t>
  </si>
  <si>
    <t>인도네시아</t>
    <phoneticPr fontId="1" type="noConversion"/>
  </si>
  <si>
    <t>700344</t>
    <phoneticPr fontId="1" type="noConversion"/>
  </si>
  <si>
    <t>190119</t>
    <phoneticPr fontId="1" type="noConversion"/>
  </si>
  <si>
    <t>700072</t>
    <phoneticPr fontId="1" type="noConversion"/>
  </si>
  <si>
    <t>190016</t>
    <phoneticPr fontId="1" type="noConversion"/>
  </si>
  <si>
    <t>190054</t>
    <phoneticPr fontId="1" type="noConversion"/>
  </si>
  <si>
    <t>190159</t>
    <phoneticPr fontId="1" type="noConversion"/>
  </si>
  <si>
    <t>190088</t>
    <phoneticPr fontId="1" type="noConversion"/>
  </si>
  <si>
    <t>190085</t>
    <phoneticPr fontId="1" type="noConversion"/>
  </si>
  <si>
    <t>700180</t>
    <phoneticPr fontId="1" type="noConversion"/>
  </si>
  <si>
    <t>702154</t>
    <phoneticPr fontId="1" type="noConversion"/>
  </si>
  <si>
    <t>702155</t>
    <phoneticPr fontId="1" type="noConversion"/>
  </si>
  <si>
    <t>780149</t>
    <phoneticPr fontId="1" type="noConversion"/>
  </si>
  <si>
    <t>707540</t>
    <phoneticPr fontId="1" type="noConversion"/>
  </si>
  <si>
    <t>707670</t>
    <phoneticPr fontId="1" type="noConversion"/>
  </si>
  <si>
    <t>707530</t>
    <phoneticPr fontId="1" type="noConversion"/>
  </si>
  <si>
    <t>707679</t>
    <phoneticPr fontId="1" type="noConversion"/>
  </si>
  <si>
    <t>707536</t>
    <phoneticPr fontId="1" type="noConversion"/>
  </si>
  <si>
    <t>707534</t>
    <phoneticPr fontId="1" type="noConversion"/>
  </si>
  <si>
    <t>707685</t>
    <phoneticPr fontId="1" type="noConversion"/>
  </si>
  <si>
    <t>703577</t>
    <phoneticPr fontId="1" type="noConversion"/>
  </si>
  <si>
    <t>튀르키예</t>
  </si>
  <si>
    <t>RAW_정책금리!B3:B15,RAW_정책금리!C3:C15,RAW_정책금리!D3:D15,RAW_정책금리!E3:E15,RAW_정책금리!F3:F15,RAW_정책금리!G3:G15,RAW_정책금리!H3:H15,RAW_정책금리!I3:I15,RAW_정책금리!J3:J15,RAW_정책금리!K3:K15,RAW_정책금리!L3:L15,RAW_정책금리!M3:M15,RAW_정책금리!N3:N15,RAW_정책금리!O3:O15,RAW_정책금리!P3:P15,RAW_정책금리!Q3:Q15,RAW_정책금리!R3:R15,RAW_정책금리!S3:S15,RAW_정책금리!T3:T15,RAW_정책금리!U3:U15,RAW_정책금리!V3:V15,RAW_정책금리!W3:W15,RAW_정책금리!X3:X15,RAW_정책금리!Y3:Y15,RAW_정책금리!Z3:Z15,RAW_정책금리!AA3:AA15,RAW_정책금리!AB3:AB15,RAW_정책금리!AC3:AC15,RAW_정책금리!AD3:AD15,RAW_정책금리!AE3:AE15,RAW_정책금리!AF3:AF15,RAW_정책금리!AG3:AG15,RAW_정책금리!AH3:AH15,RAW_정책금리!AI3:AI15,RAW_정책금리!AJ3:AJ15,RAW_정책금리!AK3:AK15,RAW_정책금리!AL3:AL15,RAW_정책금리!AM3:AM15,RAW_정책금리!AN3:AN15,RAW_정책금리!AO3:AO15,RAW_정책금리!AP3:A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</si>
</sst>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####\-##\-##"/>
    <numFmt numFmtId="177" formatCode="0.00_ "/>
    <numFmt numFmtId="178" formatCode="\+#,##0.0_ ;\-#,##0.0\ "/>
    <numFmt numFmtId="181" formatCode="#,##0_ "/>
    <numFmt numFmtId="182" formatCode="#,##0.0_ "/>
    <numFmt numFmtId="183" formatCode="#,##0.00_ "/>
    <numFmt numFmtId="184" formatCode="#,##0.000_ "/>
    <numFmt numFmtId="185" formatCode="#,##0.0000_ "/>
    <numFmt numFmtId="186" formatCode="#,##0.000000_ "/>
  </numFmts>
  <fonts count="8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5" tint="-0.249977111117893"/>
      <name val="Calibri"/>
      <family val="2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thin">
        <color theme="0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176" fontId="0" fillId="0" borderId="3" xfId="0" applyNumberFormat="1" applyBorder="1">
      <alignment vertical="center"/>
    </xf>
    <xf numFmtId="177" fontId="0" fillId="0" borderId="3" xfId="0" applyNumberFormat="1" applyBorder="1" applyAlignment="1">
      <alignment horizontal="right" vertical="center"/>
    </xf>
    <xf numFmtId="177" fontId="0" fillId="0" borderId="6" xfId="0" applyNumberFormat="1" applyBorder="1">
      <alignment vertical="center"/>
    </xf>
    <xf numFmtId="177" fontId="0" fillId="0" borderId="7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right" vertical="center"/>
    </xf>
    <xf numFmtId="176" fontId="0" fillId="0" borderId="9" xfId="0" applyNumberFormat="1" applyBorder="1">
      <alignment vertical="center"/>
    </xf>
    <xf numFmtId="177" fontId="0" fillId="0" borderId="9" xfId="0" applyNumberFormat="1" applyBorder="1" applyAlignment="1">
      <alignment horizontal="right" vertical="center"/>
    </xf>
    <xf numFmtId="177" fontId="0" fillId="0" borderId="10" xfId="0" applyNumberFormat="1" applyBorder="1">
      <alignment vertical="center"/>
    </xf>
    <xf numFmtId="0" fontId="4" fillId="4" borderId="4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  <xf numFmtId="178" fontId="7" fillId="0" borderId="1" xfId="0" applyNumberFormat="1" applyFont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3" xfId="0" applyNumberFormat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81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183" fontId="0" fillId="0" borderId="1" xfId="0" applyNumberFormat="1" applyBorder="1">
      <alignment vertical="center"/>
    </xf>
    <xf numFmtId="184" fontId="0" fillId="0" borderId="1" xfId="0" applyNumberFormat="1" applyBorder="1">
      <alignment vertical="center"/>
    </xf>
    <xf numFmtId="182" fontId="0" fillId="0" borderId="3" xfId="0" applyNumberFormat="1" applyBorder="1">
      <alignment vertical="center"/>
    </xf>
    <xf numFmtId="182" fontId="0" fillId="0" borderId="9" xfId="0" applyNumberFormat="1" applyBorder="1">
      <alignment vertical="center"/>
    </xf>
    <xf numFmtId="185" fontId="0" fillId="0" borderId="1" xfId="0" applyNumberFormat="1" applyBorder="1">
      <alignment vertical="center"/>
    </xf>
    <xf numFmtId="186" fontId="0" fillId="0" borderId="1" xfId="0" applyNumberFormat="1" applyBorder="1">
      <alignment vertical="center"/>
    </xf>
    <xf numFmtId="183" fontId="0" fillId="0" borderId="3" xfId="0" applyNumberFormat="1" applyBorder="1">
      <alignment vertical="center"/>
    </xf>
    <xf numFmtId="185" fontId="0" fillId="0" borderId="3" xfId="0" applyNumberFormat="1" applyBorder="1">
      <alignment vertical="center"/>
    </xf>
    <xf numFmtId="14" fontId="3" fillId="6" borderId="18" xfId="0" applyNumberFormat="1" applyFont="1" applyFill="1" applyBorder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7C80"/>
      <color rgb="FF6699FF"/>
      <color rgb="FF3333CC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20221231</v>
        <stp/>
        <stp>P</stp>
        <stp>0</stp>
        <stp>ECO</stp>
        <stp>190076</stp>
        <stp>현재가</stp>
        <stp>44926</stp>
        <stp>fill=true,DISP=DATE</stp>
        <tr r="R46" s="2"/>
      </tp>
      <tp>
        <v>20221231</v>
        <stp/>
        <stp>P</stp>
        <stp>0</stp>
        <stp>ECO</stp>
        <stp>190016</stp>
        <stp>현재가</stp>
        <stp>44926</stp>
        <stp>fill=true,DISP=DATE</stp>
        <tr r="R22" s="2"/>
      </tp>
      <tp>
        <v>20221231</v>
        <stp/>
        <stp>P</stp>
        <stp>0</stp>
        <stp>ECO</stp>
        <stp>190167</stp>
        <stp>현재가</stp>
        <stp>44926</stp>
        <stp>fill=true,DISP=DATE</stp>
        <tr r="R26" s="2"/>
      </tp>
      <tp>
        <v>20221130</v>
        <stp/>
        <stp>P</stp>
        <stp>0</stp>
        <stp>ECO</stp>
        <stp>777799</stp>
        <stp>현재가</stp>
        <stp>44926</stp>
        <stp>fill=true,DISP=DATE</stp>
        <tr r="R39" s="2"/>
      </tp>
      <tp>
        <v>20221231</v>
        <stp/>
        <stp>P</stp>
        <stp>0</stp>
        <stp>ECO</stp>
        <stp>190054</stp>
        <stp>현재가</stp>
        <stp>44926</stp>
        <stp>fill=true,DISP=DATE</stp>
        <tr r="R27" s="2"/>
      </tp>
      <tp>
        <v>20221231</v>
        <stp/>
        <stp>P</stp>
        <stp>0</stp>
        <stp>ECO</stp>
        <stp>190044</stp>
        <stp>현재가</stp>
        <stp>44926</stp>
        <stp>fill=true,DISP=DATE</stp>
        <tr r="R14" s="2"/>
      </tp>
      <tp>
        <v>20221231</v>
        <stp/>
        <stp>P</stp>
        <stp>0</stp>
        <stp>ECO</stp>
        <stp>190175</stp>
        <stp>현재가</stp>
        <stp>44926</stp>
        <stp>fill=true,DISP=DATE</stp>
        <tr r="R40" s="2"/>
      </tp>
      <tp>
        <v>20221231</v>
        <stp/>
        <stp>P</stp>
        <stp>0</stp>
        <stp>ECO</stp>
        <stp>190095</stp>
        <stp>현재가</stp>
        <stp>44926</stp>
        <stp>fill=true,DISP=DATE</stp>
        <tr r="R33" s="2"/>
      </tp>
      <tp>
        <v>20221231</v>
        <stp/>
        <stp>P</stp>
        <stp>0</stp>
        <stp>ECO</stp>
        <stp>190085</stp>
        <stp>현재가</stp>
        <stp>44926</stp>
        <stp>fill=true,DISP=DATE</stp>
        <tr r="R35" s="2"/>
      </tp>
      <tp>
        <v>20220930</v>
        <stp/>
        <stp>P</stp>
        <stp>0</stp>
        <stp>ECO</stp>
        <stp>190133</stp>
        <stp>현재가</stp>
        <stp>44926</stp>
        <stp>fill=true,DISP=DATE</stp>
        <tr r="R12" s="2"/>
      </tp>
      <tp>
        <v>20221231</v>
        <stp/>
        <stp>P</stp>
        <stp>0</stp>
        <stp>ECO</stp>
        <stp>190123</stp>
        <stp>현재가</stp>
        <stp>44926</stp>
        <stp>fill=true,DISP=DATE</stp>
        <tr r="R11" s="2"/>
      </tp>
      <tp>
        <v>20221231</v>
        <stp/>
        <stp>P</stp>
        <stp>0</stp>
        <stp>ECO</stp>
        <stp>190113</stp>
        <stp>현재가</stp>
        <stp>44926</stp>
        <stp>fill=true,DISP=DATE</stp>
        <tr r="R18" s="2"/>
      </tp>
      <tp>
        <v>20221130</v>
        <stp/>
        <stp>P</stp>
        <stp>0</stp>
        <stp>ECO</stp>
        <stp>702219</stp>
        <stp>현재가</stp>
        <stp>44926</stp>
        <stp>fill=true,DISP=DATE</stp>
        <tr r="R31" s="2"/>
      </tp>
      <tp>
        <v>20221231</v>
        <stp/>
        <stp>P</stp>
        <stp>0</stp>
        <stp>ECO</stp>
        <stp>701929</stp>
        <stp>현재가</stp>
        <stp>44926</stp>
        <stp>fill=true,DISP=DATE</stp>
        <tr r="R15" s="2"/>
      </tp>
      <tp>
        <v>20221231</v>
        <stp/>
        <stp>P</stp>
        <stp>0</stp>
        <stp>ECO</stp>
        <stp>701979</stp>
        <stp>현재가</stp>
        <stp>44926</stp>
        <stp>fill=true,DISP=DATE</stp>
        <tr r="R45" s="2"/>
      </tp>
      <tp>
        <v>20221231</v>
        <stp/>
        <stp>P</stp>
        <stp>0</stp>
        <stp>ECO</stp>
        <stp>190190</stp>
        <stp>현재가</stp>
        <stp>44926</stp>
        <stp>fill=true,DISP=DATE</stp>
        <tr r="R13" s="2"/>
      </tp>
      <tp>
        <v>20221231</v>
        <stp/>
        <stp>P</stp>
        <stp>0</stp>
        <stp>ECO</stp>
        <stp>190150</stp>
        <stp>현재가</stp>
        <stp>44926</stp>
        <stp>fill=true,DISP=DATE</stp>
        <tr r="R25" s="2"/>
      </tp>
      <tp>
        <v>20220930</v>
        <stp/>
        <stp>P</stp>
        <stp>0</stp>
        <stp>ECO</stp>
        <stp>190010</stp>
        <stp>현재가</stp>
        <stp>44926</stp>
        <stp>fill=true,DISP=DATE</stp>
        <tr r="R47" s="2"/>
      </tp>
      <tp>
        <v>20221130</v>
        <stp/>
        <stp>P</stp>
        <stp>0</stp>
        <stp>ECO</stp>
        <stp>701928</stp>
        <stp>현재가</stp>
        <stp>44926</stp>
        <stp>fill=true,DISP=DATE</stp>
        <tr r="R9" s="2"/>
      </tp>
      <tp>
        <v>20221231</v>
        <stp/>
        <stp>P</stp>
        <stp>0</stp>
        <stp>ECO</stp>
        <stp>700046</stp>
        <stp>현재가</stp>
        <stp>44926</stp>
        <stp>fill=true,DISP=DATE</stp>
        <tr r="R21" s="2"/>
      </tp>
      <tp>
        <v>20221231</v>
        <stp/>
        <stp>P</stp>
        <stp>0</stp>
        <stp>ECO</stp>
        <stp>170001</stp>
        <stp>현재가</stp>
        <stp>44926</stp>
        <stp>fill=true,DISP=DATE</stp>
        <tr r="R37" s="2"/>
      </tp>
      <tp>
        <v>20221130</v>
        <stp/>
        <stp>P</stp>
        <stp>0</stp>
        <stp>ECO</stp>
        <stp>701924</stp>
        <stp>현재가</stp>
        <stp>44926</stp>
        <stp>fill=true,DISP=DATE</stp>
        <tr r="R36" s="2"/>
      </tp>
      <tp>
        <v>20221231</v>
        <stp/>
        <stp>P</stp>
        <stp>0</stp>
        <stp>ECO</stp>
        <stp>701974</stp>
        <stp>현재가</stp>
        <stp>44926</stp>
        <stp>fill=true,DISP=DATE</stp>
        <tr r="R34" s="2"/>
      </tp>
      <tp>
        <v>20221231</v>
        <stp/>
        <stp>P</stp>
        <stp>0</stp>
        <stp>ECO</stp>
        <stp>700834</stp>
        <stp>현재가</stp>
        <stp>44926</stp>
        <stp>fill=true,DISP=DATE</stp>
        <tr r="R24" s="2"/>
      </tp>
      <tp>
        <v>20221231</v>
        <stp/>
        <stp>P</stp>
        <stp>0</stp>
        <stp>ECO</stp>
        <stp>700344</stp>
        <stp>현재가</stp>
        <stp>44926</stp>
        <stp>fill=true,DISP=DATE</stp>
        <tr r="R32" s="2"/>
        <tr r="R8" s="2"/>
      </tp>
      <tp>
        <v>20221231</v>
        <stp/>
        <stp>P</stp>
        <stp>0</stp>
        <stp>ECO</stp>
        <stp>135027</stp>
        <stp>현재가</stp>
        <stp>44926</stp>
        <stp>fill=true,DISP=DATE</stp>
        <tr r="R19" s="2"/>
      </tp>
      <tp>
        <v>20221130</v>
        <stp/>
        <stp>P</stp>
        <stp>0</stp>
        <stp>ECO</stp>
        <stp>700063</stp>
        <stp>현재가</stp>
        <stp>44926</stp>
        <stp>fill=true,DISP=DATE</stp>
        <tr r="R16" s="2"/>
      </tp>
      <tp>
        <v>20221231</v>
        <stp/>
        <stp>P</stp>
        <stp>0</stp>
        <stp>ECO</stp>
        <stp>701722</stp>
        <stp>현재가</stp>
        <stp>44926</stp>
        <stp>fill=true,DISP=DATE</stp>
        <tr r="R29" s="2"/>
      </tp>
      <tp>
        <v>20221130</v>
        <stp/>
        <stp>P</stp>
        <stp>0</stp>
        <stp>ECO</stp>
        <stp>700072</stp>
        <stp>현재가</stp>
        <stp>44926</stp>
        <stp>fill=true,DISP=DATE</stp>
        <tr r="R17" s="2"/>
      </tp>
      <tp>
        <v>20221031</v>
        <stp/>
        <stp>P</stp>
        <stp>0</stp>
        <stp>ECO</stp>
        <stp>704522</stp>
        <stp>현재가</stp>
        <stp>44926</stp>
        <stp>fill=true,DISP=DATE</stp>
        <tr r="R20" s="2"/>
      </tp>
      <tp>
        <v>20221231</v>
        <stp/>
        <stp>P</stp>
        <stp>0</stp>
        <stp>ECO</stp>
        <stp>190188</stp>
        <stp>현재가</stp>
        <stp>44926</stp>
        <stp>fill=true,DISP=DATE</stp>
        <tr r="R41" s="2"/>
      </tp>
      <tp>
        <v>20221231</v>
        <stp/>
        <stp>P</stp>
        <stp>0</stp>
        <stp>ECO</stp>
        <stp>190138</stp>
        <stp>현재가</stp>
        <stp>44926</stp>
        <stp>fill=true,DISP=DATE</stp>
        <tr r="R42" s="2"/>
      </tp>
      <tp>
        <v>20221130</v>
        <stp/>
        <stp>P</stp>
        <stp>0</stp>
        <stp>ECO</stp>
        <stp>190088</stp>
        <stp>현재가</stp>
        <stp>44926</stp>
        <stp>fill=true,DISP=DATE</stp>
        <tr r="R30" s="2"/>
      </tp>
      <tp>
        <v>20221231</v>
        <stp/>
        <stp>P</stp>
        <stp>0</stp>
        <stp>ECO</stp>
        <stp>190058</stp>
        <stp>현재가</stp>
        <stp>44926</stp>
        <stp>fill=true,DISP=DATE</stp>
        <tr r="R44" s="2"/>
      </tp>
      <tp>
        <v>20221130</v>
        <stp/>
        <stp>P</stp>
        <stp>0</stp>
        <stp>ECO</stp>
        <stp>702000</stp>
        <stp>현재가</stp>
        <stp>44926</stp>
        <stp>fill=true,DISP=DATE</stp>
        <tr r="R48" s="2"/>
      </tp>
      <tp>
        <v>20221231</v>
        <stp/>
        <stp>P</stp>
        <stp>0</stp>
        <stp>ECO</stp>
        <stp>701930</stp>
        <stp>현재가</stp>
        <stp>44926</stp>
        <stp>fill=true,DISP=DATE</stp>
        <tr r="R43" s="2"/>
      </tp>
      <tp>
        <v>20221130</v>
        <stp/>
        <stp>P</stp>
        <stp>0</stp>
        <stp>ECO</stp>
        <stp>190159</stp>
        <stp>현재가</stp>
        <stp>44926</stp>
        <stp>fill=true,DISP=DATE</stp>
        <tr r="R28" s="2"/>
      </tp>
      <tp>
        <v>20221231</v>
        <stp/>
        <stp>P</stp>
        <stp>0</stp>
        <stp>ECO</stp>
        <stp>190119</stp>
        <stp>현재가</stp>
        <stp>44926</stp>
        <stp>fill=true,DISP=DATE</stp>
        <tr r="R10" s="2"/>
      </tp>
      <tp>
        <v>20221231</v>
        <stp/>
        <stp>P</stp>
        <stp>0</stp>
        <stp>ECO</stp>
        <stp>190029</stp>
        <stp>현재가</stp>
        <stp>44926</stp>
        <stp>fill=true,DISP=DATE</stp>
        <tr r="R38" s="2"/>
      </tp>
      <tp>
        <v>20221231</v>
        <stp/>
        <stp>P</stp>
        <stp>0</stp>
        <stp>ECO</stp>
        <stp>700070</stp>
        <stp>현재가</stp>
        <stp>44926</stp>
        <stp>fill=true,DISP=DATE</stp>
        <tr r="R23" s="2"/>
      </tp>
      <tp>
        <v>1.9570000000000001</v>
        <stp/>
        <stp>P</stp>
        <stp>0</stp>
        <stp>ECO</stp>
        <stp>703589</stp>
        <stp>현재가</stp>
        <stp>20231231</stp>
        <stp/>
        <tr r="V24" s="2"/>
        <tr r="V24" s="2"/>
      </tp>
      <tp>
        <v>1.609</v>
        <stp/>
        <stp>P</stp>
        <stp>0</stp>
        <stp>ECO</stp>
        <stp>703559</stp>
        <stp>현재가</stp>
        <stp>20231231</stp>
        <stp/>
        <tr r="V32" s="2"/>
        <tr r="V32" s="2"/>
      </tp>
      <tp>
        <v>2.5099999999999998</v>
        <stp/>
        <stp>P</stp>
        <stp>0</stp>
        <stp>ECO</stp>
        <stp>703589</stp>
        <stp>현재가</stp>
        <stp>20221231</stp>
        <stp/>
        <tr r="U24" s="2"/>
        <tr r="U24" s="2"/>
      </tp>
      <tp>
        <v>2</v>
        <stp/>
        <stp>P</stp>
        <stp>0</stp>
        <stp>ECO</stp>
        <stp>707539</stp>
        <stp>현재가</stp>
        <stp>20261231</stp>
        <stp/>
        <tr r="Y14" s="2"/>
        <tr r="Y14" s="2"/>
      </tp>
      <tp>
        <v>1.4039999999999999</v>
        <stp/>
        <stp>P</stp>
        <stp>0</stp>
        <stp>ECO</stp>
        <stp>703559</stp>
        <stp>현재가</stp>
        <stp>20221231</stp>
        <stp/>
        <tr r="U32" s="2"/>
        <tr r="U32" s="2"/>
      </tp>
      <tp>
        <v>1.698</v>
        <stp/>
        <stp>P</stp>
        <stp>0</stp>
        <stp>ECO</stp>
        <stp>707679</stp>
        <stp>현재가</stp>
        <stp>20261231</stp>
        <stp/>
        <tr r="Y22" s="2"/>
        <tr r="Y22" s="2"/>
      </tp>
      <tp>
        <v>2</v>
        <stp/>
        <stp>P</stp>
        <stp>0</stp>
        <stp>ECO</stp>
        <stp>707539</stp>
        <stp>현재가</stp>
        <stp>20251231</stp>
        <stp/>
        <tr r="X14" s="2"/>
        <tr r="X14" s="2"/>
      </tp>
      <tp>
        <v>1.7010000000000001</v>
        <stp/>
        <stp>P</stp>
        <stp>0</stp>
        <stp>ECO</stp>
        <stp>707679</stp>
        <stp>현재가</stp>
        <stp>20251231</stp>
        <stp/>
        <tr r="X22" s="2"/>
        <tr r="X22" s="2"/>
      </tp>
      <tp>
        <v>2</v>
        <stp/>
        <stp>P</stp>
        <stp>0</stp>
        <stp>ECO</stp>
        <stp>707539</stp>
        <stp>현재가</stp>
        <stp>20241231</stp>
        <stp/>
        <tr r="W14" s="2"/>
        <tr r="W14" s="2"/>
      </tp>
      <tp>
        <v>1.625</v>
        <stp/>
        <stp>P</stp>
        <stp>0</stp>
        <stp>ECO</stp>
        <stp>707679</stp>
        <stp>현재가</stp>
        <stp>20241231</stp>
        <stp/>
        <tr r="W22" s="2"/>
        <tr r="W22" s="2"/>
      </tp>
      <tp>
        <v>2.1</v>
        <stp/>
        <stp>P</stp>
        <stp>0</stp>
        <stp>ECO</stp>
        <stp>707539</stp>
        <stp>현재가</stp>
        <stp>20231231</stp>
        <stp/>
        <tr r="V14" s="2"/>
        <tr r="V14" s="2"/>
      </tp>
      <tp>
        <v>1.339</v>
        <stp/>
        <stp>P</stp>
        <stp>0</stp>
        <stp>ECO</stp>
        <stp>707679</stp>
        <stp>현재가</stp>
        <stp>20231231</stp>
        <stp/>
        <tr r="V22" s="2"/>
        <tr r="V22" s="2"/>
      </tp>
      <tp>
        <v>2.0070000000000001</v>
        <stp/>
        <stp>P</stp>
        <stp>0</stp>
        <stp>ECO</stp>
        <stp>703589</stp>
        <stp>현재가</stp>
        <stp>20261231</stp>
        <stp/>
        <tr r="Y24" s="2"/>
        <tr r="Y24" s="2"/>
      </tp>
      <tp>
        <v>3.8</v>
        <stp/>
        <stp>P</stp>
        <stp>0</stp>
        <stp>ECO</stp>
        <stp>707539</stp>
        <stp>현재가</stp>
        <stp>20221231</stp>
        <stp/>
        <tr r="U14" s="2"/>
        <tr r="U14" s="2"/>
      </tp>
      <tp>
        <v>1.8779999999999999</v>
        <stp/>
        <stp>P</stp>
        <stp>0</stp>
        <stp>ECO</stp>
        <stp>703559</stp>
        <stp>현재가</stp>
        <stp>20261231</stp>
        <stp/>
        <tr r="Y32" s="2"/>
        <tr r="Y32" s="2"/>
      </tp>
      <tp>
        <v>8.0180000000000007</v>
        <stp/>
        <stp>P</stp>
        <stp>0</stp>
        <stp>ECO</stp>
        <stp>707679</stp>
        <stp>현재가</stp>
        <stp>20221231</stp>
        <stp/>
        <tr r="U22" s="2"/>
        <tr r="U22" s="2"/>
      </tp>
      <tp>
        <v>1.998</v>
        <stp/>
        <stp>P</stp>
        <stp>0</stp>
        <stp>ECO</stp>
        <stp>703589</stp>
        <stp>현재가</stp>
        <stp>20251231</stp>
        <stp/>
        <tr r="X24" s="2"/>
        <tr r="X24" s="2"/>
      </tp>
      <tp>
        <v>1.829</v>
        <stp/>
        <stp>P</stp>
        <stp>0</stp>
        <stp>ECO</stp>
        <stp>703559</stp>
        <stp>현재가</stp>
        <stp>20251231</stp>
        <stp/>
        <tr r="X32" s="2"/>
        <tr r="X32" s="2"/>
      </tp>
      <tp>
        <v>1.96</v>
        <stp/>
        <stp>P</stp>
        <stp>0</stp>
        <stp>ECO</stp>
        <stp>703589</stp>
        <stp>현재가</stp>
        <stp>20241231</stp>
        <stp/>
        <tr r="W24" s="2"/>
        <tr r="W24" s="2"/>
      </tp>
      <tp>
        <v>1.716</v>
        <stp/>
        <stp>P</stp>
        <stp>0</stp>
        <stp>ECO</stp>
        <stp>703559</stp>
        <stp>현재가</stp>
        <stp>20241231</stp>
        <stp/>
        <tr r="W32" s="2"/>
        <tr r="W32" s="2"/>
      </tp>
      <tp>
        <v>14.268000000000001</v>
        <stp/>
        <stp>P</stp>
        <stp>0</stp>
        <stp>ECO</stp>
        <stp>703568</stp>
        <stp>현재가</stp>
        <stp>20231231</stp>
        <stp/>
        <tr r="V16" s="2"/>
        <tr r="V16" s="2"/>
      </tp>
      <tp>
        <v>0.996</v>
        <stp/>
        <stp>P</stp>
        <stp>0</stp>
        <stp>ECO</stp>
        <stp>707538</stp>
        <stp>현재가</stp>
        <stp>20261231</stp>
        <stp/>
        <tr r="Y26" s="2"/>
        <tr r="Y26" s="2"/>
      </tp>
      <tp>
        <v>21.324000000000002</v>
        <stp/>
        <stp>P</stp>
        <stp>0</stp>
        <stp>ECO</stp>
        <stp>703568</stp>
        <stp>현재가</stp>
        <stp>20221231</stp>
        <stp/>
        <tr r="U16" s="2"/>
        <tr r="U16" s="2"/>
      </tp>
      <tp>
        <v>1.8</v>
        <stp/>
        <stp>P</stp>
        <stp>0</stp>
        <stp>ECO</stp>
        <stp>707688</stp>
        <stp>현재가</stp>
        <stp>20261231</stp>
        <stp/>
        <tr r="Y44" s="2"/>
        <tr r="Y44" s="2"/>
      </tp>
      <tp>
        <v>1.0329999999999999</v>
        <stp/>
        <stp>P</stp>
        <stp>0</stp>
        <stp>ECO</stp>
        <stp>707538</stp>
        <stp>현재가</stp>
        <stp>20251231</stp>
        <stp/>
        <tr r="X26" s="2"/>
        <tr r="X26" s="2"/>
      </tp>
      <tp>
        <v>1.8</v>
        <stp/>
        <stp>P</stp>
        <stp>0</stp>
        <stp>ECO</stp>
        <stp>707688</stp>
        <stp>현재가</stp>
        <stp>20251231</stp>
        <stp/>
        <tr r="X44" s="2"/>
        <tr r="X44" s="2"/>
      </tp>
      <tp>
        <v>1.2</v>
        <stp/>
        <stp>P</stp>
        <stp>0</stp>
        <stp>ECO</stp>
        <stp>707538</stp>
        <stp>현재가</stp>
        <stp>20241231</stp>
        <stp/>
        <tr r="W26" s="2"/>
        <tr r="W26" s="2"/>
      </tp>
      <tp>
        <v>1.8</v>
        <stp/>
        <stp>P</stp>
        <stp>0</stp>
        <stp>ECO</stp>
        <stp>707688</stp>
        <stp>현재가</stp>
        <stp>20241231</stp>
        <stp/>
        <tr r="W44" s="2"/>
        <tr r="W44" s="2"/>
      </tp>
      <tp>
        <v>1.603</v>
        <stp/>
        <stp>P</stp>
        <stp>0</stp>
        <stp>ECO</stp>
        <stp>707538</stp>
        <stp>현재가</stp>
        <stp>20231231</stp>
        <stp/>
        <tr r="V26" s="2"/>
        <tr r="V26" s="2"/>
      </tp>
      <tp>
        <v>2.677</v>
        <stp/>
        <stp>P</stp>
        <stp>0</stp>
        <stp>ECO</stp>
        <stp>707688</stp>
        <stp>현재가</stp>
        <stp>20231231</stp>
        <stp/>
        <tr r="V44" s="2"/>
        <tr r="V44" s="2"/>
      </tp>
      <tp>
        <v>2.5030000000000001</v>
        <stp/>
        <stp>P</stp>
        <stp>0</stp>
        <stp>ECO</stp>
        <stp>707538</stp>
        <stp>현재가</stp>
        <stp>20221231</stp>
        <stp/>
        <tr r="U26" s="2"/>
        <tr r="U26" s="2"/>
      </tp>
      <tp>
        <v>4</v>
        <stp/>
        <stp>P</stp>
        <stp>0</stp>
        <stp>ECO</stp>
        <stp>703568</stp>
        <stp>현재가</stp>
        <stp>20261231</stp>
        <stp/>
        <tr r="Y16" s="2"/>
        <tr r="Y16" s="2"/>
      </tp>
      <tp>
        <v>3.8450000000000002</v>
        <stp/>
        <stp>P</stp>
        <stp>0</stp>
        <stp>ECO</stp>
        <stp>707688</stp>
        <stp>현재가</stp>
        <stp>20221231</stp>
        <stp/>
        <tr r="U44" s="2"/>
        <tr r="U44" s="2"/>
      </tp>
      <tp>
        <v>6</v>
        <stp/>
        <stp>P</stp>
        <stp>0</stp>
        <stp>ECO</stp>
        <stp>703568</stp>
        <stp>현재가</stp>
        <stp>20251231</stp>
        <stp/>
        <tr r="X16" s="2"/>
        <tr r="X16" s="2"/>
      </tp>
      <tp>
        <v>9</v>
        <stp/>
        <stp>P</stp>
        <stp>0</stp>
        <stp>ECO</stp>
        <stp>703568</stp>
        <stp>현재가</stp>
        <stp>20241231</stp>
        <stp/>
        <tr r="W16" s="2"/>
        <tr r="W16" s="2"/>
      </tp>
      <tp>
        <v>2.0830000000000002</v>
        <stp/>
        <stp>P</stp>
        <stp>0</stp>
        <stp>ECO</stp>
        <stp>702803</stp>
        <stp>현재가</stp>
        <stp>20221231</stp>
        <stp/>
        <tr r="U37" s="2"/>
        <tr r="U37" s="2"/>
      </tp>
      <tp>
        <v>37.180999999999997</v>
        <stp/>
        <stp>P</stp>
        <stp>0</stp>
        <stp>ECO</stp>
        <stp>703583</stp>
        <stp>현재가</stp>
        <stp>20231231</stp>
        <stp/>
        <tr r="V41" s="2"/>
        <tr r="V41" s="2"/>
      </tp>
      <tp>
        <v>1.7829999999999999</v>
        <stp/>
        <stp>P</stp>
        <stp>0</stp>
        <stp>ECO</stp>
        <stp>703553</stp>
        <stp>현재가</stp>
        <stp>20231231</stp>
        <stp/>
        <tr r="V43" s="2"/>
        <tr r="V43" s="2"/>
      </tp>
      <tp>
        <v>1.8360000000000001</v>
        <stp/>
        <stp>P</stp>
        <stp>0</stp>
        <stp>ECO</stp>
        <stp>702803</stp>
        <stp>현재가</stp>
        <stp>20231231</stp>
        <stp/>
        <tr r="V37" s="2"/>
        <tr r="V37" s="2"/>
      </tp>
      <tp>
        <v>60.46</v>
        <stp/>
        <stp>P</stp>
        <stp>0</stp>
        <stp>ECO</stp>
        <stp>703583</stp>
        <stp>현재가</stp>
        <stp>20221231</stp>
        <stp/>
        <tr r="U41" s="2"/>
        <tr r="U41" s="2"/>
      </tp>
      <tp>
        <v>3.5</v>
        <stp/>
        <stp>P</stp>
        <stp>0</stp>
        <stp>ECO</stp>
        <stp>707533</stp>
        <stp>현재가</stp>
        <stp>20261231</stp>
        <stp/>
        <tr r="Y21" s="2"/>
        <tr r="Y21" s="2"/>
      </tp>
      <tp>
        <v>2</v>
        <stp/>
        <stp>P</stp>
        <stp>0</stp>
        <stp>ECO</stp>
        <stp>707543</stp>
        <stp>현재가</stp>
        <stp>20261231</stp>
        <stp/>
        <tr r="Y38" s="2"/>
        <tr r="Y38" s="2"/>
      </tp>
      <tp>
        <v>4.0750000000000002</v>
        <stp/>
        <stp>P</stp>
        <stp>0</stp>
        <stp>ECO</stp>
        <stp>703553</stp>
        <stp>현재가</stp>
        <stp>20221231</stp>
        <stp/>
        <tr r="U43" s="2"/>
        <tr r="U43" s="2"/>
      </tp>
      <tp>
        <v>2</v>
        <stp/>
        <stp>P</stp>
        <stp>0</stp>
        <stp>ECO</stp>
        <stp>707673</stp>
        <stp>현재가</stp>
        <stp>20261231</stp>
        <stp/>
        <tr r="Y11" s="2"/>
        <tr r="Y11" s="2"/>
      </tp>
      <tp>
        <v>3.5</v>
        <stp/>
        <stp>P</stp>
        <stp>0</stp>
        <stp>ECO</stp>
        <stp>707533</stp>
        <stp>현재가</stp>
        <stp>20251231</stp>
        <stp/>
        <tr r="X21" s="2"/>
        <tr r="X21" s="2"/>
      </tp>
      <tp>
        <v>2</v>
        <stp/>
        <stp>P</stp>
        <stp>0</stp>
        <stp>ECO</stp>
        <stp>707543</stp>
        <stp>현재가</stp>
        <stp>20251231</stp>
        <stp/>
        <tr r="X38" s="2"/>
        <tr r="X38" s="2"/>
      </tp>
      <tp>
        <v>2</v>
        <stp/>
        <stp>P</stp>
        <stp>0</stp>
        <stp>ECO</stp>
        <stp>707673</stp>
        <stp>현재가</stp>
        <stp>20251231</stp>
        <stp/>
        <tr r="X11" s="2"/>
        <tr r="X11" s="2"/>
      </tp>
      <tp>
        <v>3.5</v>
        <stp/>
        <stp>P</stp>
        <stp>0</stp>
        <stp>ECO</stp>
        <stp>707533</stp>
        <stp>현재가</stp>
        <stp>20241231</stp>
        <stp/>
        <tr r="W21" s="2"/>
        <tr r="W21" s="2"/>
      </tp>
      <tp>
        <v>2</v>
        <stp/>
        <stp>P</stp>
        <stp>0</stp>
        <stp>ECO</stp>
        <stp>707543</stp>
        <stp>현재가</stp>
        <stp>20241231</stp>
        <stp/>
        <tr r="W38" s="2"/>
        <tr r="W38" s="2"/>
      </tp>
      <tp>
        <v>2.1</v>
        <stp/>
        <stp>P</stp>
        <stp>0</stp>
        <stp>ECO</stp>
        <stp>707673</stp>
        <stp>현재가</stp>
        <stp>20241231</stp>
        <stp/>
        <tr r="W11" s="2"/>
        <tr r="W11" s="2"/>
      </tp>
      <tp>
        <v>2</v>
        <stp/>
        <stp>P</stp>
        <stp>0</stp>
        <stp>ECO</stp>
        <stp>702803</stp>
        <stp>현재가</stp>
        <stp>20261231</stp>
        <stp/>
        <tr r="Y37" s="2"/>
        <tr r="Y37" s="2"/>
      </tp>
      <tp>
        <v>3.2290000000000001</v>
        <stp/>
        <stp>P</stp>
        <stp>0</stp>
        <stp>ECO</stp>
        <stp>707533</stp>
        <stp>현재가</stp>
        <stp>20231231</stp>
        <stp/>
        <tr r="V21" s="2"/>
        <tr r="V21" s="2"/>
      </tp>
      <tp>
        <v>2.2989999999999999</v>
        <stp/>
        <stp>P</stp>
        <stp>0</stp>
        <stp>ECO</stp>
        <stp>707543</stp>
        <stp>현재가</stp>
        <stp>20231231</stp>
        <stp/>
        <tr r="V38" s="2"/>
        <tr r="V38" s="2"/>
      </tp>
      <tp>
        <v>1.8</v>
        <stp/>
        <stp>P</stp>
        <stp>0</stp>
        <stp>ECO</stp>
        <stp>707673</stp>
        <stp>현재가</stp>
        <stp>20231231</stp>
        <stp/>
        <tr r="V11" s="2"/>
        <tr r="V11" s="2"/>
      </tp>
      <tp>
        <v>15.064</v>
        <stp/>
        <stp>P</stp>
        <stp>0</stp>
        <stp>ECO</stp>
        <stp>703583</stp>
        <stp>현재가</stp>
        <stp>20261231</stp>
        <stp/>
        <tr r="Y41" s="2"/>
        <tr r="Y41" s="2"/>
      </tp>
      <tp>
        <v>3.847</v>
        <stp/>
        <stp>P</stp>
        <stp>0</stp>
        <stp>ECO</stp>
        <stp>707533</stp>
        <stp>현재가</stp>
        <stp>20221231</stp>
        <stp/>
        <tr r="U21" s="2"/>
        <tr r="U21" s="2"/>
      </tp>
      <tp>
        <v>8.9640000000000004</v>
        <stp/>
        <stp>P</stp>
        <stp>0</stp>
        <stp>ECO</stp>
        <stp>707543</stp>
        <stp>현재가</stp>
        <stp>20221231</stp>
        <stp/>
        <tr r="U38" s="2"/>
        <tr r="U38" s="2"/>
      </tp>
      <tp>
        <v>1.679</v>
        <stp/>
        <stp>P</stp>
        <stp>0</stp>
        <stp>ECO</stp>
        <stp>703553</stp>
        <stp>현재가</stp>
        <stp>20261231</stp>
        <stp/>
        <tr r="Y43" s="2"/>
        <tr r="Y43" s="2"/>
      </tp>
      <tp>
        <v>3.5</v>
        <stp/>
        <stp>P</stp>
        <stp>0</stp>
        <stp>ECO</stp>
        <stp>707673</stp>
        <stp>현재가</stp>
        <stp>20221231</stp>
        <stp/>
        <tr r="U11" s="2"/>
        <tr r="U11" s="2"/>
      </tp>
      <tp>
        <v>1.976</v>
        <stp/>
        <stp>P</stp>
        <stp>0</stp>
        <stp>ECO</stp>
        <stp>702803</stp>
        <stp>현재가</stp>
        <stp>20241231</stp>
        <stp/>
        <tr r="W37" s="2"/>
        <tr r="W37" s="2"/>
      </tp>
      <tp>
        <v>15.968999999999999</v>
        <stp/>
        <stp>P</stp>
        <stp>0</stp>
        <stp>ECO</stp>
        <stp>703583</stp>
        <stp>현재가</stp>
        <stp>20251231</stp>
        <stp/>
        <tr r="X41" s="2"/>
        <tr r="X41" s="2"/>
      </tp>
      <tp>
        <v>1.6259999999999999</v>
        <stp/>
        <stp>P</stp>
        <stp>0</stp>
        <stp>ECO</stp>
        <stp>703553</stp>
        <stp>현재가</stp>
        <stp>20251231</stp>
        <stp/>
        <tr r="X43" s="2"/>
        <tr r="X43" s="2"/>
      </tp>
      <tp>
        <v>2</v>
        <stp/>
        <stp>P</stp>
        <stp>0</stp>
        <stp>ECO</stp>
        <stp>702803</stp>
        <stp>현재가</stp>
        <stp>20251231</stp>
        <stp/>
        <tr r="X37" s="2"/>
        <tr r="X37" s="2"/>
      </tp>
      <tp>
        <v>20.446000000000002</v>
        <stp/>
        <stp>P</stp>
        <stp>0</stp>
        <stp>ECO</stp>
        <stp>703583</stp>
        <stp>현재가</stp>
        <stp>20241231</stp>
        <stp/>
        <tr r="W41" s="2"/>
        <tr r="W41" s="2"/>
      </tp>
      <tp>
        <v>1.7210000000000001</v>
        <stp/>
        <stp>P</stp>
        <stp>0</stp>
        <stp>ECO</stp>
        <stp>703553</stp>
        <stp>현재가</stp>
        <stp>20241231</stp>
        <stp/>
        <tr r="W43" s="2"/>
        <tr r="W43" s="2"/>
      </tp>
      <tp>
        <v>4.6470000000000002</v>
        <stp/>
        <stp>P</stp>
        <stp>0</stp>
        <stp>ECO</stp>
        <stp>703592</stp>
        <stp>현재가</stp>
        <stp>20231231</stp>
        <stp/>
        <tr r="V9" s="2"/>
        <tr r="V9" s="2"/>
      </tp>
      <tp>
        <v>5.2729999999999997</v>
        <stp/>
        <stp>P</stp>
        <stp>0</stp>
        <stp>ECO</stp>
        <stp>703562</stp>
        <stp>현재가</stp>
        <stp>20231231</stp>
        <stp/>
        <tr r="V31" s="2"/>
        <tr r="V31" s="2"/>
      </tp>
      <tp>
        <v>5.7320000000000002</v>
        <stp/>
        <stp>P</stp>
        <stp>0</stp>
        <stp>ECO</stp>
        <stp>703592</stp>
        <stp>현재가</stp>
        <stp>20221231</stp>
        <stp/>
        <tr r="U9" s="2"/>
        <tr r="U9" s="2"/>
      </tp>
      <tp>
        <v>3.1429999999999998</v>
        <stp/>
        <stp>P</stp>
        <stp>0</stp>
        <stp>ECO</stp>
        <stp>707542</stp>
        <stp>현재가</stp>
        <stp>20261231</stp>
        <stp/>
        <tr r="Y46" s="2"/>
        <tr r="Y46" s="2"/>
      </tp>
      <tp>
        <v>7.41</v>
        <stp/>
        <stp>P</stp>
        <stp>0</stp>
        <stp>ECO</stp>
        <stp>703562</stp>
        <stp>현재가</stp>
        <stp>20221231</stp>
        <stp/>
        <tr r="U31" s="2"/>
        <tr r="U31" s="2"/>
      </tp>
      <tp>
        <v>2</v>
        <stp/>
        <stp>P</stp>
        <stp>0</stp>
        <stp>ECO</stp>
        <stp>707682</stp>
        <stp>현재가</stp>
        <stp>20261231</stp>
        <stp/>
        <tr r="Y25" s="2"/>
        <tr r="Y25" s="2"/>
      </tp>
      <tp>
        <v>3.4860000000000002</v>
        <stp/>
        <stp>P</stp>
        <stp>0</stp>
        <stp>ECO</stp>
        <stp>707542</stp>
        <stp>현재가</stp>
        <stp>20251231</stp>
        <stp/>
        <tr r="X46" s="2"/>
        <tr r="X46" s="2"/>
      </tp>
      <tp>
        <v>1.9</v>
        <stp/>
        <stp>P</stp>
        <stp>0</stp>
        <stp>ECO</stp>
        <stp>707682</stp>
        <stp>현재가</stp>
        <stp>20251231</stp>
        <stp/>
        <tr r="X25" s="2"/>
        <tr r="X25" s="2"/>
      </tp>
      <tp>
        <v>3.988</v>
        <stp/>
        <stp>P</stp>
        <stp>0</stp>
        <stp>ECO</stp>
        <stp>707542</stp>
        <stp>현재가</stp>
        <stp>20241231</stp>
        <stp/>
        <tr r="W46" s="2"/>
        <tr r="W46" s="2"/>
      </tp>
      <tp>
        <v>1.7</v>
        <stp/>
        <stp>P</stp>
        <stp>0</stp>
        <stp>ECO</stp>
        <stp>707682</stp>
        <stp>현재가</stp>
        <stp>20241231</stp>
        <stp/>
        <tr r="W25" s="2"/>
        <tr r="W25" s="2"/>
      </tp>
      <tp>
        <v>6.3929999999999998</v>
        <stp/>
        <stp>P</stp>
        <stp>0</stp>
        <stp>ECO</stp>
        <stp>707542</stp>
        <stp>현재가</stp>
        <stp>20231231</stp>
        <stp/>
        <tr r="V46" s="2"/>
        <tr r="V46" s="2"/>
      </tp>
      <tp>
        <v>2.2490000000000001</v>
        <stp/>
        <stp>P</stp>
        <stp>0</stp>
        <stp>ECO</stp>
        <stp>707682</stp>
        <stp>현재가</stp>
        <stp>20231231</stp>
        <stp/>
        <tr r="V25" s="2"/>
        <tr r="V25" s="2"/>
      </tp>
      <tp>
        <v>4.5</v>
        <stp/>
        <stp>P</stp>
        <stp>0</stp>
        <stp>ECO</stp>
        <stp>703592</stp>
        <stp>현재가</stp>
        <stp>20261231</stp>
        <stp/>
        <tr r="Y9" s="2"/>
        <tr r="Y9" s="2"/>
      </tp>
      <tp>
        <v>10.349</v>
        <stp/>
        <stp>P</stp>
        <stp>0</stp>
        <stp>ECO</stp>
        <stp>707542</stp>
        <stp>현재가</stp>
        <stp>20221231</stp>
        <stp/>
        <tr r="U46" s="2"/>
        <tr r="U46" s="2"/>
      </tp>
      <tp>
        <v>2</v>
        <stp/>
        <stp>P</stp>
        <stp>0</stp>
        <stp>ECO</stp>
        <stp>703562</stp>
        <stp>현재가</stp>
        <stp>20261231</stp>
        <stp/>
        <tr r="Y31" s="2"/>
        <tr r="Y31" s="2"/>
      </tp>
      <tp>
        <v>4.7960000000000003</v>
        <stp/>
        <stp>P</stp>
        <stp>0</stp>
        <stp>ECO</stp>
        <stp>707682</stp>
        <stp>현재가</stp>
        <stp>20221231</stp>
        <stp/>
        <tr r="U25" s="2"/>
        <tr r="U25" s="2"/>
      </tp>
      <tp>
        <v>4.5</v>
        <stp/>
        <stp>P</stp>
        <stp>0</stp>
        <stp>ECO</stp>
        <stp>703592</stp>
        <stp>현재가</stp>
        <stp>20251231</stp>
        <stp/>
        <tr r="X9" s="2"/>
        <tr r="X9" s="2"/>
      </tp>
      <tp>
        <v>1.8759999999999999</v>
        <stp/>
        <stp>P</stp>
        <stp>0</stp>
        <stp>ECO</stp>
        <stp>703562</stp>
        <stp>현재가</stp>
        <stp>20251231</stp>
        <stp/>
        <tr r="X31" s="2"/>
        <tr r="X31" s="2"/>
      </tp>
      <tp>
        <v>4.5</v>
        <stp/>
        <stp>P</stp>
        <stp>0</stp>
        <stp>ECO</stp>
        <stp>703592</stp>
        <stp>현재가</stp>
        <stp>20241231</stp>
        <stp/>
        <tr r="W9" s="2"/>
        <tr r="W9" s="2"/>
      </tp>
      <tp>
        <v>2.5950000000000002</v>
        <stp/>
        <stp>P</stp>
        <stp>0</stp>
        <stp>ECO</stp>
        <stp>703562</stp>
        <stp>현재가</stp>
        <stp>20241231</stp>
        <stp/>
        <tr r="W31" s="2"/>
        <tr r="W31" s="2"/>
      </tp>
      <tp>
        <v>2.6619999999999999</v>
        <stp/>
        <stp>P</stp>
        <stp>0</stp>
        <stp>ECO</stp>
        <stp>703571</stp>
        <stp>현재가</stp>
        <stp>20231231</stp>
        <stp/>
        <tr r="V47" s="2"/>
        <tr r="V47" s="2"/>
      </tp>
      <tp>
        <v>2</v>
        <stp/>
        <stp>P</stp>
        <stp>0</stp>
        <stp>ECO</stp>
        <stp>707531</stp>
        <stp>현재가</stp>
        <stp>20261231</stp>
        <stp/>
        <tr r="Y40" s="2"/>
        <tr r="Y40" s="2"/>
      </tp>
      <tp>
        <v>2.6</v>
        <stp/>
        <stp>P</stp>
        <stp>0</stp>
        <stp>ECO</stp>
        <stp>707541</stp>
        <stp>현재가</stp>
        <stp>20261231</stp>
        <stp/>
        <tr r="Y42" s="2"/>
        <tr r="Y42" s="2"/>
      </tp>
      <tp>
        <v>3.9380000000000002</v>
        <stp/>
        <stp>P</stp>
        <stp>0</stp>
        <stp>ECO</stp>
        <stp>703571</stp>
        <stp>현재가</stp>
        <stp>20221231</stp>
        <stp/>
        <tr r="U47" s="2"/>
        <tr r="U47" s="2"/>
      </tp>
      <tp>
        <v>2.5</v>
        <stp/>
        <stp>P</stp>
        <stp>0</stp>
        <stp>ECO</stp>
        <stp>707691</stp>
        <stp>현재가</stp>
        <stp>20261231</stp>
        <stp/>
        <tr r="Y48" s="2"/>
        <tr r="Y48" s="2"/>
      </tp>
      <tp>
        <v>2.2000000000000002</v>
        <stp/>
        <stp>P</stp>
        <stp>0</stp>
        <stp>ECO</stp>
        <stp>707531</stp>
        <stp>현재가</stp>
        <stp>20251231</stp>
        <stp/>
        <tr r="X40" s="2"/>
        <tr r="X40" s="2"/>
      </tp>
      <tp>
        <v>3.153</v>
        <stp/>
        <stp>P</stp>
        <stp>0</stp>
        <stp>ECO</stp>
        <stp>707541</stp>
        <stp>현재가</stp>
        <stp>20251231</stp>
        <stp/>
        <tr r="X42" s="2"/>
        <tr r="X42" s="2"/>
      </tp>
      <tp>
        <v>2.5</v>
        <stp/>
        <stp>P</stp>
        <stp>0</stp>
        <stp>ECO</stp>
        <stp>707691</stp>
        <stp>현재가</stp>
        <stp>20251231</stp>
        <stp/>
        <tr r="X48" s="2"/>
        <tr r="X48" s="2"/>
      </tp>
      <tp>
        <v>2.5</v>
        <stp/>
        <stp>P</stp>
        <stp>0</stp>
        <stp>ECO</stp>
        <stp>707531</stp>
        <stp>현재가</stp>
        <stp>20241231</stp>
        <stp/>
        <tr r="W40" s="2"/>
        <tr r="W40" s="2"/>
      </tp>
      <tp>
        <v>3.9449999999999998</v>
        <stp/>
        <stp>P</stp>
        <stp>0</stp>
        <stp>ECO</stp>
        <stp>707541</stp>
        <stp>현재가</stp>
        <stp>20241231</stp>
        <stp/>
        <tr r="W42" s="2"/>
        <tr r="W42" s="2"/>
      </tp>
      <tp>
        <v>2.2999999999999998</v>
        <stp/>
        <stp>P</stp>
        <stp>0</stp>
        <stp>ECO</stp>
        <stp>707691</stp>
        <stp>현재가</stp>
        <stp>20241231</stp>
        <stp/>
        <tr r="W48" s="2"/>
        <tr r="W48" s="2"/>
      </tp>
      <tp>
        <v>2.79</v>
        <stp/>
        <stp>P</stp>
        <stp>0</stp>
        <stp>ECO</stp>
        <stp>707531</stp>
        <stp>현재가</stp>
        <stp>20231231</stp>
        <stp/>
        <tr r="V40" s="2"/>
        <tr r="V40" s="2"/>
      </tp>
      <tp>
        <v>10.346</v>
        <stp/>
        <stp>P</stp>
        <stp>0</stp>
        <stp>ECO</stp>
        <stp>707541</stp>
        <stp>현재가</stp>
        <stp>20231231</stp>
        <stp/>
        <tr r="V42" s="2"/>
        <tr r="V42" s="2"/>
      </tp>
      <tp>
        <v>2.1</v>
        <stp/>
        <stp>P</stp>
        <stp>0</stp>
        <stp>ECO</stp>
        <stp>707691</stp>
        <stp>현재가</stp>
        <stp>20231231</stp>
        <stp/>
        <tr r="V48" s="2"/>
        <tr r="V48" s="2"/>
      </tp>
      <tp>
        <v>3.5110000000000001</v>
        <stp/>
        <stp>P</stp>
        <stp>0</stp>
        <stp>ECO</stp>
        <stp>707531</stp>
        <stp>현재가</stp>
        <stp>20221231</stp>
        <stp/>
        <tr r="U40" s="2"/>
        <tr r="U40" s="2"/>
      </tp>
      <tp>
        <v>8.8680000000000003</v>
        <stp/>
        <stp>P</stp>
        <stp>0</stp>
        <stp>ECO</stp>
        <stp>707541</stp>
        <stp>현재가</stp>
        <stp>20221231</stp>
        <stp/>
        <tr r="U42" s="2"/>
        <tr r="U42" s="2"/>
      </tp>
      <tp>
        <v>2.5489999999999999</v>
        <stp/>
        <stp>P</stp>
        <stp>0</stp>
        <stp>ECO</stp>
        <stp>703571</stp>
        <stp>현재가</stp>
        <stp>20261231</stp>
        <stp/>
        <tr r="Y47" s="2"/>
        <tr r="Y47" s="2"/>
      </tp>
      <tp>
        <v>1.9</v>
        <stp/>
        <stp>P</stp>
        <stp>0</stp>
        <stp>ECO</stp>
        <stp>707691</stp>
        <stp>현재가</stp>
        <stp>20221231</stp>
        <stp/>
        <tr r="U48" s="2"/>
        <tr r="U48" s="2"/>
      </tp>
      <tp>
        <v>2.5489999999999999</v>
        <stp/>
        <stp>P</stp>
        <stp>0</stp>
        <stp>ECO</stp>
        <stp>703571</stp>
        <stp>현재가</stp>
        <stp>20251231</stp>
        <stp/>
        <tr r="X47" s="2"/>
        <tr r="X47" s="2"/>
      </tp>
      <tp>
        <v>2.4849999999999999</v>
        <stp/>
        <stp>P</stp>
        <stp>0</stp>
        <stp>ECO</stp>
        <stp>703571</stp>
        <stp>현재가</stp>
        <stp>20241231</stp>
        <stp/>
        <tr r="W47" s="2"/>
        <tr r="W47" s="2"/>
      </tp>
      <tp>
        <v>43.463000000000001</v>
        <stp/>
        <stp>P</stp>
        <stp>0</stp>
        <stp>ECO</stp>
        <stp>703580</stp>
        <stp>현재가</stp>
        <stp>20231231</stp>
        <stp/>
        <tr r="V29" s="2"/>
        <tr r="V29" s="2"/>
      </tp>
      <tp>
        <v>2.3679999999999999</v>
        <stp/>
        <stp>P</stp>
        <stp>0</stp>
        <stp>ECO</stp>
        <stp>703550</stp>
        <stp>현재가</stp>
        <stp>20231231</stp>
        <stp/>
        <tr r="V39" s="2"/>
        <tr r="V39" s="2"/>
      </tp>
      <tp>
        <v>51.732999999999997</v>
        <stp/>
        <stp>P</stp>
        <stp>0</stp>
        <stp>ECO</stp>
        <stp>703580</stp>
        <stp>현재가</stp>
        <stp>20221231</stp>
        <stp/>
        <tr r="U29" s="2"/>
        <tr r="U29" s="2"/>
      </tp>
      <tp>
        <v>2.4409999999999998</v>
        <stp/>
        <stp>P</stp>
        <stp>0</stp>
        <stp>ECO</stp>
        <stp>707530</stp>
        <stp>현재가</stp>
        <stp>20261231</stp>
        <stp/>
        <tr r="Y17" s="2"/>
        <tr r="Y17" s="2"/>
      </tp>
      <tp>
        <v>1.873</v>
        <stp/>
        <stp>P</stp>
        <stp>0</stp>
        <stp>ECO</stp>
        <stp>707540</stp>
        <stp>현재가</stp>
        <stp>20261231</stp>
        <stp/>
        <tr r="Y8" s="2"/>
        <tr r="Y8" s="2"/>
      </tp>
      <tp>
        <v>5.6369999999999996</v>
        <stp/>
        <stp>P</stp>
        <stp>0</stp>
        <stp>ECO</stp>
        <stp>703550</stp>
        <stp>현재가</stp>
        <stp>20221231</stp>
        <stp/>
        <tr r="U39" s="2"/>
        <tr r="U39" s="2"/>
      </tp>
      <tp>
        <v>2</v>
        <stp/>
        <stp>P</stp>
        <stp>0</stp>
        <stp>ECO</stp>
        <stp>707670</stp>
        <stp>현재가</stp>
        <stp>20261231</stp>
        <stp/>
        <tr r="Y10" s="2"/>
        <tr r="Y10" s="2"/>
      </tp>
      <tp>
        <v>2.41</v>
        <stp/>
        <stp>P</stp>
        <stp>0</stp>
        <stp>ECO</stp>
        <stp>707530</stp>
        <stp>현재가</stp>
        <stp>20251231</stp>
        <stp/>
        <tr r="X17" s="2"/>
        <tr r="X17" s="2"/>
      </tp>
      <tp>
        <v>1.7829999999999999</v>
        <stp/>
        <stp>P</stp>
        <stp>0</stp>
        <stp>ECO</stp>
        <stp>707540</stp>
        <stp>현재가</stp>
        <stp>20251231</stp>
        <stp/>
        <tr r="X8" s="2"/>
        <tr r="X8" s="2"/>
      </tp>
      <tp>
        <v>1.9</v>
        <stp/>
        <stp>P</stp>
        <stp>0</stp>
        <stp>ECO</stp>
        <stp>707670</stp>
        <stp>현재가</stp>
        <stp>20251231</stp>
        <stp/>
        <tr r="X10" s="2"/>
        <tr r="X10" s="2"/>
      </tp>
      <tp>
        <v>2.379</v>
        <stp/>
        <stp>P</stp>
        <stp>0</stp>
        <stp>ECO</stp>
        <stp>707530</stp>
        <stp>현재가</stp>
        <stp>20241231</stp>
        <stp/>
        <tr r="W17" s="2"/>
        <tr r="W17" s="2"/>
      </tp>
      <tp>
        <v>1.6180000000000001</v>
        <stp/>
        <stp>P</stp>
        <stp>0</stp>
        <stp>ECO</stp>
        <stp>707540</stp>
        <stp>현재가</stp>
        <stp>20241231</stp>
        <stp/>
        <tr r="W8" s="2"/>
        <tr r="W8" s="2"/>
      </tp>
      <tp>
        <v>1.9</v>
        <stp/>
        <stp>P</stp>
        <stp>0</stp>
        <stp>ECO</stp>
        <stp>707670</stp>
        <stp>현재가</stp>
        <stp>20241231</stp>
        <stp/>
        <tr r="W10" s="2"/>
        <tr r="W10" s="2"/>
      </tp>
      <tp>
        <v>2.38</v>
        <stp/>
        <stp>P</stp>
        <stp>0</stp>
        <stp>ECO</stp>
        <stp>707530</stp>
        <stp>현재가</stp>
        <stp>20231231</stp>
        <stp/>
        <tr r="V17" s="2"/>
        <tr r="V17" s="2"/>
      </tp>
      <tp>
        <v>1.3089999999999999</v>
        <stp/>
        <stp>P</stp>
        <stp>0</stp>
        <stp>ECO</stp>
        <stp>707540</stp>
        <stp>현재가</stp>
        <stp>20231231</stp>
        <stp/>
        <tr r="V8" s="2"/>
        <tr r="V8" s="2"/>
      </tp>
      <tp>
        <v>2.2869999999999999</v>
        <stp/>
        <stp>P</stp>
        <stp>0</stp>
        <stp>ECO</stp>
        <stp>707670</stp>
        <stp>현재가</stp>
        <stp>20231231</stp>
        <stp/>
        <tr r="V10" s="2"/>
        <tr r="V10" s="2"/>
      </tp>
      <tp>
        <v>29.175999999999998</v>
        <stp/>
        <stp>P</stp>
        <stp>0</stp>
        <stp>ECO</stp>
        <stp>703580</stp>
        <stp>현재가</stp>
        <stp>20261231</stp>
        <stp/>
        <tr r="Y29" s="2"/>
        <tr r="Y29" s="2"/>
      </tp>
      <tp>
        <v>3.0489999999999999</v>
        <stp/>
        <stp>P</stp>
        <stp>0</stp>
        <stp>ECO</stp>
        <stp>707530</stp>
        <stp>현재가</stp>
        <stp>20221231</stp>
        <stp/>
        <tr r="U17" s="2"/>
        <tr r="U17" s="2"/>
      </tp>
      <tp>
        <v>4.516</v>
        <stp/>
        <stp>P</stp>
        <stp>0</stp>
        <stp>ECO</stp>
        <stp>707540</stp>
        <stp>현재가</stp>
        <stp>20221231</stp>
        <stp/>
        <tr r="U8" s="2"/>
        <tr r="U8" s="2"/>
      </tp>
      <tp>
        <v>2.0150000000000001</v>
        <stp/>
        <stp>P</stp>
        <stp>0</stp>
        <stp>ECO</stp>
        <stp>703550</stp>
        <stp>현재가</stp>
        <stp>20261231</stp>
        <stp/>
        <tr r="Y39" s="2"/>
        <tr r="Y39" s="2"/>
      </tp>
      <tp>
        <v>5.1779999999999999</v>
        <stp/>
        <stp>P</stp>
        <stp>0</stp>
        <stp>ECO</stp>
        <stp>707670</stp>
        <stp>현재가</stp>
        <stp>20221231</stp>
        <stp/>
        <tr r="U10" s="2"/>
        <tr r="U10" s="2"/>
      </tp>
      <tp>
        <v>35.295999999999999</v>
        <stp/>
        <stp>P</stp>
        <stp>0</stp>
        <stp>ECO</stp>
        <stp>703580</stp>
        <stp>현재가</stp>
        <stp>20251231</stp>
        <stp/>
        <tr r="X29" s="2"/>
        <tr r="X29" s="2"/>
      </tp>
      <tp>
        <v>1.8939999999999999</v>
        <stp/>
        <stp>P</stp>
        <stp>0</stp>
        <stp>ECO</stp>
        <stp>703550</stp>
        <stp>현재가</stp>
        <stp>20251231</stp>
        <stp/>
        <tr r="X39" s="2"/>
        <tr r="X39" s="2"/>
      </tp>
      <tp>
        <v>38.499000000000002</v>
        <stp/>
        <stp>P</stp>
        <stp>0</stp>
        <stp>ECO</stp>
        <stp>703580</stp>
        <stp>현재가</stp>
        <stp>20241231</stp>
        <stp/>
        <tr r="W29" s="2"/>
        <tr r="W29" s="2"/>
      </tp>
      <tp>
        <v>1.9239999999999999</v>
        <stp/>
        <stp>P</stp>
        <stp>0</stp>
        <stp>ECO</stp>
        <stp>703550</stp>
        <stp>현재가</stp>
        <stp>20241231</stp>
        <stp/>
        <tr r="W39" s="2"/>
        <tr r="W39" s="2"/>
      </tp>
      <tp>
        <v>0.82699999999999996</v>
        <stp/>
        <stp>P</stp>
        <stp>0</stp>
        <stp>ECO</stp>
        <stp>703547</stp>
        <stp>현재가</stp>
        <stp>20231231</stp>
        <stp/>
        <tr r="V36" s="2"/>
        <tr r="V36" s="2"/>
      </tp>
      <tp>
        <v>3.3359999999999999</v>
        <stp/>
        <stp>P</stp>
        <stp>0</stp>
        <stp>ECO</stp>
        <stp>703577</stp>
        <stp>현재가</stp>
        <stp>20231231</stp>
        <stp/>
        <tr r="V35" s="2"/>
        <tr r="V35" s="2"/>
      </tp>
      <tp>
        <v>0.98399999999999999</v>
        <stp/>
        <stp>P</stp>
        <stp>0</stp>
        <stp>ECO</stp>
        <stp>703547</stp>
        <stp>현재가</stp>
        <stp>20221231</stp>
        <stp/>
        <tr r="U36" s="2"/>
        <tr r="U36" s="2"/>
      </tp>
      <tp>
        <v>3.29</v>
        <stp/>
        <stp>P</stp>
        <stp>0</stp>
        <stp>ECO</stp>
        <stp>703577</stp>
        <stp>현재가</stp>
        <stp>20221231</stp>
        <stp/>
        <tr r="U35" s="2"/>
        <tr r="U35" s="2"/>
      </tp>
      <tp>
        <v>0.96599999999999997</v>
        <stp/>
        <stp>P</stp>
        <stp>0</stp>
        <stp>ECO</stp>
        <stp>703547</stp>
        <stp>현재가</stp>
        <stp>20261231</stp>
        <stp/>
        <tr r="Y36" s="2"/>
        <tr r="Y36" s="2"/>
      </tp>
      <tp>
        <v>2.9180000000000001</v>
        <stp/>
        <stp>P</stp>
        <stp>0</stp>
        <stp>ECO</stp>
        <stp>703577</stp>
        <stp>현재가</stp>
        <stp>20261231</stp>
        <stp/>
        <tr r="Y35" s="2"/>
        <tr r="Y35" s="2"/>
      </tp>
      <tp>
        <v>0.996</v>
        <stp/>
        <stp>P</stp>
        <stp>0</stp>
        <stp>ECO</stp>
        <stp>703547</stp>
        <stp>현재가</stp>
        <stp>20251231</stp>
        <stp/>
        <tr r="X36" s="2"/>
        <tr r="X36" s="2"/>
      </tp>
      <tp>
        <v>2.9180000000000001</v>
        <stp/>
        <stp>P</stp>
        <stp>0</stp>
        <stp>ECO</stp>
        <stp>703577</stp>
        <stp>현재가</stp>
        <stp>20251231</stp>
        <stp/>
        <tr r="X35" s="2"/>
        <tr r="X35" s="2"/>
      </tp>
      <tp>
        <v>0.92800000000000005</v>
        <stp/>
        <stp>P</stp>
        <stp>0</stp>
        <stp>ECO</stp>
        <stp>703547</stp>
        <stp>현재가</stp>
        <stp>20241231</stp>
        <stp/>
        <tr r="W36" s="2"/>
        <tr r="W36" s="2"/>
      </tp>
      <tp>
        <v>2.9849999999999999</v>
        <stp/>
        <stp>P</stp>
        <stp>0</stp>
        <stp>ECO</stp>
        <stp>703577</stp>
        <stp>현재가</stp>
        <stp>20241231</stp>
        <stp/>
        <tr r="W35" s="2"/>
        <tr r="W35" s="2"/>
      </tp>
      <tp>
        <v>8.2200000000000006</v>
        <stp/>
        <stp>P</stp>
        <stp>0</stp>
        <stp>ECO</stp>
        <stp>702806</stp>
        <stp>현재가</stp>
        <stp>20221231</stp>
        <stp/>
        <tr r="U23" s="2"/>
        <tr r="U23" s="2"/>
      </tp>
      <tp>
        <v>3.9129999999999998</v>
        <stp/>
        <stp>P</stp>
        <stp>0</stp>
        <stp>ECO</stp>
        <stp>703586</stp>
        <stp>현재가</stp>
        <stp>20231231</stp>
        <stp/>
        <tr r="V18" s="2"/>
        <tr r="V18" s="2"/>
      </tp>
      <tp>
        <v>2.9</v>
        <stp/>
        <stp>P</stp>
        <stp>0</stp>
        <stp>ECO</stp>
        <stp>703556</stp>
        <stp>현재가</stp>
        <stp>20231231</stp>
        <stp/>
        <tr r="V15" s="2"/>
        <tr r="V15" s="2"/>
      </tp>
      <tp>
        <v>5.0810000000000004</v>
        <stp/>
        <stp>P</stp>
        <stp>0</stp>
        <stp>ECO</stp>
        <stp>702806</stp>
        <stp>현재가</stp>
        <stp>20231231</stp>
        <stp/>
        <tr r="V23" s="2"/>
        <tr r="V23" s="2"/>
      </tp>
      <tp>
        <v>6.8129999999999997</v>
        <stp/>
        <stp>P</stp>
        <stp>0</stp>
        <stp>ECO</stp>
        <stp>703586</stp>
        <stp>현재가</stp>
        <stp>20221231</stp>
        <stp/>
        <tr r="U18" s="2"/>
        <tr r="U18" s="2"/>
      </tp>
      <tp>
        <v>1.7</v>
        <stp/>
        <stp>P</stp>
        <stp>0</stp>
        <stp>ECO</stp>
        <stp>707536</stp>
        <stp>현재가</stp>
        <stp>20261231</stp>
        <stp/>
        <tr r="Y27" s="2"/>
        <tr r="Y27" s="2"/>
      </tp>
      <tp>
        <v>5.4640000000000004</v>
        <stp/>
        <stp>P</stp>
        <stp>0</stp>
        <stp>ECO</stp>
        <stp>703556</stp>
        <stp>현재가</stp>
        <stp>20221231</stp>
        <stp/>
        <tr r="U15" s="2"/>
        <tr r="U15" s="2"/>
      </tp>
      <tp>
        <v>2.129</v>
        <stp/>
        <stp>P</stp>
        <stp>0</stp>
        <stp>ECO</stp>
        <stp>707676</stp>
        <stp>현재가</stp>
        <stp>20261231</stp>
        <stp/>
        <tr r="Y12" s="2"/>
        <tr r="Y12" s="2"/>
      </tp>
      <tp>
        <v>1.623</v>
        <stp/>
        <stp>P</stp>
        <stp>0</stp>
        <stp>ECO</stp>
        <stp>707536</stp>
        <stp>현재가</stp>
        <stp>20251231</stp>
        <stp/>
        <tr r="X27" s="2"/>
        <tr r="X27" s="2"/>
      </tp>
      <tp>
        <v>2.1920000000000002</v>
        <stp/>
        <stp>P</stp>
        <stp>0</stp>
        <stp>ECO</stp>
        <stp>707676</stp>
        <stp>현재가</stp>
        <stp>20251231</stp>
        <stp/>
        <tr r="X12" s="2"/>
        <tr r="X12" s="2"/>
      </tp>
      <tp>
        <v>1.3740000000000001</v>
        <stp/>
        <stp>P</stp>
        <stp>0</stp>
        <stp>ECO</stp>
        <stp>707536</stp>
        <stp>현재가</stp>
        <stp>20241231</stp>
        <stp/>
        <tr r="W27" s="2"/>
        <tr r="W27" s="2"/>
      </tp>
      <tp>
        <v>2.4209999999999998</v>
        <stp/>
        <stp>P</stp>
        <stp>0</stp>
        <stp>ECO</stp>
        <stp>707676</stp>
        <stp>현재가</stp>
        <stp>20241231</stp>
        <stp/>
        <tr r="W12" s="2"/>
        <tr r="W12" s="2"/>
      </tp>
      <tp>
        <v>2.8109999999999999</v>
        <stp/>
        <stp>P</stp>
        <stp>0</stp>
        <stp>ECO</stp>
        <stp>702806</stp>
        <stp>현재가</stp>
        <stp>20261231</stp>
        <stp/>
        <tr r="Y23" s="2"/>
        <tr r="Y23" s="2"/>
      </tp>
      <tp>
        <v>1.28</v>
        <stp/>
        <stp>P</stp>
        <stp>0</stp>
        <stp>ECO</stp>
        <stp>707536</stp>
        <stp>현재가</stp>
        <stp>20231231</stp>
        <stp/>
        <tr r="V27" s="2"/>
        <tr r="V27" s="2"/>
      </tp>
      <tp>
        <v>3.488</v>
        <stp/>
        <stp>P</stp>
        <stp>0</stp>
        <stp>ECO</stp>
        <stp>707676</stp>
        <stp>현재가</stp>
        <stp>20231231</stp>
        <stp/>
        <tr r="V12" s="2"/>
        <tr r="V12" s="2"/>
      </tp>
      <tp>
        <v>3.0219999999999998</v>
        <stp/>
        <stp>P</stp>
        <stp>0</stp>
        <stp>ECO</stp>
        <stp>703586</stp>
        <stp>현재가</stp>
        <stp>20261231</stp>
        <stp/>
        <tr r="Y18" s="2"/>
        <tr r="Y18" s="2"/>
      </tp>
      <tp>
        <v>5.3040000000000003</v>
        <stp/>
        <stp>P</stp>
        <stp>0</stp>
        <stp>ECO</stp>
        <stp>707536</stp>
        <stp>현재가</stp>
        <stp>20221231</stp>
        <stp/>
        <tr r="U27" s="2"/>
        <tr r="U27" s="2"/>
      </tp>
      <tp>
        <v>1.8959999999999999</v>
        <stp/>
        <stp>P</stp>
        <stp>0</stp>
        <stp>ECO</stp>
        <stp>703556</stp>
        <stp>현재가</stp>
        <stp>20261231</stp>
        <stp/>
        <tr r="Y15" s="2"/>
        <tr r="Y15" s="2"/>
      </tp>
      <tp>
        <v>5.9009999999999998</v>
        <stp/>
        <stp>P</stp>
        <stp>0</stp>
        <stp>ECO</stp>
        <stp>707676</stp>
        <stp>현재가</stp>
        <stp>20221231</stp>
        <stp/>
        <tr r="U12" s="2"/>
        <tr r="U12" s="2"/>
      </tp>
      <tp>
        <v>3.3050000000000002</v>
        <stp/>
        <stp>P</stp>
        <stp>0</stp>
        <stp>ECO</stp>
        <stp>702806</stp>
        <stp>현재가</stp>
        <stp>20241231</stp>
        <stp/>
        <tr r="W23" s="2"/>
        <tr r="W23" s="2"/>
      </tp>
      <tp>
        <v>3.069</v>
        <stp/>
        <stp>P</stp>
        <stp>0</stp>
        <stp>ECO</stp>
        <stp>703586</stp>
        <stp>현재가</stp>
        <stp>20251231</stp>
        <stp/>
        <tr r="X18" s="2"/>
        <tr r="X18" s="2"/>
      </tp>
      <tp>
        <v>1.831</v>
        <stp/>
        <stp>P</stp>
        <stp>0</stp>
        <stp>ECO</stp>
        <stp>703556</stp>
        <stp>현재가</stp>
        <stp>20251231</stp>
        <stp/>
        <tr r="X15" s="2"/>
        <tr r="X15" s="2"/>
      </tp>
      <tp>
        <v>3.3</v>
        <stp/>
        <stp>P</stp>
        <stp>0</stp>
        <stp>ECO</stp>
        <stp>702806</stp>
        <stp>현재가</stp>
        <stp>20251231</stp>
        <stp/>
        <tr r="X23" s="2"/>
        <tr r="X23" s="2"/>
      </tp>
      <tp>
        <v>3.218</v>
        <stp/>
        <stp>P</stp>
        <stp>0</stp>
        <stp>ECO</stp>
        <stp>703586</stp>
        <stp>현재가</stp>
        <stp>20241231</stp>
        <stp/>
        <tr r="W18" s="2"/>
        <tr r="W18" s="2"/>
      </tp>
      <tp>
        <v>1.8340000000000001</v>
        <stp/>
        <stp>P</stp>
        <stp>0</stp>
        <stp>ECO</stp>
        <stp>703556</stp>
        <stp>현재가</stp>
        <stp>20241231</stp>
        <stp/>
        <tr r="W15" s="2"/>
        <tr r="W15" s="2"/>
      </tp>
      <tp>
        <v>2.4980000000000002</v>
        <stp/>
        <stp>P</stp>
        <stp>0</stp>
        <stp>ECO</stp>
        <stp>703595</stp>
        <stp>현재가</stp>
        <stp>20231231</stp>
        <stp/>
        <tr r="V33" s="2"/>
        <tr r="V33" s="2"/>
      </tp>
      <tp>
        <v>2.4260000000000002</v>
        <stp/>
        <stp>P</stp>
        <stp>0</stp>
        <stp>ECO</stp>
        <stp>703565</stp>
        <stp>현재가</stp>
        <stp>20231231</stp>
        <stp/>
        <tr r="V45" s="2"/>
        <tr r="V45" s="2"/>
      </tp>
      <tp>
        <v>5.2969999999999997</v>
        <stp/>
        <stp>P</stp>
        <stp>0</stp>
        <stp>ECO</stp>
        <stp>703595</stp>
        <stp>현재가</stp>
        <stp>20221231</stp>
        <stp/>
        <tr r="U33" s="2"/>
        <tr r="U33" s="2"/>
      </tp>
      <tp>
        <v>1.4370000000000001</v>
        <stp/>
        <stp>P</stp>
        <stp>0</stp>
        <stp>ECO</stp>
        <stp>707535</stp>
        <stp>현재가</stp>
        <stp>20261231</stp>
        <stp/>
        <tr r="Y13" s="2"/>
        <tr r="Y13" s="2"/>
      </tp>
      <tp>
        <v>3.9569999999999999</v>
        <stp/>
        <stp>P</stp>
        <stp>0</stp>
        <stp>ECO</stp>
        <stp>703565</stp>
        <stp>현재가</stp>
        <stp>20221231</stp>
        <stp/>
        <tr r="U45" s="2"/>
        <tr r="U45" s="2"/>
      </tp>
      <tp>
        <v>2</v>
        <stp/>
        <stp>P</stp>
        <stp>0</stp>
        <stp>ECO</stp>
        <stp>707685</stp>
        <stp>현재가</stp>
        <stp>20261231</stp>
        <stp/>
        <tr r="Y30" s="2"/>
        <tr r="Y30" s="2"/>
      </tp>
      <tp>
        <v>1.4370000000000001</v>
        <stp/>
        <stp>P</stp>
        <stp>0</stp>
        <stp>ECO</stp>
        <stp>707535</stp>
        <stp>현재가</stp>
        <stp>20251231</stp>
        <stp/>
        <tr r="X13" s="2"/>
        <tr r="X13" s="2"/>
      </tp>
      <tp>
        <v>2</v>
        <stp/>
        <stp>P</stp>
        <stp>0</stp>
        <stp>ECO</stp>
        <stp>707685</stp>
        <stp>현재가</stp>
        <stp>20251231</stp>
        <stp/>
        <tr r="X30" s="2"/>
        <tr r="X30" s="2"/>
      </tp>
      <tp>
        <v>1.4370000000000001</v>
        <stp/>
        <stp>P</stp>
        <stp>0</stp>
        <stp>ECO</stp>
        <stp>707535</stp>
        <stp>현재가</stp>
        <stp>20241231</stp>
        <stp/>
        <tr r="W13" s="2"/>
        <tr r="W13" s="2"/>
      </tp>
      <tp>
        <v>2</v>
        <stp/>
        <stp>P</stp>
        <stp>0</stp>
        <stp>ECO</stp>
        <stp>707685</stp>
        <stp>현재가</stp>
        <stp>20241231</stp>
        <stp/>
        <tr r="W30" s="2"/>
        <tr r="W30" s="2"/>
      </tp>
      <tp>
        <v>2.2000000000000002</v>
        <stp/>
        <stp>P</stp>
        <stp>0</stp>
        <stp>ECO</stp>
        <stp>707535</stp>
        <stp>현재가</stp>
        <stp>20231231</stp>
        <stp/>
        <tr r="V13" s="2"/>
        <tr r="V13" s="2"/>
      </tp>
      <tp>
        <v>2.7</v>
        <stp/>
        <stp>P</stp>
        <stp>0</stp>
        <stp>ECO</stp>
        <stp>707685</stp>
        <stp>현재가</stp>
        <stp>20231231</stp>
        <stp/>
        <tr r="V30" s="2"/>
        <tr r="V30" s="2"/>
      </tp>
      <tp>
        <v>2</v>
        <stp/>
        <stp>P</stp>
        <stp>0</stp>
        <stp>ECO</stp>
        <stp>703595</stp>
        <stp>현재가</stp>
        <stp>20261231</stp>
        <stp/>
        <tr r="Y33" s="2"/>
        <tr r="Y33" s="2"/>
      </tp>
      <tp>
        <v>2.2999999999999998</v>
        <stp/>
        <stp>P</stp>
        <stp>0</stp>
        <stp>ECO</stp>
        <stp>707535</stp>
        <stp>현재가</stp>
        <stp>20221231</stp>
        <stp/>
        <tr r="U13" s="2"/>
        <tr r="U13" s="2"/>
      </tp>
      <tp>
        <v>2</v>
        <stp/>
        <stp>P</stp>
        <stp>0</stp>
        <stp>ECO</stp>
        <stp>703565</stp>
        <stp>현재가</stp>
        <stp>20261231</stp>
        <stp/>
        <tr r="Y45" s="2"/>
        <tr r="Y45" s="2"/>
      </tp>
      <tp>
        <v>5.6639999999999997</v>
        <stp/>
        <stp>P</stp>
        <stp>0</stp>
        <stp>ECO</stp>
        <stp>707685</stp>
        <stp>현재가</stp>
        <stp>20221231</stp>
        <stp/>
        <tr r="U30" s="2"/>
        <tr r="U30" s="2"/>
      </tp>
      <tp>
        <v>1.996</v>
        <stp/>
        <stp>P</stp>
        <stp>0</stp>
        <stp>ECO</stp>
        <stp>703595</stp>
        <stp>현재가</stp>
        <stp>20251231</stp>
        <stp/>
        <tr r="X33" s="2"/>
        <tr r="X33" s="2"/>
      </tp>
      <tp>
        <v>2</v>
        <stp/>
        <stp>P</stp>
        <stp>0</stp>
        <stp>ECO</stp>
        <stp>703565</stp>
        <stp>현재가</stp>
        <stp>20251231</stp>
        <stp/>
        <tr r="X45" s="2"/>
        <tr r="X45" s="2"/>
      </tp>
      <tp>
        <v>2.1019999999999999</v>
        <stp/>
        <stp>P</stp>
        <stp>0</stp>
        <stp>ECO</stp>
        <stp>703595</stp>
        <stp>현재가</stp>
        <stp>20241231</stp>
        <stp/>
        <tr r="W33" s="2"/>
        <tr r="W33" s="2"/>
      </tp>
      <tp>
        <v>2</v>
        <stp/>
        <stp>P</stp>
        <stp>0</stp>
        <stp>ECO</stp>
        <stp>703565</stp>
        <stp>현재가</stp>
        <stp>20241231</stp>
        <stp/>
        <tr r="W45" s="2"/>
        <tr r="W45" s="2"/>
      </tp>
      <tp>
        <v>2.8559999999999999</v>
        <stp/>
        <stp>P</stp>
        <stp>0</stp>
        <stp>ECO</stp>
        <stp>703544</stp>
        <stp>현재가</stp>
        <stp>20231231</stp>
        <stp/>
        <tr r="V19" s="2"/>
        <tr r="V19" s="2"/>
      </tp>
      <tp>
        <v>4.8120000000000003</v>
        <stp/>
        <stp>P</stp>
        <stp>0</stp>
        <stp>ECO</stp>
        <stp>703574</stp>
        <stp>현재가</stp>
        <stp>20231231</stp>
        <stp/>
        <tr r="V34" s="2"/>
        <tr r="V34" s="2"/>
      </tp>
      <tp>
        <v>1.4750000000000001</v>
        <stp/>
        <stp>P</stp>
        <stp>0</stp>
        <stp>ECO</stp>
        <stp>707534</stp>
        <stp>현재가</stp>
        <stp>20261231</stp>
        <stp/>
        <tr r="Y28" s="2"/>
        <tr r="Y28" s="2"/>
      </tp>
      <tp>
        <v>7.6820000000000004</v>
        <stp/>
        <stp>P</stp>
        <stp>0</stp>
        <stp>ECO</stp>
        <stp>703544</stp>
        <stp>현재가</stp>
        <stp>20221231</stp>
        <stp/>
        <tr r="U19" s="2"/>
        <tr r="U19" s="2"/>
      </tp>
      <tp>
        <v>6.0830000000000002</v>
        <stp/>
        <stp>P</stp>
        <stp>0</stp>
        <stp>ECO</stp>
        <stp>703574</stp>
        <stp>현재가</stp>
        <stp>20221231</stp>
        <stp/>
        <tr r="U34" s="2"/>
        <tr r="U34" s="2"/>
      </tp>
      <tp t="s">
        <v/>
        <stp/>
        <stp>P</stp>
        <stp>0</stp>
        <stp>ECO</stp>
        <stp>707694</stp>
        <stp>현재가</stp>
        <stp>20261231</stp>
        <stp/>
        <tr r="Y20" s="2"/>
      </tp>
      <tp>
        <v>1.484</v>
        <stp/>
        <stp>P</stp>
        <stp>0</stp>
        <stp>ECO</stp>
        <stp>707534</stp>
        <stp>현재가</stp>
        <stp>20251231</stp>
        <stp/>
        <tr r="X28" s="2"/>
        <tr r="X28" s="2"/>
      </tp>
      <tp t="s">
        <v/>
        <stp/>
        <stp>P</stp>
        <stp>0</stp>
        <stp>ECO</stp>
        <stp>707694</stp>
        <stp>현재가</stp>
        <stp>20251231</stp>
        <stp/>
        <tr r="X20" s="2"/>
      </tp>
      <tp>
        <v>1.5049999999999999</v>
        <stp/>
        <stp>P</stp>
        <stp>0</stp>
        <stp>ECO</stp>
        <stp>707534</stp>
        <stp>현재가</stp>
        <stp>20241231</stp>
        <stp/>
        <tr r="W28" s="2"/>
        <tr r="W28" s="2"/>
      </tp>
      <tp t="s">
        <v/>
        <stp/>
        <stp>P</stp>
        <stp>0</stp>
        <stp>ECO</stp>
        <stp>707694</stp>
        <stp>현재가</stp>
        <stp>20241231</stp>
        <stp/>
        <tr r="W20" s="2"/>
      </tp>
      <tp>
        <v>2</v>
        <stp/>
        <stp>P</stp>
        <stp>0</stp>
        <stp>ECO</stp>
        <stp>707534</stp>
        <stp>현재가</stp>
        <stp>20231231</stp>
        <stp/>
        <tr r="V28" s="2"/>
        <tr r="V28" s="2"/>
      </tp>
      <tp>
        <v>500</v>
        <stp/>
        <stp>P</stp>
        <stp>0</stp>
        <stp>ECO</stp>
        <stp>707694</stp>
        <stp>현재가</stp>
        <stp>20231231</stp>
        <stp/>
        <tr r="V20" s="2"/>
        <tr r="V20" s="2"/>
      </tp>
      <tp>
        <v>3.492</v>
        <stp/>
        <stp>P</stp>
        <stp>0</stp>
        <stp>ECO</stp>
        <stp>707534</stp>
        <stp>현재가</stp>
        <stp>20221231</stp>
        <stp/>
        <tr r="U28" s="2"/>
        <tr r="U28" s="2"/>
      </tp>
      <tp>
        <v>1.97</v>
        <stp/>
        <stp>P</stp>
        <stp>0</stp>
        <stp>ECO</stp>
        <stp>703544</stp>
        <stp>현재가</stp>
        <stp>20261231</stp>
        <stp/>
        <tr r="Y19" s="2"/>
        <tr r="Y19" s="2"/>
      </tp>
      <tp>
        <v>3.9649999999999999</v>
        <stp/>
        <stp>P</stp>
        <stp>0</stp>
        <stp>ECO</stp>
        <stp>703574</stp>
        <stp>현재가</stp>
        <stp>20261231</stp>
        <stp/>
        <tr r="Y34" s="2"/>
        <tr r="Y34" s="2"/>
      </tp>
      <tp>
        <v>500</v>
        <stp/>
        <stp>P</stp>
        <stp>0</stp>
        <stp>ECO</stp>
        <stp>707694</stp>
        <stp>현재가</stp>
        <stp>20221231</stp>
        <stp/>
        <tr r="U20" s="2"/>
        <tr r="U20" s="2"/>
      </tp>
      <tp>
        <v>2.004</v>
        <stp/>
        <stp>P</stp>
        <stp>0</stp>
        <stp>ECO</stp>
        <stp>703544</stp>
        <stp>현재가</stp>
        <stp>20251231</stp>
        <stp/>
        <tr r="X19" s="2"/>
        <tr r="X19" s="2"/>
      </tp>
      <tp>
        <v>4.0650000000000004</v>
        <stp/>
        <stp>P</stp>
        <stp>0</stp>
        <stp>ECO</stp>
        <stp>703574</stp>
        <stp>현재가</stp>
        <stp>20251231</stp>
        <stp/>
        <tr r="X34" s="2"/>
        <tr r="X34" s="2"/>
      </tp>
      <tp>
        <v>2.258</v>
        <stp/>
        <stp>P</stp>
        <stp>0</stp>
        <stp>ECO</stp>
        <stp>703544</stp>
        <stp>현재가</stp>
        <stp>20241231</stp>
        <stp/>
        <tr r="W19" s="2"/>
        <tr r="W19" s="2"/>
      </tp>
      <tp>
        <v>4.306</v>
        <stp/>
        <stp>P</stp>
        <stp>0</stp>
        <stp>ECO</stp>
        <stp>703574</stp>
        <stp>현재가</stp>
        <stp>20241231</stp>
        <stp/>
        <tr r="W34" s="2"/>
        <tr r="W34" s="2"/>
      </tp>
      <tp>
        <v>0</v>
        <stp/>
        <stp>P</stp>
        <stp>0</stp>
        <stp>ECO</stp>
        <stp>700180</stp>
        <stp>현재가</stp>
        <stp>44620</stp>
        <stp>fill=true</stp>
        <tr r="AL4" s="4"/>
        <tr r="D4" s="4"/>
        <tr r="Z4" s="4"/>
        <tr r="P4" s="4"/>
        <tr r="B4" s="4"/>
        <tr r="AA4" s="4"/>
        <tr r="X4" s="4"/>
        <tr r="I4" s="4"/>
        <tr r="U4" s="4"/>
        <tr r="AK4" s="4"/>
      </tp>
      <tp>
        <v>154</v>
        <stp/>
        <stp>P</stp>
        <stp>0</stp>
        <stp>ECO</stp>
        <stp>777799</stp>
        <stp>현재가</stp>
        <stp>44926</stp>
        <stp>fill=true</stp>
        <tr r="Q39" s="2"/>
      </tp>
      <tp>
        <v>6</v>
        <stp/>
        <stp>P</stp>
        <stp>0</stp>
        <stp>ECO</stp>
        <stp>702163</stp>
        <stp>현재가</stp>
        <stp>44620</stp>
        <stp>fill=true</stp>
        <tr r="L4" s="4"/>
      </tp>
      <tp>
        <v>0.05</v>
        <stp/>
        <stp>P</stp>
        <stp>0</stp>
        <stp>ECO</stp>
        <stp>702160</stp>
        <stp>현재가</stp>
        <stp>44620</stp>
        <stp>fill=true</stp>
        <tr r="H4" s="4"/>
      </tp>
      <tp>
        <v>2.9</v>
        <stp/>
        <stp>P</stp>
        <stp>0</stp>
        <stp>ECO</stp>
        <stp>192329</stp>
        <stp>현재가</stp>
        <stp>44592</stp>
        <stp>fill=true</stp>
        <tr r="AN3" s="4"/>
      </tp>
      <tp>
        <v>5.4</v>
        <stp/>
        <stp>P</stp>
        <stp>0</stp>
        <stp>ECO</stp>
        <stp>192329</stp>
        <stp>현재가</stp>
        <stp>44712</stp>
        <stp>fill=true</stp>
        <tr r="AN7" s="4"/>
      </tp>
      <tp>
        <v>0.32779999999999998</v>
        <stp/>
        <stp>P</stp>
        <stp>0</stp>
        <stp>ECO</stp>
        <stp>780149</stp>
        <stp>현재가</stp>
        <stp>44620</stp>
        <stp>fill=true</stp>
        <tr r="V4" s="4"/>
      </tp>
      <tp>
        <v>7.75</v>
        <stp/>
        <stp>P</stp>
        <stp>0</stp>
        <stp>ECO</stp>
        <stp>192329</stp>
        <stp>현재가</stp>
        <stp>44742</stp>
        <stp>fill=true</stp>
        <tr r="AN8" s="4"/>
      </tp>
      <tp>
        <v>0</v>
        <stp/>
        <stp>P</stp>
        <stp>0</stp>
        <stp>ECO</stp>
        <stp>705149</stp>
        <stp>현재가</stp>
        <stp>44620</stp>
        <stp>fill=true</stp>
        <tr r="M4" s="4"/>
      </tp>
      <tp>
        <v>13</v>
        <stp/>
        <stp>P</stp>
        <stp>0</stp>
        <stp>ECO</stp>
        <stp>192329</stp>
        <stp>현재가</stp>
        <stp>44942</stp>
        <stp>fill=true</stp>
        <tr r="AN15" s="4"/>
      </tp>
      <tp>
        <v>1.25</v>
        <stp/>
        <stp>P</stp>
        <stp>0</stp>
        <stp>ECO</stp>
        <stp>192334</stp>
        <stp>현재가</stp>
        <stp>44942</stp>
        <stp>fill=true</stp>
        <tr r="AH15" s="4"/>
      </tp>
      <tp>
        <v>3.5</v>
        <stp/>
        <stp>P</stp>
        <stp>0</stp>
        <stp>ECO</stp>
        <stp>192335</stp>
        <stp>현재가</stp>
        <stp>44942</stp>
        <stp>fill=true</stp>
        <tr r="Y15" s="4"/>
      </tp>
      <tp>
        <v>42.5</v>
        <stp/>
        <stp>P</stp>
        <stp>0</stp>
        <stp>ECO</stp>
        <stp>702150</stp>
        <stp>현재가</stp>
        <stp>44620</stp>
        <stp>fill=true</stp>
        <tr r="W4" s="4"/>
      </tp>
      <tp>
        <v>4.25</v>
        <stp/>
        <stp>P</stp>
        <stp>0</stp>
        <stp>ECO</stp>
        <stp>192336</stp>
        <stp>현재가</stp>
        <stp>44942</stp>
        <stp>fill=true</stp>
        <tr r="AG15" s="4"/>
      </tp>
      <tp>
        <v>4</v>
        <stp/>
        <stp>P</stp>
        <stp>0</stp>
        <stp>ECO</stp>
        <stp>702151</stp>
        <stp>현재가</stp>
        <stp>44620</stp>
        <stp>fill=true</stp>
        <tr r="O4" s="4"/>
      </tp>
      <tp>
        <v>47.2</v>
        <stp/>
        <stp>P</stp>
        <stp>0</stp>
        <stp>ECO</stp>
        <stp>702056</stp>
        <stp>현재가</stp>
        <stp>44651</stp>
        <stp>fill=true</stp>
        <tr r="N5" s="4"/>
      </tp>
      <tp>
        <v>-0.1</v>
        <stp/>
        <stp>P</stp>
        <stp>0</stp>
        <stp>ECO</stp>
        <stp>192330</stp>
        <stp>현재가</stp>
        <stp>44942</stp>
        <stp>fill=true</stp>
        <tr r="AD15" s="4"/>
      </tp>
      <tp>
        <v>42.11</v>
        <stp/>
        <stp>P</stp>
        <stp>0</stp>
        <stp>ECO</stp>
        <stp>702056</stp>
        <stp>현재가</stp>
        <stp>44681</stp>
        <stp>fill=true</stp>
        <tr r="N6" s="4"/>
      </tp>
      <tp>
        <v>6.75</v>
        <stp/>
        <stp>P</stp>
        <stp>0</stp>
        <stp>ECO</stp>
        <stp>192331</stp>
        <stp>현재가</stp>
        <stp>44942</stp>
        <stp>fill=true</stp>
        <tr r="AJ15" s="4"/>
      </tp>
      <tp>
        <v>1.75</v>
        <stp/>
        <stp>P</stp>
        <stp>0</stp>
        <stp>ECO</stp>
        <stp>702154</stp>
        <stp>현재가</stp>
        <stp>44620</stp>
        <stp>fill=true</stp>
        <tr r="K4" s="4"/>
      </tp>
      <tp>
        <v>3.5</v>
        <stp/>
        <stp>P</stp>
        <stp>0</stp>
        <stp>ECO</stp>
        <stp>702155</stp>
        <stp>현재가</stp>
        <stp>44620</stp>
        <stp>fill=true</stp>
        <tr r="AC4" s="4"/>
      </tp>
      <tp>
        <v>2.5</v>
        <stp/>
        <stp>P</stp>
        <stp>0</stp>
        <stp>ECO</stp>
        <stp>192333</stp>
        <stp>현재가</stp>
        <stp>44942</stp>
        <stp>fill=true</stp>
        <tr r="S15" s="4"/>
      </tp>
      <tp>
        <v>-0.1</v>
        <stp/>
        <stp>P</stp>
        <stp>0</stp>
        <stp>ECO</stp>
        <stp>192330</stp>
        <stp>현재가</stp>
        <stp>44592</stp>
        <stp>fill=true</stp>
        <tr r="AD3" s="4"/>
      </tp>
      <tp>
        <v>0.25</v>
        <stp/>
        <stp>P</stp>
        <stp>0</stp>
        <stp>ECO</stp>
        <stp>192333</stp>
        <stp>현재가</stp>
        <stp>44712</stp>
        <stp>fill=true</stp>
        <tr r="S7" s="4"/>
      </tp>
      <tp>
        <v>0.25</v>
        <stp/>
        <stp>P</stp>
        <stp>0</stp>
        <stp>ECO</stp>
        <stp>192333</stp>
        <stp>현재가</stp>
        <stp>44742</stp>
        <stp>fill=true</stp>
        <tr r="S8" s="4"/>
      </tp>
      <tp>
        <v>2.25</v>
        <stp/>
        <stp>P</stp>
        <stp>0</stp>
        <stp>ECO</stp>
        <stp>192331</stp>
        <stp>현재가</stp>
        <stp>44592</stp>
        <stp>fill=true</stp>
        <tr r="AJ3" s="4"/>
      </tp>
      <tp>
        <v>1</v>
        <stp/>
        <stp>P</stp>
        <stp>0</stp>
        <stp>ECO</stp>
        <stp>702158</stp>
        <stp>현재가</stp>
        <stp>44620</stp>
        <stp>fill=true</stp>
        <tr r="R4" s="4"/>
      </tp>
      <tp>
        <v>-0.1</v>
        <stp/>
        <stp>P</stp>
        <stp>0</stp>
        <stp>ECO</stp>
        <stp>192330</stp>
        <stp>현재가</stp>
        <stp>44712</stp>
        <stp>fill=true</stp>
        <tr r="AD7" s="4"/>
      </tp>
      <tp>
        <v>-0.1</v>
        <stp/>
        <stp>P</stp>
        <stp>0</stp>
        <stp>ECO</stp>
        <stp>192330</stp>
        <stp>현재가</stp>
        <stp>44742</stp>
        <stp>fill=true</stp>
        <tr r="AD8" s="4"/>
      </tp>
      <tp>
        <v>0.5</v>
        <stp/>
        <stp>P</stp>
        <stp>0</stp>
        <stp>ECO</stp>
        <stp>702159</stp>
        <stp>현재가</stp>
        <stp>44620</stp>
        <stp>fill=true</stp>
        <tr r="E4" s="4"/>
      </tp>
      <tp>
        <v>5.25</v>
        <stp/>
        <stp>P</stp>
        <stp>0</stp>
        <stp>ECO</stp>
        <stp>192331</stp>
        <stp>현재가</stp>
        <stp>44712</stp>
        <stp>fill=true</stp>
        <tr r="AJ7" s="4"/>
      </tp>
      <tp>
        <v>6</v>
        <stp/>
        <stp>P</stp>
        <stp>0</stp>
        <stp>ECO</stp>
        <stp>192331</stp>
        <stp>현재가</stp>
        <stp>44742</stp>
        <stp>fill=true</stp>
        <tr r="AJ8" s="4"/>
      </tp>
      <tp>
        <v>0</v>
        <stp/>
        <stp>P</stp>
        <stp>0</stp>
        <stp>ECO</stp>
        <stp>192333</stp>
        <stp>현재가</stp>
        <stp>44592</stp>
        <stp>fill=true</stp>
        <tr r="S3" s="4"/>
      </tp>
      <tp>
        <v>1</v>
        <stp/>
        <stp>P</stp>
        <stp>0</stp>
        <stp>ECO</stp>
        <stp>192336</stp>
        <stp>현재가</stp>
        <stp>44712</stp>
        <stp>fill=true</stp>
        <tr r="AG7" s="4"/>
      </tp>
      <tp>
        <v>1.5</v>
        <stp/>
        <stp>P</stp>
        <stp>0</stp>
        <stp>ECO</stp>
        <stp>192336</stp>
        <stp>현재가</stp>
        <stp>44742</stp>
        <stp>fill=true</stp>
        <tr r="AG8" s="4"/>
      </tp>
      <tp>
        <v>0.5</v>
        <stp/>
        <stp>P</stp>
        <stp>0</stp>
        <stp>ECO</stp>
        <stp>192334</stp>
        <stp>현재가</stp>
        <stp>44592</stp>
        <stp>fill=true</stp>
        <tr r="AH3" s="4"/>
      </tp>
      <tp>
        <v>0.25</v>
        <stp/>
        <stp>P</stp>
        <stp>0</stp>
        <stp>ECO</stp>
        <stp>192335</stp>
        <stp>현재가</stp>
        <stp>44592</stp>
        <stp>fill=true</stp>
        <tr r="Y3" s="4"/>
      </tp>
      <tp>
        <v>0.5</v>
        <stp/>
        <stp>P</stp>
        <stp>0</stp>
        <stp>ECO</stp>
        <stp>192334</stp>
        <stp>현재가</stp>
        <stp>44712</stp>
        <stp>fill=true</stp>
        <tr r="AH7" s="4"/>
      </tp>
      <tp>
        <v>0.5</v>
        <stp/>
        <stp>P</stp>
        <stp>0</stp>
        <stp>ECO</stp>
        <stp>192334</stp>
        <stp>현재가</stp>
        <stp>44742</stp>
        <stp>fill=true</stp>
        <tr r="AH8" s="4"/>
      </tp>
      <tp>
        <v>0.25</v>
        <stp/>
        <stp>P</stp>
        <stp>0</stp>
        <stp>ECO</stp>
        <stp>192336</stp>
        <stp>현재가</stp>
        <stp>44592</stp>
        <stp>fill=true</stp>
        <tr r="AG3" s="4"/>
      </tp>
      <tp>
        <v>1</v>
        <stp/>
        <stp>P</stp>
        <stp>0</stp>
        <stp>ECO</stp>
        <stp>192335</stp>
        <stp>현재가</stp>
        <stp>44712</stp>
        <stp>fill=true</stp>
        <tr r="Y7" s="4"/>
      </tp>
      <tp>
        <v>1.25</v>
        <stp/>
        <stp>P</stp>
        <stp>0</stp>
        <stp>ECO</stp>
        <stp>192335</stp>
        <stp>현재가</stp>
        <stp>44742</stp>
        <stp>fill=true</stp>
        <tr r="Y8" s="4"/>
      </tp>
      <tp>
        <v>7.5</v>
        <stp/>
        <stp>P</stp>
        <stp>0</stp>
        <stp>ECO</stp>
        <stp>703723</stp>
        <stp>현재가</stp>
        <stp>44926</stp>
        <stp>fill=true</stp>
        <tr r="J14" s="4"/>
      </tp>
      <tp>
        <v>1134.5875000000001</v>
        <stp/>
        <stp>P</stp>
        <stp>0</stp>
        <stp>ECO</stp>
        <stp>701722</stp>
        <stp>현재가</stp>
        <stp>44926</stp>
        <stp>fill=true</stp>
        <tr r="Q29" s="2"/>
      </tp>
      <tp>
        <v>4</v>
        <stp/>
        <stp>P</stp>
        <stp>0</stp>
        <stp>ECO</stp>
        <stp>700301</stp>
        <stp>현재가</stp>
        <stp>44592</stp>
        <stp>fill=true</stp>
        <tr r="AB3" s="4"/>
      </tp>
      <tp>
        <v>4.3499999999999996</v>
        <stp/>
        <stp>P</stp>
        <stp>0</stp>
        <stp>ECO</stp>
        <stp>700300</stp>
        <stp>현재가</stp>
        <stp>44592</stp>
        <stp>fill=true</stp>
        <tr r="AE3" s="4"/>
      </tp>
      <tp>
        <v>4.4000000000000004</v>
        <stp/>
        <stp>P</stp>
        <stp>0</stp>
        <stp>ECO</stp>
        <stp>700301</stp>
        <stp>현재가</stp>
        <stp>44712</stp>
        <stp>fill=true</stp>
        <tr r="AB7" s="4"/>
      </tp>
      <tp>
        <v>4.9000000000000004</v>
        <stp/>
        <stp>P</stp>
        <stp>0</stp>
        <stp>ECO</stp>
        <stp>700301</stp>
        <stp>현재가</stp>
        <stp>44742</stp>
        <stp>fill=true</stp>
        <tr r="AB8" s="4"/>
      </tp>
      <tp>
        <v>4.3499999999999996</v>
        <stp/>
        <stp>P</stp>
        <stp>0</stp>
        <stp>ECO</stp>
        <stp>700300</stp>
        <stp>현재가</stp>
        <stp>44712</stp>
        <stp>fill=true</stp>
        <tr r="AE7" s="4"/>
      </tp>
      <tp>
        <v>4.3499999999999996</v>
        <stp/>
        <stp>P</stp>
        <stp>0</stp>
        <stp>ECO</stp>
        <stp>700300</stp>
        <stp>현재가</stp>
        <stp>44742</stp>
        <stp>fill=true</stp>
        <tr r="AE8" s="4"/>
      </tp>
      <tp>
        <v>10.75</v>
        <stp/>
        <stp>P</stp>
        <stp>0</stp>
        <stp>ECO</stp>
        <stp>700106</stp>
        <stp>현재가</stp>
        <stp>44620</stp>
        <stp>fill=true</stp>
        <tr r="Q4" s="4"/>
      </tp>
      <tp>
        <v>0.1</v>
        <stp/>
        <stp>P</stp>
        <stp>0</stp>
        <stp>ECO</stp>
        <stp>700107</stp>
        <stp>현재가</stp>
        <stp>44620</stp>
        <stp>fill=true</stp>
        <tr r="AO4" s="4"/>
      </tp>
      <tp>
        <v>1</v>
        <stp/>
        <stp>P</stp>
        <stp>0</stp>
        <stp>ECO</stp>
        <stp>700108</stp>
        <stp>현재가</stp>
        <stp>44620</stp>
        <stp>fill=true</stp>
        <tr r="F4" s="4"/>
      </tp>
      <tp>
        <v>6.25</v>
        <stp/>
        <stp>P</stp>
        <stp>0</stp>
        <stp>ECO</stp>
        <stp>700301</stp>
        <stp>현재가</stp>
        <stp>44942</stp>
        <stp>fill=true</stp>
        <tr r="AB15" s="4"/>
      </tp>
      <tp>
        <v>4.3499999999999996</v>
        <stp/>
        <stp>P</stp>
        <stp>0</stp>
        <stp>ECO</stp>
        <stp>700300</stp>
        <stp>현재가</stp>
        <stp>44942</stp>
        <stp>fill=true</stp>
        <tr r="AE15" s="4"/>
      </tp>
      <tp>
        <v>4.5</v>
        <stp/>
        <stp>P</stp>
        <stp>0</stp>
        <stp>ECO</stp>
        <stp>700113</stp>
        <stp>현재가</stp>
        <stp>44620</stp>
        <stp>fill=true</stp>
        <tr r="AF4" s="4"/>
      </tp>
      <tp>
        <v>-0.75</v>
        <stp/>
        <stp>P</stp>
        <stp>0</stp>
        <stp>ECO</stp>
        <stp>700110</stp>
        <stp>현재가</stp>
        <stp>44620</stp>
        <stp>fill=true</stp>
        <tr r="T4" s="4"/>
      </tp>
      <tp>
        <v>0</v>
        <stp/>
        <stp>P</stp>
        <stp>0</stp>
        <stp>ECO</stp>
        <stp>700180</stp>
        <stp>현재가</stp>
        <stp>44651</stp>
        <stp>fill=true</stp>
        <tr r="AA5" s="4"/>
        <tr r="AL5" s="4"/>
        <tr r="I5" s="4"/>
        <tr r="B5" s="4"/>
        <tr r="U5" s="4"/>
        <tr r="Z5" s="4"/>
        <tr r="AK5" s="4"/>
        <tr r="D5" s="4"/>
        <tr r="P5" s="4"/>
        <tr r="X5" s="4"/>
      </tp>
      <tp>
        <v>0</v>
        <stp/>
        <stp>P</stp>
        <stp>0</stp>
        <stp>ECO</stp>
        <stp>700180</stp>
        <stp>현재가</stp>
        <stp>44681</stp>
        <stp>fill=true</stp>
        <tr r="D6" s="4"/>
        <tr r="B6" s="4"/>
        <tr r="X6" s="4"/>
        <tr r="I6" s="4"/>
        <tr r="P6" s="4"/>
        <tr r="U6" s="4"/>
        <tr r="Z6" s="4"/>
        <tr r="AK6" s="4"/>
        <tr r="AL6" s="4"/>
        <tr r="AA6" s="4"/>
      </tp>
      <tp>
        <v>6.5</v>
        <stp/>
        <stp>P</stp>
        <stp>0</stp>
        <stp>ECO</stp>
        <stp>702163</stp>
        <stp>현재가</stp>
        <stp>44651</stp>
        <stp>fill=true</stp>
        <tr r="L5" s="4"/>
      </tp>
      <tp>
        <v>6.5</v>
        <stp/>
        <stp>P</stp>
        <stp>0</stp>
        <stp>ECO</stp>
        <stp>702163</stp>
        <stp>현재가</stp>
        <stp>44681</stp>
        <stp>fill=true</stp>
        <tr r="L6" s="4"/>
      </tp>
      <tp>
        <v>0.05</v>
        <stp/>
        <stp>P</stp>
        <stp>0</stp>
        <stp>ECO</stp>
        <stp>702160</stp>
        <stp>현재가</stp>
        <stp>44651</stp>
        <stp>fill=true</stp>
        <tr r="H5" s="4"/>
      </tp>
      <tp>
        <v>0.05</v>
        <stp/>
        <stp>P</stp>
        <stp>0</stp>
        <stp>ECO</stp>
        <stp>702160</stp>
        <stp>현재가</stp>
        <stp>44681</stp>
        <stp>fill=true</stp>
        <tr r="H6" s="4"/>
      </tp>
      <tp>
        <v>10.75</v>
        <stp/>
        <stp>P</stp>
        <stp>0</stp>
        <stp>ECO</stp>
        <stp>192329</stp>
        <stp>현재가</stp>
        <stp>44773</stp>
        <stp>fill=true</stp>
        <tr r="AN9" s="4"/>
      </tp>
      <tp>
        <v>0.60850000000000004</v>
        <stp/>
        <stp>P</stp>
        <stp>0</stp>
        <stp>ECO</stp>
        <stp>780149</stp>
        <stp>현재가</stp>
        <stp>44651</stp>
        <stp>fill=true</stp>
        <tr r="V5" s="4"/>
      </tp>
      <tp>
        <v>0.6764</v>
        <stp/>
        <stp>P</stp>
        <stp>0</stp>
        <stp>ECO</stp>
        <stp>780149</stp>
        <stp>현재가</stp>
        <stp>44681</stp>
        <stp>fill=true</stp>
        <tr r="V6" s="4"/>
      </tp>
      <tp>
        <v>0.25</v>
        <stp/>
        <stp>P</stp>
        <stp>0</stp>
        <stp>ECO</stp>
        <stp>705149</stp>
        <stp>현재가</stp>
        <stp>44651</stp>
        <stp>fill=true</stp>
        <tr r="M5" s="4"/>
      </tp>
      <tp>
        <v>0.25</v>
        <stp/>
        <stp>P</stp>
        <stp>0</stp>
        <stp>ECO</stp>
        <stp>705149</stp>
        <stp>현재가</stp>
        <stp>44681</stp>
        <stp>fill=true</stp>
        <tr r="M6" s="4"/>
      </tp>
      <tp>
        <v>44.5</v>
        <stp/>
        <stp>P</stp>
        <stp>0</stp>
        <stp>ECO</stp>
        <stp>702150</stp>
        <stp>현재가</stp>
        <stp>44651</stp>
        <stp>fill=true</stp>
        <tr r="W5" s="4"/>
      </tp>
      <tp>
        <v>47</v>
        <stp/>
        <stp>P</stp>
        <stp>0</stp>
        <stp>ECO</stp>
        <stp>702150</stp>
        <stp>현재가</stp>
        <stp>44681</stp>
        <stp>fill=true</stp>
        <tr r="W6" s="4"/>
      </tp>
      <tp>
        <v>4</v>
        <stp/>
        <stp>P</stp>
        <stp>0</stp>
        <stp>ECO</stp>
        <stp>702151</stp>
        <stp>현재가</stp>
        <stp>44651</stp>
        <stp>fill=true</stp>
        <tr r="O5" s="4"/>
      </tp>
      <tp>
        <v>4</v>
        <stp/>
        <stp>P</stp>
        <stp>0</stp>
        <stp>ECO</stp>
        <stp>702151</stp>
        <stp>현재가</stp>
        <stp>44681</stp>
        <stp>fill=true</stp>
        <tr r="O6" s="4"/>
      </tp>
      <tp>
        <v>43.19</v>
        <stp/>
        <stp>P</stp>
        <stp>0</stp>
        <stp>ECO</stp>
        <stp>702056</stp>
        <stp>현재가</stp>
        <stp>44620</stp>
        <stp>fill=true</stp>
        <tr r="N4" s="4"/>
      </tp>
      <tp>
        <v>1.75</v>
        <stp/>
        <stp>P</stp>
        <stp>0</stp>
        <stp>ECO</stp>
        <stp>702154</stp>
        <stp>현재가</stp>
        <stp>44651</stp>
        <stp>fill=true</stp>
        <tr r="K5" s="4"/>
      </tp>
      <tp>
        <v>1.75</v>
        <stp/>
        <stp>P</stp>
        <stp>0</stp>
        <stp>ECO</stp>
        <stp>702154</stp>
        <stp>현재가</stp>
        <stp>44681</stp>
        <stp>fill=true</stp>
        <tr r="K6" s="4"/>
      </tp>
      <tp>
        <v>3.5</v>
        <stp/>
        <stp>P</stp>
        <stp>0</stp>
        <stp>ECO</stp>
        <stp>702155</stp>
        <stp>현재가</stp>
        <stp>44651</stp>
        <stp>fill=true</stp>
        <tr r="AC5" s="4"/>
      </tp>
      <tp>
        <v>3.5</v>
        <stp/>
        <stp>P</stp>
        <stp>0</stp>
        <stp>ECO</stp>
        <stp>702155</stp>
        <stp>현재가</stp>
        <stp>44681</stp>
        <stp>fill=true</stp>
        <tr r="AC6" s="4"/>
      </tp>
      <tp>
        <v>0.75</v>
        <stp/>
        <stp>P</stp>
        <stp>0</stp>
        <stp>ECO</stp>
        <stp>192333</stp>
        <stp>현재가</stp>
        <stp>44773</stp>
        <stp>fill=true</stp>
        <tr r="S9" s="4"/>
      </tp>
      <tp>
        <v>-0.1</v>
        <stp/>
        <stp>P</stp>
        <stp>0</stp>
        <stp>ECO</stp>
        <stp>192330</stp>
        <stp>현재가</stp>
        <stp>44773</stp>
        <stp>fill=true</stp>
        <tr r="AD9" s="4"/>
      </tp>
      <tp>
        <v>1.25</v>
        <stp/>
        <stp>P</stp>
        <stp>0</stp>
        <stp>ECO</stp>
        <stp>702158</stp>
        <stp>현재가</stp>
        <stp>44651</stp>
        <stp>fill=true</stp>
        <tr r="R5" s="4"/>
      </tp>
      <tp>
        <v>1.25</v>
        <stp/>
        <stp>P</stp>
        <stp>0</stp>
        <stp>ECO</stp>
        <stp>702158</stp>
        <stp>현재가</stp>
        <stp>44681</stp>
        <stp>fill=true</stp>
        <tr r="R6" s="4"/>
      </tp>
      <tp>
        <v>6.5</v>
        <stp/>
        <stp>P</stp>
        <stp>0</stp>
        <stp>ECO</stp>
        <stp>192331</stp>
        <stp>현재가</stp>
        <stp>44773</stp>
        <stp>fill=true</stp>
        <tr r="AJ9" s="4"/>
      </tp>
      <tp>
        <v>0.75</v>
        <stp/>
        <stp>P</stp>
        <stp>0</stp>
        <stp>ECO</stp>
        <stp>702159</stp>
        <stp>현재가</stp>
        <stp>44651</stp>
        <stp>fill=true</stp>
        <tr r="E5" s="4"/>
      </tp>
      <tp>
        <v>0.75</v>
        <stp/>
        <stp>P</stp>
        <stp>0</stp>
        <stp>ECO</stp>
        <stp>702159</stp>
        <stp>현재가</stp>
        <stp>44681</stp>
        <stp>fill=true</stp>
        <tr r="E6" s="4"/>
      </tp>
      <tp>
        <v>2.5</v>
        <stp/>
        <stp>P</stp>
        <stp>0</stp>
        <stp>ECO</stp>
        <stp>192336</stp>
        <stp>현재가</stp>
        <stp>44773</stp>
        <stp>fill=true</stp>
        <tr r="AG9" s="4"/>
      </tp>
      <tp>
        <v>0.5</v>
        <stp/>
        <stp>P</stp>
        <stp>0</stp>
        <stp>ECO</stp>
        <stp>192334</stp>
        <stp>현재가</stp>
        <stp>44773</stp>
        <stp>fill=true</stp>
        <tr r="AH9" s="4"/>
      </tp>
      <tp>
        <v>1.25</v>
        <stp/>
        <stp>P</stp>
        <stp>0</stp>
        <stp>ECO</stp>
        <stp>192335</stp>
        <stp>현재가</stp>
        <stp>44773</stp>
        <stp>fill=true</stp>
        <tr r="Y9" s="4"/>
      </tp>
      <tp>
        <v>4.9000000000000004</v>
        <stp/>
        <stp>P</stp>
        <stp>0</stp>
        <stp>ECO</stp>
        <stp>700301</stp>
        <stp>현재가</stp>
        <stp>44773</stp>
        <stp>fill=true</stp>
        <tr r="AB9" s="4"/>
      </tp>
      <tp>
        <v>4.3499999999999996</v>
        <stp/>
        <stp>P</stp>
        <stp>0</stp>
        <stp>ECO</stp>
        <stp>700300</stp>
        <stp>현재가</stp>
        <stp>44773</stp>
        <stp>fill=true</stp>
        <tr r="AE9" s="4"/>
      </tp>
      <tp>
        <v>11.75</v>
        <stp/>
        <stp>P</stp>
        <stp>0</stp>
        <stp>ECO</stp>
        <stp>700106</stp>
        <stp>현재가</stp>
        <stp>44651</stp>
        <stp>fill=true</stp>
        <tr r="Q5" s="4"/>
      </tp>
      <tp>
        <v>11.75</v>
        <stp/>
        <stp>P</stp>
        <stp>0</stp>
        <stp>ECO</stp>
        <stp>700106</stp>
        <stp>현재가</stp>
        <stp>44681</stp>
        <stp>fill=true</stp>
        <tr r="Q6" s="4"/>
      </tp>
      <tp>
        <v>0.1</v>
        <stp/>
        <stp>P</stp>
        <stp>0</stp>
        <stp>ECO</stp>
        <stp>700107</stp>
        <stp>현재가</stp>
        <stp>44651</stp>
        <stp>fill=true</stp>
        <tr r="AO5" s="4"/>
      </tp>
      <tp>
        <v>0.1</v>
        <stp/>
        <stp>P</stp>
        <stp>0</stp>
        <stp>ECO</stp>
        <stp>700107</stp>
        <stp>현재가</stp>
        <stp>44681</stp>
        <stp>fill=true</stp>
        <tr r="AO6" s="4"/>
      </tp>
      <tp>
        <v>1</v>
        <stp/>
        <stp>P</stp>
        <stp>0</stp>
        <stp>ECO</stp>
        <stp>700108</stp>
        <stp>현재가</stp>
        <stp>44651</stp>
        <stp>fill=true</stp>
        <tr r="F5" s="4"/>
      </tp>
      <tp>
        <v>1.5</v>
        <stp/>
        <stp>P</stp>
        <stp>0</stp>
        <stp>ECO</stp>
        <stp>700108</stp>
        <stp>현재가</stp>
        <stp>44681</stp>
        <stp>fill=true</stp>
        <tr r="F6" s="4"/>
      </tp>
      <tp>
        <v>4.5</v>
        <stp/>
        <stp>P</stp>
        <stp>0</stp>
        <stp>ECO</stp>
        <stp>700113</stp>
        <stp>현재가</stp>
        <stp>44651</stp>
        <stp>fill=true</stp>
        <tr r="AF5" s="4"/>
      </tp>
      <tp>
        <v>5</v>
        <stp/>
        <stp>P</stp>
        <stp>0</stp>
        <stp>ECO</stp>
        <stp>700113</stp>
        <stp>현재가</stp>
        <stp>44681</stp>
        <stp>fill=true</stp>
        <tr r="AF6" s="4"/>
      </tp>
      <tp>
        <v>-0.75</v>
        <stp/>
        <stp>P</stp>
        <stp>0</stp>
        <stp>ECO</stp>
        <stp>700110</stp>
        <stp>현재가</stp>
        <stp>44651</stp>
        <stp>fill=true</stp>
        <tr r="T5" s="4"/>
      </tp>
      <tp>
        <v>-0.75</v>
        <stp/>
        <stp>P</stp>
        <stp>0</stp>
        <stp>ECO</stp>
        <stp>700110</stp>
        <stp>현재가</stp>
        <stp>44681</stp>
        <stp>fill=true</stp>
        <tr r="T6" s="4"/>
      </tp>
      <tp>
        <v>0</v>
        <stp/>
        <stp>P</stp>
        <stp>0</stp>
        <stp>ECO</stp>
        <stp>700180</stp>
        <stp>현재가</stp>
        <stp>44592</stp>
        <stp>fill=true</stp>
        <tr r="I3" s="4"/>
        <tr r="U3" s="4"/>
        <tr r="D3" s="4"/>
        <tr r="P3" s="4"/>
        <tr r="X3" s="4"/>
        <tr r="B3" s="4"/>
        <tr r="AA3" s="4"/>
        <tr r="AK3" s="4"/>
        <tr r="Z3" s="4"/>
        <tr r="AL3" s="4"/>
      </tp>
      <tp>
        <v>0</v>
        <stp/>
        <stp>P</stp>
        <stp>0</stp>
        <stp>ECO</stp>
        <stp>700180</stp>
        <stp>현재가</stp>
        <stp>44712</stp>
        <stp>fill=true</stp>
        <tr r="AA7" s="4"/>
        <tr r="D7" s="4"/>
        <tr r="I7" s="4"/>
        <tr r="U7" s="4"/>
        <tr r="AK7" s="4"/>
        <tr r="P7" s="4"/>
        <tr r="X7" s="4"/>
        <tr r="B7" s="4"/>
        <tr r="Z7" s="4"/>
        <tr r="AL7" s="4"/>
      </tp>
      <tp>
        <v>0</v>
        <stp/>
        <stp>P</stp>
        <stp>0</stp>
        <stp>ECO</stp>
        <stp>700180</stp>
        <stp>현재가</stp>
        <stp>44742</stp>
        <stp>fill=true</stp>
        <tr r="AL8" s="4"/>
        <tr r="B8" s="4"/>
        <tr r="Z8" s="4"/>
        <tr r="D8" s="4"/>
        <tr r="AA8" s="4"/>
        <tr r="I8" s="4"/>
        <tr r="U8" s="4"/>
        <tr r="AK8" s="4"/>
        <tr r="P8" s="4"/>
        <tr r="X8" s="4"/>
      </tp>
      <tp>
        <v>2.5</v>
        <stp/>
        <stp>P</stp>
        <stp>0</stp>
        <stp>ECO</stp>
        <stp>700180</stp>
        <stp>현재가</stp>
        <stp>44942</stp>
        <stp>fill=true</stp>
        <tr r="B15" s="4"/>
        <tr r="AA15" s="4"/>
        <tr r="D15" s="4"/>
        <tr r="P15" s="4"/>
        <tr r="X15" s="4"/>
        <tr r="I15" s="4"/>
        <tr r="U15" s="4"/>
        <tr r="AK15" s="4"/>
        <tr r="Z15" s="4"/>
        <tr r="AL15" s="4"/>
      </tp>
      <tp>
        <v>7</v>
        <stp/>
        <stp>P</stp>
        <stp>0</stp>
        <stp>ECO</stp>
        <stp>702163</stp>
        <stp>현재가</stp>
        <stp>44712</stp>
        <stp>fill=true</stp>
        <tr r="L7" s="4"/>
      </tp>
      <tp>
        <v>7.75</v>
        <stp/>
        <stp>P</stp>
        <stp>0</stp>
        <stp>ECO</stp>
        <stp>702163</stp>
        <stp>현재가</stp>
        <stp>44742</stp>
        <stp>fill=true</stp>
        <tr r="L8" s="4"/>
      </tp>
      <tp>
        <v>0.05</v>
        <stp/>
        <stp>P</stp>
        <stp>0</stp>
        <stp>ECO</stp>
        <stp>702160</stp>
        <stp>현재가</stp>
        <stp>44592</stp>
        <stp>fill=true</stp>
        <tr r="H3" s="4"/>
      </tp>
      <tp>
        <v>5.5</v>
        <stp/>
        <stp>P</stp>
        <stp>0</stp>
        <stp>ECO</stp>
        <stp>702163</stp>
        <stp>현재가</stp>
        <stp>44592</stp>
        <stp>fill=true</stp>
        <tr r="L3" s="4"/>
      </tp>
      <tp>
        <v>0.05</v>
        <stp/>
        <stp>P</stp>
        <stp>0</stp>
        <stp>ECO</stp>
        <stp>702160</stp>
        <stp>현재가</stp>
        <stp>44712</stp>
        <stp>fill=true</stp>
        <tr r="H7" s="4"/>
      </tp>
      <tp>
        <v>0.05</v>
        <stp/>
        <stp>P</stp>
        <stp>0</stp>
        <stp>ECO</stp>
        <stp>702160</stp>
        <stp>현재가</stp>
        <stp>44742</stp>
        <stp>fill=true</stp>
        <tr r="H8" s="4"/>
      </tp>
      <tp>
        <v>1.9</v>
        <stp/>
        <stp>P</stp>
        <stp>0</stp>
        <stp>ECO</stp>
        <stp>702160</stp>
        <stp>현재가</stp>
        <stp>44942</stp>
        <stp>fill=true</stp>
        <tr r="H15" s="4"/>
      </tp>
      <tp>
        <v>10.5</v>
        <stp/>
        <stp>P</stp>
        <stp>0</stp>
        <stp>ECO</stp>
        <stp>702163</stp>
        <stp>현재가</stp>
        <stp>44942</stp>
        <stp>fill=true</stp>
        <tr r="L15" s="4"/>
      </tp>
      <tp>
        <v>0.4113</v>
        <stp/>
        <stp>P</stp>
        <stp>0</stp>
        <stp>ECO</stp>
        <stp>780149</stp>
        <stp>현재가</stp>
        <stp>44592</stp>
        <stp>fill=true</stp>
        <tr r="V3" s="4"/>
      </tp>
      <tp>
        <v>0.71870000000000001</v>
        <stp/>
        <stp>P</stp>
        <stp>0</stp>
        <stp>ECO</stp>
        <stp>780149</stp>
        <stp>현재가</stp>
        <stp>44712</stp>
        <stp>fill=true</stp>
        <tr r="V7" s="4"/>
      </tp>
      <tp>
        <v>3.4</v>
        <stp/>
        <stp>P</stp>
        <stp>0</stp>
        <stp>ECO</stp>
        <stp>192329</stp>
        <stp>현재가</stp>
        <stp>44620</stp>
        <stp>fill=true</stp>
        <tr r="AN4" s="4"/>
      </tp>
      <tp>
        <v>1.6561999999999999</v>
        <stp/>
        <stp>P</stp>
        <stp>0</stp>
        <stp>ECO</stp>
        <stp>780149</stp>
        <stp>현재가</stp>
        <stp>44742</stp>
        <stp>fill=true</stp>
        <tr r="V8" s="4"/>
      </tp>
      <tp>
        <v>4.25</v>
        <stp/>
        <stp>P</stp>
        <stp>0</stp>
        <stp>ECO</stp>
        <stp>705149</stp>
        <stp>현재가</stp>
        <stp>44942</stp>
        <stp>fill=true</stp>
        <tr r="M15" s="4"/>
      </tp>
      <tp>
        <v>0</v>
        <stp/>
        <stp>P</stp>
        <stp>0</stp>
        <stp>ECO</stp>
        <stp>705149</stp>
        <stp>현재가</stp>
        <stp>44592</stp>
        <stp>fill=true</stp>
        <tr r="M3" s="4"/>
      </tp>
      <tp>
        <v>1.5</v>
        <stp/>
        <stp>P</stp>
        <stp>0</stp>
        <stp>ECO</stp>
        <stp>705149</stp>
        <stp>현재가</stp>
        <stp>44742</stp>
        <stp>fill=true</stp>
        <tr r="M8" s="4"/>
      </tp>
      <tp>
        <v>0.75</v>
        <stp/>
        <stp>P</stp>
        <stp>0</stp>
        <stp>ECO</stp>
        <stp>705149</stp>
        <stp>현재가</stp>
        <stp>44712</stp>
        <stp>fill=true</stp>
        <tr r="M7" s="4"/>
      </tp>
      <tp>
        <v>2.5293000000000001</v>
        <stp/>
        <stp>P</stp>
        <stp>0</stp>
        <stp>ECO</stp>
        <stp>780149</stp>
        <stp>현재가</stp>
        <stp>44942</stp>
        <stp>fill=true</stp>
        <tr r="V15" s="4"/>
      </tp>
      <tp>
        <v>4</v>
        <stp/>
        <stp>P</stp>
        <stp>0</stp>
        <stp>ECO</stp>
        <stp>702151</stp>
        <stp>현재가</stp>
        <stp>44592</stp>
        <stp>fill=true</stp>
        <tr r="O3" s="4"/>
      </tp>
      <tp>
        <v>40</v>
        <stp/>
        <stp>P</stp>
        <stp>0</stp>
        <stp>ECO</stp>
        <stp>702150</stp>
        <stp>현재가</stp>
        <stp>44592</stp>
        <stp>fill=true</stp>
        <tr r="W3" s="4"/>
      </tp>
      <tp>
        <v>4</v>
        <stp/>
        <stp>P</stp>
        <stp>0</stp>
        <stp>ECO</stp>
        <stp>702151</stp>
        <stp>현재가</stp>
        <stp>44712</stp>
        <stp>fill=true</stp>
        <tr r="O7" s="4"/>
      </tp>
      <tp>
        <v>4</v>
        <stp/>
        <stp>P</stp>
        <stp>0</stp>
        <stp>ECO</stp>
        <stp>702151</stp>
        <stp>현재가</stp>
        <stp>44742</stp>
        <stp>fill=true</stp>
        <tr r="O8" s="4"/>
      </tp>
      <tp>
        <v>49</v>
        <stp/>
        <stp>P</stp>
        <stp>0</stp>
        <stp>ECO</stp>
        <stp>702150</stp>
        <stp>현재가</stp>
        <stp>44712</stp>
        <stp>fill=true</stp>
        <tr r="W7" s="4"/>
      </tp>
      <tp>
        <v>52</v>
        <stp/>
        <stp>P</stp>
        <stp>0</stp>
        <stp>ECO</stp>
        <stp>702150</stp>
        <stp>현재가</stp>
        <stp>44742</stp>
        <stp>fill=true</stp>
        <tr r="W8" s="4"/>
      </tp>
      <tp>
        <v>2.75</v>
        <stp/>
        <stp>P</stp>
        <stp>0</stp>
        <stp>ECO</stp>
        <stp>702159</stp>
        <stp>현재가</stp>
        <stp>44942</stp>
        <stp>fill=true</stp>
        <tr r="E15" s="4"/>
      </tp>
      <tp>
        <v>3.5</v>
        <stp/>
        <stp>P</stp>
        <stp>0</stp>
        <stp>ECO</stp>
        <stp>702155</stp>
        <stp>현재가</stp>
        <stp>44592</stp>
        <stp>fill=true</stp>
        <tr r="AC3" s="4"/>
      </tp>
      <tp>
        <v>36.909999999999997</v>
        <stp/>
        <stp>P</stp>
        <stp>0</stp>
        <stp>ECO</stp>
        <stp>702056</stp>
        <stp>현재가</stp>
        <stp>44773</stp>
        <stp>fill=true</stp>
        <tr r="N9" s="4"/>
      </tp>
      <tp>
        <v>5</v>
        <stp/>
        <stp>P</stp>
        <stp>0</stp>
        <stp>ECO</stp>
        <stp>702158</stp>
        <stp>현재가</stp>
        <stp>44942</stp>
        <stp>fill=true</stp>
        <tr r="R15" s="4"/>
      </tp>
      <tp>
        <v>1.75</v>
        <stp/>
        <stp>P</stp>
        <stp>0</stp>
        <stp>ECO</stp>
        <stp>702154</stp>
        <stp>현재가</stp>
        <stp>44592</stp>
        <stp>fill=true</stp>
        <tr r="K3" s="4"/>
      </tp>
      <tp>
        <v>3.5</v>
        <stp/>
        <stp>P</stp>
        <stp>0</stp>
        <stp>ECO</stp>
        <stp>702155</stp>
        <stp>현재가</stp>
        <stp>44712</stp>
        <stp>fill=true</stp>
        <tr r="AC7" s="4"/>
      </tp>
      <tp>
        <v>3.5</v>
        <stp/>
        <stp>P</stp>
        <stp>0</stp>
        <stp>ECO</stp>
        <stp>702155</stp>
        <stp>현재가</stp>
        <stp>44742</stp>
        <stp>fill=true</stp>
        <tr r="AC8" s="4"/>
      </tp>
      <tp>
        <v>2</v>
        <stp/>
        <stp>P</stp>
        <stp>0</stp>
        <stp>ECO</stp>
        <stp>702154</stp>
        <stp>현재가</stp>
        <stp>44712</stp>
        <stp>fill=true</stp>
        <tr r="K7" s="4"/>
      </tp>
      <tp>
        <v>2</v>
        <stp/>
        <stp>P</stp>
        <stp>0</stp>
        <stp>ECO</stp>
        <stp>702154</stp>
        <stp>현재가</stp>
        <stp>44742</stp>
        <stp>fill=true</stp>
        <tr r="K8" s="4"/>
      </tp>
      <tp>
        <v>0</v>
        <stp/>
        <stp>P</stp>
        <stp>0</stp>
        <stp>ECO</stp>
        <stp>192333</stp>
        <stp>현재가</stp>
        <stp>44620</stp>
        <stp>fill=true</stp>
        <tr r="S4" s="4"/>
      </tp>
      <tp>
        <v>5.5</v>
        <stp/>
        <stp>P</stp>
        <stp>0</stp>
        <stp>ECO</stp>
        <stp>702155</stp>
        <stp>현재가</stp>
        <stp>44942</stp>
        <stp>fill=true</stp>
        <tr r="AC15" s="4"/>
      </tp>
      <tp>
        <v>0.5</v>
        <stp/>
        <stp>P</stp>
        <stp>0</stp>
        <stp>ECO</stp>
        <stp>702159</stp>
        <stp>현재가</stp>
        <stp>44592</stp>
        <stp>fill=true</stp>
        <tr r="E3" s="4"/>
      </tp>
      <tp>
        <v>2.75</v>
        <stp/>
        <stp>P</stp>
        <stp>0</stp>
        <stp>ECO</stp>
        <stp>702154</stp>
        <stp>현재가</stp>
        <stp>44942</stp>
        <stp>fill=true</stp>
        <tr r="K15" s="4"/>
      </tp>
      <tp>
        <v>1</v>
        <stp/>
        <stp>P</stp>
        <stp>0</stp>
        <stp>ECO</stp>
        <stp>702158</stp>
        <stp>현재가</stp>
        <stp>44592</stp>
        <stp>fill=true</stp>
        <tr r="R3" s="4"/>
      </tp>
      <tp>
        <v>2.75</v>
        <stp/>
        <stp>P</stp>
        <stp>0</stp>
        <stp>ECO</stp>
        <stp>192331</stp>
        <stp>현재가</stp>
        <stp>44620</stp>
        <stp>fill=true</stp>
        <tr r="AJ4" s="4"/>
      </tp>
      <tp>
        <v>0.75</v>
        <stp/>
        <stp>P</stp>
        <stp>0</stp>
        <stp>ECO</stp>
        <stp>702159</stp>
        <stp>현재가</stp>
        <stp>44712</stp>
        <stp>fill=true</stp>
        <tr r="E7" s="4"/>
      </tp>
      <tp>
        <v>1.25</v>
        <stp/>
        <stp>P</stp>
        <stp>0</stp>
        <stp>ECO</stp>
        <stp>702159</stp>
        <stp>현재가</stp>
        <stp>44742</stp>
        <stp>fill=true</stp>
        <tr r="E8" s="4"/>
      </tp>
      <tp>
        <v>-0.1</v>
        <stp/>
        <stp>P</stp>
        <stp>0</stp>
        <stp>ECO</stp>
        <stp>192330</stp>
        <stp>현재가</stp>
        <stp>44620</stp>
        <stp>fill=true</stp>
        <tr r="AD4" s="4"/>
      </tp>
      <tp>
        <v>1.75</v>
        <stp/>
        <stp>P</stp>
        <stp>0</stp>
        <stp>ECO</stp>
        <stp>702158</stp>
        <stp>현재가</stp>
        <stp>44712</stp>
        <stp>fill=true</stp>
        <tr r="R7" s="4"/>
      </tp>
      <tp>
        <v>2.25</v>
        <stp/>
        <stp>P</stp>
        <stp>0</stp>
        <stp>ECO</stp>
        <stp>702158</stp>
        <stp>현재가</stp>
        <stp>44742</stp>
        <stp>fill=true</stp>
        <tr r="R8" s="4"/>
      </tp>
      <tp>
        <v>6</v>
        <stp/>
        <stp>P</stp>
        <stp>0</stp>
        <stp>ECO</stp>
        <stp>702151</stp>
        <stp>현재가</stp>
        <stp>44942</stp>
        <stp>fill=true</stp>
        <tr r="O15" s="4"/>
      </tp>
      <tp>
        <v>0.25</v>
        <stp/>
        <stp>P</stp>
        <stp>0</stp>
        <stp>ECO</stp>
        <stp>192336</stp>
        <stp>현재가</stp>
        <stp>44620</stp>
        <stp>fill=true</stp>
        <tr r="AG4" s="4"/>
      </tp>
      <tp>
        <v>75</v>
        <stp/>
        <stp>P</stp>
        <stp>0</stp>
        <stp>ECO</stp>
        <stp>702150</stp>
        <stp>현재가</stp>
        <stp>44942</stp>
        <stp>fill=true</stp>
        <tr r="W15" s="4"/>
      </tp>
      <tp>
        <v>0.5</v>
        <stp/>
        <stp>P</stp>
        <stp>0</stp>
        <stp>ECO</stp>
        <stp>192335</stp>
        <stp>현재가</stp>
        <stp>44620</stp>
        <stp>fill=true</stp>
        <tr r="Y4" s="4"/>
      </tp>
      <tp>
        <v>0.5</v>
        <stp/>
        <stp>P</stp>
        <stp>0</stp>
        <stp>ECO</stp>
        <stp>192334</stp>
        <stp>현재가</stp>
        <stp>44620</stp>
        <stp>fill=true</stp>
        <tr r="AH4" s="4"/>
      </tp>
      <tp>
        <v>7.5</v>
        <stp/>
        <stp>P</stp>
        <stp>0</stp>
        <stp>ECO</stp>
        <stp>703723</stp>
        <stp>현재가</stp>
        <stp>44834</stp>
        <stp>fill=true</stp>
        <tr r="J11" s="4"/>
      </tp>
      <tp>
        <v>8</v>
        <stp/>
        <stp>P</stp>
        <stp>0</stp>
        <stp>ECO</stp>
        <stp>703723</stp>
        <stp>현재가</stp>
        <stp>44804</stp>
        <stp>fill=true</stp>
        <tr r="J10" s="4"/>
      </tp>
      <tp>
        <v>5654207045137.4004</v>
        <stp/>
        <stp>P</stp>
        <stp>0</stp>
        <stp>ECO</stp>
        <stp>704522</stp>
        <stp>현재가</stp>
        <stp>44926</stp>
        <stp>fill=true</stp>
        <tr r="Q20" s="2"/>
      </tp>
      <tp>
        <v>4.3499999999999996</v>
        <stp/>
        <stp>P</stp>
        <stp>0</stp>
        <stp>ECO</stp>
        <stp>700300</stp>
        <stp>현재가</stp>
        <stp>44620</stp>
        <stp>fill=true</stp>
        <tr r="AE4" s="4"/>
      </tp>
      <tp>
        <v>4</v>
        <stp/>
        <stp>P</stp>
        <stp>0</stp>
        <stp>ECO</stp>
        <stp>700301</stp>
        <stp>현재가</stp>
        <stp>44620</stp>
        <stp>fill=true</stp>
        <tr r="AB4" s="4"/>
      </tp>
      <tp>
        <v>0.35</v>
        <stp/>
        <stp>P</stp>
        <stp>0</stp>
        <stp>ECO</stp>
        <stp>700107</stp>
        <stp>현재가</stp>
        <stp>44712</stp>
        <stp>fill=true</stp>
        <tr r="AO7" s="4"/>
      </tp>
      <tp>
        <v>0.85</v>
        <stp/>
        <stp>P</stp>
        <stp>0</stp>
        <stp>ECO</stp>
        <stp>700107</stp>
        <stp>현재가</stp>
        <stp>44742</stp>
        <stp>fill=true</stp>
        <tr r="AO8" s="4"/>
      </tp>
      <tp>
        <v>12.75</v>
        <stp/>
        <stp>P</stp>
        <stp>0</stp>
        <stp>ECO</stp>
        <stp>700106</stp>
        <stp>현재가</stp>
        <stp>44712</stp>
        <stp>fill=true</stp>
        <tr r="Q7" s="4"/>
      </tp>
      <tp>
        <v>13.25</v>
        <stp/>
        <stp>P</stp>
        <stp>0</stp>
        <stp>ECO</stp>
        <stp>700106</stp>
        <stp>현재가</stp>
        <stp>44742</stp>
        <stp>fill=true</stp>
        <tr r="Q8" s="4"/>
      </tp>
      <tp>
        <v>4.25</v>
        <stp/>
        <stp>P</stp>
        <stp>0</stp>
        <stp>ECO</stp>
        <stp>700108</stp>
        <stp>현재가</stp>
        <stp>44942</stp>
        <stp>fill=true</stp>
        <tr r="F15" s="4"/>
      </tp>
      <tp>
        <v>0.1</v>
        <stp/>
        <stp>P</stp>
        <stp>0</stp>
        <stp>ECO</stp>
        <stp>700107</stp>
        <stp>현재가</stp>
        <stp>44592</stp>
        <stp>fill=true</stp>
        <tr r="AO3" s="4"/>
      </tp>
      <tp>
        <v>9.25</v>
        <stp/>
        <stp>P</stp>
        <stp>0</stp>
        <stp>ECO</stp>
        <stp>700106</stp>
        <stp>현재가</stp>
        <stp>44592</stp>
        <stp>fill=true</stp>
        <tr r="Q3" s="4"/>
      </tp>
      <tp>
        <v>0.75</v>
        <stp/>
        <stp>P</stp>
        <stp>0</stp>
        <stp>ECO</stp>
        <stp>700108</stp>
        <stp>현재가</stp>
        <stp>44592</stp>
        <stp>fill=true</stp>
        <tr r="F3" s="4"/>
      </tp>
      <tp>
        <v>3.1</v>
        <stp/>
        <stp>P</stp>
        <stp>0</stp>
        <stp>ECO</stp>
        <stp>700107</stp>
        <stp>현재가</stp>
        <stp>44942</stp>
        <stp>fill=true</stp>
        <tr r="AO15" s="4"/>
      </tp>
      <tp>
        <v>2</v>
        <stp/>
        <stp>P</stp>
        <stp>0</stp>
        <stp>ECO</stp>
        <stp>700108</stp>
        <stp>현재가</stp>
        <stp>44712</stp>
        <stp>fill=true</stp>
        <tr r="F7" s="4"/>
      </tp>
      <tp>
        <v>13.75</v>
        <stp/>
        <stp>P</stp>
        <stp>0</stp>
        <stp>ECO</stp>
        <stp>700106</stp>
        <stp>현재가</stp>
        <stp>44942</stp>
        <stp>fill=true</stp>
        <tr r="Q15" s="4"/>
      </tp>
      <tp>
        <v>2</v>
        <stp/>
        <stp>P</stp>
        <stp>0</stp>
        <stp>ECO</stp>
        <stp>700108</stp>
        <stp>현재가</stp>
        <stp>44742</stp>
        <stp>fill=true</stp>
        <tr r="F8" s="4"/>
      </tp>
      <tp>
        <v>5.75</v>
        <stp/>
        <stp>P</stp>
        <stp>0</stp>
        <stp>ECO</stp>
        <stp>700113</stp>
        <stp>현재가</stp>
        <stp>44712</stp>
        <stp>fill=true</stp>
        <tr r="AF7" s="4"/>
      </tp>
      <tp>
        <v>7</v>
        <stp/>
        <stp>P</stp>
        <stp>0</stp>
        <stp>ECO</stp>
        <stp>700113</stp>
        <stp>현재가</stp>
        <stp>44742</stp>
        <stp>fill=true</stp>
        <tr r="AF8" s="4"/>
      </tp>
      <tp>
        <v>-0.75</v>
        <stp/>
        <stp>P</stp>
        <stp>0</stp>
        <stp>ECO</stp>
        <stp>700110</stp>
        <stp>현재가</stp>
        <stp>44592</stp>
        <stp>fill=true</stp>
        <tr r="T3" s="4"/>
      </tp>
      <tp>
        <v>3.75</v>
        <stp/>
        <stp>P</stp>
        <stp>0</stp>
        <stp>ECO</stp>
        <stp>700113</stp>
        <stp>현재가</stp>
        <stp>44592</stp>
        <stp>fill=true</stp>
        <tr r="AF3" s="4"/>
      </tp>
      <tp>
        <v>-0.75</v>
        <stp/>
        <stp>P</stp>
        <stp>0</stp>
        <stp>ECO</stp>
        <stp>700110</stp>
        <stp>현재가</stp>
        <stp>44712</stp>
        <stp>fill=true</stp>
        <tr r="T7" s="4"/>
      </tp>
      <tp>
        <v>-0.25</v>
        <stp/>
        <stp>P</stp>
        <stp>0</stp>
        <stp>ECO</stp>
        <stp>700110</stp>
        <stp>현재가</stp>
        <stp>44742</stp>
        <stp>fill=true</stp>
        <tr r="T8" s="4"/>
      </tp>
      <tp>
        <v>1</v>
        <stp/>
        <stp>P</stp>
        <stp>0</stp>
        <stp>ECO</stp>
        <stp>700110</stp>
        <stp>현재가</stp>
        <stp>44942</stp>
        <stp>fill=true</stp>
        <tr r="T15" s="4"/>
      </tp>
      <tp>
        <v>7</v>
        <stp/>
        <stp>P</stp>
        <stp>0</stp>
        <stp>ECO</stp>
        <stp>700113</stp>
        <stp>현재가</stp>
        <stp>44942</stp>
        <stp>fill=true</stp>
        <tr r="AF15" s="4"/>
      </tp>
      <tp>
        <v>0.5</v>
        <stp/>
        <stp>P</stp>
        <stp>0</stp>
        <stp>ECO</stp>
        <stp>700180</stp>
        <stp>현재가</stp>
        <stp>44773</stp>
        <stp>fill=true</stp>
        <tr r="U9" s="4"/>
        <tr r="AK9" s="4"/>
        <tr r="AL9" s="4"/>
        <tr r="I9" s="4"/>
        <tr r="B9" s="4"/>
        <tr r="Z9" s="4"/>
        <tr r="D9" s="4"/>
        <tr r="P9" s="4"/>
        <tr r="X9" s="4"/>
        <tr r="AA9" s="4"/>
      </tp>
      <tp>
        <v>7.75</v>
        <stp/>
        <stp>P</stp>
        <stp>0</stp>
        <stp>ECO</stp>
        <stp>702163</stp>
        <stp>현재가</stp>
        <stp>44773</stp>
        <stp>fill=true</stp>
        <tr r="L9" s="4"/>
      </tp>
      <tp>
        <v>0.05</v>
        <stp/>
        <stp>P</stp>
        <stp>0</stp>
        <stp>ECO</stp>
        <stp>702160</stp>
        <stp>현재가</stp>
        <stp>44773</stp>
        <stp>fill=true</stp>
        <tr r="H9" s="4"/>
      </tp>
      <tp>
        <v>4.4000000000000004</v>
        <stp/>
        <stp>P</stp>
        <stp>0</stp>
        <stp>ECO</stp>
        <stp>192329</stp>
        <stp>현재가</stp>
        <stp>44651</stp>
        <stp>fill=true</stp>
        <tr r="AN5" s="4"/>
      </tp>
      <tp>
        <v>2.1354000000000002</v>
        <stp/>
        <stp>P</stp>
        <stp>0</stp>
        <stp>ECO</stp>
        <stp>780149</stp>
        <stp>현재가</stp>
        <stp>44773</stp>
        <stp>fill=true</stp>
        <tr r="V9" s="4"/>
      </tp>
      <tp>
        <v>5.4</v>
        <stp/>
        <stp>P</stp>
        <stp>0</stp>
        <stp>ECO</stp>
        <stp>192329</stp>
        <stp>현재가</stp>
        <stp>44681</stp>
        <stp>fill=true</stp>
        <tr r="AN6" s="4"/>
      </tp>
      <tp>
        <v>2.25</v>
        <stp/>
        <stp>P</stp>
        <stp>0</stp>
        <stp>ECO</stp>
        <stp>705149</stp>
        <stp>현재가</stp>
        <stp>44773</stp>
        <stp>fill=true</stp>
        <tr r="M9" s="4"/>
      </tp>
      <tp>
        <v>4</v>
        <stp/>
        <stp>P</stp>
        <stp>0</stp>
        <stp>ECO</stp>
        <stp>702151</stp>
        <stp>현재가</stp>
        <stp>44773</stp>
        <stp>fill=true</stp>
        <tr r="O9" s="4"/>
      </tp>
      <tp>
        <v>60</v>
        <stp/>
        <stp>P</stp>
        <stp>0</stp>
        <stp>ECO</stp>
        <stp>702150</stp>
        <stp>현재가</stp>
        <stp>44773</stp>
        <stp>fill=true</stp>
        <tr r="W9" s="4"/>
      </tp>
      <tp>
        <v>46.21</v>
        <stp/>
        <stp>P</stp>
        <stp>0</stp>
        <stp>ECO</stp>
        <stp>702056</stp>
        <stp>현재가</stp>
        <stp>44712</stp>
        <stp>fill=true</stp>
        <tr r="N7" s="4"/>
      </tp>
      <tp>
        <v>50.59</v>
        <stp/>
        <stp>P</stp>
        <stp>0</stp>
        <stp>ECO</stp>
        <stp>702056</stp>
        <stp>현재가</stp>
        <stp>44742</stp>
        <stp>fill=true</stp>
        <tr r="N8" s="4"/>
      </tp>
      <tp>
        <v>3.5</v>
        <stp/>
        <stp>P</stp>
        <stp>0</stp>
        <stp>ECO</stp>
        <stp>702155</stp>
        <stp>현재가</stp>
        <stp>44773</stp>
        <stp>fill=true</stp>
        <tr r="AC9" s="4"/>
      </tp>
      <tp>
        <v>2.25</v>
        <stp/>
        <stp>P</stp>
        <stp>0</stp>
        <stp>ECO</stp>
        <stp>702154</stp>
        <stp>현재가</stp>
        <stp>44773</stp>
        <stp>fill=true</stp>
        <tr r="K9" s="4"/>
      </tp>
      <tp>
        <v>54.13</v>
        <stp/>
        <stp>P</stp>
        <stp>0</stp>
        <stp>ECO</stp>
        <stp>702056</stp>
        <stp>현재가</stp>
        <stp>44592</stp>
        <stp>fill=true</stp>
        <tr r="N3" s="4"/>
      </tp>
      <tp>
        <v>0</v>
        <stp/>
        <stp>P</stp>
        <stp>0</stp>
        <stp>ECO</stp>
        <stp>192333</stp>
        <stp>현재가</stp>
        <stp>44651</stp>
        <stp>fill=true</stp>
        <tr r="S5" s="4"/>
      </tp>
      <tp>
        <v>0</v>
        <stp/>
        <stp>P</stp>
        <stp>0</stp>
        <stp>ECO</stp>
        <stp>192333</stp>
        <stp>현재가</stp>
        <stp>44681</stp>
        <stp>fill=true</stp>
        <tr r="S6" s="4"/>
      </tp>
      <tp>
        <v>1.25</v>
        <stp/>
        <stp>P</stp>
        <stp>0</stp>
        <stp>ECO</stp>
        <stp>702159</stp>
        <stp>현재가</stp>
        <stp>44773</stp>
        <stp>fill=true</stp>
        <tr r="E9" s="4"/>
      </tp>
      <tp>
        <v>3.5</v>
        <stp/>
        <stp>P</stp>
        <stp>0</stp>
        <stp>ECO</stp>
        <stp>192331</stp>
        <stp>현재가</stp>
        <stp>44651</stp>
        <stp>fill=true</stp>
        <tr r="AJ5" s="4"/>
      </tp>
      <tp>
        <v>4.5</v>
        <stp/>
        <stp>P</stp>
        <stp>0</stp>
        <stp>ECO</stp>
        <stp>192331</stp>
        <stp>현재가</stp>
        <stp>44681</stp>
        <stp>fill=true</stp>
        <tr r="AJ6" s="4"/>
      </tp>
      <tp>
        <v>3</v>
        <stp/>
        <stp>P</stp>
        <stp>0</stp>
        <stp>ECO</stp>
        <stp>702158</stp>
        <stp>현재가</stp>
        <stp>44773</stp>
        <stp>fill=true</stp>
        <tr r="R9" s="4"/>
      </tp>
      <tp>
        <v>-0.1</v>
        <stp/>
        <stp>P</stp>
        <stp>0</stp>
        <stp>ECO</stp>
        <stp>192330</stp>
        <stp>현재가</stp>
        <stp>44651</stp>
        <stp>fill=true</stp>
        <tr r="AD5" s="4"/>
      </tp>
      <tp>
        <v>54.18</v>
        <stp/>
        <stp>P</stp>
        <stp>0</stp>
        <stp>ECO</stp>
        <stp>702056</stp>
        <stp>현재가</stp>
        <stp>44942</stp>
        <stp>fill=true</stp>
        <tr r="N15" s="4"/>
      </tp>
      <tp>
        <v>-0.1</v>
        <stp/>
        <stp>P</stp>
        <stp>0</stp>
        <stp>ECO</stp>
        <stp>192330</stp>
        <stp>현재가</stp>
        <stp>44681</stp>
        <stp>fill=true</stp>
        <tr r="AD6" s="4"/>
      </tp>
      <tp>
        <v>0.5</v>
        <stp/>
        <stp>P</stp>
        <stp>0</stp>
        <stp>ECO</stp>
        <stp>192336</stp>
        <stp>현재가</stp>
        <stp>44651</stp>
        <stp>fill=true</stp>
        <tr r="AG5" s="4"/>
      </tp>
      <tp>
        <v>1</v>
        <stp/>
        <stp>P</stp>
        <stp>0</stp>
        <stp>ECO</stp>
        <stp>192336</stp>
        <stp>현재가</stp>
        <stp>44681</stp>
        <stp>fill=true</stp>
        <tr r="AG6" s="4"/>
      </tp>
      <tp>
        <v>0.75</v>
        <stp/>
        <stp>P</stp>
        <stp>0</stp>
        <stp>ECO</stp>
        <stp>192335</stp>
        <stp>현재가</stp>
        <stp>44651</stp>
        <stp>fill=true</stp>
        <tr r="Y5" s="4"/>
      </tp>
      <tp>
        <v>0.75</v>
        <stp/>
        <stp>P</stp>
        <stp>0</stp>
        <stp>ECO</stp>
        <stp>192335</stp>
        <stp>현재가</stp>
        <stp>44681</stp>
        <stp>fill=true</stp>
        <tr r="Y6" s="4"/>
      </tp>
      <tp>
        <v>0.5</v>
        <stp/>
        <stp>P</stp>
        <stp>0</stp>
        <stp>ECO</stp>
        <stp>192334</stp>
        <stp>현재가</stp>
        <stp>44651</stp>
        <stp>fill=true</stp>
        <tr r="AH5" s="4"/>
      </tp>
      <tp>
        <v>0.5</v>
        <stp/>
        <stp>P</stp>
        <stp>0</stp>
        <stp>ECO</stp>
        <stp>192334</stp>
        <stp>현재가</stp>
        <stp>44681</stp>
        <stp>fill=true</stp>
        <tr r="AH6" s="4"/>
      </tp>
      <tp>
        <v>7.5</v>
        <stp/>
        <stp>P</stp>
        <stp>0</stp>
        <stp>ECO</stp>
        <stp>703723</stp>
        <stp>현재가</stp>
        <stp>44865</stp>
        <stp>fill=true</stp>
        <tr r="J12" s="4"/>
      </tp>
      <tp>
        <v>7.5</v>
        <stp/>
        <stp>P</stp>
        <stp>0</stp>
        <stp>ECO</stp>
        <stp>703723</stp>
        <stp>현재가</stp>
        <stp>44895</stp>
        <stp>fill=true</stp>
        <tr r="J13" s="4"/>
      </tp>
      <tp>
        <v>4.3499999999999996</v>
        <stp/>
        <stp>P</stp>
        <stp>0</stp>
        <stp>ECO</stp>
        <stp>700300</stp>
        <stp>현재가</stp>
        <stp>44651</stp>
        <stp>fill=true</stp>
        <tr r="AE5" s="4"/>
      </tp>
      <tp>
        <v>4.3499999999999996</v>
        <stp/>
        <stp>P</stp>
        <stp>0</stp>
        <stp>ECO</stp>
        <stp>700300</stp>
        <stp>현재가</stp>
        <stp>44681</stp>
        <stp>fill=true</stp>
        <tr r="AE6" s="4"/>
      </tp>
      <tp>
        <v>4</v>
        <stp/>
        <stp>P</stp>
        <stp>0</stp>
        <stp>ECO</stp>
        <stp>700301</stp>
        <stp>현재가</stp>
        <stp>44651</stp>
        <stp>fill=true</stp>
        <tr r="AB5" s="4"/>
      </tp>
      <tp>
        <v>4</v>
        <stp/>
        <stp>P</stp>
        <stp>0</stp>
        <stp>ECO</stp>
        <stp>700301</stp>
        <stp>현재가</stp>
        <stp>44681</stp>
        <stp>fill=true</stp>
        <tr r="AB6" s="4"/>
      </tp>
      <tp>
        <v>1.35</v>
        <stp/>
        <stp>P</stp>
        <stp>0</stp>
        <stp>ECO</stp>
        <stp>700107</stp>
        <stp>현재가</stp>
        <stp>44773</stp>
        <stp>fill=true</stp>
        <tr r="AO9" s="4"/>
      </tp>
      <tp>
        <v>13.25</v>
        <stp/>
        <stp>P</stp>
        <stp>0</stp>
        <stp>ECO</stp>
        <stp>700106</stp>
        <stp>현재가</stp>
        <stp>44773</stp>
        <stp>fill=true</stp>
        <tr r="Q9" s="4"/>
      </tp>
      <tp>
        <v>2.5</v>
        <stp/>
        <stp>P</stp>
        <stp>0</stp>
        <stp>ECO</stp>
        <stp>700108</stp>
        <stp>현재가</stp>
        <stp>44773</stp>
        <stp>fill=true</stp>
        <tr r="F9" s="4"/>
      </tp>
      <tp>
        <v>7</v>
        <stp/>
        <stp>P</stp>
        <stp>0</stp>
        <stp>ECO</stp>
        <stp>700113</stp>
        <stp>현재가</stp>
        <stp>44773</stp>
        <stp>fill=true</stp>
        <tr r="AF9" s="4"/>
      </tp>
      <tp>
        <v>-0.25</v>
        <stp/>
        <stp>P</stp>
        <stp>0</stp>
        <stp>ECO</stp>
        <stp>700110</stp>
        <stp>현재가</stp>
        <stp>44773</stp>
        <stp>fill=true</stp>
        <tr r="T9" s="4"/>
      </tp>
      <tp>
        <v>20221231</v>
        <stp/>
        <stp>P</stp>
        <stp>0</stp>
        <stp>ECO</stp>
        <stp>701896</stp>
        <stp>현재가</stp>
        <stp>44926</stp>
        <stp>DISP=DATE</stp>
        <tr r="K9" s="2"/>
      </tp>
      <tp>
        <v>20221230</v>
        <stp/>
        <stp>P</stp>
        <stp>0</stp>
        <stp>ECO</stp>
        <stp>701895</stp>
        <stp>현재가</stp>
        <stp>44926</stp>
        <stp>DISP=DATE</stp>
        <tr r="K48" s="2"/>
      </tp>
      <tp>
        <v>20221230</v>
        <stp/>
        <stp>P</stp>
        <stp>0</stp>
        <stp>ECO</stp>
        <stp>701894</stp>
        <stp>현재가</stp>
        <stp>44926</stp>
        <stp>DISP=DATE</stp>
        <tr r="K41" s="2"/>
      </tp>
      <tp>
        <v>20221231</v>
        <stp/>
        <stp>P</stp>
        <stp>0</stp>
        <stp>ECO</stp>
        <stp>701890</stp>
        <stp>현재가</stp>
        <stp>44926</stp>
        <stp>DISP=DATE</stp>
        <tr r="K13" s="2"/>
      </tp>
      <tp>
        <v>0.5</v>
        <stp/>
        <stp>P</stp>
        <stp>0</stp>
        <stp>ECO</stp>
        <stp>700180</stp>
        <stp>현재가</stp>
        <stp>44804</stp>
        <stp>fill=true</stp>
        <tr r="D10" s="4"/>
        <tr r="U10" s="4"/>
        <tr r="P10" s="4"/>
        <tr r="X10" s="4"/>
        <tr r="I10" s="4"/>
        <tr r="AA10" s="4"/>
        <tr r="AK10" s="4"/>
        <tr r="B10" s="4"/>
        <tr r="Z10" s="4"/>
        <tr r="AL10" s="4"/>
      </tp>
      <tp>
        <v>1.25</v>
        <stp/>
        <stp>P</stp>
        <stp>0</stp>
        <stp>ECO</stp>
        <stp>700180</stp>
        <stp>현재가</stp>
        <stp>44834</stp>
        <stp>fill=true</stp>
        <tr r="B11" s="4"/>
        <tr r="Z11" s="4"/>
        <tr r="AL11" s="4"/>
        <tr r="AA11" s="4"/>
        <tr r="D11" s="4"/>
        <tr r="P11" s="4"/>
        <tr r="X11" s="4"/>
        <tr r="I11" s="4"/>
        <tr r="U11" s="4"/>
        <tr r="AK11" s="4"/>
      </tp>
      <tp>
        <v>0.8</v>
        <stp/>
        <stp>P</stp>
        <stp>0</stp>
        <stp>ECO</stp>
        <stp>702160</stp>
        <stp>현재가</stp>
        <stp>44834</stp>
        <stp>fill=true</stp>
        <tr r="H11" s="4"/>
      </tp>
      <tp>
        <v>0.05</v>
        <stp/>
        <stp>P</stp>
        <stp>0</stp>
        <stp>ECO</stp>
        <stp>702160</stp>
        <stp>현재가</stp>
        <stp>44804</stp>
        <stp>fill=true</stp>
        <tr r="H10" s="4"/>
      </tp>
      <tp>
        <v>9.25</v>
        <stp/>
        <stp>P</stp>
        <stp>0</stp>
        <stp>ECO</stp>
        <stp>702163</stp>
        <stp>현재가</stp>
        <stp>44834</stp>
        <stp>fill=true</stp>
        <tr r="L11" s="4"/>
      </tp>
      <tp>
        <v>8.5</v>
        <stp/>
        <stp>P</stp>
        <stp>0</stp>
        <stp>ECO</stp>
        <stp>702163</stp>
        <stp>현재가</stp>
        <stp>44804</stp>
        <stp>fill=true</stp>
        <tr r="L10" s="4"/>
      </tp>
      <tp>
        <v>2.25</v>
        <stp/>
        <stp>P</stp>
        <stp>0</stp>
        <stp>ECO</stp>
        <stp>705149</stp>
        <stp>현재가</stp>
        <stp>44804</stp>
        <stp>fill=true</stp>
        <tr r="M10" s="4"/>
      </tp>
      <tp>
        <v>3</v>
        <stp/>
        <stp>P</stp>
        <stp>0</stp>
        <stp>ECO</stp>
        <stp>705149</stp>
        <stp>현재가</stp>
        <stp>44834</stp>
        <stp>fill=true</stp>
        <tr r="M11" s="4"/>
      </tp>
      <tp>
        <v>120.53</v>
        <stp/>
        <stp>P</stp>
        <stp>0</stp>
        <stp>ECO</stp>
        <stp>700344</stp>
        <stp>현재가</stp>
        <stp>44926</stp>
        <stp>fill=true</stp>
        <tr r="Q8" s="2"/>
        <tr r="Q32" s="2"/>
      </tp>
      <tp>
        <v>13</v>
        <stp/>
        <stp>P</stp>
        <stp>0</stp>
        <stp>ECO</stp>
        <stp>192329</stp>
        <stp>현재가</stp>
        <stp>44926</stp>
        <stp>fill=true</stp>
        <tr r="AN14" s="4"/>
      </tp>
      <tp>
        <v>2.3098000000000001</v>
        <stp/>
        <stp>P</stp>
        <stp>0</stp>
        <stp>ECO</stp>
        <stp>780149</stp>
        <stp>현재가</stp>
        <stp>44804</stp>
        <stp>fill=true</stp>
        <tr r="V10" s="4"/>
      </tp>
      <tp>
        <v>4.3916000000000004</v>
        <stp/>
        <stp>P</stp>
        <stp>0</stp>
        <stp>ECO</stp>
        <stp>780149</stp>
        <stp>현재가</stp>
        <stp>44834</stp>
        <stp>fill=true</stp>
        <tr r="V11" s="4"/>
      </tp>
      <tp>
        <v>1.25</v>
        <stp/>
        <stp>P</stp>
        <stp>0</stp>
        <stp>ECO</stp>
        <stp>192334</stp>
        <stp>현재가</stp>
        <stp>44926</stp>
        <stp>fill=true</stp>
        <tr r="AH14" s="4"/>
      </tp>
      <tp>
        <v>3.5</v>
        <stp/>
        <stp>P</stp>
        <stp>0</stp>
        <stp>ECO</stp>
        <stp>192335</stp>
        <stp>현재가</stp>
        <stp>44926</stp>
        <stp>fill=true</stp>
        <tr r="Y14" s="4"/>
      </tp>
      <tp>
        <v>4.25</v>
        <stp/>
        <stp>P</stp>
        <stp>0</stp>
        <stp>ECO</stp>
        <stp>192336</stp>
        <stp>현재가</stp>
        <stp>44926</stp>
        <stp>fill=true</stp>
        <tr r="AG14" s="4"/>
      </tp>
      <tp>
        <v>3.75</v>
        <stp/>
        <stp>P</stp>
        <stp>0</stp>
        <stp>ECO</stp>
        <stp>702158</stp>
        <stp>현재가</stp>
        <stp>44834</stp>
        <stp>fill=true</stp>
        <tr r="R11" s="4"/>
      </tp>
      <tp>
        <v>-0.1</v>
        <stp/>
        <stp>P</stp>
        <stp>0</stp>
        <stp>ECO</stp>
        <stp>192330</stp>
        <stp>현재가</stp>
        <stp>44926</stp>
        <stp>fill=true</stp>
        <tr r="AD14" s="4"/>
      </tp>
      <tp>
        <v>3</v>
        <stp/>
        <stp>P</stp>
        <stp>0</stp>
        <stp>ECO</stp>
        <stp>702158</stp>
        <stp>현재가</stp>
        <stp>44804</stp>
        <stp>fill=true</stp>
        <tr r="R10" s="4"/>
      </tp>
      <tp>
        <v>2.25</v>
        <stp/>
        <stp>P</stp>
        <stp>0</stp>
        <stp>ECO</stp>
        <stp>702159</stp>
        <stp>현재가</stp>
        <stp>44834</stp>
        <stp>fill=true</stp>
        <tr r="E11" s="4"/>
      </tp>
      <tp>
        <v>6.75</v>
        <stp/>
        <stp>P</stp>
        <stp>0</stp>
        <stp>ECO</stp>
        <stp>192331</stp>
        <stp>현재가</stp>
        <stp>44926</stp>
        <stp>fill=true</stp>
        <tr r="AJ14" s="4"/>
      </tp>
      <tp>
        <v>1.75</v>
        <stp/>
        <stp>P</stp>
        <stp>0</stp>
        <stp>ECO</stp>
        <stp>702159</stp>
        <stp>현재가</stp>
        <stp>44804</stp>
        <stp>fill=true</stp>
        <tr r="E10" s="4"/>
      </tp>
      <tp>
        <v>2.5</v>
        <stp/>
        <stp>P</stp>
        <stp>0</stp>
        <stp>ECO</stp>
        <stp>192333</stp>
        <stp>현재가</stp>
        <stp>44926</stp>
        <stp>fill=true</stp>
        <tr r="S14" s="4"/>
      </tp>
      <tp>
        <v>2.5</v>
        <stp/>
        <stp>P</stp>
        <stp>0</stp>
        <stp>ECO</stp>
        <stp>702154</stp>
        <stp>현재가</stp>
        <stp>44834</stp>
        <stp>fill=true</stp>
        <tr r="K11" s="4"/>
      </tp>
      <tp>
        <v>2.25</v>
        <stp/>
        <stp>P</stp>
        <stp>0</stp>
        <stp>ECO</stp>
        <stp>702154</stp>
        <stp>현재가</stp>
        <stp>44804</stp>
        <stp>fill=true</stp>
        <tr r="K10" s="4"/>
      </tp>
      <tp>
        <v>4.25</v>
        <stp/>
        <stp>P</stp>
        <stp>0</stp>
        <stp>ECO</stp>
        <stp>702155</stp>
        <stp>현재가</stp>
        <stp>44834</stp>
        <stp>fill=true</stp>
        <tr r="AC11" s="4"/>
      </tp>
      <tp>
        <v>3.75</v>
        <stp/>
        <stp>P</stp>
        <stp>0</stp>
        <stp>ECO</stp>
        <stp>702155</stp>
        <stp>현재가</stp>
        <stp>44804</stp>
        <stp>fill=true</stp>
        <tr r="AC10" s="4"/>
      </tp>
      <tp>
        <v>53.38</v>
        <stp/>
        <stp>P</stp>
        <stp>0</stp>
        <stp>ECO</stp>
        <stp>702056</stp>
        <stp>현재가</stp>
        <stp>44865</stp>
        <stp>fill=true</stp>
        <tr r="N12" s="4"/>
      </tp>
      <tp>
        <v>53.75</v>
        <stp/>
        <stp>P</stp>
        <stp>0</stp>
        <stp>ECO</stp>
        <stp>702056</stp>
        <stp>현재가</stp>
        <stp>44895</stp>
        <stp>fill=true</stp>
        <tr r="N13" s="4"/>
      </tp>
      <tp>
        <v>75</v>
        <stp/>
        <stp>P</stp>
        <stp>0</stp>
        <stp>ECO</stp>
        <stp>702150</stp>
        <stp>현재가</stp>
        <stp>44834</stp>
        <stp>fill=true</stp>
        <tr r="W11" s="4"/>
      </tp>
      <tp>
        <v>69.5</v>
        <stp/>
        <stp>P</stp>
        <stp>0</stp>
        <stp>ECO</stp>
        <stp>702150</stp>
        <stp>현재가</stp>
        <stp>44804</stp>
        <stp>fill=true</stp>
        <tr r="W10" s="4"/>
      </tp>
      <tp>
        <v>5</v>
        <stp/>
        <stp>P</stp>
        <stp>0</stp>
        <stp>ECO</stp>
        <stp>702151</stp>
        <stp>현재가</stp>
        <stp>44834</stp>
        <stp>fill=true</stp>
        <tr r="O11" s="4"/>
      </tp>
      <tp>
        <v>4</v>
        <stp/>
        <stp>P</stp>
        <stp>0</stp>
        <stp>ECO</stp>
        <stp>702151</stp>
        <stp>현재가</stp>
        <stp>44804</stp>
        <stp>fill=true</stp>
        <tr r="O10" s="4"/>
      </tp>
      <tp>
        <v>11</v>
        <stp/>
        <stp>P</stp>
        <stp>0</stp>
        <stp>ECO</stp>
        <stp>703723</stp>
        <stp>현재가</stp>
        <stp>44712</stp>
        <stp>fill=true</stp>
        <tr r="J7" s="4"/>
      </tp>
      <tp>
        <v>9.5</v>
        <stp/>
        <stp>P</stp>
        <stp>0</stp>
        <stp>ECO</stp>
        <stp>703723</stp>
        <stp>현재가</stp>
        <stp>44742</stp>
        <stp>fill=true</stp>
        <tr r="J8" s="4"/>
      </tp>
      <tp>
        <v>8.5</v>
        <stp/>
        <stp>P</stp>
        <stp>0</stp>
        <stp>ECO</stp>
        <stp>703723</stp>
        <stp>현재가</stp>
        <stp>44592</stp>
        <stp>fill=true</stp>
        <tr r="J3" s="4"/>
      </tp>
      <tp>
        <v>7.5</v>
        <stp/>
        <stp>P</stp>
        <stp>0</stp>
        <stp>ECO</stp>
        <stp>703723</stp>
        <stp>현재가</stp>
        <stp>44942</stp>
        <stp>fill=true</stp>
        <tr r="J15" s="4"/>
      </tp>
      <tp>
        <v>3</v>
        <stp/>
        <stp>P</stp>
        <stp>0</stp>
        <stp>ECO</stp>
        <stp>700108</stp>
        <stp>현재가</stp>
        <stp>44804</stp>
        <stp>fill=true</stp>
        <tr r="F10" s="4"/>
      </tp>
      <tp>
        <v>3</v>
        <stp/>
        <stp>P</stp>
        <stp>0</stp>
        <stp>ECO</stp>
        <stp>700108</stp>
        <stp>현재가</stp>
        <stp>44834</stp>
        <stp>fill=true</stp>
        <tr r="F11" s="4"/>
      </tp>
      <tp>
        <v>13.75</v>
        <stp/>
        <stp>P</stp>
        <stp>0</stp>
        <stp>ECO</stp>
        <stp>700106</stp>
        <stp>현재가</stp>
        <stp>44804</stp>
        <stp>fill=true</stp>
        <tr r="Q10" s="4"/>
      </tp>
      <tp>
        <v>13.75</v>
        <stp/>
        <stp>P</stp>
        <stp>0</stp>
        <stp>ECO</stp>
        <stp>700106</stp>
        <stp>현재가</stp>
        <stp>44834</stp>
        <stp>fill=true</stp>
        <tr r="Q11" s="4"/>
      </tp>
      <tp>
        <v>1.85</v>
        <stp/>
        <stp>P</stp>
        <stp>0</stp>
        <stp>ECO</stp>
        <stp>700107</stp>
        <stp>현재가</stp>
        <stp>44804</stp>
        <stp>fill=true</stp>
        <tr r="AO10" s="4"/>
      </tp>
      <tp>
        <v>2.35</v>
        <stp/>
        <stp>P</stp>
        <stp>0</stp>
        <stp>ECO</stp>
        <stp>700107</stp>
        <stp>현재가</stp>
        <stp>44834</stp>
        <stp>fill=true</stp>
        <tr r="AO11" s="4"/>
      </tp>
      <tp>
        <v>6.25</v>
        <stp/>
        <stp>P</stp>
        <stp>0</stp>
        <stp>ECO</stp>
        <stp>700301</stp>
        <stp>현재가</stp>
        <stp>44926</stp>
        <stp>fill=true</stp>
        <tr r="AB14" s="4"/>
      </tp>
      <tp>
        <v>4.3499999999999996</v>
        <stp/>
        <stp>P</stp>
        <stp>0</stp>
        <stp>ECO</stp>
        <stp>700300</stp>
        <stp>현재가</stp>
        <stp>44926</stp>
        <stp>fill=true</stp>
        <tr r="AE14" s="4"/>
      </tp>
      <tp>
        <v>-0.25</v>
        <stp/>
        <stp>P</stp>
        <stp>0</stp>
        <stp>ECO</stp>
        <stp>700110</stp>
        <stp>현재가</stp>
        <stp>44804</stp>
        <stp>fill=true</stp>
        <tr r="T10" s="4"/>
      </tp>
      <tp>
        <v>0.5</v>
        <stp/>
        <stp>P</stp>
        <stp>0</stp>
        <stp>ECO</stp>
        <stp>700110</stp>
        <stp>현재가</stp>
        <stp>44834</stp>
        <stp>fill=true</stp>
        <tr r="T11" s="4"/>
      </tp>
      <tp>
        <v>7</v>
        <stp/>
        <stp>P</stp>
        <stp>0</stp>
        <stp>ECO</stp>
        <stp>700113</stp>
        <stp>현재가</stp>
        <stp>44804</stp>
        <stp>fill=true</stp>
        <tr r="AF10" s="4"/>
      </tp>
      <tp>
        <v>7</v>
        <stp/>
        <stp>P</stp>
        <stp>0</stp>
        <stp>ECO</stp>
        <stp>700113</stp>
        <stp>현재가</stp>
        <stp>44834</stp>
        <stp>fill=true</stp>
        <tr r="AF11" s="4"/>
      </tp>
      <tp>
        <v>1.25</v>
        <stp/>
        <stp>P</stp>
        <stp>0</stp>
        <stp>ECO</stp>
        <stp>700180</stp>
        <stp>현재가</stp>
        <stp>44865</stp>
        <stp>fill=true</stp>
        <tr r="I12" s="4"/>
        <tr r="U12" s="4"/>
        <tr r="AK12" s="4"/>
        <tr r="B12" s="4"/>
        <tr r="Z12" s="4"/>
        <tr r="AL12" s="4"/>
        <tr r="AA12" s="4"/>
        <tr r="D12" s="4"/>
        <tr r="P12" s="4"/>
        <tr r="X12" s="4"/>
      </tp>
      <tp>
        <v>2</v>
        <stp/>
        <stp>P</stp>
        <stp>0</stp>
        <stp>ECO</stp>
        <stp>700180</stp>
        <stp>현재가</stp>
        <stp>44895</stp>
        <stp>fill=true</stp>
        <tr r="D13" s="4"/>
        <tr r="P13" s="4"/>
        <tr r="X13" s="4"/>
        <tr r="I13" s="4"/>
        <tr r="U13" s="4"/>
        <tr r="AK13" s="4"/>
        <tr r="B13" s="4"/>
        <tr r="Z13" s="4"/>
        <tr r="AL13" s="4"/>
        <tr r="AA13" s="4"/>
      </tp>
      <tp>
        <v>1.4</v>
        <stp/>
        <stp>P</stp>
        <stp>0</stp>
        <stp>ECO</stp>
        <stp>702160</stp>
        <stp>현재가</stp>
        <stp>44865</stp>
        <stp>fill=true</stp>
        <tr r="H12" s="4"/>
      </tp>
      <tp>
        <v>1.4</v>
        <stp/>
        <stp>P</stp>
        <stp>0</stp>
        <stp>ECO</stp>
        <stp>702160</stp>
        <stp>현재가</stp>
        <stp>44895</stp>
        <stp>fill=true</stp>
        <tr r="H13" s="4"/>
      </tp>
      <tp>
        <v>9.25</v>
        <stp/>
        <stp>P</stp>
        <stp>0</stp>
        <stp>ECO</stp>
        <stp>702163</stp>
        <stp>현재가</stp>
        <stp>44865</stp>
        <stp>fill=true</stp>
        <tr r="L12" s="4"/>
      </tp>
      <tp>
        <v>10</v>
        <stp/>
        <stp>P</stp>
        <stp>0</stp>
        <stp>ECO</stp>
        <stp>702163</stp>
        <stp>현재가</stp>
        <stp>44895</stp>
        <stp>fill=true</stp>
        <tr r="L13" s="4"/>
      </tp>
      <tp>
        <v>3</v>
        <stp/>
        <stp>P</stp>
        <stp>0</stp>
        <stp>ECO</stp>
        <stp>705149</stp>
        <stp>현재가</stp>
        <stp>44865</stp>
        <stp>fill=true</stp>
        <tr r="M12" s="4"/>
      </tp>
      <tp>
        <v>3.75</v>
        <stp/>
        <stp>P</stp>
        <stp>0</stp>
        <stp>ECO</stp>
        <stp>705149</stp>
        <stp>현재가</stp>
        <stp>44895</stp>
        <stp>fill=true</stp>
        <tr r="M13" s="4"/>
      </tp>
      <tp>
        <v>2.8521000000000001</v>
        <stp/>
        <stp>P</stp>
        <stp>0</stp>
        <stp>ECO</stp>
        <stp>780149</stp>
        <stp>현재가</stp>
        <stp>44865</stp>
        <stp>fill=true</stp>
        <tr r="V12" s="4"/>
      </tp>
      <tp>
        <v>3.9119000000000002</v>
        <stp/>
        <stp>P</stp>
        <stp>0</stp>
        <stp>ECO</stp>
        <stp>780149</stp>
        <stp>현재가</stp>
        <stp>44895</stp>
        <stp>fill=true</stp>
        <tr r="V13" s="4"/>
      </tp>
      <tp>
        <v>3.75</v>
        <stp/>
        <stp>P</stp>
        <stp>0</stp>
        <stp>ECO</stp>
        <stp>702158</stp>
        <stp>현재가</stp>
        <stp>44865</stp>
        <stp>fill=true</stp>
        <tr r="R12" s="4"/>
      </tp>
      <tp>
        <v>4.5</v>
        <stp/>
        <stp>P</stp>
        <stp>0</stp>
        <stp>ECO</stp>
        <stp>702158</stp>
        <stp>현재가</stp>
        <stp>44895</stp>
        <stp>fill=true</stp>
        <tr r="R13" s="4"/>
      </tp>
      <tp>
        <v>2.25</v>
        <stp/>
        <stp>P</stp>
        <stp>0</stp>
        <stp>ECO</stp>
        <stp>702159</stp>
        <stp>현재가</stp>
        <stp>44865</stp>
        <stp>fill=true</stp>
        <tr r="E12" s="4"/>
      </tp>
      <tp>
        <v>2.5</v>
        <stp/>
        <stp>P</stp>
        <stp>0</stp>
        <stp>ECO</stp>
        <stp>702159</stp>
        <stp>현재가</stp>
        <stp>44895</stp>
        <stp>fill=true</stp>
        <tr r="E13" s="4"/>
      </tp>
      <tp>
        <v>2.5</v>
        <stp/>
        <stp>P</stp>
        <stp>0</stp>
        <stp>ECO</stp>
        <stp>702154</stp>
        <stp>현재가</stp>
        <stp>44865</stp>
        <stp>fill=true</stp>
        <tr r="K12" s="4"/>
      </tp>
      <tp>
        <v>2.75</v>
        <stp/>
        <stp>P</stp>
        <stp>0</stp>
        <stp>ECO</stp>
        <stp>702154</stp>
        <stp>현재가</stp>
        <stp>44895</stp>
        <stp>fill=true</stp>
        <tr r="K13" s="4"/>
      </tp>
      <tp>
        <v>4.75</v>
        <stp/>
        <stp>P</stp>
        <stp>0</stp>
        <stp>ECO</stp>
        <stp>702155</stp>
        <stp>현재가</stp>
        <stp>44865</stp>
        <stp>fill=true</stp>
        <tr r="AC12" s="4"/>
      </tp>
      <tp>
        <v>5.25</v>
        <stp/>
        <stp>P</stp>
        <stp>0</stp>
        <stp>ECO</stp>
        <stp>702155</stp>
        <stp>현재가</stp>
        <stp>44895</stp>
        <stp>fill=true</stp>
        <tr r="AC13" s="4"/>
      </tp>
      <tp>
        <v>49.02</v>
        <stp/>
        <stp>P</stp>
        <stp>0</stp>
        <stp>ECO</stp>
        <stp>702056</stp>
        <stp>현재가</stp>
        <stp>44834</stp>
        <stp>fill=true</stp>
        <tr r="N11" s="4"/>
      </tp>
      <tp>
        <v>48.85</v>
        <stp/>
        <stp>P</stp>
        <stp>0</stp>
        <stp>ECO</stp>
        <stp>702056</stp>
        <stp>현재가</stp>
        <stp>44804</stp>
        <stp>fill=true</stp>
        <tr r="N10" s="4"/>
      </tp>
      <tp>
        <v>75</v>
        <stp/>
        <stp>P</stp>
        <stp>0</stp>
        <stp>ECO</stp>
        <stp>702150</stp>
        <stp>현재가</stp>
        <stp>44865</stp>
        <stp>fill=true</stp>
        <tr r="W12" s="4"/>
      </tp>
      <tp>
        <v>75</v>
        <stp/>
        <stp>P</stp>
        <stp>0</stp>
        <stp>ECO</stp>
        <stp>702150</stp>
        <stp>현재가</stp>
        <stp>44895</stp>
        <stp>fill=true</stp>
        <tr r="W13" s="4"/>
      </tp>
      <tp>
        <v>6</v>
        <stp/>
        <stp>P</stp>
        <stp>0</stp>
        <stp>ECO</stp>
        <stp>702151</stp>
        <stp>현재가</stp>
        <stp>44865</stp>
        <stp>fill=true</stp>
        <tr r="O12" s="4"/>
      </tp>
      <tp>
        <v>6</v>
        <stp/>
        <stp>P</stp>
        <stp>0</stp>
        <stp>ECO</stp>
        <stp>702151</stp>
        <stp>현재가</stp>
        <stp>44895</stp>
        <stp>fill=true</stp>
        <tr r="O13" s="4"/>
      </tp>
      <tp>
        <v>8</v>
        <stp/>
        <stp>P</stp>
        <stp>0</stp>
        <stp>ECO</stp>
        <stp>703723</stp>
        <stp>현재가</stp>
        <stp>44773</stp>
        <stp>fill=true</stp>
        <tr r="J9" s="4"/>
      </tp>
      <tp>
        <v>3.5</v>
        <stp/>
        <stp>P</stp>
        <stp>0</stp>
        <stp>ECO</stp>
        <stp>700108</stp>
        <stp>현재가</stp>
        <stp>44865</stp>
        <stp>fill=true</stp>
        <tr r="F12" s="4"/>
      </tp>
      <tp>
        <v>4.25</v>
        <stp/>
        <stp>P</stp>
        <stp>0</stp>
        <stp>ECO</stp>
        <stp>700108</stp>
        <stp>현재가</stp>
        <stp>44895</stp>
        <stp>fill=true</stp>
        <tr r="F13" s="4"/>
      </tp>
      <tp>
        <v>13.75</v>
        <stp/>
        <stp>P</stp>
        <stp>0</stp>
        <stp>ECO</stp>
        <stp>700106</stp>
        <stp>현재가</stp>
        <stp>44865</stp>
        <stp>fill=true</stp>
        <tr r="Q12" s="4"/>
      </tp>
      <tp>
        <v>13.75</v>
        <stp/>
        <stp>P</stp>
        <stp>0</stp>
        <stp>ECO</stp>
        <stp>700106</stp>
        <stp>현재가</stp>
        <stp>44895</stp>
        <stp>fill=true</stp>
        <tr r="Q13" s="4"/>
      </tp>
      <tp>
        <v>2.6</v>
        <stp/>
        <stp>P</stp>
        <stp>0</stp>
        <stp>ECO</stp>
        <stp>700107</stp>
        <stp>현재가</stp>
        <stp>44865</stp>
        <stp>fill=true</stp>
        <tr r="AO12" s="4"/>
      </tp>
      <tp>
        <v>2.85</v>
        <stp/>
        <stp>P</stp>
        <stp>0</stp>
        <stp>ECO</stp>
        <stp>700107</stp>
        <stp>현재가</stp>
        <stp>44895</stp>
        <stp>fill=true</stp>
        <tr r="AO13" s="4"/>
      </tp>
      <tp>
        <v>124.78700000000001</v>
        <stp/>
        <stp>P</stp>
        <stp>0</stp>
        <stp>ECO</stp>
        <stp>702219</stp>
        <stp>현재가</stp>
        <stp>44926</stp>
        <stp>fill=true</stp>
        <tr r="Q31" s="2"/>
      </tp>
      <tp>
        <v>0.5</v>
        <stp/>
        <stp>P</stp>
        <stp>0</stp>
        <stp>ECO</stp>
        <stp>700110</stp>
        <stp>현재가</stp>
        <stp>44865</stp>
        <stp>fill=true</stp>
        <tr r="T12" s="4"/>
      </tp>
      <tp>
        <v>0.5</v>
        <stp/>
        <stp>P</stp>
        <stp>0</stp>
        <stp>ECO</stp>
        <stp>700110</stp>
        <stp>현재가</stp>
        <stp>44895</stp>
        <stp>fill=true</stp>
        <tr r="T13" s="4"/>
      </tp>
      <tp>
        <v>7</v>
        <stp/>
        <stp>P</stp>
        <stp>0</stp>
        <stp>ECO</stp>
        <stp>700113</stp>
        <stp>현재가</stp>
        <stp>44865</stp>
        <stp>fill=true</stp>
        <tr r="AF12" s="4"/>
      </tp>
      <tp>
        <v>7</v>
        <stp/>
        <stp>P</stp>
        <stp>0</stp>
        <stp>ECO</stp>
        <stp>700113</stp>
        <stp>현재가</stp>
        <stp>44895</stp>
        <stp>fill=true</stp>
        <tr r="AF13" s="4"/>
      </tp>
      <tp>
        <v>1128.45</v>
        <stp/>
        <stp>P</stp>
        <stp>0</stp>
        <stp>ECO</stp>
        <stp>190188</stp>
        <stp>현재가</stp>
        <stp>44926</stp>
        <stp>fill=true</stp>
        <tr r="Q41" s="2"/>
      </tp>
      <tp>
        <v>108.27</v>
        <stp/>
        <stp>P</stp>
        <stp>0</stp>
        <stp>ECO</stp>
        <stp>190190</stp>
        <stp>현재가</stp>
        <stp>44926</stp>
        <stp>fill=true</stp>
        <tr r="Q13" s="2"/>
      </tp>
      <tp>
        <v>2.5</v>
        <stp/>
        <stp>P</stp>
        <stp>0</stp>
        <stp>ECO</stp>
        <stp>700180</stp>
        <stp>현재가</stp>
        <stp>44926</stp>
        <stp>fill=true</stp>
        <tr r="AA14" s="4"/>
        <tr r="D14" s="4"/>
        <tr r="P14" s="4"/>
        <tr r="X14" s="4"/>
        <tr r="I14" s="4"/>
        <tr r="U14" s="4"/>
        <tr r="AK14" s="4"/>
        <tr r="B14" s="4"/>
        <tr r="Z14" s="4"/>
        <tr r="AL14" s="4"/>
      </tp>
      <tp>
        <v>1.9</v>
        <stp/>
        <stp>P</stp>
        <stp>0</stp>
        <stp>ECO</stp>
        <stp>702160</stp>
        <stp>현재가</stp>
        <stp>44926</stp>
        <stp>fill=true</stp>
        <tr r="H14" s="4"/>
      </tp>
      <tp>
        <v>10.5</v>
        <stp/>
        <stp>P</stp>
        <stp>0</stp>
        <stp>ECO</stp>
        <stp>702163</stp>
        <stp>현재가</stp>
        <stp>44926</stp>
        <stp>fill=true</stp>
        <tr r="L14" s="4"/>
      </tp>
      <tp>
        <v>126.47799999999999</v>
        <stp/>
        <stp>P</stp>
        <stp>0</stp>
        <stp>ECO</stp>
        <stp>190113</stp>
        <stp>현재가</stp>
        <stp>44926</stp>
        <stp>fill=true</stp>
        <tr r="Q18" s="2"/>
      </tp>
      <tp>
        <v>124.94</v>
        <stp/>
        <stp>P</stp>
        <stp>0</stp>
        <stp>ECO</stp>
        <stp>190119</stp>
        <stp>현재가</stp>
        <stp>44926</stp>
        <stp>fill=true</stp>
        <tr r="Q10" s="2"/>
      </tp>
      <tp>
        <v>4.25</v>
        <stp/>
        <stp>P</stp>
        <stp>0</stp>
        <stp>ECO</stp>
        <stp>705149</stp>
        <stp>현재가</stp>
        <stp>44926</stp>
        <stp>fill=true</stp>
        <tr r="M14" s="4"/>
      </tp>
      <tp>
        <v>125.9</v>
        <stp/>
        <stp>P</stp>
        <stp>0</stp>
        <stp>ECO</stp>
        <stp>190123</stp>
        <stp>현재가</stp>
        <stp>44926</stp>
        <stp>fill=true</stp>
        <tr r="Q11" s="2"/>
      </tp>
      <tp>
        <v>13</v>
        <stp/>
        <stp>P</stp>
        <stp>0</stp>
        <stp>ECO</stp>
        <stp>192329</stp>
        <stp>현재가</stp>
        <stp>44834</stp>
        <stp>fill=true</stp>
        <tr r="AN11" s="4"/>
      </tp>
      <tp>
        <v>11.75</v>
        <stp/>
        <stp>P</stp>
        <stp>0</stp>
        <stp>ECO</stp>
        <stp>192329</stp>
        <stp>현재가</stp>
        <stp>44804</stp>
        <stp>fill=true</stp>
        <tr r="AN10" s="4"/>
      </tp>
      <tp>
        <v>2.5293000000000001</v>
        <stp/>
        <stp>P</stp>
        <stp>0</stp>
        <stp>ECO</stp>
        <stp>780149</stp>
        <stp>현재가</stp>
        <stp>44926</stp>
        <stp>fill=true</stp>
        <tr r="V14" s="4"/>
      </tp>
      <tp>
        <v>2.25</v>
        <stp/>
        <stp>P</stp>
        <stp>0</stp>
        <stp>ECO</stp>
        <stp>192335</stp>
        <stp>현재가</stp>
        <stp>44834</stp>
        <stp>fill=true</stp>
        <tr r="Y11" s="4"/>
      </tp>
      <tp>
        <v>1.75</v>
        <stp/>
        <stp>P</stp>
        <stp>0</stp>
        <stp>ECO</stp>
        <stp>192335</stp>
        <stp>현재가</stp>
        <stp>44804</stp>
        <stp>fill=true</stp>
        <tr r="Y10" s="4"/>
      </tp>
      <tp>
        <v>1</v>
        <stp/>
        <stp>P</stp>
        <stp>0</stp>
        <stp>ECO</stp>
        <stp>192334</stp>
        <stp>현재가</stp>
        <stp>44834</stp>
        <stp>fill=true</stp>
        <tr r="AH11" s="4"/>
      </tp>
      <tp>
        <v>0.75</v>
        <stp/>
        <stp>P</stp>
        <stp>0</stp>
        <stp>ECO</stp>
        <stp>192334</stp>
        <stp>현재가</stp>
        <stp>44804</stp>
        <stp>fill=true</stp>
        <tr r="AH10" s="4"/>
      </tp>
      <tp>
        <v>3.25</v>
        <stp/>
        <stp>P</stp>
        <stp>0</stp>
        <stp>ECO</stp>
        <stp>192336</stp>
        <stp>현재가</stp>
        <stp>44834</stp>
        <stp>fill=true</stp>
        <tr r="AG11" s="4"/>
      </tp>
      <tp>
        <v>2.5</v>
        <stp/>
        <stp>P</stp>
        <stp>0</stp>
        <stp>ECO</stp>
        <stp>192336</stp>
        <stp>현재가</stp>
        <stp>44804</stp>
        <stp>fill=true</stp>
        <tr r="AG10" s="4"/>
      </tp>
      <tp>
        <v>6.75</v>
        <stp/>
        <stp>P</stp>
        <stp>0</stp>
        <stp>ECO</stp>
        <stp>192331</stp>
        <stp>현재가</stp>
        <stp>44834</stp>
        <stp>fill=true</stp>
        <tr r="AJ11" s="4"/>
      </tp>
      <tp>
        <v>2.75</v>
        <stp/>
        <stp>P</stp>
        <stp>0</stp>
        <stp>ECO</stp>
        <stp>702159</stp>
        <stp>현재가</stp>
        <stp>44926</stp>
        <stp>fill=true</stp>
        <tr r="E14" s="4"/>
      </tp>
      <tp>
        <v>6.5</v>
        <stp/>
        <stp>P</stp>
        <stp>0</stp>
        <stp>ECO</stp>
        <stp>192331</stp>
        <stp>현재가</stp>
        <stp>44804</stp>
        <stp>fill=true</stp>
        <tr r="AJ10" s="4"/>
      </tp>
      <tp>
        <v>-0.1</v>
        <stp/>
        <stp>P</stp>
        <stp>0</stp>
        <stp>ECO</stp>
        <stp>192330</stp>
        <stp>현재가</stp>
        <stp>44834</stp>
        <stp>fill=true</stp>
        <tr r="AD11" s="4"/>
      </tp>
      <tp>
        <v>5</v>
        <stp/>
        <stp>P</stp>
        <stp>0</stp>
        <stp>ECO</stp>
        <stp>702158</stp>
        <stp>현재가</stp>
        <stp>44926</stp>
        <stp>fill=true</stp>
        <tr r="R14" s="4"/>
      </tp>
      <tp>
        <v>-0.1</v>
        <stp/>
        <stp>P</stp>
        <stp>0</stp>
        <stp>ECO</stp>
        <stp>192330</stp>
        <stp>현재가</stp>
        <stp>44804</stp>
        <stp>fill=true</stp>
        <tr r="AD10" s="4"/>
      </tp>
      <tp>
        <v>1.75</v>
        <stp/>
        <stp>P</stp>
        <stp>0</stp>
        <stp>ECO</stp>
        <stp>192333</stp>
        <stp>현재가</stp>
        <stp>44834</stp>
        <stp>fill=true</stp>
        <tr r="S11" s="4"/>
      </tp>
      <tp>
        <v>0.75</v>
        <stp/>
        <stp>P</stp>
        <stp>0</stp>
        <stp>ECO</stp>
        <stp>192333</stp>
        <stp>현재가</stp>
        <stp>44804</stp>
        <stp>fill=true</stp>
        <tr r="S10" s="4"/>
      </tp>
      <tp>
        <v>1177</v>
        <stp/>
        <stp>P</stp>
        <stp>0</stp>
        <stp>ECO</stp>
        <stp>190133</stp>
        <stp>현재가</stp>
        <stp>44926</stp>
        <stp>fill=true</stp>
        <tr r="Q12" s="2"/>
      </tp>
      <tp>
        <v>5.5</v>
        <stp/>
        <stp>P</stp>
        <stp>0</stp>
        <stp>ECO</stp>
        <stp>702155</stp>
        <stp>현재가</stp>
        <stp>44926</stp>
        <stp>fill=true</stp>
        <tr r="AC14" s="4"/>
      </tp>
      <tp>
        <v>2.75</v>
        <stp/>
        <stp>P</stp>
        <stp>0</stp>
        <stp>ECO</stp>
        <stp>702154</stp>
        <stp>현재가</stp>
        <stp>44926</stp>
        <stp>fill=true</stp>
        <tr r="K14" s="4"/>
      </tp>
      <tp>
        <v>6</v>
        <stp/>
        <stp>P</stp>
        <stp>0</stp>
        <stp>ECO</stp>
        <stp>702151</stp>
        <stp>현재가</stp>
        <stp>44926</stp>
        <stp>fill=true</stp>
        <tr r="O14" s="4"/>
      </tp>
      <tp>
        <v>116.6</v>
        <stp/>
        <stp>P</stp>
        <stp>0</stp>
        <stp>ECO</stp>
        <stp>190138</stp>
        <stp>현재가</stp>
        <stp>44926</stp>
        <stp>fill=true</stp>
        <tr r="Q42" s="2"/>
      </tp>
      <tp>
        <v>75</v>
        <stp/>
        <stp>P</stp>
        <stp>0</stp>
        <stp>ECO</stp>
        <stp>702150</stp>
        <stp>현재가</stp>
        <stp>44926</stp>
        <stp>fill=true</stp>
        <tr r="W14" s="4"/>
      </tp>
      <tp>
        <v>20</v>
        <stp/>
        <stp>P</stp>
        <stp>0</stp>
        <stp>ECO</stp>
        <stp>703723</stp>
        <stp>현재가</stp>
        <stp>44620</stp>
        <stp>fill=true</stp>
        <tr r="J4" s="4"/>
      </tp>
      <tp>
        <v>395.96</v>
        <stp/>
        <stp>P</stp>
        <stp>0</stp>
        <stp>ECO</stp>
        <stp>190150</stp>
        <stp>현재가</stp>
        <stp>44926</stp>
        <stp>fill=true</stp>
        <tr r="Q25" s="2"/>
      </tp>
      <tp>
        <v>110.959</v>
        <stp/>
        <stp>P</stp>
        <stp>0</stp>
        <stp>ECO</stp>
        <stp>190159</stp>
        <stp>현재가</stp>
        <stp>44926</stp>
        <stp>fill=true</stp>
        <tr r="Q28" s="2"/>
      </tp>
      <tp>
        <v>104.4149</v>
        <stp/>
        <stp>P</stp>
        <stp>0</stp>
        <stp>ECO</stp>
        <stp>190167</stp>
        <stp>현재가</stp>
        <stp>44926</stp>
        <stp>fill=true</stp>
        <tr r="Q26" s="2"/>
      </tp>
      <tp>
        <v>4.25</v>
        <stp/>
        <stp>P</stp>
        <stp>0</stp>
        <stp>ECO</stp>
        <stp>700108</stp>
        <stp>현재가</stp>
        <stp>44926</stp>
        <stp>fill=true</stp>
        <tr r="F14" s="4"/>
      </tp>
      <tp>
        <v>3.1</v>
        <stp/>
        <stp>P</stp>
        <stp>0</stp>
        <stp>ECO</stp>
        <stp>700107</stp>
        <stp>현재가</stp>
        <stp>44926</stp>
        <stp>fill=true</stp>
        <tr r="AO14" s="4"/>
      </tp>
      <tp>
        <v>13.75</v>
        <stp/>
        <stp>P</stp>
        <stp>0</stp>
        <stp>ECO</stp>
        <stp>700106</stp>
        <stp>현재가</stp>
        <stp>44926</stp>
        <stp>fill=true</stp>
        <tr r="Q14" s="4"/>
      </tp>
      <tp>
        <v>4.3499999999999996</v>
        <stp/>
        <stp>P</stp>
        <stp>0</stp>
        <stp>ECO</stp>
        <stp>700300</stp>
        <stp>현재가</stp>
        <stp>44804</stp>
        <stp>fill=true</stp>
        <tr r="AE10" s="4"/>
      </tp>
      <tp>
        <v>4.3499999999999996</v>
        <stp/>
        <stp>P</stp>
        <stp>0</stp>
        <stp>ECO</stp>
        <stp>700300</stp>
        <stp>현재가</stp>
        <stp>44834</stp>
        <stp>fill=true</stp>
        <tr r="AE11" s="4"/>
      </tp>
      <tp>
        <v>5.4</v>
        <stp/>
        <stp>P</stp>
        <stp>0</stp>
        <stp>ECO</stp>
        <stp>700301</stp>
        <stp>현재가</stp>
        <stp>44804</stp>
        <stp>fill=true</stp>
        <tr r="AB10" s="4"/>
      </tp>
      <tp>
        <v>5.9</v>
        <stp/>
        <stp>P</stp>
        <stp>0</stp>
        <stp>ECO</stp>
        <stp>700301</stp>
        <stp>현재가</stp>
        <stp>44834</stp>
        <stp>fill=true</stp>
        <tr r="AB11" s="4"/>
      </tp>
      <tp>
        <v>107.86</v>
        <stp/>
        <stp>P</stp>
        <stp>0</stp>
        <stp>ECO</stp>
        <stp>190175</stp>
        <stp>현재가</stp>
        <stp>44926</stp>
        <stp>fill=true</stp>
        <tr r="Q40" s="2"/>
      </tp>
      <tp>
        <v>1</v>
        <stp/>
        <stp>P</stp>
        <stp>0</stp>
        <stp>ECO</stp>
        <stp>700110</stp>
        <stp>현재가</stp>
        <stp>44926</stp>
        <stp>fill=true</stp>
        <tr r="T14" s="4"/>
      </tp>
      <tp>
        <v>7</v>
        <stp/>
        <stp>P</stp>
        <stp>0</stp>
        <stp>ECO</stp>
        <stp>700113</stp>
        <stp>현재가</stp>
        <stp>44926</stp>
        <stp>fill=true</stp>
        <tr r="AF14" s="4"/>
      </tp>
      <tp>
        <v>113.59</v>
        <stp/>
        <stp>P</stp>
        <stp>0</stp>
        <stp>ECO</stp>
        <stp>190085</stp>
        <stp>현재가</stp>
        <stp>44926</stp>
        <stp>fill=true</stp>
        <tr r="Q35" s="2"/>
      </tp>
      <tp>
        <v>116</v>
        <stp/>
        <stp>P</stp>
        <stp>0</stp>
        <stp>ECO</stp>
        <stp>190088</stp>
        <stp>현재가</stp>
        <stp>44926</stp>
        <stp>fill=true</stp>
        <tr r="Q30" s="2"/>
      </tp>
      <tp>
        <v>119</v>
        <stp/>
        <stp>P</stp>
        <stp>0</stp>
        <stp>ECO</stp>
        <stp>190095</stp>
        <stp>현재가</stp>
        <stp>44926</stp>
        <stp>fill=true</stp>
        <tr r="Q33" s="2"/>
      </tp>
      <tp>
        <v>101.8</v>
        <stp/>
        <stp>P</stp>
        <stp>0</stp>
        <stp>ECO</stp>
        <stp>170001</stp>
        <stp>현재가</stp>
        <stp>44926</stp>
        <stp>fill=true</stp>
        <tr r="Q37" s="2"/>
      </tp>
      <tp>
        <v>230.11</v>
        <stp/>
        <stp>P</stp>
        <stp>0</stp>
        <stp>ECO</stp>
        <stp>700063</stp>
        <stp>현재가</stp>
        <stp>44926</stp>
        <stp>fill=true</stp>
        <tr r="Q16" s="2"/>
      </tp>
      <tp>
        <v>127.722697</v>
        <stp/>
        <stp>P</stp>
        <stp>0</stp>
        <stp>ECO</stp>
        <stp>190016</stp>
        <stp>현재가</stp>
        <stp>44926</stp>
        <stp>fill=true</stp>
        <tr r="Q22" s="2"/>
      </tp>
      <tp>
        <v>128.4</v>
        <stp/>
        <stp>P</stp>
        <stp>0</stp>
        <stp>ECO</stp>
        <stp>190010</stp>
        <stp>현재가</stp>
        <stp>44926</stp>
        <stp>fill=true</stp>
        <tr r="Q47" s="2"/>
      </tp>
      <tp>
        <v>6474.09</v>
        <stp/>
        <stp>P</stp>
        <stp>0</stp>
        <stp>ECO</stp>
        <stp>700070</stp>
        <stp>현재가</stp>
        <stp>44926</stp>
        <stp>fill=true</stp>
        <tr r="Q23" s="2"/>
      </tp>
      <tp>
        <v>129</v>
        <stp/>
        <stp>P</stp>
        <stp>0</stp>
        <stp>ECO</stp>
        <stp>700072</stp>
        <stp>현재가</stp>
        <stp>44926</stp>
        <stp>fill=true</stp>
        <tr r="Q17" s="2"/>
      </tp>
      <tp>
        <v>296.79700000000003</v>
        <stp/>
        <stp>P</stp>
        <stp>0</stp>
        <stp>ECO</stp>
        <stp>135027</stp>
        <stp>현재가</stp>
        <stp>44926</stp>
        <stp>fill=true</stp>
        <tr r="Q19" s="2"/>
      </tp>
      <tp>
        <v>109.854871</v>
        <stp/>
        <stp>P</stp>
        <stp>0</stp>
        <stp>ECO</stp>
        <stp>700046</stp>
        <stp>현재가</stp>
        <stp>44926</stp>
        <stp>fill=true</stp>
        <tr r="Q21" s="2"/>
      </tp>
      <tp>
        <v>13</v>
        <stp/>
        <stp>P</stp>
        <stp>0</stp>
        <stp>ECO</stp>
        <stp>192329</stp>
        <stp>현재가</stp>
        <stp>44865</stp>
        <stp>fill=true</stp>
        <tr r="AN12" s="4"/>
      </tp>
      <tp>
        <v>13</v>
        <stp/>
        <stp>P</stp>
        <stp>0</stp>
        <stp>ECO</stp>
        <stp>192329</stp>
        <stp>현재가</stp>
        <stp>44895</stp>
        <stp>fill=true</stp>
        <tr r="AN13" s="4"/>
      </tp>
      <tp>
        <v>138.1</v>
        <stp/>
        <stp>P</stp>
        <stp>0</stp>
        <stp>ECO</stp>
        <stp>190029</stp>
        <stp>현재가</stp>
        <stp>44926</stp>
        <stp>fill=true</stp>
        <tr r="Q38" s="2"/>
      </tp>
      <tp>
        <v>2.25</v>
        <stp/>
        <stp>P</stp>
        <stp>0</stp>
        <stp>ECO</stp>
        <stp>192335</stp>
        <stp>현재가</stp>
        <stp>44865</stp>
        <stp>fill=true</stp>
        <tr r="Y12" s="4"/>
      </tp>
      <tp>
        <v>3</v>
        <stp/>
        <stp>P</stp>
        <stp>0</stp>
        <stp>ECO</stp>
        <stp>192335</stp>
        <stp>현재가</stp>
        <stp>44895</stp>
        <stp>fill=true</stp>
        <tr r="Y13" s="4"/>
      </tp>
      <tp>
        <v>1</v>
        <stp/>
        <stp>P</stp>
        <stp>0</stp>
        <stp>ECO</stp>
        <stp>192334</stp>
        <stp>현재가</stp>
        <stp>44865</stp>
        <stp>fill=true</stp>
        <tr r="AH12" s="4"/>
      </tp>
      <tp>
        <v>1</v>
        <stp/>
        <stp>P</stp>
        <stp>0</stp>
        <stp>ECO</stp>
        <stp>192334</stp>
        <stp>현재가</stp>
        <stp>44895</stp>
        <stp>fill=true</stp>
        <tr r="AH13" s="4"/>
      </tp>
      <tp>
        <v>3.75</v>
        <stp/>
        <stp>P</stp>
        <stp>0</stp>
        <stp>ECO</stp>
        <stp>192336</stp>
        <stp>현재가</stp>
        <stp>44865</stp>
        <stp>fill=true</stp>
        <tr r="AG12" s="4"/>
      </tp>
      <tp>
        <v>3.75</v>
        <stp/>
        <stp>P</stp>
        <stp>0</stp>
        <stp>ECO</stp>
        <stp>192336</stp>
        <stp>현재가</stp>
        <stp>44895</stp>
        <stp>fill=true</stp>
        <tr r="AG13" s="4"/>
      </tp>
      <tp>
        <v>6.75</v>
        <stp/>
        <stp>P</stp>
        <stp>0</stp>
        <stp>ECO</stp>
        <stp>192331</stp>
        <stp>현재가</stp>
        <stp>44865</stp>
        <stp>fill=true</stp>
        <tr r="AJ12" s="4"/>
      </tp>
      <tp>
        <v>6.75</v>
        <stp/>
        <stp>P</stp>
        <stp>0</stp>
        <stp>ECO</stp>
        <stp>192331</stp>
        <stp>현재가</stp>
        <stp>44895</stp>
        <stp>fill=true</stp>
        <tr r="AJ13" s="4"/>
      </tp>
      <tp>
        <v>-0.1</v>
        <stp/>
        <stp>P</stp>
        <stp>0</stp>
        <stp>ECO</stp>
        <stp>192330</stp>
        <stp>현재가</stp>
        <stp>44865</stp>
        <stp>fill=true</stp>
        <tr r="AD12" s="4"/>
      </tp>
      <tp>
        <v>-0.1</v>
        <stp/>
        <stp>P</stp>
        <stp>0</stp>
        <stp>ECO</stp>
        <stp>192330</stp>
        <stp>현재가</stp>
        <stp>44895</stp>
        <stp>fill=true</stp>
        <tr r="AD13" s="4"/>
      </tp>
      <tp>
        <v>1.75</v>
        <stp/>
        <stp>P</stp>
        <stp>0</stp>
        <stp>ECO</stp>
        <stp>192333</stp>
        <stp>현재가</stp>
        <stp>44865</stp>
        <stp>fill=true</stp>
        <tr r="S12" s="4"/>
      </tp>
      <tp>
        <v>2.5</v>
        <stp/>
        <stp>P</stp>
        <stp>0</stp>
        <stp>ECO</stp>
        <stp>192333</stp>
        <stp>현재가</stp>
        <stp>44895</stp>
        <stp>fill=true</stp>
        <tr r="S13" s="4"/>
      </tp>
      <tp>
        <v>52.13</v>
        <stp/>
        <stp>P</stp>
        <stp>0</stp>
        <stp>ECO</stp>
        <stp>702056</stp>
        <stp>현재가</stp>
        <stp>44926</stp>
        <stp>fill=true</stp>
        <tr r="N14" s="4"/>
      </tp>
      <tp>
        <v>115.9</v>
        <stp/>
        <stp>P</stp>
        <stp>0</stp>
        <stp>ECO</stp>
        <stp>190044</stp>
        <stp>현재가</stp>
        <stp>44926</stp>
        <stp>fill=true</stp>
        <tr r="Q14" s="2"/>
      </tp>
      <tp>
        <v>20</v>
        <stp/>
        <stp>P</stp>
        <stp>0</stp>
        <stp>ECO</stp>
        <stp>703723</stp>
        <stp>현재가</stp>
        <stp>44651</stp>
        <stp>fill=true</stp>
        <tr r="J5" s="4"/>
      </tp>
      <tp>
        <v>17</v>
        <stp/>
        <stp>P</stp>
        <stp>0</stp>
        <stp>ECO</stp>
        <stp>703723</stp>
        <stp>현재가</stp>
        <stp>44681</stp>
        <stp>fill=true</stp>
        <tr r="J6" s="4"/>
      </tp>
      <tp>
        <v>109.899</v>
        <stp/>
        <stp>P</stp>
        <stp>0</stp>
        <stp>ECO</stp>
        <stp>190054</stp>
        <stp>현재가</stp>
        <stp>44926</stp>
        <stp>fill=true</stp>
        <tr r="Q27" s="2"/>
      </tp>
      <tp>
        <v>117.32</v>
        <stp/>
        <stp>P</stp>
        <stp>0</stp>
        <stp>ECO</stp>
        <stp>190058</stp>
        <stp>현재가</stp>
        <stp>44926</stp>
        <stp>fill=true</stp>
        <tr r="Q44" s="2"/>
      </tp>
      <tp>
        <v>4.3499999999999996</v>
        <stp/>
        <stp>P</stp>
        <stp>0</stp>
        <stp>ECO</stp>
        <stp>700300</stp>
        <stp>현재가</stp>
        <stp>44865</stp>
        <stp>fill=true</stp>
        <tr r="AE12" s="4"/>
      </tp>
      <tp>
        <v>4.3499999999999996</v>
        <stp/>
        <stp>P</stp>
        <stp>0</stp>
        <stp>ECO</stp>
        <stp>700300</stp>
        <stp>현재가</stp>
        <stp>44895</stp>
        <stp>fill=true</stp>
        <tr r="AE13" s="4"/>
      </tp>
      <tp>
        <v>104</v>
        <stp/>
        <stp>P</stp>
        <stp>0</stp>
        <stp>ECO</stp>
        <stp>702000</stp>
        <stp>현재가</stp>
        <stp>44926</stp>
        <stp>fill=true</stp>
        <tr r="Q48" s="2"/>
      </tp>
      <tp>
        <v>5.9</v>
        <stp/>
        <stp>P</stp>
        <stp>0</stp>
        <stp>ECO</stp>
        <stp>700301</stp>
        <stp>현재가</stp>
        <stp>44865</stp>
        <stp>fill=true</stp>
        <tr r="AB12" s="4"/>
      </tp>
      <tp>
        <v>5.9</v>
        <stp/>
        <stp>P</stp>
        <stp>0</stp>
        <stp>ECO</stp>
        <stp>700301</stp>
        <stp>현재가</stp>
        <stp>44895</stp>
        <stp>fill=true</stp>
        <tr r="AB13" s="4"/>
      </tp>
      <tp>
        <v>124.5</v>
        <stp/>
        <stp>P</stp>
        <stp>0</stp>
        <stp>ECO</stp>
        <stp>190076</stp>
        <stp>현재가</stp>
        <stp>44926</stp>
        <stp>fill=true</stp>
        <tr r="Q46" s="2"/>
      </tp>
      <tp>
        <v>1.375</v>
        <stp/>
        <stp>P</stp>
        <stp>0</stp>
        <stp>ECO</stp>
        <stp>701890</stp>
        <stp>현재가</stp>
        <stp>44651</stp>
        <stp>fill=true</stp>
        <tr r="G5" s="4"/>
      </tp>
      <tp>
        <v>1.375</v>
        <stp/>
        <stp>P</stp>
        <stp>0</stp>
        <stp>ECO</stp>
        <stp>701890</stp>
        <stp>현재가</stp>
        <stp>44681</stp>
        <stp>fill=true</stp>
        <tr r="G6" s="4"/>
      </tp>
      <tp>
        <v>4.25</v>
        <stp/>
        <stp>P</stp>
        <stp>0</stp>
        <stp>ECO</stp>
        <stp>701896</stp>
        <stp>현재가</stp>
        <stp>44651</stp>
        <stp>fill=true</stp>
        <tr r="C5" s="4"/>
      </tp>
      <tp>
        <v>4.25</v>
        <stp/>
        <stp>P</stp>
        <stp>0</stp>
        <stp>ECO</stp>
        <stp>701896</stp>
        <stp>현재가</stp>
        <stp>44681</stp>
        <stp>fill=true</stp>
        <tr r="C6" s="4"/>
      </tp>
      <tp>
        <v>14</v>
        <stp/>
        <stp>P</stp>
        <stp>0</stp>
        <stp>ECO</stp>
        <stp>701894</stp>
        <stp>현재가</stp>
        <stp>44651</stp>
        <stp>fill=true</stp>
        <tr r="AI5" s="4"/>
      </tp>
      <tp>
        <v>14</v>
        <stp/>
        <stp>P</stp>
        <stp>0</stp>
        <stp>ECO</stp>
        <stp>701894</stp>
        <stp>현재가</stp>
        <stp>44681</stp>
        <stp>fill=true</stp>
        <tr r="AI6" s="4"/>
      </tp>
      <tp>
        <v>0.75</v>
        <stp/>
        <stp>P</stp>
        <stp>0</stp>
        <stp>ECO</stp>
        <stp>701895</stp>
        <stp>현재가</stp>
        <stp>44651</stp>
        <stp>fill=true</stp>
        <tr r="AP5" s="4"/>
      </tp>
      <tp>
        <v>0.75</v>
        <stp/>
        <stp>P</stp>
        <stp>0</stp>
        <stp>ECO</stp>
        <stp>701895</stp>
        <stp>현재가</stp>
        <stp>44681</stp>
        <stp>fill=true</stp>
        <tr r="AP6" s="4"/>
      </tp>
      <tp>
        <v>20221231</v>
        <stp/>
        <stp>P</stp>
        <stp>0</stp>
        <stp>ECO</stp>
        <stp>700301</stp>
        <stp>현재가</stp>
        <stp>44926</stp>
        <stp>DISP=DATE</stp>
        <tr r="K34" s="2"/>
      </tp>
      <tp>
        <v>20221230</v>
        <stp/>
        <stp>P</stp>
        <stp>0</stp>
        <stp>ECO</stp>
        <stp>700300</stp>
        <stp>현재가</stp>
        <stp>44926</stp>
        <stp>DISP=DATE</stp>
        <tr r="K37" s="2"/>
      </tp>
      <tp>
        <v>20221231</v>
        <stp/>
        <stp>P</stp>
        <stp>0</stp>
        <stp>ECO</stp>
        <stp>192336</stp>
        <stp>현재가</stp>
        <stp>44926</stp>
        <stp>DISP=DATE</stp>
        <tr r="K39" s="2"/>
      </tp>
      <tp>
        <v>20221231</v>
        <stp/>
        <stp>P</stp>
        <stp>0</stp>
        <stp>ECO</stp>
        <stp>192334</stp>
        <stp>현재가</stp>
        <stp>44926</stp>
        <stp>DISP=DATE</stp>
        <tr r="K40" s="2"/>
      </tp>
      <tp>
        <v>20221231</v>
        <stp/>
        <stp>P</stp>
        <stp>0</stp>
        <stp>ECO</stp>
        <stp>192335</stp>
        <stp>현재가</stp>
        <stp>44926</stp>
        <stp>DISP=DATE</stp>
        <tr r="K31" s="2"/>
      </tp>
      <tp>
        <v>20221231</v>
        <stp/>
        <stp>P</stp>
        <stp>0</stp>
        <stp>ECO</stp>
        <stp>192333</stp>
        <stp>현재가</stp>
        <stp>44926</stp>
        <stp>DISP=DATE</stp>
        <tr r="K25" s="2"/>
      </tp>
      <tp>
        <v>20221231</v>
        <stp/>
        <stp>P</stp>
        <stp>0</stp>
        <stp>ECO</stp>
        <stp>192330</stp>
        <stp>현재가</stp>
        <stp>44926</stp>
        <stp>DISP=DATE</stp>
        <tr r="K36" s="2"/>
      </tp>
      <tp>
        <v>20221231</v>
        <stp/>
        <stp>P</stp>
        <stp>0</stp>
        <stp>ECO</stp>
        <stp>192331</stp>
        <stp>현재가</stp>
        <stp>44926</stp>
        <stp>DISP=DATE</stp>
        <tr r="K42" s="2"/>
      </tp>
      <tp>
        <v>20221231</v>
        <stp/>
        <stp>P</stp>
        <stp>0</stp>
        <stp>ECO</stp>
        <stp>192329</stp>
        <stp>현재가</stp>
        <stp>44926</stp>
        <stp>DISP=DATE</stp>
        <tr r="K46" s="2"/>
      </tp>
      <tp>
        <v>1.125</v>
        <stp/>
        <stp>P</stp>
        <stp>0</stp>
        <stp>ECO</stp>
        <stp>701890</stp>
        <stp>현재가</stp>
        <stp>44620</stp>
        <stp>fill=true</stp>
        <tr r="G4" s="4"/>
      </tp>
      <tp>
        <v>4</v>
        <stp/>
        <stp>P</stp>
        <stp>0</stp>
        <stp>ECO</stp>
        <stp>701896</stp>
        <stp>현재가</stp>
        <stp>44620</stp>
        <stp>fill=true</stp>
        <tr r="C4" s="4"/>
      </tp>
      <tp>
        <v>14</v>
        <stp/>
        <stp>P</stp>
        <stp>0</stp>
        <stp>ECO</stp>
        <stp>701894</stp>
        <stp>현재가</stp>
        <stp>44620</stp>
        <stp>fill=true</stp>
        <tr r="AI4" s="4"/>
      </tp>
      <tp>
        <v>0.5</v>
        <stp/>
        <stp>P</stp>
        <stp>0</stp>
        <stp>ECO</stp>
        <stp>701895</stp>
        <stp>현재가</stp>
        <stp>44620</stp>
        <stp>fill=true</stp>
        <tr r="AP4" s="4"/>
      </tp>
      <tp>
        <v>1.5</v>
        <stp/>
        <stp>P</stp>
        <stp>0</stp>
        <stp>ECO</stp>
        <stp>701890</stp>
        <stp>현재가</stp>
        <stp>44773</stp>
        <stp>fill=true</stp>
        <tr r="G9" s="4"/>
      </tp>
      <tp>
        <v>5.5</v>
        <stp/>
        <stp>P</stp>
        <stp>0</stp>
        <stp>ECO</stp>
        <stp>701896</stp>
        <stp>현재가</stp>
        <stp>44773</stp>
        <stp>fill=true</stp>
        <tr r="C9" s="4"/>
      </tp>
      <tp>
        <v>2.75</v>
        <stp/>
        <stp>P</stp>
        <stp>0</stp>
        <stp>ECO</stp>
        <stp>701895</stp>
        <stp>현재가</stp>
        <stp>44773</stp>
        <stp>fill=true</stp>
        <tr r="AP9" s="4"/>
      </tp>
      <tp>
        <v>14</v>
        <stp/>
        <stp>P</stp>
        <stp>0</stp>
        <stp>ECO</stp>
        <stp>701894</stp>
        <stp>현재가</stp>
        <stp>44773</stp>
        <stp>fill=true</stp>
        <tr r="AI9" s="4"/>
      </tp>
      <tp>
        <v>20221231</v>
        <stp/>
        <stp>P</stp>
        <stp>0</stp>
        <stp>ECO</stp>
        <stp>700113</stp>
        <stp>현재가</stp>
        <stp>44926</stp>
        <stp>DISP=DATE</stp>
        <tr r="K38" s="2"/>
      </tp>
      <tp>
        <v>20221230</v>
        <stp/>
        <stp>P</stp>
        <stp>0</stp>
        <stp>ECO</stp>
        <stp>700110</stp>
        <stp>현재가</stp>
        <stp>44926</stp>
        <stp>DISP=DATE</stp>
        <tr r="K26" s="2"/>
      </tp>
      <tp>
        <v>20221230</v>
        <stp/>
        <stp>P</stp>
        <stp>0</stp>
        <stp>ECO</stp>
        <stp>700108</stp>
        <stp>현재가</stp>
        <stp>44926</stp>
        <stp>DISP=DATE</stp>
        <tr r="K12" s="2"/>
      </tp>
      <tp>
        <v>20221230</v>
        <stp/>
        <stp>P</stp>
        <stp>0</stp>
        <stp>ECO</stp>
        <stp>700107</stp>
        <stp>현재가</stp>
        <stp>44926</stp>
        <stp>DISP=DATE</stp>
        <tr r="K47" s="2"/>
      </tp>
      <tp>
        <v>20221231</v>
        <stp/>
        <stp>P</stp>
        <stp>0</stp>
        <stp>ECO</stp>
        <stp>700106</stp>
        <stp>현재가</stp>
        <stp>44926</stp>
        <stp>DISP=DATE</stp>
        <tr r="K23" s="2"/>
      </tp>
      <tp>
        <v>20221231</v>
        <stp/>
        <stp>P</stp>
        <stp>0</stp>
        <stp>ECO</stp>
        <stp>702163</stp>
        <stp>현재가</stp>
        <stp>44926</stp>
        <stp>DISP=DATE</stp>
        <tr r="K18" s="2"/>
      </tp>
      <tp>
        <v>20221231</v>
        <stp/>
        <stp>P</stp>
        <stp>0</stp>
        <stp>ECO</stp>
        <stp>702160</stp>
        <stp>현재가</stp>
        <stp>44926</stp>
        <stp>DISP=DATE</stp>
        <tr r="K14" s="2"/>
      </tp>
      <tp>
        <v>20221230</v>
        <stp/>
        <stp>P</stp>
        <stp>0</stp>
        <stp>ECO</stp>
        <stp>702159</stp>
        <stp>현재가</stp>
        <stp>44926</stp>
        <stp>DISP=DATE</stp>
        <tr r="K11" s="2"/>
      </tp>
      <tp>
        <v>20221231</v>
        <stp/>
        <stp>P</stp>
        <stp>0</stp>
        <stp>ECO</stp>
        <stp>702158</stp>
        <stp>현재가</stp>
        <stp>44926</stp>
        <stp>DISP=DATE</stp>
        <tr r="K24" s="2"/>
      </tp>
      <tp>
        <v>20221230</v>
        <stp/>
        <stp>P</stp>
        <stp>0</stp>
        <stp>ECO</stp>
        <stp>702155</stp>
        <stp>현재가</stp>
        <stp>44926</stp>
        <stp>DISP=DATE</stp>
        <tr r="K35" s="2"/>
      </tp>
      <tp>
        <v>20221231</v>
        <stp/>
        <stp>P</stp>
        <stp>0</stp>
        <stp>ECO</stp>
        <stp>702154</stp>
        <stp>현재가</stp>
        <stp>44926</stp>
        <stp>DISP=DATE</stp>
        <tr r="K17" s="2"/>
      </tp>
      <tp>
        <v>20221231</v>
        <stp/>
        <stp>P</stp>
        <stp>0</stp>
        <stp>ECO</stp>
        <stp>702151</stp>
        <stp>현재가</stp>
        <stp>44926</stp>
        <stp>DISP=DATE</stp>
        <tr r="K21" s="2"/>
      </tp>
      <tp>
        <v>20221231</v>
        <stp/>
        <stp>P</stp>
        <stp>0</stp>
        <stp>ECO</stp>
        <stp>702150</stp>
        <stp>현재가</stp>
        <stp>44926</stp>
        <stp>DISP=DATE</stp>
        <tr r="K29" s="2"/>
      </tp>
      <tp>
        <v>20221230</v>
        <stp/>
        <stp>P</stp>
        <stp>0</stp>
        <stp>ECO</stp>
        <stp>705149</stp>
        <stp>현재가</stp>
        <stp>44926</stp>
        <stp>DISP=DATE</stp>
        <tr r="K19" s="2"/>
      </tp>
      <tp>
        <v>20221231</v>
        <stp/>
        <stp>P</stp>
        <stp>0</stp>
        <stp>ECO</stp>
        <stp>780149</stp>
        <stp>현재가</stp>
        <stp>44926</stp>
        <stp>DISP=DATE</stp>
        <tr r="K28" s="2"/>
      </tp>
      <tp>
        <v>20221231</v>
        <stp/>
        <stp>P</stp>
        <stp>0</stp>
        <stp>ECO</stp>
        <stp>700180</stp>
        <stp>현재가</stp>
        <stp>44926</stp>
        <stp>DISP=DATE</stp>
        <tr r="K15" s="2"/>
        <tr r="K44" s="2"/>
        <tr r="K8" s="2"/>
        <tr r="K33" s="2"/>
        <tr r="K32" s="2"/>
        <tr r="K43" s="2"/>
        <tr r="K10" s="2"/>
        <tr r="K22" s="2"/>
        <tr r="K27" s="2"/>
        <tr r="K30" s="2"/>
      </tp>
      <tp>
        <v>1.125</v>
        <stp/>
        <stp>P</stp>
        <stp>0</stp>
        <stp>ECO</stp>
        <stp>701890</stp>
        <stp>현재가</stp>
        <stp>44592</stp>
        <stp>fill=true</stp>
        <tr r="G3" s="4"/>
      </tp>
      <tp>
        <v>1.375</v>
        <stp/>
        <stp>P</stp>
        <stp>0</stp>
        <stp>ECO</stp>
        <stp>701890</stp>
        <stp>현재가</stp>
        <stp>44712</stp>
        <stp>fill=true</stp>
        <tr r="G7" s="4"/>
      </tp>
      <tp>
        <v>1.5</v>
        <stp/>
        <stp>P</stp>
        <stp>0</stp>
        <stp>ECO</stp>
        <stp>701890</stp>
        <stp>현재가</stp>
        <stp>44742</stp>
        <stp>fill=true</stp>
        <tr r="G8" s="4"/>
      </tp>
      <tp>
        <v>0.5</v>
        <stp/>
        <stp>P</stp>
        <stp>0</stp>
        <stp>ECO</stp>
        <stp>701895</stp>
        <stp>현재가</stp>
        <stp>44592</stp>
        <stp>fill=true</stp>
        <tr r="AP3" s="4"/>
      </tp>
      <tp>
        <v>4.75</v>
        <stp/>
        <stp>P</stp>
        <stp>0</stp>
        <stp>ECO</stp>
        <stp>701896</stp>
        <stp>현재가</stp>
        <stp>44712</stp>
        <stp>fill=true</stp>
        <tr r="C7" s="4"/>
      </tp>
      <tp>
        <v>4.75</v>
        <stp/>
        <stp>P</stp>
        <stp>0</stp>
        <stp>ECO</stp>
        <stp>701896</stp>
        <stp>현재가</stp>
        <stp>44742</stp>
        <stp>fill=true</stp>
        <tr r="C8" s="4"/>
      </tp>
      <tp>
        <v>14</v>
        <stp/>
        <stp>P</stp>
        <stp>0</stp>
        <stp>ECO</stp>
        <stp>701894</stp>
        <stp>현재가</stp>
        <stp>44592</stp>
        <stp>fill=true</stp>
        <tr r="AI3" s="4"/>
      </tp>
      <tp>
        <v>1.25</v>
        <stp/>
        <stp>P</stp>
        <stp>0</stp>
        <stp>ECO</stp>
        <stp>701895</stp>
        <stp>현재가</stp>
        <stp>44712</stp>
        <stp>fill=true</stp>
        <tr r="AP7" s="4"/>
      </tp>
      <tp>
        <v>2</v>
        <stp/>
        <stp>P</stp>
        <stp>0</stp>
        <stp>ECO</stp>
        <stp>701895</stp>
        <stp>현재가</stp>
        <stp>44742</stp>
        <stp>fill=true</stp>
        <tr r="AP8" s="4"/>
      </tp>
      <tp>
        <v>14</v>
        <stp/>
        <stp>P</stp>
        <stp>0</stp>
        <stp>ECO</stp>
        <stp>701894</stp>
        <stp>현재가</stp>
        <stp>44712</stp>
        <stp>fill=true</stp>
        <tr r="AI7" s="4"/>
      </tp>
      <tp>
        <v>14</v>
        <stp/>
        <stp>P</stp>
        <stp>0</stp>
        <stp>ECO</stp>
        <stp>701894</stp>
        <stp>현재가</stp>
        <stp>44742</stp>
        <stp>fill=true</stp>
        <tr r="AI8" s="4"/>
      </tp>
      <tp>
        <v>4</v>
        <stp/>
        <stp>P</stp>
        <stp>0</stp>
        <stp>ECO</stp>
        <stp>701896</stp>
        <stp>현재가</stp>
        <stp>44592</stp>
        <stp>fill=true</stp>
        <tr r="C3" s="4"/>
      </tp>
      <tp>
        <v>4.75</v>
        <stp/>
        <stp>P</stp>
        <stp>0</stp>
        <stp>ECO</stp>
        <stp>701895</stp>
        <stp>현재가</stp>
        <stp>44942</stp>
        <stp>fill=true</stp>
        <tr r="AP15" s="4"/>
      </tp>
      <tp>
        <v>9</v>
        <stp/>
        <stp>P</stp>
        <stp>0</stp>
        <stp>ECO</stp>
        <stp>701894</stp>
        <stp>현재가</stp>
        <stp>44942</stp>
        <stp>fill=true</stp>
        <tr r="AI15" s="4"/>
      </tp>
      <tp>
        <v>7</v>
        <stp/>
        <stp>P</stp>
        <stp>0</stp>
        <stp>ECO</stp>
        <stp>701896</stp>
        <stp>현재가</stp>
        <stp>44942</stp>
        <stp>fill=true</stp>
        <tr r="C15" s="4"/>
      </tp>
      <tp>
        <v>1.75</v>
        <stp/>
        <stp>P</stp>
        <stp>0</stp>
        <stp>ECO</stp>
        <stp>701890</stp>
        <stp>현재가</stp>
        <stp>44942</stp>
        <stp>fill=true</stp>
        <tr r="G15" s="4"/>
      </tp>
      <tp>
        <v>20221230</v>
        <stp/>
        <stp>P</stp>
        <stp>0</stp>
        <stp>ECO</stp>
        <stp>702056</stp>
        <stp>현재가</stp>
        <stp>44926</stp>
        <stp>DISP=DATE</stp>
        <tr r="K20" s="2"/>
      </tp>
      <tp>
        <v>10.5</v>
        <stp/>
        <stp>P</stp>
        <stp>0</stp>
        <stp>ECO</stp>
        <stp>701894</stp>
        <stp>현재가</stp>
        <stp>44865</stp>
        <stp>fill=true</stp>
        <tr r="AI12" s="4"/>
      </tp>
      <tp>
        <v>9</v>
        <stp/>
        <stp>P</stp>
        <stp>0</stp>
        <stp>ECO</stp>
        <stp>701894</stp>
        <stp>현재가</stp>
        <stp>44895</stp>
        <stp>fill=true</stp>
        <tr r="AI13" s="4"/>
      </tp>
      <tp>
        <v>3.5</v>
        <stp/>
        <stp>P</stp>
        <stp>0</stp>
        <stp>ECO</stp>
        <stp>701895</stp>
        <stp>현재가</stp>
        <stp>44865</stp>
        <stp>fill=true</stp>
        <tr r="AP12" s="4"/>
      </tp>
      <tp>
        <v>4.25</v>
        <stp/>
        <stp>P</stp>
        <stp>0</stp>
        <stp>ECO</stp>
        <stp>701895</stp>
        <stp>현재가</stp>
        <stp>44895</stp>
        <stp>fill=true</stp>
        <tr r="AP13" s="4"/>
      </tp>
      <tp>
        <v>6.25</v>
        <stp/>
        <stp>P</stp>
        <stp>0</stp>
        <stp>ECO</stp>
        <stp>701896</stp>
        <stp>현재가</stp>
        <stp>44865</stp>
        <stp>fill=true</stp>
        <tr r="C12" s="4"/>
      </tp>
      <tp>
        <v>7</v>
        <stp/>
        <stp>P</stp>
        <stp>0</stp>
        <stp>ECO</stp>
        <stp>701896</stp>
        <stp>현재가</stp>
        <stp>44895</stp>
        <stp>fill=true</stp>
        <tr r="C13" s="4"/>
      </tp>
      <tp>
        <v>1.625</v>
        <stp/>
        <stp>P</stp>
        <stp>0</stp>
        <stp>ECO</stp>
        <stp>701890</stp>
        <stp>현재가</stp>
        <stp>44865</stp>
        <stp>fill=true</stp>
        <tr r="G12" s="4"/>
      </tp>
      <tp>
        <v>1.625</v>
        <stp/>
        <stp>P</stp>
        <stp>0</stp>
        <stp>ECO</stp>
        <stp>701890</stp>
        <stp>현재가</stp>
        <stp>44895</stp>
        <stp>fill=true</stp>
        <tr r="G13" s="4"/>
      </tp>
      <tp>
        <v>20221231</v>
        <stp/>
        <stp>P</stp>
        <stp>0</stp>
        <stp>ECO</stp>
        <stp>703723</stp>
        <stp>현재가</stp>
        <stp>44926</stp>
        <stp>DISP=DATE</stp>
        <tr r="K16" s="2"/>
      </tp>
      <tp>
        <v>13</v>
        <stp/>
        <stp>P</stp>
        <stp>0</stp>
        <stp>ECO</stp>
        <stp>701894</stp>
        <stp>현재가</stp>
        <stp>44804</stp>
        <stp>fill=true</stp>
        <tr r="AI10" s="4"/>
      </tp>
      <tp>
        <v>12</v>
        <stp/>
        <stp>P</stp>
        <stp>0</stp>
        <stp>ECO</stp>
        <stp>701894</stp>
        <stp>현재가</stp>
        <stp>44834</stp>
        <stp>fill=true</stp>
        <tr r="AI11" s="4"/>
      </tp>
      <tp>
        <v>2.75</v>
        <stp/>
        <stp>P</stp>
        <stp>0</stp>
        <stp>ECO</stp>
        <stp>701895</stp>
        <stp>현재가</stp>
        <stp>44804</stp>
        <stp>fill=true</stp>
        <tr r="AP10" s="4"/>
      </tp>
      <tp>
        <v>3.5</v>
        <stp/>
        <stp>P</stp>
        <stp>0</stp>
        <stp>ECO</stp>
        <stp>701895</stp>
        <stp>현재가</stp>
        <stp>44834</stp>
        <stp>fill=true</stp>
        <tr r="AP11" s="4"/>
      </tp>
      <tp>
        <v>5.5</v>
        <stp/>
        <stp>P</stp>
        <stp>0</stp>
        <stp>ECO</stp>
        <stp>701896</stp>
        <stp>현재가</stp>
        <stp>44804</stp>
        <stp>fill=true</stp>
        <tr r="C10" s="4"/>
      </tp>
      <tp>
        <v>6.25</v>
        <stp/>
        <stp>P</stp>
        <stp>0</stp>
        <stp>ECO</stp>
        <stp>701896</stp>
        <stp>현재가</stp>
        <stp>44834</stp>
        <stp>fill=true</stp>
        <tr r="C11" s="4"/>
      </tp>
      <tp>
        <v>1.5</v>
        <stp/>
        <stp>P</stp>
        <stp>0</stp>
        <stp>ECO</stp>
        <stp>701890</stp>
        <stp>현재가</stp>
        <stp>44804</stp>
        <stp>fill=true</stp>
        <tr r="G10" s="4"/>
      </tp>
      <tp>
        <v>1.625</v>
        <stp/>
        <stp>P</stp>
        <stp>0</stp>
        <stp>ECO</stp>
        <stp>701890</stp>
        <stp>현재가</stp>
        <stp>44834</stp>
        <stp>fill=true</stp>
        <tr r="G11" s="4"/>
      </tp>
      <tp>
        <v>109.28</v>
        <stp/>
        <stp>P</stp>
        <stp>0</stp>
        <stp>ECO</stp>
        <stp>701979</stp>
        <stp>현재가</stp>
        <stp>44926</stp>
        <stp>fill=true</stp>
        <tr r="Q45" s="2"/>
      </tp>
      <tp>
        <v>175.7</v>
        <stp/>
        <stp>P</stp>
        <stp>0</stp>
        <stp>ECO</stp>
        <stp>701974</stp>
        <stp>현재가</stp>
        <stp>44926</stp>
        <stp>fill=true</stp>
        <tr r="Q34" s="2"/>
      </tp>
      <tp>
        <v>121.98480000000001</v>
        <stp/>
        <stp>P</stp>
        <stp>0</stp>
        <stp>ECO</stp>
        <stp>701929</stp>
        <stp>현재가</stp>
        <stp>44926</stp>
        <stp>fill=true</stp>
        <tr r="Q15" s="2"/>
      </tp>
      <tp>
        <v>106.8</v>
        <stp/>
        <stp>P</stp>
        <stp>0</stp>
        <stp>ECO</stp>
        <stp>701928</stp>
        <stp>현재가</stp>
        <stp>44926</stp>
        <stp>fill=true</stp>
        <tr r="Q9" s="2"/>
      </tp>
      <tp>
        <v>103.9</v>
        <stp/>
        <stp>P</stp>
        <stp>0</stp>
        <stp>ECO</stp>
        <stp>701924</stp>
        <stp>현재가</stp>
        <stp>44926</stp>
        <stp>fill=true</stp>
        <tr r="Q36" s="2"/>
      </tp>
      <tp>
        <v>114.08</v>
        <stp/>
        <stp>P</stp>
        <stp>0</stp>
        <stp>ECO</stp>
        <stp>701930</stp>
        <stp>현재가</stp>
        <stp>44926</stp>
        <stp>fill=true</stp>
        <tr r="Q43" s="2"/>
      </tp>
      <tp>
        <v>4.75</v>
        <stp/>
        <stp>P</stp>
        <stp>0</stp>
        <stp>ECO</stp>
        <stp>701895</stp>
        <stp>현재가</stp>
        <stp>44926</stp>
        <stp>fill=true</stp>
        <tr r="AP14" s="4"/>
      </tp>
      <tp>
        <v>9</v>
        <stp/>
        <stp>P</stp>
        <stp>0</stp>
        <stp>ECO</stp>
        <stp>701894</stp>
        <stp>현재가</stp>
        <stp>44926</stp>
        <stp>fill=true</stp>
        <tr r="AI14" s="4"/>
      </tp>
      <tp>
        <v>7</v>
        <stp/>
        <stp>P</stp>
        <stp>0</stp>
        <stp>ECO</stp>
        <stp>701896</stp>
        <stp>현재가</stp>
        <stp>44926</stp>
        <stp>fill=true</stp>
        <tr r="C14" s="4"/>
      </tp>
      <tp>
        <v>1.75</v>
        <stp/>
        <stp>P</stp>
        <stp>0</stp>
        <stp>ECO</stp>
        <stp>701890</stp>
        <stp>현재가</stp>
        <stp>44926</stp>
        <stp>fill=true</stp>
        <tr r="G14" s="4"/>
      </tp>
      <tp>
        <v>108.53</v>
        <stp/>
        <stp>P</stp>
        <stp>0</stp>
        <stp>ECO</stp>
        <stp>700834</stp>
        <stp>현재가</stp>
        <stp>44926</stp>
        <stp>fill=true</stp>
        <tr r="Q24" s="2"/>
      </tp>
      <tp>
        <v>3.25</v>
        <stp/>
        <stp>P</stp>
        <stp>0</stp>
        <stp>ECO</stp>
        <stp>68</stp>
        <stp>현재가</stp>
        <stp>44926</stp>
        <stp>fill=TRUE</stp>
        <tr r="F45" s="2"/>
      </tp>
      <tp>
        <v>7.5</v>
        <stp/>
        <stp>P</stp>
        <stp>0</stp>
        <stp>ECO</stp>
        <stp>703723</stp>
        <stp>현재가</stp>
        <stp>44926</stp>
        <stp>fill=TRUE</stp>
        <tr r="F16" s="2"/>
      </tp>
      <tp>
        <v>13</v>
        <stp/>
        <stp>P</stp>
        <stp>0</stp>
        <stp>ECO</stp>
        <stp>192329</stp>
        <stp>현재가</stp>
        <stp>44926</stp>
        <stp>fill=TRUE</stp>
        <tr r="F46" s="2"/>
      </tp>
      <tp>
        <v>1.25</v>
        <stp/>
        <stp>P</stp>
        <stp>0</stp>
        <stp>ECO</stp>
        <stp>192334</stp>
        <stp>현재가</stp>
        <stp>44926</stp>
        <stp>fill=TRUE</stp>
        <tr r="F40" s="2"/>
      </tp>
      <tp>
        <v>3.5</v>
        <stp/>
        <stp>P</stp>
        <stp>0</stp>
        <stp>ECO</stp>
        <stp>192335</stp>
        <stp>현재가</stp>
        <stp>44926</stp>
        <stp>fill=TRUE</stp>
        <tr r="F31" s="2"/>
      </tp>
      <tp>
        <v>4.25</v>
        <stp/>
        <stp>P</stp>
        <stp>0</stp>
        <stp>ECO</stp>
        <stp>192336</stp>
        <stp>현재가</stp>
        <stp>44926</stp>
        <stp>fill=TRUE</stp>
        <tr r="F39" s="2"/>
      </tp>
      <tp>
        <v>-0.1</v>
        <stp/>
        <stp>P</stp>
        <stp>0</stp>
        <stp>ECO</stp>
        <stp>192330</stp>
        <stp>현재가</stp>
        <stp>44926</stp>
        <stp>fill=TRUE</stp>
        <tr r="F36" s="2"/>
      </tp>
      <tp>
        <v>6.75</v>
        <stp/>
        <stp>P</stp>
        <stp>0</stp>
        <stp>ECO</stp>
        <stp>192331</stp>
        <stp>현재가</stp>
        <stp>44926</stp>
        <stp>fill=TRUE</stp>
        <tr r="F42" s="2"/>
      </tp>
      <tp>
        <v>2.5</v>
        <stp/>
        <stp>P</stp>
        <stp>0</stp>
        <stp>ECO</stp>
        <stp>192333</stp>
        <stp>현재가</stp>
        <stp>44926</stp>
        <stp>fill=TRUE</stp>
        <tr r="F25" s="2"/>
      </tp>
      <tp>
        <v>6.25</v>
        <stp/>
        <stp>P</stp>
        <stp>0</stp>
        <stp>ECO</stp>
        <stp>700301</stp>
        <stp>현재가</stp>
        <stp>44926</stp>
        <stp>fill=TRUE</stp>
        <tr r="F34" s="2"/>
      </tp>
      <tp>
        <v>4.3499999999999996</v>
        <stp/>
        <stp>P</stp>
        <stp>0</stp>
        <stp>ECO</stp>
        <stp>700300</stp>
        <stp>현재가</stp>
        <stp>44926</stp>
        <stp>fill=TRUE</stp>
        <tr r="F37" s="2"/>
      </tp>
      <tp>
        <v>2.5</v>
        <stp/>
        <stp>P</stp>
        <stp>0</stp>
        <stp>ECO</stp>
        <stp>700180</stp>
        <stp>현재가</stp>
        <stp>44926</stp>
        <stp>fill=TRUE</stp>
        <tr r="F15" s="2"/>
        <tr r="F43" s="2"/>
        <tr r="F33" s="2"/>
        <tr r="F32" s="2"/>
        <tr r="F44" s="2"/>
        <tr r="F8" s="2"/>
        <tr r="F10" s="2"/>
        <tr r="F22" s="2"/>
        <tr r="F27" s="2"/>
        <tr r="F30" s="2"/>
      </tp>
      <tp>
        <v>1.9</v>
        <stp/>
        <stp>P</stp>
        <stp>0</stp>
        <stp>ECO</stp>
        <stp>702160</stp>
        <stp>현재가</stp>
        <stp>44926</stp>
        <stp>fill=TRUE</stp>
        <tr r="F14" s="2"/>
      </tp>
      <tp>
        <v>10.5</v>
        <stp/>
        <stp>P</stp>
        <stp>0</stp>
        <stp>ECO</stp>
        <stp>702163</stp>
        <stp>현재가</stp>
        <stp>44926</stp>
        <stp>fill=TRUE</stp>
        <tr r="F18" s="2"/>
      </tp>
      <tp>
        <v>4.25</v>
        <stp/>
        <stp>P</stp>
        <stp>0</stp>
        <stp>ECO</stp>
        <stp>705149</stp>
        <stp>현재가</stp>
        <stp>44926</stp>
        <stp>fill=TRUE</stp>
        <tr r="F19" s="2"/>
      </tp>
      <tp>
        <v>2.5293000000000001</v>
        <stp/>
        <stp>P</stp>
        <stp>0</stp>
        <stp>ECO</stp>
        <stp>780149</stp>
        <stp>현재가</stp>
        <stp>44926</stp>
        <stp>fill=TRUE</stp>
        <tr r="F28" s="2"/>
      </tp>
      <tp>
        <v>2.75</v>
        <stp/>
        <stp>P</stp>
        <stp>0</stp>
        <stp>ECO</stp>
        <stp>702159</stp>
        <stp>현재가</stp>
        <stp>44926</stp>
        <stp>fill=TRUE</stp>
        <tr r="F11" s="2"/>
      </tp>
      <tp>
        <v>5</v>
        <stp/>
        <stp>P</stp>
        <stp>0</stp>
        <stp>ECO</stp>
        <stp>702158</stp>
        <stp>현재가</stp>
        <stp>44926</stp>
        <stp>fill=TRUE</stp>
        <tr r="F24" s="2"/>
      </tp>
      <tp>
        <v>5.5</v>
        <stp/>
        <stp>P</stp>
        <stp>0</stp>
        <stp>ECO</stp>
        <stp>702155</stp>
        <stp>현재가</stp>
        <stp>44926</stp>
        <stp>fill=TRUE</stp>
        <tr r="F35" s="2"/>
      </tp>
      <tp>
        <v>2.75</v>
        <stp/>
        <stp>P</stp>
        <stp>0</stp>
        <stp>ECO</stp>
        <stp>702154</stp>
        <stp>현재가</stp>
        <stp>44926</stp>
        <stp>fill=TRUE</stp>
        <tr r="F17" s="2"/>
      </tp>
      <tp>
        <v>6</v>
        <stp/>
        <stp>P</stp>
        <stp>0</stp>
        <stp>ECO</stp>
        <stp>702151</stp>
        <stp>현재가</stp>
        <stp>44926</stp>
        <stp>fill=TRUE</stp>
        <tr r="F21" s="2"/>
      </tp>
      <tp>
        <v>75</v>
        <stp/>
        <stp>P</stp>
        <stp>0</stp>
        <stp>ECO</stp>
        <stp>702150</stp>
        <stp>현재가</stp>
        <stp>44926</stp>
        <stp>fill=TRUE</stp>
        <tr r="F29" s="2"/>
      </tp>
      <tp>
        <v>4.25</v>
        <stp/>
        <stp>P</stp>
        <stp>0</stp>
        <stp>ECO</stp>
        <stp>700108</stp>
        <stp>현재가</stp>
        <stp>44926</stp>
        <stp>fill=TRUE</stp>
        <tr r="F12" s="2"/>
      </tp>
      <tp>
        <v>3.1</v>
        <stp/>
        <stp>P</stp>
        <stp>0</stp>
        <stp>ECO</stp>
        <stp>700107</stp>
        <stp>현재가</stp>
        <stp>44926</stp>
        <stp>fill=TRUE</stp>
        <tr r="F47" s="2"/>
      </tp>
      <tp>
        <v>13.75</v>
        <stp/>
        <stp>P</stp>
        <stp>0</stp>
        <stp>ECO</stp>
        <stp>700106</stp>
        <stp>현재가</stp>
        <stp>44926</stp>
        <stp>fill=TRUE</stp>
        <tr r="F23" s="2"/>
      </tp>
      <tp>
        <v>1</v>
        <stp/>
        <stp>P</stp>
        <stp>0</stp>
        <stp>ECO</stp>
        <stp>700110</stp>
        <stp>현재가</stp>
        <stp>44926</stp>
        <stp>fill=TRUE</stp>
        <tr r="F26" s="2"/>
      </tp>
      <tp>
        <v>7</v>
        <stp/>
        <stp>P</stp>
        <stp>0</stp>
        <stp>ECO</stp>
        <stp>700113</stp>
        <stp>현재가</stp>
        <stp>44926</stp>
        <stp>fill=TRUE</stp>
        <tr r="F38" s="2"/>
      </tp>
      <tp>
        <v>52.13</v>
        <stp/>
        <stp>P</stp>
        <stp>0</stp>
        <stp>ECO</stp>
        <stp>702056</stp>
        <stp>현재가</stp>
        <stp>44926</stp>
        <stp>fill=TRUE</stp>
        <tr r="F20" s="2"/>
      </tp>
      <tp>
        <v>4.75</v>
        <stp/>
        <stp>P</stp>
        <stp>0</stp>
        <stp>ECO</stp>
        <stp>701895</stp>
        <stp>현재가</stp>
        <stp>44926</stp>
        <stp>fill=TRUE</stp>
        <tr r="F48" s="2"/>
      </tp>
      <tp>
        <v>9</v>
        <stp/>
        <stp>P</stp>
        <stp>0</stp>
        <stp>ECO</stp>
        <stp>701894</stp>
        <stp>현재가</stp>
        <stp>44926</stp>
        <stp>fill=TRUE</stp>
        <tr r="F41" s="2"/>
      </tp>
      <tp>
        <v>7</v>
        <stp/>
        <stp>P</stp>
        <stp>0</stp>
        <stp>ECO</stp>
        <stp>701896</stp>
        <stp>현재가</stp>
        <stp>44926</stp>
        <stp>fill=TRUE</stp>
        <tr r="F9" s="2"/>
      </tp>
      <tp>
        <v>1.75</v>
        <stp/>
        <stp>P</stp>
        <stp>0</stp>
        <stp>ECO</stp>
        <stp>701890</stp>
        <stp>현재가</stp>
        <stp>44926</stp>
        <stp>fill=TRUE</stp>
        <tr r="F13" s="2"/>
      </tp>
      <tp>
        <v>3</v>
        <stp/>
        <stp>P</stp>
        <stp>0</stp>
        <stp>ECO</stp>
        <stp>68</stp>
        <stp>현재가</stp>
        <stp>44865</stp>
        <stp>fill=true</stp>
        <tr r="AM12" s="4"/>
      </tp>
      <tp>
        <v>3.25</v>
        <stp/>
        <stp>P</stp>
        <stp>0</stp>
        <stp>ECO</stp>
        <stp>68</stp>
        <stp>현재가</stp>
        <stp>44895</stp>
        <stp>fill=true</stp>
        <tr r="AM13" s="4"/>
      </tp>
      <tp>
        <v>2.5</v>
        <stp/>
        <stp>P</stp>
        <stp>0</stp>
        <stp>ECO</stp>
        <stp>68</stp>
        <stp>현재가</stp>
        <stp>44804</stp>
        <stp>fill=true</stp>
        <tr r="AM10" s="4"/>
      </tp>
      <tp>
        <v>2.5</v>
        <stp/>
        <stp>P</stp>
        <stp>0</stp>
        <stp>ECO</stp>
        <stp>68</stp>
        <stp>현재가</stp>
        <stp>44834</stp>
        <stp>fill=true</stp>
        <tr r="AM11" s="4"/>
      </tp>
      <tp>
        <v>3.25</v>
        <stp/>
        <stp>P</stp>
        <stp>0</stp>
        <stp>ECO</stp>
        <stp>68</stp>
        <stp>현재가</stp>
        <stp>44926</stp>
        <stp>fill=true</stp>
        <tr r="AM14" s="4"/>
      </tp>
      <tp>
        <v>1.25</v>
        <stp/>
        <stp>P</stp>
        <stp>0</stp>
        <stp>ECO</stp>
        <stp>68</stp>
        <stp>현재가</stp>
        <stp>44651</stp>
        <stp>fill=true</stp>
        <tr r="AM5" s="4"/>
      </tp>
      <tp>
        <v>1.5</v>
        <stp/>
        <stp>P</stp>
        <stp>0</stp>
        <stp>ECO</stp>
        <stp>68</stp>
        <stp>현재가</stp>
        <stp>44681</stp>
        <stp>fill=true</stp>
        <tr r="AM6" s="4"/>
      </tp>
      <tp>
        <v>1.25</v>
        <stp/>
        <stp>P</stp>
        <stp>0</stp>
        <stp>ECO</stp>
        <stp>68</stp>
        <stp>현재가</stp>
        <stp>44620</stp>
        <stp>fill=true</stp>
        <tr r="AM4" s="4"/>
      </tp>
      <tp>
        <v>2.25</v>
        <stp/>
        <stp>P</stp>
        <stp>0</stp>
        <stp>ECO</stp>
        <stp>68</stp>
        <stp>현재가</stp>
        <stp>44773</stp>
        <stp>fill=true</stp>
        <tr r="AM9" s="4"/>
      </tp>
      <tp>
        <v>3.5</v>
        <stp/>
        <stp>P</stp>
        <stp>0</stp>
        <stp>ECO</stp>
        <stp>68</stp>
        <stp>현재가</stp>
        <stp>44942</stp>
        <stp>fill=true</stp>
        <tr r="AM15" s="4"/>
      </tp>
      <tp>
        <v>1.25</v>
        <stp/>
        <stp>P</stp>
        <stp>0</stp>
        <stp>ECO</stp>
        <stp>68</stp>
        <stp>현재가</stp>
        <stp>44592</stp>
        <stp>fill=true</stp>
        <tr r="AM3" s="4"/>
      </tp>
      <tp>
        <v>1.75</v>
        <stp/>
        <stp>P</stp>
        <stp>0</stp>
        <stp>ECO</stp>
        <stp>68</stp>
        <stp>현재가</stp>
        <stp>44712</stp>
        <stp>fill=true</stp>
        <tr r="AM7" s="4"/>
      </tp>
      <tp>
        <v>1.75</v>
        <stp/>
        <stp>P</stp>
        <stp>0</stp>
        <stp>ECO</stp>
        <stp>68</stp>
        <stp>현재가</stp>
        <stp>44742</stp>
        <stp>fill=true</stp>
        <tr r="AM8" s="4"/>
      </tp>
      <tp>
        <v>20221231</v>
        <stp/>
        <stp>P</stp>
        <stp>0</stp>
        <stp>ECO</stp>
        <stp>68</stp>
        <stp>현재가</stp>
        <stp>44926</stp>
        <stp>DISP=DATE</stp>
        <tr r="K45" s="2"/>
      </tp>
      <tp>
        <v>3.75</v>
        <stp/>
        <stp>P</stp>
        <stp>0</stp>
        <stp>ECO</stp>
        <stp>705149</stp>
        <stp>현재가</stp>
        <stp>44895</stp>
        <stp/>
        <tr r="G19" s="2"/>
        <tr r="G19" s="2"/>
      </tp>
      <tp>
        <v>1.625</v>
        <stp/>
        <stp>P</stp>
        <stp>0</stp>
        <stp>ECO</stp>
        <stp>701890</stp>
        <stp>현재가</stp>
        <stp>44895</stp>
        <stp/>
        <tr r="G13" s="2"/>
        <tr r="G13" s="2"/>
      </tp>
      <tp>
        <v>7</v>
        <stp/>
        <stp>P</stp>
        <stp>0</stp>
        <stp>ECO</stp>
        <stp>701896</stp>
        <stp>현재가</stp>
        <stp>44895</stp>
        <stp/>
        <tr r="G9" s="2"/>
        <tr r="G9" s="2"/>
      </tp>
      <tp>
        <v>9</v>
        <stp/>
        <stp>P</stp>
        <stp>0</stp>
        <stp>ECO</stp>
        <stp>701894</stp>
        <stp>현재가</stp>
        <stp>44895</stp>
        <stp/>
        <tr r="G41" s="2"/>
        <tr r="G41" s="2"/>
      </tp>
      <tp>
        <v>4.25</v>
        <stp/>
        <stp>P</stp>
        <stp>0</stp>
        <stp>ECO</stp>
        <stp>701895</stp>
        <stp>현재가</stp>
        <stp>44895</stp>
        <stp/>
        <tr r="G48" s="2"/>
        <tr r="G48" s="2"/>
      </tp>
      <tp>
        <v>4.3499999999999996</v>
        <stp/>
        <stp>P</stp>
        <stp>0</stp>
        <stp>ECO</stp>
        <stp>700300</stp>
        <stp>현재가</stp>
        <stp>44895</stp>
        <stp/>
        <tr r="G37" s="2"/>
        <tr r="G37" s="2"/>
      </tp>
      <tp>
        <v>5.9</v>
        <stp/>
        <stp>P</stp>
        <stp>0</stp>
        <stp>ECO</stp>
        <stp>700301</stp>
        <stp>현재가</stp>
        <stp>44895</stp>
        <stp/>
        <tr r="G34" s="2"/>
        <tr r="G34" s="2"/>
      </tp>
      <tp>
        <v>2</v>
        <stp/>
        <stp>P</stp>
        <stp>0</stp>
        <stp>ECO</stp>
        <stp>700180</stp>
        <stp>현재가</stp>
        <stp>44895</stp>
        <stp/>
        <tr r="G44" s="2"/>
        <tr r="G44" s="2"/>
        <tr r="G32" s="2"/>
        <tr r="G32" s="2"/>
        <tr r="G43" s="2"/>
        <tr r="G43" s="2"/>
        <tr r="G33" s="2"/>
        <tr r="G33" s="2"/>
        <tr r="G15" s="2"/>
        <tr r="G15" s="2"/>
        <tr r="G10" s="2"/>
        <tr r="G10" s="2"/>
        <tr r="G22" s="2"/>
        <tr r="G22" s="2"/>
        <tr r="G27" s="2"/>
        <tr r="G27" s="2"/>
        <tr r="G30" s="2"/>
        <tr r="G30" s="2"/>
        <tr r="G8" s="2"/>
        <tr r="G8" s="2"/>
      </tp>
      <tp>
        <v>3.9119000000000002</v>
        <stp/>
        <stp>P</stp>
        <stp>0</stp>
        <stp>ECO</stp>
        <stp>780149</stp>
        <stp>현재가</stp>
        <stp>44895</stp>
        <stp/>
        <tr r="G28" s="2"/>
        <tr r="G28" s="2"/>
      </tp>
      <tp>
        <v>13.75</v>
        <stp/>
        <stp>P</stp>
        <stp>0</stp>
        <stp>ECO</stp>
        <stp>700106</stp>
        <stp>현재가</stp>
        <stp>44895</stp>
        <stp/>
        <tr r="G23" s="2"/>
        <tr r="G23" s="2"/>
      </tp>
      <tp>
        <v>2.85</v>
        <stp/>
        <stp>P</stp>
        <stp>0</stp>
        <stp>ECO</stp>
        <stp>700107</stp>
        <stp>현재가</stp>
        <stp>44895</stp>
        <stp/>
        <tr r="G47" s="2"/>
        <tr r="G47" s="2"/>
      </tp>
      <tp>
        <v>4.25</v>
        <stp/>
        <stp>P</stp>
        <stp>0</stp>
        <stp>ECO</stp>
        <stp>700108</stp>
        <stp>현재가</stp>
        <stp>44895</stp>
        <stp/>
        <tr r="G12" s="2"/>
        <tr r="G12" s="2"/>
      </tp>
      <tp>
        <v>7</v>
        <stp/>
        <stp>P</stp>
        <stp>0</stp>
        <stp>ECO</stp>
        <stp>700113</stp>
        <stp>현재가</stp>
        <stp>44895</stp>
        <stp/>
        <tr r="G38" s="2"/>
        <tr r="G38" s="2"/>
      </tp>
      <tp>
        <v>0.5</v>
        <stp/>
        <stp>P</stp>
        <stp>0</stp>
        <stp>ECO</stp>
        <stp>700110</stp>
        <stp>현재가</stp>
        <stp>44895</stp>
        <stp/>
        <tr r="G26" s="2"/>
        <tr r="G26" s="2"/>
      </tp>
      <tp>
        <v>7.5</v>
        <stp/>
        <stp>P</stp>
        <stp>0</stp>
        <stp>ECO</stp>
        <stp>703723</stp>
        <stp>현재가</stp>
        <stp>44895</stp>
        <stp/>
        <tr r="G16" s="2"/>
        <tr r="G16" s="2"/>
      </tp>
      <tp>
        <v>13</v>
        <stp/>
        <stp>P</stp>
        <stp>0</stp>
        <stp>ECO</stp>
        <stp>192329</stp>
        <stp>현재가</stp>
        <stp>44895</stp>
        <stp/>
        <tr r="G46" s="2"/>
        <tr r="G46" s="2"/>
      </tp>
      <tp>
        <v>2.5</v>
        <stp/>
        <stp>P</stp>
        <stp>0</stp>
        <stp>ECO</stp>
        <stp>192333</stp>
        <stp>현재가</stp>
        <stp>44895</stp>
        <stp/>
        <tr r="G25" s="2"/>
        <tr r="G25" s="2"/>
      </tp>
      <tp>
        <v>6.75</v>
        <stp/>
        <stp>P</stp>
        <stp>0</stp>
        <stp>ECO</stp>
        <stp>192331</stp>
        <stp>현재가</stp>
        <stp>44895</stp>
        <stp/>
        <tr r="G42" s="2"/>
        <tr r="G42" s="2"/>
      </tp>
      <tp>
        <v>-0.1</v>
        <stp/>
        <stp>P</stp>
        <stp>0</stp>
        <stp>ECO</stp>
        <stp>192330</stp>
        <stp>현재가</stp>
        <stp>44895</stp>
        <stp/>
        <tr r="G36" s="2"/>
        <tr r="G36" s="2"/>
      </tp>
      <tp>
        <v>3.75</v>
        <stp/>
        <stp>P</stp>
        <stp>0</stp>
        <stp>ECO</stp>
        <stp>192336</stp>
        <stp>현재가</stp>
        <stp>44895</stp>
        <stp/>
        <tr r="G39" s="2"/>
        <tr r="G39" s="2"/>
      </tp>
      <tp>
        <v>3</v>
        <stp/>
        <stp>P</stp>
        <stp>0</stp>
        <stp>ECO</stp>
        <stp>192335</stp>
        <stp>현재가</stp>
        <stp>44895</stp>
        <stp/>
        <tr r="G31" s="2"/>
        <tr r="G31" s="2"/>
      </tp>
      <tp>
        <v>1</v>
        <stp/>
        <stp>P</stp>
        <stp>0</stp>
        <stp>ECO</stp>
        <stp>192334</stp>
        <stp>현재가</stp>
        <stp>44895</stp>
        <stp/>
        <tr r="G40" s="2"/>
        <tr r="G40" s="2"/>
      </tp>
      <tp>
        <v>53.75</v>
        <stp/>
        <stp>P</stp>
        <stp>0</stp>
        <stp>ECO</stp>
        <stp>702056</stp>
        <stp>현재가</stp>
        <stp>44895</stp>
        <stp/>
        <tr r="G20" s="2"/>
        <tr r="G20" s="2"/>
      </tp>
      <tp>
        <v>10</v>
        <stp/>
        <stp>P</stp>
        <stp>0</stp>
        <stp>ECO</stp>
        <stp>702163</stp>
        <stp>현재가</stp>
        <stp>44895</stp>
        <stp/>
        <tr r="G18" s="2"/>
        <tr r="G18" s="2"/>
      </tp>
      <tp>
        <v>1.4</v>
        <stp/>
        <stp>P</stp>
        <stp>0</stp>
        <stp>ECO</stp>
        <stp>702160</stp>
        <stp>현재가</stp>
        <stp>44895</stp>
        <stp/>
        <tr r="G14" s="2"/>
        <tr r="G14" s="2"/>
      </tp>
      <tp>
        <v>75</v>
        <stp/>
        <stp>P</stp>
        <stp>0</stp>
        <stp>ECO</stp>
        <stp>702150</stp>
        <stp>현재가</stp>
        <stp>44895</stp>
        <stp/>
        <tr r="G29" s="2"/>
        <tr r="G29" s="2"/>
      </tp>
      <tp>
        <v>6</v>
        <stp/>
        <stp>P</stp>
        <stp>0</stp>
        <stp>ECO</stp>
        <stp>702151</stp>
        <stp>현재가</stp>
        <stp>44895</stp>
        <stp/>
        <tr r="G21" s="2"/>
        <tr r="G21" s="2"/>
      </tp>
      <tp>
        <v>2.75</v>
        <stp/>
        <stp>P</stp>
        <stp>0</stp>
        <stp>ECO</stp>
        <stp>702154</stp>
        <stp>현재가</stp>
        <stp>44895</stp>
        <stp/>
        <tr r="G17" s="2"/>
        <tr r="G17" s="2"/>
      </tp>
      <tp>
        <v>5.25</v>
        <stp/>
        <stp>P</stp>
        <stp>0</stp>
        <stp>ECO</stp>
        <stp>702155</stp>
        <stp>현재가</stp>
        <stp>44895</stp>
        <stp/>
        <tr r="G35" s="2"/>
        <tr r="G35" s="2"/>
      </tp>
      <tp>
        <v>4.5</v>
        <stp/>
        <stp>P</stp>
        <stp>0</stp>
        <stp>ECO</stp>
        <stp>702158</stp>
        <stp>현재가</stp>
        <stp>44895</stp>
        <stp/>
        <tr r="G24" s="2"/>
        <tr r="G24" s="2"/>
      </tp>
      <tp>
        <v>2.5</v>
        <stp/>
        <stp>P</stp>
        <stp>0</stp>
        <stp>ECO</stp>
        <stp>702159</stp>
        <stp>현재가</stp>
        <stp>44895</stp>
        <stp/>
        <tr r="G11" s="2"/>
        <tr r="G11" s="2"/>
      </tp>
      <tp>
        <v>144.19999999999999</v>
        <stp/>
        <stp>P</stp>
        <stp>0</stp>
        <stp>ECO</stp>
        <stp>777799</stp>
        <stp>현재가</stp>
        <stp>44530</stp>
        <stp/>
        <tr r="T39" s="2"/>
      </tp>
      <tp>
        <v>2210425050108.2988</v>
        <stp/>
        <stp>P</stp>
        <stp>0</stp>
        <stp>ECO</stp>
        <stp>704522</stp>
        <stp>현재가</stp>
        <stp>44500</stp>
        <stp/>
        <tr r="T20" s="2"/>
      </tp>
      <tp>
        <v>0</v>
        <stp/>
        <stp>P</stp>
        <stp>0</stp>
        <stp>ECO</stp>
        <stp>700180</stp>
        <stp>현재가</stp>
        <stp>44742</stp>
        <stp/>
        <tr r="I32" s="2"/>
        <tr r="I32" s="2"/>
        <tr r="I8" s="2"/>
        <tr r="I8" s="2"/>
        <tr r="I43" s="2"/>
        <tr r="I43" s="2"/>
        <tr r="I15" s="2"/>
        <tr r="I15" s="2"/>
        <tr r="I33" s="2"/>
        <tr r="I33" s="2"/>
        <tr r="I44" s="2"/>
        <tr r="I44" s="2"/>
        <tr r="I10" s="2"/>
        <tr r="I10" s="2"/>
        <tr r="I22" s="2"/>
        <tr r="I22" s="2"/>
        <tr r="I27" s="2"/>
        <tr r="I27" s="2"/>
        <tr r="I30" s="2"/>
        <tr r="I30" s="2"/>
      </tp>
      <tp>
        <v>1.6561999999999999</v>
        <stp/>
        <stp>P</stp>
        <stp>0</stp>
        <stp>ECO</stp>
        <stp>780149</stp>
        <stp>현재가</stp>
        <stp>44742</stp>
        <stp/>
        <tr r="I28" s="2"/>
        <tr r="I28" s="2"/>
      </tp>
      <tp>
        <v>0</v>
        <stp/>
        <stp>P</stp>
        <stp>0</stp>
        <stp>ECO</stp>
        <stp>192333</stp>
        <stp>현재가</stp>
        <stp>44560</stp>
        <stp/>
        <tr r="J25" s="2"/>
      </tp>
      <tp>
        <v>2</v>
        <stp/>
        <stp>P</stp>
        <stp>0</stp>
        <stp>ECO</stp>
        <stp>700108</stp>
        <stp>현재가</stp>
        <stp>44742</stp>
        <stp/>
        <tr r="I12" s="2"/>
        <tr r="I12" s="2"/>
      </tp>
      <tp>
        <v>0.85</v>
        <stp/>
        <stp>P</stp>
        <stp>0</stp>
        <stp>ECO</stp>
        <stp>700107</stp>
        <stp>현재가</stp>
        <stp>44742</stp>
        <stp/>
        <tr r="I47" s="2"/>
        <tr r="I47" s="2"/>
      </tp>
      <tp>
        <v>13.25</v>
        <stp/>
        <stp>P</stp>
        <stp>0</stp>
        <stp>ECO</stp>
        <stp>700106</stp>
        <stp>현재가</stp>
        <stp>44742</stp>
        <stp/>
        <tr r="I23" s="2"/>
        <tr r="I23" s="2"/>
      </tp>
      <tp>
        <v>-0.25</v>
        <stp/>
        <stp>P</stp>
        <stp>0</stp>
        <stp>ECO</stp>
        <stp>700110</stp>
        <stp>현재가</stp>
        <stp>44742</stp>
        <stp/>
        <tr r="I26" s="2"/>
        <tr r="I26" s="2"/>
      </tp>
      <tp>
        <v>7</v>
        <stp/>
        <stp>P</stp>
        <stp>0</stp>
        <stp>ECO</stp>
        <stp>700113</stp>
        <stp>현재가</stp>
        <stp>44742</stp>
        <stp/>
        <tr r="I38" s="2"/>
        <tr r="I38" s="2"/>
      </tp>
      <tp>
        <v>2.4</v>
        <stp/>
        <stp>P</stp>
        <stp>0</stp>
        <stp>ECO</stp>
        <stp>192329</stp>
        <stp>현재가</stp>
        <stp>44561</stp>
        <stp/>
        <tr r="J46" s="2"/>
        <tr r="J46" s="2"/>
      </tp>
      <tp>
        <v>0.25</v>
        <stp/>
        <stp>P</stp>
        <stp>0</stp>
        <stp>ECO</stp>
        <stp>192336</stp>
        <stp>현재가</stp>
        <stp>44561</stp>
        <stp/>
        <tr r="J39" s="2"/>
        <tr r="J39" s="2"/>
      </tp>
      <tp>
        <v>0.5</v>
        <stp/>
        <stp>P</stp>
        <stp>0</stp>
        <stp>ECO</stp>
        <stp>192334</stp>
        <stp>현재가</stp>
        <stp>44561</stp>
        <stp/>
        <tr r="J40" s="2"/>
        <tr r="J40" s="2"/>
      </tp>
      <tp>
        <v>0.25</v>
        <stp/>
        <stp>P</stp>
        <stp>0</stp>
        <stp>ECO</stp>
        <stp>192335</stp>
        <stp>현재가</stp>
        <stp>44561</stp>
        <stp/>
        <tr r="J31" s="2"/>
        <tr r="J31" s="2"/>
      </tp>
      <tp t="s">
        <v/>
        <stp/>
        <stp>P</stp>
        <stp>0</stp>
        <stp>ECO</stp>
        <stp>192333</stp>
        <stp>현재가</stp>
        <stp>44561</stp>
        <stp/>
        <tr r="J25" s="2"/>
      </tp>
      <tp>
        <v>-0.1</v>
        <stp/>
        <stp>P</stp>
        <stp>0</stp>
        <stp>ECO</stp>
        <stp>192330</stp>
        <stp>현재가</stp>
        <stp>44561</stp>
        <stp/>
        <tr r="J36" s="2"/>
        <tr r="J36" s="2"/>
      </tp>
      <tp>
        <v>1.75</v>
        <stp/>
        <stp>P</stp>
        <stp>0</stp>
        <stp>ECO</stp>
        <stp>192331</stp>
        <stp>현재가</stp>
        <stp>44561</stp>
        <stp/>
        <tr r="J42" s="2"/>
        <tr r="J42" s="2"/>
      </tp>
      <tp t="s">
        <v/>
        <stp/>
        <stp>P</stp>
        <stp>0</stp>
        <stp>ECO</stp>
        <stp>702056</stp>
        <stp>현재가</stp>
        <stp>44561</stp>
        <stp/>
        <tr r="J20" s="2"/>
      </tp>
      <tp>
        <v>4.9000000000000004</v>
        <stp/>
        <stp>P</stp>
        <stp>0</stp>
        <stp>ECO</stp>
        <stp>700301</stp>
        <stp>현재가</stp>
        <stp>44742</stp>
        <stp/>
        <tr r="I34" s="2"/>
        <tr r="I34" s="2"/>
      </tp>
      <tp>
        <v>4.3499999999999996</v>
        <stp/>
        <stp>P</stp>
        <stp>0</stp>
        <stp>ECO</stp>
        <stp>700300</stp>
        <stp>현재가</stp>
        <stp>44742</stp>
        <stp/>
        <tr r="I37" s="2"/>
        <tr r="I37" s="2"/>
      </tp>
      <tp>
        <v>5.5</v>
        <stp/>
        <stp>P</stp>
        <stp>0</stp>
        <stp>ECO</stp>
        <stp>702163</stp>
        <stp>현재가</stp>
        <stp>44561</stp>
        <stp/>
        <tr r="J18" s="2"/>
        <tr r="J18" s="2"/>
      </tp>
      <tp>
        <v>0.05</v>
        <stp/>
        <stp>P</stp>
        <stp>0</stp>
        <stp>ECO</stp>
        <stp>702160</stp>
        <stp>현재가</stp>
        <stp>44561</stp>
        <stp/>
        <tr r="J14" s="2"/>
        <tr r="J14" s="2"/>
      </tp>
      <tp>
        <v>0.5</v>
        <stp/>
        <stp>P</stp>
        <stp>0</stp>
        <stp>ECO</stp>
        <stp>702159</stp>
        <stp>현재가</stp>
        <stp>44561</stp>
        <stp/>
        <tr r="J11" s="2"/>
        <tr r="J11" s="2"/>
      </tp>
      <tp>
        <v>1</v>
        <stp/>
        <stp>P</stp>
        <stp>0</stp>
        <stp>ECO</stp>
        <stp>702158</stp>
        <stp>현재가</stp>
        <stp>44561</stp>
        <stp/>
        <tr r="J24" s="2"/>
        <tr r="J24" s="2"/>
      </tp>
      <tp>
        <v>48.34</v>
        <stp/>
        <stp>P</stp>
        <stp>0</stp>
        <stp>ECO</stp>
        <stp>702056</stp>
        <stp>현재가</stp>
        <stp>44560</stp>
        <stp/>
        <tr r="J20" s="2"/>
      </tp>
      <tp>
        <v>3.5</v>
        <stp/>
        <stp>P</stp>
        <stp>0</stp>
        <stp>ECO</stp>
        <stp>702155</stp>
        <stp>현재가</stp>
        <stp>44561</stp>
        <stp/>
        <tr r="J35" s="2"/>
        <tr r="J35" s="2"/>
      </tp>
      <tp>
        <v>1.75</v>
        <stp/>
        <stp>P</stp>
        <stp>0</stp>
        <stp>ECO</stp>
        <stp>702154</stp>
        <stp>현재가</stp>
        <stp>44561</stp>
        <stp/>
        <tr r="J17" s="2"/>
        <tr r="J17" s="2"/>
      </tp>
      <tp>
        <v>4</v>
        <stp/>
        <stp>P</stp>
        <stp>0</stp>
        <stp>ECO</stp>
        <stp>702151</stp>
        <stp>현재가</stp>
        <stp>44561</stp>
        <stp/>
        <tr r="J21" s="2"/>
        <tr r="J21" s="2"/>
      </tp>
      <tp>
        <v>38</v>
        <stp/>
        <stp>P</stp>
        <stp>0</stp>
        <stp>ECO</stp>
        <stp>702150</stp>
        <stp>현재가</stp>
        <stp>44561</stp>
        <stp/>
        <tr r="J29" s="2"/>
        <tr r="J29" s="2"/>
      </tp>
      <tp>
        <v>2</v>
        <stp/>
        <stp>P</stp>
        <stp>0</stp>
        <stp>ECO</stp>
        <stp>701895</stp>
        <stp>현재가</stp>
        <stp>44742</stp>
        <stp/>
        <tr r="I48" s="2"/>
        <tr r="I48" s="2"/>
      </tp>
      <tp>
        <v>14</v>
        <stp/>
        <stp>P</stp>
        <stp>0</stp>
        <stp>ECO</stp>
        <stp>701894</stp>
        <stp>현재가</stp>
        <stp>44742</stp>
        <stp/>
        <tr r="I41" s="2"/>
        <tr r="I41" s="2"/>
      </tp>
      <tp>
        <v>4.75</v>
        <stp/>
        <stp>P</stp>
        <stp>0</stp>
        <stp>ECO</stp>
        <stp>701896</stp>
        <stp>현재가</stp>
        <stp>44742</stp>
        <stp/>
        <tr r="I9" s="2"/>
        <tr r="I9" s="2"/>
      </tp>
      <tp>
        <v>1.5</v>
        <stp/>
        <stp>P</stp>
        <stp>0</stp>
        <stp>ECO</stp>
        <stp>701890</stp>
        <stp>현재가</stp>
        <stp>44742</stp>
        <stp/>
        <tr r="I13" s="2"/>
        <tr r="I13" s="2"/>
      </tp>
      <tp>
        <v>8.5</v>
        <stp/>
        <stp>P</stp>
        <stp>0</stp>
        <stp>ECO</stp>
        <stp>703723</stp>
        <stp>현재가</stp>
        <stp>44561</stp>
        <stp/>
        <tr r="J16" s="2"/>
        <tr r="J16" s="2"/>
      </tp>
      <tp>
        <v>119.7</v>
        <stp/>
        <stp>P</stp>
        <stp>0</stp>
        <stp>ECO</stp>
        <stp>190010</stp>
        <stp>현재가</stp>
        <stp>44469</stp>
        <stp/>
        <tr r="T47" s="2"/>
      </tp>
      <tp>
        <v>105.06</v>
        <stp/>
        <stp>P</stp>
        <stp>0</stp>
        <stp>ECO</stp>
        <stp>700834</stp>
        <stp>현재가</stp>
        <stp>44561</stp>
        <stp/>
        <tr r="T24" s="2"/>
      </tp>
      <tp>
        <v>1092</v>
        <stp/>
        <stp>P</stp>
        <stp>0</stp>
        <stp>ECO</stp>
        <stp>190133</stp>
        <stp>현재가</stp>
        <stp>44469</stp>
        <stp/>
        <tr r="T12" s="2"/>
      </tp>
      <tp>
        <v>3</v>
        <stp/>
        <stp>P</stp>
        <stp>0</stp>
        <stp>ECO</stp>
        <stp>705149</stp>
        <stp>현재가</stp>
        <stp>44834</stp>
        <stp/>
        <tr r="H19" s="2"/>
        <tr r="H19" s="2"/>
      </tp>
      <tp>
        <v>0.05</v>
        <stp/>
        <stp>P</stp>
        <stp>0</stp>
        <stp>ECO</stp>
        <stp>702160</stp>
        <stp>현재가</stp>
        <stp>44742</stp>
        <stp/>
        <tr r="I14" s="2"/>
        <tr r="I14" s="2"/>
      </tp>
      <tp>
        <v>7.75</v>
        <stp/>
        <stp>P</stp>
        <stp>0</stp>
        <stp>ECO</stp>
        <stp>702163</stp>
        <stp>현재가</stp>
        <stp>44742</stp>
        <stp/>
        <tr r="I18" s="2"/>
        <tr r="I18" s="2"/>
      </tp>
      <tp>
        <v>1.25</v>
        <stp/>
        <stp>P</stp>
        <stp>0</stp>
        <stp>ECO</stp>
        <stp>702159</stp>
        <stp>현재가</stp>
        <stp>44742</stp>
        <stp/>
        <tr r="I11" s="2"/>
        <tr r="I11" s="2"/>
      </tp>
      <tp>
        <v>2.25</v>
        <stp/>
        <stp>P</stp>
        <stp>0</stp>
        <stp>ECO</stp>
        <stp>702158</stp>
        <stp>현재가</stp>
        <stp>44742</stp>
        <stp/>
        <tr r="I24" s="2"/>
        <tr r="I24" s="2"/>
      </tp>
      <tp>
        <v>3.5</v>
        <stp/>
        <stp>P</stp>
        <stp>0</stp>
        <stp>ECO</stp>
        <stp>702155</stp>
        <stp>현재가</stp>
        <stp>44742</stp>
        <stp/>
        <tr r="I35" s="2"/>
        <tr r="I35" s="2"/>
      </tp>
      <tp>
        <v>2</v>
        <stp/>
        <stp>P</stp>
        <stp>0</stp>
        <stp>ECO</stp>
        <stp>702154</stp>
        <stp>현재가</stp>
        <stp>44742</stp>
        <stp/>
        <tr r="I17" s="2"/>
        <tr r="I17" s="2"/>
      </tp>
      <tp>
        <v>4</v>
        <stp/>
        <stp>P</stp>
        <stp>0</stp>
        <stp>ECO</stp>
        <stp>702151</stp>
        <stp>현재가</stp>
        <stp>44742</stp>
        <stp/>
        <tr r="I21" s="2"/>
        <tr r="I21" s="2"/>
      </tp>
      <tp>
        <v>52</v>
        <stp/>
        <stp>P</stp>
        <stp>0</stp>
        <stp>ECO</stp>
        <stp>702150</stp>
        <stp>현재가</stp>
        <stp>44742</stp>
        <stp/>
        <tr r="I29" s="2"/>
        <tr r="I29" s="2"/>
      </tp>
      <tp>
        <v>110.37</v>
        <stp/>
        <stp>P</stp>
        <stp>0</stp>
        <stp>ECO</stp>
        <stp>700344</stp>
        <stp>현재가</stp>
        <stp>44561</stp>
        <stp/>
        <tr r="T8" s="2"/>
        <tr r="T32" s="2"/>
      </tp>
      <tp>
        <v>50.59</v>
        <stp/>
        <stp>P</stp>
        <stp>0</stp>
        <stp>ECO</stp>
        <stp>702056</stp>
        <stp>현재가</stp>
        <stp>44742</stp>
        <stp/>
        <tr r="I20" s="2"/>
        <tr r="I20" s="2"/>
      </tp>
      <tp>
        <v>4</v>
        <stp/>
        <stp>P</stp>
        <stp>0</stp>
        <stp>ECO</stp>
        <stp>700301</stp>
        <stp>현재가</stp>
        <stp>44561</stp>
        <stp/>
        <tr r="J34" s="2"/>
        <tr r="J34" s="2"/>
      </tp>
      <tp>
        <v>4.3499999999999996</v>
        <stp/>
        <stp>P</stp>
        <stp>0</stp>
        <stp>ECO</stp>
        <stp>700300</stp>
        <stp>현재가</stp>
        <stp>44561</stp>
        <stp/>
        <tr r="J37" s="2"/>
        <tr r="J37" s="2"/>
      </tp>
      <tp>
        <v>107.66</v>
        <stp/>
        <stp>P</stp>
        <stp>0</stp>
        <stp>ECO</stp>
        <stp>190085</stp>
        <stp>현재가</stp>
        <stp>44561</stp>
        <stp/>
        <tr r="T35" s="2"/>
      </tp>
      <tp>
        <v>106.6</v>
        <stp/>
        <stp>P</stp>
        <stp>0</stp>
        <stp>ECO</stp>
        <stp>190095</stp>
        <stp>현재가</stp>
        <stp>44561</stp>
        <stp/>
        <tr r="T33" s="2"/>
      </tp>
      <tp>
        <v>101.5</v>
        <stp/>
        <stp>P</stp>
        <stp>0</stp>
        <stp>ECO</stp>
        <stp>170001</stp>
        <stp>현재가</stp>
        <stp>44561</stp>
        <stp/>
        <tr r="T37" s="2"/>
      </tp>
      <tp>
        <v>115.737796</v>
        <stp/>
        <stp>P</stp>
        <stp>0</stp>
        <stp>ECO</stp>
        <stp>190016</stp>
        <stp>현재가</stp>
        <stp>44561</stp>
        <stp/>
        <tr r="T22" s="2"/>
      </tp>
      <tp>
        <v>6120.04</v>
        <stp/>
        <stp>P</stp>
        <stp>0</stp>
        <stp>ECO</stp>
        <stp>700070</stp>
        <stp>현재가</stp>
        <stp>44561</stp>
        <stp/>
        <tr r="T23" s="2"/>
      </tp>
      <tp>
        <v>105.07515100000001</v>
        <stp/>
        <stp>P</stp>
        <stp>0</stp>
        <stp>ECO</stp>
        <stp>700046</stp>
        <stp>현재가</stp>
        <stp>44561</stp>
        <stp/>
        <tr r="T21" s="2"/>
      </tp>
      <tp>
        <v>7.75</v>
        <stp/>
        <stp>P</stp>
        <stp>0</stp>
        <stp>ECO</stp>
        <stp>192329</stp>
        <stp>현재가</stp>
        <stp>44742</stp>
        <stp/>
        <tr r="I46" s="2"/>
        <tr r="I46" s="2"/>
      </tp>
      <tp>
        <v>119.3</v>
        <stp/>
        <stp>P</stp>
        <stp>0</stp>
        <stp>ECO</stp>
        <stp>190029</stp>
        <stp>현재가</stp>
        <stp>44561</stp>
        <stp/>
        <tr r="T38" s="2"/>
      </tp>
      <tp>
        <v>0.5</v>
        <stp/>
        <stp>P</stp>
        <stp>0</stp>
        <stp>ECO</stp>
        <stp>192334</stp>
        <stp>현재가</stp>
        <stp>44742</stp>
        <stp/>
        <tr r="I40" s="2"/>
        <tr r="I40" s="2"/>
      </tp>
      <tp>
        <v>1.25</v>
        <stp/>
        <stp>P</stp>
        <stp>0</stp>
        <stp>ECO</stp>
        <stp>192335</stp>
        <stp>현재가</stp>
        <stp>44742</stp>
        <stp/>
        <tr r="I31" s="2"/>
        <tr r="I31" s="2"/>
      </tp>
      <tp>
        <v>1.5</v>
        <stp/>
        <stp>P</stp>
        <stp>0</stp>
        <stp>ECO</stp>
        <stp>192336</stp>
        <stp>현재가</stp>
        <stp>44742</stp>
        <stp/>
        <tr r="I39" s="2"/>
        <tr r="I39" s="2"/>
      </tp>
      <tp>
        <v>-0.1</v>
        <stp/>
        <stp>P</stp>
        <stp>0</stp>
        <stp>ECO</stp>
        <stp>192330</stp>
        <stp>현재가</stp>
        <stp>44742</stp>
        <stp/>
        <tr r="I36" s="2"/>
        <tr r="I36" s="2"/>
      </tp>
      <tp>
        <v>6</v>
        <stp/>
        <stp>P</stp>
        <stp>0</stp>
        <stp>ECO</stp>
        <stp>192331</stp>
        <stp>현재가</stp>
        <stp>44742</stp>
        <stp/>
        <tr r="I42" s="2"/>
        <tr r="I42" s="2"/>
      </tp>
      <tp>
        <v>0.25</v>
        <stp/>
        <stp>P</stp>
        <stp>0</stp>
        <stp>ECO</stp>
        <stp>192333</stp>
        <stp>현재가</stp>
        <stp>44742</stp>
        <stp/>
        <tr r="I25" s="2"/>
        <tr r="I25" s="2"/>
      </tp>
      <tp>
        <v>106.6</v>
        <stp/>
        <stp>P</stp>
        <stp>0</stp>
        <stp>ECO</stp>
        <stp>190044</stp>
        <stp>현재가</stp>
        <stp>44561</stp>
        <stp/>
        <tr r="T14" s="2"/>
      </tp>
      <tp>
        <v>103.965</v>
        <stp/>
        <stp>P</stp>
        <stp>0</stp>
        <stp>ECO</stp>
        <stp>190054</stp>
        <stp>현재가</stp>
        <stp>44561</stp>
        <stp/>
        <tr r="T27" s="2"/>
      </tp>
      <tp>
        <v>107.49</v>
        <stp/>
        <stp>P</stp>
        <stp>0</stp>
        <stp>ECO</stp>
        <stp>190058</stp>
        <stp>현재가</stp>
        <stp>44561</stp>
        <stp/>
        <tr r="T44" s="2"/>
      </tp>
      <tp>
        <v>107.4</v>
        <stp/>
        <stp>P</stp>
        <stp>0</stp>
        <stp>ECO</stp>
        <stp>190076</stp>
        <stp>현재가</stp>
        <stp>44561</stp>
        <stp/>
        <tr r="T46" s="2"/>
      </tp>
      <tp>
        <v>686.95</v>
        <stp/>
        <stp>P</stp>
        <stp>0</stp>
        <stp>ECO</stp>
        <stp>190188</stp>
        <stp>현재가</stp>
        <stp>44561</stp>
        <stp/>
        <tr r="T41" s="2"/>
      </tp>
      <tp>
        <v>105.41</v>
        <stp/>
        <stp>P</stp>
        <stp>0</stp>
        <stp>ECO</stp>
        <stp>190190</stp>
        <stp>현재가</stp>
        <stp>44561</stp>
        <stp/>
        <tr r="T13" s="2"/>
      </tp>
      <tp>
        <v>0</v>
        <stp/>
        <stp>P</stp>
        <stp>0</stp>
        <stp>ECO</stp>
        <stp>700180</stp>
        <stp>현재가</stp>
        <stp>44561</stp>
        <stp/>
        <tr r="J43" s="2"/>
        <tr r="J43" s="2"/>
        <tr r="J44" s="2"/>
        <tr r="J44" s="2"/>
        <tr r="J32" s="2"/>
        <tr r="J32" s="2"/>
        <tr r="J8" s="2"/>
        <tr r="J8" s="2"/>
        <tr r="J33" s="2"/>
        <tr r="J33" s="2"/>
        <tr r="J15" s="2"/>
        <tr r="J15" s="2"/>
        <tr r="J10" s="2"/>
        <tr r="J10" s="2"/>
        <tr r="J22" s="2"/>
        <tr r="J22" s="2"/>
        <tr r="J27" s="2"/>
        <tr r="J27" s="2"/>
        <tr r="J30" s="2"/>
        <tr r="J30" s="2"/>
      </tp>
      <tp>
        <v>117.30800000000001</v>
        <stp/>
        <stp>P</stp>
        <stp>0</stp>
        <stp>ECO</stp>
        <stp>190113</stp>
        <stp>현재가</stp>
        <stp>44561</stp>
        <stp/>
        <tr r="T18" s="2"/>
      </tp>
      <tp>
        <v>114.01</v>
        <stp/>
        <stp>P</stp>
        <stp>0</stp>
        <stp>ECO</stp>
        <stp>190119</stp>
        <stp>현재가</stp>
        <stp>44561</stp>
        <stp/>
        <tr r="T10" s="2"/>
      </tp>
      <tp>
        <v>118.9</v>
        <stp/>
        <stp>P</stp>
        <stp>0</stp>
        <stp>ECO</stp>
        <stp>190123</stp>
        <stp>현재가</stp>
        <stp>44561</stp>
        <stp/>
        <tr r="T11" s="2"/>
      </tp>
      <tp>
        <v>0.30649999999999999</v>
        <stp/>
        <stp>P</stp>
        <stp>0</stp>
        <stp>ECO</stp>
        <stp>780149</stp>
        <stp>현재가</stp>
        <stp>44561</stp>
        <stp/>
        <tr r="J28" s="2"/>
        <tr r="J28" s="2"/>
      </tp>
      <tp>
        <v>108.6</v>
        <stp/>
        <stp>P</stp>
        <stp>0</stp>
        <stp>ECO</stp>
        <stp>190138</stp>
        <stp>현재가</stp>
        <stp>44561</stp>
        <stp/>
        <tr r="T42" s="2"/>
      </tp>
      <tp>
        <v>352.47</v>
        <stp/>
        <stp>P</stp>
        <stp>0</stp>
        <stp>ECO</stp>
        <stp>190150</stp>
        <stp>현재가</stp>
        <stp>44561</stp>
        <stp/>
        <tr r="T25" s="2"/>
      </tp>
      <tp>
        <v>101.5311</v>
        <stp/>
        <stp>P</stp>
        <stp>0</stp>
        <stp>ECO</stp>
        <stp>190167</stp>
        <stp>현재가</stp>
        <stp>44561</stp>
        <stp/>
        <tr r="T26" s="2"/>
      </tp>
      <tp>
        <v>0.75</v>
        <stp/>
        <stp>P</stp>
        <stp>0</stp>
        <stp>ECO</stp>
        <stp>700108</stp>
        <stp>현재가</stp>
        <stp>44561</stp>
        <stp/>
        <tr r="J12" s="2"/>
        <tr r="J12" s="2"/>
      </tp>
      <tp>
        <v>0.1</v>
        <stp/>
        <stp>P</stp>
        <stp>0</stp>
        <stp>ECO</stp>
        <stp>700107</stp>
        <stp>현재가</stp>
        <stp>44561</stp>
        <stp/>
        <tr r="J47" s="2"/>
        <tr r="J47" s="2"/>
      </tp>
      <tp>
        <v>9.25</v>
        <stp/>
        <stp>P</stp>
        <stp>0</stp>
        <stp>ECO</stp>
        <stp>700106</stp>
        <stp>현재가</stp>
        <stp>44561</stp>
        <stp/>
        <tr r="J23" s="2"/>
        <tr r="J23" s="2"/>
      </tp>
      <tp>
        <v>101.86</v>
        <stp/>
        <stp>P</stp>
        <stp>0</stp>
        <stp>ECO</stp>
        <stp>190175</stp>
        <stp>현재가</stp>
        <stp>44561</stp>
        <stp/>
        <tr r="T40" s="2"/>
      </tp>
      <tp>
        <v>3.75</v>
        <stp/>
        <stp>P</stp>
        <stp>0</stp>
        <stp>ECO</stp>
        <stp>700113</stp>
        <stp>현재가</stp>
        <stp>44561</stp>
        <stp/>
        <tr r="J38" s="2"/>
        <tr r="J38" s="2"/>
      </tp>
      <tp>
        <v>-0.75</v>
        <stp/>
        <stp>P</stp>
        <stp>0</stp>
        <stp>ECO</stp>
        <stp>700110</stp>
        <stp>현재가</stp>
        <stp>44561</stp>
        <stp/>
        <tr r="J26" s="2"/>
        <tr r="J26" s="2"/>
      </tp>
      <tp>
        <v>3.75</v>
        <stp/>
        <stp>P</stp>
        <stp>0</stp>
        <stp>ECO</stp>
        <stp>701896</stp>
        <stp>현재가</stp>
        <stp>44561</stp>
        <stp/>
        <tr r="J9" s="2"/>
        <tr r="J9" s="2"/>
      </tp>
      <tp>
        <v>0.5</v>
        <stp/>
        <stp>P</stp>
        <stp>0</stp>
        <stp>ECO</stp>
        <stp>701895</stp>
        <stp>현재가</stp>
        <stp>44561</stp>
        <stp/>
        <tr r="J48" s="2"/>
        <tr r="J48" s="2"/>
      </tp>
      <tp>
        <v>14</v>
        <stp/>
        <stp>P</stp>
        <stp>0</stp>
        <stp>ECO</stp>
        <stp>701894</stp>
        <stp>현재가</stp>
        <stp>44561</stp>
        <stp/>
        <tr r="J41" s="2"/>
        <tr r="J41" s="2"/>
      </tp>
      <tp>
        <v>1.125</v>
        <stp/>
        <stp>P</stp>
        <stp>0</stp>
        <stp>ECO</stp>
        <stp>701890</stp>
        <stp>현재가</stp>
        <stp>44561</stp>
        <stp/>
        <tr r="J13" s="2"/>
        <tr r="J13" s="2"/>
      </tp>
      <tp>
        <v>104.04</v>
        <stp/>
        <stp>P</stp>
        <stp>0</stp>
        <stp>ECO</stp>
        <stp>701979</stp>
        <stp>현재가</stp>
        <stp>44561</stp>
        <stp/>
        <tr r="T45" s="2"/>
      </tp>
      <tp>
        <v>166.2</v>
        <stp/>
        <stp>P</stp>
        <stp>0</stp>
        <stp>ECO</stp>
        <stp>701974</stp>
        <stp>현재가</stp>
        <stp>44561</stp>
        <stp/>
        <tr r="T34" s="2"/>
      </tp>
      <tp>
        <v>111.3</v>
        <stp/>
        <stp>P</stp>
        <stp>0</stp>
        <stp>ECO</stp>
        <stp>701929</stp>
        <stp>현재가</stp>
        <stp>44561</stp>
        <stp/>
        <tr r="T15" s="2"/>
      </tp>
      <tp>
        <v>107.8</v>
        <stp/>
        <stp>P</stp>
        <stp>0</stp>
        <stp>ECO</stp>
        <stp>701930</stp>
        <stp>현재가</stp>
        <stp>44561</stp>
        <stp/>
        <tr r="T43" s="2"/>
      </tp>
      <tp>
        <v>582.45749999999998</v>
        <stp/>
        <stp>P</stp>
        <stp>0</stp>
        <stp>ECO</stp>
        <stp>701722</stp>
        <stp>현재가</stp>
        <stp>44561</stp>
        <stp/>
        <tr r="T29" s="2"/>
      </tp>
      <tp>
        <v>9.5</v>
        <stp/>
        <stp>P</stp>
        <stp>0</stp>
        <stp>ECO</stp>
        <stp>703723</stp>
        <stp>현재가</stp>
        <stp>44742</stp>
        <stp/>
        <tr r="I16" s="2"/>
        <tr r="I16" s="2"/>
      </tp>
      <tp>
        <v>7.5</v>
        <stp/>
        <stp>P</stp>
        <stp>0</stp>
        <stp>ECO</stp>
        <stp>703723</stp>
        <stp>현재가</stp>
        <stp>44834</stp>
        <stp/>
        <tr r="H16" s="2"/>
        <tr r="H16" s="2"/>
      </tp>
      <tp>
        <v>13</v>
        <stp/>
        <stp>P</stp>
        <stp>0</stp>
        <stp>ECO</stp>
        <stp>192329</stp>
        <stp>현재가</stp>
        <stp>44834</stp>
        <stp/>
        <tr r="H46" s="2"/>
        <tr r="H46" s="2"/>
      </tp>
      <tp>
        <v>1.75</v>
        <stp/>
        <stp>P</stp>
        <stp>0</stp>
        <stp>ECO</stp>
        <stp>192333</stp>
        <stp>현재가</stp>
        <stp>44834</stp>
        <stp/>
        <tr r="H25" s="2"/>
        <tr r="H25" s="2"/>
      </tp>
      <tp>
        <v>6.75</v>
        <stp/>
        <stp>P</stp>
        <stp>0</stp>
        <stp>ECO</stp>
        <stp>192331</stp>
        <stp>현재가</stp>
        <stp>44834</stp>
        <stp/>
        <tr r="H42" s="2"/>
        <tr r="H42" s="2"/>
      </tp>
      <tp>
        <v>-0.1</v>
        <stp/>
        <stp>P</stp>
        <stp>0</stp>
        <stp>ECO</stp>
        <stp>192330</stp>
        <stp>현재가</stp>
        <stp>44834</stp>
        <stp/>
        <tr r="H36" s="2"/>
        <tr r="H36" s="2"/>
      </tp>
      <tp>
        <v>3.25</v>
        <stp/>
        <stp>P</stp>
        <stp>0</stp>
        <stp>ECO</stp>
        <stp>192336</stp>
        <stp>현재가</stp>
        <stp>44834</stp>
        <stp/>
        <tr r="H39" s="2"/>
        <tr r="H39" s="2"/>
      </tp>
      <tp>
        <v>2.25</v>
        <stp/>
        <stp>P</stp>
        <stp>0</stp>
        <stp>ECO</stp>
        <stp>192335</stp>
        <stp>현재가</stp>
        <stp>44834</stp>
        <stp/>
        <tr r="H31" s="2"/>
        <tr r="H31" s="2"/>
      </tp>
      <tp>
        <v>1</v>
        <stp/>
        <stp>P</stp>
        <stp>0</stp>
        <stp>ECO</stp>
        <stp>192334</stp>
        <stp>현재가</stp>
        <stp>44834</stp>
        <stp/>
        <tr r="H40" s="2"/>
        <tr r="H40" s="2"/>
      </tp>
      <tp>
        <v>9.25</v>
        <stp/>
        <stp>P</stp>
        <stp>0</stp>
        <stp>ECO</stp>
        <stp>702163</stp>
        <stp>현재가</stp>
        <stp>44834</stp>
        <stp/>
        <tr r="H18" s="2"/>
        <tr r="H18" s="2"/>
      </tp>
      <tp>
        <v>0.8</v>
        <stp/>
        <stp>P</stp>
        <stp>0</stp>
        <stp>ECO</stp>
        <stp>702160</stp>
        <stp>현재가</stp>
        <stp>44834</stp>
        <stp/>
        <tr r="H14" s="2"/>
        <tr r="H14" s="2"/>
      </tp>
      <tp>
        <v>75</v>
        <stp/>
        <stp>P</stp>
        <stp>0</stp>
        <stp>ECO</stp>
        <stp>702150</stp>
        <stp>현재가</stp>
        <stp>44834</stp>
        <stp/>
        <tr r="H29" s="2"/>
        <tr r="H29" s="2"/>
      </tp>
      <tp>
        <v>5</v>
        <stp/>
        <stp>P</stp>
        <stp>0</stp>
        <stp>ECO</stp>
        <stp>702151</stp>
        <stp>현재가</stp>
        <stp>44834</stp>
        <stp/>
        <tr r="H21" s="2"/>
        <tr r="H21" s="2"/>
      </tp>
      <tp>
        <v>2.5</v>
        <stp/>
        <stp>P</stp>
        <stp>0</stp>
        <stp>ECO</stp>
        <stp>702154</stp>
        <stp>현재가</stp>
        <stp>44834</stp>
        <stp/>
        <tr r="H17" s="2"/>
        <tr r="H17" s="2"/>
      </tp>
      <tp>
        <v>4.25</v>
        <stp/>
        <stp>P</stp>
        <stp>0</stp>
        <stp>ECO</stp>
        <stp>702155</stp>
        <stp>현재가</stp>
        <stp>44834</stp>
        <stp/>
        <tr r="H35" s="2"/>
        <tr r="H35" s="2"/>
      </tp>
      <tp>
        <v>3.75</v>
        <stp/>
        <stp>P</stp>
        <stp>0</stp>
        <stp>ECO</stp>
        <stp>702158</stp>
        <stp>현재가</stp>
        <stp>44834</stp>
        <stp/>
        <tr r="H24" s="2"/>
        <tr r="H24" s="2"/>
      </tp>
      <tp>
        <v>2.25</v>
        <stp/>
        <stp>P</stp>
        <stp>0</stp>
        <stp>ECO</stp>
        <stp>702159</stp>
        <stp>현재가</stp>
        <stp>44834</stp>
        <stp/>
        <tr r="H11" s="2"/>
        <tr r="H11" s="2"/>
      </tp>
      <tp>
        <v>49.02</v>
        <stp/>
        <stp>P</stp>
        <stp>0</stp>
        <stp>ECO</stp>
        <stp>702056</stp>
        <stp>현재가</stp>
        <stp>44834</stp>
        <stp/>
        <tr r="H20" s="2"/>
        <tr r="H20" s="2"/>
      </tp>
      <tp>
        <v>1.5</v>
        <stp/>
        <stp>P</stp>
        <stp>0</stp>
        <stp>ECO</stp>
        <stp>705149</stp>
        <stp>현재가</stp>
        <stp>44742</stp>
        <stp/>
        <tr r="I19" s="2"/>
        <tr r="I19" s="2"/>
      </tp>
      <tp>
        <v>114.134</v>
        <stp/>
        <stp>P</stp>
        <stp>0</stp>
        <stp>ECO</stp>
        <stp>702219</stp>
        <stp>현재가</stp>
        <stp>44530</stp>
        <stp/>
        <tr r="T31" s="2"/>
      </tp>
      <tp>
        <v>102.2</v>
        <stp/>
        <stp>P</stp>
        <stp>0</stp>
        <stp>ECO</stp>
        <stp>702000</stp>
        <stp>현재가</stp>
        <stp>44530</stp>
        <stp/>
        <tr r="T48" s="2"/>
      </tp>
      <tp>
        <v>1.625</v>
        <stp/>
        <stp>P</stp>
        <stp>0</stp>
        <stp>ECO</stp>
        <stp>701890</stp>
        <stp>현재가</stp>
        <stp>44834</stp>
        <stp/>
        <tr r="H13" s="2"/>
        <tr r="H13" s="2"/>
      </tp>
      <tp>
        <v>6.25</v>
        <stp/>
        <stp>P</stp>
        <stp>0</stp>
        <stp>ECO</stp>
        <stp>701896</stp>
        <stp>현재가</stp>
        <stp>44834</stp>
        <stp/>
        <tr r="H9" s="2"/>
        <tr r="H9" s="2"/>
      </tp>
      <tp>
        <v>12</v>
        <stp/>
        <stp>P</stp>
        <stp>0</stp>
        <stp>ECO</stp>
        <stp>701894</stp>
        <stp>현재가</stp>
        <stp>44834</stp>
        <stp/>
        <tr r="H41" s="2"/>
        <tr r="H41" s="2"/>
      </tp>
      <tp>
        <v>3.5</v>
        <stp/>
        <stp>P</stp>
        <stp>0</stp>
        <stp>ECO</stp>
        <stp>701895</stp>
        <stp>현재가</stp>
        <stp>44834</stp>
        <stp/>
        <tr r="H48" s="2"/>
        <tr r="H48" s="2"/>
      </tp>
      <tp>
        <v>99.4</v>
        <stp/>
        <stp>P</stp>
        <stp>0</stp>
        <stp>ECO</stp>
        <stp>701928</stp>
        <stp>현재가</stp>
        <stp>44530</stp>
        <stp/>
        <tr r="T9" s="2"/>
      </tp>
      <tp>
        <v>100.1</v>
        <stp/>
        <stp>P</stp>
        <stp>0</stp>
        <stp>ECO</stp>
        <stp>701924</stp>
        <stp>현재가</stp>
        <stp>44530</stp>
        <stp/>
        <tr r="T36" s="2"/>
      </tp>
      <tp>
        <v>4.3499999999999996</v>
        <stp/>
        <stp>P</stp>
        <stp>0</stp>
        <stp>ECO</stp>
        <stp>700300</stp>
        <stp>현재가</stp>
        <stp>44834</stp>
        <stp/>
        <tr r="H37" s="2"/>
        <tr r="H37" s="2"/>
      </tp>
      <tp>
        <v>5.9</v>
        <stp/>
        <stp>P</stp>
        <stp>0</stp>
        <stp>ECO</stp>
        <stp>700301</stp>
        <stp>현재가</stp>
        <stp>44834</stp>
        <stp/>
        <tr r="H34" s="2"/>
        <tr r="H34" s="2"/>
      </tp>
      <tp>
        <v>1.25</v>
        <stp/>
        <stp>P</stp>
        <stp>0</stp>
        <stp>ECO</stp>
        <stp>700180</stp>
        <stp>현재가</stp>
        <stp>44834</stp>
        <stp/>
        <tr r="H15" s="2"/>
        <tr r="H15" s="2"/>
        <tr r="H8" s="2"/>
        <tr r="H8" s="2"/>
        <tr r="H43" s="2"/>
        <tr r="H43" s="2"/>
        <tr r="H33" s="2"/>
        <tr r="H33" s="2"/>
        <tr r="H44" s="2"/>
        <tr r="H44" s="2"/>
        <tr r="H32" s="2"/>
        <tr r="H32" s="2"/>
        <tr r="H10" s="2"/>
        <tr r="H10" s="2"/>
        <tr r="H22" s="2"/>
        <tr r="H22" s="2"/>
        <tr r="H27" s="2"/>
        <tr r="H27" s="2"/>
        <tr r="H30" s="2"/>
        <tr r="H30" s="2"/>
      </tp>
      <tp>
        <v>4.3916000000000004</v>
        <stp/>
        <stp>P</stp>
        <stp>0</stp>
        <stp>ECO</stp>
        <stp>780149</stp>
        <stp>현재가</stp>
        <stp>44834</stp>
        <stp/>
        <tr r="H28" s="2"/>
        <tr r="H28" s="2"/>
      </tp>
      <tp>
        <v>13.75</v>
        <stp/>
        <stp>P</stp>
        <stp>0</stp>
        <stp>ECO</stp>
        <stp>700106</stp>
        <stp>현재가</stp>
        <stp>44834</stp>
        <stp/>
        <tr r="H23" s="2"/>
        <tr r="H23" s="2"/>
      </tp>
      <tp>
        <v>2.35</v>
        <stp/>
        <stp>P</stp>
        <stp>0</stp>
        <stp>ECO</stp>
        <stp>700107</stp>
        <stp>현재가</stp>
        <stp>44834</stp>
        <stp/>
        <tr r="H47" s="2"/>
        <tr r="H47" s="2"/>
      </tp>
      <tp>
        <v>3</v>
        <stp/>
        <stp>P</stp>
        <stp>0</stp>
        <stp>ECO</stp>
        <stp>700108</stp>
        <stp>현재가</stp>
        <stp>44834</stp>
        <stp/>
        <tr r="H12" s="2"/>
        <tr r="H12" s="2"/>
      </tp>
      <tp>
        <v>7</v>
        <stp/>
        <stp>P</stp>
        <stp>0</stp>
        <stp>ECO</stp>
        <stp>700113</stp>
        <stp>현재가</stp>
        <stp>44834</stp>
        <stp/>
        <tr r="H38" s="2"/>
        <tr r="H38" s="2"/>
      </tp>
      <tp>
        <v>0.5</v>
        <stp/>
        <stp>P</stp>
        <stp>0</stp>
        <stp>ECO</stp>
        <stp>700110</stp>
        <stp>현재가</stp>
        <stp>44834</stp>
        <stp/>
        <tr r="H26" s="2"/>
        <tr r="H26" s="2"/>
      </tp>
      <tp>
        <v>278.80200000000002</v>
        <stp/>
        <stp>P</stp>
        <stp>0</stp>
        <stp>ECO</stp>
        <stp>135027</stp>
        <stp>현재가</stp>
        <stp>44561</stp>
        <stp/>
        <tr r="T19" s="2"/>
      </tp>
      <tp>
        <v>103.959</v>
        <stp/>
        <stp>P</stp>
        <stp>0</stp>
        <stp>ECO</stp>
        <stp>190159</stp>
        <stp>현재가</stp>
        <stp>44530</stp>
        <stp/>
        <tr r="T28" s="2"/>
      </tp>
      <tp>
        <v>106.5</v>
        <stp/>
        <stp>P</stp>
        <stp>0</stp>
        <stp>ECO</stp>
        <stp>190088</stp>
        <stp>현재가</stp>
        <stp>44530</stp>
        <stp/>
        <tr r="T30" s="2"/>
      </tp>
      <tp>
        <v>205.49</v>
        <stp/>
        <stp>P</stp>
        <stp>0</stp>
        <stp>ECO</stp>
        <stp>700063</stp>
        <stp>현재가</stp>
        <stp>44530</stp>
        <stp/>
        <tr r="T16" s="2"/>
      </tp>
      <tp>
        <v>124</v>
        <stp/>
        <stp>P</stp>
        <stp>0</stp>
        <stp>ECO</stp>
        <stp>700072</stp>
        <stp>현재가</stp>
        <stp>44530</stp>
        <stp/>
        <tr r="T17" s="2"/>
      </tp>
      <tp>
        <v>0</v>
        <stp/>
        <stp>P</stp>
        <stp>0</stp>
        <stp>ECO</stp>
        <stp>705149</stp>
        <stp>현재가</stp>
        <stp>44561</stp>
        <stp/>
        <tr r="J19" s="2"/>
        <tr r="J19" s="2"/>
      </tp>
      <tp>
        <v>3.25</v>
        <stp/>
        <stp>P</stp>
        <stp>0</stp>
        <stp>ECO</stp>
        <stp>68</stp>
        <stp>현재가</stp>
        <stp>44895</stp>
        <stp/>
        <tr r="G45" s="2"/>
        <tr r="G45" s="2"/>
      </tp>
      <tp>
        <v>1.75</v>
        <stp/>
        <stp>P</stp>
        <stp>0</stp>
        <stp>ECO</stp>
        <stp>68</stp>
        <stp>현재가</stp>
        <stp>44742</stp>
        <stp/>
        <tr r="I45" s="2"/>
        <tr r="I45" s="2"/>
      </tp>
      <tp>
        <v>1</v>
        <stp/>
        <stp>P</stp>
        <stp>0</stp>
        <stp>ECO</stp>
        <stp>68</stp>
        <stp>현재가</stp>
        <stp>44561</stp>
        <stp/>
        <tr r="J45" s="2"/>
        <tr r="J45" s="2"/>
      </tp>
      <tp>
        <v>2.5</v>
        <stp/>
        <stp>P</stp>
        <stp>0</stp>
        <stp>ECO</stp>
        <stp>68</stp>
        <stp>현재가</stp>
        <stp>44834</stp>
        <stp/>
        <tr r="H45" s="2"/>
        <tr r="H45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48"/>
  <sheetViews>
    <sheetView showGridLines="0" tabSelected="1" workbookViewId="0"/>
  </sheetViews>
  <sheetFormatPr defaultRowHeight="13.5" x14ac:dyDescent="0.25"/>
  <cols>
    <col min="1" max="1" width="1.85546875" style="22" customWidth="1"/>
    <col min="2" max="2" width="9.140625" style="22" hidden="1" customWidth="1"/>
    <col min="3" max="4" width="10.28515625" style="22" hidden="1" customWidth="1"/>
    <col min="5" max="5" width="16.140625" style="22" bestFit="1" customWidth="1"/>
    <col min="6" max="6" width="12.7109375" style="22" bestFit="1" customWidth="1"/>
    <col min="7" max="9" width="9.7109375" style="22" customWidth="1"/>
    <col min="10" max="10" width="9.140625" style="22" customWidth="1"/>
    <col min="11" max="11" width="11.5703125" style="22" customWidth="1"/>
    <col min="12" max="12" width="11.42578125" style="22" bestFit="1" customWidth="1"/>
    <col min="13" max="13" width="8.28515625" style="22" bestFit="1" customWidth="1"/>
    <col min="14" max="14" width="9.42578125" style="22" bestFit="1" customWidth="1"/>
    <col min="15" max="16" width="9.28515625" style="22" bestFit="1" customWidth="1"/>
    <col min="17" max="17" width="21.85546875" style="22" bestFit="1" customWidth="1"/>
    <col min="18" max="18" width="11.28515625" style="22" bestFit="1" customWidth="1"/>
    <col min="19" max="19" width="11.28515625" style="22" hidden="1" customWidth="1"/>
    <col min="20" max="20" width="10.5703125" style="22" bestFit="1" customWidth="1"/>
    <col min="21" max="25" width="8.28515625" style="22" customWidth="1"/>
    <col min="26" max="16384" width="9.140625" style="22"/>
  </cols>
  <sheetData>
    <row r="1" spans="1:25" x14ac:dyDescent="0.25">
      <c r="B1">
        <f ca="1">YEAR(F4)</f>
        <v>2022</v>
      </c>
      <c r="C1" s="20">
        <v>1231</v>
      </c>
      <c r="D1" t="str">
        <f ca="1">B1&amp;C1</f>
        <v>20221231</v>
      </c>
      <c r="E1" s="20"/>
      <c r="F1" s="20"/>
      <c r="G1" s="20"/>
      <c r="H1" s="20"/>
      <c r="I1" s="20"/>
      <c r="J1" s="20"/>
      <c r="K1" s="20"/>
      <c r="L1" s="20"/>
      <c r="M1" s="3"/>
      <c r="N1" s="20"/>
      <c r="O1" s="20"/>
      <c r="P1" s="20"/>
      <c r="Q1" s="20"/>
      <c r="R1" s="20"/>
      <c r="T1" s="20"/>
      <c r="U1" s="20"/>
      <c r="V1" s="20"/>
      <c r="W1" s="20"/>
      <c r="X1" s="20"/>
      <c r="Y1" s="20"/>
    </row>
    <row r="2" spans="1:25" ht="21" x14ac:dyDescent="0.25">
      <c r="B2" s="22">
        <f ca="1">B1+1</f>
        <v>2023</v>
      </c>
      <c r="C2" s="22">
        <v>1231</v>
      </c>
      <c r="D2" s="22" t="str">
        <f ca="1">B2&amp;C2</f>
        <v>20231231</v>
      </c>
      <c r="E2" s="47" t="s">
        <v>148</v>
      </c>
      <c r="F2" s="20"/>
      <c r="G2" s="20"/>
      <c r="H2" s="20"/>
      <c r="I2" s="20"/>
      <c r="J2" s="20"/>
      <c r="K2" s="20"/>
      <c r="L2" s="20"/>
      <c r="M2" s="3"/>
      <c r="N2" s="20"/>
      <c r="O2" s="20"/>
      <c r="P2" s="20"/>
      <c r="Q2" s="20"/>
      <c r="R2" s="20"/>
      <c r="T2" s="20"/>
      <c r="U2" s="20"/>
      <c r="V2" s="20"/>
      <c r="W2" s="20"/>
      <c r="X2" s="20"/>
      <c r="Y2" s="20"/>
    </row>
    <row r="3" spans="1:25" ht="11.25" customHeight="1" x14ac:dyDescent="0.25">
      <c r="B3" s="22">
        <f ca="1">B2+1</f>
        <v>2024</v>
      </c>
      <c r="C3" s="22">
        <v>1231</v>
      </c>
      <c r="D3" s="22" t="str">
        <f ca="1">B3&amp;C3</f>
        <v>20241231</v>
      </c>
      <c r="E3" s="20"/>
      <c r="F3" s="20"/>
      <c r="G3" s="20"/>
      <c r="H3" s="20"/>
      <c r="I3" s="20"/>
      <c r="J3" s="20"/>
      <c r="K3" s="20"/>
      <c r="L3" s="20"/>
      <c r="M3" s="3"/>
      <c r="N3" s="20"/>
      <c r="O3" s="20"/>
      <c r="P3" s="20"/>
      <c r="Q3" s="20"/>
      <c r="R3" s="20"/>
      <c r="T3" s="20"/>
      <c r="U3" s="20"/>
      <c r="V3" s="20"/>
      <c r="W3" s="20"/>
      <c r="X3" s="20"/>
      <c r="Y3" s="20"/>
    </row>
    <row r="4" spans="1:25" x14ac:dyDescent="0.25">
      <c r="B4" s="22">
        <f ca="1">B3+1</f>
        <v>2025</v>
      </c>
      <c r="C4" s="22">
        <v>1231</v>
      </c>
      <c r="D4" s="22" t="str">
        <f ca="1">B4&amp;C4</f>
        <v>20251231</v>
      </c>
      <c r="E4" s="46" t="s">
        <v>147</v>
      </c>
      <c r="F4" s="71">
        <f ca="1">WORKDAY(EOMONTH(TODAY(),-1),0)</f>
        <v>44926</v>
      </c>
      <c r="G4"/>
      <c r="H4"/>
      <c r="I4"/>
      <c r="J4"/>
      <c r="K4"/>
      <c r="L4" s="20"/>
      <c r="M4" s="3"/>
      <c r="N4"/>
      <c r="O4"/>
      <c r="P4"/>
      <c r="Q4"/>
      <c r="R4"/>
      <c r="T4"/>
      <c r="U4"/>
      <c r="V4"/>
      <c r="W4"/>
      <c r="X4"/>
      <c r="Y4"/>
    </row>
    <row r="5" spans="1:25" x14ac:dyDescent="0.25">
      <c r="B5" s="22">
        <f ca="1">B4+1</f>
        <v>2026</v>
      </c>
      <c r="C5" s="22">
        <v>1231</v>
      </c>
      <c r="D5" s="22" t="str">
        <f ca="1">B5&amp;C5</f>
        <v>20261231</v>
      </c>
      <c r="E5"/>
      <c r="F5"/>
      <c r="G5"/>
      <c r="H5"/>
      <c r="I5"/>
      <c r="J5"/>
      <c r="K5"/>
      <c r="L5" s="20"/>
      <c r="M5" s="3"/>
      <c r="N5"/>
      <c r="O5"/>
      <c r="P5"/>
      <c r="Q5"/>
      <c r="R5"/>
      <c r="T5"/>
      <c r="U5"/>
      <c r="V5"/>
      <c r="W5"/>
      <c r="X5"/>
      <c r="Y5"/>
    </row>
    <row r="6" spans="1:25" x14ac:dyDescent="0.25">
      <c r="B6"/>
      <c r="C6"/>
      <c r="D6"/>
      <c r="E6" s="51" t="s">
        <v>76</v>
      </c>
      <c r="F6" s="55" t="s">
        <v>114</v>
      </c>
      <c r="G6" s="56"/>
      <c r="H6" s="56"/>
      <c r="I6" s="56"/>
      <c r="J6" s="56"/>
      <c r="K6" s="56"/>
      <c r="L6" s="56"/>
      <c r="M6" s="56" t="s">
        <v>152</v>
      </c>
      <c r="N6" s="56"/>
      <c r="O6" s="56"/>
      <c r="P6" s="57"/>
      <c r="Q6" s="51" t="s">
        <v>83</v>
      </c>
      <c r="R6" s="51" t="s">
        <v>78</v>
      </c>
      <c r="S6" s="48"/>
      <c r="T6" s="60" t="s">
        <v>157</v>
      </c>
      <c r="U6" s="52" t="s">
        <v>156</v>
      </c>
      <c r="V6" s="53"/>
      <c r="W6" s="53"/>
      <c r="X6" s="53"/>
      <c r="Y6" s="54"/>
    </row>
    <row r="7" spans="1:25" x14ac:dyDescent="0.25">
      <c r="A7" s="2"/>
      <c r="B7" s="2" t="s">
        <v>25</v>
      </c>
      <c r="C7" s="2" t="s">
        <v>27</v>
      </c>
      <c r="D7" s="2" t="s">
        <v>56</v>
      </c>
      <c r="E7" s="51"/>
      <c r="F7" s="45" t="s">
        <v>77</v>
      </c>
      <c r="G7" s="43">
        <v>-1</v>
      </c>
      <c r="H7" s="43">
        <v>-3</v>
      </c>
      <c r="I7" s="43">
        <v>-6</v>
      </c>
      <c r="J7" s="43">
        <v>-12</v>
      </c>
      <c r="K7" s="43" t="s">
        <v>78</v>
      </c>
      <c r="L7" s="43" t="s">
        <v>115</v>
      </c>
      <c r="M7" s="43" t="s">
        <v>79</v>
      </c>
      <c r="N7" s="43" t="s">
        <v>80</v>
      </c>
      <c r="O7" s="43" t="s">
        <v>81</v>
      </c>
      <c r="P7" s="44" t="s">
        <v>82</v>
      </c>
      <c r="Q7" s="51"/>
      <c r="R7" s="51"/>
      <c r="S7" s="59"/>
      <c r="T7" s="51"/>
      <c r="U7" s="45" t="str">
        <f ca="1">B1&amp;"E"</f>
        <v>2022E</v>
      </c>
      <c r="V7" s="43" t="str">
        <f ca="1">$B$2&amp;"E"</f>
        <v>2023E</v>
      </c>
      <c r="W7" s="43" t="str">
        <f ca="1">$B$3&amp;"E"</f>
        <v>2024E</v>
      </c>
      <c r="X7" s="43" t="str">
        <f ca="1">$B$4&amp;"E"</f>
        <v>2025E</v>
      </c>
      <c r="Y7" s="44" t="str">
        <f ca="1">$B$5&amp;"E"</f>
        <v>2026E</v>
      </c>
    </row>
    <row r="8" spans="1:25" x14ac:dyDescent="0.25">
      <c r="B8" s="1" t="s">
        <v>201</v>
      </c>
      <c r="C8" s="1" t="s">
        <v>193</v>
      </c>
      <c r="D8" s="24" t="s">
        <v>205</v>
      </c>
      <c r="E8" s="40" t="s">
        <v>176</v>
      </c>
      <c r="F8" s="29">
        <f ca="1">_xll.IMDP("ECO",$B8,"현재가",$F$4,"fill=TRUE")</f>
        <v>2.5</v>
      </c>
      <c r="G8" s="29">
        <f ca="1">IF( _xll.IMDP( "ECO", $B8, "현재가", EOMONTH($F$4,G$7) ) ="", _xll.IMDP( "ECO", $B8, "현재가", WORKDAY( EOMONTH($F$4,G$7), -1) ), _xll.IMDP( "ECO", $B8, "현재가", EOMONTH($F$4,G$7) ) )</f>
        <v>2</v>
      </c>
      <c r="H8" s="29">
        <f ca="1">IF( _xll.IMDP( "ECO", $B8, "현재가", EOMONTH($F$4,H$7) ) ="", _xll.IMDP( "ECO", $B8, "현재가", WORKDAY( EOMONTH($F$4,H$7), -1) ), _xll.IMDP( "ECO", $B8, "현재가", EOMONTH($F$4,H$7) ) )</f>
        <v>1.25</v>
      </c>
      <c r="I8" s="29">
        <f ca="1">IF( _xll.IMDP( "ECO", $B8, "현재가", EOMONTH($F$4,I$7) ) ="", _xll.IMDP( "ECO", $B8, "현재가", WORKDAY( EOMONTH($F$4,I$7), -1) ), _xll.IMDP( "ECO", $B8, "현재가", EOMONTH($F$4,I$7) ) )</f>
        <v>0</v>
      </c>
      <c r="J8" s="30">
        <f ca="1">IF( _xll.IMDP( "ECO", $B8, "현재가", EOMONTH($F$4,J$7) ) ="", _xll.IMDP( "ECO", $B8, "현재가", WORKDAY( EOMONTH($F$4,J$7), -1) ), _xll.IMDP( "ECO", $B8, "현재가", EOMONTH($F$4,J$7) ) )</f>
        <v>0</v>
      </c>
      <c r="K8" s="31">
        <f ca="1">_xll.IMDP("ECO",$B8,"현재가",$F$4,"DISP=DATE")</f>
        <v>20221231</v>
      </c>
      <c r="L8" s="31"/>
      <c r="M8" s="50">
        <f ca="1">($F8-G8)*100</f>
        <v>50</v>
      </c>
      <c r="N8" s="50">
        <f t="shared" ref="N8:N48" ca="1" si="0">($F8-H8)*100</f>
        <v>125</v>
      </c>
      <c r="O8" s="50">
        <f t="shared" ref="O8:O48" ca="1" si="1">($F8-I8)*100</f>
        <v>250</v>
      </c>
      <c r="P8" s="50">
        <f t="shared" ref="P8:P48" ca="1" si="2">($F8-J8)*100</f>
        <v>250</v>
      </c>
      <c r="Q8" s="70">
        <f ca="1">_xll.IMDP("ECO",$C8,"현재가",$F$4, "fill=true")</f>
        <v>120.53</v>
      </c>
      <c r="R8" s="31">
        <f ca="1">_xll.IMDP("ECO",$C8,"현재가",$F$4,"fill=true, DISP=DATE")</f>
        <v>20221231</v>
      </c>
      <c r="S8" s="58">
        <f ca="1">DATE(LEFT(R8,4), MID(R8,5,2), RIGHT(R8,2))</f>
        <v>44926</v>
      </c>
      <c r="T8" s="33">
        <f ca="1">( $Q8/_xll.IMDP("ECO", $C8, "현재가", EOMONTH($S8, -12)) -1)*100</f>
        <v>9.2054000181208693</v>
      </c>
      <c r="U8" s="32">
        <f ca="1">IF(_xll.IMDP("ECO",$D8,"현재가",$D$1)="","",_xll.IMDP("ECO",$D8,"현재가",$D$1))</f>
        <v>4.516</v>
      </c>
      <c r="V8" s="32">
        <f ca="1">IF(_xll.IMDP("ECO",$D8,"현재가",$D$2)="","",_xll.IMDP("ECO",$D8,"현재가",$D$2))</f>
        <v>1.3089999999999999</v>
      </c>
      <c r="W8" s="32">
        <f ca="1">IF(_xll.IMDP("ECO",$D8,"현재가",$D$3)="","",_xll.IMDP("ECO",$D8,"현재가",$D$3))</f>
        <v>1.6180000000000001</v>
      </c>
      <c r="X8" s="32">
        <f ca="1">IF(_xll.IMDP("ECO",$D8,"현재가",$D$4)="","",_xll.IMDP("ECO",$D8,"현재가",$D$4))</f>
        <v>1.7829999999999999</v>
      </c>
      <c r="Y8" s="32">
        <f ca="1">IF(_xll.IMDP("ECO",$D8,"현재가",$D$5)="","",_xll.IMDP("ECO",$D8,"현재가",$D$5))</f>
        <v>1.873</v>
      </c>
    </row>
    <row r="9" spans="1:25" x14ac:dyDescent="0.25">
      <c r="B9" s="24" t="s">
        <v>172</v>
      </c>
      <c r="C9" s="24" t="s">
        <v>173</v>
      </c>
      <c r="D9" s="24" t="s">
        <v>174</v>
      </c>
      <c r="E9" s="40" t="s">
        <v>116</v>
      </c>
      <c r="F9" s="29">
        <f ca="1">_xll.IMDP("ECO",$B9,"현재가",$F$4,"fill=TRUE")</f>
        <v>7</v>
      </c>
      <c r="G9" s="29">
        <f ca="1">IF( _xll.IMDP( "ECO", $B9, "현재가", EOMONTH($F$4,G$7) ) ="", _xll.IMDP( "ECO", $B9, "현재가", WORKDAY( EOMONTH($F$4,G$7), -1) ), _xll.IMDP( "ECO", $B9, "현재가", EOMONTH($F$4,G$7) ) )</f>
        <v>7</v>
      </c>
      <c r="H9" s="29">
        <f ca="1">IF( _xll.IMDP( "ECO", $B9, "현재가", EOMONTH($F$4,H$7) ) ="", _xll.IMDP( "ECO", $B9, "현재가", WORKDAY( EOMONTH($F$4,H$7), -1) ), _xll.IMDP( "ECO", $B9, "현재가", EOMONTH($F$4,H$7) ) )</f>
        <v>6.25</v>
      </c>
      <c r="I9" s="29">
        <f ca="1">IF( _xll.IMDP( "ECO", $B9, "현재가", EOMONTH($F$4,I$7) ) ="", _xll.IMDP( "ECO", $B9, "현재가", WORKDAY( EOMONTH($F$4,I$7), -1) ), _xll.IMDP( "ECO", $B9, "현재가", EOMONTH($F$4,I$7) ) )</f>
        <v>4.75</v>
      </c>
      <c r="J9" s="30">
        <f ca="1">IF( _xll.IMDP( "ECO", $B9, "현재가", EOMONTH($F$4,J$7) ) ="", _xll.IMDP( "ECO", $B9, "현재가", WORKDAY( EOMONTH($F$4,J$7), -1) ), _xll.IMDP( "ECO", $B9, "현재가", EOMONTH($F$4,J$7) ) )</f>
        <v>3.75</v>
      </c>
      <c r="K9" s="31">
        <f ca="1">_xll.IMDP("ECO",$B9,"현재가",$F$4,"DISP=DATE")</f>
        <v>20221231</v>
      </c>
      <c r="L9" s="31"/>
      <c r="M9" s="50">
        <f ca="1">($F9-G9)*100</f>
        <v>0</v>
      </c>
      <c r="N9" s="50">
        <f t="shared" ref="N9:N10" ca="1" si="3">($F9-H9)*100</f>
        <v>75</v>
      </c>
      <c r="O9" s="50">
        <f t="shared" ref="O9:O10" ca="1" si="4">($F9-I9)*100</f>
        <v>225</v>
      </c>
      <c r="P9" s="50">
        <f t="shared" ref="P9:P10" ca="1" si="5">($F9-J9)*100</f>
        <v>325</v>
      </c>
      <c r="Q9" s="65">
        <f ca="1">_xll.IMDP("ECO",$C9,"현재가",$F$4, "fill=true")</f>
        <v>106.8</v>
      </c>
      <c r="R9" s="31">
        <f ca="1">_xll.IMDP("ECO",$C9,"현재가",$F$4,"fill=true, DISP=DATE")</f>
        <v>20221130</v>
      </c>
      <c r="S9" s="58">
        <f ca="1">DATE(LEFT(R9,4), MID(R9,5,2), RIGHT(R9,2))</f>
        <v>44895</v>
      </c>
      <c r="T9" s="33">
        <f ca="1">( $Q9/_xll.IMDP("ECO", $C9, "현재가", EOMONTH($S9, -12)) -1)*100</f>
        <v>7.444668008048283</v>
      </c>
      <c r="U9" s="32">
        <f ca="1">IF(_xll.IMDP("ECO",$D9,"현재가",$D$1)="","",_xll.IMDP("ECO",$D9,"현재가",$D$1))</f>
        <v>5.7320000000000002</v>
      </c>
      <c r="V9" s="32">
        <f ca="1">IF(_xll.IMDP("ECO",$D9,"현재가",$D$2)="","",_xll.IMDP("ECO",$D9,"현재가",$D$2))</f>
        <v>4.6470000000000002</v>
      </c>
      <c r="W9" s="32">
        <f ca="1">IF(_xll.IMDP("ECO",$D9,"현재가",$D$3)="","",_xll.IMDP("ECO",$D9,"현재가",$D$3))</f>
        <v>4.5</v>
      </c>
      <c r="X9" s="32">
        <f ca="1">IF(_xll.IMDP("ECO",$D9,"현재가",$D$4)="","",_xll.IMDP("ECO",$D9,"현재가",$D$4))</f>
        <v>4.5</v>
      </c>
      <c r="Y9" s="32">
        <f ca="1">IF(_xll.IMDP("ECO",$D9,"현재가",$D$5)="","",_xll.IMDP("ECO",$D9,"현재가",$D$5))</f>
        <v>4.5</v>
      </c>
    </row>
    <row r="10" spans="1:25" x14ac:dyDescent="0.25">
      <c r="B10" s="24" t="s">
        <v>201</v>
      </c>
      <c r="C10" s="24" t="s">
        <v>194</v>
      </c>
      <c r="D10" s="24" t="s">
        <v>206</v>
      </c>
      <c r="E10" s="40" t="s">
        <v>178</v>
      </c>
      <c r="F10" s="29">
        <f ca="1">_xll.IMDP("ECO",$B10,"현재가",$F$4,"fill=TRUE")</f>
        <v>2.5</v>
      </c>
      <c r="G10" s="29">
        <f ca="1">IF( _xll.IMDP( "ECO", $B10, "현재가", EOMONTH($F$4,G$7) ) ="", _xll.IMDP( "ECO", $B10, "현재가", WORKDAY( EOMONTH($F$4,G$7), -1) ), _xll.IMDP( "ECO", $B10, "현재가", EOMONTH($F$4,G$7) ) )</f>
        <v>2</v>
      </c>
      <c r="H10" s="29">
        <f ca="1">IF( _xll.IMDP( "ECO", $B10, "현재가", EOMONTH($F$4,H$7) ) ="", _xll.IMDP( "ECO", $B10, "현재가", WORKDAY( EOMONTH($F$4,H$7), -1) ), _xll.IMDP( "ECO", $B10, "현재가", EOMONTH($F$4,H$7) ) )</f>
        <v>1.25</v>
      </c>
      <c r="I10" s="29">
        <f ca="1">IF( _xll.IMDP( "ECO", $B10, "현재가", EOMONTH($F$4,I$7) ) ="", _xll.IMDP( "ECO", $B10, "현재가", WORKDAY( EOMONTH($F$4,I$7), -1) ), _xll.IMDP( "ECO", $B10, "현재가", EOMONTH($F$4,I$7) ) )</f>
        <v>0</v>
      </c>
      <c r="J10" s="30">
        <f ca="1">IF( _xll.IMDP( "ECO", $B10, "현재가", EOMONTH($F$4,J$7) ) ="", _xll.IMDP( "ECO", $B10, "현재가", WORKDAY( EOMONTH($F$4,J$7), -1) ), _xll.IMDP( "ECO", $B10, "현재가", EOMONTH($F$4,J$7) ) )</f>
        <v>0</v>
      </c>
      <c r="K10" s="31">
        <f ca="1">_xll.IMDP("ECO",$B10,"현재가",$F$4,"DISP=DATE")</f>
        <v>20221231</v>
      </c>
      <c r="L10" s="31"/>
      <c r="M10" s="50">
        <f ca="1">($F10-G10)*100</f>
        <v>50</v>
      </c>
      <c r="N10" s="50">
        <f t="shared" ca="1" si="3"/>
        <v>125</v>
      </c>
      <c r="O10" s="50">
        <f t="shared" ca="1" si="4"/>
        <v>250</v>
      </c>
      <c r="P10" s="50">
        <f t="shared" ca="1" si="5"/>
        <v>250</v>
      </c>
      <c r="Q10" s="69">
        <f ca="1">_xll.IMDP("ECO",$C10,"현재가",$F$4, "fill=true")</f>
        <v>124.94</v>
      </c>
      <c r="R10" s="31">
        <f ca="1">_xll.IMDP("ECO",$C10,"현재가",$F$4,"fill=true, DISP=DATE")</f>
        <v>20221231</v>
      </c>
      <c r="S10" s="58">
        <f ca="1">DATE(LEFT(R10,4), MID(R10,5,2), RIGHT(R10,2))</f>
        <v>44926</v>
      </c>
      <c r="T10" s="33">
        <f ca="1">( $Q10/_xll.IMDP("ECO", $C10, "현재가", EOMONTH($S10, -12)) -1)*100</f>
        <v>9.5868783440049121</v>
      </c>
      <c r="U10" s="32">
        <f ca="1">IF(_xll.IMDP("ECO",$D10,"현재가",$D$1)="","",_xll.IMDP("ECO",$D10,"현재가",$D$1))</f>
        <v>5.1779999999999999</v>
      </c>
      <c r="V10" s="32">
        <f ca="1">IF(_xll.IMDP("ECO",$D10,"현재가",$D$2)="","",_xll.IMDP("ECO",$D10,"현재가",$D$2))</f>
        <v>2.2869999999999999</v>
      </c>
      <c r="W10" s="32">
        <f ca="1">IF(_xll.IMDP("ECO",$D10,"현재가",$D$3)="","",_xll.IMDP("ECO",$D10,"현재가",$D$3))</f>
        <v>1.9</v>
      </c>
      <c r="X10" s="32">
        <f ca="1">IF(_xll.IMDP("ECO",$D10,"현재가",$D$4)="","",_xll.IMDP("ECO",$D10,"현재가",$D$4))</f>
        <v>1.9</v>
      </c>
      <c r="Y10" s="32">
        <f ca="1">IF(_xll.IMDP("ECO",$D10,"현재가",$D$5)="","",_xll.IMDP("ECO",$D10,"현재가",$D$5))</f>
        <v>2</v>
      </c>
    </row>
    <row r="11" spans="1:25" x14ac:dyDescent="0.25">
      <c r="B11" s="1" t="s">
        <v>15</v>
      </c>
      <c r="C11" s="1" t="s">
        <v>29</v>
      </c>
      <c r="D11" s="1" t="s">
        <v>158</v>
      </c>
      <c r="E11" s="41" t="s">
        <v>84</v>
      </c>
      <c r="F11" s="25">
        <f ca="1">_xll.IMDP("ECO",$B11,"현재가",$F$4,"fill=TRUE")</f>
        <v>2.75</v>
      </c>
      <c r="G11" s="25">
        <f ca="1">IF( _xll.IMDP( "ECO", $B11, "현재가", EOMONTH($F$4,G$7) ) ="", _xll.IMDP( "ECO", $B11, "현재가", WORKDAY( EOMONTH($F$4,G$7), -1) ), _xll.IMDP( "ECO", $B11, "현재가", EOMONTH($F$4,G$7) ) )</f>
        <v>2.5</v>
      </c>
      <c r="H11" s="25">
        <f ca="1">IF( _xll.IMDP( "ECO", $B11, "현재가", EOMONTH($F$4,H$7) ) ="", _xll.IMDP( "ECO", $B11, "현재가", WORKDAY( EOMONTH($F$4,H$7), -1) ), _xll.IMDP( "ECO", $B11, "현재가", EOMONTH($F$4,H$7) ) )</f>
        <v>2.25</v>
      </c>
      <c r="I11" s="25">
        <f ca="1">IF( _xll.IMDP( "ECO", $B11, "현재가", EOMONTH($F$4,I$7) ) ="", _xll.IMDP( "ECO", $B11, "현재가", WORKDAY( EOMONTH($F$4,I$7), -1) ), _xll.IMDP( "ECO", $B11, "현재가", EOMONTH($F$4,I$7) ) )</f>
        <v>1.25</v>
      </c>
      <c r="J11" s="26">
        <f ca="1">IF( _xll.IMDP( "ECO", $B11, "현재가", EOMONTH($F$4,J$7) ) ="", _xll.IMDP( "ECO", $B11, "현재가", WORKDAY( EOMONTH($F$4,J$7), -1) ), _xll.IMDP( "ECO", $B11, "현재가", EOMONTH($F$4,J$7) ) )</f>
        <v>0.5</v>
      </c>
      <c r="K11" s="27">
        <f ca="1">_xll.IMDP("ECO",$B11,"현재가",$F$4,"DISP=DATE")</f>
        <v>20221230</v>
      </c>
      <c r="L11" s="27"/>
      <c r="M11" s="50">
        <f t="shared" ref="M11:M48" ca="1" si="6">($F11-G11)*100</f>
        <v>25</v>
      </c>
      <c r="N11" s="50">
        <f t="shared" ca="1" si="0"/>
        <v>50</v>
      </c>
      <c r="O11" s="50">
        <f t="shared" ca="1" si="1"/>
        <v>150</v>
      </c>
      <c r="P11" s="50">
        <f t="shared" ca="1" si="2"/>
        <v>225</v>
      </c>
      <c r="Q11" s="62">
        <f ca="1">_xll.IMDP("ECO",$C11,"현재가",$F$4, "fill=true")</f>
        <v>125.9</v>
      </c>
      <c r="R11" s="27">
        <f ca="1">_xll.IMDP("ECO",$C11,"현재가",$F$4,"fill=true, DISP=DATE")</f>
        <v>20221231</v>
      </c>
      <c r="S11" s="58">
        <f t="shared" ref="S11:S48" ca="1" si="7">DATE(LEFT(R11,4), MID(R11,5,2), RIGHT(R11,2))</f>
        <v>44926</v>
      </c>
      <c r="T11" s="34">
        <f ca="1">( $Q11/_xll.IMDP("ECO", $C11, "현재가", EOMONTH($S11, -12)) -1)*100</f>
        <v>5.887300252312877</v>
      </c>
      <c r="U11" s="28">
        <f ca="1">IF(_xll.IMDP("ECO",$D11,"현재가",$D$1)="","",_xll.IMDP("ECO",$D11,"현재가",$D$1))</f>
        <v>3.5</v>
      </c>
      <c r="V11" s="28">
        <f ca="1">IF(_xll.IMDP("ECO",$D11,"현재가",$D$2)="","",_xll.IMDP("ECO",$D11,"현재가",$D$2))</f>
        <v>1.8</v>
      </c>
      <c r="W11" s="28">
        <f ca="1">IF(_xll.IMDP("ECO",$D11,"현재가",$D$3)="","",_xll.IMDP("ECO",$D11,"현재가",$D$3))</f>
        <v>2.1</v>
      </c>
      <c r="X11" s="28">
        <f ca="1">IF(_xll.IMDP("ECO",$D11,"현재가",$D$4)="","",_xll.IMDP("ECO",$D11,"현재가",$D$4))</f>
        <v>2</v>
      </c>
      <c r="Y11" s="28">
        <f ca="1">IF(_xll.IMDP("ECO",$D11,"현재가",$D$5)="","",_xll.IMDP("ECO",$D11,"현재가",$D$5))</f>
        <v>2</v>
      </c>
    </row>
    <row r="12" spans="1:25" x14ac:dyDescent="0.25">
      <c r="B12" s="1" t="s">
        <v>23</v>
      </c>
      <c r="C12" s="1" t="s">
        <v>30</v>
      </c>
      <c r="D12" s="1" t="s">
        <v>159</v>
      </c>
      <c r="E12" s="41" t="s">
        <v>85</v>
      </c>
      <c r="F12" s="25">
        <f ca="1">_xll.IMDP("ECO",$B12,"현재가",$F$4,"fill=TRUE")</f>
        <v>4.25</v>
      </c>
      <c r="G12" s="25">
        <f ca="1">IF( _xll.IMDP( "ECO", $B12, "현재가", EOMONTH($F$4,G$7) ) ="", _xll.IMDP( "ECO", $B12, "현재가", WORKDAY( EOMONTH($F$4,G$7), -1) ), _xll.IMDP( "ECO", $B12, "현재가", EOMONTH($F$4,G$7) ) )</f>
        <v>4.25</v>
      </c>
      <c r="H12" s="25">
        <f ca="1">IF( _xll.IMDP( "ECO", $B12, "현재가", EOMONTH($F$4,H$7) ) ="", _xll.IMDP( "ECO", $B12, "현재가", WORKDAY( EOMONTH($F$4,H$7), -1) ), _xll.IMDP( "ECO", $B12, "현재가", EOMONTH($F$4,H$7) ) )</f>
        <v>3</v>
      </c>
      <c r="I12" s="25">
        <f ca="1">IF( _xll.IMDP( "ECO", $B12, "현재가", EOMONTH($F$4,I$7) ) ="", _xll.IMDP( "ECO", $B12, "현재가", WORKDAY( EOMONTH($F$4,I$7), -1) ), _xll.IMDP( "ECO", $B12, "현재가", EOMONTH($F$4,I$7) ) )</f>
        <v>2</v>
      </c>
      <c r="J12" s="26">
        <f ca="1">IF( _xll.IMDP( "ECO", $B12, "현재가", EOMONTH($F$4,J$7) ) ="", _xll.IMDP( "ECO", $B12, "현재가", WORKDAY( EOMONTH($F$4,J$7), -1) ), _xll.IMDP( "ECO", $B12, "현재가", EOMONTH($F$4,J$7) ) )</f>
        <v>0.75</v>
      </c>
      <c r="K12" s="27">
        <f ca="1">_xll.IMDP("ECO",$B12,"현재가",$F$4,"DISP=DATE")</f>
        <v>20221230</v>
      </c>
      <c r="L12" s="27"/>
      <c r="M12" s="50">
        <f t="shared" ca="1" si="6"/>
        <v>0</v>
      </c>
      <c r="N12" s="50">
        <f t="shared" ca="1" si="0"/>
        <v>125</v>
      </c>
      <c r="O12" s="50">
        <f t="shared" ca="1" si="1"/>
        <v>225</v>
      </c>
      <c r="P12" s="50">
        <f t="shared" ca="1" si="2"/>
        <v>350</v>
      </c>
      <c r="Q12" s="61">
        <f ca="1">_xll.IMDP("ECO",$C12,"현재가",$F$4, "fill=true")</f>
        <v>1177</v>
      </c>
      <c r="R12" s="27">
        <f ca="1">_xll.IMDP("ECO",$C12,"현재가",$F$4,"fill=true, DISP=DATE")</f>
        <v>20220930</v>
      </c>
      <c r="S12" s="58">
        <f t="shared" ca="1" si="7"/>
        <v>44834</v>
      </c>
      <c r="T12" s="34">
        <f ca="1">( $Q12/_xll.IMDP("ECO", $C12, "현재가", EOMONTH($S12, -12)) -1)*100</f>
        <v>7.7838827838827784</v>
      </c>
      <c r="U12" s="28">
        <f ca="1">IF(_xll.IMDP("ECO",$D12,"현재가",$D$1)="","",_xll.IMDP("ECO",$D12,"현재가",$D$1))</f>
        <v>5.9009999999999998</v>
      </c>
      <c r="V12" s="28">
        <f ca="1">IF(_xll.IMDP("ECO",$D12,"현재가",$D$2)="","",_xll.IMDP("ECO",$D12,"현재가",$D$2))</f>
        <v>3.488</v>
      </c>
      <c r="W12" s="28">
        <f ca="1">IF(_xll.IMDP("ECO",$D12,"현재가",$D$3)="","",_xll.IMDP("ECO",$D12,"현재가",$D$3))</f>
        <v>2.4209999999999998</v>
      </c>
      <c r="X12" s="28">
        <f ca="1">IF(_xll.IMDP("ECO",$D12,"현재가",$D$4)="","",_xll.IMDP("ECO",$D12,"현재가",$D$4))</f>
        <v>2.1920000000000002</v>
      </c>
      <c r="Y12" s="28">
        <f ca="1">IF(_xll.IMDP("ECO",$D12,"현재가",$D$5)="","",_xll.IMDP("ECO",$D12,"현재가",$D$5))</f>
        <v>2.129</v>
      </c>
    </row>
    <row r="13" spans="1:25" x14ac:dyDescent="0.25">
      <c r="B13" s="1" t="s">
        <v>20</v>
      </c>
      <c r="C13" s="1" t="s">
        <v>31</v>
      </c>
      <c r="D13" s="1" t="s">
        <v>160</v>
      </c>
      <c r="E13" s="41" t="s">
        <v>86</v>
      </c>
      <c r="F13" s="25">
        <f ca="1">_xll.IMDP("ECO",$B13,"현재가",$F$4,"fill=TRUE")</f>
        <v>1.75</v>
      </c>
      <c r="G13" s="25">
        <f ca="1">IF( _xll.IMDP( "ECO", $B13, "현재가", EOMONTH($F$4,G$7) ) ="", _xll.IMDP( "ECO", $B13, "현재가", WORKDAY( EOMONTH($F$4,G$7), -1) ), _xll.IMDP( "ECO", $B13, "현재가", EOMONTH($F$4,G$7) ) )</f>
        <v>1.625</v>
      </c>
      <c r="H13" s="25">
        <f ca="1">IF( _xll.IMDP( "ECO", $B13, "현재가", EOMONTH($F$4,H$7) ) ="", _xll.IMDP( "ECO", $B13, "현재가", WORKDAY( EOMONTH($F$4,H$7), -1) ), _xll.IMDP( "ECO", $B13, "현재가", EOMONTH($F$4,H$7) ) )</f>
        <v>1.625</v>
      </c>
      <c r="I13" s="25">
        <f ca="1">IF( _xll.IMDP( "ECO", $B13, "현재가", EOMONTH($F$4,I$7) ) ="", _xll.IMDP( "ECO", $B13, "현재가", WORKDAY( EOMONTH($F$4,I$7), -1) ), _xll.IMDP( "ECO", $B13, "현재가", EOMONTH($F$4,I$7) ) )</f>
        <v>1.5</v>
      </c>
      <c r="J13" s="26">
        <f ca="1">IF( _xll.IMDP( "ECO", $B13, "현재가", EOMONTH($F$4,J$7) ) ="", _xll.IMDP( "ECO", $B13, "현재가", WORKDAY( EOMONTH($F$4,J$7), -1) ), _xll.IMDP( "ECO", $B13, "현재가", EOMONTH($F$4,J$7) ) )</f>
        <v>1.125</v>
      </c>
      <c r="K13" s="27">
        <f ca="1">_xll.IMDP("ECO",$B13,"현재가",$F$4,"DISP=DATE")</f>
        <v>20221231</v>
      </c>
      <c r="L13" s="27"/>
      <c r="M13" s="50">
        <f t="shared" ca="1" si="6"/>
        <v>12.5</v>
      </c>
      <c r="N13" s="50">
        <f t="shared" ca="1" si="0"/>
        <v>12.5</v>
      </c>
      <c r="O13" s="50">
        <f t="shared" ca="1" si="1"/>
        <v>25</v>
      </c>
      <c r="P13" s="50">
        <f t="shared" ca="1" si="2"/>
        <v>62.5</v>
      </c>
      <c r="Q13" s="63">
        <f ca="1">_xll.IMDP("ECO",$C13,"현재가",$F$4, "fill=true")</f>
        <v>108.27</v>
      </c>
      <c r="R13" s="27">
        <f ca="1">_xll.IMDP("ECO",$C13,"현재가",$F$4,"fill=true, DISP=DATE")</f>
        <v>20221231</v>
      </c>
      <c r="S13" s="58">
        <f t="shared" ca="1" si="7"/>
        <v>44926</v>
      </c>
      <c r="T13" s="34">
        <f ca="1">( $Q13/_xll.IMDP("ECO", $C13, "현재가", EOMONTH($S13, -12)) -1)*100</f>
        <v>2.7132150649843423</v>
      </c>
      <c r="U13" s="28">
        <f ca="1">IF(_xll.IMDP("ECO",$D13,"현재가",$D$1)="","",_xll.IMDP("ECO",$D13,"현재가",$D$1))</f>
        <v>2.2999999999999998</v>
      </c>
      <c r="V13" s="28">
        <f ca="1">IF(_xll.IMDP("ECO",$D13,"현재가",$D$2)="","",_xll.IMDP("ECO",$D13,"현재가",$D$2))</f>
        <v>2.2000000000000002</v>
      </c>
      <c r="W13" s="28">
        <f ca="1">IF(_xll.IMDP("ECO",$D13,"현재가",$D$3)="","",_xll.IMDP("ECO",$D13,"현재가",$D$3))</f>
        <v>1.4370000000000001</v>
      </c>
      <c r="X13" s="28">
        <f ca="1">IF(_xll.IMDP("ECO",$D13,"현재가",$D$4)="","",_xll.IMDP("ECO",$D13,"현재가",$D$4))</f>
        <v>1.4370000000000001</v>
      </c>
      <c r="Y13" s="28">
        <f ca="1">IF(_xll.IMDP("ECO",$D13,"현재가",$D$5)="","",_xll.IMDP("ECO",$D13,"현재가",$D$5))</f>
        <v>1.4370000000000001</v>
      </c>
    </row>
    <row r="14" spans="1:25" x14ac:dyDescent="0.25">
      <c r="B14" s="1" t="s">
        <v>14</v>
      </c>
      <c r="C14" s="1" t="s">
        <v>32</v>
      </c>
      <c r="D14" s="1" t="s">
        <v>161</v>
      </c>
      <c r="E14" s="41" t="s">
        <v>87</v>
      </c>
      <c r="F14" s="25">
        <f ca="1">_xll.IMDP("ECO",$B14,"현재가",$F$4,"fill=TRUE")</f>
        <v>1.9</v>
      </c>
      <c r="G14" s="25">
        <f ca="1">IF( _xll.IMDP( "ECO", $B14, "현재가", EOMONTH($F$4,G$7) ) ="", _xll.IMDP( "ECO", $B14, "현재가", WORKDAY( EOMONTH($F$4,G$7), -1) ), _xll.IMDP( "ECO", $B14, "현재가", EOMONTH($F$4,G$7) ) )</f>
        <v>1.4</v>
      </c>
      <c r="H14" s="25">
        <f ca="1">IF( _xll.IMDP( "ECO", $B14, "현재가", EOMONTH($F$4,H$7) ) ="", _xll.IMDP( "ECO", $B14, "현재가", WORKDAY( EOMONTH($F$4,H$7), -1) ), _xll.IMDP( "ECO", $B14, "현재가", EOMONTH($F$4,H$7) ) )</f>
        <v>0.8</v>
      </c>
      <c r="I14" s="25">
        <f ca="1">IF( _xll.IMDP( "ECO", $B14, "현재가", EOMONTH($F$4,I$7) ) ="", _xll.IMDP( "ECO", $B14, "현재가", WORKDAY( EOMONTH($F$4,I$7), -1) ), _xll.IMDP( "ECO", $B14, "현재가", EOMONTH($F$4,I$7) ) )</f>
        <v>0.05</v>
      </c>
      <c r="J14" s="26">
        <f ca="1">IF( _xll.IMDP( "ECO", $B14, "현재가", EOMONTH($F$4,J$7) ) ="", _xll.IMDP( "ECO", $B14, "현재가", WORKDAY( EOMONTH($F$4,J$7), -1) ), _xll.IMDP( "ECO", $B14, "현재가", EOMONTH($F$4,J$7) ) )</f>
        <v>0.05</v>
      </c>
      <c r="K14" s="27">
        <f ca="1">_xll.IMDP("ECO",$B14,"현재가",$F$4,"DISP=DATE")</f>
        <v>20221231</v>
      </c>
      <c r="L14" s="27"/>
      <c r="M14" s="50">
        <f t="shared" ca="1" si="6"/>
        <v>50</v>
      </c>
      <c r="N14" s="50">
        <f t="shared" ca="1" si="0"/>
        <v>109.99999999999999</v>
      </c>
      <c r="O14" s="50">
        <f t="shared" ca="1" si="1"/>
        <v>185</v>
      </c>
      <c r="P14" s="50">
        <f t="shared" ca="1" si="2"/>
        <v>185</v>
      </c>
      <c r="Q14" s="62">
        <f ca="1">_xll.IMDP("ECO",$C14,"현재가",$F$4, "fill=true")</f>
        <v>115.9</v>
      </c>
      <c r="R14" s="27">
        <f ca="1">_xll.IMDP("ECO",$C14,"현재가",$F$4,"fill=true, DISP=DATE")</f>
        <v>20221231</v>
      </c>
      <c r="S14" s="58">
        <f t="shared" ca="1" si="7"/>
        <v>44926</v>
      </c>
      <c r="T14" s="34">
        <f ca="1">( $Q14/_xll.IMDP("ECO", $C14, "현재가", EOMONTH($S14, -12)) -1)*100</f>
        <v>8.724202626641663</v>
      </c>
      <c r="U14" s="28">
        <f ca="1">IF(_xll.IMDP("ECO",$D14,"현재가",$D$1)="","",_xll.IMDP("ECO",$D14,"현재가",$D$1))</f>
        <v>3.8</v>
      </c>
      <c r="V14" s="28">
        <f ca="1">IF(_xll.IMDP("ECO",$D14,"현재가",$D$2)="","",_xll.IMDP("ECO",$D14,"현재가",$D$2))</f>
        <v>2.1</v>
      </c>
      <c r="W14" s="28">
        <f ca="1">IF(_xll.IMDP("ECO",$D14,"현재가",$D$3)="","",_xll.IMDP("ECO",$D14,"현재가",$D$3))</f>
        <v>2</v>
      </c>
      <c r="X14" s="28">
        <f ca="1">IF(_xll.IMDP("ECO",$D14,"현재가",$D$4)="","",_xll.IMDP("ECO",$D14,"현재가",$D$4))</f>
        <v>2</v>
      </c>
      <c r="Y14" s="28">
        <f ca="1">IF(_xll.IMDP("ECO",$D14,"현재가",$D$5)="","",_xll.IMDP("ECO",$D14,"현재가",$D$5))</f>
        <v>2</v>
      </c>
    </row>
    <row r="15" spans="1:25" x14ac:dyDescent="0.25">
      <c r="B15" s="1" t="s">
        <v>6</v>
      </c>
      <c r="C15" s="1" t="s">
        <v>153</v>
      </c>
      <c r="D15" s="21" t="s">
        <v>74</v>
      </c>
      <c r="E15" s="41" t="s">
        <v>88</v>
      </c>
      <c r="F15" s="25">
        <f ca="1">_xll.IMDP("ECO",$B15,"현재가",$F$4,"fill=TRUE")</f>
        <v>2.5</v>
      </c>
      <c r="G15" s="25">
        <f ca="1">IF( _xll.IMDP( "ECO", $B15, "현재가", EOMONTH($F$4,G$7) ) ="", _xll.IMDP( "ECO", $B15, "현재가", WORKDAY( EOMONTH($F$4,G$7), -1) ), _xll.IMDP( "ECO", $B15, "현재가", EOMONTH($F$4,G$7) ) )</f>
        <v>2</v>
      </c>
      <c r="H15" s="25">
        <f ca="1">IF( _xll.IMDP( "ECO", $B15, "현재가", EOMONTH($F$4,H$7) ) ="", _xll.IMDP( "ECO", $B15, "현재가", WORKDAY( EOMONTH($F$4,H$7), -1) ), _xll.IMDP( "ECO", $B15, "현재가", EOMONTH($F$4,H$7) ) )</f>
        <v>1.25</v>
      </c>
      <c r="I15" s="25">
        <f ca="1">IF( _xll.IMDP( "ECO", $B15, "현재가", EOMONTH($F$4,I$7) ) ="", _xll.IMDP( "ECO", $B15, "현재가", WORKDAY( EOMONTH($F$4,I$7), -1) ), _xll.IMDP( "ECO", $B15, "현재가", EOMONTH($F$4,I$7) ) )</f>
        <v>0</v>
      </c>
      <c r="J15" s="26">
        <f ca="1">IF( _xll.IMDP( "ECO", $B15, "현재가", EOMONTH($F$4,J$7) ) ="", _xll.IMDP( "ECO", $B15, "현재가", WORKDAY( EOMONTH($F$4,J$7), -1) ), _xll.IMDP( "ECO", $B15, "현재가", EOMONTH($F$4,J$7) ) )</f>
        <v>0</v>
      </c>
      <c r="K15" s="27">
        <f ca="1">_xll.IMDP("ECO",$B15,"현재가",$F$4,"DISP=DATE")</f>
        <v>20221231</v>
      </c>
      <c r="L15" s="27"/>
      <c r="M15" s="50">
        <f t="shared" ca="1" si="6"/>
        <v>50</v>
      </c>
      <c r="N15" s="50">
        <f t="shared" ca="1" si="0"/>
        <v>125</v>
      </c>
      <c r="O15" s="50">
        <f t="shared" ca="1" si="1"/>
        <v>250</v>
      </c>
      <c r="P15" s="50">
        <f t="shared" ca="1" si="2"/>
        <v>250</v>
      </c>
      <c r="Q15" s="67">
        <f ca="1">_xll.IMDP("ECO",$C15,"현재가",$F$4, "fill=true")</f>
        <v>121.98480000000001</v>
      </c>
      <c r="R15" s="27">
        <f ca="1">_xll.IMDP("ECO",$C15,"현재가",$F$4,"fill=true, DISP=DATE")</f>
        <v>20221231</v>
      </c>
      <c r="S15" s="58">
        <f t="shared" ca="1" si="7"/>
        <v>44926</v>
      </c>
      <c r="T15" s="34">
        <f ca="1">( $Q15/_xll.IMDP("ECO", $C15, "현재가", EOMONTH($S15, -12)) -1)*100</f>
        <v>9.6000000000000085</v>
      </c>
      <c r="U15" s="28">
        <f ca="1">IF(_xll.IMDP("ECO",$D15,"현재가",$D$1)="","",_xll.IMDP("ECO",$D15,"현재가",$D$1))</f>
        <v>5.4640000000000004</v>
      </c>
      <c r="V15" s="28">
        <f ca="1">IF(_xll.IMDP("ECO",$D15,"현재가",$D$2)="","",_xll.IMDP("ECO",$D15,"현재가",$D$2))</f>
        <v>2.9</v>
      </c>
      <c r="W15" s="28">
        <f ca="1">IF(_xll.IMDP("ECO",$D15,"현재가",$D$3)="","",_xll.IMDP("ECO",$D15,"현재가",$D$3))</f>
        <v>1.8340000000000001</v>
      </c>
      <c r="X15" s="28">
        <f ca="1">IF(_xll.IMDP("ECO",$D15,"현재가",$D$4)="","",_xll.IMDP("ECO",$D15,"현재가",$D$4))</f>
        <v>1.831</v>
      </c>
      <c r="Y15" s="28">
        <f ca="1">IF(_xll.IMDP("ECO",$D15,"현재가",$D$5)="","",_xll.IMDP("ECO",$D15,"현재가",$D$5))</f>
        <v>1.8959999999999999</v>
      </c>
    </row>
    <row r="16" spans="1:25" x14ac:dyDescent="0.25">
      <c r="B16" s="24" t="s">
        <v>149</v>
      </c>
      <c r="C16" s="24" t="s">
        <v>33</v>
      </c>
      <c r="D16" s="24" t="s">
        <v>66</v>
      </c>
      <c r="E16" s="41" t="s">
        <v>89</v>
      </c>
      <c r="F16" s="25">
        <f ca="1">_xll.IMDP("ECO",$B16,"현재가",$F$4,"fill=TRUE")</f>
        <v>7.5</v>
      </c>
      <c r="G16" s="25">
        <f ca="1">IF( _xll.IMDP( "ECO", $B16, "현재가", EOMONTH($F$4,G$7) ) ="", _xll.IMDP( "ECO", $B16, "현재가", WORKDAY( EOMONTH($F$4,G$7), -1) ), _xll.IMDP( "ECO", $B16, "현재가", EOMONTH($F$4,G$7) ) )</f>
        <v>7.5</v>
      </c>
      <c r="H16" s="25">
        <f ca="1">IF( _xll.IMDP( "ECO", $B16, "현재가", EOMONTH($F$4,H$7) ) ="", _xll.IMDP( "ECO", $B16, "현재가", WORKDAY( EOMONTH($F$4,H$7), -1) ), _xll.IMDP( "ECO", $B16, "현재가", EOMONTH($F$4,H$7) ) )</f>
        <v>7.5</v>
      </c>
      <c r="I16" s="25">
        <f ca="1">IF( _xll.IMDP( "ECO", $B16, "현재가", EOMONTH($F$4,I$7) ) ="", _xll.IMDP( "ECO", $B16, "현재가", WORKDAY( EOMONTH($F$4,I$7), -1) ), _xll.IMDP( "ECO", $B16, "현재가", EOMONTH($F$4,I$7) ) )</f>
        <v>9.5</v>
      </c>
      <c r="J16" s="26">
        <f ca="1">IF( _xll.IMDP( "ECO", $B16, "현재가", EOMONTH($F$4,J$7) ) ="", _xll.IMDP( "ECO", $B16, "현재가", WORKDAY( EOMONTH($F$4,J$7), -1) ), _xll.IMDP( "ECO", $B16, "현재가", EOMONTH($F$4,J$7) ) )</f>
        <v>8.5</v>
      </c>
      <c r="K16" s="27">
        <f ca="1">_xll.IMDP("ECO",$B16,"현재가",$F$4,"DISP=DATE")</f>
        <v>20221231</v>
      </c>
      <c r="L16" s="27"/>
      <c r="M16" s="50">
        <f t="shared" ca="1" si="6"/>
        <v>0</v>
      </c>
      <c r="N16" s="50">
        <f t="shared" ca="1" si="0"/>
        <v>0</v>
      </c>
      <c r="O16" s="50">
        <f t="shared" ca="1" si="1"/>
        <v>-200</v>
      </c>
      <c r="P16" s="50">
        <f t="shared" ca="1" si="2"/>
        <v>-100</v>
      </c>
      <c r="Q16" s="63">
        <f ca="1">_xll.IMDP("ECO",$C16,"현재가",$F$4, "fill=true")</f>
        <v>230.11</v>
      </c>
      <c r="R16" s="27">
        <f ca="1">_xll.IMDP("ECO",$C16,"현재가",$F$4,"fill=true, DISP=DATE")</f>
        <v>20221130</v>
      </c>
      <c r="S16" s="58">
        <f t="shared" ca="1" si="7"/>
        <v>44895</v>
      </c>
      <c r="T16" s="34">
        <f ca="1">( $Q16/_xll.IMDP("ECO", $C16, "현재가", EOMONTH($S16, -12)) -1)*100</f>
        <v>11.981118302593806</v>
      </c>
      <c r="U16" s="28">
        <f ca="1">IF(_xll.IMDP("ECO",$D16,"현재가",$D$1)="","",_xll.IMDP("ECO",$D16,"현재가",$D$1))</f>
        <v>21.324000000000002</v>
      </c>
      <c r="V16" s="28">
        <f ca="1">IF(_xll.IMDP("ECO",$D16,"현재가",$D$2)="","",_xll.IMDP("ECO",$D16,"현재가",$D$2))</f>
        <v>14.268000000000001</v>
      </c>
      <c r="W16" s="28">
        <f ca="1">IF(_xll.IMDP("ECO",$D16,"현재가",$D$3)="","",_xll.IMDP("ECO",$D16,"현재가",$D$3))</f>
        <v>9</v>
      </c>
      <c r="X16" s="28">
        <f ca="1">IF(_xll.IMDP("ECO",$D16,"현재가",$D$4)="","",_xll.IMDP("ECO",$D16,"현재가",$D$4))</f>
        <v>6</v>
      </c>
      <c r="Y16" s="28">
        <f ca="1">IF(_xll.IMDP("ECO",$D16,"현재가",$D$5)="","",_xll.IMDP("ECO",$D16,"현재가",$D$5))</f>
        <v>4</v>
      </c>
    </row>
    <row r="17" spans="2:25" x14ac:dyDescent="0.25">
      <c r="B17" s="24" t="s">
        <v>202</v>
      </c>
      <c r="C17" s="24" t="s">
        <v>195</v>
      </c>
      <c r="D17" s="24" t="s">
        <v>207</v>
      </c>
      <c r="E17" s="41" t="s">
        <v>180</v>
      </c>
      <c r="F17" s="25">
        <f ca="1">_xll.IMDP("ECO",$B17,"현재가",$F$4,"fill=TRUE")</f>
        <v>2.75</v>
      </c>
      <c r="G17" s="25">
        <f ca="1">IF( _xll.IMDP( "ECO", $B17, "현재가", EOMONTH($F$4,G$7) ) ="", _xll.IMDP( "ECO", $B17, "현재가", WORKDAY( EOMONTH($F$4,G$7), -1) ), _xll.IMDP( "ECO", $B17, "현재가", EOMONTH($F$4,G$7) ) )</f>
        <v>2.75</v>
      </c>
      <c r="H17" s="25">
        <f ca="1">IF( _xll.IMDP( "ECO", $B17, "현재가", EOMONTH($F$4,H$7) ) ="", _xll.IMDP( "ECO", $B17, "현재가", WORKDAY( EOMONTH($F$4,H$7), -1) ), _xll.IMDP( "ECO", $B17, "현재가", EOMONTH($F$4,H$7) ) )</f>
        <v>2.5</v>
      </c>
      <c r="I17" s="25">
        <f ca="1">IF( _xll.IMDP( "ECO", $B17, "현재가", EOMONTH($F$4,I$7) ) ="", _xll.IMDP( "ECO", $B17, "현재가", WORKDAY( EOMONTH($F$4,I$7), -1) ), _xll.IMDP( "ECO", $B17, "현재가", EOMONTH($F$4,I$7) ) )</f>
        <v>2</v>
      </c>
      <c r="J17" s="26">
        <f ca="1">IF( _xll.IMDP( "ECO", $B17, "현재가", EOMONTH($F$4,J$7) ) ="", _xll.IMDP( "ECO", $B17, "현재가", WORKDAY( EOMONTH($F$4,J$7), -1) ), _xll.IMDP( "ECO", $B17, "현재가", EOMONTH($F$4,J$7) ) )</f>
        <v>1.75</v>
      </c>
      <c r="K17" s="27">
        <f ca="1">_xll.IMDP("ECO",$B17,"현재가",$F$4,"DISP=DATE")</f>
        <v>20221231</v>
      </c>
      <c r="L17" s="27"/>
      <c r="M17" s="50">
        <f t="shared" ref="M17" ca="1" si="8">($F17-G17)*100</f>
        <v>0</v>
      </c>
      <c r="N17" s="50">
        <f t="shared" ref="N17" ca="1" si="9">($F17-H17)*100</f>
        <v>25</v>
      </c>
      <c r="O17" s="50">
        <f t="shared" ref="O17" ca="1" si="10">($F17-I17)*100</f>
        <v>75</v>
      </c>
      <c r="P17" s="50">
        <f t="shared" ref="P17" ca="1" si="11">($F17-J17)*100</f>
        <v>100</v>
      </c>
      <c r="Q17" s="62">
        <f ca="1">_xll.IMDP("ECO",$C17,"현재가",$F$4, "fill=true")</f>
        <v>129</v>
      </c>
      <c r="R17" s="27">
        <f ca="1">_xll.IMDP("ECO",$C17,"현재가",$F$4,"fill=true, DISP=DATE")</f>
        <v>20221130</v>
      </c>
      <c r="S17" s="58">
        <f t="shared" ca="1" si="7"/>
        <v>44895</v>
      </c>
      <c r="T17" s="34">
        <f ca="1">( $Q17/_xll.IMDP("ECO", $C17, "현재가", EOMONTH($S17, -12)) -1)*100</f>
        <v>4.0322580645161255</v>
      </c>
      <c r="U17" s="28">
        <f ca="1">IF(_xll.IMDP("ECO",$D17,"현재가",$D$1)="","",_xll.IMDP("ECO",$D17,"현재가",$D$1))</f>
        <v>3.0489999999999999</v>
      </c>
      <c r="V17" s="28">
        <f ca="1">IF(_xll.IMDP("ECO",$D17,"현재가",$D$2)="","",_xll.IMDP("ECO",$D17,"현재가",$D$2))</f>
        <v>2.38</v>
      </c>
      <c r="W17" s="28">
        <f ca="1">IF(_xll.IMDP("ECO",$D17,"현재가",$D$3)="","",_xll.IMDP("ECO",$D17,"현재가",$D$3))</f>
        <v>2.379</v>
      </c>
      <c r="X17" s="28">
        <f ca="1">IF(_xll.IMDP("ECO",$D17,"현재가",$D$4)="","",_xll.IMDP("ECO",$D17,"현재가",$D$4))</f>
        <v>2.41</v>
      </c>
      <c r="Y17" s="28">
        <f ca="1">IF(_xll.IMDP("ECO",$D17,"현재가",$D$5)="","",_xll.IMDP("ECO",$D17,"현재가",$D$5))</f>
        <v>2.4409999999999998</v>
      </c>
    </row>
    <row r="18" spans="2:25" x14ac:dyDescent="0.25">
      <c r="B18" s="1" t="s">
        <v>5</v>
      </c>
      <c r="C18" s="1" t="s">
        <v>34</v>
      </c>
      <c r="D18" s="17" t="s">
        <v>71</v>
      </c>
      <c r="E18" s="41" t="s">
        <v>90</v>
      </c>
      <c r="F18" s="25">
        <f ca="1">_xll.IMDP("ECO",$B18,"현재가",$F$4,"fill=TRUE")</f>
        <v>10.5</v>
      </c>
      <c r="G18" s="25">
        <f ca="1">IF( _xll.IMDP( "ECO", $B18, "현재가", EOMONTH($F$4,G$7) ) ="", _xll.IMDP( "ECO", $B18, "현재가", WORKDAY( EOMONTH($F$4,G$7), -1) ), _xll.IMDP( "ECO", $B18, "현재가", EOMONTH($F$4,G$7) ) )</f>
        <v>10</v>
      </c>
      <c r="H18" s="25">
        <f ca="1">IF( _xll.IMDP( "ECO", $B18, "현재가", EOMONTH($F$4,H$7) ) ="", _xll.IMDP( "ECO", $B18, "현재가", WORKDAY( EOMONTH($F$4,H$7), -1) ), _xll.IMDP( "ECO", $B18, "현재가", EOMONTH($F$4,H$7) ) )</f>
        <v>9.25</v>
      </c>
      <c r="I18" s="25">
        <f ca="1">IF( _xll.IMDP( "ECO", $B18, "현재가", EOMONTH($F$4,I$7) ) ="", _xll.IMDP( "ECO", $B18, "현재가", WORKDAY( EOMONTH($F$4,I$7), -1) ), _xll.IMDP( "ECO", $B18, "현재가", EOMONTH($F$4,I$7) ) )</f>
        <v>7.75</v>
      </c>
      <c r="J18" s="26">
        <f ca="1">IF( _xll.IMDP( "ECO", $B18, "현재가", EOMONTH($F$4,J$7) ) ="", _xll.IMDP( "ECO", $B18, "현재가", WORKDAY( EOMONTH($F$4,J$7), -1) ), _xll.IMDP( "ECO", $B18, "현재가", EOMONTH($F$4,J$7) ) )</f>
        <v>5.5</v>
      </c>
      <c r="K18" s="27">
        <f ca="1">_xll.IMDP("ECO",$B18,"현재가",$F$4,"DISP=DATE")</f>
        <v>20221231</v>
      </c>
      <c r="L18" s="27"/>
      <c r="M18" s="50">
        <f t="shared" ca="1" si="6"/>
        <v>50</v>
      </c>
      <c r="N18" s="50">
        <f t="shared" ca="1" si="0"/>
        <v>125</v>
      </c>
      <c r="O18" s="50">
        <f t="shared" ca="1" si="1"/>
        <v>275</v>
      </c>
      <c r="P18" s="50">
        <f t="shared" ca="1" si="2"/>
        <v>500</v>
      </c>
      <c r="Q18" s="64">
        <f ca="1">_xll.IMDP("ECO",$C18,"현재가",$F$4, "fill=true")</f>
        <v>126.47799999999999</v>
      </c>
      <c r="R18" s="27">
        <f ca="1">_xll.IMDP("ECO",$C18,"현재가",$F$4,"fill=true, DISP=DATE")</f>
        <v>20221231</v>
      </c>
      <c r="S18" s="58">
        <f t="shared" ca="1" si="7"/>
        <v>44926</v>
      </c>
      <c r="T18" s="34">
        <f ca="1">( $Q18/_xll.IMDP("ECO", $C18, "현재가", EOMONTH($S18, -12)) -1)*100</f>
        <v>7.8170286766460872</v>
      </c>
      <c r="U18" s="28">
        <f ca="1">IF(_xll.IMDP("ECO",$D18,"현재가",$D$1)="","",_xll.IMDP("ECO",$D18,"현재가",$D$1))</f>
        <v>6.8129999999999997</v>
      </c>
      <c r="V18" s="28">
        <f ca="1">IF(_xll.IMDP("ECO",$D18,"현재가",$D$2)="","",_xll.IMDP("ECO",$D18,"현재가",$D$2))</f>
        <v>3.9129999999999998</v>
      </c>
      <c r="W18" s="28">
        <f ca="1">IF(_xll.IMDP("ECO",$D18,"현재가",$D$3)="","",_xll.IMDP("ECO",$D18,"현재가",$D$3))</f>
        <v>3.218</v>
      </c>
      <c r="X18" s="28">
        <f ca="1">IF(_xll.IMDP("ECO",$D18,"현재가",$D$4)="","",_xll.IMDP("ECO",$D18,"현재가",$D$4))</f>
        <v>3.069</v>
      </c>
      <c r="Y18" s="28">
        <f ca="1">IF(_xll.IMDP("ECO",$D18,"현재가",$D$5)="","",_xll.IMDP("ECO",$D18,"현재가",$D$5))</f>
        <v>3.0219999999999998</v>
      </c>
    </row>
    <row r="19" spans="2:25" x14ac:dyDescent="0.25">
      <c r="B19" s="49" t="s">
        <v>150</v>
      </c>
      <c r="C19" s="1" t="s">
        <v>154</v>
      </c>
      <c r="D19" s="4" t="s">
        <v>57</v>
      </c>
      <c r="E19" s="41" t="s">
        <v>91</v>
      </c>
      <c r="F19" s="25">
        <f ca="1">_xll.IMDP("ECO",$B19,"현재가",$F$4,"fill=TRUE")</f>
        <v>4.25</v>
      </c>
      <c r="G19" s="25">
        <f ca="1">IF( _xll.IMDP( "ECO", $B19, "현재가", EOMONTH($F$4,G$7) ) ="", _xll.IMDP( "ECO", $B19, "현재가", WORKDAY( EOMONTH($F$4,G$7), -1) ), _xll.IMDP( "ECO", $B19, "현재가", EOMONTH($F$4,G$7) ) )</f>
        <v>3.75</v>
      </c>
      <c r="H19" s="25">
        <f ca="1">IF( _xll.IMDP( "ECO", $B19, "현재가", EOMONTH($F$4,H$7) ) ="", _xll.IMDP( "ECO", $B19, "현재가", WORKDAY( EOMONTH($F$4,H$7), -1) ), _xll.IMDP( "ECO", $B19, "현재가", EOMONTH($F$4,H$7) ) )</f>
        <v>3</v>
      </c>
      <c r="I19" s="25">
        <f ca="1">IF( _xll.IMDP( "ECO", $B19, "현재가", EOMONTH($F$4,I$7) ) ="", _xll.IMDP( "ECO", $B19, "현재가", WORKDAY( EOMONTH($F$4,I$7), -1) ), _xll.IMDP( "ECO", $B19, "현재가", EOMONTH($F$4,I$7) ) )</f>
        <v>1.5</v>
      </c>
      <c r="J19" s="26">
        <f ca="1">IF( _xll.IMDP( "ECO", $B19, "현재가", EOMONTH($F$4,J$7) ) ="", _xll.IMDP( "ECO", $B19, "현재가", WORKDAY( EOMONTH($F$4,J$7), -1) ), _xll.IMDP( "ECO", $B19, "현재가", EOMONTH($F$4,J$7) ) )</f>
        <v>0</v>
      </c>
      <c r="K19" s="27">
        <f ca="1">_xll.IMDP("ECO",$B19,"현재가",$F$4,"DISP=DATE")</f>
        <v>20221230</v>
      </c>
      <c r="L19" s="27"/>
      <c r="M19" s="50">
        <f t="shared" ca="1" si="6"/>
        <v>50</v>
      </c>
      <c r="N19" s="50">
        <f t="shared" ca="1" si="0"/>
        <v>125</v>
      </c>
      <c r="O19" s="50">
        <f t="shared" ca="1" si="1"/>
        <v>275</v>
      </c>
      <c r="P19" s="50">
        <f t="shared" ca="1" si="2"/>
        <v>425</v>
      </c>
      <c r="Q19" s="64">
        <f ca="1">_xll.IMDP("ECO",$C19,"현재가",$F$4, "fill=true")</f>
        <v>296.79700000000003</v>
      </c>
      <c r="R19" s="27">
        <f ca="1">_xll.IMDP("ECO",$C19,"현재가",$F$4,"fill=true, DISP=DATE")</f>
        <v>20221231</v>
      </c>
      <c r="S19" s="58">
        <f t="shared" ca="1" si="7"/>
        <v>44926</v>
      </c>
      <c r="T19" s="34">
        <f ca="1">( $Q19/_xll.IMDP("ECO", $C19, "현재가", EOMONTH($S19, -12)) -1)*100</f>
        <v>6.4544013314108195</v>
      </c>
      <c r="U19" s="28">
        <f ca="1">IF(_xll.IMDP("ECO",$D19,"현재가",$D$1)="","",_xll.IMDP("ECO",$D19,"현재가",$D$1))</f>
        <v>7.6820000000000004</v>
      </c>
      <c r="V19" s="28">
        <f ca="1">IF(_xll.IMDP("ECO",$D19,"현재가",$D$2)="","",_xll.IMDP("ECO",$D19,"현재가",$D$2))</f>
        <v>2.8559999999999999</v>
      </c>
      <c r="W19" s="28">
        <f ca="1">IF(_xll.IMDP("ECO",$D19,"현재가",$D$3)="","",_xll.IMDP("ECO",$D19,"현재가",$D$3))</f>
        <v>2.258</v>
      </c>
      <c r="X19" s="28">
        <f ca="1">IF(_xll.IMDP("ECO",$D19,"현재가",$D$4)="","",_xll.IMDP("ECO",$D19,"현재가",$D$4))</f>
        <v>2.004</v>
      </c>
      <c r="Y19" s="28">
        <f ca="1">IF(_xll.IMDP("ECO",$D19,"현재가",$D$5)="","",_xll.IMDP("ECO",$D19,"현재가",$D$5))</f>
        <v>1.97</v>
      </c>
    </row>
    <row r="20" spans="2:25" x14ac:dyDescent="0.25">
      <c r="B20" s="1" t="s">
        <v>4</v>
      </c>
      <c r="C20" s="1" t="s">
        <v>35</v>
      </c>
      <c r="D20" s="1" t="s">
        <v>162</v>
      </c>
      <c r="E20" s="41" t="s">
        <v>92</v>
      </c>
      <c r="F20" s="25">
        <f ca="1">_xll.IMDP("ECO",$B20,"현재가",$F$4,"fill=TRUE")</f>
        <v>52.13</v>
      </c>
      <c r="G20" s="25">
        <f ca="1">IF( _xll.IMDP( "ECO", $B20, "현재가", EOMONTH($F$4,G$7) ) ="", _xll.IMDP( "ECO", $B20, "현재가", WORKDAY( EOMONTH($F$4,G$7), -1) ), _xll.IMDP( "ECO", $B20, "현재가", EOMONTH($F$4,G$7) ) )</f>
        <v>53.75</v>
      </c>
      <c r="H20" s="25">
        <f ca="1">IF( _xll.IMDP( "ECO", $B20, "현재가", EOMONTH($F$4,H$7) ) ="", _xll.IMDP( "ECO", $B20, "현재가", WORKDAY( EOMONTH($F$4,H$7), -1) ), _xll.IMDP( "ECO", $B20, "현재가", EOMONTH($F$4,H$7) ) )</f>
        <v>49.02</v>
      </c>
      <c r="I20" s="25">
        <f ca="1">IF( _xll.IMDP( "ECO", $B20, "현재가", EOMONTH($F$4,I$7) ) ="", _xll.IMDP( "ECO", $B20, "현재가", WORKDAY( EOMONTH($F$4,I$7), -1) ), _xll.IMDP( "ECO", $B20, "현재가", EOMONTH($F$4,I$7) ) )</f>
        <v>50.59</v>
      </c>
      <c r="J20" s="26">
        <f ca="1">IF( _xll.IMDP( "ECO", $B20, "현재가", EOMONTH($F$4,J$7) ) ="", _xll.IMDP( "ECO", $B20, "현재가", WORKDAY( EOMONTH($F$4,J$7), -1) ), _xll.IMDP( "ECO", $B20, "현재가", EOMONTH($F$4,J$7) ) )</f>
        <v>48.34</v>
      </c>
      <c r="K20" s="27">
        <f ca="1">_xll.IMDP("ECO",$B20,"현재가",$F$4,"DISP=DATE")</f>
        <v>20221230</v>
      </c>
      <c r="L20" s="27"/>
      <c r="M20" s="50">
        <f t="shared" ca="1" si="6"/>
        <v>-161.99999999999974</v>
      </c>
      <c r="N20" s="50">
        <f t="shared" ca="1" si="0"/>
        <v>310.99999999999994</v>
      </c>
      <c r="O20" s="50">
        <f t="shared" ca="1" si="1"/>
        <v>153.99999999999991</v>
      </c>
      <c r="P20" s="50">
        <f t="shared" ca="1" si="2"/>
        <v>378.99999999999989</v>
      </c>
      <c r="Q20" s="63">
        <f ca="1">_xll.IMDP("ECO",$C20,"현재가",$F$4, "fill=true")</f>
        <v>5654207045137.4004</v>
      </c>
      <c r="R20" s="27">
        <f ca="1">_xll.IMDP("ECO",$C20,"현재가",$F$4,"fill=true, DISP=DATE")</f>
        <v>20221031</v>
      </c>
      <c r="S20" s="58">
        <f t="shared" ca="1" si="7"/>
        <v>44865</v>
      </c>
      <c r="T20" s="34">
        <f ca="1">( $Q20/_xll.IMDP("ECO", $C20, "현재가", EOMONTH($S20, -12)) -1)*100</f>
        <v>155.79727504718494</v>
      </c>
      <c r="U20" s="28">
        <f ca="1">IF(_xll.IMDP("ECO",$D20,"현재가",$D$1)="","",_xll.IMDP("ECO",$D20,"현재가",$D$1))</f>
        <v>500</v>
      </c>
      <c r="V20" s="28">
        <f ca="1">IF(_xll.IMDP("ECO",$D20,"현재가",$D$2)="","",_xll.IMDP("ECO",$D20,"현재가",$D$2))</f>
        <v>500</v>
      </c>
      <c r="W20" s="28" t="str">
        <f ca="1">IF(_xll.IMDP("ECO",$D20,"현재가",$D$3)="","",_xll.IMDP("ECO",$D20,"현재가",$D$3))</f>
        <v/>
      </c>
      <c r="X20" s="28" t="str">
        <f ca="1">IF(_xll.IMDP("ECO",$D20,"현재가",$D$4)="","",_xll.IMDP("ECO",$D20,"현재가",$D$4))</f>
        <v/>
      </c>
      <c r="Y20" s="28" t="str">
        <f ca="1">IF(_xll.IMDP("ECO",$D20,"현재가",$D$5)="","",_xll.IMDP("ECO",$D20,"현재가",$D$5))</f>
        <v/>
      </c>
    </row>
    <row r="21" spans="2:25" x14ac:dyDescent="0.25">
      <c r="B21" s="1" t="s">
        <v>21</v>
      </c>
      <c r="C21" s="1" t="s">
        <v>36</v>
      </c>
      <c r="D21" s="1" t="s">
        <v>163</v>
      </c>
      <c r="E21" s="41" t="s">
        <v>93</v>
      </c>
      <c r="F21" s="25">
        <f ca="1">_xll.IMDP("ECO",$B21,"현재가",$F$4,"fill=TRUE")</f>
        <v>6</v>
      </c>
      <c r="G21" s="25">
        <f ca="1">IF( _xll.IMDP( "ECO", $B21, "현재가", EOMONTH($F$4,G$7) ) ="", _xll.IMDP( "ECO", $B21, "현재가", WORKDAY( EOMONTH($F$4,G$7), -1) ), _xll.IMDP( "ECO", $B21, "현재가", EOMONTH($F$4,G$7) ) )</f>
        <v>6</v>
      </c>
      <c r="H21" s="25">
        <f ca="1">IF( _xll.IMDP( "ECO", $B21, "현재가", EOMONTH($F$4,H$7) ) ="", _xll.IMDP( "ECO", $B21, "현재가", WORKDAY( EOMONTH($F$4,H$7), -1) ), _xll.IMDP( "ECO", $B21, "현재가", EOMONTH($F$4,H$7) ) )</f>
        <v>5</v>
      </c>
      <c r="I21" s="25">
        <f ca="1">IF( _xll.IMDP( "ECO", $B21, "현재가", EOMONTH($F$4,I$7) ) ="", _xll.IMDP( "ECO", $B21, "현재가", WORKDAY( EOMONTH($F$4,I$7), -1) ), _xll.IMDP( "ECO", $B21, "현재가", EOMONTH($F$4,I$7) ) )</f>
        <v>4</v>
      </c>
      <c r="J21" s="26">
        <f ca="1">IF( _xll.IMDP( "ECO", $B21, "현재가", EOMONTH($F$4,J$7) ) ="", _xll.IMDP( "ECO", $B21, "현재가", WORKDAY( EOMONTH($F$4,J$7), -1) ), _xll.IMDP( "ECO", $B21, "현재가", EOMONTH($F$4,J$7) ) )</f>
        <v>4</v>
      </c>
      <c r="K21" s="27">
        <f ca="1">_xll.IMDP("ECO",$B21,"현재가",$F$4,"DISP=DATE")</f>
        <v>20221231</v>
      </c>
      <c r="L21" s="27"/>
      <c r="M21" s="50">
        <f ca="1">($F21-G21)*100</f>
        <v>0</v>
      </c>
      <c r="N21" s="50">
        <f ca="1">($F21-H21)*100</f>
        <v>100</v>
      </c>
      <c r="O21" s="50">
        <f ca="1">($F21-I21)*100</f>
        <v>200</v>
      </c>
      <c r="P21" s="50">
        <f ca="1">($F21-J21)*100</f>
        <v>200</v>
      </c>
      <c r="Q21" s="68">
        <f ca="1">_xll.IMDP("ECO",$C21,"현재가",$F$4, "fill=true")</f>
        <v>109.854871</v>
      </c>
      <c r="R21" s="27">
        <f ca="1">_xll.IMDP("ECO",$C21,"현재가",$F$4,"fill=true, DISP=DATE")</f>
        <v>20221231</v>
      </c>
      <c r="S21" s="58">
        <f ca="1">DATE(LEFT(R21,4), MID(R21,5,2), RIGHT(R21,2))</f>
        <v>44926</v>
      </c>
      <c r="T21" s="34">
        <f ca="1">( $Q21/_xll.IMDP("ECO", $C21, "현재가", EOMONTH($S21, -12)) -1)*100</f>
        <v>4.5488585593371988</v>
      </c>
      <c r="U21" s="28">
        <f ca="1">IF(_xll.IMDP("ECO",$D21,"현재가",$D$1)="","",_xll.IMDP("ECO",$D21,"현재가",$D$1))</f>
        <v>3.847</v>
      </c>
      <c r="V21" s="28">
        <f ca="1">IF(_xll.IMDP("ECO",$D21,"현재가",$D$2)="","",_xll.IMDP("ECO",$D21,"현재가",$D$2))</f>
        <v>3.2290000000000001</v>
      </c>
      <c r="W21" s="28">
        <f ca="1">IF(_xll.IMDP("ECO",$D21,"현재가",$D$3)="","",_xll.IMDP("ECO",$D21,"현재가",$D$3))</f>
        <v>3.5</v>
      </c>
      <c r="X21" s="28">
        <f ca="1">IF(_xll.IMDP("ECO",$D21,"현재가",$D$4)="","",_xll.IMDP("ECO",$D21,"현재가",$D$4))</f>
        <v>3.5</v>
      </c>
      <c r="Y21" s="28">
        <f ca="1">IF(_xll.IMDP("ECO",$D21,"현재가",$D$5)="","",_xll.IMDP("ECO",$D21,"현재가",$D$5))</f>
        <v>3.5</v>
      </c>
    </row>
    <row r="22" spans="2:25" x14ac:dyDescent="0.25">
      <c r="B22" s="24" t="s">
        <v>201</v>
      </c>
      <c r="C22" s="24" t="s">
        <v>196</v>
      </c>
      <c r="D22" s="24" t="s">
        <v>208</v>
      </c>
      <c r="E22" s="41" t="s">
        <v>182</v>
      </c>
      <c r="F22" s="25">
        <f ca="1">_xll.IMDP("ECO",$B22,"현재가",$F$4,"fill=TRUE")</f>
        <v>2.5</v>
      </c>
      <c r="G22" s="25">
        <f ca="1">IF( _xll.IMDP( "ECO", $B22, "현재가", EOMONTH($F$4,G$7) ) ="", _xll.IMDP( "ECO", $B22, "현재가", WORKDAY( EOMONTH($F$4,G$7), -1) ), _xll.IMDP( "ECO", $B22, "현재가", EOMONTH($F$4,G$7) ) )</f>
        <v>2</v>
      </c>
      <c r="H22" s="25">
        <f ca="1">IF( _xll.IMDP( "ECO", $B22, "현재가", EOMONTH($F$4,H$7) ) ="", _xll.IMDP( "ECO", $B22, "현재가", WORKDAY( EOMONTH($F$4,H$7), -1) ), _xll.IMDP( "ECO", $B22, "현재가", EOMONTH($F$4,H$7) ) )</f>
        <v>1.25</v>
      </c>
      <c r="I22" s="25">
        <f ca="1">IF( _xll.IMDP( "ECO", $B22, "현재가", EOMONTH($F$4,I$7) ) ="", _xll.IMDP( "ECO", $B22, "현재가", WORKDAY( EOMONTH($F$4,I$7), -1) ), _xll.IMDP( "ECO", $B22, "현재가", EOMONTH($F$4,I$7) ) )</f>
        <v>0</v>
      </c>
      <c r="J22" s="26">
        <f ca="1">IF( _xll.IMDP( "ECO", $B22, "현재가", EOMONTH($F$4,J$7) ) ="", _xll.IMDP( "ECO", $B22, "현재가", WORKDAY( EOMONTH($F$4,J$7), -1) ), _xll.IMDP( "ECO", $B22, "현재가", EOMONTH($F$4,J$7) ) )</f>
        <v>0</v>
      </c>
      <c r="K22" s="27">
        <f ca="1">_xll.IMDP("ECO",$B22,"현재가",$F$4,"DISP=DATE")</f>
        <v>20221231</v>
      </c>
      <c r="L22" s="27"/>
      <c r="M22" s="50">
        <f t="shared" ca="1" si="6"/>
        <v>50</v>
      </c>
      <c r="N22" s="50">
        <f t="shared" ca="1" si="0"/>
        <v>125</v>
      </c>
      <c r="O22" s="50">
        <f t="shared" ca="1" si="1"/>
        <v>250</v>
      </c>
      <c r="P22" s="50">
        <f t="shared" ca="1" si="2"/>
        <v>250</v>
      </c>
      <c r="Q22" s="67">
        <f ca="1">_xll.IMDP("ECO",$C22,"현재가",$F$4, "fill=true")</f>
        <v>127.722697</v>
      </c>
      <c r="R22" s="27">
        <f ca="1">_xll.IMDP("ECO",$C22,"현재가",$F$4,"fill=true, DISP=DATE")</f>
        <v>20221231</v>
      </c>
      <c r="S22" s="58">
        <f t="shared" ca="1" si="7"/>
        <v>44926</v>
      </c>
      <c r="T22" s="34">
        <f ca="1">( $Q22/_xll.IMDP("ECO", $C22, "현재가", EOMONTH($S22, -12)) -1)*100</f>
        <v>10.355217927253424</v>
      </c>
      <c r="U22" s="28">
        <f ca="1">IF(_xll.IMDP("ECO",$D22,"현재가",$D$1)="","",_xll.IMDP("ECO",$D22,"현재가",$D$1))</f>
        <v>8.0180000000000007</v>
      </c>
      <c r="V22" s="28">
        <f ca="1">IF(_xll.IMDP("ECO",$D22,"현재가",$D$2)="","",_xll.IMDP("ECO",$D22,"현재가",$D$2))</f>
        <v>1.339</v>
      </c>
      <c r="W22" s="28">
        <f ca="1">IF(_xll.IMDP("ECO",$D22,"현재가",$D$3)="","",_xll.IMDP("ECO",$D22,"현재가",$D$3))</f>
        <v>1.625</v>
      </c>
      <c r="X22" s="28">
        <f ca="1">IF(_xll.IMDP("ECO",$D22,"현재가",$D$4)="","",_xll.IMDP("ECO",$D22,"현재가",$D$4))</f>
        <v>1.7010000000000001</v>
      </c>
      <c r="Y22" s="28">
        <f ca="1">IF(_xll.IMDP("ECO",$D22,"현재가",$D$5)="","",_xll.IMDP("ECO",$D22,"현재가",$D$5))</f>
        <v>1.698</v>
      </c>
    </row>
    <row r="23" spans="2:25" x14ac:dyDescent="0.25">
      <c r="B23" s="1" t="s">
        <v>2</v>
      </c>
      <c r="C23" s="1" t="s">
        <v>37</v>
      </c>
      <c r="D23" s="12" t="s">
        <v>65</v>
      </c>
      <c r="E23" s="41" t="s">
        <v>94</v>
      </c>
      <c r="F23" s="25">
        <f ca="1">_xll.IMDP("ECO",$B23,"현재가",$F$4,"fill=TRUE")</f>
        <v>13.75</v>
      </c>
      <c r="G23" s="25">
        <f ca="1">IF( _xll.IMDP( "ECO", $B23, "현재가", EOMONTH($F$4,G$7) ) ="", _xll.IMDP( "ECO", $B23, "현재가", WORKDAY( EOMONTH($F$4,G$7), -1) ), _xll.IMDP( "ECO", $B23, "현재가", EOMONTH($F$4,G$7) ) )</f>
        <v>13.75</v>
      </c>
      <c r="H23" s="25">
        <f ca="1">IF( _xll.IMDP( "ECO", $B23, "현재가", EOMONTH($F$4,H$7) ) ="", _xll.IMDP( "ECO", $B23, "현재가", WORKDAY( EOMONTH($F$4,H$7), -1) ), _xll.IMDP( "ECO", $B23, "현재가", EOMONTH($F$4,H$7) ) )</f>
        <v>13.75</v>
      </c>
      <c r="I23" s="25">
        <f ca="1">IF( _xll.IMDP( "ECO", $B23, "현재가", EOMONTH($F$4,I$7) ) ="", _xll.IMDP( "ECO", $B23, "현재가", WORKDAY( EOMONTH($F$4,I$7), -1) ), _xll.IMDP( "ECO", $B23, "현재가", EOMONTH($F$4,I$7) ) )</f>
        <v>13.25</v>
      </c>
      <c r="J23" s="26">
        <f ca="1">IF( _xll.IMDP( "ECO", $B23, "현재가", EOMONTH($F$4,J$7) ) ="", _xll.IMDP( "ECO", $B23, "현재가", WORKDAY( EOMONTH($F$4,J$7), -1) ), _xll.IMDP( "ECO", $B23, "현재가", EOMONTH($F$4,J$7) ) )</f>
        <v>9.25</v>
      </c>
      <c r="K23" s="27">
        <f ca="1">_xll.IMDP("ECO",$B23,"현재가",$F$4,"DISP=DATE")</f>
        <v>20221231</v>
      </c>
      <c r="L23" s="27"/>
      <c r="M23" s="50">
        <f t="shared" ca="1" si="6"/>
        <v>0</v>
      </c>
      <c r="N23" s="50">
        <f t="shared" ca="1" si="0"/>
        <v>0</v>
      </c>
      <c r="O23" s="50">
        <f t="shared" ca="1" si="1"/>
        <v>50</v>
      </c>
      <c r="P23" s="50">
        <f t="shared" ca="1" si="2"/>
        <v>450</v>
      </c>
      <c r="Q23" s="63">
        <f ca="1">_xll.IMDP("ECO",$C23,"현재가",$F$4, "fill=true")</f>
        <v>6474.09</v>
      </c>
      <c r="R23" s="27">
        <f ca="1">_xll.IMDP("ECO",$C23,"현재가",$F$4,"fill=true, DISP=DATE")</f>
        <v>20221231</v>
      </c>
      <c r="S23" s="58">
        <f t="shared" ca="1" si="7"/>
        <v>44926</v>
      </c>
      <c r="T23" s="34">
        <f ca="1">( $Q23/_xll.IMDP("ECO", $C23, "현재가", EOMONTH($S23, -12)) -1)*100</f>
        <v>5.7850929078894886</v>
      </c>
      <c r="U23" s="28">
        <f ca="1">IF(_xll.IMDP("ECO",$D23,"현재가",$D$1)="","",_xll.IMDP("ECO",$D23,"현재가",$D$1))</f>
        <v>8.2200000000000006</v>
      </c>
      <c r="V23" s="28">
        <f ca="1">IF(_xll.IMDP("ECO",$D23,"현재가",$D$2)="","",_xll.IMDP("ECO",$D23,"현재가",$D$2))</f>
        <v>5.0810000000000004</v>
      </c>
      <c r="W23" s="28">
        <f ca="1">IF(_xll.IMDP("ECO",$D23,"현재가",$D$3)="","",_xll.IMDP("ECO",$D23,"현재가",$D$3))</f>
        <v>3.3050000000000002</v>
      </c>
      <c r="X23" s="28">
        <f ca="1">IF(_xll.IMDP("ECO",$D23,"현재가",$D$4)="","",_xll.IMDP("ECO",$D23,"현재가",$D$4))</f>
        <v>3.3</v>
      </c>
      <c r="Y23" s="28">
        <f ca="1">IF(_xll.IMDP("ECO",$D23,"현재가",$D$5)="","",_xll.IMDP("ECO",$D23,"현재가",$D$5))</f>
        <v>2.8109999999999999</v>
      </c>
    </row>
    <row r="24" spans="2:25" x14ac:dyDescent="0.25">
      <c r="B24" s="1" t="s">
        <v>22</v>
      </c>
      <c r="C24" s="21" t="s">
        <v>75</v>
      </c>
      <c r="D24" s="18" t="s">
        <v>72</v>
      </c>
      <c r="E24" s="41" t="s">
        <v>95</v>
      </c>
      <c r="F24" s="25">
        <f ca="1">_xll.IMDP("ECO",$B24,"현재가",$F$4,"fill=TRUE")</f>
        <v>5</v>
      </c>
      <c r="G24" s="25">
        <f ca="1">IF( _xll.IMDP( "ECO", $B24, "현재가", EOMONTH($F$4,G$7) ) ="", _xll.IMDP( "ECO", $B24, "현재가", WORKDAY( EOMONTH($F$4,G$7), -1) ), _xll.IMDP( "ECO", $B24, "현재가", EOMONTH($F$4,G$7) ) )</f>
        <v>4.5</v>
      </c>
      <c r="H24" s="25">
        <f ca="1">IF( _xll.IMDP( "ECO", $B24, "현재가", EOMONTH($F$4,H$7) ) ="", _xll.IMDP( "ECO", $B24, "현재가", WORKDAY( EOMONTH($F$4,H$7), -1) ), _xll.IMDP( "ECO", $B24, "현재가", EOMONTH($F$4,H$7) ) )</f>
        <v>3.75</v>
      </c>
      <c r="I24" s="25">
        <f ca="1">IF( _xll.IMDP( "ECO", $B24, "현재가", EOMONTH($F$4,I$7) ) ="", _xll.IMDP( "ECO", $B24, "현재가", WORKDAY( EOMONTH($F$4,I$7), -1) ), _xll.IMDP( "ECO", $B24, "현재가", EOMONTH($F$4,I$7) ) )</f>
        <v>2.25</v>
      </c>
      <c r="J24" s="26">
        <f ca="1">IF( _xll.IMDP( "ECO", $B24, "현재가", EOMONTH($F$4,J$7) ) ="", _xll.IMDP( "ECO", $B24, "현재가", WORKDAY( EOMONTH($F$4,J$7), -1) ), _xll.IMDP( "ECO", $B24, "현재가", EOMONTH($F$4,J$7) ) )</f>
        <v>1</v>
      </c>
      <c r="K24" s="27">
        <f ca="1">_xll.IMDP("ECO",$B24,"현재가",$F$4,"DISP=DATE")</f>
        <v>20221231</v>
      </c>
      <c r="L24" s="27"/>
      <c r="M24" s="50">
        <f t="shared" ca="1" si="6"/>
        <v>50</v>
      </c>
      <c r="N24" s="50">
        <f t="shared" ca="1" si="0"/>
        <v>125</v>
      </c>
      <c r="O24" s="50">
        <f t="shared" ca="1" si="1"/>
        <v>275</v>
      </c>
      <c r="P24" s="50">
        <f t="shared" ca="1" si="2"/>
        <v>400</v>
      </c>
      <c r="Q24" s="63">
        <f ca="1">_xll.IMDP("ECO",$C24,"현재가",$F$4, "fill=true")</f>
        <v>108.53</v>
      </c>
      <c r="R24" s="27">
        <f ca="1">_xll.IMDP("ECO",$C24,"현재가",$F$4,"fill=true, DISP=DATE")</f>
        <v>20221231</v>
      </c>
      <c r="S24" s="58">
        <f t="shared" ca="1" si="7"/>
        <v>44926</v>
      </c>
      <c r="T24" s="34">
        <f ca="1">( $Q24/_xll.IMDP("ECO", $C24, "현재가", EOMONTH($S24, -12)) -1)*100</f>
        <v>3.3028745478774102</v>
      </c>
      <c r="U24" s="28">
        <f ca="1">IF(_xll.IMDP("ECO",$D24,"현재가",$D$1)="","",_xll.IMDP("ECO",$D24,"현재가",$D$1))</f>
        <v>2.5099999999999998</v>
      </c>
      <c r="V24" s="28">
        <f ca="1">IF(_xll.IMDP("ECO",$D24,"현재가",$D$2)="","",_xll.IMDP("ECO",$D24,"현재가",$D$2))</f>
        <v>1.9570000000000001</v>
      </c>
      <c r="W24" s="28">
        <f ca="1">IF(_xll.IMDP("ECO",$D24,"현재가",$D$3)="","",_xll.IMDP("ECO",$D24,"현재가",$D$3))</f>
        <v>1.96</v>
      </c>
      <c r="X24" s="28">
        <f ca="1">IF(_xll.IMDP("ECO",$D24,"현재가",$D$4)="","",_xll.IMDP("ECO",$D24,"현재가",$D$4))</f>
        <v>1.998</v>
      </c>
      <c r="Y24" s="28">
        <f ca="1">IF(_xll.IMDP("ECO",$D24,"현재가",$D$5)="","",_xll.IMDP("ECO",$D24,"현재가",$D$5))</f>
        <v>2.0070000000000001</v>
      </c>
    </row>
    <row r="25" spans="2:25" x14ac:dyDescent="0.25">
      <c r="B25" s="1" t="s">
        <v>8</v>
      </c>
      <c r="C25" s="1" t="s">
        <v>38</v>
      </c>
      <c r="D25" s="1" t="s">
        <v>164</v>
      </c>
      <c r="E25" s="41" t="s">
        <v>96</v>
      </c>
      <c r="F25" s="25">
        <f ca="1">_xll.IMDP("ECO",$B25,"현재가",$F$4,"fill=TRUE")</f>
        <v>2.5</v>
      </c>
      <c r="G25" s="25">
        <f ca="1">IF( _xll.IMDP( "ECO", $B25, "현재가", EOMONTH($F$4,G$7) ) ="", _xll.IMDP( "ECO", $B25, "현재가", WORKDAY( EOMONTH($F$4,G$7), -1) ), _xll.IMDP( "ECO", $B25, "현재가", EOMONTH($F$4,G$7) ) )</f>
        <v>2.5</v>
      </c>
      <c r="H25" s="25">
        <f ca="1">IF( _xll.IMDP( "ECO", $B25, "현재가", EOMONTH($F$4,H$7) ) ="", _xll.IMDP( "ECO", $B25, "현재가", WORKDAY( EOMONTH($F$4,H$7), -1) ), _xll.IMDP( "ECO", $B25, "현재가", EOMONTH($F$4,H$7) ) )</f>
        <v>1.75</v>
      </c>
      <c r="I25" s="25">
        <f ca="1">IF( _xll.IMDP( "ECO", $B25, "현재가", EOMONTH($F$4,I$7) ) ="", _xll.IMDP( "ECO", $B25, "현재가", WORKDAY( EOMONTH($F$4,I$7), -1) ), _xll.IMDP( "ECO", $B25, "현재가", EOMONTH($F$4,I$7) ) )</f>
        <v>0.25</v>
      </c>
      <c r="J25" s="26">
        <f ca="1">IF( _xll.IMDP( "ECO", $B25, "현재가", EOMONTH($F$4,J$7) ) ="", _xll.IMDP( "ECO", $B25, "현재가", WORKDAY( EOMONTH($F$4,J$7), -1) ), _xll.IMDP( "ECO", $B25, "현재가", EOMONTH($F$4,J$7) ) )</f>
        <v>0</v>
      </c>
      <c r="K25" s="27">
        <f ca="1">_xll.IMDP("ECO",$B25,"현재가",$F$4,"DISP=DATE")</f>
        <v>20221231</v>
      </c>
      <c r="L25" s="27"/>
      <c r="M25" s="50">
        <f t="shared" ca="1" si="6"/>
        <v>0</v>
      </c>
      <c r="N25" s="50">
        <f t="shared" ca="1" si="0"/>
        <v>75</v>
      </c>
      <c r="O25" s="50">
        <f t="shared" ca="1" si="1"/>
        <v>225</v>
      </c>
      <c r="P25" s="50">
        <f t="shared" ca="1" si="2"/>
        <v>250</v>
      </c>
      <c r="Q25" s="63">
        <f ca="1">_xll.IMDP("ECO",$C25,"현재가",$F$4, "fill=true")</f>
        <v>395.96</v>
      </c>
      <c r="R25" s="27">
        <f ca="1">_xll.IMDP("ECO",$C25,"현재가",$F$4,"fill=true, DISP=DATE")</f>
        <v>20221231</v>
      </c>
      <c r="S25" s="58">
        <f t="shared" ca="1" si="7"/>
        <v>44926</v>
      </c>
      <c r="T25" s="34">
        <f ca="1">( $Q25/_xll.IMDP("ECO", $C25, "현재가", EOMONTH($S25, -12)) -1)*100</f>
        <v>12.338638749397091</v>
      </c>
      <c r="U25" s="28">
        <f ca="1">IF(_xll.IMDP("ECO",$D25,"현재가",$D$1)="","",_xll.IMDP("ECO",$D25,"현재가",$D$1))</f>
        <v>4.7960000000000003</v>
      </c>
      <c r="V25" s="28">
        <f ca="1">IF(_xll.IMDP("ECO",$D25,"현재가",$D$2)="","",_xll.IMDP("ECO",$D25,"현재가",$D$2))</f>
        <v>2.2490000000000001</v>
      </c>
      <c r="W25" s="28">
        <f ca="1">IF(_xll.IMDP("ECO",$D25,"현재가",$D$3)="","",_xll.IMDP("ECO",$D25,"현재가",$D$3))</f>
        <v>1.7</v>
      </c>
      <c r="X25" s="28">
        <f ca="1">IF(_xll.IMDP("ECO",$D25,"현재가",$D$4)="","",_xll.IMDP("ECO",$D25,"현재가",$D$4))</f>
        <v>1.9</v>
      </c>
      <c r="Y25" s="28">
        <f ca="1">IF(_xll.IMDP("ECO",$D25,"현재가",$D$5)="","",_xll.IMDP("ECO",$D25,"현재가",$D$5))</f>
        <v>2</v>
      </c>
    </row>
    <row r="26" spans="2:25" x14ac:dyDescent="0.25">
      <c r="B26" s="1" t="s">
        <v>10</v>
      </c>
      <c r="C26" s="1" t="s">
        <v>39</v>
      </c>
      <c r="D26" s="1" t="s">
        <v>165</v>
      </c>
      <c r="E26" s="41" t="s">
        <v>97</v>
      </c>
      <c r="F26" s="25">
        <f ca="1">_xll.IMDP("ECO",$B26,"현재가",$F$4,"fill=TRUE")</f>
        <v>1</v>
      </c>
      <c r="G26" s="25">
        <f ca="1">IF( _xll.IMDP( "ECO", $B26, "현재가", EOMONTH($F$4,G$7) ) ="", _xll.IMDP( "ECO", $B26, "현재가", WORKDAY( EOMONTH($F$4,G$7), -1) ), _xll.IMDP( "ECO", $B26, "현재가", EOMONTH($F$4,G$7) ) )</f>
        <v>0.5</v>
      </c>
      <c r="H26" s="25">
        <f ca="1">IF( _xll.IMDP( "ECO", $B26, "현재가", EOMONTH($F$4,H$7) ) ="", _xll.IMDP( "ECO", $B26, "현재가", WORKDAY( EOMONTH($F$4,H$7), -1) ), _xll.IMDP( "ECO", $B26, "현재가", EOMONTH($F$4,H$7) ) )</f>
        <v>0.5</v>
      </c>
      <c r="I26" s="25">
        <f ca="1">IF( _xll.IMDP( "ECO", $B26, "현재가", EOMONTH($F$4,I$7) ) ="", _xll.IMDP( "ECO", $B26, "현재가", WORKDAY( EOMONTH($F$4,I$7), -1) ), _xll.IMDP( "ECO", $B26, "현재가", EOMONTH($F$4,I$7) ) )</f>
        <v>-0.25</v>
      </c>
      <c r="J26" s="26">
        <f ca="1">IF( _xll.IMDP( "ECO", $B26, "현재가", EOMONTH($F$4,J$7) ) ="", _xll.IMDP( "ECO", $B26, "현재가", WORKDAY( EOMONTH($F$4,J$7), -1) ), _xll.IMDP( "ECO", $B26, "현재가", EOMONTH($F$4,J$7) ) )</f>
        <v>-0.75</v>
      </c>
      <c r="K26" s="27">
        <f ca="1">_xll.IMDP("ECO",$B26,"현재가",$F$4,"DISP=DATE")</f>
        <v>20221230</v>
      </c>
      <c r="L26" s="27"/>
      <c r="M26" s="50">
        <f t="shared" ca="1" si="6"/>
        <v>50</v>
      </c>
      <c r="N26" s="50">
        <f t="shared" ca="1" si="0"/>
        <v>50</v>
      </c>
      <c r="O26" s="50">
        <f t="shared" ca="1" si="1"/>
        <v>125</v>
      </c>
      <c r="P26" s="50">
        <f t="shared" ca="1" si="2"/>
        <v>175</v>
      </c>
      <c r="Q26" s="67">
        <f ca="1">_xll.IMDP("ECO",$C26,"현재가",$F$4, "fill=true")</f>
        <v>104.4149</v>
      </c>
      <c r="R26" s="27">
        <f ca="1">_xll.IMDP("ECO",$C26,"현재가",$F$4,"fill=true, DISP=DATE")</f>
        <v>20221231</v>
      </c>
      <c r="S26" s="58">
        <f t="shared" ca="1" si="7"/>
        <v>44926</v>
      </c>
      <c r="T26" s="34">
        <f ca="1">( $Q26/_xll.IMDP("ECO", $C26, "현재가", EOMONTH($S26, -12)) -1)*100</f>
        <v>2.8403119832248525</v>
      </c>
      <c r="U26" s="28">
        <f ca="1">IF(_xll.IMDP("ECO",$D26,"현재가",$D$1)="","",_xll.IMDP("ECO",$D26,"현재가",$D$1))</f>
        <v>2.5030000000000001</v>
      </c>
      <c r="V26" s="28">
        <f ca="1">IF(_xll.IMDP("ECO",$D26,"현재가",$D$2)="","",_xll.IMDP("ECO",$D26,"현재가",$D$2))</f>
        <v>1.603</v>
      </c>
      <c r="W26" s="28">
        <f ca="1">IF(_xll.IMDP("ECO",$D26,"현재가",$D$3)="","",_xll.IMDP("ECO",$D26,"현재가",$D$3))</f>
        <v>1.2</v>
      </c>
      <c r="X26" s="28">
        <f ca="1">IF(_xll.IMDP("ECO",$D26,"현재가",$D$4)="","",_xll.IMDP("ECO",$D26,"현재가",$D$4))</f>
        <v>1.0329999999999999</v>
      </c>
      <c r="Y26" s="28">
        <f ca="1">IF(_xll.IMDP("ECO",$D26,"현재가",$D$5)="","",_xll.IMDP("ECO",$D26,"현재가",$D$5))</f>
        <v>0.996</v>
      </c>
    </row>
    <row r="27" spans="2:25" x14ac:dyDescent="0.25">
      <c r="B27" s="24" t="s">
        <v>201</v>
      </c>
      <c r="C27" s="24" t="s">
        <v>197</v>
      </c>
      <c r="D27" s="24" t="s">
        <v>209</v>
      </c>
      <c r="E27" s="41" t="s">
        <v>184</v>
      </c>
      <c r="F27" s="25">
        <f ca="1">_xll.IMDP("ECO",$B27,"현재가",$F$4,"fill=TRUE")</f>
        <v>2.5</v>
      </c>
      <c r="G27" s="25">
        <f ca="1">IF( _xll.IMDP( "ECO", $B27, "현재가", EOMONTH($F$4,G$7) ) ="", _xll.IMDP( "ECO", $B27, "현재가", WORKDAY( EOMONTH($F$4,G$7), -1) ), _xll.IMDP( "ECO", $B27, "현재가", EOMONTH($F$4,G$7) ) )</f>
        <v>2</v>
      </c>
      <c r="H27" s="25">
        <f ca="1">IF( _xll.IMDP( "ECO", $B27, "현재가", EOMONTH($F$4,H$7) ) ="", _xll.IMDP( "ECO", $B27, "현재가", WORKDAY( EOMONTH($F$4,H$7), -1) ), _xll.IMDP( "ECO", $B27, "현재가", EOMONTH($F$4,H$7) ) )</f>
        <v>1.25</v>
      </c>
      <c r="I27" s="25">
        <f ca="1">IF( _xll.IMDP( "ECO", $B27, "현재가", EOMONTH($F$4,I$7) ) ="", _xll.IMDP( "ECO", $B27, "현재가", WORKDAY( EOMONTH($F$4,I$7), -1) ), _xll.IMDP( "ECO", $B27, "현재가", EOMONTH($F$4,I$7) ) )</f>
        <v>0</v>
      </c>
      <c r="J27" s="26">
        <f ca="1">IF( _xll.IMDP( "ECO", $B27, "현재가", EOMONTH($F$4,J$7) ) ="", _xll.IMDP( "ECO", $B27, "현재가", WORKDAY( EOMONTH($F$4,J$7), -1) ), _xll.IMDP( "ECO", $B27, "현재가", EOMONTH($F$4,J$7) ) )</f>
        <v>0</v>
      </c>
      <c r="K27" s="27">
        <f ca="1">_xll.IMDP("ECO",$B27,"현재가",$F$4,"DISP=DATE")</f>
        <v>20221231</v>
      </c>
      <c r="L27" s="27"/>
      <c r="M27" s="50">
        <f ca="1">($F27-G27)*100</f>
        <v>50</v>
      </c>
      <c r="N27" s="50">
        <f ca="1">($F27-H27)*100</f>
        <v>125</v>
      </c>
      <c r="O27" s="50">
        <f ca="1">($F27-I27)*100</f>
        <v>250</v>
      </c>
      <c r="P27" s="50">
        <f ca="1">($F27-J27)*100</f>
        <v>250</v>
      </c>
      <c r="Q27" s="64">
        <f ca="1">_xll.IMDP("ECO",$C27,"현재가",$F$4, "fill=true")</f>
        <v>109.899</v>
      </c>
      <c r="R27" s="27">
        <f ca="1">_xll.IMDP("ECO",$C27,"현재가",$F$4,"fill=true, DISP=DATE")</f>
        <v>20221231</v>
      </c>
      <c r="S27" s="58">
        <f ca="1">DATE(LEFT(R27,4), MID(R27,5,2), RIGHT(R27,2))</f>
        <v>44926</v>
      </c>
      <c r="T27" s="34">
        <f ca="1">( $Q27/_xll.IMDP("ECO", $C27, "현재가", EOMONTH($S27, -12)) -1)*100</f>
        <v>5.7076900880103754</v>
      </c>
      <c r="U27" s="28">
        <f ca="1">IF(_xll.IMDP("ECO",$D27,"현재가",$D$1)="","",_xll.IMDP("ECO",$D27,"현재가",$D$1))</f>
        <v>5.3040000000000003</v>
      </c>
      <c r="V27" s="28">
        <f ca="1">IF(_xll.IMDP("ECO",$D27,"현재가",$D$2)="","",_xll.IMDP("ECO",$D27,"현재가",$D$2))</f>
        <v>1.28</v>
      </c>
      <c r="W27" s="28">
        <f ca="1">IF(_xll.IMDP("ECO",$D27,"현재가",$D$3)="","",_xll.IMDP("ECO",$D27,"현재가",$D$3))</f>
        <v>1.3740000000000001</v>
      </c>
      <c r="X27" s="28">
        <f ca="1">IF(_xll.IMDP("ECO",$D27,"현재가",$D$4)="","",_xll.IMDP("ECO",$D27,"현재가",$D$4))</f>
        <v>1.623</v>
      </c>
      <c r="Y27" s="28">
        <f ca="1">IF(_xll.IMDP("ECO",$D27,"현재가",$D$5)="","",_xll.IMDP("ECO",$D27,"현재가",$D$5))</f>
        <v>1.7</v>
      </c>
    </row>
    <row r="28" spans="2:25" x14ac:dyDescent="0.25">
      <c r="B28" s="24" t="s">
        <v>204</v>
      </c>
      <c r="C28" s="24" t="s">
        <v>198</v>
      </c>
      <c r="D28" s="24" t="s">
        <v>210</v>
      </c>
      <c r="E28" s="41" t="s">
        <v>186</v>
      </c>
      <c r="F28" s="25">
        <f ca="1">_xll.IMDP("ECO",$B28,"현재가",$F$4,"fill=TRUE")</f>
        <v>2.5293000000000001</v>
      </c>
      <c r="G28" s="25">
        <f ca="1">IF( _xll.IMDP( "ECO", $B28, "현재가", EOMONTH($F$4,G$7) ) ="", _xll.IMDP( "ECO", $B28, "현재가", WORKDAY( EOMONTH($F$4,G$7), -1) ), _xll.IMDP( "ECO", $B28, "현재가", EOMONTH($F$4,G$7) ) )</f>
        <v>3.9119000000000002</v>
      </c>
      <c r="H28" s="25">
        <f ca="1">IF( _xll.IMDP( "ECO", $B28, "현재가", EOMONTH($F$4,H$7) ) ="", _xll.IMDP( "ECO", $B28, "현재가", WORKDAY( EOMONTH($F$4,H$7), -1) ), _xll.IMDP( "ECO", $B28, "현재가", EOMONTH($F$4,H$7) ) )</f>
        <v>4.3916000000000004</v>
      </c>
      <c r="I28" s="25">
        <f ca="1">IF( _xll.IMDP( "ECO", $B28, "현재가", EOMONTH($F$4,I$7) ) ="", _xll.IMDP( "ECO", $B28, "현재가", WORKDAY( EOMONTH($F$4,I$7), -1) ), _xll.IMDP( "ECO", $B28, "현재가", EOMONTH($F$4,I$7) ) )</f>
        <v>1.6561999999999999</v>
      </c>
      <c r="J28" s="26">
        <f ca="1">IF( _xll.IMDP( "ECO", $B28, "현재가", EOMONTH($F$4,J$7) ) ="", _xll.IMDP( "ECO", $B28, "현재가", WORKDAY( EOMONTH($F$4,J$7), -1) ), _xll.IMDP( "ECO", $B28, "현재가", EOMONTH($F$4,J$7) ) )</f>
        <v>0.30649999999999999</v>
      </c>
      <c r="K28" s="27">
        <f ca="1">_xll.IMDP("ECO",$B28,"현재가",$F$4,"DISP=DATE")</f>
        <v>20221231</v>
      </c>
      <c r="L28" s="27"/>
      <c r="M28" s="50">
        <f ca="1">($F28-G28)*100</f>
        <v>-138.26</v>
      </c>
      <c r="N28" s="50">
        <f ca="1">($F28-H28)*100</f>
        <v>-186.23000000000002</v>
      </c>
      <c r="O28" s="50">
        <f ca="1">($F28-I28)*100</f>
        <v>87.310000000000016</v>
      </c>
      <c r="P28" s="50">
        <f ca="1">($F28-J28)*100</f>
        <v>222.28000000000003</v>
      </c>
      <c r="Q28" s="64">
        <f ca="1">_xll.IMDP("ECO",$C28,"현재가",$F$4, "fill=true")</f>
        <v>110.959</v>
      </c>
      <c r="R28" s="27">
        <f ca="1">_xll.IMDP("ECO",$C28,"현재가",$F$4,"fill=true, DISP=DATE")</f>
        <v>20221130</v>
      </c>
      <c r="S28" s="58">
        <f ca="1">DATE(LEFT(R28,4), MID(R28,5,2), RIGHT(R28,2))</f>
        <v>44895</v>
      </c>
      <c r="T28" s="34">
        <f ca="1">( $Q28/_xll.IMDP("ECO", $C28, "현재가", EOMONTH($S28, -12)) -1)*100</f>
        <v>6.733423753595158</v>
      </c>
      <c r="U28" s="28">
        <f ca="1">IF(_xll.IMDP("ECO",$D28,"현재가",$D$1)="","",_xll.IMDP("ECO",$D28,"현재가",$D$1))</f>
        <v>3.492</v>
      </c>
      <c r="V28" s="28">
        <f ca="1">IF(_xll.IMDP("ECO",$D28,"현재가",$D$2)="","",_xll.IMDP("ECO",$D28,"현재가",$D$2))</f>
        <v>2</v>
      </c>
      <c r="W28" s="28">
        <f ca="1">IF(_xll.IMDP("ECO",$D28,"현재가",$D$3)="","",_xll.IMDP("ECO",$D28,"현재가",$D$3))</f>
        <v>1.5049999999999999</v>
      </c>
      <c r="X28" s="28">
        <f ca="1">IF(_xll.IMDP("ECO",$D28,"현재가",$D$4)="","",_xll.IMDP("ECO",$D28,"현재가",$D$4))</f>
        <v>1.484</v>
      </c>
      <c r="Y28" s="28">
        <f ca="1">IF(_xll.IMDP("ECO",$D28,"현재가",$D$5)="","",_xll.IMDP("ECO",$D28,"현재가",$D$5))</f>
        <v>1.4750000000000001</v>
      </c>
    </row>
    <row r="29" spans="2:25" x14ac:dyDescent="0.25">
      <c r="B29" s="1" t="s">
        <v>3</v>
      </c>
      <c r="C29" s="1" t="s">
        <v>40</v>
      </c>
      <c r="D29" s="15" t="s">
        <v>69</v>
      </c>
      <c r="E29" s="41" t="s">
        <v>98</v>
      </c>
      <c r="F29" s="25">
        <f ca="1">_xll.IMDP("ECO",$B29,"현재가",$F$4,"fill=TRUE")</f>
        <v>75</v>
      </c>
      <c r="G29" s="25">
        <f ca="1">IF( _xll.IMDP( "ECO", $B29, "현재가", EOMONTH($F$4,G$7) ) ="", _xll.IMDP( "ECO", $B29, "현재가", WORKDAY( EOMONTH($F$4,G$7), -1) ), _xll.IMDP( "ECO", $B29, "현재가", EOMONTH($F$4,G$7) ) )</f>
        <v>75</v>
      </c>
      <c r="H29" s="25">
        <f ca="1">IF( _xll.IMDP( "ECO", $B29, "현재가", EOMONTH($F$4,H$7) ) ="", _xll.IMDP( "ECO", $B29, "현재가", WORKDAY( EOMONTH($F$4,H$7), -1) ), _xll.IMDP( "ECO", $B29, "현재가", EOMONTH($F$4,H$7) ) )</f>
        <v>75</v>
      </c>
      <c r="I29" s="25">
        <f ca="1">IF( _xll.IMDP( "ECO", $B29, "현재가", EOMONTH($F$4,I$7) ) ="", _xll.IMDP( "ECO", $B29, "현재가", WORKDAY( EOMONTH($F$4,I$7), -1) ), _xll.IMDP( "ECO", $B29, "현재가", EOMONTH($F$4,I$7) ) )</f>
        <v>52</v>
      </c>
      <c r="J29" s="26">
        <f ca="1">IF( _xll.IMDP( "ECO", $B29, "현재가", EOMONTH($F$4,J$7) ) ="", _xll.IMDP( "ECO", $B29, "현재가", WORKDAY( EOMONTH($F$4,J$7), -1) ), _xll.IMDP( "ECO", $B29, "현재가", EOMONTH($F$4,J$7) ) )</f>
        <v>38</v>
      </c>
      <c r="K29" s="27">
        <f ca="1">_xll.IMDP("ECO",$B29,"현재가",$F$4,"DISP=DATE")</f>
        <v>20221231</v>
      </c>
      <c r="L29" s="27"/>
      <c r="M29" s="50">
        <f t="shared" ca="1" si="6"/>
        <v>0</v>
      </c>
      <c r="N29" s="50">
        <f t="shared" ca="1" si="0"/>
        <v>0</v>
      </c>
      <c r="O29" s="50">
        <f t="shared" ca="1" si="1"/>
        <v>2300</v>
      </c>
      <c r="P29" s="50">
        <f t="shared" ca="1" si="2"/>
        <v>3700</v>
      </c>
      <c r="Q29" s="67">
        <f ca="1">_xll.IMDP("ECO",$C29,"현재가",$F$4, "fill=true")</f>
        <v>1134.5875000000001</v>
      </c>
      <c r="R29" s="27">
        <f ca="1">_xll.IMDP("ECO",$C29,"현재가",$F$4,"fill=true, DISP=DATE")</f>
        <v>20221231</v>
      </c>
      <c r="S29" s="58">
        <f t="shared" ca="1" si="7"/>
        <v>44926</v>
      </c>
      <c r="T29" s="34">
        <f ca="1">( $Q29/_xll.IMDP("ECO", $C29, "현재가", EOMONTH($S29, -12)) -1)*100</f>
        <v>94.793182335191844</v>
      </c>
      <c r="U29" s="28">
        <f ca="1">IF(_xll.IMDP("ECO",$D29,"현재가",$D$1)="","",_xll.IMDP("ECO",$D29,"현재가",$D$1))</f>
        <v>51.732999999999997</v>
      </c>
      <c r="V29" s="28">
        <f ca="1">IF(_xll.IMDP("ECO",$D29,"현재가",$D$2)="","",_xll.IMDP("ECO",$D29,"현재가",$D$2))</f>
        <v>43.463000000000001</v>
      </c>
      <c r="W29" s="28">
        <f ca="1">IF(_xll.IMDP("ECO",$D29,"현재가",$D$3)="","",_xll.IMDP("ECO",$D29,"현재가",$D$3))</f>
        <v>38.499000000000002</v>
      </c>
      <c r="X29" s="28">
        <f ca="1">IF(_xll.IMDP("ECO",$D29,"현재가",$D$4)="","",_xll.IMDP("ECO",$D29,"현재가",$D$4))</f>
        <v>35.295999999999999</v>
      </c>
      <c r="Y29" s="28">
        <f ca="1">IF(_xll.IMDP("ECO",$D29,"현재가",$D$5)="","",_xll.IMDP("ECO",$D29,"현재가",$D$5))</f>
        <v>29.175999999999998</v>
      </c>
    </row>
    <row r="30" spans="2:25" x14ac:dyDescent="0.25">
      <c r="B30" s="24" t="s">
        <v>201</v>
      </c>
      <c r="C30" s="24" t="s">
        <v>199</v>
      </c>
      <c r="D30" s="24" t="s">
        <v>211</v>
      </c>
      <c r="E30" s="41" t="s">
        <v>188</v>
      </c>
      <c r="F30" s="25">
        <f ca="1">_xll.IMDP("ECO",$B30,"현재가",$F$4,"fill=TRUE")</f>
        <v>2.5</v>
      </c>
      <c r="G30" s="25">
        <f ca="1">IF( _xll.IMDP( "ECO", $B30, "현재가", EOMONTH($F$4,G$7) ) ="", _xll.IMDP( "ECO", $B30, "현재가", WORKDAY( EOMONTH($F$4,G$7), -1) ), _xll.IMDP( "ECO", $B30, "현재가", EOMONTH($F$4,G$7) ) )</f>
        <v>2</v>
      </c>
      <c r="H30" s="25">
        <f ca="1">IF( _xll.IMDP( "ECO", $B30, "현재가", EOMONTH($F$4,H$7) ) ="", _xll.IMDP( "ECO", $B30, "현재가", WORKDAY( EOMONTH($F$4,H$7), -1) ), _xll.IMDP( "ECO", $B30, "현재가", EOMONTH($F$4,H$7) ) )</f>
        <v>1.25</v>
      </c>
      <c r="I30" s="25">
        <f ca="1">IF( _xll.IMDP( "ECO", $B30, "현재가", EOMONTH($F$4,I$7) ) ="", _xll.IMDP( "ECO", $B30, "현재가", WORKDAY( EOMONTH($F$4,I$7), -1) ), _xll.IMDP( "ECO", $B30, "현재가", EOMONTH($F$4,I$7) ) )</f>
        <v>0</v>
      </c>
      <c r="J30" s="26">
        <f ca="1">IF( _xll.IMDP( "ECO", $B30, "현재가", EOMONTH($F$4,J$7) ) ="", _xll.IMDP( "ECO", $B30, "현재가", WORKDAY( EOMONTH($F$4,J$7), -1) ), _xll.IMDP( "ECO", $B30, "현재가", EOMONTH($F$4,J$7) ) )</f>
        <v>0</v>
      </c>
      <c r="K30" s="27">
        <f ca="1">_xll.IMDP("ECO",$B30,"현재가",$F$4,"DISP=DATE")</f>
        <v>20221231</v>
      </c>
      <c r="L30" s="27"/>
      <c r="M30" s="50">
        <f ca="1">($F30-G30)*100</f>
        <v>50</v>
      </c>
      <c r="N30" s="50">
        <f ca="1">($F30-H30)*100</f>
        <v>125</v>
      </c>
      <c r="O30" s="50">
        <f ca="1">($F30-I30)*100</f>
        <v>250</v>
      </c>
      <c r="P30" s="50">
        <f ca="1">($F30-J30)*100</f>
        <v>250</v>
      </c>
      <c r="Q30" s="62">
        <f ca="1">_xll.IMDP("ECO",$C30,"현재가",$F$4, "fill=true")</f>
        <v>116</v>
      </c>
      <c r="R30" s="27">
        <f ca="1">_xll.IMDP("ECO",$C30,"현재가",$F$4,"fill=true, DISP=DATE")</f>
        <v>20221130</v>
      </c>
      <c r="S30" s="58">
        <f ca="1">DATE(LEFT(R30,4), MID(R30,5,2), RIGHT(R30,2))</f>
        <v>44895</v>
      </c>
      <c r="T30" s="34">
        <f ca="1">( $Q30/_xll.IMDP("ECO", $C30, "현재가", EOMONTH($S30, -12)) -1)*100</f>
        <v>8.9201877934272247</v>
      </c>
      <c r="U30" s="28">
        <f ca="1">IF(_xll.IMDP("ECO",$D30,"현재가",$D$1)="","",_xll.IMDP("ECO",$D30,"현재가",$D$1))</f>
        <v>5.6639999999999997</v>
      </c>
      <c r="V30" s="28">
        <f ca="1">IF(_xll.IMDP("ECO",$D30,"현재가",$D$2)="","",_xll.IMDP("ECO",$D30,"현재가",$D$2))</f>
        <v>2.7</v>
      </c>
      <c r="W30" s="28">
        <f ca="1">IF(_xll.IMDP("ECO",$D30,"현재가",$D$3)="","",_xll.IMDP("ECO",$D30,"현재가",$D$3))</f>
        <v>2</v>
      </c>
      <c r="X30" s="28">
        <f ca="1">IF(_xll.IMDP("ECO",$D30,"현재가",$D$4)="","",_xll.IMDP("ECO",$D30,"현재가",$D$4))</f>
        <v>2</v>
      </c>
      <c r="Y30" s="28">
        <f ca="1">IF(_xll.IMDP("ECO",$D30,"현재가",$D$5)="","",_xll.IMDP("ECO",$D30,"현재가",$D$5))</f>
        <v>2</v>
      </c>
    </row>
    <row r="31" spans="2:25" x14ac:dyDescent="0.25">
      <c r="B31" s="1" t="s">
        <v>7</v>
      </c>
      <c r="C31" s="1" t="s">
        <v>41</v>
      </c>
      <c r="D31" s="9" t="s">
        <v>62</v>
      </c>
      <c r="E31" s="41" t="s">
        <v>99</v>
      </c>
      <c r="F31" s="25">
        <f ca="1">_xll.IMDP("ECO",$B31,"현재가",$F$4,"fill=TRUE")</f>
        <v>3.5</v>
      </c>
      <c r="G31" s="25">
        <f ca="1">IF( _xll.IMDP( "ECO", $B31, "현재가", EOMONTH($F$4,G$7) ) ="", _xll.IMDP( "ECO", $B31, "현재가", WORKDAY( EOMONTH($F$4,G$7), -1) ), _xll.IMDP( "ECO", $B31, "현재가", EOMONTH($F$4,G$7) ) )</f>
        <v>3</v>
      </c>
      <c r="H31" s="25">
        <f ca="1">IF( _xll.IMDP( "ECO", $B31, "현재가", EOMONTH($F$4,H$7) ) ="", _xll.IMDP( "ECO", $B31, "현재가", WORKDAY( EOMONTH($F$4,H$7), -1) ), _xll.IMDP( "ECO", $B31, "현재가", EOMONTH($F$4,H$7) ) )</f>
        <v>2.25</v>
      </c>
      <c r="I31" s="25">
        <f ca="1">IF( _xll.IMDP( "ECO", $B31, "현재가", EOMONTH($F$4,I$7) ) ="", _xll.IMDP( "ECO", $B31, "현재가", WORKDAY( EOMONTH($F$4,I$7), -1) ), _xll.IMDP( "ECO", $B31, "현재가", EOMONTH($F$4,I$7) ) )</f>
        <v>1.25</v>
      </c>
      <c r="J31" s="26">
        <f ca="1">IF( _xll.IMDP( "ECO", $B31, "현재가", EOMONTH($F$4,J$7) ) ="", _xll.IMDP( "ECO", $B31, "현재가", WORKDAY( EOMONTH($F$4,J$7), -1) ), _xll.IMDP( "ECO", $B31, "현재가", EOMONTH($F$4,J$7) ) )</f>
        <v>0.25</v>
      </c>
      <c r="K31" s="27">
        <f ca="1">_xll.IMDP("ECO",$B31,"현재가",$F$4,"DISP=DATE")</f>
        <v>20221231</v>
      </c>
      <c r="L31" s="27"/>
      <c r="M31" s="50">
        <f t="shared" ca="1" si="6"/>
        <v>50</v>
      </c>
      <c r="N31" s="50">
        <f t="shared" ca="1" si="0"/>
        <v>125</v>
      </c>
      <c r="O31" s="50">
        <f t="shared" ca="1" si="1"/>
        <v>225</v>
      </c>
      <c r="P31" s="50">
        <f t="shared" ca="1" si="2"/>
        <v>325</v>
      </c>
      <c r="Q31" s="64">
        <f ca="1">_xll.IMDP("ECO",$C31,"현재가",$F$4, "fill=true")</f>
        <v>124.78700000000001</v>
      </c>
      <c r="R31" s="27">
        <f ca="1">_xll.IMDP("ECO",$C31,"현재가",$F$4,"fill=true, DISP=DATE")</f>
        <v>20221130</v>
      </c>
      <c r="S31" s="58">
        <f t="shared" ca="1" si="7"/>
        <v>44895</v>
      </c>
      <c r="T31" s="34">
        <f ca="1">( $Q31/_xll.IMDP("ECO", $C31, "현재가", EOMONTH($S31, -12)) -1)*100</f>
        <v>9.3337655737992122</v>
      </c>
      <c r="U31" s="28">
        <f ca="1">IF(_xll.IMDP("ECO",$D31,"현재가",$D$1)="","",_xll.IMDP("ECO",$D31,"현재가",$D$1))</f>
        <v>7.41</v>
      </c>
      <c r="V31" s="28">
        <f ca="1">IF(_xll.IMDP("ECO",$D31,"현재가",$D$2)="","",_xll.IMDP("ECO",$D31,"현재가",$D$2))</f>
        <v>5.2729999999999997</v>
      </c>
      <c r="W31" s="28">
        <f ca="1">IF(_xll.IMDP("ECO",$D31,"현재가",$D$3)="","",_xll.IMDP("ECO",$D31,"현재가",$D$3))</f>
        <v>2.5950000000000002</v>
      </c>
      <c r="X31" s="28">
        <f ca="1">IF(_xll.IMDP("ECO",$D31,"현재가",$D$4)="","",_xll.IMDP("ECO",$D31,"현재가",$D$4))</f>
        <v>1.8759999999999999</v>
      </c>
      <c r="Y31" s="28">
        <f ca="1">IF(_xll.IMDP("ECO",$D31,"현재가",$D$5)="","",_xll.IMDP("ECO",$D31,"현재가",$D$5))</f>
        <v>2</v>
      </c>
    </row>
    <row r="32" spans="2:25" x14ac:dyDescent="0.25">
      <c r="B32" s="1" t="s">
        <v>6</v>
      </c>
      <c r="C32" s="1" t="s">
        <v>28</v>
      </c>
      <c r="D32" s="8" t="s">
        <v>61</v>
      </c>
      <c r="E32" s="41" t="s">
        <v>190</v>
      </c>
      <c r="F32" s="25">
        <f ca="1">_xll.IMDP("ECO",$B32,"현재가",$F$4,"fill=TRUE")</f>
        <v>2.5</v>
      </c>
      <c r="G32" s="25">
        <f ca="1">IF( _xll.IMDP( "ECO", $B32, "현재가", EOMONTH($F$4,G$7) ) ="", _xll.IMDP( "ECO", $B32, "현재가", WORKDAY( EOMONTH($F$4,G$7), -1) ), _xll.IMDP( "ECO", $B32, "현재가", EOMONTH($F$4,G$7) ) )</f>
        <v>2</v>
      </c>
      <c r="H32" s="25">
        <f ca="1">IF( _xll.IMDP( "ECO", $B32, "현재가", EOMONTH($F$4,H$7) ) ="", _xll.IMDP( "ECO", $B32, "현재가", WORKDAY( EOMONTH($F$4,H$7), -1) ), _xll.IMDP( "ECO", $B32, "현재가", EOMONTH($F$4,H$7) ) )</f>
        <v>1.25</v>
      </c>
      <c r="I32" s="25">
        <f ca="1">IF( _xll.IMDP( "ECO", $B32, "현재가", EOMONTH($F$4,I$7) ) ="", _xll.IMDP( "ECO", $B32, "현재가", WORKDAY( EOMONTH($F$4,I$7), -1) ), _xll.IMDP( "ECO", $B32, "현재가", EOMONTH($F$4,I$7) ) )</f>
        <v>0</v>
      </c>
      <c r="J32" s="26">
        <f ca="1">IF( _xll.IMDP( "ECO", $B32, "현재가", EOMONTH($F$4,J$7) ) ="", _xll.IMDP( "ECO", $B32, "현재가", WORKDAY( EOMONTH($F$4,J$7), -1) ), _xll.IMDP( "ECO", $B32, "현재가", EOMONTH($F$4,J$7) ) )</f>
        <v>0</v>
      </c>
      <c r="K32" s="27">
        <f ca="1">_xll.IMDP("ECO",$B32,"현재가",$F$4,"DISP=DATE")</f>
        <v>20221231</v>
      </c>
      <c r="L32" s="27"/>
      <c r="M32" s="50">
        <f t="shared" ca="1" si="6"/>
        <v>50</v>
      </c>
      <c r="N32" s="50">
        <f t="shared" ca="1" si="0"/>
        <v>125</v>
      </c>
      <c r="O32" s="50">
        <f t="shared" ca="1" si="1"/>
        <v>250</v>
      </c>
      <c r="P32" s="50">
        <f t="shared" ca="1" si="2"/>
        <v>250</v>
      </c>
      <c r="Q32" s="63">
        <f ca="1">_xll.IMDP("ECO",$C32,"현재가",$F$4, "fill=true")</f>
        <v>120.53</v>
      </c>
      <c r="R32" s="27">
        <f ca="1">_xll.IMDP("ECO",$C32,"현재가",$F$4,"fill=true, DISP=DATE")</f>
        <v>20221231</v>
      </c>
      <c r="S32" s="58">
        <f t="shared" ca="1" si="7"/>
        <v>44926</v>
      </c>
      <c r="T32" s="34">
        <f ca="1">( $Q32/_xll.IMDP("ECO", $C32, "현재가", EOMONTH($S32, -12)) -1)*100</f>
        <v>9.2054000181208693</v>
      </c>
      <c r="U32" s="28">
        <f ca="1">IF(_xll.IMDP("ECO",$D32,"현재가",$D$1)="","",_xll.IMDP("ECO",$D32,"현재가",$D$1))</f>
        <v>1.4039999999999999</v>
      </c>
      <c r="V32" s="28">
        <f ca="1">IF(_xll.IMDP("ECO",$D32,"현재가",$D$2)="","",_xll.IMDP("ECO",$D32,"현재가",$D$2))</f>
        <v>1.609</v>
      </c>
      <c r="W32" s="28">
        <f ca="1">IF(_xll.IMDP("ECO",$D32,"현재가",$D$3)="","",_xll.IMDP("ECO",$D32,"현재가",$D$3))</f>
        <v>1.716</v>
      </c>
      <c r="X32" s="28">
        <f ca="1">IF(_xll.IMDP("ECO",$D32,"현재가",$D$4)="","",_xll.IMDP("ECO",$D32,"현재가",$D$4))</f>
        <v>1.829</v>
      </c>
      <c r="Y32" s="28">
        <f ca="1">IF(_xll.IMDP("ECO",$D32,"현재가",$D$5)="","",_xll.IMDP("ECO",$D32,"현재가",$D$5))</f>
        <v>1.8779999999999999</v>
      </c>
    </row>
    <row r="33" spans="2:25" x14ac:dyDescent="0.25">
      <c r="B33" s="1" t="s">
        <v>6</v>
      </c>
      <c r="C33" s="1" t="s">
        <v>50</v>
      </c>
      <c r="D33" s="19" t="s">
        <v>73</v>
      </c>
      <c r="E33" s="41" t="s">
        <v>100</v>
      </c>
      <c r="F33" s="25">
        <f ca="1">_xll.IMDP("ECO",$B33,"현재가",$F$4,"fill=TRUE")</f>
        <v>2.5</v>
      </c>
      <c r="G33" s="25">
        <f ca="1">IF( _xll.IMDP( "ECO", $B33, "현재가", EOMONTH($F$4,G$7) ) ="", _xll.IMDP( "ECO", $B33, "현재가", WORKDAY( EOMONTH($F$4,G$7), -1) ), _xll.IMDP( "ECO", $B33, "현재가", EOMONTH($F$4,G$7) ) )</f>
        <v>2</v>
      </c>
      <c r="H33" s="25">
        <f ca="1">IF( _xll.IMDP( "ECO", $B33, "현재가", EOMONTH($F$4,H$7) ) ="", _xll.IMDP( "ECO", $B33, "현재가", WORKDAY( EOMONTH($F$4,H$7), -1) ), _xll.IMDP( "ECO", $B33, "현재가", EOMONTH($F$4,H$7) ) )</f>
        <v>1.25</v>
      </c>
      <c r="I33" s="25">
        <f ca="1">IF( _xll.IMDP( "ECO", $B33, "현재가", EOMONTH($F$4,I$7) ) ="", _xll.IMDP( "ECO", $B33, "현재가", WORKDAY( EOMONTH($F$4,I$7), -1) ), _xll.IMDP( "ECO", $B33, "현재가", EOMONTH($F$4,I$7) ) )</f>
        <v>0</v>
      </c>
      <c r="J33" s="26">
        <f ca="1">IF( _xll.IMDP( "ECO", $B33, "현재가", EOMONTH($F$4,J$7) ) ="", _xll.IMDP( "ECO", $B33, "현재가", WORKDAY( EOMONTH($F$4,J$7), -1) ), _xll.IMDP( "ECO", $B33, "현재가", EOMONTH($F$4,J$7) ) )</f>
        <v>0</v>
      </c>
      <c r="K33" s="27">
        <f ca="1">_xll.IMDP("ECO",$B33,"현재가",$F$4,"DISP=DATE")</f>
        <v>20221231</v>
      </c>
      <c r="L33" s="27"/>
      <c r="M33" s="50">
        <f t="shared" ca="1" si="6"/>
        <v>50</v>
      </c>
      <c r="N33" s="50">
        <f t="shared" ca="1" si="0"/>
        <v>125</v>
      </c>
      <c r="O33" s="50">
        <f t="shared" ca="1" si="1"/>
        <v>250</v>
      </c>
      <c r="P33" s="50">
        <f t="shared" ca="1" si="2"/>
        <v>250</v>
      </c>
      <c r="Q33" s="62">
        <f ca="1">_xll.IMDP("ECO",$C33,"현재가",$F$4, "fill=true")</f>
        <v>119</v>
      </c>
      <c r="R33" s="27">
        <f ca="1">_xll.IMDP("ECO",$C33,"현재가",$F$4,"fill=true, DISP=DATE")</f>
        <v>20221231</v>
      </c>
      <c r="S33" s="58">
        <f t="shared" ca="1" si="7"/>
        <v>44926</v>
      </c>
      <c r="T33" s="34">
        <f ca="1">( $Q33/_xll.IMDP("ECO", $C33, "현재가", EOMONTH($S33, -12)) -1)*100</f>
        <v>11.632270168855531</v>
      </c>
      <c r="U33" s="28">
        <f ca="1">IF(_xll.IMDP("ECO",$D33,"현재가",$D$1)="","",_xll.IMDP("ECO",$D33,"현재가",$D$1))</f>
        <v>5.2969999999999997</v>
      </c>
      <c r="V33" s="28">
        <f ca="1">IF(_xll.IMDP("ECO",$D33,"현재가",$D$2)="","",_xll.IMDP("ECO",$D33,"현재가",$D$2))</f>
        <v>2.4980000000000002</v>
      </c>
      <c r="W33" s="28">
        <f ca="1">IF(_xll.IMDP("ECO",$D33,"현재가",$D$3)="","",_xll.IMDP("ECO",$D33,"현재가",$D$3))</f>
        <v>2.1019999999999999</v>
      </c>
      <c r="X33" s="28">
        <f ca="1">IF(_xll.IMDP("ECO",$D33,"현재가",$D$4)="","",_xll.IMDP("ECO",$D33,"현재가",$D$4))</f>
        <v>1.996</v>
      </c>
      <c r="Y33" s="28">
        <f ca="1">IF(_xll.IMDP("ECO",$D33,"현재가",$D$5)="","",_xll.IMDP("ECO",$D33,"현재가",$D$5))</f>
        <v>2</v>
      </c>
    </row>
    <row r="34" spans="2:25" x14ac:dyDescent="0.25">
      <c r="B34" s="1" t="s">
        <v>19</v>
      </c>
      <c r="C34" s="1" t="s">
        <v>42</v>
      </c>
      <c r="D34" s="14" t="s">
        <v>68</v>
      </c>
      <c r="E34" s="41" t="s">
        <v>101</v>
      </c>
      <c r="F34" s="25">
        <f ca="1">_xll.IMDP("ECO",$B34,"현재가",$F$4,"fill=TRUE")</f>
        <v>6.25</v>
      </c>
      <c r="G34" s="25">
        <f ca="1">IF( _xll.IMDP( "ECO", $B34, "현재가", EOMONTH($F$4,G$7) ) ="", _xll.IMDP( "ECO", $B34, "현재가", WORKDAY( EOMONTH($F$4,G$7), -1) ), _xll.IMDP( "ECO", $B34, "현재가", EOMONTH($F$4,G$7) ) )</f>
        <v>5.9</v>
      </c>
      <c r="H34" s="25">
        <f ca="1">IF( _xll.IMDP( "ECO", $B34, "현재가", EOMONTH($F$4,H$7) ) ="", _xll.IMDP( "ECO", $B34, "현재가", WORKDAY( EOMONTH($F$4,H$7), -1) ), _xll.IMDP( "ECO", $B34, "현재가", EOMONTH($F$4,H$7) ) )</f>
        <v>5.9</v>
      </c>
      <c r="I34" s="25">
        <f ca="1">IF( _xll.IMDP( "ECO", $B34, "현재가", EOMONTH($F$4,I$7) ) ="", _xll.IMDP( "ECO", $B34, "현재가", WORKDAY( EOMONTH($F$4,I$7), -1) ), _xll.IMDP( "ECO", $B34, "현재가", EOMONTH($F$4,I$7) ) )</f>
        <v>4.9000000000000004</v>
      </c>
      <c r="J34" s="26">
        <f ca="1">IF( _xll.IMDP( "ECO", $B34, "현재가", EOMONTH($F$4,J$7) ) ="", _xll.IMDP( "ECO", $B34, "현재가", WORKDAY( EOMONTH($F$4,J$7), -1) ), _xll.IMDP( "ECO", $B34, "현재가", EOMONTH($F$4,J$7) ) )</f>
        <v>4</v>
      </c>
      <c r="K34" s="27">
        <f ca="1">_xll.IMDP("ECO",$B34,"현재가",$F$4,"DISP=DATE")</f>
        <v>20221231</v>
      </c>
      <c r="L34" s="27"/>
      <c r="M34" s="50">
        <f t="shared" ca="1" si="6"/>
        <v>34.999999999999964</v>
      </c>
      <c r="N34" s="50">
        <f t="shared" ca="1" si="0"/>
        <v>34.999999999999964</v>
      </c>
      <c r="O34" s="50">
        <f t="shared" ca="1" si="1"/>
        <v>134.99999999999997</v>
      </c>
      <c r="P34" s="50">
        <f t="shared" ca="1" si="2"/>
        <v>225</v>
      </c>
      <c r="Q34" s="62">
        <f ca="1">_xll.IMDP("ECO",$C34,"현재가",$F$4, "fill=true")</f>
        <v>175.7</v>
      </c>
      <c r="R34" s="27">
        <f ca="1">_xll.IMDP("ECO",$C34,"현재가",$F$4,"fill=true, DISP=DATE")</f>
        <v>20221231</v>
      </c>
      <c r="S34" s="58">
        <f t="shared" ca="1" si="7"/>
        <v>44926</v>
      </c>
      <c r="T34" s="34">
        <f ca="1">( $Q34/_xll.IMDP("ECO", $C34, "현재가", EOMONTH($S34, -12)) -1)*100</f>
        <v>5.7160048134777375</v>
      </c>
      <c r="U34" s="28">
        <f ca="1">IF(_xll.IMDP("ECO",$D34,"현재가",$D$1)="","",_xll.IMDP("ECO",$D34,"현재가",$D$1))</f>
        <v>6.0830000000000002</v>
      </c>
      <c r="V34" s="28">
        <f ca="1">IF(_xll.IMDP("ECO",$D34,"현재가",$D$2)="","",_xll.IMDP("ECO",$D34,"현재가",$D$2))</f>
        <v>4.8120000000000003</v>
      </c>
      <c r="W34" s="28">
        <f ca="1">IF(_xll.IMDP("ECO",$D34,"현재가",$D$3)="","",_xll.IMDP("ECO",$D34,"현재가",$D$3))</f>
        <v>4.306</v>
      </c>
      <c r="X34" s="28">
        <f ca="1">IF(_xll.IMDP("ECO",$D34,"현재가",$D$4)="","",_xll.IMDP("ECO",$D34,"현재가",$D$4))</f>
        <v>4.0650000000000004</v>
      </c>
      <c r="Y34" s="28">
        <f ca="1">IF(_xll.IMDP("ECO",$D34,"현재가",$D$5)="","",_xll.IMDP("ECO",$D34,"현재가",$D$5))</f>
        <v>3.9649999999999999</v>
      </c>
    </row>
    <row r="35" spans="2:25" x14ac:dyDescent="0.25">
      <c r="B35" s="24" t="s">
        <v>203</v>
      </c>
      <c r="C35" s="24" t="s">
        <v>200</v>
      </c>
      <c r="D35" s="24" t="s">
        <v>212</v>
      </c>
      <c r="E35" s="41" t="s">
        <v>192</v>
      </c>
      <c r="F35" s="25">
        <f ca="1">_xll.IMDP("ECO",$B35,"현재가",$F$4,"fill=TRUE")</f>
        <v>5.5</v>
      </c>
      <c r="G35" s="25">
        <f ca="1">IF( _xll.IMDP( "ECO", $B35, "현재가", EOMONTH($F$4,G$7) ) ="", _xll.IMDP( "ECO", $B35, "현재가", WORKDAY( EOMONTH($F$4,G$7), -1) ), _xll.IMDP( "ECO", $B35, "현재가", EOMONTH($F$4,G$7) ) )</f>
        <v>5.25</v>
      </c>
      <c r="H35" s="25">
        <f ca="1">IF( _xll.IMDP( "ECO", $B35, "현재가", EOMONTH($F$4,H$7) ) ="", _xll.IMDP( "ECO", $B35, "현재가", WORKDAY( EOMONTH($F$4,H$7), -1) ), _xll.IMDP( "ECO", $B35, "현재가", EOMONTH($F$4,H$7) ) )</f>
        <v>4.25</v>
      </c>
      <c r="I35" s="25">
        <f ca="1">IF( _xll.IMDP( "ECO", $B35, "현재가", EOMONTH($F$4,I$7) ) ="", _xll.IMDP( "ECO", $B35, "현재가", WORKDAY( EOMONTH($F$4,I$7), -1) ), _xll.IMDP( "ECO", $B35, "현재가", EOMONTH($F$4,I$7) ) )</f>
        <v>3.5</v>
      </c>
      <c r="J35" s="26">
        <f ca="1">IF( _xll.IMDP( "ECO", $B35, "현재가", EOMONTH($F$4,J$7) ) ="", _xll.IMDP( "ECO", $B35, "현재가", WORKDAY( EOMONTH($F$4,J$7), -1) ), _xll.IMDP( "ECO", $B35, "현재가", EOMONTH($F$4,J$7) ) )</f>
        <v>3.5</v>
      </c>
      <c r="K35" s="27">
        <f ca="1">_xll.IMDP("ECO",$B35,"현재가",$F$4,"DISP=DATE")</f>
        <v>20221230</v>
      </c>
      <c r="L35" s="27"/>
      <c r="M35" s="50">
        <f ca="1">($F35-G35)*100</f>
        <v>25</v>
      </c>
      <c r="N35" s="50">
        <f ca="1">($F35-H35)*100</f>
        <v>125</v>
      </c>
      <c r="O35" s="50">
        <f ca="1">($F35-I35)*100</f>
        <v>200</v>
      </c>
      <c r="P35" s="50">
        <f ca="1">($F35-J35)*100</f>
        <v>200</v>
      </c>
      <c r="Q35" s="63">
        <f ca="1">_xll.IMDP("ECO",$C35,"현재가",$F$4, "fill=true")</f>
        <v>113.59</v>
      </c>
      <c r="R35" s="27">
        <f ca="1">_xll.IMDP("ECO",$C35,"현재가",$F$4,"fill=true, DISP=DATE")</f>
        <v>20221231</v>
      </c>
      <c r="S35" s="58">
        <f ca="1">DATE(LEFT(R35,4), MID(R35,5,2), RIGHT(R35,2))</f>
        <v>44926</v>
      </c>
      <c r="T35" s="34">
        <f ca="1">( $Q35/_xll.IMDP("ECO", $C35, "현재가", EOMONTH($S35, -12)) -1)*100</f>
        <v>5.5080809957273047</v>
      </c>
      <c r="U35" s="28">
        <f ca="1">IF(_xll.IMDP("ECO",$D35,"현재가",$D$1)="","",_xll.IMDP("ECO",$D35,"현재가",$D$1))</f>
        <v>3.29</v>
      </c>
      <c r="V35" s="28">
        <f ca="1">IF(_xll.IMDP("ECO",$D35,"현재가",$D$2)="","",_xll.IMDP("ECO",$D35,"현재가",$D$2))</f>
        <v>3.3359999999999999</v>
      </c>
      <c r="W35" s="28">
        <f ca="1">IF(_xll.IMDP("ECO",$D35,"현재가",$D$3)="","",_xll.IMDP("ECO",$D35,"현재가",$D$3))</f>
        <v>2.9849999999999999</v>
      </c>
      <c r="X35" s="28">
        <f ca="1">IF(_xll.IMDP("ECO",$D35,"현재가",$D$4)="","",_xll.IMDP("ECO",$D35,"현재가",$D$4))</f>
        <v>2.9180000000000001</v>
      </c>
      <c r="Y35" s="28">
        <f ca="1">IF(_xll.IMDP("ECO",$D35,"현재가",$D$5)="","",_xll.IMDP("ECO",$D35,"현재가",$D$5))</f>
        <v>2.9180000000000001</v>
      </c>
    </row>
    <row r="36" spans="2:25" x14ac:dyDescent="0.25">
      <c r="B36" s="1" t="s">
        <v>16</v>
      </c>
      <c r="C36" s="1" t="s">
        <v>43</v>
      </c>
      <c r="D36" s="5" t="s">
        <v>58</v>
      </c>
      <c r="E36" s="41" t="s">
        <v>102</v>
      </c>
      <c r="F36" s="25">
        <f ca="1">_xll.IMDP("ECO",$B36,"현재가",$F$4,"fill=TRUE")</f>
        <v>-0.1</v>
      </c>
      <c r="G36" s="25">
        <f ca="1">IF( _xll.IMDP( "ECO", $B36, "현재가", EOMONTH($F$4,G$7) ) ="", _xll.IMDP( "ECO", $B36, "현재가", WORKDAY( EOMONTH($F$4,G$7), -1) ), _xll.IMDP( "ECO", $B36, "현재가", EOMONTH($F$4,G$7) ) )</f>
        <v>-0.1</v>
      </c>
      <c r="H36" s="25">
        <f ca="1">IF( _xll.IMDP( "ECO", $B36, "현재가", EOMONTH($F$4,H$7) ) ="", _xll.IMDP( "ECO", $B36, "현재가", WORKDAY( EOMONTH($F$4,H$7), -1) ), _xll.IMDP( "ECO", $B36, "현재가", EOMONTH($F$4,H$7) ) )</f>
        <v>-0.1</v>
      </c>
      <c r="I36" s="25">
        <f ca="1">IF( _xll.IMDP( "ECO", $B36, "현재가", EOMONTH($F$4,I$7) ) ="", _xll.IMDP( "ECO", $B36, "현재가", WORKDAY( EOMONTH($F$4,I$7), -1) ), _xll.IMDP( "ECO", $B36, "현재가", EOMONTH($F$4,I$7) ) )</f>
        <v>-0.1</v>
      </c>
      <c r="J36" s="26">
        <f ca="1">IF( _xll.IMDP( "ECO", $B36, "현재가", EOMONTH($F$4,J$7) ) ="", _xll.IMDP( "ECO", $B36, "현재가", WORKDAY( EOMONTH($F$4,J$7), -1) ), _xll.IMDP( "ECO", $B36, "현재가", EOMONTH($F$4,J$7) ) )</f>
        <v>-0.1</v>
      </c>
      <c r="K36" s="27">
        <f ca="1">_xll.IMDP("ECO",$B36,"현재가",$F$4,"DISP=DATE")</f>
        <v>20221231</v>
      </c>
      <c r="L36" s="27"/>
      <c r="M36" s="50">
        <f t="shared" ca="1" si="6"/>
        <v>0</v>
      </c>
      <c r="N36" s="50">
        <f t="shared" ca="1" si="0"/>
        <v>0</v>
      </c>
      <c r="O36" s="50">
        <f t="shared" ca="1" si="1"/>
        <v>0</v>
      </c>
      <c r="P36" s="50">
        <f t="shared" ca="1" si="2"/>
        <v>0</v>
      </c>
      <c r="Q36" s="62">
        <f ca="1">_xll.IMDP("ECO",$C36,"현재가",$F$4, "fill=true")</f>
        <v>103.9</v>
      </c>
      <c r="R36" s="27">
        <f ca="1">_xll.IMDP("ECO",$C36,"현재가",$F$4,"fill=true, DISP=DATE")</f>
        <v>20221130</v>
      </c>
      <c r="S36" s="58">
        <f t="shared" ca="1" si="7"/>
        <v>44895</v>
      </c>
      <c r="T36" s="34">
        <f ca="1">( $Q36/_xll.IMDP("ECO", $C36, "현재가", EOMONTH($S36, -12)) -1)*100</f>
        <v>3.7962037962038009</v>
      </c>
      <c r="U36" s="28">
        <f ca="1">IF(_xll.IMDP("ECO",$D36,"현재가",$D$1)="","",_xll.IMDP("ECO",$D36,"현재가",$D$1))</f>
        <v>0.98399999999999999</v>
      </c>
      <c r="V36" s="28">
        <f ca="1">IF(_xll.IMDP("ECO",$D36,"현재가",$D$2)="","",_xll.IMDP("ECO",$D36,"현재가",$D$2))</f>
        <v>0.82699999999999996</v>
      </c>
      <c r="W36" s="28">
        <f ca="1">IF(_xll.IMDP("ECO",$D36,"현재가",$D$3)="","",_xll.IMDP("ECO",$D36,"현재가",$D$3))</f>
        <v>0.92800000000000005</v>
      </c>
      <c r="X36" s="28">
        <f ca="1">IF(_xll.IMDP("ECO",$D36,"현재가",$D$4)="","",_xll.IMDP("ECO",$D36,"현재가",$D$4))</f>
        <v>0.996</v>
      </c>
      <c r="Y36" s="28">
        <f ca="1">IF(_xll.IMDP("ECO",$D36,"현재가",$D$5)="","",_xll.IMDP("ECO",$D36,"현재가",$D$5))</f>
        <v>0.96599999999999997</v>
      </c>
    </row>
    <row r="37" spans="2:25" x14ac:dyDescent="0.25">
      <c r="B37" s="1" t="s">
        <v>18</v>
      </c>
      <c r="C37" s="1" t="s">
        <v>44</v>
      </c>
      <c r="D37" s="11" t="s">
        <v>64</v>
      </c>
      <c r="E37" s="41" t="s">
        <v>103</v>
      </c>
      <c r="F37" s="25">
        <f ca="1">_xll.IMDP("ECO",$B37,"현재가",$F$4,"fill=TRUE")</f>
        <v>4.3499999999999996</v>
      </c>
      <c r="G37" s="25">
        <f ca="1">IF( _xll.IMDP( "ECO", $B37, "현재가", EOMONTH($F$4,G$7) ) ="", _xll.IMDP( "ECO", $B37, "현재가", WORKDAY( EOMONTH($F$4,G$7), -1) ), _xll.IMDP( "ECO", $B37, "현재가", EOMONTH($F$4,G$7) ) )</f>
        <v>4.3499999999999996</v>
      </c>
      <c r="H37" s="25">
        <f ca="1">IF( _xll.IMDP( "ECO", $B37, "현재가", EOMONTH($F$4,H$7) ) ="", _xll.IMDP( "ECO", $B37, "현재가", WORKDAY( EOMONTH($F$4,H$7), -1) ), _xll.IMDP( "ECO", $B37, "현재가", EOMONTH($F$4,H$7) ) )</f>
        <v>4.3499999999999996</v>
      </c>
      <c r="I37" s="25">
        <f ca="1">IF( _xll.IMDP( "ECO", $B37, "현재가", EOMONTH($F$4,I$7) ) ="", _xll.IMDP( "ECO", $B37, "현재가", WORKDAY( EOMONTH($F$4,I$7), -1) ), _xll.IMDP( "ECO", $B37, "현재가", EOMONTH($F$4,I$7) ) )</f>
        <v>4.3499999999999996</v>
      </c>
      <c r="J37" s="26">
        <f ca="1">IF( _xll.IMDP( "ECO", $B37, "현재가", EOMONTH($F$4,J$7) ) ="", _xll.IMDP( "ECO", $B37, "현재가", WORKDAY( EOMONTH($F$4,J$7), -1) ), _xll.IMDP( "ECO", $B37, "현재가", EOMONTH($F$4,J$7) ) )</f>
        <v>4.3499999999999996</v>
      </c>
      <c r="K37" s="27">
        <f ca="1">_xll.IMDP("ECO",$B37,"현재가",$F$4,"DISP=DATE")</f>
        <v>20221230</v>
      </c>
      <c r="L37" s="27"/>
      <c r="M37" s="50">
        <f t="shared" ca="1" si="6"/>
        <v>0</v>
      </c>
      <c r="N37" s="50">
        <f t="shared" ca="1" si="0"/>
        <v>0</v>
      </c>
      <c r="O37" s="50">
        <f t="shared" ca="1" si="1"/>
        <v>0</v>
      </c>
      <c r="P37" s="50">
        <f t="shared" ca="1" si="2"/>
        <v>0</v>
      </c>
      <c r="Q37" s="62">
        <f ca="1">_xll.IMDP("ECO",$C37,"현재가",$F$4, "fill=true")</f>
        <v>101.8</v>
      </c>
      <c r="R37" s="27">
        <f ca="1">_xll.IMDP("ECO",$C37,"현재가",$F$4,"fill=true, DISP=DATE")</f>
        <v>20221231</v>
      </c>
      <c r="S37" s="58">
        <f t="shared" ca="1" si="7"/>
        <v>44926</v>
      </c>
      <c r="T37" s="34">
        <f ca="1">( $Q37/_xll.IMDP("ECO", $C37, "현재가", EOMONTH($S37, -12)) -1)*100</f>
        <v>0.29556650246305161</v>
      </c>
      <c r="U37" s="28">
        <f ca="1">IF(_xll.IMDP("ECO",$D37,"현재가",$D$1)="","",_xll.IMDP("ECO",$D37,"현재가",$D$1))</f>
        <v>2.0830000000000002</v>
      </c>
      <c r="V37" s="28">
        <f ca="1">IF(_xll.IMDP("ECO",$D37,"현재가",$D$2)="","",_xll.IMDP("ECO",$D37,"현재가",$D$2))</f>
        <v>1.8360000000000001</v>
      </c>
      <c r="W37" s="28">
        <f ca="1">IF(_xll.IMDP("ECO",$D37,"현재가",$D$3)="","",_xll.IMDP("ECO",$D37,"현재가",$D$3))</f>
        <v>1.976</v>
      </c>
      <c r="X37" s="28">
        <f ca="1">IF(_xll.IMDP("ECO",$D37,"현재가",$D$4)="","",_xll.IMDP("ECO",$D37,"현재가",$D$4))</f>
        <v>2</v>
      </c>
      <c r="Y37" s="28">
        <f ca="1">IF(_xll.IMDP("ECO",$D37,"현재가",$D$5)="","",_xll.IMDP("ECO",$D37,"현재가",$D$5))</f>
        <v>2</v>
      </c>
    </row>
    <row r="38" spans="2:25" x14ac:dyDescent="0.25">
      <c r="B38" s="1" t="s">
        <v>9</v>
      </c>
      <c r="C38" s="1" t="s">
        <v>45</v>
      </c>
      <c r="D38" s="1" t="s">
        <v>166</v>
      </c>
      <c r="E38" s="41" t="s">
        <v>104</v>
      </c>
      <c r="F38" s="25">
        <f ca="1">_xll.IMDP("ECO",$B38,"현재가",$F$4,"fill=TRUE")</f>
        <v>7</v>
      </c>
      <c r="G38" s="25">
        <f ca="1">IF( _xll.IMDP( "ECO", $B38, "현재가", EOMONTH($F$4,G$7) ) ="", _xll.IMDP( "ECO", $B38, "현재가", WORKDAY( EOMONTH($F$4,G$7), -1) ), _xll.IMDP( "ECO", $B38, "현재가", EOMONTH($F$4,G$7) ) )</f>
        <v>7</v>
      </c>
      <c r="H38" s="25">
        <f ca="1">IF( _xll.IMDP( "ECO", $B38, "현재가", EOMONTH($F$4,H$7) ) ="", _xll.IMDP( "ECO", $B38, "현재가", WORKDAY( EOMONTH($F$4,H$7), -1) ), _xll.IMDP( "ECO", $B38, "현재가", EOMONTH($F$4,H$7) ) )</f>
        <v>7</v>
      </c>
      <c r="I38" s="25">
        <f ca="1">IF( _xll.IMDP( "ECO", $B38, "현재가", EOMONTH($F$4,I$7) ) ="", _xll.IMDP( "ECO", $B38, "현재가", WORKDAY( EOMONTH($F$4,I$7), -1) ), _xll.IMDP( "ECO", $B38, "현재가", EOMONTH($F$4,I$7) ) )</f>
        <v>7</v>
      </c>
      <c r="J38" s="26">
        <f ca="1">IF( _xll.IMDP( "ECO", $B38, "현재가", EOMONTH($F$4,J$7) ) ="", _xll.IMDP( "ECO", $B38, "현재가", WORKDAY( EOMONTH($F$4,J$7), -1) ), _xll.IMDP( "ECO", $B38, "현재가", EOMONTH($F$4,J$7) ) )</f>
        <v>3.75</v>
      </c>
      <c r="K38" s="27">
        <f ca="1">_xll.IMDP("ECO",$B38,"현재가",$F$4,"DISP=DATE")</f>
        <v>20221231</v>
      </c>
      <c r="L38" s="27"/>
      <c r="M38" s="50">
        <f t="shared" ca="1" si="6"/>
        <v>0</v>
      </c>
      <c r="N38" s="50">
        <f t="shared" ca="1" si="0"/>
        <v>0</v>
      </c>
      <c r="O38" s="50">
        <f t="shared" ca="1" si="1"/>
        <v>0</v>
      </c>
      <c r="P38" s="50">
        <f t="shared" ca="1" si="2"/>
        <v>325</v>
      </c>
      <c r="Q38" s="62">
        <f ca="1">_xll.IMDP("ECO",$C38,"현재가",$F$4, "fill=true")</f>
        <v>138.1</v>
      </c>
      <c r="R38" s="27">
        <f ca="1">_xll.IMDP("ECO",$C38,"현재가",$F$4,"fill=true, DISP=DATE")</f>
        <v>20221231</v>
      </c>
      <c r="S38" s="58">
        <f t="shared" ca="1" si="7"/>
        <v>44926</v>
      </c>
      <c r="T38" s="34">
        <f ca="1">( $Q38/_xll.IMDP("ECO", $C38, "현재가", EOMONTH($S38, -12)) -1)*100</f>
        <v>15.758591785414922</v>
      </c>
      <c r="U38" s="28">
        <f ca="1">IF(_xll.IMDP("ECO",$D38,"현재가",$D$1)="","",_xll.IMDP("ECO",$D38,"현재가",$D$1))</f>
        <v>8.9640000000000004</v>
      </c>
      <c r="V38" s="28">
        <f ca="1">IF(_xll.IMDP("ECO",$D38,"현재가",$D$2)="","",_xll.IMDP("ECO",$D38,"현재가",$D$2))</f>
        <v>2.2989999999999999</v>
      </c>
      <c r="W38" s="28">
        <f ca="1">IF(_xll.IMDP("ECO",$D38,"현재가",$D$3)="","",_xll.IMDP("ECO",$D38,"현재가",$D$3))</f>
        <v>2</v>
      </c>
      <c r="X38" s="28">
        <f ca="1">IF(_xll.IMDP("ECO",$D38,"현재가",$D$4)="","",_xll.IMDP("ECO",$D38,"현재가",$D$4))</f>
        <v>2</v>
      </c>
      <c r="Y38" s="28">
        <f ca="1">IF(_xll.IMDP("ECO",$D38,"현재가",$D$5)="","",_xll.IMDP("ECO",$D38,"현재가",$D$5))</f>
        <v>2</v>
      </c>
    </row>
    <row r="39" spans="2:25" x14ac:dyDescent="0.25">
      <c r="B39" s="1" t="s">
        <v>1</v>
      </c>
      <c r="C39" s="1" t="s">
        <v>155</v>
      </c>
      <c r="D39" s="6" t="s">
        <v>59</v>
      </c>
      <c r="E39" s="41" t="s">
        <v>105</v>
      </c>
      <c r="F39" s="25">
        <f ca="1">_xll.IMDP("ECO",$B39,"현재가",$F$4,"fill=TRUE")</f>
        <v>4.25</v>
      </c>
      <c r="G39" s="25">
        <f ca="1">IF( _xll.IMDP( "ECO", $B39, "현재가", EOMONTH($F$4,G$7) ) ="", _xll.IMDP( "ECO", $B39, "현재가", WORKDAY( EOMONTH($F$4,G$7), -1) ), _xll.IMDP( "ECO", $B39, "현재가", EOMONTH($F$4,G$7) ) )</f>
        <v>3.75</v>
      </c>
      <c r="H39" s="25">
        <f ca="1">IF( _xll.IMDP( "ECO", $B39, "현재가", EOMONTH($F$4,H$7) ) ="", _xll.IMDP( "ECO", $B39, "현재가", WORKDAY( EOMONTH($F$4,H$7), -1) ), _xll.IMDP( "ECO", $B39, "현재가", EOMONTH($F$4,H$7) ) )</f>
        <v>3.25</v>
      </c>
      <c r="I39" s="25">
        <f ca="1">IF( _xll.IMDP( "ECO", $B39, "현재가", EOMONTH($F$4,I$7) ) ="", _xll.IMDP( "ECO", $B39, "현재가", WORKDAY( EOMONTH($F$4,I$7), -1) ), _xll.IMDP( "ECO", $B39, "현재가", EOMONTH($F$4,I$7) ) )</f>
        <v>1.5</v>
      </c>
      <c r="J39" s="26">
        <f ca="1">IF( _xll.IMDP( "ECO", $B39, "현재가", EOMONTH($F$4,J$7) ) ="", _xll.IMDP( "ECO", $B39, "현재가", WORKDAY( EOMONTH($F$4,J$7), -1) ), _xll.IMDP( "ECO", $B39, "현재가", EOMONTH($F$4,J$7) ) )</f>
        <v>0.25</v>
      </c>
      <c r="K39" s="27">
        <f ca="1">_xll.IMDP("ECO",$B39,"현재가",$F$4,"DISP=DATE")</f>
        <v>20221231</v>
      </c>
      <c r="L39" s="27"/>
      <c r="M39" s="50">
        <f t="shared" ca="1" si="6"/>
        <v>50</v>
      </c>
      <c r="N39" s="50">
        <f t="shared" ca="1" si="0"/>
        <v>100</v>
      </c>
      <c r="O39" s="50">
        <f t="shared" ca="1" si="1"/>
        <v>275</v>
      </c>
      <c r="P39" s="50">
        <f t="shared" ca="1" si="2"/>
        <v>400</v>
      </c>
      <c r="Q39" s="62">
        <f ca="1">_xll.IMDP("ECO",$C39,"현재가",$F$4, "fill=true")</f>
        <v>154</v>
      </c>
      <c r="R39" s="27">
        <f ca="1">_xll.IMDP("ECO",$C39,"현재가",$F$4,"fill=true, DISP=DATE")</f>
        <v>20221130</v>
      </c>
      <c r="S39" s="58">
        <f t="shared" ca="1" si="7"/>
        <v>44895</v>
      </c>
      <c r="T39" s="34">
        <f ca="1">( $Q39/_xll.IMDP("ECO", $C39, "현재가", EOMONTH($S39, -12)) -1)*100</f>
        <v>6.7961165048543881</v>
      </c>
      <c r="U39" s="28">
        <f ca="1">IF(_xll.IMDP("ECO",$D39,"현재가",$D$1)="","",_xll.IMDP("ECO",$D39,"현재가",$D$1))</f>
        <v>5.6369999999999996</v>
      </c>
      <c r="V39" s="28">
        <f ca="1">IF(_xll.IMDP("ECO",$D39,"현재가",$D$2)="","",_xll.IMDP("ECO",$D39,"현재가",$D$2))</f>
        <v>2.3679999999999999</v>
      </c>
      <c r="W39" s="28">
        <f ca="1">IF(_xll.IMDP("ECO",$D39,"현재가",$D$3)="","",_xll.IMDP("ECO",$D39,"현재가",$D$3))</f>
        <v>1.9239999999999999</v>
      </c>
      <c r="X39" s="28">
        <f ca="1">IF(_xll.IMDP("ECO",$D39,"현재가",$D$4)="","",_xll.IMDP("ECO",$D39,"현재가",$D$4))</f>
        <v>1.8939999999999999</v>
      </c>
      <c r="Y39" s="28">
        <f ca="1">IF(_xll.IMDP("ECO",$D39,"현재가",$D$5)="","",_xll.IMDP("ECO",$D39,"현재가",$D$5))</f>
        <v>2.0150000000000001</v>
      </c>
    </row>
    <row r="40" spans="2:25" x14ac:dyDescent="0.25">
      <c r="B40" s="1" t="s">
        <v>0</v>
      </c>
      <c r="C40" s="1" t="s">
        <v>46</v>
      </c>
      <c r="D40" s="1" t="s">
        <v>167</v>
      </c>
      <c r="E40" s="41" t="s">
        <v>106</v>
      </c>
      <c r="F40" s="25">
        <f ca="1">_xll.IMDP("ECO",$B40,"현재가",$F$4,"fill=TRUE")</f>
        <v>1.25</v>
      </c>
      <c r="G40" s="25">
        <f ca="1">IF( _xll.IMDP( "ECO", $B40, "현재가", EOMONTH($F$4,G$7) ) ="", _xll.IMDP( "ECO", $B40, "현재가", WORKDAY( EOMONTH($F$4,G$7), -1) ), _xll.IMDP( "ECO", $B40, "현재가", EOMONTH($F$4,G$7) ) )</f>
        <v>1</v>
      </c>
      <c r="H40" s="25">
        <f ca="1">IF( _xll.IMDP( "ECO", $B40, "현재가", EOMONTH($F$4,H$7) ) ="", _xll.IMDP( "ECO", $B40, "현재가", WORKDAY( EOMONTH($F$4,H$7), -1) ), _xll.IMDP( "ECO", $B40, "현재가", EOMONTH($F$4,H$7) ) )</f>
        <v>1</v>
      </c>
      <c r="I40" s="25">
        <f ca="1">IF( _xll.IMDP( "ECO", $B40, "현재가", EOMONTH($F$4,I$7) ) ="", _xll.IMDP( "ECO", $B40, "현재가", WORKDAY( EOMONTH($F$4,I$7), -1) ), _xll.IMDP( "ECO", $B40, "현재가", EOMONTH($F$4,I$7) ) )</f>
        <v>0.5</v>
      </c>
      <c r="J40" s="26">
        <f ca="1">IF( _xll.IMDP( "ECO", $B40, "현재가", EOMONTH($F$4,J$7) ) ="", _xll.IMDP( "ECO", $B40, "현재가", WORKDAY( EOMONTH($F$4,J$7), -1) ), _xll.IMDP( "ECO", $B40, "현재가", EOMONTH($F$4,J$7) ) )</f>
        <v>0.5</v>
      </c>
      <c r="K40" s="27">
        <f ca="1">_xll.IMDP("ECO",$B40,"현재가",$F$4,"DISP=DATE")</f>
        <v>20221231</v>
      </c>
      <c r="L40" s="27"/>
      <c r="M40" s="50">
        <f t="shared" ca="1" si="6"/>
        <v>25</v>
      </c>
      <c r="N40" s="50">
        <f t="shared" ca="1" si="0"/>
        <v>25</v>
      </c>
      <c r="O40" s="50">
        <f t="shared" ca="1" si="1"/>
        <v>75</v>
      </c>
      <c r="P40" s="50">
        <f t="shared" ca="1" si="2"/>
        <v>75</v>
      </c>
      <c r="Q40" s="63">
        <f ca="1">_xll.IMDP("ECO",$C40,"현재가",$F$4, "fill=true")</f>
        <v>107.86</v>
      </c>
      <c r="R40" s="27">
        <f ca="1">_xll.IMDP("ECO",$C40,"현재가",$F$4,"fill=true, DISP=DATE")</f>
        <v>20221231</v>
      </c>
      <c r="S40" s="58">
        <f t="shared" ca="1" si="7"/>
        <v>44926</v>
      </c>
      <c r="T40" s="34">
        <f ca="1">( $Q40/_xll.IMDP("ECO", $C40, "현재가", EOMONTH($S40, -12)) -1)*100</f>
        <v>5.8904378558806147</v>
      </c>
      <c r="U40" s="28">
        <f ca="1">IF(_xll.IMDP("ECO",$D40,"현재가",$D$1)="","",_xll.IMDP("ECO",$D40,"현재가",$D$1))</f>
        <v>3.5110000000000001</v>
      </c>
      <c r="V40" s="28">
        <f ca="1">IF(_xll.IMDP("ECO",$D40,"현재가",$D$2)="","",_xll.IMDP("ECO",$D40,"현재가",$D$2))</f>
        <v>2.79</v>
      </c>
      <c r="W40" s="28">
        <f ca="1">IF(_xll.IMDP("ECO",$D40,"현재가",$D$3)="","",_xll.IMDP("ECO",$D40,"현재가",$D$3))</f>
        <v>2.5</v>
      </c>
      <c r="X40" s="28">
        <f ca="1">IF(_xll.IMDP("ECO",$D40,"현재가",$D$4)="","",_xll.IMDP("ECO",$D40,"현재가",$D$4))</f>
        <v>2.2000000000000002</v>
      </c>
      <c r="Y40" s="28">
        <f ca="1">IF(_xll.IMDP("ECO",$D40,"현재가",$D$5)="","",_xll.IMDP("ECO",$D40,"현재가",$D$5))</f>
        <v>2</v>
      </c>
    </row>
    <row r="41" spans="2:25" x14ac:dyDescent="0.25">
      <c r="B41" s="1" t="s">
        <v>13</v>
      </c>
      <c r="C41" s="1" t="s">
        <v>47</v>
      </c>
      <c r="D41" s="16" t="s">
        <v>70</v>
      </c>
      <c r="E41" s="41" t="s">
        <v>151</v>
      </c>
      <c r="F41" s="25">
        <f ca="1">_xll.IMDP("ECO",$B41,"현재가",$F$4,"fill=TRUE")</f>
        <v>9</v>
      </c>
      <c r="G41" s="25">
        <f ca="1">IF( _xll.IMDP( "ECO", $B41, "현재가", EOMONTH($F$4,G$7) ) ="", _xll.IMDP( "ECO", $B41, "현재가", WORKDAY( EOMONTH($F$4,G$7), -1) ), _xll.IMDP( "ECO", $B41, "현재가", EOMONTH($F$4,G$7) ) )</f>
        <v>9</v>
      </c>
      <c r="H41" s="25">
        <f ca="1">IF( _xll.IMDP( "ECO", $B41, "현재가", EOMONTH($F$4,H$7) ) ="", _xll.IMDP( "ECO", $B41, "현재가", WORKDAY( EOMONTH($F$4,H$7), -1) ), _xll.IMDP( "ECO", $B41, "현재가", EOMONTH($F$4,H$7) ) )</f>
        <v>12</v>
      </c>
      <c r="I41" s="25">
        <f ca="1">IF( _xll.IMDP( "ECO", $B41, "현재가", EOMONTH($F$4,I$7) ) ="", _xll.IMDP( "ECO", $B41, "현재가", WORKDAY( EOMONTH($F$4,I$7), -1) ), _xll.IMDP( "ECO", $B41, "현재가", EOMONTH($F$4,I$7) ) )</f>
        <v>14</v>
      </c>
      <c r="J41" s="26">
        <f ca="1">IF( _xll.IMDP( "ECO", $B41, "현재가", EOMONTH($F$4,J$7) ) ="", _xll.IMDP( "ECO", $B41, "현재가", WORKDAY( EOMONTH($F$4,J$7), -1) ), _xll.IMDP( "ECO", $B41, "현재가", EOMONTH($F$4,J$7) ) )</f>
        <v>14</v>
      </c>
      <c r="K41" s="27">
        <f ca="1">_xll.IMDP("ECO",$B41,"현재가",$F$4,"DISP=DATE")</f>
        <v>20221230</v>
      </c>
      <c r="L41" s="27"/>
      <c r="M41" s="50">
        <f t="shared" ca="1" si="6"/>
        <v>0</v>
      </c>
      <c r="N41" s="50">
        <f t="shared" ca="1" si="0"/>
        <v>-300</v>
      </c>
      <c r="O41" s="50">
        <f t="shared" ca="1" si="1"/>
        <v>-500</v>
      </c>
      <c r="P41" s="50">
        <f t="shared" ca="1" si="2"/>
        <v>-500</v>
      </c>
      <c r="Q41" s="63">
        <f ca="1">_xll.IMDP("ECO",$C41,"현재가",$F$4, "fill=true")</f>
        <v>1128.45</v>
      </c>
      <c r="R41" s="27">
        <f ca="1">_xll.IMDP("ECO",$C41,"현재가",$F$4,"fill=true, DISP=DATE")</f>
        <v>20221231</v>
      </c>
      <c r="S41" s="58">
        <f t="shared" ca="1" si="7"/>
        <v>44926</v>
      </c>
      <c r="T41" s="34">
        <f ca="1">( $Q41/_xll.IMDP("ECO", $C41, "현재가", EOMONTH($S41, -12)) -1)*100</f>
        <v>64.269597496178761</v>
      </c>
      <c r="U41" s="28">
        <f ca="1">IF(_xll.IMDP("ECO",$D41,"현재가",$D$1)="","",_xll.IMDP("ECO",$D41,"현재가",$D$1))</f>
        <v>60.46</v>
      </c>
      <c r="V41" s="28">
        <f ca="1">IF(_xll.IMDP("ECO",$D41,"현재가",$D$2)="","",_xll.IMDP("ECO",$D41,"현재가",$D$2))</f>
        <v>37.180999999999997</v>
      </c>
      <c r="W41" s="28">
        <f ca="1">IF(_xll.IMDP("ECO",$D41,"현재가",$D$3)="","",_xll.IMDP("ECO",$D41,"현재가",$D$3))</f>
        <v>20.446000000000002</v>
      </c>
      <c r="X41" s="28">
        <f ca="1">IF(_xll.IMDP("ECO",$D41,"현재가",$D$4)="","",_xll.IMDP("ECO",$D41,"현재가",$D$4))</f>
        <v>15.968999999999999</v>
      </c>
      <c r="Y41" s="28">
        <f ca="1">IF(_xll.IMDP("ECO",$D41,"현재가",$D$5)="","",_xll.IMDP("ECO",$D41,"현재가",$D$5))</f>
        <v>15.064</v>
      </c>
    </row>
    <row r="42" spans="2:25" x14ac:dyDescent="0.25">
      <c r="B42" s="1" t="s">
        <v>11</v>
      </c>
      <c r="C42" s="1" t="s">
        <v>48</v>
      </c>
      <c r="D42" s="1" t="s">
        <v>168</v>
      </c>
      <c r="E42" s="41" t="s">
        <v>107</v>
      </c>
      <c r="F42" s="25">
        <f ca="1">_xll.IMDP("ECO",$B42,"현재가",$F$4,"fill=TRUE")</f>
        <v>6.75</v>
      </c>
      <c r="G42" s="25">
        <f ca="1">IF( _xll.IMDP( "ECO", $B42, "현재가", EOMONTH($F$4,G$7) ) ="", _xll.IMDP( "ECO", $B42, "현재가", WORKDAY( EOMONTH($F$4,G$7), -1) ), _xll.IMDP( "ECO", $B42, "현재가", EOMONTH($F$4,G$7) ) )</f>
        <v>6.75</v>
      </c>
      <c r="H42" s="25">
        <f ca="1">IF( _xll.IMDP( "ECO", $B42, "현재가", EOMONTH($F$4,H$7) ) ="", _xll.IMDP( "ECO", $B42, "현재가", WORKDAY( EOMONTH($F$4,H$7), -1) ), _xll.IMDP( "ECO", $B42, "현재가", EOMONTH($F$4,H$7) ) )</f>
        <v>6.75</v>
      </c>
      <c r="I42" s="25">
        <f ca="1">IF( _xll.IMDP( "ECO", $B42, "현재가", EOMONTH($F$4,I$7) ) ="", _xll.IMDP( "ECO", $B42, "현재가", WORKDAY( EOMONTH($F$4,I$7), -1) ), _xll.IMDP( "ECO", $B42, "현재가", EOMONTH($F$4,I$7) ) )</f>
        <v>6</v>
      </c>
      <c r="J42" s="26">
        <f ca="1">IF( _xll.IMDP( "ECO", $B42, "현재가", EOMONTH($F$4,J$7) ) ="", _xll.IMDP( "ECO", $B42, "현재가", WORKDAY( EOMONTH($F$4,J$7), -1) ), _xll.IMDP( "ECO", $B42, "현재가", EOMONTH($F$4,J$7) ) )</f>
        <v>1.75</v>
      </c>
      <c r="K42" s="27">
        <f ca="1">_xll.IMDP("ECO",$B42,"현재가",$F$4,"DISP=DATE")</f>
        <v>20221231</v>
      </c>
      <c r="L42" s="27"/>
      <c r="M42" s="50">
        <f t="shared" ca="1" si="6"/>
        <v>0</v>
      </c>
      <c r="N42" s="50">
        <f t="shared" ca="1" si="0"/>
        <v>0</v>
      </c>
      <c r="O42" s="50">
        <f t="shared" ca="1" si="1"/>
        <v>75</v>
      </c>
      <c r="P42" s="50">
        <f t="shared" ca="1" si="2"/>
        <v>500</v>
      </c>
      <c r="Q42" s="62">
        <f ca="1">_xll.IMDP("ECO",$C42,"현재가",$F$4, "fill=true")</f>
        <v>116.6</v>
      </c>
      <c r="R42" s="27">
        <f ca="1">_xll.IMDP("ECO",$C42,"현재가",$F$4,"fill=true, DISP=DATE")</f>
        <v>20221231</v>
      </c>
      <c r="S42" s="58">
        <f t="shared" ca="1" si="7"/>
        <v>44926</v>
      </c>
      <c r="T42" s="34">
        <f ca="1">( $Q42/_xll.IMDP("ECO", $C42, "현재가", EOMONTH($S42, -12)) -1)*100</f>
        <v>7.366482504604055</v>
      </c>
      <c r="U42" s="28">
        <f ca="1">IF(_xll.IMDP("ECO",$D42,"현재가",$D$1)="","",_xll.IMDP("ECO",$D42,"현재가",$D$1))</f>
        <v>8.8680000000000003</v>
      </c>
      <c r="V42" s="28">
        <f ca="1">IF(_xll.IMDP("ECO",$D42,"현재가",$D$2)="","",_xll.IMDP("ECO",$D42,"현재가",$D$2))</f>
        <v>10.346</v>
      </c>
      <c r="W42" s="28">
        <f ca="1">IF(_xll.IMDP("ECO",$D42,"현재가",$D$3)="","",_xll.IMDP("ECO",$D42,"현재가",$D$3))</f>
        <v>3.9449999999999998</v>
      </c>
      <c r="X42" s="28">
        <f ca="1">IF(_xll.IMDP("ECO",$D42,"현재가",$D$4)="","",_xll.IMDP("ECO",$D42,"현재가",$D$4))</f>
        <v>3.153</v>
      </c>
      <c r="Y42" s="28">
        <f ca="1">IF(_xll.IMDP("ECO",$D42,"현재가",$D$5)="","",_xll.IMDP("ECO",$D42,"현재가",$D$5))</f>
        <v>2.6</v>
      </c>
    </row>
    <row r="43" spans="2:25" x14ac:dyDescent="0.25">
      <c r="B43" s="1" t="s">
        <v>6</v>
      </c>
      <c r="C43" s="1" t="s">
        <v>49</v>
      </c>
      <c r="D43" s="7" t="s">
        <v>60</v>
      </c>
      <c r="E43" s="41" t="s">
        <v>108</v>
      </c>
      <c r="F43" s="25">
        <f ca="1">_xll.IMDP("ECO",$B43,"현재가",$F$4,"fill=TRUE")</f>
        <v>2.5</v>
      </c>
      <c r="G43" s="25">
        <f ca="1">IF( _xll.IMDP( "ECO", $B43, "현재가", EOMONTH($F$4,G$7) ) ="", _xll.IMDP( "ECO", $B43, "현재가", WORKDAY( EOMONTH($F$4,G$7), -1) ), _xll.IMDP( "ECO", $B43, "현재가", EOMONTH($F$4,G$7) ) )</f>
        <v>2</v>
      </c>
      <c r="H43" s="25">
        <f ca="1">IF( _xll.IMDP( "ECO", $B43, "현재가", EOMONTH($F$4,H$7) ) ="", _xll.IMDP( "ECO", $B43, "현재가", WORKDAY( EOMONTH($F$4,H$7), -1) ), _xll.IMDP( "ECO", $B43, "현재가", EOMONTH($F$4,H$7) ) )</f>
        <v>1.25</v>
      </c>
      <c r="I43" s="25">
        <f ca="1">IF( _xll.IMDP( "ECO", $B43, "현재가", EOMONTH($F$4,I$7) ) ="", _xll.IMDP( "ECO", $B43, "현재가", WORKDAY( EOMONTH($F$4,I$7), -1) ), _xll.IMDP( "ECO", $B43, "현재가", EOMONTH($F$4,I$7) ) )</f>
        <v>0</v>
      </c>
      <c r="J43" s="26">
        <f ca="1">IF( _xll.IMDP( "ECO", $B43, "현재가", EOMONTH($F$4,J$7) ) ="", _xll.IMDP( "ECO", $B43, "현재가", WORKDAY( EOMONTH($F$4,J$7), -1) ), _xll.IMDP( "ECO", $B43, "현재가", EOMONTH($F$4,J$7) ) )</f>
        <v>0</v>
      </c>
      <c r="K43" s="27">
        <f ca="1">_xll.IMDP("ECO",$B43,"현재가",$F$4,"DISP=DATE")</f>
        <v>20221231</v>
      </c>
      <c r="L43" s="27"/>
      <c r="M43" s="50">
        <f t="shared" ca="1" si="6"/>
        <v>50</v>
      </c>
      <c r="N43" s="50">
        <f t="shared" ca="1" si="0"/>
        <v>125</v>
      </c>
      <c r="O43" s="50">
        <f t="shared" ca="1" si="1"/>
        <v>250</v>
      </c>
      <c r="P43" s="50">
        <f t="shared" ca="1" si="2"/>
        <v>250</v>
      </c>
      <c r="Q43" s="63">
        <f ca="1">_xll.IMDP("ECO",$C43,"현재가",$F$4, "fill=true")</f>
        <v>114.08</v>
      </c>
      <c r="R43" s="27">
        <f ca="1">_xll.IMDP("ECO",$C43,"현재가",$F$4,"fill=true, DISP=DATE")</f>
        <v>20221231</v>
      </c>
      <c r="S43" s="58">
        <f t="shared" ca="1" si="7"/>
        <v>44926</v>
      </c>
      <c r="T43" s="34">
        <f ca="1">( $Q43/_xll.IMDP("ECO", $C43, "현재가", EOMONTH($S43, -12)) -1)*100</f>
        <v>5.8256029684601085</v>
      </c>
      <c r="U43" s="28">
        <f ca="1">IF(_xll.IMDP("ECO",$D43,"현재가",$D$1)="","",_xll.IMDP("ECO",$D43,"현재가",$D$1))</f>
        <v>4.0750000000000002</v>
      </c>
      <c r="V43" s="28">
        <f ca="1">IF(_xll.IMDP("ECO",$D43,"현재가",$D$2)="","",_xll.IMDP("ECO",$D43,"현재가",$D$2))</f>
        <v>1.7829999999999999</v>
      </c>
      <c r="W43" s="28">
        <f ca="1">IF(_xll.IMDP("ECO",$D43,"현재가",$D$3)="","",_xll.IMDP("ECO",$D43,"현재가",$D$3))</f>
        <v>1.7210000000000001</v>
      </c>
      <c r="X43" s="28">
        <f ca="1">IF(_xll.IMDP("ECO",$D43,"현재가",$D$4)="","",_xll.IMDP("ECO",$D43,"현재가",$D$4))</f>
        <v>1.6259999999999999</v>
      </c>
      <c r="Y43" s="28">
        <f ca="1">IF(_xll.IMDP("ECO",$D43,"현재가",$D$5)="","",_xll.IMDP("ECO",$D43,"현재가",$D$5))</f>
        <v>1.679</v>
      </c>
    </row>
    <row r="44" spans="2:25" x14ac:dyDescent="0.25">
      <c r="B44" s="1" t="s">
        <v>6</v>
      </c>
      <c r="C44" s="1" t="s">
        <v>51</v>
      </c>
      <c r="D44" s="1" t="s">
        <v>169</v>
      </c>
      <c r="E44" s="41" t="s">
        <v>109</v>
      </c>
      <c r="F44" s="25">
        <f ca="1">_xll.IMDP("ECO",$B44,"현재가",$F$4,"fill=TRUE")</f>
        <v>2.5</v>
      </c>
      <c r="G44" s="25">
        <f ca="1">IF( _xll.IMDP( "ECO", $B44, "현재가", EOMONTH($F$4,G$7) ) ="", _xll.IMDP( "ECO", $B44, "현재가", WORKDAY( EOMONTH($F$4,G$7), -1) ), _xll.IMDP( "ECO", $B44, "현재가", EOMONTH($F$4,G$7) ) )</f>
        <v>2</v>
      </c>
      <c r="H44" s="25">
        <f ca="1">IF( _xll.IMDP( "ECO", $B44, "현재가", EOMONTH($F$4,H$7) ) ="", _xll.IMDP( "ECO", $B44, "현재가", WORKDAY( EOMONTH($F$4,H$7), -1) ), _xll.IMDP( "ECO", $B44, "현재가", EOMONTH($F$4,H$7) ) )</f>
        <v>1.25</v>
      </c>
      <c r="I44" s="25">
        <f ca="1">IF( _xll.IMDP( "ECO", $B44, "현재가", EOMONTH($F$4,I$7) ) ="", _xll.IMDP( "ECO", $B44, "현재가", WORKDAY( EOMONTH($F$4,I$7), -1) ), _xll.IMDP( "ECO", $B44, "현재가", EOMONTH($F$4,I$7) ) )</f>
        <v>0</v>
      </c>
      <c r="J44" s="26">
        <f ca="1">IF( _xll.IMDP( "ECO", $B44, "현재가", EOMONTH($F$4,J$7) ) ="", _xll.IMDP( "ECO", $B44, "현재가", WORKDAY( EOMONTH($F$4,J$7), -1) ), _xll.IMDP( "ECO", $B44, "현재가", EOMONTH($F$4,J$7) ) )</f>
        <v>0</v>
      </c>
      <c r="K44" s="27">
        <f ca="1">_xll.IMDP("ECO",$B44,"현재가",$F$4,"DISP=DATE")</f>
        <v>20221231</v>
      </c>
      <c r="L44" s="27"/>
      <c r="M44" s="50">
        <f t="shared" ca="1" si="6"/>
        <v>50</v>
      </c>
      <c r="N44" s="50">
        <f t="shared" ca="1" si="0"/>
        <v>125</v>
      </c>
      <c r="O44" s="50">
        <f t="shared" ca="1" si="1"/>
        <v>250</v>
      </c>
      <c r="P44" s="50">
        <f t="shared" ca="1" si="2"/>
        <v>250</v>
      </c>
      <c r="Q44" s="63">
        <f ca="1">_xll.IMDP("ECO",$C44,"현재가",$F$4, "fill=true")</f>
        <v>117.32</v>
      </c>
      <c r="R44" s="27">
        <f ca="1">_xll.IMDP("ECO",$C44,"현재가",$F$4,"fill=true, DISP=DATE")</f>
        <v>20221231</v>
      </c>
      <c r="S44" s="58">
        <f t="shared" ca="1" si="7"/>
        <v>44926</v>
      </c>
      <c r="T44" s="34">
        <f ca="1">( $Q44/_xll.IMDP("ECO", $C44, "현재가", EOMONTH($S44, -12)) -1)*100</f>
        <v>9.1450367476044292</v>
      </c>
      <c r="U44" s="28">
        <f ca="1">IF(_xll.IMDP("ECO",$D44,"현재가",$D$1)="","",_xll.IMDP("ECO",$D44,"현재가",$D$1))</f>
        <v>3.8450000000000002</v>
      </c>
      <c r="V44" s="28">
        <f ca="1">IF(_xll.IMDP("ECO",$D44,"현재가",$D$2)="","",_xll.IMDP("ECO",$D44,"현재가",$D$2))</f>
        <v>2.677</v>
      </c>
      <c r="W44" s="28">
        <f ca="1">IF(_xll.IMDP("ECO",$D44,"현재가",$D$3)="","",_xll.IMDP("ECO",$D44,"현재가",$D$3))</f>
        <v>1.8</v>
      </c>
      <c r="X44" s="28">
        <f ca="1">IF(_xll.IMDP("ECO",$D44,"현재가",$D$4)="","",_xll.IMDP("ECO",$D44,"현재가",$D$4))</f>
        <v>1.8</v>
      </c>
      <c r="Y44" s="28">
        <f ca="1">IF(_xll.IMDP("ECO",$D44,"현재가",$D$5)="","",_xll.IMDP("ECO",$D44,"현재가",$D$5))</f>
        <v>1.8</v>
      </c>
    </row>
    <row r="45" spans="2:25" x14ac:dyDescent="0.25">
      <c r="B45" s="1" t="s">
        <v>17</v>
      </c>
      <c r="C45" s="1" t="s">
        <v>55</v>
      </c>
      <c r="D45" s="10" t="s">
        <v>63</v>
      </c>
      <c r="E45" s="41" t="s">
        <v>110</v>
      </c>
      <c r="F45" s="25">
        <f ca="1">_xll.IMDP("ECO",$B45,"현재가",$F$4,"fill=TRUE")</f>
        <v>3.25</v>
      </c>
      <c r="G45" s="25">
        <f ca="1">IF( _xll.IMDP( "ECO", $B45, "현재가", EOMONTH($F$4,G$7) ) ="", _xll.IMDP( "ECO", $B45, "현재가", WORKDAY( EOMONTH($F$4,G$7), -1) ), _xll.IMDP( "ECO", $B45, "현재가", EOMONTH($F$4,G$7) ) )</f>
        <v>3.25</v>
      </c>
      <c r="H45" s="25">
        <f ca="1">IF( _xll.IMDP( "ECO", $B45, "현재가", EOMONTH($F$4,H$7) ) ="", _xll.IMDP( "ECO", $B45, "현재가", WORKDAY( EOMONTH($F$4,H$7), -1) ), _xll.IMDP( "ECO", $B45, "현재가", EOMONTH($F$4,H$7) ) )</f>
        <v>2.5</v>
      </c>
      <c r="I45" s="25">
        <f ca="1">IF( _xll.IMDP( "ECO", $B45, "현재가", EOMONTH($F$4,I$7) ) ="", _xll.IMDP( "ECO", $B45, "현재가", WORKDAY( EOMONTH($F$4,I$7), -1) ), _xll.IMDP( "ECO", $B45, "현재가", EOMONTH($F$4,I$7) ) )</f>
        <v>1.75</v>
      </c>
      <c r="J45" s="26">
        <f ca="1">IF( _xll.IMDP( "ECO", $B45, "현재가", EOMONTH($F$4,J$7) ) ="", _xll.IMDP( "ECO", $B45, "현재가", WORKDAY( EOMONTH($F$4,J$7), -1) ), _xll.IMDP( "ECO", $B45, "현재가", EOMONTH($F$4,J$7) ) )</f>
        <v>1</v>
      </c>
      <c r="K45" s="27">
        <f ca="1">_xll.IMDP("ECO",$B45,"현재가",$F$4,"DISP=DATE")</f>
        <v>20221231</v>
      </c>
      <c r="L45" s="27"/>
      <c r="M45" s="50">
        <f t="shared" ca="1" si="6"/>
        <v>0</v>
      </c>
      <c r="N45" s="50">
        <f t="shared" ca="1" si="0"/>
        <v>75</v>
      </c>
      <c r="O45" s="50">
        <f t="shared" ca="1" si="1"/>
        <v>150</v>
      </c>
      <c r="P45" s="50">
        <f t="shared" ca="1" si="2"/>
        <v>225</v>
      </c>
      <c r="Q45" s="63">
        <f ca="1">_xll.IMDP("ECO",$C45,"현재가",$F$4, "fill=true")</f>
        <v>109.28</v>
      </c>
      <c r="R45" s="27">
        <f ca="1">_xll.IMDP("ECO",$C45,"현재가",$F$4,"fill=true, DISP=DATE")</f>
        <v>20221231</v>
      </c>
      <c r="S45" s="58">
        <f t="shared" ca="1" si="7"/>
        <v>44926</v>
      </c>
      <c r="T45" s="34">
        <f ca="1">( $Q45/_xll.IMDP("ECO", $C45, "현재가", EOMONTH($S45, -12)) -1)*100</f>
        <v>5.0365244136870491</v>
      </c>
      <c r="U45" s="28">
        <f ca="1">IF(_xll.IMDP("ECO",$D45,"현재가",$D$1)="","",_xll.IMDP("ECO",$D45,"현재가",$D$1))</f>
        <v>3.9569999999999999</v>
      </c>
      <c r="V45" s="28">
        <f ca="1">IF(_xll.IMDP("ECO",$D45,"현재가",$D$2)="","",_xll.IMDP("ECO",$D45,"현재가",$D$2))</f>
        <v>2.4260000000000002</v>
      </c>
      <c r="W45" s="28">
        <f ca="1">IF(_xll.IMDP("ECO",$D45,"현재가",$D$3)="","",_xll.IMDP("ECO",$D45,"현재가",$D$3))</f>
        <v>2</v>
      </c>
      <c r="X45" s="28">
        <f ca="1">IF(_xll.IMDP("ECO",$D45,"현재가",$D$4)="","",_xll.IMDP("ECO",$D45,"현재가",$D$4))</f>
        <v>2</v>
      </c>
      <c r="Y45" s="28">
        <f ca="1">IF(_xll.IMDP("ECO",$D45,"현재가",$D$5)="","",_xll.IMDP("ECO",$D45,"현재가",$D$5))</f>
        <v>2</v>
      </c>
    </row>
    <row r="46" spans="2:25" x14ac:dyDescent="0.25">
      <c r="B46" s="1" t="s">
        <v>12</v>
      </c>
      <c r="C46" s="1" t="s">
        <v>52</v>
      </c>
      <c r="D46" s="1" t="s">
        <v>170</v>
      </c>
      <c r="E46" s="41" t="s">
        <v>111</v>
      </c>
      <c r="F46" s="25">
        <f ca="1">_xll.IMDP("ECO",$B46,"현재가",$F$4,"fill=TRUE")</f>
        <v>13</v>
      </c>
      <c r="G46" s="25">
        <f ca="1">IF( _xll.IMDP( "ECO", $B46, "현재가", EOMONTH($F$4,G$7) ) ="", _xll.IMDP( "ECO", $B46, "현재가", WORKDAY( EOMONTH($F$4,G$7), -1) ), _xll.IMDP( "ECO", $B46, "현재가", EOMONTH($F$4,G$7) ) )</f>
        <v>13</v>
      </c>
      <c r="H46" s="25">
        <f ca="1">IF( _xll.IMDP( "ECO", $B46, "현재가", EOMONTH($F$4,H$7) ) ="", _xll.IMDP( "ECO", $B46, "현재가", WORKDAY( EOMONTH($F$4,H$7), -1) ), _xll.IMDP( "ECO", $B46, "현재가", EOMONTH($F$4,H$7) ) )</f>
        <v>13</v>
      </c>
      <c r="I46" s="25">
        <f ca="1">IF( _xll.IMDP( "ECO", $B46, "현재가", EOMONTH($F$4,I$7) ) ="", _xll.IMDP( "ECO", $B46, "현재가", WORKDAY( EOMONTH($F$4,I$7), -1) ), _xll.IMDP( "ECO", $B46, "현재가", EOMONTH($F$4,I$7) ) )</f>
        <v>7.75</v>
      </c>
      <c r="J46" s="26">
        <f ca="1">IF( _xll.IMDP( "ECO", $B46, "현재가", EOMONTH($F$4,J$7) ) ="", _xll.IMDP( "ECO", $B46, "현재가", WORKDAY( EOMONTH($F$4,J$7), -1) ), _xll.IMDP( "ECO", $B46, "현재가", EOMONTH($F$4,J$7) ) )</f>
        <v>2.4</v>
      </c>
      <c r="K46" s="27">
        <f ca="1">_xll.IMDP("ECO",$B46,"현재가",$F$4,"DISP=DATE")</f>
        <v>20221231</v>
      </c>
      <c r="L46" s="27"/>
      <c r="M46" s="50">
        <f t="shared" ca="1" si="6"/>
        <v>0</v>
      </c>
      <c r="N46" s="50">
        <f t="shared" ca="1" si="0"/>
        <v>0</v>
      </c>
      <c r="O46" s="50">
        <f t="shared" ca="1" si="1"/>
        <v>525</v>
      </c>
      <c r="P46" s="50">
        <f t="shared" ca="1" si="2"/>
        <v>1060</v>
      </c>
      <c r="Q46" s="62">
        <f ca="1">_xll.IMDP("ECO",$C46,"현재가",$F$4, "fill=true")</f>
        <v>124.5</v>
      </c>
      <c r="R46" s="27">
        <f ca="1">_xll.IMDP("ECO",$C46,"현재가",$F$4,"fill=true, DISP=DATE")</f>
        <v>20221231</v>
      </c>
      <c r="S46" s="58">
        <f t="shared" ca="1" si="7"/>
        <v>44926</v>
      </c>
      <c r="T46" s="34">
        <f ca="1">( $Q46/_xll.IMDP("ECO", $C46, "현재가", EOMONTH($S46, -12)) -1)*100</f>
        <v>15.921787709497192</v>
      </c>
      <c r="U46" s="28">
        <f ca="1">IF(_xll.IMDP("ECO",$D46,"현재가",$D$1)="","",_xll.IMDP("ECO",$D46,"현재가",$D$1))</f>
        <v>10.349</v>
      </c>
      <c r="V46" s="28">
        <f ca="1">IF(_xll.IMDP("ECO",$D46,"현재가",$D$2)="","",_xll.IMDP("ECO",$D46,"현재가",$D$2))</f>
        <v>6.3929999999999998</v>
      </c>
      <c r="W46" s="28">
        <f ca="1">IF(_xll.IMDP("ECO",$D46,"현재가",$D$3)="","",_xll.IMDP("ECO",$D46,"현재가",$D$3))</f>
        <v>3.988</v>
      </c>
      <c r="X46" s="28">
        <f ca="1">IF(_xll.IMDP("ECO",$D46,"현재가",$D$4)="","",_xll.IMDP("ECO",$D46,"현재가",$D$4))</f>
        <v>3.4860000000000002</v>
      </c>
      <c r="Y46" s="28">
        <f ca="1">IF(_xll.IMDP("ECO",$D46,"현재가",$D$5)="","",_xll.IMDP("ECO",$D46,"현재가",$D$5))</f>
        <v>3.1429999999999998</v>
      </c>
    </row>
    <row r="47" spans="2:25" x14ac:dyDescent="0.25">
      <c r="B47" s="1" t="s">
        <v>24</v>
      </c>
      <c r="C47" s="1" t="s">
        <v>53</v>
      </c>
      <c r="D47" s="13" t="s">
        <v>67</v>
      </c>
      <c r="E47" s="41" t="s">
        <v>112</v>
      </c>
      <c r="F47" s="25">
        <f ca="1">_xll.IMDP("ECO",$B47,"현재가",$F$4,"fill=TRUE")</f>
        <v>3.1</v>
      </c>
      <c r="G47" s="25">
        <f ca="1">IF( _xll.IMDP( "ECO", $B47, "현재가", EOMONTH($F$4,G$7) ) ="", _xll.IMDP( "ECO", $B47, "현재가", WORKDAY( EOMONTH($F$4,G$7), -1) ), _xll.IMDP( "ECO", $B47, "현재가", EOMONTH($F$4,G$7) ) )</f>
        <v>2.85</v>
      </c>
      <c r="H47" s="25">
        <f ca="1">IF( _xll.IMDP( "ECO", $B47, "현재가", EOMONTH($F$4,H$7) ) ="", _xll.IMDP( "ECO", $B47, "현재가", WORKDAY( EOMONTH($F$4,H$7), -1) ), _xll.IMDP( "ECO", $B47, "현재가", EOMONTH($F$4,H$7) ) )</f>
        <v>2.35</v>
      </c>
      <c r="I47" s="25">
        <f ca="1">IF( _xll.IMDP( "ECO", $B47, "현재가", EOMONTH($F$4,I$7) ) ="", _xll.IMDP( "ECO", $B47, "현재가", WORKDAY( EOMONTH($F$4,I$7), -1) ), _xll.IMDP( "ECO", $B47, "현재가", EOMONTH($F$4,I$7) ) )</f>
        <v>0.85</v>
      </c>
      <c r="J47" s="26">
        <f ca="1">IF( _xll.IMDP( "ECO", $B47, "현재가", EOMONTH($F$4,J$7) ) ="", _xll.IMDP( "ECO", $B47, "현재가", WORKDAY( EOMONTH($F$4,J$7), -1) ), _xll.IMDP( "ECO", $B47, "현재가", EOMONTH($F$4,J$7) ) )</f>
        <v>0.1</v>
      </c>
      <c r="K47" s="27">
        <f ca="1">_xll.IMDP("ECO",$B47,"현재가",$F$4,"DISP=DATE")</f>
        <v>20221230</v>
      </c>
      <c r="L47" s="27"/>
      <c r="M47" s="50">
        <f t="shared" ca="1" si="6"/>
        <v>25</v>
      </c>
      <c r="N47" s="50">
        <f t="shared" ca="1" si="0"/>
        <v>75</v>
      </c>
      <c r="O47" s="50">
        <f t="shared" ca="1" si="1"/>
        <v>225</v>
      </c>
      <c r="P47" s="50">
        <f t="shared" ca="1" si="2"/>
        <v>300</v>
      </c>
      <c r="Q47" s="62">
        <f ca="1">_xll.IMDP("ECO",$C47,"현재가",$F$4, "fill=true")</f>
        <v>128.4</v>
      </c>
      <c r="R47" s="27">
        <f ca="1">_xll.IMDP("ECO",$C47,"현재가",$F$4,"fill=true, DISP=DATE")</f>
        <v>20220930</v>
      </c>
      <c r="S47" s="58">
        <f t="shared" ca="1" si="7"/>
        <v>44834</v>
      </c>
      <c r="T47" s="34">
        <f ca="1">( $Q47/_xll.IMDP("ECO", $C47, "현재가", EOMONTH($S47, -12)) -1)*100</f>
        <v>7.268170426065157</v>
      </c>
      <c r="U47" s="28">
        <f ca="1">IF(_xll.IMDP("ECO",$D47,"현재가",$D$1)="","",_xll.IMDP("ECO",$D47,"현재가",$D$1))</f>
        <v>3.9380000000000002</v>
      </c>
      <c r="V47" s="28">
        <f ca="1">IF(_xll.IMDP("ECO",$D47,"현재가",$D$2)="","",_xll.IMDP("ECO",$D47,"현재가",$D$2))</f>
        <v>2.6619999999999999</v>
      </c>
      <c r="W47" s="28">
        <f ca="1">IF(_xll.IMDP("ECO",$D47,"현재가",$D$3)="","",_xll.IMDP("ECO",$D47,"현재가",$D$3))</f>
        <v>2.4849999999999999</v>
      </c>
      <c r="X47" s="28">
        <f ca="1">IF(_xll.IMDP("ECO",$D47,"현재가",$D$4)="","",_xll.IMDP("ECO",$D47,"현재가",$D$4))</f>
        <v>2.5489999999999999</v>
      </c>
      <c r="Y47" s="28">
        <f ca="1">IF(_xll.IMDP("ECO",$D47,"현재가",$D$5)="","",_xll.IMDP("ECO",$D47,"현재가",$D$5))</f>
        <v>2.5489999999999999</v>
      </c>
    </row>
    <row r="48" spans="2:25" x14ac:dyDescent="0.25">
      <c r="B48" s="1" t="s">
        <v>26</v>
      </c>
      <c r="C48" s="1" t="s">
        <v>54</v>
      </c>
      <c r="D48" s="1" t="s">
        <v>171</v>
      </c>
      <c r="E48" s="42" t="s">
        <v>113</v>
      </c>
      <c r="F48" s="35">
        <f ca="1">_xll.IMDP("ECO",$B48,"현재가",$F$4,"fill=TRUE")</f>
        <v>4.75</v>
      </c>
      <c r="G48" s="35">
        <f ca="1">IF( _xll.IMDP( "ECO", $B48, "현재가", EOMONTH($F$4,G$7) ) ="", _xll.IMDP( "ECO", $B48, "현재가", WORKDAY( EOMONTH($F$4,G$7), -1) ), _xll.IMDP( "ECO", $B48, "현재가", EOMONTH($F$4,G$7) ) )</f>
        <v>4.25</v>
      </c>
      <c r="H48" s="35">
        <f ca="1">IF( _xll.IMDP( "ECO", $B48, "현재가", EOMONTH($F$4,H$7) ) ="", _xll.IMDP( "ECO", $B48, "현재가", WORKDAY( EOMONTH($F$4,H$7), -1) ), _xll.IMDP( "ECO", $B48, "현재가", EOMONTH($F$4,H$7) ) )</f>
        <v>3.5</v>
      </c>
      <c r="I48" s="35">
        <f ca="1">IF( _xll.IMDP( "ECO", $B48, "현재가", EOMONTH($F$4,I$7) ) ="", _xll.IMDP( "ECO", $B48, "현재가", WORKDAY( EOMONTH($F$4,I$7), -1) ), _xll.IMDP( "ECO", $B48, "현재가", EOMONTH($F$4,I$7) ) )</f>
        <v>2</v>
      </c>
      <c r="J48" s="36">
        <f ca="1">IF( _xll.IMDP( "ECO", $B48, "현재가", EOMONTH($F$4,J$7) ) ="", _xll.IMDP( "ECO", $B48, "현재가", WORKDAY( EOMONTH($F$4,J$7), -1) ), _xll.IMDP( "ECO", $B48, "현재가", EOMONTH($F$4,J$7) ) )</f>
        <v>0.5</v>
      </c>
      <c r="K48" s="37">
        <f ca="1">_xll.IMDP("ECO",$B48,"현재가",$F$4,"DISP=DATE")</f>
        <v>20221230</v>
      </c>
      <c r="L48" s="37"/>
      <c r="M48" s="50">
        <f t="shared" ca="1" si="6"/>
        <v>50</v>
      </c>
      <c r="N48" s="50">
        <f t="shared" ca="1" si="0"/>
        <v>125</v>
      </c>
      <c r="O48" s="50">
        <f t="shared" ca="1" si="1"/>
        <v>275</v>
      </c>
      <c r="P48" s="50">
        <f t="shared" ca="1" si="2"/>
        <v>425</v>
      </c>
      <c r="Q48" s="66">
        <f ca="1">_xll.IMDP("ECO",$C48,"현재가",$F$4, "fill=true")</f>
        <v>104</v>
      </c>
      <c r="R48" s="37">
        <f ca="1">_xll.IMDP("ECO",$C48,"현재가",$F$4,"fill=true, DISP=DATE")</f>
        <v>20221130</v>
      </c>
      <c r="S48" s="58">
        <f t="shared" ca="1" si="7"/>
        <v>44895</v>
      </c>
      <c r="T48" s="39">
        <f ca="1">( $Q48/_xll.IMDP("ECO", $C48, "현재가", EOMONTH($S48, -12)) -1)*100</f>
        <v>1.7612524461839474</v>
      </c>
      <c r="U48" s="38">
        <f ca="1">IF(_xll.IMDP("ECO",$D48,"현재가",$D$1)="","",_xll.IMDP("ECO",$D48,"현재가",$D$1))</f>
        <v>1.9</v>
      </c>
      <c r="V48" s="38">
        <f ca="1">IF(_xll.IMDP("ECO",$D48,"현재가",$D$2)="","",_xll.IMDP("ECO",$D48,"현재가",$D$2))</f>
        <v>2.1</v>
      </c>
      <c r="W48" s="38">
        <f ca="1">IF(_xll.IMDP("ECO",$D48,"현재가",$D$3)="","",_xll.IMDP("ECO",$D48,"현재가",$D$3))</f>
        <v>2.2999999999999998</v>
      </c>
      <c r="X48" s="38">
        <f ca="1">IF(_xll.IMDP("ECO",$D48,"현재가",$D$4)="","",_xll.IMDP("ECO",$D48,"현재가",$D$4))</f>
        <v>2.5</v>
      </c>
      <c r="Y48" s="38">
        <f ca="1">IF(_xll.IMDP("ECO",$D48,"현재가",$D$5)="","",_xll.IMDP("ECO",$D48,"현재가",$D$5))</f>
        <v>2.5</v>
      </c>
    </row>
  </sheetData>
  <sortState ref="B5:L41">
    <sortCondition ref="E5:E41"/>
  </sortState>
  <mergeCells count="7">
    <mergeCell ref="T6:T7"/>
    <mergeCell ref="E6:E7"/>
    <mergeCell ref="Q6:Q7"/>
    <mergeCell ref="R6:R7"/>
    <mergeCell ref="U6:Y6"/>
    <mergeCell ref="F6:L6"/>
    <mergeCell ref="M6:P6"/>
  </mergeCells>
  <phoneticPr fontId="1" type="noConversion"/>
  <conditionalFormatting sqref="U8:Y48">
    <cfRule type="dataBar" priority="25">
      <dataBar>
        <cfvo type="min"/>
        <cfvo type="percentile" val="95"/>
        <color rgb="FF638EC6"/>
      </dataBar>
    </cfRule>
  </conditionalFormatting>
  <conditionalFormatting sqref="M8:P48">
    <cfRule type="colorScale" priority="1">
      <colorScale>
        <cfvo type="percentile" val="3"/>
        <cfvo type="num" val="0"/>
        <cfvo type="percentile" val="97"/>
        <color rgb="FF6699FF"/>
        <color theme="0"/>
        <color rgb="FFFF7C80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ast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1"/>
          <x14:colorHigh theme="4"/>
          <x14:colorLow theme="4"/>
          <x14:sparklines>
            <x14:sparkline>
              <xm:f>RAW_정책금리!B3:B15</xm:f>
              <xm:sqref>L8</xm:sqref>
            </x14:sparkline>
            <x14:sparkline>
              <xm:f>RAW_정책금리!C3:C15</xm:f>
              <xm:sqref>L9</xm:sqref>
            </x14:sparkline>
            <x14:sparkline>
              <xm:f>RAW_정책금리!D3:D15</xm:f>
              <xm:sqref>L10</xm:sqref>
            </x14:sparkline>
            <x14:sparkline>
              <xm:f>RAW_정책금리!E3:E15</xm:f>
              <xm:sqref>L11</xm:sqref>
            </x14:sparkline>
            <x14:sparkline>
              <xm:f>RAW_정책금리!F3:F15</xm:f>
              <xm:sqref>L12</xm:sqref>
            </x14:sparkline>
            <x14:sparkline>
              <xm:f>RAW_정책금리!G3:G15</xm:f>
              <xm:sqref>L13</xm:sqref>
            </x14:sparkline>
            <x14:sparkline>
              <xm:f>RAW_정책금리!H3:H15</xm:f>
              <xm:sqref>L14</xm:sqref>
            </x14:sparkline>
            <x14:sparkline>
              <xm:f>RAW_정책금리!I3:I15</xm:f>
              <xm:sqref>L15</xm:sqref>
            </x14:sparkline>
            <x14:sparkline>
              <xm:f>RAW_정책금리!J3:J15</xm:f>
              <xm:sqref>L16</xm:sqref>
            </x14:sparkline>
            <x14:sparkline>
              <xm:f>RAW_정책금리!K3:K15</xm:f>
              <xm:sqref>L17</xm:sqref>
            </x14:sparkline>
            <x14:sparkline>
              <xm:f>RAW_정책금리!L3:L15</xm:f>
              <xm:sqref>L18</xm:sqref>
            </x14:sparkline>
            <x14:sparkline>
              <xm:f>RAW_정책금리!M3:M15</xm:f>
              <xm:sqref>L19</xm:sqref>
            </x14:sparkline>
            <x14:sparkline>
              <xm:f>RAW_정책금리!N3:N15</xm:f>
              <xm:sqref>L20</xm:sqref>
            </x14:sparkline>
            <x14:sparkline>
              <xm:f>RAW_정책금리!O3:O15</xm:f>
              <xm:sqref>L21</xm:sqref>
            </x14:sparkline>
            <x14:sparkline>
              <xm:f>RAW_정책금리!P3:P15</xm:f>
              <xm:sqref>L22</xm:sqref>
            </x14:sparkline>
            <x14:sparkline>
              <xm:f>RAW_정책금리!Q3:Q15</xm:f>
              <xm:sqref>L23</xm:sqref>
            </x14:sparkline>
            <x14:sparkline>
              <xm:f>RAW_정책금리!R3:R15</xm:f>
              <xm:sqref>L24</xm:sqref>
            </x14:sparkline>
            <x14:sparkline>
              <xm:f>RAW_정책금리!S3:S15</xm:f>
              <xm:sqref>L25</xm:sqref>
            </x14:sparkline>
            <x14:sparkline>
              <xm:f>RAW_정책금리!T3:T15</xm:f>
              <xm:sqref>L26</xm:sqref>
            </x14:sparkline>
            <x14:sparkline>
              <xm:f>RAW_정책금리!U3:U15</xm:f>
              <xm:sqref>L27</xm:sqref>
            </x14:sparkline>
            <x14:sparkline>
              <xm:f>RAW_정책금리!V3:V15</xm:f>
              <xm:sqref>L28</xm:sqref>
            </x14:sparkline>
            <x14:sparkline>
              <xm:f>RAW_정책금리!W3:W15</xm:f>
              <xm:sqref>L29</xm:sqref>
            </x14:sparkline>
            <x14:sparkline>
              <xm:f>RAW_정책금리!X3:X15</xm:f>
              <xm:sqref>L30</xm:sqref>
            </x14:sparkline>
            <x14:sparkline>
              <xm:f>RAW_정책금리!Y3:Y15</xm:f>
              <xm:sqref>L31</xm:sqref>
            </x14:sparkline>
            <x14:sparkline>
              <xm:f>RAW_정책금리!Z3:Z15</xm:f>
              <xm:sqref>L32</xm:sqref>
            </x14:sparkline>
            <x14:sparkline>
              <xm:f>RAW_정책금리!AA3:AA15</xm:f>
              <xm:sqref>L33</xm:sqref>
            </x14:sparkline>
            <x14:sparkline>
              <xm:f>RAW_정책금리!AB3:AB15</xm:f>
              <xm:sqref>L34</xm:sqref>
            </x14:sparkline>
            <x14:sparkline>
              <xm:f>RAW_정책금리!AC3:AC15</xm:f>
              <xm:sqref>L35</xm:sqref>
            </x14:sparkline>
            <x14:sparkline>
              <xm:f>RAW_정책금리!AD3:AD15</xm:f>
              <xm:sqref>L36</xm:sqref>
            </x14:sparkline>
            <x14:sparkline>
              <xm:f>RAW_정책금리!AE3:AE15</xm:f>
              <xm:sqref>L37</xm:sqref>
            </x14:sparkline>
            <x14:sparkline>
              <xm:f>RAW_정책금리!AF3:AF15</xm:f>
              <xm:sqref>L38</xm:sqref>
            </x14:sparkline>
            <x14:sparkline>
              <xm:f>RAW_정책금리!AG3:AG15</xm:f>
              <xm:sqref>L39</xm:sqref>
            </x14:sparkline>
            <x14:sparkline>
              <xm:f>RAW_정책금리!AH3:AH15</xm:f>
              <xm:sqref>L40</xm:sqref>
            </x14:sparkline>
            <x14:sparkline>
              <xm:f>RAW_정책금리!AI3:AI15</xm:f>
              <xm:sqref>L41</xm:sqref>
            </x14:sparkline>
            <x14:sparkline>
              <xm:f>RAW_정책금리!AJ3:AJ15</xm:f>
              <xm:sqref>L42</xm:sqref>
            </x14:sparkline>
            <x14:sparkline>
              <xm:f>RAW_정책금리!AK3:AK15</xm:f>
              <xm:sqref>L43</xm:sqref>
            </x14:sparkline>
            <x14:sparkline>
              <xm:f>RAW_정책금리!AL3:AL15</xm:f>
              <xm:sqref>L44</xm:sqref>
            </x14:sparkline>
            <x14:sparkline>
              <xm:f>RAW_정책금리!AM3:AM15</xm:f>
              <xm:sqref>L45</xm:sqref>
            </x14:sparkline>
            <x14:sparkline>
              <xm:f>RAW_정책금리!AN3:AN15</xm:f>
              <xm:sqref>L46</xm:sqref>
            </x14:sparkline>
            <x14:sparkline>
              <xm:f>RAW_정책금리!AO3:AO15</xm:f>
              <xm:sqref>L47</xm:sqref>
            </x14:sparkline>
            <x14:sparkline>
              <xm:f>RAW_정책금리!AP3:AP15</xm:f>
              <xm:sqref>L48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19"/>
  <sheetViews>
    <sheetView workbookViewId="0">
      <selection activeCell="C20" sqref="C20"/>
    </sheetView>
  </sheetViews>
  <sheetFormatPr defaultRowHeight="13.5" x14ac:dyDescent="0.25"/>
  <cols>
    <col min="1" max="1" width="11.28515625" style="22" bestFit="1" customWidth="1"/>
    <col min="2" max="16384" width="9.140625" style="22"/>
  </cols>
  <sheetData>
    <row r="1" spans="1:42" x14ac:dyDescent="0.25">
      <c r="B1" s="24" t="s">
        <v>201</v>
      </c>
      <c r="C1" s="24" t="s">
        <v>172</v>
      </c>
      <c r="D1" s="24" t="s">
        <v>201</v>
      </c>
      <c r="E1" s="24" t="s">
        <v>15</v>
      </c>
      <c r="F1" s="24" t="s">
        <v>23</v>
      </c>
      <c r="G1" s="24" t="s">
        <v>20</v>
      </c>
      <c r="H1" s="24" t="s">
        <v>14</v>
      </c>
      <c r="I1" s="24" t="s">
        <v>6</v>
      </c>
      <c r="J1" s="24" t="s">
        <v>149</v>
      </c>
      <c r="K1" s="24" t="s">
        <v>202</v>
      </c>
      <c r="L1" s="24" t="s">
        <v>5</v>
      </c>
      <c r="M1" s="49" t="s">
        <v>150</v>
      </c>
      <c r="N1" s="24" t="s">
        <v>4</v>
      </c>
      <c r="O1" s="24" t="s">
        <v>21</v>
      </c>
      <c r="P1" s="24" t="s">
        <v>201</v>
      </c>
      <c r="Q1" s="24" t="s">
        <v>2</v>
      </c>
      <c r="R1" s="24" t="s">
        <v>22</v>
      </c>
      <c r="S1" s="24" t="s">
        <v>8</v>
      </c>
      <c r="T1" s="24" t="s">
        <v>10</v>
      </c>
      <c r="U1" s="24" t="s">
        <v>201</v>
      </c>
      <c r="V1" s="24" t="s">
        <v>204</v>
      </c>
      <c r="W1" s="24" t="s">
        <v>3</v>
      </c>
      <c r="X1" s="24" t="s">
        <v>201</v>
      </c>
      <c r="Y1" s="24" t="s">
        <v>7</v>
      </c>
      <c r="Z1" s="24" t="s">
        <v>6</v>
      </c>
      <c r="AA1" s="24" t="s">
        <v>6</v>
      </c>
      <c r="AB1" s="24" t="s">
        <v>19</v>
      </c>
      <c r="AC1" s="24" t="s">
        <v>203</v>
      </c>
      <c r="AD1" s="24" t="s">
        <v>16</v>
      </c>
      <c r="AE1" s="24" t="s">
        <v>18</v>
      </c>
      <c r="AF1" s="24" t="s">
        <v>9</v>
      </c>
      <c r="AG1" s="24" t="s">
        <v>1</v>
      </c>
      <c r="AH1" s="24" t="s">
        <v>0</v>
      </c>
      <c r="AI1" s="24" t="s">
        <v>13</v>
      </c>
      <c r="AJ1" s="24" t="s">
        <v>11</v>
      </c>
      <c r="AK1" s="24" t="s">
        <v>6</v>
      </c>
      <c r="AL1" s="24" t="s">
        <v>6</v>
      </c>
      <c r="AM1" s="24" t="s">
        <v>17</v>
      </c>
      <c r="AN1" s="24" t="s">
        <v>12</v>
      </c>
      <c r="AO1" s="24" t="s">
        <v>24</v>
      </c>
      <c r="AP1" s="24" t="s">
        <v>26</v>
      </c>
    </row>
    <row r="2" spans="1:42" x14ac:dyDescent="0.25">
      <c r="B2" s="22" t="s">
        <v>175</v>
      </c>
      <c r="C2" s="22" t="s">
        <v>116</v>
      </c>
      <c r="D2" s="22" t="s">
        <v>177</v>
      </c>
      <c r="E2" s="22" t="s">
        <v>117</v>
      </c>
      <c r="F2" s="22" t="s">
        <v>118</v>
      </c>
      <c r="G2" s="22" t="s">
        <v>119</v>
      </c>
      <c r="H2" s="22" t="s">
        <v>120</v>
      </c>
      <c r="I2" s="22" t="s">
        <v>121</v>
      </c>
      <c r="J2" s="22" t="s">
        <v>122</v>
      </c>
      <c r="K2" s="22" t="s">
        <v>179</v>
      </c>
      <c r="L2" s="22" t="s">
        <v>123</v>
      </c>
      <c r="M2" s="22" t="s">
        <v>124</v>
      </c>
      <c r="N2" s="22" t="s">
        <v>125</v>
      </c>
      <c r="O2" s="22" t="s">
        <v>126</v>
      </c>
      <c r="P2" s="22" t="s">
        <v>181</v>
      </c>
      <c r="Q2" s="22" t="s">
        <v>127</v>
      </c>
      <c r="R2" s="22" t="s">
        <v>128</v>
      </c>
      <c r="S2" s="22" t="s">
        <v>129</v>
      </c>
      <c r="T2" s="22" t="s">
        <v>130</v>
      </c>
      <c r="U2" s="22" t="s">
        <v>183</v>
      </c>
      <c r="V2" s="22" t="s">
        <v>185</v>
      </c>
      <c r="W2" s="22" t="s">
        <v>131</v>
      </c>
      <c r="X2" s="22" t="s">
        <v>187</v>
      </c>
      <c r="Y2" s="22" t="s">
        <v>132</v>
      </c>
      <c r="Z2" s="22" t="s">
        <v>189</v>
      </c>
      <c r="AA2" s="22" t="s">
        <v>133</v>
      </c>
      <c r="AB2" s="22" t="s">
        <v>134</v>
      </c>
      <c r="AC2" s="22" t="s">
        <v>191</v>
      </c>
      <c r="AD2" s="22" t="s">
        <v>135</v>
      </c>
      <c r="AE2" s="22" t="s">
        <v>136</v>
      </c>
      <c r="AF2" s="22" t="s">
        <v>137</v>
      </c>
      <c r="AG2" s="22" t="s">
        <v>138</v>
      </c>
      <c r="AH2" s="22" t="s">
        <v>139</v>
      </c>
      <c r="AI2" s="22" t="s">
        <v>213</v>
      </c>
      <c r="AJ2" s="22" t="s">
        <v>140</v>
      </c>
      <c r="AK2" s="22" t="s">
        <v>141</v>
      </c>
      <c r="AL2" s="22" t="s">
        <v>142</v>
      </c>
      <c r="AM2" s="22" t="s">
        <v>143</v>
      </c>
      <c r="AN2" s="22" t="s">
        <v>144</v>
      </c>
      <c r="AO2" s="22" t="s">
        <v>145</v>
      </c>
      <c r="AP2" s="22" t="s">
        <v>146</v>
      </c>
    </row>
    <row r="3" spans="1:42" x14ac:dyDescent="0.25">
      <c r="A3" s="23">
        <f t="shared" ref="A3:A14" ca="1" si="0">EOMONTH(A4,-1)</f>
        <v>44592</v>
      </c>
      <c r="B3" s="22">
        <f ca="1">_xll.IMDP("ECO", B$1, "현재가", $A3, "fill=true")</f>
        <v>0</v>
      </c>
      <c r="C3" s="22">
        <f ca="1">_xll.IMDP("ECO", C$1, "현재가", $A3, "fill=true")</f>
        <v>4</v>
      </c>
      <c r="D3" s="22">
        <f ca="1">_xll.IMDP("ECO", D$1, "현재가", $A3, "fill=true")</f>
        <v>0</v>
      </c>
      <c r="E3" s="22">
        <f ca="1">_xll.IMDP("ECO", E$1, "현재가", $A3, "fill=true")</f>
        <v>0.5</v>
      </c>
      <c r="F3" s="22">
        <f ca="1">_xll.IMDP("ECO", F$1, "현재가", $A3, "fill=true")</f>
        <v>0.75</v>
      </c>
      <c r="G3" s="22">
        <f ca="1">_xll.IMDP("ECO", G$1, "현재가", $A3, "fill=true")</f>
        <v>1.125</v>
      </c>
      <c r="H3" s="22">
        <f ca="1">_xll.IMDP("ECO", H$1, "현재가", $A3, "fill=true")</f>
        <v>0.05</v>
      </c>
      <c r="I3" s="22">
        <f ca="1">_xll.IMDP("ECO", I$1, "현재가", $A3, "fill=true")</f>
        <v>0</v>
      </c>
      <c r="J3" s="22">
        <f ca="1">_xll.IMDP("ECO", J$1, "현재가", $A3, "fill=true")</f>
        <v>8.5</v>
      </c>
      <c r="K3" s="22">
        <f ca="1">_xll.IMDP("ECO", K$1, "현재가", $A3, "fill=true")</f>
        <v>1.75</v>
      </c>
      <c r="L3" s="22">
        <f ca="1">_xll.IMDP("ECO", L$1, "현재가", $A3, "fill=true")</f>
        <v>5.5</v>
      </c>
      <c r="M3" s="22">
        <f ca="1">_xll.IMDP("ECO", M$1, "현재가", $A3, "fill=true")</f>
        <v>0</v>
      </c>
      <c r="N3" s="22">
        <f ca="1">_xll.IMDP("ECO", N$1, "현재가", $A3, "fill=true")</f>
        <v>54.13</v>
      </c>
      <c r="O3" s="22">
        <f ca="1">_xll.IMDP("ECO", O$1, "현재가", $A3, "fill=true")</f>
        <v>4</v>
      </c>
      <c r="P3" s="22">
        <f ca="1">_xll.IMDP("ECO", P$1, "현재가", $A3, "fill=true")</f>
        <v>0</v>
      </c>
      <c r="Q3" s="22">
        <f ca="1">_xll.IMDP("ECO", Q$1, "현재가", $A3, "fill=true")</f>
        <v>9.25</v>
      </c>
      <c r="R3" s="22">
        <f ca="1">_xll.IMDP("ECO", R$1, "현재가", $A3, "fill=true")</f>
        <v>1</v>
      </c>
      <c r="S3" s="22">
        <f ca="1">_xll.IMDP("ECO", S$1, "현재가", $A3, "fill=true")</f>
        <v>0</v>
      </c>
      <c r="T3" s="22">
        <f ca="1">_xll.IMDP("ECO", T$1, "현재가", $A3, "fill=true")</f>
        <v>-0.75</v>
      </c>
      <c r="U3" s="22">
        <f ca="1">_xll.IMDP("ECO", U$1, "현재가", $A3, "fill=true")</f>
        <v>0</v>
      </c>
      <c r="V3" s="22">
        <f ca="1">_xll.IMDP("ECO", V$1, "현재가", $A3, "fill=true")</f>
        <v>0.4113</v>
      </c>
      <c r="W3" s="22">
        <f ca="1">_xll.IMDP("ECO", W$1, "현재가", $A3, "fill=true")</f>
        <v>40</v>
      </c>
      <c r="X3" s="22">
        <f ca="1">_xll.IMDP("ECO", X$1, "현재가", $A3, "fill=true")</f>
        <v>0</v>
      </c>
      <c r="Y3" s="22">
        <f ca="1">_xll.IMDP("ECO", Y$1, "현재가", $A3, "fill=true")</f>
        <v>0.25</v>
      </c>
      <c r="Z3" s="22">
        <f ca="1">_xll.IMDP("ECO", Z$1, "현재가", $A3, "fill=true")</f>
        <v>0</v>
      </c>
      <c r="AA3" s="22">
        <f ca="1">_xll.IMDP("ECO", AA$1, "현재가", $A3, "fill=true")</f>
        <v>0</v>
      </c>
      <c r="AB3" s="22">
        <f ca="1">_xll.IMDP("ECO", AB$1, "현재가", $A3, "fill=true")</f>
        <v>4</v>
      </c>
      <c r="AC3" s="22">
        <f ca="1">_xll.IMDP("ECO", AC$1, "현재가", $A3, "fill=true")</f>
        <v>3.5</v>
      </c>
      <c r="AD3" s="22">
        <f ca="1">_xll.IMDP("ECO", AD$1, "현재가", $A3, "fill=true")</f>
        <v>-0.1</v>
      </c>
      <c r="AE3" s="22">
        <f ca="1">_xll.IMDP("ECO", AE$1, "현재가", $A3, "fill=true")</f>
        <v>4.3499999999999996</v>
      </c>
      <c r="AF3" s="22">
        <f ca="1">_xll.IMDP("ECO", AF$1, "현재가", $A3, "fill=true")</f>
        <v>3.75</v>
      </c>
      <c r="AG3" s="22">
        <f ca="1">_xll.IMDP("ECO", AG$1, "현재가", $A3, "fill=true")</f>
        <v>0.25</v>
      </c>
      <c r="AH3" s="22">
        <f ca="1">_xll.IMDP("ECO", AH$1, "현재가", $A3, "fill=true")</f>
        <v>0.5</v>
      </c>
      <c r="AI3" s="22">
        <f ca="1">_xll.IMDP("ECO", AI$1, "현재가", $A3, "fill=true")</f>
        <v>14</v>
      </c>
      <c r="AJ3" s="22">
        <f ca="1">_xll.IMDP("ECO", AJ$1, "현재가", $A3, "fill=true")</f>
        <v>2.25</v>
      </c>
      <c r="AK3" s="22">
        <f ca="1">_xll.IMDP("ECO", AK$1, "현재가", $A3, "fill=true")</f>
        <v>0</v>
      </c>
      <c r="AL3" s="22">
        <f ca="1">_xll.IMDP("ECO", AL$1, "현재가", $A3, "fill=true")</f>
        <v>0</v>
      </c>
      <c r="AM3" s="22">
        <f ca="1">_xll.IMDP("ECO", AM$1, "현재가", $A3, "fill=true")</f>
        <v>1.25</v>
      </c>
      <c r="AN3" s="22">
        <f ca="1">_xll.IMDP("ECO", AN$1, "현재가", $A3, "fill=true")</f>
        <v>2.9</v>
      </c>
      <c r="AO3" s="22">
        <f ca="1">_xll.IMDP("ECO", AO$1, "현재가", $A3, "fill=true")</f>
        <v>0.1</v>
      </c>
      <c r="AP3" s="22">
        <f ca="1">_xll.IMDP("ECO", AP$1, "현재가", $A3, "fill=true")</f>
        <v>0.5</v>
      </c>
    </row>
    <row r="4" spans="1:42" x14ac:dyDescent="0.25">
      <c r="A4" s="23">
        <f t="shared" ca="1" si="0"/>
        <v>44620</v>
      </c>
      <c r="B4" s="22">
        <f ca="1">_xll.IMDP("ECO", B$1, "현재가", $A4, "fill=true")</f>
        <v>0</v>
      </c>
      <c r="C4" s="22">
        <f ca="1">_xll.IMDP("ECO", C$1, "현재가", $A4, "fill=true")</f>
        <v>4</v>
      </c>
      <c r="D4" s="22">
        <f ca="1">_xll.IMDP("ECO", D$1, "현재가", $A4, "fill=true")</f>
        <v>0</v>
      </c>
      <c r="E4" s="22">
        <f ca="1">_xll.IMDP("ECO", E$1, "현재가", $A4, "fill=true")</f>
        <v>0.5</v>
      </c>
      <c r="F4" s="22">
        <f ca="1">_xll.IMDP("ECO", F$1, "현재가", $A4, "fill=true")</f>
        <v>1</v>
      </c>
      <c r="G4" s="22">
        <f ca="1">_xll.IMDP("ECO", G$1, "현재가", $A4, "fill=true")</f>
        <v>1.125</v>
      </c>
      <c r="H4" s="22">
        <f ca="1">_xll.IMDP("ECO", H$1, "현재가", $A4, "fill=true")</f>
        <v>0.05</v>
      </c>
      <c r="I4" s="22">
        <f ca="1">_xll.IMDP("ECO", I$1, "현재가", $A4, "fill=true")</f>
        <v>0</v>
      </c>
      <c r="J4" s="22">
        <f ca="1">_xll.IMDP("ECO", J$1, "현재가", $A4, "fill=true")</f>
        <v>20</v>
      </c>
      <c r="K4" s="22">
        <f ca="1">_xll.IMDP("ECO", K$1, "현재가", $A4, "fill=true")</f>
        <v>1.75</v>
      </c>
      <c r="L4" s="22">
        <f ca="1">_xll.IMDP("ECO", L$1, "현재가", $A4, "fill=true")</f>
        <v>6</v>
      </c>
      <c r="M4" s="22">
        <f ca="1">_xll.IMDP("ECO", M$1, "현재가", $A4, "fill=true")</f>
        <v>0</v>
      </c>
      <c r="N4" s="22">
        <f ca="1">_xll.IMDP("ECO", N$1, "현재가", $A4, "fill=true")</f>
        <v>43.19</v>
      </c>
      <c r="O4" s="22">
        <f ca="1">_xll.IMDP("ECO", O$1, "현재가", $A4, "fill=true")</f>
        <v>4</v>
      </c>
      <c r="P4" s="22">
        <f ca="1">_xll.IMDP("ECO", P$1, "현재가", $A4, "fill=true")</f>
        <v>0</v>
      </c>
      <c r="Q4" s="22">
        <f ca="1">_xll.IMDP("ECO", Q$1, "현재가", $A4, "fill=true")</f>
        <v>10.75</v>
      </c>
      <c r="R4" s="22">
        <f ca="1">_xll.IMDP("ECO", R$1, "현재가", $A4, "fill=true")</f>
        <v>1</v>
      </c>
      <c r="S4" s="22">
        <f ca="1">_xll.IMDP("ECO", S$1, "현재가", $A4, "fill=true")</f>
        <v>0</v>
      </c>
      <c r="T4" s="22">
        <f ca="1">_xll.IMDP("ECO", T$1, "현재가", $A4, "fill=true")</f>
        <v>-0.75</v>
      </c>
      <c r="U4" s="22">
        <f ca="1">_xll.IMDP("ECO", U$1, "현재가", $A4, "fill=true")</f>
        <v>0</v>
      </c>
      <c r="V4" s="22">
        <f ca="1">_xll.IMDP("ECO", V$1, "현재가", $A4, "fill=true")</f>
        <v>0.32779999999999998</v>
      </c>
      <c r="W4" s="22">
        <f ca="1">_xll.IMDP("ECO", W$1, "현재가", $A4, "fill=true")</f>
        <v>42.5</v>
      </c>
      <c r="X4" s="22">
        <f ca="1">_xll.IMDP("ECO", X$1, "현재가", $A4, "fill=true")</f>
        <v>0</v>
      </c>
      <c r="Y4" s="22">
        <f ca="1">_xll.IMDP("ECO", Y$1, "현재가", $A4, "fill=true")</f>
        <v>0.5</v>
      </c>
      <c r="Z4" s="22">
        <f ca="1">_xll.IMDP("ECO", Z$1, "현재가", $A4, "fill=true")</f>
        <v>0</v>
      </c>
      <c r="AA4" s="22">
        <f ca="1">_xll.IMDP("ECO", AA$1, "현재가", $A4, "fill=true")</f>
        <v>0</v>
      </c>
      <c r="AB4" s="22">
        <f ca="1">_xll.IMDP("ECO", AB$1, "현재가", $A4, "fill=true")</f>
        <v>4</v>
      </c>
      <c r="AC4" s="22">
        <f ca="1">_xll.IMDP("ECO", AC$1, "현재가", $A4, "fill=true")</f>
        <v>3.5</v>
      </c>
      <c r="AD4" s="22">
        <f ca="1">_xll.IMDP("ECO", AD$1, "현재가", $A4, "fill=true")</f>
        <v>-0.1</v>
      </c>
      <c r="AE4" s="22">
        <f ca="1">_xll.IMDP("ECO", AE$1, "현재가", $A4, "fill=true")</f>
        <v>4.3499999999999996</v>
      </c>
      <c r="AF4" s="22">
        <f ca="1">_xll.IMDP("ECO", AF$1, "현재가", $A4, "fill=true")</f>
        <v>4.5</v>
      </c>
      <c r="AG4" s="22">
        <f ca="1">_xll.IMDP("ECO", AG$1, "현재가", $A4, "fill=true")</f>
        <v>0.25</v>
      </c>
      <c r="AH4" s="22">
        <f ca="1">_xll.IMDP("ECO", AH$1, "현재가", $A4, "fill=true")</f>
        <v>0.5</v>
      </c>
      <c r="AI4" s="22">
        <f ca="1">_xll.IMDP("ECO", AI$1, "현재가", $A4, "fill=true")</f>
        <v>14</v>
      </c>
      <c r="AJ4" s="22">
        <f ca="1">_xll.IMDP("ECO", AJ$1, "현재가", $A4, "fill=true")</f>
        <v>2.75</v>
      </c>
      <c r="AK4" s="22">
        <f ca="1">_xll.IMDP("ECO", AK$1, "현재가", $A4, "fill=true")</f>
        <v>0</v>
      </c>
      <c r="AL4" s="22">
        <f ca="1">_xll.IMDP("ECO", AL$1, "현재가", $A4, "fill=true")</f>
        <v>0</v>
      </c>
      <c r="AM4" s="22">
        <f ca="1">_xll.IMDP("ECO", AM$1, "현재가", $A4, "fill=true")</f>
        <v>1.25</v>
      </c>
      <c r="AN4" s="22">
        <f ca="1">_xll.IMDP("ECO", AN$1, "현재가", $A4, "fill=true")</f>
        <v>3.4</v>
      </c>
      <c r="AO4" s="22">
        <f ca="1">_xll.IMDP("ECO", AO$1, "현재가", $A4, "fill=true")</f>
        <v>0.1</v>
      </c>
      <c r="AP4" s="22">
        <f ca="1">_xll.IMDP("ECO", AP$1, "현재가", $A4, "fill=true")</f>
        <v>0.5</v>
      </c>
    </row>
    <row r="5" spans="1:42" x14ac:dyDescent="0.25">
      <c r="A5" s="23">
        <f t="shared" ca="1" si="0"/>
        <v>44651</v>
      </c>
      <c r="B5" s="22">
        <f ca="1">_xll.IMDP("ECO", B$1, "현재가", $A5, "fill=true")</f>
        <v>0</v>
      </c>
      <c r="C5" s="22">
        <f ca="1">_xll.IMDP("ECO", C$1, "현재가", $A5, "fill=true")</f>
        <v>4.25</v>
      </c>
      <c r="D5" s="22">
        <f ca="1">_xll.IMDP("ECO", D$1, "현재가", $A5, "fill=true")</f>
        <v>0</v>
      </c>
      <c r="E5" s="22">
        <f ca="1">_xll.IMDP("ECO", E$1, "현재가", $A5, "fill=true")</f>
        <v>0.75</v>
      </c>
      <c r="F5" s="22">
        <f ca="1">_xll.IMDP("ECO", F$1, "현재가", $A5, "fill=true")</f>
        <v>1</v>
      </c>
      <c r="G5" s="22">
        <f ca="1">_xll.IMDP("ECO", G$1, "현재가", $A5, "fill=true")</f>
        <v>1.375</v>
      </c>
      <c r="H5" s="22">
        <f ca="1">_xll.IMDP("ECO", H$1, "현재가", $A5, "fill=true")</f>
        <v>0.05</v>
      </c>
      <c r="I5" s="22">
        <f ca="1">_xll.IMDP("ECO", I$1, "현재가", $A5, "fill=true")</f>
        <v>0</v>
      </c>
      <c r="J5" s="22">
        <f ca="1">_xll.IMDP("ECO", J$1, "현재가", $A5, "fill=true")</f>
        <v>20</v>
      </c>
      <c r="K5" s="22">
        <f ca="1">_xll.IMDP("ECO", K$1, "현재가", $A5, "fill=true")</f>
        <v>1.75</v>
      </c>
      <c r="L5" s="22">
        <f ca="1">_xll.IMDP("ECO", L$1, "현재가", $A5, "fill=true")</f>
        <v>6.5</v>
      </c>
      <c r="M5" s="22">
        <f ca="1">_xll.IMDP("ECO", M$1, "현재가", $A5, "fill=true")</f>
        <v>0.25</v>
      </c>
      <c r="N5" s="22">
        <f ca="1">_xll.IMDP("ECO", N$1, "현재가", $A5, "fill=true")</f>
        <v>47.2</v>
      </c>
      <c r="O5" s="22">
        <f ca="1">_xll.IMDP("ECO", O$1, "현재가", $A5, "fill=true")</f>
        <v>4</v>
      </c>
      <c r="P5" s="22">
        <f ca="1">_xll.IMDP("ECO", P$1, "현재가", $A5, "fill=true")</f>
        <v>0</v>
      </c>
      <c r="Q5" s="22">
        <f ca="1">_xll.IMDP("ECO", Q$1, "현재가", $A5, "fill=true")</f>
        <v>11.75</v>
      </c>
      <c r="R5" s="22">
        <f ca="1">_xll.IMDP("ECO", R$1, "현재가", $A5, "fill=true")</f>
        <v>1.25</v>
      </c>
      <c r="S5" s="22">
        <f ca="1">_xll.IMDP("ECO", S$1, "현재가", $A5, "fill=true")</f>
        <v>0</v>
      </c>
      <c r="T5" s="22">
        <f ca="1">_xll.IMDP("ECO", T$1, "현재가", $A5, "fill=true")</f>
        <v>-0.75</v>
      </c>
      <c r="U5" s="22">
        <f ca="1">_xll.IMDP("ECO", U$1, "현재가", $A5, "fill=true")</f>
        <v>0</v>
      </c>
      <c r="V5" s="22">
        <f ca="1">_xll.IMDP("ECO", V$1, "현재가", $A5, "fill=true")</f>
        <v>0.60850000000000004</v>
      </c>
      <c r="W5" s="22">
        <f ca="1">_xll.IMDP("ECO", W$1, "현재가", $A5, "fill=true")</f>
        <v>44.5</v>
      </c>
      <c r="X5" s="22">
        <f ca="1">_xll.IMDP("ECO", X$1, "현재가", $A5, "fill=true")</f>
        <v>0</v>
      </c>
      <c r="Y5" s="22">
        <f ca="1">_xll.IMDP("ECO", Y$1, "현재가", $A5, "fill=true")</f>
        <v>0.75</v>
      </c>
      <c r="Z5" s="22">
        <f ca="1">_xll.IMDP("ECO", Z$1, "현재가", $A5, "fill=true")</f>
        <v>0</v>
      </c>
      <c r="AA5" s="22">
        <f ca="1">_xll.IMDP("ECO", AA$1, "현재가", $A5, "fill=true")</f>
        <v>0</v>
      </c>
      <c r="AB5" s="22">
        <f ca="1">_xll.IMDP("ECO", AB$1, "현재가", $A5, "fill=true")</f>
        <v>4</v>
      </c>
      <c r="AC5" s="22">
        <f ca="1">_xll.IMDP("ECO", AC$1, "현재가", $A5, "fill=true")</f>
        <v>3.5</v>
      </c>
      <c r="AD5" s="22">
        <f ca="1">_xll.IMDP("ECO", AD$1, "현재가", $A5, "fill=true")</f>
        <v>-0.1</v>
      </c>
      <c r="AE5" s="22">
        <f ca="1">_xll.IMDP("ECO", AE$1, "현재가", $A5, "fill=true")</f>
        <v>4.3499999999999996</v>
      </c>
      <c r="AF5" s="22">
        <f ca="1">_xll.IMDP("ECO", AF$1, "현재가", $A5, "fill=true")</f>
        <v>4.5</v>
      </c>
      <c r="AG5" s="22">
        <f ca="1">_xll.IMDP("ECO", AG$1, "현재가", $A5, "fill=true")</f>
        <v>0.5</v>
      </c>
      <c r="AH5" s="22">
        <f ca="1">_xll.IMDP("ECO", AH$1, "현재가", $A5, "fill=true")</f>
        <v>0.5</v>
      </c>
      <c r="AI5" s="22">
        <f ca="1">_xll.IMDP("ECO", AI$1, "현재가", $A5, "fill=true")</f>
        <v>14</v>
      </c>
      <c r="AJ5" s="22">
        <f ca="1">_xll.IMDP("ECO", AJ$1, "현재가", $A5, "fill=true")</f>
        <v>3.5</v>
      </c>
      <c r="AK5" s="22">
        <f ca="1">_xll.IMDP("ECO", AK$1, "현재가", $A5, "fill=true")</f>
        <v>0</v>
      </c>
      <c r="AL5" s="22">
        <f ca="1">_xll.IMDP("ECO", AL$1, "현재가", $A5, "fill=true")</f>
        <v>0</v>
      </c>
      <c r="AM5" s="22">
        <f ca="1">_xll.IMDP("ECO", AM$1, "현재가", $A5, "fill=true")</f>
        <v>1.25</v>
      </c>
      <c r="AN5" s="22">
        <f ca="1">_xll.IMDP("ECO", AN$1, "현재가", $A5, "fill=true")</f>
        <v>4.4000000000000004</v>
      </c>
      <c r="AO5" s="22">
        <f ca="1">_xll.IMDP("ECO", AO$1, "현재가", $A5, "fill=true")</f>
        <v>0.1</v>
      </c>
      <c r="AP5" s="22">
        <f ca="1">_xll.IMDP("ECO", AP$1, "현재가", $A5, "fill=true")</f>
        <v>0.75</v>
      </c>
    </row>
    <row r="6" spans="1:42" x14ac:dyDescent="0.25">
      <c r="A6" s="23">
        <f t="shared" ca="1" si="0"/>
        <v>44681</v>
      </c>
      <c r="B6" s="22">
        <f ca="1">_xll.IMDP("ECO", B$1, "현재가", $A6, "fill=true")</f>
        <v>0</v>
      </c>
      <c r="C6" s="22">
        <f ca="1">_xll.IMDP("ECO", C$1, "현재가", $A6, "fill=true")</f>
        <v>4.25</v>
      </c>
      <c r="D6" s="22">
        <f ca="1">_xll.IMDP("ECO", D$1, "현재가", $A6, "fill=true")</f>
        <v>0</v>
      </c>
      <c r="E6" s="22">
        <f ca="1">_xll.IMDP("ECO", E$1, "현재가", $A6, "fill=true")</f>
        <v>0.75</v>
      </c>
      <c r="F6" s="22">
        <f ca="1">_xll.IMDP("ECO", F$1, "현재가", $A6, "fill=true")</f>
        <v>1.5</v>
      </c>
      <c r="G6" s="22">
        <f ca="1">_xll.IMDP("ECO", G$1, "현재가", $A6, "fill=true")</f>
        <v>1.375</v>
      </c>
      <c r="H6" s="22">
        <f ca="1">_xll.IMDP("ECO", H$1, "현재가", $A6, "fill=true")</f>
        <v>0.05</v>
      </c>
      <c r="I6" s="22">
        <f ca="1">_xll.IMDP("ECO", I$1, "현재가", $A6, "fill=true")</f>
        <v>0</v>
      </c>
      <c r="J6" s="22">
        <f ca="1">_xll.IMDP("ECO", J$1, "현재가", $A6, "fill=true")</f>
        <v>17</v>
      </c>
      <c r="K6" s="22">
        <f ca="1">_xll.IMDP("ECO", K$1, "현재가", $A6, "fill=true")</f>
        <v>1.75</v>
      </c>
      <c r="L6" s="22">
        <f ca="1">_xll.IMDP("ECO", L$1, "현재가", $A6, "fill=true")</f>
        <v>6.5</v>
      </c>
      <c r="M6" s="22">
        <f ca="1">_xll.IMDP("ECO", M$1, "현재가", $A6, "fill=true")</f>
        <v>0.25</v>
      </c>
      <c r="N6" s="22">
        <f ca="1">_xll.IMDP("ECO", N$1, "현재가", $A6, "fill=true")</f>
        <v>42.11</v>
      </c>
      <c r="O6" s="22">
        <f ca="1">_xll.IMDP("ECO", O$1, "현재가", $A6, "fill=true")</f>
        <v>4</v>
      </c>
      <c r="P6" s="22">
        <f ca="1">_xll.IMDP("ECO", P$1, "현재가", $A6, "fill=true")</f>
        <v>0</v>
      </c>
      <c r="Q6" s="22">
        <f ca="1">_xll.IMDP("ECO", Q$1, "현재가", $A6, "fill=true")</f>
        <v>11.75</v>
      </c>
      <c r="R6" s="22">
        <f ca="1">_xll.IMDP("ECO", R$1, "현재가", $A6, "fill=true")</f>
        <v>1.25</v>
      </c>
      <c r="S6" s="22">
        <f ca="1">_xll.IMDP("ECO", S$1, "현재가", $A6, "fill=true")</f>
        <v>0</v>
      </c>
      <c r="T6" s="22">
        <f ca="1">_xll.IMDP("ECO", T$1, "현재가", $A6, "fill=true")</f>
        <v>-0.75</v>
      </c>
      <c r="U6" s="22">
        <f ca="1">_xll.IMDP("ECO", U$1, "현재가", $A6, "fill=true")</f>
        <v>0</v>
      </c>
      <c r="V6" s="22">
        <f ca="1">_xll.IMDP("ECO", V$1, "현재가", $A6, "fill=true")</f>
        <v>0.6764</v>
      </c>
      <c r="W6" s="22">
        <f ca="1">_xll.IMDP("ECO", W$1, "현재가", $A6, "fill=true")</f>
        <v>47</v>
      </c>
      <c r="X6" s="22">
        <f ca="1">_xll.IMDP("ECO", X$1, "현재가", $A6, "fill=true")</f>
        <v>0</v>
      </c>
      <c r="Y6" s="22">
        <f ca="1">_xll.IMDP("ECO", Y$1, "현재가", $A6, "fill=true")</f>
        <v>0.75</v>
      </c>
      <c r="Z6" s="22">
        <f ca="1">_xll.IMDP("ECO", Z$1, "현재가", $A6, "fill=true")</f>
        <v>0</v>
      </c>
      <c r="AA6" s="22">
        <f ca="1">_xll.IMDP("ECO", AA$1, "현재가", $A6, "fill=true")</f>
        <v>0</v>
      </c>
      <c r="AB6" s="22">
        <f ca="1">_xll.IMDP("ECO", AB$1, "현재가", $A6, "fill=true")</f>
        <v>4</v>
      </c>
      <c r="AC6" s="22">
        <f ca="1">_xll.IMDP("ECO", AC$1, "현재가", $A6, "fill=true")</f>
        <v>3.5</v>
      </c>
      <c r="AD6" s="22">
        <f ca="1">_xll.IMDP("ECO", AD$1, "현재가", $A6, "fill=true")</f>
        <v>-0.1</v>
      </c>
      <c r="AE6" s="22">
        <f ca="1">_xll.IMDP("ECO", AE$1, "현재가", $A6, "fill=true")</f>
        <v>4.3499999999999996</v>
      </c>
      <c r="AF6" s="22">
        <f ca="1">_xll.IMDP("ECO", AF$1, "현재가", $A6, "fill=true")</f>
        <v>5</v>
      </c>
      <c r="AG6" s="22">
        <f ca="1">_xll.IMDP("ECO", AG$1, "현재가", $A6, "fill=true")</f>
        <v>1</v>
      </c>
      <c r="AH6" s="22">
        <f ca="1">_xll.IMDP("ECO", AH$1, "현재가", $A6, "fill=true")</f>
        <v>0.5</v>
      </c>
      <c r="AI6" s="22">
        <f ca="1">_xll.IMDP("ECO", AI$1, "현재가", $A6, "fill=true")</f>
        <v>14</v>
      </c>
      <c r="AJ6" s="22">
        <f ca="1">_xll.IMDP("ECO", AJ$1, "현재가", $A6, "fill=true")</f>
        <v>4.5</v>
      </c>
      <c r="AK6" s="22">
        <f ca="1">_xll.IMDP("ECO", AK$1, "현재가", $A6, "fill=true")</f>
        <v>0</v>
      </c>
      <c r="AL6" s="22">
        <f ca="1">_xll.IMDP("ECO", AL$1, "현재가", $A6, "fill=true")</f>
        <v>0</v>
      </c>
      <c r="AM6" s="22">
        <f ca="1">_xll.IMDP("ECO", AM$1, "현재가", $A6, "fill=true")</f>
        <v>1.5</v>
      </c>
      <c r="AN6" s="22">
        <f ca="1">_xll.IMDP("ECO", AN$1, "현재가", $A6, "fill=true")</f>
        <v>5.4</v>
      </c>
      <c r="AO6" s="22">
        <f ca="1">_xll.IMDP("ECO", AO$1, "현재가", $A6, "fill=true")</f>
        <v>0.1</v>
      </c>
      <c r="AP6" s="22">
        <f ca="1">_xll.IMDP("ECO", AP$1, "현재가", $A6, "fill=true")</f>
        <v>0.75</v>
      </c>
    </row>
    <row r="7" spans="1:42" x14ac:dyDescent="0.25">
      <c r="A7" s="23">
        <f t="shared" ca="1" si="0"/>
        <v>44712</v>
      </c>
      <c r="B7" s="22">
        <f ca="1">_xll.IMDP("ECO", B$1, "현재가", $A7, "fill=true")</f>
        <v>0</v>
      </c>
      <c r="C7" s="22">
        <f ca="1">_xll.IMDP("ECO", C$1, "현재가", $A7, "fill=true")</f>
        <v>4.75</v>
      </c>
      <c r="D7" s="22">
        <f ca="1">_xll.IMDP("ECO", D$1, "현재가", $A7, "fill=true")</f>
        <v>0</v>
      </c>
      <c r="E7" s="22">
        <f ca="1">_xll.IMDP("ECO", E$1, "현재가", $A7, "fill=true")</f>
        <v>0.75</v>
      </c>
      <c r="F7" s="22">
        <f ca="1">_xll.IMDP("ECO", F$1, "현재가", $A7, "fill=true")</f>
        <v>2</v>
      </c>
      <c r="G7" s="22">
        <f ca="1">_xll.IMDP("ECO", G$1, "현재가", $A7, "fill=true")</f>
        <v>1.375</v>
      </c>
      <c r="H7" s="22">
        <f ca="1">_xll.IMDP("ECO", H$1, "현재가", $A7, "fill=true")</f>
        <v>0.05</v>
      </c>
      <c r="I7" s="22">
        <f ca="1">_xll.IMDP("ECO", I$1, "현재가", $A7, "fill=true")</f>
        <v>0</v>
      </c>
      <c r="J7" s="22">
        <f ca="1">_xll.IMDP("ECO", J$1, "현재가", $A7, "fill=true")</f>
        <v>11</v>
      </c>
      <c r="K7" s="22">
        <f ca="1">_xll.IMDP("ECO", K$1, "현재가", $A7, "fill=true")</f>
        <v>2</v>
      </c>
      <c r="L7" s="22">
        <f ca="1">_xll.IMDP("ECO", L$1, "현재가", $A7, "fill=true")</f>
        <v>7</v>
      </c>
      <c r="M7" s="22">
        <f ca="1">_xll.IMDP("ECO", M$1, "현재가", $A7, "fill=true")</f>
        <v>0.75</v>
      </c>
      <c r="N7" s="22">
        <f ca="1">_xll.IMDP("ECO", N$1, "현재가", $A7, "fill=true")</f>
        <v>46.21</v>
      </c>
      <c r="O7" s="22">
        <f ca="1">_xll.IMDP("ECO", O$1, "현재가", $A7, "fill=true")</f>
        <v>4</v>
      </c>
      <c r="P7" s="22">
        <f ca="1">_xll.IMDP("ECO", P$1, "현재가", $A7, "fill=true")</f>
        <v>0</v>
      </c>
      <c r="Q7" s="22">
        <f ca="1">_xll.IMDP("ECO", Q$1, "현재가", $A7, "fill=true")</f>
        <v>12.75</v>
      </c>
      <c r="R7" s="22">
        <f ca="1">_xll.IMDP("ECO", R$1, "현재가", $A7, "fill=true")</f>
        <v>1.75</v>
      </c>
      <c r="S7" s="22">
        <f ca="1">_xll.IMDP("ECO", S$1, "현재가", $A7, "fill=true")</f>
        <v>0.25</v>
      </c>
      <c r="T7" s="22">
        <f ca="1">_xll.IMDP("ECO", T$1, "현재가", $A7, "fill=true")</f>
        <v>-0.75</v>
      </c>
      <c r="U7" s="22">
        <f ca="1">_xll.IMDP("ECO", U$1, "현재가", $A7, "fill=true")</f>
        <v>0</v>
      </c>
      <c r="V7" s="22">
        <f ca="1">_xll.IMDP("ECO", V$1, "현재가", $A7, "fill=true")</f>
        <v>0.71870000000000001</v>
      </c>
      <c r="W7" s="22">
        <f ca="1">_xll.IMDP("ECO", W$1, "현재가", $A7, "fill=true")</f>
        <v>49</v>
      </c>
      <c r="X7" s="22">
        <f ca="1">_xll.IMDP("ECO", X$1, "현재가", $A7, "fill=true")</f>
        <v>0</v>
      </c>
      <c r="Y7" s="22">
        <f ca="1">_xll.IMDP("ECO", Y$1, "현재가", $A7, "fill=true")</f>
        <v>1</v>
      </c>
      <c r="Z7" s="22">
        <f ca="1">_xll.IMDP("ECO", Z$1, "현재가", $A7, "fill=true")</f>
        <v>0</v>
      </c>
      <c r="AA7" s="22">
        <f ca="1">_xll.IMDP("ECO", AA$1, "현재가", $A7, "fill=true")</f>
        <v>0</v>
      </c>
      <c r="AB7" s="22">
        <f ca="1">_xll.IMDP("ECO", AB$1, "현재가", $A7, "fill=true")</f>
        <v>4.4000000000000004</v>
      </c>
      <c r="AC7" s="22">
        <f ca="1">_xll.IMDP("ECO", AC$1, "현재가", $A7, "fill=true")</f>
        <v>3.5</v>
      </c>
      <c r="AD7" s="22">
        <f ca="1">_xll.IMDP("ECO", AD$1, "현재가", $A7, "fill=true")</f>
        <v>-0.1</v>
      </c>
      <c r="AE7" s="22">
        <f ca="1">_xll.IMDP("ECO", AE$1, "현재가", $A7, "fill=true")</f>
        <v>4.3499999999999996</v>
      </c>
      <c r="AF7" s="22">
        <f ca="1">_xll.IMDP("ECO", AF$1, "현재가", $A7, "fill=true")</f>
        <v>5.75</v>
      </c>
      <c r="AG7" s="22">
        <f ca="1">_xll.IMDP("ECO", AG$1, "현재가", $A7, "fill=true")</f>
        <v>1</v>
      </c>
      <c r="AH7" s="22">
        <f ca="1">_xll.IMDP("ECO", AH$1, "현재가", $A7, "fill=true")</f>
        <v>0.5</v>
      </c>
      <c r="AI7" s="22">
        <f ca="1">_xll.IMDP("ECO", AI$1, "현재가", $A7, "fill=true")</f>
        <v>14</v>
      </c>
      <c r="AJ7" s="22">
        <f ca="1">_xll.IMDP("ECO", AJ$1, "현재가", $A7, "fill=true")</f>
        <v>5.25</v>
      </c>
      <c r="AK7" s="22">
        <f ca="1">_xll.IMDP("ECO", AK$1, "현재가", $A7, "fill=true")</f>
        <v>0</v>
      </c>
      <c r="AL7" s="22">
        <f ca="1">_xll.IMDP("ECO", AL$1, "현재가", $A7, "fill=true")</f>
        <v>0</v>
      </c>
      <c r="AM7" s="22">
        <f ca="1">_xll.IMDP("ECO", AM$1, "현재가", $A7, "fill=true")</f>
        <v>1.75</v>
      </c>
      <c r="AN7" s="22">
        <f ca="1">_xll.IMDP("ECO", AN$1, "현재가", $A7, "fill=true")</f>
        <v>5.4</v>
      </c>
      <c r="AO7" s="22">
        <f ca="1">_xll.IMDP("ECO", AO$1, "현재가", $A7, "fill=true")</f>
        <v>0.35</v>
      </c>
      <c r="AP7" s="22">
        <f ca="1">_xll.IMDP("ECO", AP$1, "현재가", $A7, "fill=true")</f>
        <v>1.25</v>
      </c>
    </row>
    <row r="8" spans="1:42" x14ac:dyDescent="0.25">
      <c r="A8" s="23">
        <f t="shared" ca="1" si="0"/>
        <v>44742</v>
      </c>
      <c r="B8" s="22">
        <f ca="1">_xll.IMDP("ECO", B$1, "현재가", $A8, "fill=true")</f>
        <v>0</v>
      </c>
      <c r="C8" s="22">
        <f ca="1">_xll.IMDP("ECO", C$1, "현재가", $A8, "fill=true")</f>
        <v>4.75</v>
      </c>
      <c r="D8" s="22">
        <f ca="1">_xll.IMDP("ECO", D$1, "현재가", $A8, "fill=true")</f>
        <v>0</v>
      </c>
      <c r="E8" s="22">
        <f ca="1">_xll.IMDP("ECO", E$1, "현재가", $A8, "fill=true")</f>
        <v>1.25</v>
      </c>
      <c r="F8" s="22">
        <f ca="1">_xll.IMDP("ECO", F$1, "현재가", $A8, "fill=true")</f>
        <v>2</v>
      </c>
      <c r="G8" s="22">
        <f ca="1">_xll.IMDP("ECO", G$1, "현재가", $A8, "fill=true")</f>
        <v>1.5</v>
      </c>
      <c r="H8" s="22">
        <f ca="1">_xll.IMDP("ECO", H$1, "현재가", $A8, "fill=true")</f>
        <v>0.05</v>
      </c>
      <c r="I8" s="22">
        <f ca="1">_xll.IMDP("ECO", I$1, "현재가", $A8, "fill=true")</f>
        <v>0</v>
      </c>
      <c r="J8" s="22">
        <f ca="1">_xll.IMDP("ECO", J$1, "현재가", $A8, "fill=true")</f>
        <v>9.5</v>
      </c>
      <c r="K8" s="22">
        <f ca="1">_xll.IMDP("ECO", K$1, "현재가", $A8, "fill=true")</f>
        <v>2</v>
      </c>
      <c r="L8" s="22">
        <f ca="1">_xll.IMDP("ECO", L$1, "현재가", $A8, "fill=true")</f>
        <v>7.75</v>
      </c>
      <c r="M8" s="22">
        <f ca="1">_xll.IMDP("ECO", M$1, "현재가", $A8, "fill=true")</f>
        <v>1.5</v>
      </c>
      <c r="N8" s="22">
        <f ca="1">_xll.IMDP("ECO", N$1, "현재가", $A8, "fill=true")</f>
        <v>50.59</v>
      </c>
      <c r="O8" s="22">
        <f ca="1">_xll.IMDP("ECO", O$1, "현재가", $A8, "fill=true")</f>
        <v>4</v>
      </c>
      <c r="P8" s="22">
        <f ca="1">_xll.IMDP("ECO", P$1, "현재가", $A8, "fill=true")</f>
        <v>0</v>
      </c>
      <c r="Q8" s="22">
        <f ca="1">_xll.IMDP("ECO", Q$1, "현재가", $A8, "fill=true")</f>
        <v>13.25</v>
      </c>
      <c r="R8" s="22">
        <f ca="1">_xll.IMDP("ECO", R$1, "현재가", $A8, "fill=true")</f>
        <v>2.25</v>
      </c>
      <c r="S8" s="22">
        <f ca="1">_xll.IMDP("ECO", S$1, "현재가", $A8, "fill=true")</f>
        <v>0.25</v>
      </c>
      <c r="T8" s="22">
        <f ca="1">_xll.IMDP("ECO", T$1, "현재가", $A8, "fill=true")</f>
        <v>-0.25</v>
      </c>
      <c r="U8" s="22">
        <f ca="1">_xll.IMDP("ECO", U$1, "현재가", $A8, "fill=true")</f>
        <v>0</v>
      </c>
      <c r="V8" s="22">
        <f ca="1">_xll.IMDP("ECO", V$1, "현재가", $A8, "fill=true")</f>
        <v>1.6561999999999999</v>
      </c>
      <c r="W8" s="22">
        <f ca="1">_xll.IMDP("ECO", W$1, "현재가", $A8, "fill=true")</f>
        <v>52</v>
      </c>
      <c r="X8" s="22">
        <f ca="1">_xll.IMDP("ECO", X$1, "현재가", $A8, "fill=true")</f>
        <v>0</v>
      </c>
      <c r="Y8" s="22">
        <f ca="1">_xll.IMDP("ECO", Y$1, "현재가", $A8, "fill=true")</f>
        <v>1.25</v>
      </c>
      <c r="Z8" s="22">
        <f ca="1">_xll.IMDP("ECO", Z$1, "현재가", $A8, "fill=true")</f>
        <v>0</v>
      </c>
      <c r="AA8" s="22">
        <f ca="1">_xll.IMDP("ECO", AA$1, "현재가", $A8, "fill=true")</f>
        <v>0</v>
      </c>
      <c r="AB8" s="22">
        <f ca="1">_xll.IMDP("ECO", AB$1, "현재가", $A8, "fill=true")</f>
        <v>4.9000000000000004</v>
      </c>
      <c r="AC8" s="22">
        <f ca="1">_xll.IMDP("ECO", AC$1, "현재가", $A8, "fill=true")</f>
        <v>3.5</v>
      </c>
      <c r="AD8" s="22">
        <f ca="1">_xll.IMDP("ECO", AD$1, "현재가", $A8, "fill=true")</f>
        <v>-0.1</v>
      </c>
      <c r="AE8" s="22">
        <f ca="1">_xll.IMDP("ECO", AE$1, "현재가", $A8, "fill=true")</f>
        <v>4.3499999999999996</v>
      </c>
      <c r="AF8" s="22">
        <f ca="1">_xll.IMDP("ECO", AF$1, "현재가", $A8, "fill=true")</f>
        <v>7</v>
      </c>
      <c r="AG8" s="22">
        <f ca="1">_xll.IMDP("ECO", AG$1, "현재가", $A8, "fill=true")</f>
        <v>1.5</v>
      </c>
      <c r="AH8" s="22">
        <f ca="1">_xll.IMDP("ECO", AH$1, "현재가", $A8, "fill=true")</f>
        <v>0.5</v>
      </c>
      <c r="AI8" s="22">
        <f ca="1">_xll.IMDP("ECO", AI$1, "현재가", $A8, "fill=true")</f>
        <v>14</v>
      </c>
      <c r="AJ8" s="22">
        <f ca="1">_xll.IMDP("ECO", AJ$1, "현재가", $A8, "fill=true")</f>
        <v>6</v>
      </c>
      <c r="AK8" s="22">
        <f ca="1">_xll.IMDP("ECO", AK$1, "현재가", $A8, "fill=true")</f>
        <v>0</v>
      </c>
      <c r="AL8" s="22">
        <f ca="1">_xll.IMDP("ECO", AL$1, "현재가", $A8, "fill=true")</f>
        <v>0</v>
      </c>
      <c r="AM8" s="22">
        <f ca="1">_xll.IMDP("ECO", AM$1, "현재가", $A8, "fill=true")</f>
        <v>1.75</v>
      </c>
      <c r="AN8" s="22">
        <f ca="1">_xll.IMDP("ECO", AN$1, "현재가", $A8, "fill=true")</f>
        <v>7.75</v>
      </c>
      <c r="AO8" s="22">
        <f ca="1">_xll.IMDP("ECO", AO$1, "현재가", $A8, "fill=true")</f>
        <v>0.85</v>
      </c>
      <c r="AP8" s="22">
        <f ca="1">_xll.IMDP("ECO", AP$1, "현재가", $A8, "fill=true")</f>
        <v>2</v>
      </c>
    </row>
    <row r="9" spans="1:42" x14ac:dyDescent="0.25">
      <c r="A9" s="23">
        <f t="shared" ca="1" si="0"/>
        <v>44773</v>
      </c>
      <c r="B9" s="22">
        <f ca="1">_xll.IMDP("ECO", B$1, "현재가", $A9, "fill=true")</f>
        <v>0.5</v>
      </c>
      <c r="C9" s="22">
        <f ca="1">_xll.IMDP("ECO", C$1, "현재가", $A9, "fill=true")</f>
        <v>5.5</v>
      </c>
      <c r="D9" s="22">
        <f ca="1">_xll.IMDP("ECO", D$1, "현재가", $A9, "fill=true")</f>
        <v>0.5</v>
      </c>
      <c r="E9" s="22">
        <f ca="1">_xll.IMDP("ECO", E$1, "현재가", $A9, "fill=true")</f>
        <v>1.25</v>
      </c>
      <c r="F9" s="22">
        <f ca="1">_xll.IMDP("ECO", F$1, "현재가", $A9, "fill=true")</f>
        <v>2.5</v>
      </c>
      <c r="G9" s="22">
        <f ca="1">_xll.IMDP("ECO", G$1, "현재가", $A9, "fill=true")</f>
        <v>1.5</v>
      </c>
      <c r="H9" s="22">
        <f ca="1">_xll.IMDP("ECO", H$1, "현재가", $A9, "fill=true")</f>
        <v>0.05</v>
      </c>
      <c r="I9" s="22">
        <f ca="1">_xll.IMDP("ECO", I$1, "현재가", $A9, "fill=true")</f>
        <v>0.5</v>
      </c>
      <c r="J9" s="22">
        <f ca="1">_xll.IMDP("ECO", J$1, "현재가", $A9, "fill=true")</f>
        <v>8</v>
      </c>
      <c r="K9" s="22">
        <f ca="1">_xll.IMDP("ECO", K$1, "현재가", $A9, "fill=true")</f>
        <v>2.25</v>
      </c>
      <c r="L9" s="22">
        <f ca="1">_xll.IMDP("ECO", L$1, "현재가", $A9, "fill=true")</f>
        <v>7.75</v>
      </c>
      <c r="M9" s="22">
        <f ca="1">_xll.IMDP("ECO", M$1, "현재가", $A9, "fill=true")</f>
        <v>2.25</v>
      </c>
      <c r="N9" s="22">
        <f ca="1">_xll.IMDP("ECO", N$1, "현재가", $A9, "fill=true")</f>
        <v>36.909999999999997</v>
      </c>
      <c r="O9" s="22">
        <f ca="1">_xll.IMDP("ECO", O$1, "현재가", $A9, "fill=true")</f>
        <v>4</v>
      </c>
      <c r="P9" s="22">
        <f ca="1">_xll.IMDP("ECO", P$1, "현재가", $A9, "fill=true")</f>
        <v>0.5</v>
      </c>
      <c r="Q9" s="22">
        <f ca="1">_xll.IMDP("ECO", Q$1, "현재가", $A9, "fill=true")</f>
        <v>13.25</v>
      </c>
      <c r="R9" s="22">
        <f ca="1">_xll.IMDP("ECO", R$1, "현재가", $A9, "fill=true")</f>
        <v>3</v>
      </c>
      <c r="S9" s="22">
        <f ca="1">_xll.IMDP("ECO", S$1, "현재가", $A9, "fill=true")</f>
        <v>0.75</v>
      </c>
      <c r="T9" s="22">
        <f ca="1">_xll.IMDP("ECO", T$1, "현재가", $A9, "fill=true")</f>
        <v>-0.25</v>
      </c>
      <c r="U9" s="22">
        <f ca="1">_xll.IMDP("ECO", U$1, "현재가", $A9, "fill=true")</f>
        <v>0.5</v>
      </c>
      <c r="V9" s="22">
        <f ca="1">_xll.IMDP("ECO", V$1, "현재가", $A9, "fill=true")</f>
        <v>2.1354000000000002</v>
      </c>
      <c r="W9" s="22">
        <f ca="1">_xll.IMDP("ECO", W$1, "현재가", $A9, "fill=true")</f>
        <v>60</v>
      </c>
      <c r="X9" s="22">
        <f ca="1">_xll.IMDP("ECO", X$1, "현재가", $A9, "fill=true")</f>
        <v>0.5</v>
      </c>
      <c r="Y9" s="22">
        <f ca="1">_xll.IMDP("ECO", Y$1, "현재가", $A9, "fill=true")</f>
        <v>1.25</v>
      </c>
      <c r="Z9" s="22">
        <f ca="1">_xll.IMDP("ECO", Z$1, "현재가", $A9, "fill=true")</f>
        <v>0.5</v>
      </c>
      <c r="AA9" s="22">
        <f ca="1">_xll.IMDP("ECO", AA$1, "현재가", $A9, "fill=true")</f>
        <v>0.5</v>
      </c>
      <c r="AB9" s="22">
        <f ca="1">_xll.IMDP("ECO", AB$1, "현재가", $A9, "fill=true")</f>
        <v>4.9000000000000004</v>
      </c>
      <c r="AC9" s="22">
        <f ca="1">_xll.IMDP("ECO", AC$1, "현재가", $A9, "fill=true")</f>
        <v>3.5</v>
      </c>
      <c r="AD9" s="22">
        <f ca="1">_xll.IMDP("ECO", AD$1, "현재가", $A9, "fill=true")</f>
        <v>-0.1</v>
      </c>
      <c r="AE9" s="22">
        <f ca="1">_xll.IMDP("ECO", AE$1, "현재가", $A9, "fill=true")</f>
        <v>4.3499999999999996</v>
      </c>
      <c r="AF9" s="22">
        <f ca="1">_xll.IMDP("ECO", AF$1, "현재가", $A9, "fill=true")</f>
        <v>7</v>
      </c>
      <c r="AG9" s="22">
        <f ca="1">_xll.IMDP("ECO", AG$1, "현재가", $A9, "fill=true")</f>
        <v>2.5</v>
      </c>
      <c r="AH9" s="22">
        <f ca="1">_xll.IMDP("ECO", AH$1, "현재가", $A9, "fill=true")</f>
        <v>0.5</v>
      </c>
      <c r="AI9" s="22">
        <f ca="1">_xll.IMDP("ECO", AI$1, "현재가", $A9, "fill=true")</f>
        <v>14</v>
      </c>
      <c r="AJ9" s="22">
        <f ca="1">_xll.IMDP("ECO", AJ$1, "현재가", $A9, "fill=true")</f>
        <v>6.5</v>
      </c>
      <c r="AK9" s="22">
        <f ca="1">_xll.IMDP("ECO", AK$1, "현재가", $A9, "fill=true")</f>
        <v>0.5</v>
      </c>
      <c r="AL9" s="22">
        <f ca="1">_xll.IMDP("ECO", AL$1, "현재가", $A9, "fill=true")</f>
        <v>0.5</v>
      </c>
      <c r="AM9" s="22">
        <f ca="1">_xll.IMDP("ECO", AM$1, "현재가", $A9, "fill=true")</f>
        <v>2.25</v>
      </c>
      <c r="AN9" s="22">
        <f ca="1">_xll.IMDP("ECO", AN$1, "현재가", $A9, "fill=true")</f>
        <v>10.75</v>
      </c>
      <c r="AO9" s="22">
        <f ca="1">_xll.IMDP("ECO", AO$1, "현재가", $A9, "fill=true")</f>
        <v>1.35</v>
      </c>
      <c r="AP9" s="22">
        <f ca="1">_xll.IMDP("ECO", AP$1, "현재가", $A9, "fill=true")</f>
        <v>2.75</v>
      </c>
    </row>
    <row r="10" spans="1:42" x14ac:dyDescent="0.25">
      <c r="A10" s="23">
        <f t="shared" ca="1" si="0"/>
        <v>44804</v>
      </c>
      <c r="B10" s="22">
        <f ca="1">_xll.IMDP("ECO", B$1, "현재가", $A10, "fill=true")</f>
        <v>0.5</v>
      </c>
      <c r="C10" s="22">
        <f ca="1">_xll.IMDP("ECO", C$1, "현재가", $A10, "fill=true")</f>
        <v>5.5</v>
      </c>
      <c r="D10" s="22">
        <f ca="1">_xll.IMDP("ECO", D$1, "현재가", $A10, "fill=true")</f>
        <v>0.5</v>
      </c>
      <c r="E10" s="22">
        <f ca="1">_xll.IMDP("ECO", E$1, "현재가", $A10, "fill=true")</f>
        <v>1.75</v>
      </c>
      <c r="F10" s="22">
        <f ca="1">_xll.IMDP("ECO", F$1, "현재가", $A10, "fill=true")</f>
        <v>3</v>
      </c>
      <c r="G10" s="22">
        <f ca="1">_xll.IMDP("ECO", G$1, "현재가", $A10, "fill=true")</f>
        <v>1.5</v>
      </c>
      <c r="H10" s="22">
        <f ca="1">_xll.IMDP("ECO", H$1, "현재가", $A10, "fill=true")</f>
        <v>0.05</v>
      </c>
      <c r="I10" s="22">
        <f ca="1">_xll.IMDP("ECO", I$1, "현재가", $A10, "fill=true")</f>
        <v>0.5</v>
      </c>
      <c r="J10" s="22">
        <f ca="1">_xll.IMDP("ECO", J$1, "현재가", $A10, "fill=true")</f>
        <v>8</v>
      </c>
      <c r="K10" s="22">
        <f ca="1">_xll.IMDP("ECO", K$1, "현재가", $A10, "fill=true")</f>
        <v>2.25</v>
      </c>
      <c r="L10" s="22">
        <f ca="1">_xll.IMDP("ECO", L$1, "현재가", $A10, "fill=true")</f>
        <v>8.5</v>
      </c>
      <c r="M10" s="22">
        <f ca="1">_xll.IMDP("ECO", M$1, "현재가", $A10, "fill=true")</f>
        <v>2.25</v>
      </c>
      <c r="N10" s="22">
        <f ca="1">_xll.IMDP("ECO", N$1, "현재가", $A10, "fill=true")</f>
        <v>48.85</v>
      </c>
      <c r="O10" s="22">
        <f ca="1">_xll.IMDP("ECO", O$1, "현재가", $A10, "fill=true")</f>
        <v>4</v>
      </c>
      <c r="P10" s="22">
        <f ca="1">_xll.IMDP("ECO", P$1, "현재가", $A10, "fill=true")</f>
        <v>0.5</v>
      </c>
      <c r="Q10" s="22">
        <f ca="1">_xll.IMDP("ECO", Q$1, "현재가", $A10, "fill=true")</f>
        <v>13.75</v>
      </c>
      <c r="R10" s="22">
        <f ca="1">_xll.IMDP("ECO", R$1, "현재가", $A10, "fill=true")</f>
        <v>3</v>
      </c>
      <c r="S10" s="22">
        <f ca="1">_xll.IMDP("ECO", S$1, "현재가", $A10, "fill=true")</f>
        <v>0.75</v>
      </c>
      <c r="T10" s="22">
        <f ca="1">_xll.IMDP("ECO", T$1, "현재가", $A10, "fill=true")</f>
        <v>-0.25</v>
      </c>
      <c r="U10" s="22">
        <f ca="1">_xll.IMDP("ECO", U$1, "현재가", $A10, "fill=true")</f>
        <v>0.5</v>
      </c>
      <c r="V10" s="22">
        <f ca="1">_xll.IMDP("ECO", V$1, "현재가", $A10, "fill=true")</f>
        <v>2.3098000000000001</v>
      </c>
      <c r="W10" s="22">
        <f ca="1">_xll.IMDP("ECO", W$1, "현재가", $A10, "fill=true")</f>
        <v>69.5</v>
      </c>
      <c r="X10" s="22">
        <f ca="1">_xll.IMDP("ECO", X$1, "현재가", $A10, "fill=true")</f>
        <v>0.5</v>
      </c>
      <c r="Y10" s="22">
        <f ca="1">_xll.IMDP("ECO", Y$1, "현재가", $A10, "fill=true")</f>
        <v>1.75</v>
      </c>
      <c r="Z10" s="22">
        <f ca="1">_xll.IMDP("ECO", Z$1, "현재가", $A10, "fill=true")</f>
        <v>0.5</v>
      </c>
      <c r="AA10" s="22">
        <f ca="1">_xll.IMDP("ECO", AA$1, "현재가", $A10, "fill=true")</f>
        <v>0.5</v>
      </c>
      <c r="AB10" s="22">
        <f ca="1">_xll.IMDP("ECO", AB$1, "현재가", $A10, "fill=true")</f>
        <v>5.4</v>
      </c>
      <c r="AC10" s="22">
        <f ca="1">_xll.IMDP("ECO", AC$1, "현재가", $A10, "fill=true")</f>
        <v>3.75</v>
      </c>
      <c r="AD10" s="22">
        <f ca="1">_xll.IMDP("ECO", AD$1, "현재가", $A10, "fill=true")</f>
        <v>-0.1</v>
      </c>
      <c r="AE10" s="22">
        <f ca="1">_xll.IMDP("ECO", AE$1, "현재가", $A10, "fill=true")</f>
        <v>4.3499999999999996</v>
      </c>
      <c r="AF10" s="22">
        <f ca="1">_xll.IMDP("ECO", AF$1, "현재가", $A10, "fill=true")</f>
        <v>7</v>
      </c>
      <c r="AG10" s="22">
        <f ca="1">_xll.IMDP("ECO", AG$1, "현재가", $A10, "fill=true")</f>
        <v>2.5</v>
      </c>
      <c r="AH10" s="22">
        <f ca="1">_xll.IMDP("ECO", AH$1, "현재가", $A10, "fill=true")</f>
        <v>0.75</v>
      </c>
      <c r="AI10" s="22">
        <f ca="1">_xll.IMDP("ECO", AI$1, "현재가", $A10, "fill=true")</f>
        <v>13</v>
      </c>
      <c r="AJ10" s="22">
        <f ca="1">_xll.IMDP("ECO", AJ$1, "현재가", $A10, "fill=true")</f>
        <v>6.5</v>
      </c>
      <c r="AK10" s="22">
        <f ca="1">_xll.IMDP("ECO", AK$1, "현재가", $A10, "fill=true")</f>
        <v>0.5</v>
      </c>
      <c r="AL10" s="22">
        <f ca="1">_xll.IMDP("ECO", AL$1, "현재가", $A10, "fill=true")</f>
        <v>0.5</v>
      </c>
      <c r="AM10" s="22">
        <f ca="1">_xll.IMDP("ECO", AM$1, "현재가", $A10, "fill=true")</f>
        <v>2.5</v>
      </c>
      <c r="AN10" s="22">
        <f ca="1">_xll.IMDP("ECO", AN$1, "현재가", $A10, "fill=true")</f>
        <v>11.75</v>
      </c>
      <c r="AO10" s="22">
        <f ca="1">_xll.IMDP("ECO", AO$1, "현재가", $A10, "fill=true")</f>
        <v>1.85</v>
      </c>
      <c r="AP10" s="22">
        <f ca="1">_xll.IMDP("ECO", AP$1, "현재가", $A10, "fill=true")</f>
        <v>2.75</v>
      </c>
    </row>
    <row r="11" spans="1:42" x14ac:dyDescent="0.25">
      <c r="A11" s="23">
        <f t="shared" ca="1" si="0"/>
        <v>44834</v>
      </c>
      <c r="B11" s="22">
        <f ca="1">_xll.IMDP("ECO", B$1, "현재가", $A11, "fill=true")</f>
        <v>1.25</v>
      </c>
      <c r="C11" s="22">
        <f ca="1">_xll.IMDP("ECO", C$1, "현재가", $A11, "fill=true")</f>
        <v>6.25</v>
      </c>
      <c r="D11" s="22">
        <f ca="1">_xll.IMDP("ECO", D$1, "현재가", $A11, "fill=true")</f>
        <v>1.25</v>
      </c>
      <c r="E11" s="22">
        <f ca="1">_xll.IMDP("ECO", E$1, "현재가", $A11, "fill=true")</f>
        <v>2.25</v>
      </c>
      <c r="F11" s="22">
        <f ca="1">_xll.IMDP("ECO", F$1, "현재가", $A11, "fill=true")</f>
        <v>3</v>
      </c>
      <c r="G11" s="22">
        <f ca="1">_xll.IMDP("ECO", G$1, "현재가", $A11, "fill=true")</f>
        <v>1.625</v>
      </c>
      <c r="H11" s="22">
        <f ca="1">_xll.IMDP("ECO", H$1, "현재가", $A11, "fill=true")</f>
        <v>0.8</v>
      </c>
      <c r="I11" s="22">
        <f ca="1">_xll.IMDP("ECO", I$1, "현재가", $A11, "fill=true")</f>
        <v>1.25</v>
      </c>
      <c r="J11" s="22">
        <f ca="1">_xll.IMDP("ECO", J$1, "현재가", $A11, "fill=true")</f>
        <v>7.5</v>
      </c>
      <c r="K11" s="22">
        <f ca="1">_xll.IMDP("ECO", K$1, "현재가", $A11, "fill=true")</f>
        <v>2.5</v>
      </c>
      <c r="L11" s="22">
        <f ca="1">_xll.IMDP("ECO", L$1, "현재가", $A11, "fill=true")</f>
        <v>9.25</v>
      </c>
      <c r="M11" s="22">
        <f ca="1">_xll.IMDP("ECO", M$1, "현재가", $A11, "fill=true")</f>
        <v>3</v>
      </c>
      <c r="N11" s="22">
        <f ca="1">_xll.IMDP("ECO", N$1, "현재가", $A11, "fill=true")</f>
        <v>49.02</v>
      </c>
      <c r="O11" s="22">
        <f ca="1">_xll.IMDP("ECO", O$1, "현재가", $A11, "fill=true")</f>
        <v>5</v>
      </c>
      <c r="P11" s="22">
        <f ca="1">_xll.IMDP("ECO", P$1, "현재가", $A11, "fill=true")</f>
        <v>1.25</v>
      </c>
      <c r="Q11" s="22">
        <f ca="1">_xll.IMDP("ECO", Q$1, "현재가", $A11, "fill=true")</f>
        <v>13.75</v>
      </c>
      <c r="R11" s="22">
        <f ca="1">_xll.IMDP("ECO", R$1, "현재가", $A11, "fill=true")</f>
        <v>3.75</v>
      </c>
      <c r="S11" s="22">
        <f ca="1">_xll.IMDP("ECO", S$1, "현재가", $A11, "fill=true")</f>
        <v>1.75</v>
      </c>
      <c r="T11" s="22">
        <f ca="1">_xll.IMDP("ECO", T$1, "현재가", $A11, "fill=true")</f>
        <v>0.5</v>
      </c>
      <c r="U11" s="22">
        <f ca="1">_xll.IMDP("ECO", U$1, "현재가", $A11, "fill=true")</f>
        <v>1.25</v>
      </c>
      <c r="V11" s="22">
        <f ca="1">_xll.IMDP("ECO", V$1, "현재가", $A11, "fill=true")</f>
        <v>4.3916000000000004</v>
      </c>
      <c r="W11" s="22">
        <f ca="1">_xll.IMDP("ECO", W$1, "현재가", $A11, "fill=true")</f>
        <v>75</v>
      </c>
      <c r="X11" s="22">
        <f ca="1">_xll.IMDP("ECO", X$1, "현재가", $A11, "fill=true")</f>
        <v>1.25</v>
      </c>
      <c r="Y11" s="22">
        <f ca="1">_xll.IMDP("ECO", Y$1, "현재가", $A11, "fill=true")</f>
        <v>2.25</v>
      </c>
      <c r="Z11" s="22">
        <f ca="1">_xll.IMDP("ECO", Z$1, "현재가", $A11, "fill=true")</f>
        <v>1.25</v>
      </c>
      <c r="AA11" s="22">
        <f ca="1">_xll.IMDP("ECO", AA$1, "현재가", $A11, "fill=true")</f>
        <v>1.25</v>
      </c>
      <c r="AB11" s="22">
        <f ca="1">_xll.IMDP("ECO", AB$1, "현재가", $A11, "fill=true")</f>
        <v>5.9</v>
      </c>
      <c r="AC11" s="22">
        <f ca="1">_xll.IMDP("ECO", AC$1, "현재가", $A11, "fill=true")</f>
        <v>4.25</v>
      </c>
      <c r="AD11" s="22">
        <f ca="1">_xll.IMDP("ECO", AD$1, "현재가", $A11, "fill=true")</f>
        <v>-0.1</v>
      </c>
      <c r="AE11" s="22">
        <f ca="1">_xll.IMDP("ECO", AE$1, "현재가", $A11, "fill=true")</f>
        <v>4.3499999999999996</v>
      </c>
      <c r="AF11" s="22">
        <f ca="1">_xll.IMDP("ECO", AF$1, "현재가", $A11, "fill=true")</f>
        <v>7</v>
      </c>
      <c r="AG11" s="22">
        <f ca="1">_xll.IMDP("ECO", AG$1, "현재가", $A11, "fill=true")</f>
        <v>3.25</v>
      </c>
      <c r="AH11" s="22">
        <f ca="1">_xll.IMDP("ECO", AH$1, "현재가", $A11, "fill=true")</f>
        <v>1</v>
      </c>
      <c r="AI11" s="22">
        <f ca="1">_xll.IMDP("ECO", AI$1, "현재가", $A11, "fill=true")</f>
        <v>12</v>
      </c>
      <c r="AJ11" s="22">
        <f ca="1">_xll.IMDP("ECO", AJ$1, "현재가", $A11, "fill=true")</f>
        <v>6.75</v>
      </c>
      <c r="AK11" s="22">
        <f ca="1">_xll.IMDP("ECO", AK$1, "현재가", $A11, "fill=true")</f>
        <v>1.25</v>
      </c>
      <c r="AL11" s="22">
        <f ca="1">_xll.IMDP("ECO", AL$1, "현재가", $A11, "fill=true")</f>
        <v>1.25</v>
      </c>
      <c r="AM11" s="22">
        <f ca="1">_xll.IMDP("ECO", AM$1, "현재가", $A11, "fill=true")</f>
        <v>2.5</v>
      </c>
      <c r="AN11" s="22">
        <f ca="1">_xll.IMDP("ECO", AN$1, "현재가", $A11, "fill=true")</f>
        <v>13</v>
      </c>
      <c r="AO11" s="22">
        <f ca="1">_xll.IMDP("ECO", AO$1, "현재가", $A11, "fill=true")</f>
        <v>2.35</v>
      </c>
      <c r="AP11" s="22">
        <f ca="1">_xll.IMDP("ECO", AP$1, "현재가", $A11, "fill=true")</f>
        <v>3.5</v>
      </c>
    </row>
    <row r="12" spans="1:42" x14ac:dyDescent="0.25">
      <c r="A12" s="23">
        <f t="shared" ca="1" si="0"/>
        <v>44865</v>
      </c>
      <c r="B12" s="22">
        <f ca="1">_xll.IMDP("ECO", B$1, "현재가", $A12, "fill=true")</f>
        <v>1.25</v>
      </c>
      <c r="C12" s="22">
        <f ca="1">_xll.IMDP("ECO", C$1, "현재가", $A12, "fill=true")</f>
        <v>6.25</v>
      </c>
      <c r="D12" s="22">
        <f ca="1">_xll.IMDP("ECO", D$1, "현재가", $A12, "fill=true")</f>
        <v>1.25</v>
      </c>
      <c r="E12" s="22">
        <f ca="1">_xll.IMDP("ECO", E$1, "현재가", $A12, "fill=true")</f>
        <v>2.25</v>
      </c>
      <c r="F12" s="22">
        <f ca="1">_xll.IMDP("ECO", F$1, "현재가", $A12, "fill=true")</f>
        <v>3.5</v>
      </c>
      <c r="G12" s="22">
        <f ca="1">_xll.IMDP("ECO", G$1, "현재가", $A12, "fill=true")</f>
        <v>1.625</v>
      </c>
      <c r="H12" s="22">
        <f ca="1">_xll.IMDP("ECO", H$1, "현재가", $A12, "fill=true")</f>
        <v>1.4</v>
      </c>
      <c r="I12" s="22">
        <f ca="1">_xll.IMDP("ECO", I$1, "현재가", $A12, "fill=true")</f>
        <v>1.25</v>
      </c>
      <c r="J12" s="22">
        <f ca="1">_xll.IMDP("ECO", J$1, "현재가", $A12, "fill=true")</f>
        <v>7.5</v>
      </c>
      <c r="K12" s="22">
        <f ca="1">_xll.IMDP("ECO", K$1, "현재가", $A12, "fill=true")</f>
        <v>2.5</v>
      </c>
      <c r="L12" s="22">
        <f ca="1">_xll.IMDP("ECO", L$1, "현재가", $A12, "fill=true")</f>
        <v>9.25</v>
      </c>
      <c r="M12" s="22">
        <f ca="1">_xll.IMDP("ECO", M$1, "현재가", $A12, "fill=true")</f>
        <v>3</v>
      </c>
      <c r="N12" s="22">
        <f ca="1">_xll.IMDP("ECO", N$1, "현재가", $A12, "fill=true")</f>
        <v>53.38</v>
      </c>
      <c r="O12" s="22">
        <f ca="1">_xll.IMDP("ECO", O$1, "현재가", $A12, "fill=true")</f>
        <v>6</v>
      </c>
      <c r="P12" s="22">
        <f ca="1">_xll.IMDP("ECO", P$1, "현재가", $A12, "fill=true")</f>
        <v>1.25</v>
      </c>
      <c r="Q12" s="22">
        <f ca="1">_xll.IMDP("ECO", Q$1, "현재가", $A12, "fill=true")</f>
        <v>13.75</v>
      </c>
      <c r="R12" s="22">
        <f ca="1">_xll.IMDP("ECO", R$1, "현재가", $A12, "fill=true")</f>
        <v>3.75</v>
      </c>
      <c r="S12" s="22">
        <f ca="1">_xll.IMDP("ECO", S$1, "현재가", $A12, "fill=true")</f>
        <v>1.75</v>
      </c>
      <c r="T12" s="22">
        <f ca="1">_xll.IMDP("ECO", T$1, "현재가", $A12, "fill=true")</f>
        <v>0.5</v>
      </c>
      <c r="U12" s="22">
        <f ca="1">_xll.IMDP("ECO", U$1, "현재가", $A12, "fill=true")</f>
        <v>1.25</v>
      </c>
      <c r="V12" s="22">
        <f ca="1">_xll.IMDP("ECO", V$1, "현재가", $A12, "fill=true")</f>
        <v>2.8521000000000001</v>
      </c>
      <c r="W12" s="22">
        <f ca="1">_xll.IMDP("ECO", W$1, "현재가", $A12, "fill=true")</f>
        <v>75</v>
      </c>
      <c r="X12" s="22">
        <f ca="1">_xll.IMDP("ECO", X$1, "현재가", $A12, "fill=true")</f>
        <v>1.25</v>
      </c>
      <c r="Y12" s="22">
        <f ca="1">_xll.IMDP("ECO", Y$1, "현재가", $A12, "fill=true")</f>
        <v>2.25</v>
      </c>
      <c r="Z12" s="22">
        <f ca="1">_xll.IMDP("ECO", Z$1, "현재가", $A12, "fill=true")</f>
        <v>1.25</v>
      </c>
      <c r="AA12" s="22">
        <f ca="1">_xll.IMDP("ECO", AA$1, "현재가", $A12, "fill=true")</f>
        <v>1.25</v>
      </c>
      <c r="AB12" s="22">
        <f ca="1">_xll.IMDP("ECO", AB$1, "현재가", $A12, "fill=true")</f>
        <v>5.9</v>
      </c>
      <c r="AC12" s="22">
        <f ca="1">_xll.IMDP("ECO", AC$1, "현재가", $A12, "fill=true")</f>
        <v>4.75</v>
      </c>
      <c r="AD12" s="22">
        <f ca="1">_xll.IMDP("ECO", AD$1, "현재가", $A12, "fill=true")</f>
        <v>-0.1</v>
      </c>
      <c r="AE12" s="22">
        <f ca="1">_xll.IMDP("ECO", AE$1, "현재가", $A12, "fill=true")</f>
        <v>4.3499999999999996</v>
      </c>
      <c r="AF12" s="22">
        <f ca="1">_xll.IMDP("ECO", AF$1, "현재가", $A12, "fill=true")</f>
        <v>7</v>
      </c>
      <c r="AG12" s="22">
        <f ca="1">_xll.IMDP("ECO", AG$1, "현재가", $A12, "fill=true")</f>
        <v>3.75</v>
      </c>
      <c r="AH12" s="22">
        <f ca="1">_xll.IMDP("ECO", AH$1, "현재가", $A12, "fill=true")</f>
        <v>1</v>
      </c>
      <c r="AI12" s="22">
        <f ca="1">_xll.IMDP("ECO", AI$1, "현재가", $A12, "fill=true")</f>
        <v>10.5</v>
      </c>
      <c r="AJ12" s="22">
        <f ca="1">_xll.IMDP("ECO", AJ$1, "현재가", $A12, "fill=true")</f>
        <v>6.75</v>
      </c>
      <c r="AK12" s="22">
        <f ca="1">_xll.IMDP("ECO", AK$1, "현재가", $A12, "fill=true")</f>
        <v>1.25</v>
      </c>
      <c r="AL12" s="22">
        <f ca="1">_xll.IMDP("ECO", AL$1, "현재가", $A12, "fill=true")</f>
        <v>1.25</v>
      </c>
      <c r="AM12" s="22">
        <f ca="1">_xll.IMDP("ECO", AM$1, "현재가", $A12, "fill=true")</f>
        <v>3</v>
      </c>
      <c r="AN12" s="22">
        <f ca="1">_xll.IMDP("ECO", AN$1, "현재가", $A12, "fill=true")</f>
        <v>13</v>
      </c>
      <c r="AO12" s="22">
        <f ca="1">_xll.IMDP("ECO", AO$1, "현재가", $A12, "fill=true")</f>
        <v>2.6</v>
      </c>
      <c r="AP12" s="22">
        <f ca="1">_xll.IMDP("ECO", AP$1, "현재가", $A12, "fill=true")</f>
        <v>3.5</v>
      </c>
    </row>
    <row r="13" spans="1:42" x14ac:dyDescent="0.25">
      <c r="A13" s="23">
        <f t="shared" ca="1" si="0"/>
        <v>44895</v>
      </c>
      <c r="B13" s="22">
        <f ca="1">_xll.IMDP("ECO", B$1, "현재가", $A13, "fill=true")</f>
        <v>2</v>
      </c>
      <c r="C13" s="22">
        <f ca="1">_xll.IMDP("ECO", C$1, "현재가", $A13, "fill=true")</f>
        <v>7</v>
      </c>
      <c r="D13" s="22">
        <f ca="1">_xll.IMDP("ECO", D$1, "현재가", $A13, "fill=true")</f>
        <v>2</v>
      </c>
      <c r="E13" s="22">
        <f ca="1">_xll.IMDP("ECO", E$1, "현재가", $A13, "fill=true")</f>
        <v>2.5</v>
      </c>
      <c r="F13" s="22">
        <f ca="1">_xll.IMDP("ECO", F$1, "현재가", $A13, "fill=true")</f>
        <v>4.25</v>
      </c>
      <c r="G13" s="22">
        <f ca="1">_xll.IMDP("ECO", G$1, "현재가", $A13, "fill=true")</f>
        <v>1.625</v>
      </c>
      <c r="H13" s="22">
        <f ca="1">_xll.IMDP("ECO", H$1, "현재가", $A13, "fill=true")</f>
        <v>1.4</v>
      </c>
      <c r="I13" s="22">
        <f ca="1">_xll.IMDP("ECO", I$1, "현재가", $A13, "fill=true")</f>
        <v>2</v>
      </c>
      <c r="J13" s="22">
        <f ca="1">_xll.IMDP("ECO", J$1, "현재가", $A13, "fill=true")</f>
        <v>7.5</v>
      </c>
      <c r="K13" s="22">
        <f ca="1">_xll.IMDP("ECO", K$1, "현재가", $A13, "fill=true")</f>
        <v>2.75</v>
      </c>
      <c r="L13" s="22">
        <f ca="1">_xll.IMDP("ECO", L$1, "현재가", $A13, "fill=true")</f>
        <v>10</v>
      </c>
      <c r="M13" s="22">
        <f ca="1">_xll.IMDP("ECO", M$1, "현재가", $A13, "fill=true")</f>
        <v>3.75</v>
      </c>
      <c r="N13" s="22">
        <f ca="1">_xll.IMDP("ECO", N$1, "현재가", $A13, "fill=true")</f>
        <v>53.75</v>
      </c>
      <c r="O13" s="22">
        <f ca="1">_xll.IMDP("ECO", O$1, "현재가", $A13, "fill=true")</f>
        <v>6</v>
      </c>
      <c r="P13" s="22">
        <f ca="1">_xll.IMDP("ECO", P$1, "현재가", $A13, "fill=true")</f>
        <v>2</v>
      </c>
      <c r="Q13" s="22">
        <f ca="1">_xll.IMDP("ECO", Q$1, "현재가", $A13, "fill=true")</f>
        <v>13.75</v>
      </c>
      <c r="R13" s="22">
        <f ca="1">_xll.IMDP("ECO", R$1, "현재가", $A13, "fill=true")</f>
        <v>4.5</v>
      </c>
      <c r="S13" s="22">
        <f ca="1">_xll.IMDP("ECO", S$1, "현재가", $A13, "fill=true")</f>
        <v>2.5</v>
      </c>
      <c r="T13" s="22">
        <f ca="1">_xll.IMDP("ECO", T$1, "현재가", $A13, "fill=true")</f>
        <v>0.5</v>
      </c>
      <c r="U13" s="22">
        <f ca="1">_xll.IMDP("ECO", U$1, "현재가", $A13, "fill=true")</f>
        <v>2</v>
      </c>
      <c r="V13" s="22">
        <f ca="1">_xll.IMDP("ECO", V$1, "현재가", $A13, "fill=true")</f>
        <v>3.9119000000000002</v>
      </c>
      <c r="W13" s="22">
        <f ca="1">_xll.IMDP("ECO", W$1, "현재가", $A13, "fill=true")</f>
        <v>75</v>
      </c>
      <c r="X13" s="22">
        <f ca="1">_xll.IMDP("ECO", X$1, "현재가", $A13, "fill=true")</f>
        <v>2</v>
      </c>
      <c r="Y13" s="22">
        <f ca="1">_xll.IMDP("ECO", Y$1, "현재가", $A13, "fill=true")</f>
        <v>3</v>
      </c>
      <c r="Z13" s="22">
        <f ca="1">_xll.IMDP("ECO", Z$1, "현재가", $A13, "fill=true")</f>
        <v>2</v>
      </c>
      <c r="AA13" s="22">
        <f ca="1">_xll.IMDP("ECO", AA$1, "현재가", $A13, "fill=true")</f>
        <v>2</v>
      </c>
      <c r="AB13" s="22">
        <f ca="1">_xll.IMDP("ECO", AB$1, "현재가", $A13, "fill=true")</f>
        <v>5.9</v>
      </c>
      <c r="AC13" s="22">
        <f ca="1">_xll.IMDP("ECO", AC$1, "현재가", $A13, "fill=true")</f>
        <v>5.25</v>
      </c>
      <c r="AD13" s="22">
        <f ca="1">_xll.IMDP("ECO", AD$1, "현재가", $A13, "fill=true")</f>
        <v>-0.1</v>
      </c>
      <c r="AE13" s="22">
        <f ca="1">_xll.IMDP("ECO", AE$1, "현재가", $A13, "fill=true")</f>
        <v>4.3499999999999996</v>
      </c>
      <c r="AF13" s="22">
        <f ca="1">_xll.IMDP("ECO", AF$1, "현재가", $A13, "fill=true")</f>
        <v>7</v>
      </c>
      <c r="AG13" s="22">
        <f ca="1">_xll.IMDP("ECO", AG$1, "현재가", $A13, "fill=true")</f>
        <v>3.75</v>
      </c>
      <c r="AH13" s="22">
        <f ca="1">_xll.IMDP("ECO", AH$1, "현재가", $A13, "fill=true")</f>
        <v>1</v>
      </c>
      <c r="AI13" s="22">
        <f ca="1">_xll.IMDP("ECO", AI$1, "현재가", $A13, "fill=true")</f>
        <v>9</v>
      </c>
      <c r="AJ13" s="22">
        <f ca="1">_xll.IMDP("ECO", AJ$1, "현재가", $A13, "fill=true")</f>
        <v>6.75</v>
      </c>
      <c r="AK13" s="22">
        <f ca="1">_xll.IMDP("ECO", AK$1, "현재가", $A13, "fill=true")</f>
        <v>2</v>
      </c>
      <c r="AL13" s="22">
        <f ca="1">_xll.IMDP("ECO", AL$1, "현재가", $A13, "fill=true")</f>
        <v>2</v>
      </c>
      <c r="AM13" s="22">
        <f ca="1">_xll.IMDP("ECO", AM$1, "현재가", $A13, "fill=true")</f>
        <v>3.25</v>
      </c>
      <c r="AN13" s="22">
        <f ca="1">_xll.IMDP("ECO", AN$1, "현재가", $A13, "fill=true")</f>
        <v>13</v>
      </c>
      <c r="AO13" s="22">
        <f ca="1">_xll.IMDP("ECO", AO$1, "현재가", $A13, "fill=true")</f>
        <v>2.85</v>
      </c>
      <c r="AP13" s="22">
        <f ca="1">_xll.IMDP("ECO", AP$1, "현재가", $A13, "fill=true")</f>
        <v>4.25</v>
      </c>
    </row>
    <row r="14" spans="1:42" x14ac:dyDescent="0.25">
      <c r="A14" s="23">
        <f ca="1">EOMONTH(A15,-1)</f>
        <v>44926</v>
      </c>
      <c r="B14" s="22">
        <f ca="1">_xll.IMDP("ECO", B$1, "현재가", $A14, "fill=true")</f>
        <v>2.5</v>
      </c>
      <c r="C14" s="22">
        <f ca="1">_xll.IMDP("ECO", C$1, "현재가", $A14, "fill=true")</f>
        <v>7</v>
      </c>
      <c r="D14" s="22">
        <f ca="1">_xll.IMDP("ECO", D$1, "현재가", $A14, "fill=true")</f>
        <v>2.5</v>
      </c>
      <c r="E14" s="22">
        <f ca="1">_xll.IMDP("ECO", E$1, "현재가", $A14, "fill=true")</f>
        <v>2.75</v>
      </c>
      <c r="F14" s="22">
        <f ca="1">_xll.IMDP("ECO", F$1, "현재가", $A14, "fill=true")</f>
        <v>4.25</v>
      </c>
      <c r="G14" s="22">
        <f ca="1">_xll.IMDP("ECO", G$1, "현재가", $A14, "fill=true")</f>
        <v>1.75</v>
      </c>
      <c r="H14" s="22">
        <f ca="1">_xll.IMDP("ECO", H$1, "현재가", $A14, "fill=true")</f>
        <v>1.9</v>
      </c>
      <c r="I14" s="22">
        <f ca="1">_xll.IMDP("ECO", I$1, "현재가", $A14, "fill=true")</f>
        <v>2.5</v>
      </c>
      <c r="J14" s="22">
        <f ca="1">_xll.IMDP("ECO", J$1, "현재가", $A14, "fill=true")</f>
        <v>7.5</v>
      </c>
      <c r="K14" s="22">
        <f ca="1">_xll.IMDP("ECO", K$1, "현재가", $A14, "fill=true")</f>
        <v>2.75</v>
      </c>
      <c r="L14" s="22">
        <f ca="1">_xll.IMDP("ECO", L$1, "현재가", $A14, "fill=true")</f>
        <v>10.5</v>
      </c>
      <c r="M14" s="22">
        <f ca="1">_xll.IMDP("ECO", M$1, "현재가", $A14, "fill=true")</f>
        <v>4.25</v>
      </c>
      <c r="N14" s="22">
        <f ca="1">_xll.IMDP("ECO", N$1, "현재가", $A14, "fill=true")</f>
        <v>52.13</v>
      </c>
      <c r="O14" s="22">
        <f ca="1">_xll.IMDP("ECO", O$1, "현재가", $A14, "fill=true")</f>
        <v>6</v>
      </c>
      <c r="P14" s="22">
        <f ca="1">_xll.IMDP("ECO", P$1, "현재가", $A14, "fill=true")</f>
        <v>2.5</v>
      </c>
      <c r="Q14" s="22">
        <f ca="1">_xll.IMDP("ECO", Q$1, "현재가", $A14, "fill=true")</f>
        <v>13.75</v>
      </c>
      <c r="R14" s="22">
        <f ca="1">_xll.IMDP("ECO", R$1, "현재가", $A14, "fill=true")</f>
        <v>5</v>
      </c>
      <c r="S14" s="22">
        <f ca="1">_xll.IMDP("ECO", S$1, "현재가", $A14, "fill=true")</f>
        <v>2.5</v>
      </c>
      <c r="T14" s="22">
        <f ca="1">_xll.IMDP("ECO", T$1, "현재가", $A14, "fill=true")</f>
        <v>1</v>
      </c>
      <c r="U14" s="22">
        <f ca="1">_xll.IMDP("ECO", U$1, "현재가", $A14, "fill=true")</f>
        <v>2.5</v>
      </c>
      <c r="V14" s="22">
        <f ca="1">_xll.IMDP("ECO", V$1, "현재가", $A14, "fill=true")</f>
        <v>2.5293000000000001</v>
      </c>
      <c r="W14" s="22">
        <f ca="1">_xll.IMDP("ECO", W$1, "현재가", $A14, "fill=true")</f>
        <v>75</v>
      </c>
      <c r="X14" s="22">
        <f ca="1">_xll.IMDP("ECO", X$1, "현재가", $A14, "fill=true")</f>
        <v>2.5</v>
      </c>
      <c r="Y14" s="22">
        <f ca="1">_xll.IMDP("ECO", Y$1, "현재가", $A14, "fill=true")</f>
        <v>3.5</v>
      </c>
      <c r="Z14" s="22">
        <f ca="1">_xll.IMDP("ECO", Z$1, "현재가", $A14, "fill=true")</f>
        <v>2.5</v>
      </c>
      <c r="AA14" s="22">
        <f ca="1">_xll.IMDP("ECO", AA$1, "현재가", $A14, "fill=true")</f>
        <v>2.5</v>
      </c>
      <c r="AB14" s="22">
        <f ca="1">_xll.IMDP("ECO", AB$1, "현재가", $A14, "fill=true")</f>
        <v>6.25</v>
      </c>
      <c r="AC14" s="22">
        <f ca="1">_xll.IMDP("ECO", AC$1, "현재가", $A14, "fill=true")</f>
        <v>5.5</v>
      </c>
      <c r="AD14" s="22">
        <f ca="1">_xll.IMDP("ECO", AD$1, "현재가", $A14, "fill=true")</f>
        <v>-0.1</v>
      </c>
      <c r="AE14" s="22">
        <f ca="1">_xll.IMDP("ECO", AE$1, "현재가", $A14, "fill=true")</f>
        <v>4.3499999999999996</v>
      </c>
      <c r="AF14" s="22">
        <f ca="1">_xll.IMDP("ECO", AF$1, "현재가", $A14, "fill=true")</f>
        <v>7</v>
      </c>
      <c r="AG14" s="22">
        <f ca="1">_xll.IMDP("ECO", AG$1, "현재가", $A14, "fill=true")</f>
        <v>4.25</v>
      </c>
      <c r="AH14" s="22">
        <f ca="1">_xll.IMDP("ECO", AH$1, "현재가", $A14, "fill=true")</f>
        <v>1.25</v>
      </c>
      <c r="AI14" s="22">
        <f ca="1">_xll.IMDP("ECO", AI$1, "현재가", $A14, "fill=true")</f>
        <v>9</v>
      </c>
      <c r="AJ14" s="22">
        <f ca="1">_xll.IMDP("ECO", AJ$1, "현재가", $A14, "fill=true")</f>
        <v>6.75</v>
      </c>
      <c r="AK14" s="22">
        <f ca="1">_xll.IMDP("ECO", AK$1, "현재가", $A14, "fill=true")</f>
        <v>2.5</v>
      </c>
      <c r="AL14" s="22">
        <f ca="1">_xll.IMDP("ECO", AL$1, "현재가", $A14, "fill=true")</f>
        <v>2.5</v>
      </c>
      <c r="AM14" s="22">
        <f ca="1">_xll.IMDP("ECO", AM$1, "현재가", $A14, "fill=true")</f>
        <v>3.25</v>
      </c>
      <c r="AN14" s="22">
        <f ca="1">_xll.IMDP("ECO", AN$1, "현재가", $A14, "fill=true")</f>
        <v>13</v>
      </c>
      <c r="AO14" s="22">
        <f ca="1">_xll.IMDP("ECO", AO$1, "현재가", $A14, "fill=true")</f>
        <v>3.1</v>
      </c>
      <c r="AP14" s="22">
        <f ca="1">_xll.IMDP("ECO", AP$1, "현재가", $A14, "fill=true")</f>
        <v>4.75</v>
      </c>
    </row>
    <row r="15" spans="1:42" x14ac:dyDescent="0.25">
      <c r="A15" s="23">
        <f ca="1">TODAY()-1</f>
        <v>44942</v>
      </c>
      <c r="B15" s="22">
        <f ca="1">_xll.IMDP("ECO", B$1, "현재가", $A15, "fill=true")</f>
        <v>2.5</v>
      </c>
      <c r="C15" s="22">
        <f ca="1">_xll.IMDP("ECO", C$1, "현재가", $A15, "fill=true")</f>
        <v>7</v>
      </c>
      <c r="D15" s="22">
        <f ca="1">_xll.IMDP("ECO", D$1, "현재가", $A15, "fill=true")</f>
        <v>2.5</v>
      </c>
      <c r="E15" s="22">
        <f ca="1">_xll.IMDP("ECO", E$1, "현재가", $A15, "fill=true")</f>
        <v>2.75</v>
      </c>
      <c r="F15" s="22">
        <f ca="1">_xll.IMDP("ECO", F$1, "현재가", $A15, "fill=true")</f>
        <v>4.25</v>
      </c>
      <c r="G15" s="22">
        <f ca="1">_xll.IMDP("ECO", G$1, "현재가", $A15, "fill=true")</f>
        <v>1.75</v>
      </c>
      <c r="H15" s="22">
        <f ca="1">_xll.IMDP("ECO", H$1, "현재가", $A15, "fill=true")</f>
        <v>1.9</v>
      </c>
      <c r="I15" s="22">
        <f ca="1">_xll.IMDP("ECO", I$1, "현재가", $A15, "fill=true")</f>
        <v>2.5</v>
      </c>
      <c r="J15" s="22">
        <f ca="1">_xll.IMDP("ECO", J$1, "현재가", $A15, "fill=true")</f>
        <v>7.5</v>
      </c>
      <c r="K15" s="22">
        <f ca="1">_xll.IMDP("ECO", K$1, "현재가", $A15, "fill=true")</f>
        <v>2.75</v>
      </c>
      <c r="L15" s="22">
        <f ca="1">_xll.IMDP("ECO", L$1, "현재가", $A15, "fill=true")</f>
        <v>10.5</v>
      </c>
      <c r="M15" s="22">
        <f ca="1">_xll.IMDP("ECO", M$1, "현재가", $A15, "fill=true")</f>
        <v>4.25</v>
      </c>
      <c r="N15" s="22">
        <f ca="1">_xll.IMDP("ECO", N$1, "현재가", $A15, "fill=true")</f>
        <v>54.18</v>
      </c>
      <c r="O15" s="22">
        <f ca="1">_xll.IMDP("ECO", O$1, "현재가", $A15, "fill=true")</f>
        <v>6</v>
      </c>
      <c r="P15" s="22">
        <f ca="1">_xll.IMDP("ECO", P$1, "현재가", $A15, "fill=true")</f>
        <v>2.5</v>
      </c>
      <c r="Q15" s="22">
        <f ca="1">_xll.IMDP("ECO", Q$1, "현재가", $A15, "fill=true")</f>
        <v>13.75</v>
      </c>
      <c r="R15" s="22">
        <f ca="1">_xll.IMDP("ECO", R$1, "현재가", $A15, "fill=true")</f>
        <v>5</v>
      </c>
      <c r="S15" s="22">
        <f ca="1">_xll.IMDP("ECO", S$1, "현재가", $A15, "fill=true")</f>
        <v>2.5</v>
      </c>
      <c r="T15" s="22">
        <f ca="1">_xll.IMDP("ECO", T$1, "현재가", $A15, "fill=true")</f>
        <v>1</v>
      </c>
      <c r="U15" s="22">
        <f ca="1">_xll.IMDP("ECO", U$1, "현재가", $A15, "fill=true")</f>
        <v>2.5</v>
      </c>
      <c r="V15" s="22">
        <f ca="1">_xll.IMDP("ECO", V$1, "현재가", $A15, "fill=true")</f>
        <v>2.5293000000000001</v>
      </c>
      <c r="W15" s="22">
        <f ca="1">_xll.IMDP("ECO", W$1, "현재가", $A15, "fill=true")</f>
        <v>75</v>
      </c>
      <c r="X15" s="22">
        <f ca="1">_xll.IMDP("ECO", X$1, "현재가", $A15, "fill=true")</f>
        <v>2.5</v>
      </c>
      <c r="Y15" s="22">
        <f ca="1">_xll.IMDP("ECO", Y$1, "현재가", $A15, "fill=true")</f>
        <v>3.5</v>
      </c>
      <c r="Z15" s="22">
        <f ca="1">_xll.IMDP("ECO", Z$1, "현재가", $A15, "fill=true")</f>
        <v>2.5</v>
      </c>
      <c r="AA15" s="22">
        <f ca="1">_xll.IMDP("ECO", AA$1, "현재가", $A15, "fill=true")</f>
        <v>2.5</v>
      </c>
      <c r="AB15" s="22">
        <f ca="1">_xll.IMDP("ECO", AB$1, "현재가", $A15, "fill=true")</f>
        <v>6.25</v>
      </c>
      <c r="AC15" s="22">
        <f ca="1">_xll.IMDP("ECO", AC$1, "현재가", $A15, "fill=true")</f>
        <v>5.5</v>
      </c>
      <c r="AD15" s="22">
        <f ca="1">_xll.IMDP("ECO", AD$1, "현재가", $A15, "fill=true")</f>
        <v>-0.1</v>
      </c>
      <c r="AE15" s="22">
        <f ca="1">_xll.IMDP("ECO", AE$1, "현재가", $A15, "fill=true")</f>
        <v>4.3499999999999996</v>
      </c>
      <c r="AF15" s="22">
        <f ca="1">_xll.IMDP("ECO", AF$1, "현재가", $A15, "fill=true")</f>
        <v>7</v>
      </c>
      <c r="AG15" s="22">
        <f ca="1">_xll.IMDP("ECO", AG$1, "현재가", $A15, "fill=true")</f>
        <v>4.25</v>
      </c>
      <c r="AH15" s="22">
        <f ca="1">_xll.IMDP("ECO", AH$1, "현재가", $A15, "fill=true")</f>
        <v>1.25</v>
      </c>
      <c r="AI15" s="22">
        <f ca="1">_xll.IMDP("ECO", AI$1, "현재가", $A15, "fill=true")</f>
        <v>9</v>
      </c>
      <c r="AJ15" s="22">
        <f ca="1">_xll.IMDP("ECO", AJ$1, "현재가", $A15, "fill=true")</f>
        <v>6.75</v>
      </c>
      <c r="AK15" s="22">
        <f ca="1">_xll.IMDP("ECO", AK$1, "현재가", $A15, "fill=true")</f>
        <v>2.5</v>
      </c>
      <c r="AL15" s="22">
        <f ca="1">_xll.IMDP("ECO", AL$1, "현재가", $A15, "fill=true")</f>
        <v>2.5</v>
      </c>
      <c r="AM15" s="22">
        <f ca="1">_xll.IMDP("ECO", AM$1, "현재가", $A15, "fill=true")</f>
        <v>3.5</v>
      </c>
      <c r="AN15" s="22">
        <f ca="1">_xll.IMDP("ECO", AN$1, "현재가", $A15, "fill=true")</f>
        <v>13</v>
      </c>
      <c r="AO15" s="22">
        <f ca="1">_xll.IMDP("ECO", AO$1, "현재가", $A15, "fill=true")</f>
        <v>3.1</v>
      </c>
      <c r="AP15" s="22">
        <f ca="1">_xll.IMDP("ECO", AP$1, "현재가", $A15, "fill=true")</f>
        <v>4.75</v>
      </c>
    </row>
    <row r="19" spans="2:2" x14ac:dyDescent="0.25">
      <c r="B19" s="72" t="s">
        <v>214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Global Central Bank Monitor</vt:lpstr>
      <vt:lpstr>RAW_정책금리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2015-04-29T05:34:35Z</dcterms:created>
  <dcterms:modified xsi:type="dcterms:W3CDTF">2023-01-17T02:03:34Z</dcterms:modified>
</cp:coreProperties>
</file>