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120" yWindow="75" windowWidth="24960" windowHeight="12330"/>
  </bookViews>
  <sheets>
    <sheet name="세계주요증시 및 상품시세" sheetId="1" r:id="rId1"/>
  </sheets>
  <definedNames>
    <definedName name="해외주요금리동향">'세계주요증시 및 상품시세'!$D$44:$I$57</definedName>
  </definedNames>
  <calcPr calcId="145621"/>
</workbook>
</file>

<file path=xl/calcChain.xml><?xml version="1.0" encoding="utf-8"?>
<calcChain xmlns="http://schemas.openxmlformats.org/spreadsheetml/2006/main">
  <c r="Y3" i="1" l="1"/>
  <c r="AA3" i="1"/>
  <c r="F96" i="1"/>
  <c r="M96" i="1"/>
  <c r="O21" i="1"/>
  <c r="F80" i="1"/>
  <c r="F91" i="1"/>
  <c r="L89" i="1"/>
  <c r="E99" i="1"/>
  <c r="M87" i="1"/>
  <c r="M85" i="1"/>
  <c r="F102" i="1"/>
  <c r="F100" i="1"/>
  <c r="F82" i="1"/>
  <c r="F9" i="1"/>
  <c r="M82" i="1"/>
  <c r="M103" i="1"/>
  <c r="O13" i="1"/>
  <c r="E8" i="1"/>
  <c r="E91" i="1"/>
  <c r="E63" i="1"/>
  <c r="F101" i="1"/>
  <c r="O11" i="1"/>
  <c r="F71" i="1"/>
  <c r="E100" i="1"/>
  <c r="G16" i="1"/>
  <c r="F54" i="1"/>
  <c r="E45" i="1"/>
  <c r="G21" i="1"/>
  <c r="I57" i="1"/>
  <c r="E56" i="1"/>
  <c r="E101" i="1"/>
  <c r="E11" i="1"/>
  <c r="L84" i="1"/>
  <c r="F65" i="1"/>
  <c r="M88" i="1"/>
  <c r="L100" i="1"/>
  <c r="F72" i="1"/>
  <c r="E84" i="1"/>
  <c r="F48" i="1"/>
  <c r="M108" i="1"/>
  <c r="E21" i="1"/>
  <c r="E96" i="1"/>
  <c r="M77" i="1"/>
  <c r="L85" i="1"/>
  <c r="E81" i="1"/>
  <c r="E83" i="1"/>
  <c r="O18" i="1"/>
  <c r="F85" i="1"/>
  <c r="O9" i="1"/>
  <c r="F90" i="1"/>
  <c r="M81" i="1"/>
  <c r="O8" i="1"/>
  <c r="O15" i="1"/>
  <c r="F17" i="1"/>
  <c r="G18" i="1"/>
  <c r="F45" i="1"/>
  <c r="O12" i="1"/>
  <c r="L107" i="1"/>
  <c r="F89" i="1"/>
  <c r="F107" i="1"/>
  <c r="E67" i="1"/>
  <c r="L101" i="1"/>
  <c r="E78" i="1"/>
  <c r="G20" i="1"/>
  <c r="L102" i="1"/>
  <c r="E97" i="1"/>
  <c r="F19" i="1"/>
  <c r="M104" i="1"/>
  <c r="L104" i="1"/>
  <c r="E108" i="1"/>
  <c r="M97" i="1"/>
  <c r="F105" i="1"/>
  <c r="M91" i="1"/>
  <c r="E106" i="1"/>
  <c r="M102" i="1"/>
  <c r="E71" i="1"/>
  <c r="F77" i="1"/>
  <c r="E109" i="1"/>
  <c r="E85" i="1"/>
  <c r="O14" i="1"/>
  <c r="E18" i="1"/>
  <c r="E88" i="1"/>
  <c r="F13" i="1"/>
  <c r="F67" i="1"/>
  <c r="F51" i="1"/>
  <c r="E10" i="1"/>
  <c r="M98" i="1"/>
  <c r="L105" i="1"/>
  <c r="Z5" i="1"/>
  <c r="L88" i="1"/>
  <c r="E13" i="1"/>
  <c r="F68" i="1"/>
  <c r="L103" i="1"/>
  <c r="L97" i="1"/>
  <c r="F104" i="1"/>
  <c r="E48" i="1"/>
  <c r="L86" i="1"/>
  <c r="G17" i="1"/>
  <c r="F70" i="1"/>
  <c r="M89" i="1"/>
  <c r="M105" i="1"/>
  <c r="G13" i="1"/>
  <c r="M109" i="1"/>
  <c r="E104" i="1"/>
  <c r="F106" i="1"/>
  <c r="M79" i="1"/>
  <c r="L78" i="1"/>
  <c r="F52" i="1"/>
  <c r="F47" i="1"/>
  <c r="E52" i="1"/>
  <c r="L82" i="1"/>
  <c r="E9" i="1"/>
  <c r="M84" i="1"/>
  <c r="L87" i="1"/>
  <c r="X5" i="1"/>
  <c r="M99" i="1"/>
  <c r="M101" i="1"/>
  <c r="F20" i="1"/>
  <c r="L106" i="1"/>
  <c r="E50" i="1"/>
  <c r="L80" i="1"/>
  <c r="E17" i="1"/>
  <c r="F103" i="1"/>
  <c r="E105" i="1"/>
  <c r="L96" i="1"/>
  <c r="M80" i="1"/>
  <c r="E55" i="1"/>
  <c r="L79" i="1"/>
  <c r="L108" i="1"/>
  <c r="L81" i="1"/>
  <c r="E12" i="1"/>
  <c r="O16" i="1"/>
  <c r="G15" i="1"/>
  <c r="G8" i="1"/>
  <c r="L99" i="1"/>
  <c r="G14" i="1"/>
  <c r="E66" i="1"/>
  <c r="E98" i="1"/>
  <c r="F108" i="1"/>
  <c r="E103" i="1"/>
  <c r="E49" i="1"/>
  <c r="E14" i="1"/>
  <c r="E82" i="1"/>
  <c r="F83" i="1"/>
  <c r="M100" i="1"/>
  <c r="M90" i="1"/>
  <c r="F10" i="1"/>
  <c r="F87" i="1"/>
  <c r="E19" i="1"/>
  <c r="F84" i="1"/>
  <c r="F15" i="1"/>
  <c r="F99" i="1"/>
  <c r="F56" i="1"/>
  <c r="F21" i="1"/>
  <c r="O19" i="1"/>
  <c r="L90" i="1"/>
  <c r="F50" i="1"/>
  <c r="F78" i="1"/>
  <c r="F11" i="1"/>
  <c r="M107" i="1"/>
  <c r="F8" i="1"/>
  <c r="F69" i="1"/>
  <c r="F46" i="1"/>
  <c r="L109" i="1"/>
  <c r="E107" i="1"/>
  <c r="F86" i="1"/>
  <c r="O10" i="1"/>
  <c r="F49" i="1"/>
  <c r="F88" i="1"/>
  <c r="F79" i="1"/>
  <c r="L83" i="1"/>
  <c r="L91" i="1"/>
  <c r="F55" i="1"/>
  <c r="E79" i="1"/>
  <c r="E57" i="1"/>
  <c r="F12" i="1"/>
  <c r="G19" i="1"/>
  <c r="E64" i="1"/>
  <c r="E54" i="1"/>
  <c r="G11" i="1"/>
  <c r="E16" i="1"/>
  <c r="E77" i="1"/>
  <c r="E20" i="1"/>
  <c r="F98" i="1"/>
  <c r="F18" i="1"/>
  <c r="M86" i="1"/>
  <c r="E80" i="1"/>
  <c r="M106" i="1"/>
  <c r="O20" i="1"/>
  <c r="E51" i="1"/>
  <c r="E86" i="1"/>
  <c r="E90" i="1"/>
  <c r="E47" i="1"/>
  <c r="F14" i="1"/>
  <c r="F66" i="1"/>
  <c r="L98" i="1"/>
  <c r="F63" i="1"/>
  <c r="F109" i="1"/>
  <c r="L77" i="1"/>
  <c r="O17" i="1"/>
  <c r="E69" i="1"/>
  <c r="E65" i="1"/>
  <c r="F64" i="1"/>
  <c r="F97" i="1"/>
  <c r="E15" i="1"/>
  <c r="E102" i="1"/>
  <c r="F57" i="1"/>
  <c r="F16" i="1"/>
  <c r="E87" i="1"/>
  <c r="E46" i="1"/>
  <c r="AA5" i="1"/>
  <c r="G9" i="1"/>
  <c r="G10" i="1"/>
  <c r="E68" i="1"/>
  <c r="E70" i="1"/>
  <c r="F53" i="1"/>
  <c r="G12" i="1"/>
  <c r="M83" i="1"/>
  <c r="E53" i="1"/>
  <c r="E72" i="1"/>
  <c r="F81" i="1"/>
  <c r="E89" i="1"/>
  <c r="M78" i="1"/>
  <c r="E95" i="1" l="1"/>
  <c r="L95" i="1"/>
  <c r="L76" i="1"/>
  <c r="E76" i="1"/>
  <c r="E44" i="1"/>
  <c r="E62" i="1"/>
  <c r="M6" i="1"/>
  <c r="N6" i="1" s="1"/>
  <c r="G104" i="1"/>
  <c r="O85" i="1"/>
  <c r="H19" i="1"/>
  <c r="H17" i="1"/>
  <c r="H101" i="1"/>
  <c r="N19" i="1"/>
  <c r="N100" i="1"/>
  <c r="H47" i="1"/>
  <c r="I101" i="1"/>
  <c r="I18" i="1"/>
  <c r="N11" i="1"/>
  <c r="K21" i="1"/>
  <c r="N105" i="1"/>
  <c r="P99" i="1"/>
  <c r="P79" i="1"/>
  <c r="G90" i="1"/>
  <c r="H102" i="1"/>
  <c r="N83" i="1"/>
  <c r="I79" i="1"/>
  <c r="I50" i="1"/>
  <c r="O78" i="1"/>
  <c r="P100" i="1"/>
  <c r="H66" i="1"/>
  <c r="G96" i="1"/>
  <c r="G71" i="1"/>
  <c r="O88" i="1"/>
  <c r="G86" i="1"/>
  <c r="H87" i="1"/>
  <c r="H68" i="1"/>
  <c r="N77" i="1"/>
  <c r="H84" i="1"/>
  <c r="K10" i="1"/>
  <c r="H46" i="1"/>
  <c r="I52" i="1"/>
  <c r="G105" i="1"/>
  <c r="I78" i="1"/>
  <c r="H51" i="1"/>
  <c r="G99" i="1"/>
  <c r="I87" i="1"/>
  <c r="L15" i="1"/>
  <c r="L21" i="1"/>
  <c r="G84" i="1"/>
  <c r="H67" i="1"/>
  <c r="G77" i="1"/>
  <c r="H64" i="1"/>
  <c r="H56" i="1"/>
  <c r="O99" i="1"/>
  <c r="K11" i="1"/>
  <c r="N79" i="1"/>
  <c r="P90" i="1"/>
  <c r="N108" i="1"/>
  <c r="I8" i="1"/>
  <c r="P89" i="1"/>
  <c r="H107" i="1"/>
  <c r="O91" i="1"/>
  <c r="G79" i="1"/>
  <c r="G68" i="1"/>
  <c r="N20" i="1"/>
  <c r="H69" i="1"/>
  <c r="M15" i="1"/>
  <c r="I96" i="1"/>
  <c r="H11" i="1"/>
  <c r="P102" i="1"/>
  <c r="M20" i="1"/>
  <c r="N8" i="1"/>
  <c r="N80" i="1"/>
  <c r="I98" i="1"/>
  <c r="O89" i="1"/>
  <c r="H48" i="1"/>
  <c r="P97" i="1"/>
  <c r="I72" i="1"/>
  <c r="N15" i="1"/>
  <c r="O98" i="1"/>
  <c r="I9" i="1"/>
  <c r="I105" i="1"/>
  <c r="L10" i="1"/>
  <c r="P104" i="1"/>
  <c r="N96" i="1"/>
  <c r="G101" i="1"/>
  <c r="O101" i="1"/>
  <c r="N13" i="1"/>
  <c r="I69" i="1"/>
  <c r="I80" i="1"/>
  <c r="O83" i="1"/>
  <c r="N103" i="1"/>
  <c r="O105" i="1"/>
  <c r="G80" i="1"/>
  <c r="I109" i="1"/>
  <c r="I53" i="1"/>
  <c r="G87" i="1"/>
  <c r="G53" i="1"/>
  <c r="K15" i="1"/>
  <c r="N98" i="1"/>
  <c r="M14" i="1"/>
  <c r="I20" i="1"/>
  <c r="I19" i="1"/>
  <c r="H13" i="1"/>
  <c r="G106" i="1"/>
  <c r="K16" i="1"/>
  <c r="I86" i="1"/>
  <c r="H82" i="1"/>
  <c r="I51" i="1"/>
  <c r="I10" i="1"/>
  <c r="O107" i="1"/>
  <c r="I14" i="1"/>
  <c r="H97" i="1"/>
  <c r="O82" i="1"/>
  <c r="I77" i="1"/>
  <c r="K19" i="1"/>
  <c r="O86" i="1"/>
  <c r="I81" i="1"/>
  <c r="N12" i="1"/>
  <c r="I107" i="1"/>
  <c r="H109" i="1"/>
  <c r="M13" i="1"/>
  <c r="L12" i="1"/>
  <c r="N107" i="1"/>
  <c r="H96" i="1"/>
  <c r="P91" i="1"/>
  <c r="H49" i="1"/>
  <c r="I82" i="1"/>
  <c r="P101" i="1"/>
  <c r="P96" i="1"/>
  <c r="I97" i="1"/>
  <c r="H57" i="1"/>
  <c r="I64" i="1"/>
  <c r="H50" i="1"/>
  <c r="I88" i="1"/>
  <c r="G45" i="1"/>
  <c r="O102" i="1"/>
  <c r="I12" i="1"/>
  <c r="M16" i="1"/>
  <c r="G89" i="1"/>
  <c r="L11" i="1"/>
  <c r="O90" i="1"/>
  <c r="K17" i="1"/>
  <c r="G72" i="1"/>
  <c r="P88" i="1"/>
  <c r="H15" i="1"/>
  <c r="H99" i="1"/>
  <c r="N78" i="1"/>
  <c r="H86" i="1"/>
  <c r="K9" i="1"/>
  <c r="I83" i="1"/>
  <c r="K12" i="1"/>
  <c r="P108" i="1"/>
  <c r="G63" i="1"/>
  <c r="P82" i="1"/>
  <c r="P86" i="1"/>
  <c r="L8" i="1"/>
  <c r="H72" i="1"/>
  <c r="H10" i="1"/>
  <c r="H106" i="1"/>
  <c r="G67" i="1"/>
  <c r="N82" i="1"/>
  <c r="O81" i="1"/>
  <c r="O80" i="1"/>
  <c r="G109" i="1"/>
  <c r="H18" i="1"/>
  <c r="M19" i="1"/>
  <c r="N18" i="1"/>
  <c r="G49" i="1"/>
  <c r="I90" i="1"/>
  <c r="P107" i="1"/>
  <c r="G81" i="1"/>
  <c r="I15" i="1"/>
  <c r="G54" i="1"/>
  <c r="H105" i="1"/>
  <c r="O96" i="1"/>
  <c r="H81" i="1"/>
  <c r="P103" i="1"/>
  <c r="O100" i="1"/>
  <c r="G56" i="1"/>
  <c r="O104" i="1"/>
  <c r="H8" i="1"/>
  <c r="H55" i="1"/>
  <c r="M9" i="1"/>
  <c r="G100" i="1"/>
  <c r="P80" i="1"/>
  <c r="G83" i="1"/>
  <c r="P85" i="1"/>
  <c r="I65" i="1"/>
  <c r="O106" i="1"/>
  <c r="I17" i="1"/>
  <c r="N16" i="1"/>
  <c r="I11" i="1"/>
  <c r="I85" i="1"/>
  <c r="G66" i="1"/>
  <c r="N90" i="1"/>
  <c r="G46" i="1"/>
  <c r="M11" i="1"/>
  <c r="N10" i="1"/>
  <c r="H14" i="1"/>
  <c r="H52" i="1"/>
  <c r="H9" i="1"/>
  <c r="O84" i="1"/>
  <c r="I102" i="1"/>
  <c r="N88" i="1"/>
  <c r="N106" i="1"/>
  <c r="H16" i="1"/>
  <c r="I54" i="1"/>
  <c r="I16" i="1"/>
  <c r="I55" i="1"/>
  <c r="P81" i="1"/>
  <c r="H71" i="1"/>
  <c r="O77" i="1"/>
  <c r="N87" i="1"/>
  <c r="I21" i="1"/>
  <c r="H85" i="1"/>
  <c r="O97" i="1"/>
  <c r="I45" i="1"/>
  <c r="N9" i="1"/>
  <c r="H79" i="1"/>
  <c r="L19" i="1"/>
  <c r="P109" i="1"/>
  <c r="M12" i="1"/>
  <c r="N104" i="1"/>
  <c r="H77" i="1"/>
  <c r="K13" i="1"/>
  <c r="K14" i="1"/>
  <c r="I104" i="1"/>
  <c r="O109" i="1"/>
  <c r="G91" i="1"/>
  <c r="N17" i="1"/>
  <c r="G108" i="1"/>
  <c r="H53" i="1"/>
  <c r="M10" i="1"/>
  <c r="N81" i="1"/>
  <c r="I66" i="1"/>
  <c r="I99" i="1"/>
  <c r="H90" i="1"/>
  <c r="H98" i="1"/>
  <c r="I108" i="1"/>
  <c r="G97" i="1"/>
  <c r="M8" i="1"/>
  <c r="G103" i="1"/>
  <c r="G85" i="1"/>
  <c r="H70" i="1"/>
  <c r="I71" i="1"/>
  <c r="K18" i="1"/>
  <c r="M21" i="1"/>
  <c r="P105" i="1"/>
  <c r="H91" i="1"/>
  <c r="I47" i="1"/>
  <c r="L14" i="1"/>
  <c r="G48" i="1"/>
  <c r="G69" i="1"/>
  <c r="P84" i="1"/>
  <c r="G57" i="1"/>
  <c r="H80" i="1"/>
  <c r="L13" i="1"/>
  <c r="N14" i="1"/>
  <c r="I68" i="1"/>
  <c r="N109" i="1"/>
  <c r="N97" i="1"/>
  <c r="I106" i="1"/>
  <c r="G55" i="1"/>
  <c r="H108" i="1"/>
  <c r="I63" i="1"/>
  <c r="N84" i="1"/>
  <c r="G70" i="1"/>
  <c r="H45" i="1"/>
  <c r="P98" i="1"/>
  <c r="H12" i="1"/>
  <c r="N85" i="1"/>
  <c r="O87" i="1"/>
  <c r="I103" i="1"/>
  <c r="H83" i="1"/>
  <c r="H54" i="1"/>
  <c r="G98" i="1"/>
  <c r="N89" i="1"/>
  <c r="L18" i="1"/>
  <c r="I48" i="1"/>
  <c r="O103" i="1"/>
  <c r="O79" i="1"/>
  <c r="P83" i="1"/>
  <c r="M18" i="1"/>
  <c r="H89" i="1"/>
  <c r="I46" i="1"/>
  <c r="O108" i="1"/>
  <c r="N102" i="1"/>
  <c r="H78" i="1"/>
  <c r="G107" i="1"/>
  <c r="H65" i="1"/>
  <c r="L16" i="1"/>
  <c r="P87" i="1"/>
  <c r="P78" i="1"/>
  <c r="I49" i="1"/>
  <c r="G65" i="1"/>
  <c r="K8" i="1"/>
  <c r="L9" i="1"/>
  <c r="G50" i="1"/>
  <c r="G64" i="1"/>
  <c r="G78" i="1"/>
  <c r="N101" i="1"/>
  <c r="G51" i="1"/>
  <c r="H63" i="1"/>
  <c r="L20" i="1"/>
  <c r="G82" i="1"/>
  <c r="H104" i="1"/>
  <c r="I84" i="1"/>
  <c r="N21" i="1"/>
  <c r="I89" i="1"/>
  <c r="I91" i="1"/>
  <c r="H21" i="1"/>
  <c r="K20" i="1"/>
  <c r="G47" i="1"/>
  <c r="H100" i="1"/>
  <c r="I67" i="1"/>
  <c r="P77" i="1"/>
  <c r="N91" i="1"/>
  <c r="H103" i="1"/>
  <c r="H20" i="1"/>
  <c r="P106" i="1"/>
  <c r="I70" i="1"/>
  <c r="N86" i="1"/>
  <c r="L17" i="1"/>
  <c r="I56" i="1"/>
  <c r="I100" i="1"/>
  <c r="M17" i="1"/>
  <c r="H88" i="1"/>
  <c r="G52" i="1"/>
  <c r="G102" i="1"/>
  <c r="I13" i="1"/>
  <c r="G88" i="1"/>
  <c r="N99" i="1"/>
</calcChain>
</file>

<file path=xl/sharedStrings.xml><?xml version="1.0" encoding="utf-8"?>
<sst xmlns="http://schemas.openxmlformats.org/spreadsheetml/2006/main" count="341" uniqueCount="255">
  <si>
    <t>KOSPI</t>
    <phoneticPr fontId="1" type="noConversion"/>
  </si>
  <si>
    <t>상해종합</t>
    <phoneticPr fontId="1" type="noConversion"/>
  </si>
  <si>
    <t>대만</t>
    <phoneticPr fontId="1" type="noConversion"/>
  </si>
  <si>
    <t>프랑스</t>
    <phoneticPr fontId="1" type="noConversion"/>
  </si>
  <si>
    <t>항셍H</t>
    <phoneticPr fontId="1" type="noConversion"/>
  </si>
  <si>
    <t>인도</t>
    <phoneticPr fontId="1" type="noConversion"/>
  </si>
  <si>
    <t>칠레</t>
    <phoneticPr fontId="1" type="noConversion"/>
  </si>
  <si>
    <t>독일</t>
    <phoneticPr fontId="1" type="noConversion"/>
  </si>
  <si>
    <t>다우존스</t>
    <phoneticPr fontId="1" type="noConversion"/>
  </si>
  <si>
    <t>나스닥</t>
    <phoneticPr fontId="1" type="noConversion"/>
  </si>
  <si>
    <t>S&amp;P</t>
    <phoneticPr fontId="1" type="noConversion"/>
  </si>
  <si>
    <t>SHS:000001</t>
  </si>
  <si>
    <t>TWS:TI01</t>
  </si>
  <si>
    <t>NII:NI225</t>
  </si>
  <si>
    <t>PAS:CAC40</t>
  </si>
  <si>
    <t>HSI:HSCE</t>
  </si>
  <si>
    <t>INI:BSE30</t>
  </si>
  <si>
    <t>CLI:IGPA</t>
  </si>
  <si>
    <t>XTR:DAX30</t>
  </si>
  <si>
    <t>DJI:DJI</t>
  </si>
  <si>
    <t>NAS:IXIC</t>
  </si>
  <si>
    <t>SPI:SPX</t>
  </si>
  <si>
    <t>DJI:SX5E</t>
  </si>
  <si>
    <t>EURO STOXX50</t>
    <phoneticPr fontId="1" type="noConversion"/>
  </si>
  <si>
    <t>현재가</t>
    <phoneticPr fontId="1" type="noConversion"/>
  </si>
  <si>
    <t>대비</t>
    <phoneticPr fontId="1" type="noConversion"/>
  </si>
  <si>
    <t>거래량</t>
    <phoneticPr fontId="1" type="noConversion"/>
  </si>
  <si>
    <t>전일대비</t>
    <phoneticPr fontId="1" type="noConversion"/>
  </si>
  <si>
    <t>국가</t>
    <phoneticPr fontId="1" type="noConversion"/>
  </si>
  <si>
    <t>지수</t>
    <phoneticPr fontId="1" type="noConversion"/>
  </si>
  <si>
    <t>대비</t>
    <phoneticPr fontId="1" type="noConversion"/>
  </si>
  <si>
    <t>1D(%)</t>
    <phoneticPr fontId="1" type="noConversion"/>
  </si>
  <si>
    <t>1W(%)</t>
    <phoneticPr fontId="1" type="noConversion"/>
  </si>
  <si>
    <t>1M(%)</t>
    <phoneticPr fontId="1" type="noConversion"/>
  </si>
  <si>
    <t>3M(%)</t>
    <phoneticPr fontId="1" type="noConversion"/>
  </si>
  <si>
    <t>6M(%)</t>
    <phoneticPr fontId="1" type="noConversion"/>
  </si>
  <si>
    <t>1Y(%)</t>
    <phoneticPr fontId="1" type="noConversion"/>
  </si>
  <si>
    <t>YTD(%)</t>
    <phoneticPr fontId="1" type="noConversion"/>
  </si>
  <si>
    <t>거래량</t>
    <phoneticPr fontId="1" type="noConversion"/>
  </si>
  <si>
    <t>등락률</t>
    <phoneticPr fontId="1" type="noConversion"/>
  </si>
  <si>
    <t>IDX</t>
    <phoneticPr fontId="1" type="noConversion"/>
  </si>
  <si>
    <t>FRN</t>
    <phoneticPr fontId="1" type="noConversion"/>
  </si>
  <si>
    <t>국채(3Y)</t>
  </si>
  <si>
    <t>국채(5Y)</t>
  </si>
  <si>
    <t>국채(10Y)</t>
  </si>
  <si>
    <t>TED Spread</t>
  </si>
  <si>
    <t>T-Bill(1Y)</t>
  </si>
  <si>
    <t>T-Note(3Y)</t>
  </si>
  <si>
    <t>JGB(3Y)</t>
  </si>
  <si>
    <t>GILT(3Y)</t>
  </si>
  <si>
    <t>BUND(3Y)</t>
  </si>
  <si>
    <t>T-Note(5Y)</t>
  </si>
  <si>
    <t>T-Note(10Y)</t>
  </si>
  <si>
    <t>금리</t>
    <phoneticPr fontId="1" type="noConversion"/>
  </si>
  <si>
    <t>1M</t>
    <phoneticPr fontId="1" type="noConversion"/>
  </si>
  <si>
    <t>3M</t>
    <phoneticPr fontId="1" type="noConversion"/>
  </si>
  <si>
    <t>1Y</t>
    <phoneticPr fontId="1" type="noConversion"/>
  </si>
  <si>
    <t>IR</t>
    <phoneticPr fontId="1" type="noConversion"/>
  </si>
  <si>
    <t>BONDKSDCAL11</t>
  </si>
  <si>
    <t>BONDKSDCAL12</t>
  </si>
  <si>
    <t>BONDKSDCAL13</t>
  </si>
  <si>
    <t>종가</t>
    <phoneticPr fontId="1" type="noConversion"/>
  </si>
  <si>
    <t>종목명</t>
  </si>
  <si>
    <t>IRR:TED</t>
  </si>
  <si>
    <t>IBRUSDBFRS  03M</t>
  </si>
  <si>
    <t>US03M</t>
  </si>
  <si>
    <t>US01Y</t>
  </si>
  <si>
    <t>US03Y</t>
  </si>
  <si>
    <t>US05Y</t>
  </si>
  <si>
    <t>US10Y</t>
  </si>
  <si>
    <t>JP03Y</t>
  </si>
  <si>
    <t>GB03Y</t>
  </si>
  <si>
    <t>DE03Y</t>
  </si>
  <si>
    <t>대표수익률</t>
    <phoneticPr fontId="1" type="noConversion"/>
  </si>
  <si>
    <t>KRW</t>
  </si>
  <si>
    <t>JPY</t>
  </si>
  <si>
    <t>EUR</t>
  </si>
  <si>
    <t>HKD</t>
  </si>
  <si>
    <t>PHP</t>
  </si>
  <si>
    <t>SGD</t>
  </si>
  <si>
    <t>MYR</t>
  </si>
  <si>
    <t>TWD</t>
  </si>
  <si>
    <t>IDR</t>
  </si>
  <si>
    <t>THB</t>
  </si>
  <si>
    <t>EURUSD</t>
  </si>
  <si>
    <t>USDHKD</t>
  </si>
  <si>
    <t>USDPHP</t>
  </si>
  <si>
    <t>USDSGD</t>
  </si>
  <si>
    <t>USDMYR</t>
  </si>
  <si>
    <t>USDIDR</t>
  </si>
  <si>
    <t>USDTHB</t>
  </si>
  <si>
    <t>USDTWD</t>
    <phoneticPr fontId="1" type="noConversion"/>
  </si>
  <si>
    <t>USDSP_AMBC</t>
  </si>
  <si>
    <t>FX</t>
    <phoneticPr fontId="1" type="noConversion"/>
  </si>
  <si>
    <t>USDJPY</t>
    <phoneticPr fontId="1" type="noConversion"/>
  </si>
  <si>
    <t>현재가</t>
    <phoneticPr fontId="1" type="noConversion"/>
  </si>
  <si>
    <t>전일대비</t>
    <phoneticPr fontId="1" type="noConversion"/>
  </si>
  <si>
    <t>뉴욕전일대비</t>
    <phoneticPr fontId="1" type="noConversion"/>
  </si>
  <si>
    <t>1M(%)</t>
  </si>
  <si>
    <t>1M(%)</t>
    <phoneticPr fontId="1" type="noConversion"/>
  </si>
  <si>
    <t>3M(%)</t>
  </si>
  <si>
    <t>3M(%)</t>
    <phoneticPr fontId="1" type="noConversion"/>
  </si>
  <si>
    <t>1Y(%)</t>
  </si>
  <si>
    <t>1Y(%)</t>
    <phoneticPr fontId="1" type="noConversion"/>
  </si>
  <si>
    <t>뉴욕종가</t>
    <phoneticPr fontId="1" type="noConversion"/>
  </si>
  <si>
    <t>Currency</t>
    <phoneticPr fontId="1" type="noConversion"/>
  </si>
  <si>
    <t>1D(%)</t>
  </si>
  <si>
    <t>AT&amp;T</t>
  </si>
  <si>
    <t>제너럴 일렉트릭</t>
  </si>
  <si>
    <t>휴렛 팩커드</t>
  </si>
  <si>
    <t>IBM</t>
  </si>
  <si>
    <t>엑슨 모빌</t>
  </si>
  <si>
    <t>인텔</t>
  </si>
  <si>
    <t>마이크로소프트</t>
  </si>
  <si>
    <t>J.P 모건체이스</t>
  </si>
  <si>
    <t>애플</t>
  </si>
  <si>
    <t>도요타 자동차</t>
  </si>
  <si>
    <t>소니</t>
  </si>
  <si>
    <t>캐논</t>
  </si>
  <si>
    <t>NTT 도코모</t>
  </si>
  <si>
    <t>니폰 제철</t>
  </si>
  <si>
    <t>HSBC 홀딩스</t>
  </si>
  <si>
    <t>BP</t>
  </si>
  <si>
    <t>대만 반도체</t>
  </si>
  <si>
    <t>AU 옵트로닉스</t>
  </si>
  <si>
    <t>에버그린 머린해운</t>
  </si>
  <si>
    <t>에이서</t>
  </si>
  <si>
    <t>토탈</t>
  </si>
  <si>
    <t>비벤디 유니버셜</t>
  </si>
  <si>
    <t>바스프</t>
  </si>
  <si>
    <t>VOLKSWAGEN VZ</t>
  </si>
  <si>
    <t>NYS:T</t>
  </si>
  <si>
    <t>NYS:GE</t>
  </si>
  <si>
    <t>NYS:HPQ</t>
  </si>
  <si>
    <t>NYS:IBM</t>
  </si>
  <si>
    <t>NYS:XOM</t>
  </si>
  <si>
    <t>NAS:INTC</t>
  </si>
  <si>
    <t>NAS:MSFT</t>
  </si>
  <si>
    <t>NYS:JPM</t>
  </si>
  <si>
    <t>NAS:GOOG</t>
  </si>
  <si>
    <t>NAS:AMZN</t>
  </si>
  <si>
    <t>NAS:AAPL</t>
  </si>
  <si>
    <t>NYS:WMT</t>
  </si>
  <si>
    <t>TSE:6758</t>
  </si>
  <si>
    <t>TSE:7751</t>
  </si>
  <si>
    <t>TSE:5401</t>
  </si>
  <si>
    <t>LNS:HSBA</t>
  </si>
  <si>
    <t>TWS:2330</t>
  </si>
  <si>
    <t>TWS:2409</t>
  </si>
  <si>
    <t>TWS:2603</t>
  </si>
  <si>
    <t>TWS:2353</t>
  </si>
  <si>
    <t>PAS:VIV</t>
    <phoneticPr fontId="1" type="noConversion"/>
  </si>
  <si>
    <t>등락률</t>
    <phoneticPr fontId="1" type="noConversion"/>
  </si>
  <si>
    <t>001</t>
    <phoneticPr fontId="1" type="noConversion"/>
  </si>
  <si>
    <t>누적거래량</t>
    <phoneticPr fontId="1" type="noConversion"/>
  </si>
  <si>
    <t>상품명</t>
    <phoneticPr fontId="1" type="noConversion"/>
  </si>
  <si>
    <t>두바이유현물</t>
  </si>
  <si>
    <t>WTI현물</t>
  </si>
  <si>
    <t>브렌트유현물</t>
  </si>
  <si>
    <t>WTI</t>
  </si>
  <si>
    <t>브렌트유</t>
  </si>
  <si>
    <t>난방유</t>
  </si>
  <si>
    <t>금</t>
  </si>
  <si>
    <t>은</t>
  </si>
  <si>
    <t>동</t>
  </si>
  <si>
    <t>팔라듐</t>
  </si>
  <si>
    <t>백금</t>
  </si>
  <si>
    <t>알루미늄합금CASH</t>
  </si>
  <si>
    <t>알루미늄CASH</t>
  </si>
  <si>
    <t>구리CASH</t>
  </si>
  <si>
    <t>납CASH</t>
  </si>
  <si>
    <t>니켈CASH</t>
  </si>
  <si>
    <t>주석CASH</t>
  </si>
  <si>
    <t>아연CASH</t>
  </si>
  <si>
    <t>옥수수</t>
  </si>
  <si>
    <t>대두</t>
  </si>
  <si>
    <t>대두박</t>
  </si>
  <si>
    <t>대두유</t>
  </si>
  <si>
    <t>소맥</t>
  </si>
  <si>
    <t>설탕</t>
  </si>
  <si>
    <t>면화</t>
  </si>
  <si>
    <t>천연가스</t>
    <phoneticPr fontId="1" type="noConversion"/>
  </si>
  <si>
    <t>NYM:NG</t>
    <phoneticPr fontId="1" type="noConversion"/>
  </si>
  <si>
    <t>가스오일</t>
    <phoneticPr fontId="1" type="noConversion"/>
  </si>
  <si>
    <t>IPE:EP</t>
    <phoneticPr fontId="1" type="noConversion"/>
  </si>
  <si>
    <t>UK천연가스</t>
    <phoneticPr fontId="1" type="noConversion"/>
  </si>
  <si>
    <t>IPE:MN</t>
    <phoneticPr fontId="1" type="noConversion"/>
  </si>
  <si>
    <t>SPT:DU</t>
  </si>
  <si>
    <t>SPT:CL</t>
  </si>
  <si>
    <t>SPT:EB</t>
  </si>
  <si>
    <t>NYM:CL</t>
  </si>
  <si>
    <t>IPE:EB</t>
  </si>
  <si>
    <t>NYM:HO</t>
  </si>
  <si>
    <t>COM:GC</t>
  </si>
  <si>
    <t>COM:SI</t>
  </si>
  <si>
    <t>COM:HG</t>
  </si>
  <si>
    <t>NYM:PA</t>
  </si>
  <si>
    <t>NYM:PL</t>
  </si>
  <si>
    <t>LME:AAY</t>
  </si>
  <si>
    <t>LME:ADY</t>
  </si>
  <si>
    <t>LME:CDY</t>
  </si>
  <si>
    <t>LME:PDY</t>
  </si>
  <si>
    <t>LME:NDY</t>
  </si>
  <si>
    <t>LME:SDY</t>
  </si>
  <si>
    <t>LME:ZDY</t>
  </si>
  <si>
    <t>CBT$ZC</t>
  </si>
  <si>
    <t>CBT$ZS</t>
  </si>
  <si>
    <t>CBT$ZM</t>
  </si>
  <si>
    <t>CBT$ZL</t>
  </si>
  <si>
    <t>CBT$ZW</t>
  </si>
  <si>
    <t>NYB:SB</t>
  </si>
  <si>
    <t>NYB:CT</t>
  </si>
  <si>
    <t>종가</t>
  </si>
  <si>
    <t>현재가</t>
    <phoneticPr fontId="1" type="noConversion"/>
  </si>
  <si>
    <t>일자</t>
  </si>
  <si>
    <t>시작</t>
  </si>
  <si>
    <t>종료</t>
  </si>
  <si>
    <t>Data 개수</t>
  </si>
  <si>
    <t>주기</t>
  </si>
  <si>
    <t>일</t>
  </si>
  <si>
    <t>정렬</t>
  </si>
  <si>
    <t>영업일</t>
  </si>
  <si>
    <t>시세산출</t>
  </si>
  <si>
    <t>T-Bill(3M)</t>
    <phoneticPr fontId="1" type="noConversion"/>
  </si>
  <si>
    <t>US03M</t>
    <phoneticPr fontId="1" type="noConversion"/>
  </si>
  <si>
    <t>IBRUSDBFRS  03M</t>
    <phoneticPr fontId="1" type="noConversion"/>
  </si>
  <si>
    <t>Libor(3M)</t>
    <phoneticPr fontId="1" type="noConversion"/>
  </si>
  <si>
    <t>A</t>
    <phoneticPr fontId="1" type="noConversion"/>
  </si>
  <si>
    <t>주요국 대미환율/절상(하)율</t>
    <phoneticPr fontId="1" type="noConversion"/>
  </si>
  <si>
    <t>해외주요금리동향</t>
    <phoneticPr fontId="1" type="noConversion"/>
  </si>
  <si>
    <t>해외주요지수</t>
    <phoneticPr fontId="1" type="noConversion"/>
  </si>
  <si>
    <t>업종별 대표종목</t>
    <phoneticPr fontId="1" type="noConversion"/>
  </si>
  <si>
    <t>주요상품시세</t>
    <phoneticPr fontId="1" type="noConversion"/>
  </si>
  <si>
    <t>종가</t>
    <phoneticPr fontId="1" type="noConversion"/>
  </si>
  <si>
    <t>금리</t>
    <phoneticPr fontId="1" type="noConversion"/>
  </si>
  <si>
    <t>TSE:7203</t>
    <phoneticPr fontId="1" type="noConversion"/>
  </si>
  <si>
    <t>영국</t>
    <phoneticPr fontId="1" type="noConversion"/>
  </si>
  <si>
    <t>FRN</t>
    <phoneticPr fontId="1" type="noConversion"/>
  </si>
  <si>
    <t>일본</t>
    <phoneticPr fontId="1" type="noConversion"/>
  </si>
  <si>
    <t>LNS:FTSE100</t>
    <phoneticPr fontId="1" type="noConversion"/>
  </si>
  <si>
    <t>XTR:BAS</t>
    <phoneticPr fontId="1" type="noConversion"/>
  </si>
  <si>
    <t>아마존닷컴</t>
    <phoneticPr fontId="1" type="noConversion"/>
  </si>
  <si>
    <t>세계주요증시 및 상품시세</t>
    <phoneticPr fontId="1" type="noConversion"/>
  </si>
  <si>
    <t>NYS:BAC</t>
    <phoneticPr fontId="1" type="noConversion"/>
  </si>
  <si>
    <t>월마트</t>
    <phoneticPr fontId="1" type="noConversion"/>
  </si>
  <si>
    <t>알파벳(구글) C</t>
    <phoneticPr fontId="1" type="noConversion"/>
  </si>
  <si>
    <t>TSE:9437</t>
    <phoneticPr fontId="1" type="noConversion"/>
  </si>
  <si>
    <t>뱅크오브아메리카</t>
    <phoneticPr fontId="1" type="noConversion"/>
  </si>
  <si>
    <t>LNS:BP.</t>
    <phoneticPr fontId="1" type="noConversion"/>
  </si>
  <si>
    <t>PAS:FP</t>
    <phoneticPr fontId="1" type="noConversion"/>
  </si>
  <si>
    <t>XTR:VOW3</t>
    <phoneticPr fontId="1" type="noConversion"/>
  </si>
  <si>
    <t>NAS:GOOGL</t>
    <phoneticPr fontId="1" type="noConversion"/>
  </si>
  <si>
    <t>알파벳(구글) A</t>
    <phoneticPr fontId="1" type="noConversion"/>
  </si>
  <si>
    <t>NYS:BABA</t>
    <phoneticPr fontId="1" type="noConversion"/>
  </si>
  <si>
    <t>알리바바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</si>
</sst>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0.0000_ "/>
    <numFmt numFmtId="177" formatCode="0.00_ "/>
    <numFmt numFmtId="178" formatCode="#,##0_ "/>
    <numFmt numFmtId="179" formatCode="#,##0.00_ "/>
    <numFmt numFmtId="181" formatCode="0.000_ "/>
    <numFmt numFmtId="183" formatCode="0_ "/>
    <numFmt numFmtId="184" formatCode="0.00000_ "/>
  </numFmts>
  <fonts count="1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rgb="FF252B3F"/>
      <name val="맑은 고딕"/>
      <family val="3"/>
      <charset val="129"/>
      <scheme val="minor"/>
    </font>
    <font>
      <b/>
      <sz val="10"/>
      <color rgb="FF063C8C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16"/>
      <color rgb="FF00206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F0F6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14999847407452621"/>
      </right>
      <top style="thin">
        <color theme="1" tint="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 tint="0.499984740745262"/>
      </top>
      <bottom style="thin">
        <color theme="0" tint="-0.1499984740745262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1" tint="0.499984740745262"/>
      </top>
      <bottom style="thin">
        <color theme="0" tint="-0.14999847407452621"/>
      </bottom>
      <diagonal/>
    </border>
    <border>
      <left style="thin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 tint="0.499984740745262"/>
      </bottom>
      <diagonal/>
    </border>
    <border>
      <left/>
      <right/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0" tint="-0.14999847407452621"/>
      </top>
      <bottom style="thin">
        <color theme="1" tint="0.499984740745262"/>
      </bottom>
      <diagonal/>
    </border>
    <border>
      <left/>
      <right style="thin">
        <color theme="0" tint="-0.14999847407452621"/>
      </right>
      <top style="thin">
        <color theme="1" tint="0.49998474074526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1" tint="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4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8" fontId="4" fillId="3" borderId="2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>
      <alignment vertical="center"/>
    </xf>
    <xf numFmtId="0" fontId="3" fillId="4" borderId="1" xfId="0" applyFont="1" applyFill="1" applyBorder="1">
      <alignment vertical="center"/>
    </xf>
    <xf numFmtId="179" fontId="3" fillId="4" borderId="1" xfId="0" applyNumberFormat="1" applyFont="1" applyFill="1" applyBorder="1">
      <alignment vertical="center"/>
    </xf>
    <xf numFmtId="0" fontId="3" fillId="4" borderId="5" xfId="0" applyFont="1" applyFill="1" applyBorder="1">
      <alignment vertical="center"/>
    </xf>
    <xf numFmtId="179" fontId="3" fillId="0" borderId="6" xfId="0" applyNumberFormat="1" applyFont="1" applyBorder="1">
      <alignment vertical="center"/>
    </xf>
    <xf numFmtId="177" fontId="0" fillId="0" borderId="6" xfId="0" applyNumberFormat="1" applyBorder="1">
      <alignment vertical="center"/>
    </xf>
    <xf numFmtId="0" fontId="3" fillId="4" borderId="6" xfId="0" applyFont="1" applyFill="1" applyBorder="1">
      <alignment vertical="center"/>
    </xf>
    <xf numFmtId="177" fontId="0" fillId="0" borderId="8" xfId="0" applyNumberFormat="1" applyBorder="1">
      <alignment vertical="center"/>
    </xf>
    <xf numFmtId="0" fontId="3" fillId="4" borderId="9" xfId="0" applyFont="1" applyFill="1" applyBorder="1">
      <alignment vertical="center"/>
    </xf>
    <xf numFmtId="177" fontId="0" fillId="0" borderId="10" xfId="0" applyNumberFormat="1" applyBorder="1">
      <alignment vertical="center"/>
    </xf>
    <xf numFmtId="0" fontId="3" fillId="4" borderId="11" xfId="0" applyFont="1" applyFill="1" applyBorder="1">
      <alignment vertical="center"/>
    </xf>
    <xf numFmtId="179" fontId="3" fillId="0" borderId="12" xfId="0" applyNumberFormat="1" applyFont="1" applyBorder="1">
      <alignment vertical="center"/>
    </xf>
    <xf numFmtId="177" fontId="0" fillId="0" borderId="12" xfId="0" applyNumberFormat="1" applyBorder="1">
      <alignment vertical="center"/>
    </xf>
    <xf numFmtId="0" fontId="3" fillId="4" borderId="12" xfId="0" applyFont="1" applyFill="1" applyBorder="1">
      <alignment vertical="center"/>
    </xf>
    <xf numFmtId="177" fontId="0" fillId="0" borderId="14" xfId="0" applyNumberFormat="1" applyBorder="1">
      <alignment vertical="center"/>
    </xf>
    <xf numFmtId="179" fontId="3" fillId="4" borderId="5" xfId="0" applyNumberFormat="1" applyFont="1" applyFill="1" applyBorder="1">
      <alignment vertical="center"/>
    </xf>
    <xf numFmtId="179" fontId="3" fillId="4" borderId="6" xfId="0" applyNumberFormat="1" applyFont="1" applyFill="1" applyBorder="1">
      <alignment vertical="center"/>
    </xf>
    <xf numFmtId="179" fontId="3" fillId="4" borderId="9" xfId="0" applyNumberFormat="1" applyFont="1" applyFill="1" applyBorder="1">
      <alignment vertical="center"/>
    </xf>
    <xf numFmtId="179" fontId="3" fillId="4" borderId="11" xfId="0" applyNumberFormat="1" applyFont="1" applyFill="1" applyBorder="1">
      <alignment vertical="center"/>
    </xf>
    <xf numFmtId="179" fontId="3" fillId="4" borderId="12" xfId="0" applyNumberFormat="1" applyFont="1" applyFill="1" applyBorder="1">
      <alignment vertical="center"/>
    </xf>
    <xf numFmtId="176" fontId="0" fillId="0" borderId="12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10" xfId="0" applyNumberFormat="1" applyBorder="1">
      <alignment vertical="center"/>
    </xf>
    <xf numFmtId="0" fontId="0" fillId="4" borderId="5" xfId="0" applyFill="1" applyBorder="1">
      <alignment vertical="center"/>
    </xf>
    <xf numFmtId="0" fontId="0" fillId="0" borderId="6" xfId="0" applyBorder="1">
      <alignment vertical="center"/>
    </xf>
    <xf numFmtId="0" fontId="0" fillId="4" borderId="9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>
      <alignment vertical="center"/>
    </xf>
    <xf numFmtId="49" fontId="9" fillId="0" borderId="0" xfId="0" applyNumberFormat="1" applyFont="1" applyFill="1" applyAlignment="1">
      <alignment horizontal="center" vertical="center"/>
    </xf>
    <xf numFmtId="49" fontId="9" fillId="0" borderId="0" xfId="0" applyNumberFormat="1" applyFont="1" applyFill="1">
      <alignment vertical="center"/>
    </xf>
    <xf numFmtId="0" fontId="9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Border="1">
      <alignment vertical="center"/>
    </xf>
    <xf numFmtId="49" fontId="9" fillId="0" borderId="0" xfId="0" applyNumberFormat="1" applyFont="1" applyFill="1" applyBorder="1" applyAlignment="1">
      <alignment horizontal="center" vertical="center"/>
    </xf>
    <xf numFmtId="0" fontId="9" fillId="2" borderId="2" xfId="0" applyFont="1" applyFill="1" applyBorder="1">
      <alignment vertical="center"/>
    </xf>
    <xf numFmtId="0" fontId="9" fillId="0" borderId="6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12" xfId="0" applyFont="1" applyBorder="1">
      <alignment vertical="center"/>
    </xf>
    <xf numFmtId="176" fontId="9" fillId="0" borderId="0" xfId="0" applyNumberFormat="1" applyFont="1" applyBorder="1">
      <alignment vertical="center"/>
    </xf>
    <xf numFmtId="177" fontId="9" fillId="0" borderId="0" xfId="0" applyNumberFormat="1" applyFont="1" applyBorder="1">
      <alignment vertical="center"/>
    </xf>
    <xf numFmtId="178" fontId="11" fillId="2" borderId="2" xfId="0" applyNumberFormat="1" applyFont="1" applyFill="1" applyBorder="1" applyAlignment="1">
      <alignment horizontal="center" vertical="center"/>
    </xf>
    <xf numFmtId="49" fontId="9" fillId="0" borderId="7" xfId="0" applyNumberFormat="1" applyFont="1" applyFill="1" applyBorder="1">
      <alignment vertical="center"/>
    </xf>
    <xf numFmtId="49" fontId="9" fillId="0" borderId="4" xfId="0" applyNumberFormat="1" applyFont="1" applyFill="1" applyBorder="1">
      <alignment vertical="center"/>
    </xf>
    <xf numFmtId="49" fontId="9" fillId="0" borderId="13" xfId="0" applyNumberFormat="1" applyFont="1" applyFill="1" applyBorder="1">
      <alignment vertical="center"/>
    </xf>
    <xf numFmtId="178" fontId="11" fillId="3" borderId="2" xfId="0" applyNumberFormat="1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8" fillId="4" borderId="0" xfId="0" applyFont="1" applyFill="1">
      <alignment vertical="center"/>
    </xf>
    <xf numFmtId="0" fontId="10" fillId="0" borderId="0" xfId="0" applyFont="1" applyFill="1" applyAlignment="1">
      <alignment horizontal="center" vertical="center"/>
    </xf>
    <xf numFmtId="0" fontId="12" fillId="4" borderId="0" xfId="0" applyFont="1" applyFill="1">
      <alignment vertical="center"/>
    </xf>
    <xf numFmtId="41" fontId="0" fillId="0" borderId="12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79" fontId="0" fillId="0" borderId="15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0" fillId="0" borderId="16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0" fillId="0" borderId="12" xfId="0" applyNumberFormat="1" applyBorder="1">
      <alignment vertical="center"/>
    </xf>
    <xf numFmtId="181" fontId="0" fillId="0" borderId="1" xfId="0" applyNumberFormat="1" applyBorder="1">
      <alignment vertical="center"/>
    </xf>
    <xf numFmtId="183" fontId="0" fillId="0" borderId="1" xfId="0" applyNumberFormat="1" applyBorder="1">
      <alignment vertical="center"/>
    </xf>
    <xf numFmtId="181" fontId="0" fillId="0" borderId="12" xfId="0" applyNumberFormat="1" applyBorder="1">
      <alignment vertical="center"/>
    </xf>
    <xf numFmtId="184" fontId="0" fillId="0" borderId="1" xfId="0" applyNumberFormat="1" applyBorder="1">
      <alignment vertical="center"/>
    </xf>
    <xf numFmtId="14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EAF0F6"/>
      <color rgb="FF252B3F"/>
      <color rgb="FF666699"/>
      <color rgb="FFFF6699"/>
      <color rgb="FF3366FF"/>
      <color rgb="FF3366CC"/>
      <color rgb="FF33CCCC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1.02</v>
        <stp/>
        <stp>P</stp>
        <stp>0</stp>
        <stp>FRN</stp>
        <stp>DJI:SX5E</stp>
        <stp>등락률</stp>
        <stp>45107</stp>
        <stp>FILL=TRUE</stp>
        <tr r="G21" s="1"/>
      </tp>
      <tp>
        <v>1.64</v>
        <stp/>
        <stp>P</stp>
        <stp>0</stp>
        <stp>FRN</stp>
        <stp>NAS:MSFT</stp>
        <stp>등락률</stp>
        <stp>45107</stp>
        <stp>FILL=TRUE</stp>
        <tr r="F83" s="1"/>
      </tp>
      <tp>
        <v>5.5454299999999996</v>
        <stp/>
        <stp>P</stp>
        <stp>0</stp>
        <stp>IR</stp>
        <stp>IBRUSDBFRS  03M</stp>
        <stp>금리</stp>
        <stp>45107</stp>
        <stp/>
        <tr r="E49" s="1"/>
      </tp>
      <tp>
        <v>-0.24</v>
        <stp/>
        <stp>P</stp>
        <stp>0</stp>
        <stp>FRN</stp>
        <stp>NYS:BABA</stp>
        <stp>등락률</stp>
        <stp>45107</stp>
        <stp>FILL=TRUE</stp>
        <tr r="F86" s="1"/>
      </tp>
      <tp>
        <v>1.96</v>
        <stp/>
        <stp>P</stp>
        <stp>0</stp>
        <stp>FRN</stp>
        <stp>NYB:CT</stp>
        <stp>등락률</stp>
        <stp>45107</stp>
        <stp>FILL=TRUE</stp>
        <tr r="M109" s="1"/>
      </tp>
      <tp>
        <v>1.1200000000000001</v>
        <stp/>
        <stp>P</stp>
        <stp>0</stp>
        <stp>FRN</stp>
        <stp>NYM:CL</stp>
        <stp>등락률</stp>
        <stp>45107</stp>
        <stp>FILL=TRUE</stp>
        <tr r="F99" s="1"/>
      </tp>
      <tp>
        <v>1.9</v>
        <stp/>
        <stp>P</stp>
        <stp>0</stp>
        <stp>FRN</stp>
        <stp>IPE:EP</stp>
        <stp>등락률</stp>
        <stp>45107</stp>
        <stp>FILL=TRUE</stp>
        <tr r="F102" s="1"/>
      </tp>
      <tp>
        <v>0.75</v>
        <stp/>
        <stp>P</stp>
        <stp>0</stp>
        <stp>FRN</stp>
        <stp>IPE:EB</stp>
        <stp>등락률</stp>
        <stp>45107</stp>
        <stp>FILL=TRUE</stp>
        <tr r="F100" s="1"/>
      </tp>
      <tp>
        <v>1.64</v>
        <stp/>
        <stp>P</stp>
        <stp>0</stp>
        <stp>FRN</stp>
        <stp>COM:HG</stp>
        <stp>등락률</stp>
        <stp>45107</stp>
        <stp>FILL=TRUE</stp>
        <tr r="F107" s="1"/>
      </tp>
      <tp>
        <v>1.96</v>
        <stp/>
        <stp>P</stp>
        <stp>0</stp>
        <stp>FRN</stp>
        <stp>NYS:GE</stp>
        <stp>등락률</stp>
        <stp>45107</stp>
        <stp>FILL=TRUE</stp>
        <tr r="F78" s="1"/>
      </tp>
      <tp>
        <v>1.35</v>
        <stp/>
        <stp>P</stp>
        <stp>0</stp>
        <stp>FRN</stp>
        <stp>NYM:HO</stp>
        <stp>등락률</stp>
        <stp>45107</stp>
        <stp>FILL=TRUE</stp>
        <tr r="F101" s="1"/>
      </tp>
      <tp>
        <v>0.6</v>
        <stp/>
        <stp>P</stp>
        <stp>0</stp>
        <stp>FRN</stp>
        <stp>COM:GC</stp>
        <stp>등락률</stp>
        <stp>45107</stp>
        <stp>FILL=TRUE</stp>
        <tr r="F105" s="1"/>
      </tp>
      <tp>
        <v>4.4400000000000004</v>
        <stp/>
        <stp>P</stp>
        <stp>0</stp>
        <stp>FRN</stp>
        <stp>IPE:MN</stp>
        <stp>등락률</stp>
        <stp>45107</stp>
        <stp>FILL=TRUE</stp>
        <tr r="F104" s="1"/>
      </tp>
      <tp>
        <v>3.59</v>
        <stp/>
        <stp>P</stp>
        <stp>0</stp>
        <stp>FRN</stp>
        <stp>NYM:NG</stp>
        <stp>등락률</stp>
        <stp>45107</stp>
        <stp>FILL=TRUE</stp>
        <tr r="F103" s="1"/>
      </tp>
      <tp>
        <v>0.75</v>
        <stp/>
        <stp>P</stp>
        <stp>0</stp>
        <stp>FRN</stp>
        <stp>NYM:PL</stp>
        <stp>등락률</stp>
        <stp>45107</stp>
        <stp>FILL=TRUE</stp>
        <tr r="F109" s="1"/>
      </tp>
      <tp>
        <v>-0.44</v>
        <stp/>
        <stp>P</stp>
        <stp>0</stp>
        <stp>FRN</stp>
        <stp>NYM:PA</stp>
        <stp>등락률</stp>
        <stp>45107</stp>
        <stp>FILL=TRUE</stp>
        <tr r="F108" s="1"/>
      </tp>
      <tp>
        <v>3.72</v>
        <stp/>
        <stp>P</stp>
        <stp>0</stp>
        <stp>FRN</stp>
        <stp>NYB:SB</stp>
        <stp>등락률</stp>
        <stp>45107</stp>
        <stp>FILL=TRUE</stp>
        <tr r="M108" s="1"/>
      </tp>
      <tp>
        <v>3.22</v>
        <stp/>
        <stp>P</stp>
        <stp>0</stp>
        <stp>FRN</stp>
        <stp>SPT:DU</stp>
        <stp>등락률</stp>
        <stp>45107</stp>
        <stp>FILL=TRUE</stp>
        <tr r="F96" s="1"/>
      </tp>
      <tp>
        <v>0</v>
        <stp/>
        <stp>P</stp>
        <stp>0</stp>
        <stp>FRN</stp>
        <stp>PAS:FP</stp>
        <stp>등락률</stp>
        <stp>45107</stp>
        <stp>FILL=TRUE</stp>
        <tr r="M88" s="1"/>
      </tp>
      <tp>
        <v>0.98</v>
        <stp/>
        <stp>P</stp>
        <stp>0</stp>
        <stp>FRN</stp>
        <stp>SPT:EB</stp>
        <stp>등락률</stp>
        <stp>45107</stp>
        <stp>FILL=TRUE</stp>
        <tr r="F98" s="1"/>
      </tp>
      <tp>
        <v>0.97</v>
        <stp/>
        <stp>P</stp>
        <stp>0</stp>
        <stp>FRN</stp>
        <stp>COM:SI</stp>
        <stp>등락률</stp>
        <stp>45107</stp>
        <stp>FILL=TRUE</stp>
        <tr r="F106" s="1"/>
      </tp>
      <tp>
        <v>1.07</v>
        <stp/>
        <stp>P</stp>
        <stp>0</stp>
        <stp>FRN</stp>
        <stp>SPT:CL</stp>
        <stp>등락률</stp>
        <stp>45107</stp>
        <stp>FILL=TRUE</stp>
        <tr r="F97" s="1"/>
      </tp>
      <tp>
        <v>1.45</v>
        <stp/>
        <stp>P</stp>
        <stp>0</stp>
        <stp>FRN</stp>
        <stp>NAS:IXIC</stp>
        <stp>등락률</stp>
        <stp>45107</stp>
        <stp>FILL=TRUE</stp>
        <tr r="G19" s="1"/>
      </tp>
      <tp>
        <v>0.42</v>
        <stp/>
        <stp>P</stp>
        <stp>0</stp>
        <stp>FRN</stp>
        <stp>XTR:VOW3</stp>
        <stp>등락률</stp>
        <stp>45107</stp>
        <stp>FILL=TRUE</stp>
        <tr r="M91" s="1"/>
      </tp>
      <tp>
        <v>0.47</v>
        <stp/>
        <stp>P</stp>
        <stp>0</stp>
        <stp>FRN</stp>
        <stp>LNS:HSBA</stp>
        <stp>등락률</stp>
        <stp>45107</stp>
        <stp>FILL=TRUE</stp>
        <tr r="M82" s="1"/>
      </tp>
      <tp>
        <v>-0.16</v>
        <stp/>
        <stp>P</stp>
        <stp>0</stp>
        <stp>FRN</stp>
        <stp>TWS:TI01</stp>
        <stp>등락률</stp>
        <stp>45107</stp>
        <stp>FILL=TRUE</stp>
        <tr r="G10" s="1"/>
      </tp>
      <tp>
        <v>-0.03</v>
        <stp/>
        <stp>P</stp>
        <stp>0</stp>
        <stp>FRN</stp>
        <stp>HSI:HSCE</stp>
        <stp>등락률</stp>
        <stp>45107</stp>
        <stp>FILL=TRUE</stp>
        <tr r="G12" s="1"/>
      </tp>
      <tp>
        <v>2.31</v>
        <stp/>
        <stp>P</stp>
        <stp>0</stp>
        <stp>FRN</stp>
        <stp>NAS:AAPL</stp>
        <stp>등락률</stp>
        <stp>45107</stp>
        <stp>FILL=TRUE</stp>
        <tr r="F90" s="1"/>
      </tp>
      <tp>
        <v>-0.19</v>
        <stp/>
        <stp>P</stp>
        <stp>0</stp>
        <stp>FRN</stp>
        <stp>NYS:T</stp>
        <stp>등락률</stp>
        <stp>45107</stp>
        <stp>FILL=TRUE</stp>
        <tr r="F77" s="1"/>
      </tp>
      <tp>
        <v>-4.5599999999999996</v>
        <stp/>
        <stp>P</stp>
        <stp>0</stp>
        <stp>FRN</stp>
        <stp>CBT$ZC</stp>
        <stp>등락률</stp>
        <stp>45107</stp>
        <stp>FILL=TRUE</stp>
        <tr r="M103" s="1"/>
      </tp>
      <tp>
        <v>6.87</v>
        <stp/>
        <stp>P</stp>
        <stp>0</stp>
        <stp>FRN</stp>
        <stp>CBT$ZL</stp>
        <stp>등락률</stp>
        <stp>45107</stp>
        <stp>FILL=TRUE</stp>
        <tr r="M106" s="1"/>
      </tp>
      <tp>
        <v>4.0199999999999996</v>
        <stp/>
        <stp>P</stp>
        <stp>0</stp>
        <stp>FRN</stp>
        <stp>CBT$ZM</stp>
        <stp>등락률</stp>
        <stp>45107</stp>
        <stp>FILL=TRUE</stp>
        <tr r="M105" s="1"/>
      </tp>
      <tp>
        <v>-2.57</v>
        <stp/>
        <stp>P</stp>
        <stp>0</stp>
        <stp>FRN</stp>
        <stp>CBT$ZW</stp>
        <stp>등락률</stp>
        <stp>45107</stp>
        <stp>FILL=TRUE</stp>
        <tr r="M107" s="1"/>
      </tp>
      <tp>
        <v>5.01</v>
        <stp/>
        <stp>P</stp>
        <stp>0</stp>
        <stp>FRN</stp>
        <stp>CBT$ZS</stp>
        <stp>등락률</stp>
        <stp>45107</stp>
        <stp>FILL=TRUE</stp>
        <tr r="M104" s="1"/>
      </tp>
      <tp>
        <v>1.02</v>
        <stp/>
        <stp>P</stp>
        <stp>0</stp>
        <stp>FRN</stp>
        <stp>CLI:IGPA</stp>
        <stp>등락률</stp>
        <stp>45107</stp>
        <stp>FILL=TRUE</stp>
        <tr r="G14" s="1"/>
      </tp>
      <tp>
        <v>1.92</v>
        <stp/>
        <stp>P</stp>
        <stp>0</stp>
        <stp>FRN</stp>
        <stp>NAS:AMZN</stp>
        <stp>등락률</stp>
        <stp>45107</stp>
        <stp>FILL=TRUE</stp>
        <tr r="F89" s="1"/>
      </tp>
      <tp>
        <v>0.8</v>
        <stp/>
        <stp>P</stp>
        <stp>0</stp>
        <stp>FRN</stp>
        <stp>NAS:GOOG</stp>
        <stp>등락률</stp>
        <stp>45107</stp>
        <stp>FILL=TRUE</stp>
        <tr r="F88" s="1"/>
      </tp>
      <tp>
        <v>1.61</v>
        <stp/>
        <stp>P</stp>
        <stp>0</stp>
        <stp>FRN</stp>
        <stp>NAS:INTC</stp>
        <stp>등락률</stp>
        <stp>45107</stp>
        <stp>FILL=TRUE</stp>
        <tr r="F82" s="1"/>
      </tp>
      <tp>
        <v>4.4215</v>
        <stp/>
        <stp>P</stp>
        <stp>0</stp>
        <stp>FX</stp>
        <stp>USDMYR</stp>
        <stp>뉴욕종가</stp>
        <stp>45015</stp>
        <stp>FILL=TRUE</stp>
        <tr r="H69" s="1"/>
        <tr r="H69" s="1"/>
      </tp>
      <tp>
        <v>0</v>
        <stp/>
        <stp>H</stp>
        <stp>x2.2lfR1</stp>
        <stp>78</stp>
        <stp>268434</stp>
        <tr r="X5" s="1"/>
      </tp>
      <tp>
        <v>0</v>
        <stp/>
        <stp>H</stp>
        <stp>x3.2lfR1</stp>
        <stp>79</stp>
        <stp>268434</stp>
        <tr r="AA5" s="1"/>
      </tp>
      <tp>
        <v>0</v>
        <stp/>
        <stp>H</stp>
        <stp>x1.2lfR1</stp>
        <stp>77</stp>
        <stp>268434</stp>
        <tr r="Z5" s="1"/>
      </tp>
      <tp>
        <v>4.5994999999999999</v>
        <stp/>
        <stp>P</stp>
        <stp>0</stp>
        <stp>FX</stp>
        <stp>USDMYR</stp>
        <stp>뉴욕종가</stp>
        <stp>45076</stp>
        <stp>FILL=TRUE</stp>
        <tr r="G69" s="1"/>
        <tr r="G69" s="1"/>
      </tp>
      <tp>
        <v>4.6665000000000001</v>
        <stp/>
        <stp>P</stp>
        <stp>0</stp>
        <stp>FX</stp>
        <stp>USDMYR</stp>
        <stp>뉴욕종가</stp>
        <stp>45107</stp>
        <stp>FILL=TRUE</stp>
        <tr r="E69" s="1"/>
      </tp>
      <tp>
        <v>4.4085000000000001</v>
        <stp/>
        <stp>P</stp>
        <stp>0</stp>
        <stp>FX</stp>
        <stp>USDMYR</stp>
        <stp>뉴욕종가</stp>
        <stp>44742</stp>
        <stp>FILL=TRUE</stp>
        <tr r="I69" s="1"/>
        <tr r="I69" s="1"/>
      </tp>
      <tp>
        <v>132.69999999999999</v>
        <stp/>
        <stp>P</stp>
        <stp>0</stp>
        <stp>FX</stp>
        <stp>USDJPY</stp>
        <stp>뉴욕종가</stp>
        <stp>45015</stp>
        <stp>FILL=TRUE</stp>
        <tr r="H64" s="1"/>
        <tr r="H64" s="1"/>
      </tp>
      <tp>
        <v>29.759</v>
        <stp/>
        <stp>P</stp>
        <stp>0</stp>
        <stp>FX</stp>
        <stp>USDTWD</stp>
        <stp>뉴욕종가</stp>
        <stp>44742</stp>
        <stp>FILL=TRUE</stp>
        <tr r="I70" s="1"/>
        <tr r="I70" s="1"/>
      </tp>
      <tp>
        <v>144.30099999999999</v>
        <stp/>
        <stp>P</stp>
        <stp>0</stp>
        <stp>FX</stp>
        <stp>USDJPY</stp>
        <stp>뉴욕종가</stp>
        <stp>45107</stp>
        <stp>FILL=TRUE</stp>
        <tr r="E64" s="1"/>
      </tp>
      <tp>
        <v>139.798</v>
        <stp/>
        <stp>P</stp>
        <stp>0</stp>
        <stp>FX</stp>
        <stp>USDJPY</stp>
        <stp>뉴욕종가</stp>
        <stp>45076</stp>
        <stp>FILL=TRUE</stp>
        <tr r="G64" s="1"/>
        <tr r="G64" s="1"/>
      </tp>
      <tp>
        <v>30.609000000000002</v>
        <stp/>
        <stp>P</stp>
        <stp>0</stp>
        <stp>FX</stp>
        <stp>USDTWD</stp>
        <stp>뉴욕종가</stp>
        <stp>45076</stp>
        <stp>FILL=TRUE</stp>
        <tr r="G70" s="1"/>
        <tr r="G70" s="1"/>
      </tp>
      <tp>
        <v>31.192</v>
        <stp/>
        <stp>P</stp>
        <stp>0</stp>
        <stp>FX</stp>
        <stp>USDTWD</stp>
        <stp>뉴욕종가</stp>
        <stp>45107</stp>
        <stp>FILL=TRUE</stp>
        <tr r="E70" s="1"/>
      </tp>
      <tp>
        <v>135.72900000000001</v>
        <stp/>
        <stp>P</stp>
        <stp>0</stp>
        <stp>FX</stp>
        <stp>USDJPY</stp>
        <stp>뉴욕종가</stp>
        <stp>44742</stp>
        <stp>FILL=TRUE</stp>
        <tr r="I64" s="1"/>
        <tr r="I64" s="1"/>
      </tp>
      <tp>
        <v>30.504999999999999</v>
        <stp/>
        <stp>P</stp>
        <stp>0</stp>
        <stp>FX</stp>
        <stp>USDTWD</stp>
        <stp>뉴욕종가</stp>
        <stp>45015</stp>
        <stp>FILL=TRUE</stp>
        <tr r="H70" s="1"/>
        <tr r="H70" s="1"/>
      </tp>
      <tp>
        <v>54.41</v>
        <stp/>
        <stp>P</stp>
        <stp>0</stp>
        <stp>FX</stp>
        <stp>USDPHP</stp>
        <stp>뉴욕종가</stp>
        <stp>45015</stp>
        <stp>FILL=TRUE</stp>
        <tr r="H67" s="1"/>
        <tr r="H67" s="1"/>
      </tp>
      <tp>
        <v>34.145000000000003</v>
        <stp/>
        <stp>P</stp>
        <stp>0</stp>
        <stp>FX</stp>
        <stp>USDTHB</stp>
        <stp>뉴욕종가</stp>
        <stp>45015</stp>
        <stp>FILL=TRUE</stp>
        <tr r="H72" s="1"/>
        <tr r="H72" s="1"/>
      </tp>
      <tp>
        <v>7.8343999999999996</v>
        <stp/>
        <stp>P</stp>
        <stp>0</stp>
        <stp>FX</stp>
        <stp>USDHKD</stp>
        <stp>뉴욕종가</stp>
        <stp>45076</stp>
        <stp>FILL=TRUE</stp>
        <tr r="G66" s="1"/>
        <tr r="G66" s="1"/>
      </tp>
      <tp>
        <v>7.8364000000000003</v>
        <stp/>
        <stp>P</stp>
        <stp>0</stp>
        <stp>FX</stp>
        <stp>USDHKD</stp>
        <stp>뉴욕종가</stp>
        <stp>45107</stp>
        <stp>FILL=TRUE</stp>
        <tr r="E66" s="1"/>
      </tp>
      <tp>
        <v>55.27</v>
        <stp/>
        <stp>P</stp>
        <stp>0</stp>
        <stp>FX</stp>
        <stp>USDPHP</stp>
        <stp>뉴욕종가</stp>
        <stp>45107</stp>
        <stp>FILL=TRUE</stp>
        <tr r="E67" s="1"/>
      </tp>
      <tp>
        <v>35.314999999999998</v>
        <stp/>
        <stp>P</stp>
        <stp>0</stp>
        <stp>FX</stp>
        <stp>USDTHB</stp>
        <stp>뉴욕종가</stp>
        <stp>45107</stp>
        <stp>FILL=TRUE</stp>
        <tr r="E72" s="1"/>
      </tp>
      <tp>
        <v>56.31</v>
        <stp/>
        <stp>P</stp>
        <stp>0</stp>
        <stp>FX</stp>
        <stp>USDPHP</stp>
        <stp>뉴욕종가</stp>
        <stp>45076</stp>
        <stp>FILL=TRUE</stp>
        <tr r="G67" s="1"/>
        <tr r="G67" s="1"/>
      </tp>
      <tp>
        <v>34.674999999999997</v>
        <stp/>
        <stp>P</stp>
        <stp>0</stp>
        <stp>FX</stp>
        <stp>USDTHB</stp>
        <stp>뉴욕종가</stp>
        <stp>45076</stp>
        <stp>FILL=TRUE</stp>
        <tr r="G72" s="1"/>
        <tr r="G72" s="1"/>
      </tp>
      <tp>
        <v>7.8498999999999999</v>
        <stp/>
        <stp>P</stp>
        <stp>0</stp>
        <stp>FX</stp>
        <stp>USDHKD</stp>
        <stp>뉴욕종가</stp>
        <stp>45015</stp>
        <stp>FILL=TRUE</stp>
        <tr r="H66" s="1"/>
        <tr r="H66" s="1"/>
      </tp>
      <tp>
        <v>7.8464</v>
        <stp/>
        <stp>P</stp>
        <stp>0</stp>
        <stp>FX</stp>
        <stp>USDHKD</stp>
        <stp>뉴욕종가</stp>
        <stp>44742</stp>
        <stp>FILL=TRUE</stp>
        <tr r="I66" s="1"/>
        <tr r="I66" s="1"/>
      </tp>
      <tp>
        <v>0.62</v>
        <stp/>
        <stp>P</stp>
        <stp>0</stp>
        <stp>FRN</stp>
        <stp>SHS:000001</stp>
        <stp>등락률</stp>
        <stp>45107</stp>
        <stp>FILL=TRUE</stp>
        <tr r="G9" s="1"/>
      </tp>
      <tp>
        <v>55.04</v>
        <stp/>
        <stp>P</stp>
        <stp>0</stp>
        <stp>FX</stp>
        <stp>USDPHP</stp>
        <stp>뉴욕종가</stp>
        <stp>44742</stp>
        <stp>FILL=TRUE</stp>
        <tr r="I67" s="1"/>
        <tr r="I67" s="1"/>
      </tp>
      <tp>
        <v>35.325000000000003</v>
        <stp/>
        <stp>P</stp>
        <stp>0</stp>
        <stp>FX</stp>
        <stp>USDTHB</stp>
        <stp>뉴욕종가</stp>
        <stp>44742</stp>
        <stp>FILL=TRUE</stp>
        <tr r="I72" s="1"/>
        <tr r="I72" s="1"/>
      </tp>
      <tp>
        <v>1.0734600000000001</v>
        <stp/>
        <stp>P</stp>
        <stp>0</stp>
        <stp>FX</stp>
        <stp>EURUSD</stp>
        <stp>뉴욕종가</stp>
        <stp>45076</stp>
        <stp>FILL=TRUE</stp>
        <tr r="G65" s="1"/>
        <tr r="G65" s="1"/>
      </tp>
      <tp>
        <v>1.3902000000000001</v>
        <stp/>
        <stp>P</stp>
        <stp>0</stp>
        <stp>FX</stp>
        <stp>USDSGD</stp>
        <stp>뉴욕종가</stp>
        <stp>44742</stp>
        <stp>FILL=TRUE</stp>
        <tr r="I68" s="1"/>
        <tr r="I68" s="1"/>
      </tp>
      <tp>
        <v>1.09104</v>
        <stp/>
        <stp>P</stp>
        <stp>0</stp>
        <stp>FX</stp>
        <stp>EURUSD</stp>
        <stp>뉴욕종가</stp>
        <stp>45107</stp>
        <stp>FILL=TRUE</stp>
        <tr r="E65" s="1"/>
      </tp>
      <tp>
        <v>14885</v>
        <stp/>
        <stp>P</stp>
        <stp>0</stp>
        <stp>FX</stp>
        <stp>USDIDR</stp>
        <stp>뉴욕종가</stp>
        <stp>44742</stp>
        <stp>FILL=TRUE</stp>
        <tr r="I71" s="1"/>
        <tr r="I71" s="1"/>
      </tp>
      <tp>
        <v>1.0906</v>
        <stp/>
        <stp>P</stp>
        <stp>0</stp>
        <stp>FX</stp>
        <stp>EURUSD</stp>
        <stp>뉴욕종가</stp>
        <stp>45015</stp>
        <stp>FILL=TRUE</stp>
        <tr r="H65" s="1"/>
        <tr r="H65" s="1"/>
      </tp>
      <tp>
        <v>15049</v>
        <stp/>
        <stp>P</stp>
        <stp>0</stp>
        <stp>FX</stp>
        <stp>USDIDR</stp>
        <stp>뉴욕종가</stp>
        <stp>45015</stp>
        <stp>FILL=TRUE</stp>
        <tr r="H71" s="1"/>
        <tr r="H71" s="1"/>
      </tp>
      <tp>
        <v>1.04834</v>
        <stp/>
        <stp>P</stp>
        <stp>0</stp>
        <stp>FX</stp>
        <stp>EURUSD</stp>
        <stp>뉴욕종가</stp>
        <stp>44742</stp>
        <stp>FILL=TRUE</stp>
        <tr r="I65" s="1"/>
        <tr r="I65" s="1"/>
      </tp>
      <tp>
        <v>1.3504</v>
        <stp/>
        <stp>P</stp>
        <stp>0</stp>
        <stp>FX</stp>
        <stp>USDSGD</stp>
        <stp>뉴욕종가</stp>
        <stp>45076</stp>
        <stp>FILL=TRUE</stp>
        <tr r="G68" s="1"/>
        <tr r="G68" s="1"/>
      </tp>
      <tp>
        <v>1.3523000000000001</v>
        <stp/>
        <stp>P</stp>
        <stp>0</stp>
        <stp>FX</stp>
        <stp>USDSGD</stp>
        <stp>뉴욕종가</stp>
        <stp>45107</stp>
        <stp>FILL=TRUE</stp>
        <tr r="E68" s="1"/>
      </tp>
      <tp>
        <v>-0.14000000000000001</v>
        <stp/>
        <stp>P</stp>
        <stp>0</stp>
        <stp>FRN</stp>
        <stp>NII:NI225</stp>
        <stp>등락률</stp>
        <stp>45107</stp>
        <stp>FILL=TRUE</stp>
        <tr r="G11" s="1"/>
      </tp>
      <tp>
        <v>14994</v>
        <stp/>
        <stp>P</stp>
        <stp>0</stp>
        <stp>FX</stp>
        <stp>USDIDR</stp>
        <stp>뉴욕종가</stp>
        <stp>45107</stp>
        <stp>FILL=TRUE</stp>
        <tr r="E71" s="1"/>
      </tp>
      <tp>
        <v>23.062999999999999</v>
        <stp/>
        <stp>P</stp>
        <stp>0</stp>
        <stp>FRN</stp>
        <stp>IRR:TED</stp>
        <stp>종가</stp>
        <stp>45107</stp>
        <stp/>
        <tr r="E50" s="1"/>
      </tp>
      <tp>
        <v>14984</v>
        <stp/>
        <stp>P</stp>
        <stp>0</stp>
        <stp>FX</stp>
        <stp>USDIDR</stp>
        <stp>뉴욕종가</stp>
        <stp>45076</stp>
        <stp>FILL=TRUE</stp>
        <tr r="G71" s="1"/>
        <tr r="G71" s="1"/>
      </tp>
      <tp>
        <v>1.3274999999999999</v>
        <stp/>
        <stp>P</stp>
        <stp>0</stp>
        <stp>FX</stp>
        <stp>USDSGD</stp>
        <stp>뉴욕종가</stp>
        <stp>45015</stp>
        <stp>FILL=TRUE</stp>
        <tr r="H68" s="1"/>
        <tr r="H68" s="1"/>
      </tp>
      <tp>
        <v>5.3148</v>
        <stp/>
        <stp>P</stp>
        <stp>0</stp>
        <stp>IR</stp>
        <stp>US03M</stp>
        <stp>종가</stp>
        <stp>45107</stp>
        <stp/>
        <tr r="E48" s="1"/>
      </tp>
      <tp>
        <v>5.0471000000000004</v>
        <stp/>
        <stp>P</stp>
        <stp>0</stp>
        <stp>IR</stp>
        <stp>GB03Y</stp>
        <stp>종가</stp>
        <stp>45107</stp>
        <stp/>
        <tr r="E54" s="1"/>
      </tp>
      <tp>
        <v>2.8220000000000001</v>
        <stp/>
        <stp>P</stp>
        <stp>0</stp>
        <stp>IR</stp>
        <stp>DE03Y</stp>
        <stp>종가</stp>
        <stp>45107</stp>
        <stp/>
        <tr r="E55" s="1"/>
      </tp>
      <tp>
        <v>-7.3700000000000002E-2</v>
        <stp/>
        <stp>P</stp>
        <stp>0</stp>
        <stp>IR</stp>
        <stp>JP03Y</stp>
        <stp>종가</stp>
        <stp>45107</stp>
        <stp/>
        <tr r="E53" s="1"/>
      </tp>
      <tp>
        <v>0.56000000000000005</v>
        <stp/>
        <stp>P</stp>
        <stp>0</stp>
        <stp>IDX</stp>
        <stp>001</stp>
        <stp>등락률</stp>
        <stp>45107</stp>
        <stp>FILL=TRUE</stp>
        <tr r="G8" s="1"/>
      </tp>
      <tp>
        <v>1.26</v>
        <stp/>
        <stp>P</stp>
        <stp>0</stp>
        <stp>FRN</stp>
        <stp>INI:BSE30</stp>
        <stp>등락률</stp>
        <stp>45107</stp>
        <stp>FILL=TRUE</stp>
        <tr r="G13" s="1"/>
      </tp>
      <tp>
        <v>1.26</v>
        <stp/>
        <stp>P</stp>
        <stp>0</stp>
        <stp>FRN</stp>
        <stp>XTR:DAX30</stp>
        <stp>등락률</stp>
        <stp>45107</stp>
        <stp>FILL=TRUE</stp>
        <tr r="G16" s="1"/>
      </tp>
      <tp>
        <v>0.8</v>
        <stp/>
        <stp>P</stp>
        <stp>0</stp>
        <stp>FRN</stp>
        <stp>LNS:FTSE100</stp>
        <stp>등락률</stp>
        <stp>45107</stp>
        <stp>FILL=TRUE</stp>
        <tr r="G15" s="1"/>
      </tp>
      <tp>
        <v>1.19</v>
        <stp/>
        <stp>P</stp>
        <stp>0</stp>
        <stp>FRN</stp>
        <stp>PAS:CAC40</stp>
        <stp>등락률</stp>
        <stp>45107</stp>
        <stp>FILL=TRUE</stp>
        <tr r="G17" s="1"/>
      </tp>
      <tp>
        <v>3.8435000000000001</v>
        <stp/>
        <stp>P</stp>
        <stp>0</stp>
        <stp>IR</stp>
        <stp>US10Y</stp>
        <stp>종가</stp>
        <stp>45107</stp>
        <stp/>
        <tr r="E57" s="1"/>
      </tp>
      <tp>
        <v>4.1520999999999999</v>
        <stp/>
        <stp>P</stp>
        <stp>0</stp>
        <stp>IR</stp>
        <stp>US05Y</stp>
        <stp>종가</stp>
        <stp>45107</stp>
        <stp/>
        <tr r="E56" s="1"/>
      </tp>
      <tp>
        <v>4.5186000000000002</v>
        <stp/>
        <stp>P</stp>
        <stp>0</stp>
        <stp>IR</stp>
        <stp>US03Y</stp>
        <stp>종가</stp>
        <stp>45107</stp>
        <stp/>
        <tr r="E52" s="1"/>
      </tp>
      <tp>
        <v>5.4173999999999998</v>
        <stp/>
        <stp>P</stp>
        <stp>0</stp>
        <stp>IR</stp>
        <stp>US01Y</stp>
        <stp>종가</stp>
        <stp>45107</stp>
        <stp/>
        <tr r="E51" s="1"/>
      </tp>
      <tp>
        <v>0.5</v>
        <stp/>
        <stp>P</stp>
        <stp>0</stp>
        <stp>FRN</stp>
        <stp>NAS:GOOGL</stp>
        <stp>등락률</stp>
        <stp>45107</stp>
        <stp>FILL=TRUE</stp>
        <tr r="F87" s="1"/>
      </tp>
      <tp>
        <v>-0.32</v>
        <stp/>
        <stp>P</stp>
        <stp>0</stp>
        <stp>FX</stp>
        <stp>USDTHB</stp>
        <stp>뉴욕전일대비</stp>
        <stp>45107</stp>
        <stp>FILL=TRUE</stp>
        <tr r="F72" s="1"/>
      </tp>
      <tp>
        <v>3.5000000000000003E-2</v>
        <stp/>
        <stp>P</stp>
        <stp>0</stp>
        <stp>FX</stp>
        <stp>USDTWD</stp>
        <stp>뉴욕전일대비</stp>
        <stp>45107</stp>
        <stp>FILL=TRUE</stp>
        <tr r="F70" s="1"/>
      </tp>
      <tp>
        <v>-0.16</v>
        <stp/>
        <stp>P</stp>
        <stp>0</stp>
        <stp>FX</stp>
        <stp>USDPHP</stp>
        <stp>뉴욕전일대비</stp>
        <stp>45107</stp>
        <stp>FILL=TRUE</stp>
        <tr r="F67" s="1"/>
      </tp>
      <tp>
        <v>-4.7000000000000002E-3</v>
        <stp/>
        <stp>P</stp>
        <stp>0</stp>
        <stp>FX</stp>
        <stp>USDSGD</stp>
        <stp>뉴욕전일대비</stp>
        <stp>45107</stp>
        <stp>FILL=TRUE</stp>
        <tr r="F68" s="1"/>
      </tp>
      <tp>
        <v>-3.8999999999999998E-3</v>
        <stp/>
        <stp>P</stp>
        <stp>0</stp>
        <stp>FX</stp>
        <stp>USDMYR</stp>
        <stp>뉴욕전일대비</stp>
        <stp>45107</stp>
        <stp>FILL=TRUE</stp>
        <tr r="F69" s="1"/>
      </tp>
      <tp>
        <v>-1.6000000000000001E-3</v>
        <stp/>
        <stp>P</stp>
        <stp>0</stp>
        <stp>FX</stp>
        <stp>USDHKD</stp>
        <stp>뉴욕전일대비</stp>
        <stp>45107</stp>
        <stp>FILL=TRUE</stp>
        <tr r="F66" s="1"/>
      </tp>
      <tp>
        <v>-1</v>
        <stp/>
        <stp>P</stp>
        <stp>0</stp>
        <stp>FX</stp>
        <stp>USDIDR</stp>
        <stp>뉴욕전일대비</stp>
        <stp>45107</stp>
        <stp>FILL=TRUE</stp>
        <tr r="F71" s="1"/>
      </tp>
      <tp>
        <v>-0.496</v>
        <stp/>
        <stp>P</stp>
        <stp>0</stp>
        <stp>FX</stp>
        <stp>USDJPY</stp>
        <stp>뉴욕전일대비</stp>
        <stp>45107</stp>
        <stp>FILL=TRUE</stp>
        <tr r="F64" s="1"/>
      </tp>
      <tp>
        <v>1.9798800000000001</v>
        <stp/>
        <stp>P</stp>
        <stp>0</stp>
        <stp>FRN</stp>
        <stp>LME:ZDY</stp>
        <stp>등락률</stp>
        <stp>45107</stp>
        <stp>FILL=TRUE</stp>
        <tr r="M102" s="1"/>
      </tp>
      <tp>
        <v>0.52</v>
        <stp/>
        <stp>P</stp>
        <stp>0</stp>
        <stp>FRN</stp>
        <stp>NYS:XOM</stp>
        <stp>등락률</stp>
        <stp>45107</stp>
        <stp>FILL=TRUE</stp>
        <tr r="F81" s="1"/>
      </tp>
      <tp>
        <v>2.3394599999999999</v>
        <stp/>
        <stp>P</stp>
        <stp>0</stp>
        <stp>FRN</stp>
        <stp>LME:PDY</stp>
        <stp>등락률</stp>
        <stp>45107</stp>
        <stp>FILL=TRUE</stp>
        <tr r="M99" s="1"/>
      </tp>
      <tp>
        <v>2.6003099999999999</v>
        <stp/>
        <stp>P</stp>
        <stp>0</stp>
        <stp>FRN</stp>
        <stp>LME:SDY</stp>
        <stp>등락률</stp>
        <stp>45107</stp>
        <stp>FILL=TRUE</stp>
        <tr r="M101" s="1"/>
      </tp>
      <tp>
        <v>1.88</v>
        <stp/>
        <stp>P</stp>
        <stp>0</stp>
        <stp>FRN</stp>
        <stp>NYS:WMT</stp>
        <stp>등락률</stp>
        <stp>45107</stp>
        <stp>FILL=TRUE</stp>
        <tr r="F91" s="1"/>
      </tp>
      <tp>
        <v>0.98</v>
        <stp/>
        <stp>P</stp>
        <stp>0</stp>
        <stp>FRN</stp>
        <stp>XTR:BAS</stp>
        <stp>등락률</stp>
        <stp>45107</stp>
        <stp>FILL=TRUE</stp>
        <tr r="M90" s="1"/>
      </tp>
      <tp>
        <v>0.56999999999999995</v>
        <stp/>
        <stp>P</stp>
        <stp>0</stp>
        <stp>FRN</stp>
        <stp>TSE:7203</stp>
        <stp>등락률</stp>
        <stp>45107</stp>
        <stp>FILL=TRUE</stp>
        <tr r="M77" s="1"/>
      </tp>
      <tp>
        <v>10</v>
        <stp/>
        <stp>P</stp>
        <stp>0</stp>
        <stp>FRN</stp>
        <stp>TWS:2603</stp>
        <stp>등락률</stp>
        <stp>45107</stp>
        <stp>FILL=TRUE</stp>
        <tr r="M86" s="1"/>
      </tp>
      <tp>
        <v>1.4</v>
        <stp/>
        <stp>P</stp>
        <stp>0</stp>
        <stp>FRN</stp>
        <stp>NYS:JPM</stp>
        <stp>등락률</stp>
        <stp>45107</stp>
        <stp>FILL=TRUE</stp>
        <tr r="F85" s="1"/>
      </tp>
      <tp>
        <v>-0.19</v>
        <stp/>
        <stp>P</stp>
        <stp>0</stp>
        <stp>FRN</stp>
        <stp>NYS:IBM</stp>
        <stp>등락률</stp>
        <stp>45107</stp>
        <stp>FILL=TRUE</stp>
        <tr r="F80" s="1"/>
      </tp>
      <tp>
        <v>-0.8</v>
        <stp/>
        <stp>P</stp>
        <stp>0</stp>
        <stp>FRN</stp>
        <stp>TWS:2409</stp>
        <stp>등락률</stp>
        <stp>45107</stp>
        <stp>FILL=TRUE</stp>
        <tr r="M85" s="1"/>
      </tp>
      <tp>
        <v>0</v>
        <stp/>
        <stp>P</stp>
        <stp>0</stp>
        <stp>FRN</stp>
        <stp>PAS:VIV</stp>
        <stp>등락률</stp>
        <stp>45107</stp>
        <stp>FILL=TRUE</stp>
        <tr r="M89" s="1"/>
      </tp>
      <tp>
        <v>1.29</v>
        <stp/>
        <stp>P</stp>
        <stp>0</stp>
        <stp>FRN</stp>
        <stp>NYS:HPQ</stp>
        <stp>등락률</stp>
        <stp>45107</stp>
        <stp>FILL=TRUE</stp>
        <tr r="F79" s="1"/>
      </tp>
      <tp>
        <v>-0.84</v>
        <stp/>
        <stp>P</stp>
        <stp>0</stp>
        <stp>FRN</stp>
        <stp>TSE:7751</stp>
        <stp>등락률</stp>
        <stp>45107</stp>
        <stp>FILL=TRUE</stp>
        <tr r="M79" s="1"/>
      </tp>
      <tp>
        <v>-0.65</v>
        <stp/>
        <stp>P</stp>
        <stp>0</stp>
        <stp>FRN</stp>
        <stp>TSE:6758</stp>
        <stp>등락률</stp>
        <stp>45107</stp>
        <stp>FILL=TRUE</stp>
        <tr r="M78" s="1"/>
      </tp>
      <tp>
        <v>-2.1800000000000002</v>
        <stp/>
        <stp>P</stp>
        <stp>0</stp>
        <stp>FRN</stp>
        <stp>TWS:2353</stp>
        <stp>등락률</stp>
        <stp>45107</stp>
        <stp>FILL=TRUE</stp>
        <tr r="M87" s="1"/>
      </tp>
      <tp>
        <v>0.52</v>
        <stp/>
        <stp>P</stp>
        <stp>0</stp>
        <stp>FRN</stp>
        <stp>TWS:2330</stp>
        <stp>등락률</stp>
        <stp>45107</stp>
        <stp>FILL=TRUE</stp>
        <tr r="M84" s="1"/>
      </tp>
      <tp>
        <v>4.47E-3</v>
        <stp/>
        <stp>P</stp>
        <stp>0</stp>
        <stp>FX</stp>
        <stp>EURUSD</stp>
        <stp>뉴욕전일대비</stp>
        <stp>45107</stp>
        <stp>FILL=TRUE</stp>
        <tr r="F65" s="1"/>
      </tp>
      <tp>
        <v>1.23</v>
        <stp/>
        <stp>P</stp>
        <stp>0</stp>
        <stp>FRN</stp>
        <stp>SPI:SPX</stp>
        <stp>등락률</stp>
        <stp>45107</stp>
        <stp>FILL=TRUE</stp>
        <tr r="G20" s="1"/>
      </tp>
      <tp>
        <v>0.84</v>
        <stp/>
        <stp>P</stp>
        <stp>0</stp>
        <stp>FRN</stp>
        <stp>DJI:DJI</stp>
        <stp>등락률</stp>
        <stp>45107</stp>
        <stp>FILL=TRUE</stp>
        <tr r="G18" s="1"/>
      </tp>
      <tp>
        <v>0.94</v>
        <stp/>
        <stp>P</stp>
        <stp>0</stp>
        <stp>FRN</stp>
        <stp>TSE:5401</stp>
        <stp>등락률</stp>
        <stp>45107</stp>
        <stp>FILL=TRUE</stp>
        <tr r="M81" s="1"/>
      </tp>
      <tp>
        <v>0</v>
        <stp/>
        <stp>P</stp>
        <stp>0</stp>
        <stp>FRN</stp>
        <stp>TSE:9437</stp>
        <stp>등락률</stp>
        <stp>45107</stp>
        <stp>FILL=TRUE</stp>
        <tr r="M80" s="1"/>
      </tp>
      <tp>
        <v>-0.54683000000000004</v>
        <stp/>
        <stp>P</stp>
        <stp>0</stp>
        <stp>FRN</stp>
        <stp>LME:NDY</stp>
        <stp>등락률</stp>
        <stp>45107</stp>
        <stp>FILL=TRUE</stp>
        <tr r="M100" s="1"/>
      </tp>
      <tp>
        <v>-0.42886000000000002</v>
        <stp/>
        <stp>P</stp>
        <stp>0</stp>
        <stp>FRN</stp>
        <stp>LME:ADY</stp>
        <stp>등락률</stp>
        <stp>45107</stp>
        <stp>FILL=TRUE</stp>
        <tr r="M97" s="1"/>
      </tp>
      <tp>
        <v>7.6789999999999997E-2</v>
        <stp/>
        <stp>P</stp>
        <stp>0</stp>
        <stp>FRN</stp>
        <stp>LME:AAY</stp>
        <stp>등락률</stp>
        <stp>45107</stp>
        <stp>FILL=TRUE</stp>
        <tr r="M96" s="1"/>
      </tp>
      <tp>
        <v>0.1</v>
        <stp/>
        <stp>P</stp>
        <stp>0</stp>
        <stp>FRN</stp>
        <stp>NYS:BAC</stp>
        <stp>등락률</stp>
        <stp>45107</stp>
        <stp>FILL=TRUE</stp>
        <tr r="F84" s="1"/>
      </tp>
      <tp>
        <v>1.7738799999999999</v>
        <stp/>
        <stp>P</stp>
        <stp>0</stp>
        <stp>FRN</stp>
        <stp>LME:CDY</stp>
        <stp>등락률</stp>
        <stp>45107</stp>
        <stp>FILL=TRUE</stp>
        <tr r="M98" s="1"/>
      </tp>
      <tp>
        <v>0.78</v>
        <stp/>
        <stp>P</stp>
        <stp>0</stp>
        <stp>FRN</stp>
        <stp>LNS:BP.</stp>
        <stp>등락률</stp>
        <stp>45107</stp>
        <stp>FILL=TRUE</stp>
        <tr r="M83" s="1"/>
      </tp>
      <tp>
        <v>4271.6099999999997</v>
        <stp/>
        <stp>P</stp>
        <stp>0</stp>
        <stp>FRN</stp>
        <stp>DJI:SX5E</stp>
        <stp>현재가</stp>
        <stp>45100</stp>
        <stp>FILL=TRUE</stp>
        <tr r="H21" s="1"/>
        <tr r="H21" s="1"/>
      </tp>
      <tp>
        <v>0</v>
        <stp/>
        <stp>P</stp>
        <stp>0</stp>
        <stp>FRN</stp>
        <stp>LNS:FTSE100</stp>
        <stp>거래량</stp>
        <stp>45107</stp>
        <stp/>
        <tr r="O15" s="1"/>
      </tp>
      <tp>
        <v>61.804000000000002</v>
        <stp/>
        <stp>P</stp>
        <stp>0</stp>
        <stp>FRN</stp>
        <stp>IRR:TED</stp>
        <stp>종가</stp>
        <stp>44742</stp>
        <stp>FILL=TRUE</stp>
        <tr r="I50" s="1"/>
      </tp>
      <tp>
        <v>256.83</v>
        <stp/>
        <stp>P</stp>
        <stp>0</stp>
        <stp>FRN</stp>
        <stp>NAS:MSFT</stp>
        <stp>현재가</stp>
        <stp>44742</stp>
        <stp>FILL=TRUE</stp>
        <tr r="I83" s="1"/>
        <tr r="I83" s="1"/>
      </tp>
      <tp>
        <v>3454.86</v>
        <stp/>
        <stp>P</stp>
        <stp>0</stp>
        <stp>FRN</stp>
        <stp>DJI:SX5E</stp>
        <stp>현재가</stp>
        <stp>44742</stp>
        <stp>FILL=TRUE</stp>
        <tr r="M21" s="1"/>
        <tr r="M21" s="1"/>
      </tp>
      <tp>
        <v>284.05</v>
        <stp/>
        <stp>P</stp>
        <stp>0</stp>
        <stp>FRN</stp>
        <stp>NAS:MSFT</stp>
        <stp>현재가</stp>
        <stp>45015</stp>
        <stp>FILL=TRUE</stp>
        <tr r="H83" s="1"/>
        <tr r="H83" s="1"/>
      </tp>
      <tp>
        <v>23.1</v>
        <stp/>
        <stp>P</stp>
        <stp>0</stp>
        <stp>FRN</stp>
        <stp>IRR:TED</stp>
        <stp>종가</stp>
        <stp>45076</stp>
        <stp>FILL=TRUE</stp>
        <tr r="G50" s="1"/>
        <tr r="H50" s="1"/>
      </tp>
      <tp>
        <v>4285.42</v>
        <stp/>
        <stp>P</stp>
        <stp>0</stp>
        <stp>FRN</stp>
        <stp>DJI:SX5E</stp>
        <stp>현재가</stp>
        <stp>45015</stp>
        <stp>FILL=TRUE</stp>
        <tr r="K21" s="1"/>
        <tr r="K21" s="1"/>
      </tp>
      <tp>
        <v>3793.62</v>
        <stp/>
        <stp>P</stp>
        <stp>0</stp>
        <stp>FRN</stp>
        <stp>DJI:SX5E</stp>
        <stp>현재가</stp>
        <stp>44925</stp>
        <stp>FILL=TRUE</stp>
        <tr r="L21" s="1"/>
        <tr r="L21" s="1"/>
      </tp>
      <tp>
        <v>331.21</v>
        <stp/>
        <stp>P</stp>
        <stp>0</stp>
        <stp>FRN</stp>
        <stp>NAS:MSFT</stp>
        <stp>현재가</stp>
        <stp>45076</stp>
        <stp>FILL=TRUE</stp>
        <tr r="G83" s="1"/>
        <tr r="G83" s="1"/>
      </tp>
      <tp>
        <v>4291.58</v>
        <stp/>
        <stp>P</stp>
        <stp>0</stp>
        <stp>FRN</stp>
        <stp>DJI:SX5E</stp>
        <stp>현재가</stp>
        <stp>45076</stp>
        <stp>FILL=TRUE</stp>
        <tr r="I21" s="1"/>
        <tr r="I21" s="1"/>
      </tp>
      <tp>
        <v>340.54</v>
        <stp/>
        <stp>P</stp>
        <stp>0</stp>
        <stp>FRN</stp>
        <stp>NAS:MSFT</stp>
        <stp>현재가</stp>
        <stp>45107</stp>
        <stp>FILL=TRUE</stp>
        <tr r="E83" s="1"/>
      </tp>
      <tp>
        <v>4399.09</v>
        <stp/>
        <stp>P</stp>
        <stp>0</stp>
        <stp>FRN</stp>
        <stp>DJI:SX5E</stp>
        <stp>현재가</stp>
        <stp>45107</stp>
        <stp>FILL=TRUE</stp>
        <tr r="E21" s="1"/>
      </tp>
      <tp>
        <v>4.9000000000000002E-2</v>
        <stp/>
        <stp>P</stp>
        <stp>0</stp>
        <stp>IR</stp>
        <stp>BONDKSDCAL13</stp>
        <stp>전일대비</stp>
        <stp>45107</stp>
        <stp/>
        <tr r="F47" s="1"/>
      </tp>
      <tp>
        <v>7.3999999999999996E-2</v>
        <stp/>
        <stp>P</stp>
        <stp>0</stp>
        <stp>IR</stp>
        <stp>BONDKSDCAL12</stp>
        <stp>전일대비</stp>
        <stp>45107</stp>
        <stp/>
        <tr r="F46" s="1"/>
      </tp>
      <tp>
        <v>7.8E-2</v>
        <stp/>
        <stp>P</stp>
        <stp>0</stp>
        <stp>IR</stp>
        <stp>BONDKSDCAL11</stp>
        <stp>전일대비</stp>
        <stp>45107</stp>
        <stp/>
        <tr r="F45" s="1"/>
      </tp>
      <tp>
        <v>113.68</v>
        <stp/>
        <stp>P</stp>
        <stp>0</stp>
        <stp>FRN</stp>
        <stp>NYS:BABA</stp>
        <stp>현재가</stp>
        <stp>44742</stp>
        <stp>FILL=TRUE</stp>
        <tr r="I86" s="1"/>
        <tr r="I86" s="1"/>
      </tp>
      <tp>
        <v>621.70000000000005</v>
        <stp/>
        <stp>P</stp>
        <stp>0</stp>
        <stp>FRN</stp>
        <stp>LNS:HSBA</stp>
        <stp>현재가</stp>
        <stp>45107</stp>
        <stp>FILL=TRUE</stp>
        <tr r="L82" s="1"/>
      </tp>
      <tp>
        <v>3.71</v>
        <stp/>
        <stp>P</stp>
        <stp>0</stp>
        <stp>FRN</stp>
        <stp>COM:HG</stp>
        <stp>현재가</stp>
        <stp>44742</stp>
        <stp>FILL=TRUE</stp>
        <tr r="I107" s="1"/>
        <tr r="I107" s="1"/>
      </tp>
      <tp>
        <v>63.67</v>
        <stp/>
        <stp>P</stp>
        <stp>0</stp>
        <stp>FRN</stp>
        <stp>NYS:GE</stp>
        <stp>현재가</stp>
        <stp>44742</stp>
        <stp>FILL=TRUE</stp>
        <tr r="I78" s="1"/>
        <tr r="I78" s="1"/>
      </tp>
      <tp>
        <v>1160</v>
        <stp/>
        <stp>P</stp>
        <stp>0</stp>
        <stp>FRN</stp>
        <stp>IPE:EP</stp>
        <stp>현재가</stp>
        <stp>44742</stp>
        <stp>FILL=TRUE</stp>
        <tr r="I102" s="1"/>
        <tr r="I102" s="1"/>
      </tp>
      <tp>
        <v>114.81</v>
        <stp/>
        <stp>P</stp>
        <stp>0</stp>
        <stp>FRN</stp>
        <stp>IPE:EB</stp>
        <stp>현재가</stp>
        <stp>44742</stp>
        <stp>FILL=TRUE</stp>
        <tr r="I100" s="1"/>
        <tr r="I100" s="1"/>
      </tp>
      <tp>
        <v>103.94</v>
        <stp/>
        <stp>P</stp>
        <stp>0</stp>
        <stp>FRN</stp>
        <stp>NYB:CT</stp>
        <stp>현재가</stp>
        <stp>44742</stp>
        <stp>FILL=TRUE</stp>
        <tr r="P109" s="1"/>
        <tr r="P109" s="1"/>
      </tp>
      <tp>
        <v>105.76</v>
        <stp/>
        <stp>P</stp>
        <stp>0</stp>
        <stp>FRN</stp>
        <stp>NYM:CL</stp>
        <stp>현재가</stp>
        <stp>44742</stp>
        <stp>FILL=TRUE</stp>
        <tr r="I99" s="1"/>
        <tr r="I99" s="1"/>
      </tp>
      <tp>
        <v>5.4240000000000004</v>
        <stp/>
        <stp>P</stp>
        <stp>0</stp>
        <stp>FRN</stp>
        <stp>NYM:NG</stp>
        <stp>현재가</stp>
        <stp>44742</stp>
        <stp>FILL=TRUE</stp>
        <tr r="I103" s="1"/>
        <tr r="I103" s="1"/>
      </tp>
      <tp>
        <v>3.8982000000000001</v>
        <stp/>
        <stp>P</stp>
        <stp>0</stp>
        <stp>FRN</stp>
        <stp>NYM:HO</stp>
        <stp>현재가</stp>
        <stp>44742</stp>
        <stp>FILL=TRUE</stp>
        <tr r="I101" s="1"/>
        <tr r="I101" s="1"/>
      </tp>
      <tp>
        <v>1807.3</v>
        <stp/>
        <stp>P</stp>
        <stp>0</stp>
        <stp>FRN</stp>
        <stp>COM:GC</stp>
        <stp>현재가</stp>
        <stp>44742</stp>
        <stp>FILL=TRUE</stp>
        <tr r="I105" s="1"/>
        <tr r="I105" s="1"/>
      </tp>
      <tp>
        <v>2.4830000000000001</v>
        <stp/>
        <stp>P</stp>
        <stp>0</stp>
        <stp>FRN</stp>
        <stp>IPE:MN</stp>
        <stp>현재가</stp>
        <stp>44742</stp>
        <stp>FILL=TRUE</stp>
        <tr r="I104" s="1"/>
        <tr r="I104" s="1"/>
      </tp>
      <tp>
        <v>898.4</v>
        <stp/>
        <stp>P</stp>
        <stp>0</stp>
        <stp>FRN</stp>
        <stp>NYM:PL</stp>
        <stp>현재가</stp>
        <stp>44742</stp>
        <stp>FILL=TRUE</stp>
        <tr r="I109" s="1"/>
        <tr r="I109" s="1"/>
      </tp>
      <tp>
        <v>1916.1</v>
        <stp/>
        <stp>P</stp>
        <stp>0</stp>
        <stp>FRN</stp>
        <stp>NYM:PA</stp>
        <stp>현재가</stp>
        <stp>44742</stp>
        <stp>FILL=TRUE</stp>
        <tr r="I108" s="1"/>
        <tr r="I108" s="1"/>
      </tp>
      <tp>
        <v>18.829999999999998</v>
        <stp/>
        <stp>P</stp>
        <stp>0</stp>
        <stp>FRN</stp>
        <stp>NYB:SB</stp>
        <stp>현재가</stp>
        <stp>44742</stp>
        <stp>FILL=TRUE</stp>
        <tr r="P108" s="1"/>
        <tr r="P108" s="1"/>
      </tp>
      <tp>
        <v>20.352</v>
        <stp/>
        <stp>P</stp>
        <stp>0</stp>
        <stp>FRN</stp>
        <stp>COM:SI</stp>
        <stp>현재가</stp>
        <stp>44742</stp>
        <stp>FILL=TRUE</stp>
        <tr r="I106" s="1"/>
        <tr r="I106" s="1"/>
      </tp>
      <tp>
        <v>105.98</v>
        <stp/>
        <stp>P</stp>
        <stp>0</stp>
        <stp>FRN</stp>
        <stp>SPT:CL</stp>
        <stp>현재가</stp>
        <stp>44742</stp>
        <stp>FILL=TRUE</stp>
        <tr r="I97" s="1"/>
        <tr r="I97" s="1"/>
      </tp>
      <tp>
        <v>109.16</v>
        <stp/>
        <stp>P</stp>
        <stp>0</stp>
        <stp>FRN</stp>
        <stp>SPT:EB</stp>
        <stp>현재가</stp>
        <stp>44742</stp>
        <stp>FILL=TRUE</stp>
        <tr r="I98" s="1"/>
        <tr r="I98" s="1"/>
      </tp>
      <tp>
        <v>46.63</v>
        <stp/>
        <stp>P</stp>
        <stp>0</stp>
        <stp>FRN</stp>
        <stp>PAS:FP</stp>
        <stp>현재가</stp>
        <stp>44742</stp>
        <stp>FILL=TRUE</stp>
        <tr r="P88" s="1"/>
        <tr r="P88" s="1"/>
      </tp>
      <tp>
        <v>113.4</v>
        <stp/>
        <stp>P</stp>
        <stp>0</stp>
        <stp>FRN</stp>
        <stp>SPT:DU</stp>
        <stp>현재가</stp>
        <stp>44742</stp>
        <stp>FILL=TRUE</stp>
        <tr r="I96" s="1"/>
        <tr r="I96" s="1"/>
      </tp>
      <tp>
        <v>11028.74</v>
        <stp/>
        <stp>P</stp>
        <stp>0</stp>
        <stp>FRN</stp>
        <stp>NAS:IXIC</stp>
        <stp>현재가</stp>
        <stp>44742</stp>
        <stp>FILL=TRUE</stp>
        <tr r="M19" s="1"/>
        <tr r="M19" s="1"/>
      </tp>
      <tp>
        <v>600.1</v>
        <stp/>
        <stp>P</stp>
        <stp>0</stp>
        <stp>FRN</stp>
        <stp>LNS:HSBA</stp>
        <stp>현재가</stp>
        <stp>45076</stp>
        <stp>FILL=TRUE</stp>
        <tr r="N82" s="1"/>
        <tr r="N82" s="1"/>
      </tp>
      <tp>
        <v>14137.69</v>
        <stp/>
        <stp>P</stp>
        <stp>0</stp>
        <stp>FRN</stp>
        <stp>TWS:TI01</stp>
        <stp>현재가</stp>
        <stp>44925</stp>
        <stp>FILL=TRUE</stp>
        <tr r="L10" s="1"/>
        <tr r="L10" s="1"/>
      </tp>
      <tp>
        <v>15849.43</v>
        <stp/>
        <stp>P</stp>
        <stp>0</stp>
        <stp>FRN</stp>
        <stp>TWS:TI01</stp>
        <stp>현재가</stp>
        <stp>45015</stp>
        <stp>FILL=TRUE</stp>
        <tr r="K10" s="1"/>
        <tr r="K10" s="1"/>
      </tp>
      <tp>
        <v>555.29999999999995</v>
        <stp/>
        <stp>P</stp>
        <stp>0</stp>
        <stp>FRN</stp>
        <stp>LNS:HSBA</stp>
        <stp>현재가</stp>
        <stp>45015</stp>
        <stp>FILL=TRUE</stp>
        <tr r="O82" s="1"/>
        <tr r="O82" s="1"/>
      </tp>
      <tp>
        <v>16622.740000000002</v>
        <stp/>
        <stp>P</stp>
        <stp>0</stp>
        <stp>FRN</stp>
        <stp>TWS:TI01</stp>
        <stp>현재가</stp>
        <stp>45076</stp>
        <stp>FILL=TRUE</stp>
        <tr r="I10" s="1"/>
        <tr r="I10" s="1"/>
      </tp>
      <tp>
        <v>26094.5</v>
        <stp/>
        <stp>P</stp>
        <stp>0</stp>
        <stp>FRN</stp>
        <stp>NII:NI225</stp>
        <stp>현재가</stp>
        <stp>20230101</stp>
        <stp>FILL=TRUE</stp>
        <tr r="N11" s="1"/>
        <tr r="N11" s="1"/>
      </tp>
      <tp>
        <v>6473.76</v>
        <stp/>
        <stp>P</stp>
        <stp>0</stp>
        <stp>FRN</stp>
        <stp>PAS:CAC40</stp>
        <stp>현재가</stp>
        <stp>20230101</stp>
        <stp>FILL=TRUE</stp>
        <tr r="N17" s="1"/>
        <tr r="N17" s="1"/>
      </tp>
      <tp>
        <v>13492.52</v>
        <stp/>
        <stp>P</stp>
        <stp>0</stp>
        <stp>FRN</stp>
        <stp>NAS:IXIC</stp>
        <stp>현재가</stp>
        <stp>45100</stp>
        <stp>FILL=TRUE</stp>
        <tr r="H19" s="1"/>
        <tr r="H19" s="1"/>
      </tp>
      <tp>
        <v>127.42</v>
        <stp/>
        <stp>P</stp>
        <stp>0</stp>
        <stp>FRN</stp>
        <stp>XTR:VOW3</stp>
        <stp>현재가</stp>
        <stp>44742</stp>
        <stp>FILL=TRUE</stp>
        <tr r="P91" s="1"/>
        <tr r="P91" s="1"/>
      </tp>
      <tp>
        <v>16915.54</v>
        <stp/>
        <stp>P</stp>
        <stp>0</stp>
        <stp>FRN</stp>
        <stp>TWS:TI01</stp>
        <stp>현재가</stp>
        <stp>45107</stp>
        <stp>FILL=TRUE</stp>
        <tr r="E10" s="1"/>
      </tp>
      <tp>
        <v>3.7595000000000001</v>
        <stp/>
        <stp>P</stp>
        <stp>0</stp>
        <stp>FRN</stp>
        <stp>COM:HG</stp>
        <stp>현재가</stp>
        <stp>45107</stp>
        <stp>FILL=TRUE</stp>
        <tr r="E107" s="1"/>
      </tp>
      <tp>
        <v>109.85</v>
        <stp/>
        <stp>P</stp>
        <stp>0</stp>
        <stp>FRN</stp>
        <stp>NYS:GE</stp>
        <stp>현재가</stp>
        <stp>45107</stp>
        <stp>FILL=TRUE</stp>
        <tr r="E78" s="1"/>
      </tp>
      <tp>
        <v>82.84</v>
        <stp/>
        <stp>P</stp>
        <stp>0</stp>
        <stp>FRN</stp>
        <stp>NYB:CT</stp>
        <stp>현재가</stp>
        <stp>45107</stp>
        <stp>FILL=TRUE</stp>
        <tr r="L109" s="1"/>
      </tp>
      <tp>
        <v>70.64</v>
        <stp/>
        <stp>P</stp>
        <stp>0</stp>
        <stp>FRN</stp>
        <stp>NYM:CL</stp>
        <stp>현재가</stp>
        <stp>45107</stp>
        <stp>FILL=TRUE</stp>
        <tr r="E99" s="1"/>
      </tp>
      <tp>
        <v>709.25</v>
        <stp/>
        <stp>P</stp>
        <stp>0</stp>
        <stp>FRN</stp>
        <stp>IPE:EP</stp>
        <stp>현재가</stp>
        <stp>45107</stp>
        <stp>FILL=TRUE</stp>
        <tr r="E102" s="1"/>
      </tp>
      <tp>
        <v>74.900000000000006</v>
        <stp/>
        <stp>P</stp>
        <stp>0</stp>
        <stp>FRN</stp>
        <stp>IPE:EB</stp>
        <stp>현재가</stp>
        <stp>45107</stp>
        <stp>FILL=TRUE</stp>
        <tr r="E100" s="1"/>
      </tp>
      <tp>
        <v>2.798</v>
        <stp/>
        <stp>P</stp>
        <stp>0</stp>
        <stp>FRN</stp>
        <stp>NYM:NG</stp>
        <stp>현재가</stp>
        <stp>45107</stp>
        <stp>FILL=TRUE</stp>
        <tr r="E103" s="1"/>
      </tp>
      <tp>
        <v>2.4481999999999999</v>
        <stp/>
        <stp>P</stp>
        <stp>0</stp>
        <stp>FRN</stp>
        <stp>NYM:HO</stp>
        <stp>현재가</stp>
        <stp>45107</stp>
        <stp>FILL=TRUE</stp>
        <tr r="E101" s="1"/>
      </tp>
      <tp>
        <v>1929.4</v>
        <stp/>
        <stp>P</stp>
        <stp>0</stp>
        <stp>FRN</stp>
        <stp>COM:GC</stp>
        <stp>현재가</stp>
        <stp>45107</stp>
        <stp>FILL=TRUE</stp>
        <tr r="E105" s="1"/>
      </tp>
      <tp>
        <v>0.91220000000000001</v>
        <stp/>
        <stp>P</stp>
        <stp>0</stp>
        <stp>FRN</stp>
        <stp>IPE:MN</stp>
        <stp>현재가</stp>
        <stp>45107</stp>
        <stp>FILL=TRUE</stp>
        <tr r="E104" s="1"/>
      </tp>
      <tp>
        <v>904.5</v>
        <stp/>
        <stp>P</stp>
        <stp>0</stp>
        <stp>FRN</stp>
        <stp>NYM:PL</stp>
        <stp>현재가</stp>
        <stp>45107</stp>
        <stp>FILL=TRUE</stp>
        <tr r="E109" s="1"/>
      </tp>
      <tp>
        <v>1222</v>
        <stp/>
        <stp>P</stp>
        <stp>0</stp>
        <stp>FRN</stp>
        <stp>NYM:PA</stp>
        <stp>현재가</stp>
        <stp>45107</stp>
        <stp>FILL=TRUE</stp>
        <tr r="E108" s="1"/>
      </tp>
      <tp>
        <v>22.89</v>
        <stp/>
        <stp>P</stp>
        <stp>0</stp>
        <stp>FRN</stp>
        <stp>NYB:SB</stp>
        <stp>현재가</stp>
        <stp>45107</stp>
        <stp>FILL=TRUE</stp>
        <tr r="L108" s="1"/>
      </tp>
      <tp>
        <v>23.02</v>
        <stp/>
        <stp>P</stp>
        <stp>0</stp>
        <stp>FRN</stp>
        <stp>COM:SI</stp>
        <stp>현재가</stp>
        <stp>45107</stp>
        <stp>FILL=TRUE</stp>
        <tr r="E106" s="1"/>
      </tp>
      <tp>
        <v>70.48</v>
        <stp/>
        <stp>P</stp>
        <stp>0</stp>
        <stp>FRN</stp>
        <stp>SPT:CL</stp>
        <stp>현재가</stp>
        <stp>45107</stp>
        <stp>FILL=TRUE</stp>
        <tr r="E97" s="1"/>
      </tp>
      <tp>
        <v>76.63</v>
        <stp/>
        <stp>P</stp>
        <stp>0</stp>
        <stp>FRN</stp>
        <stp>SPT:DU</stp>
        <stp>현재가</stp>
        <stp>45107</stp>
        <stp>FILL=TRUE</stp>
        <tr r="E96" s="1"/>
      </tp>
      <tp>
        <v>46.63</v>
        <stp/>
        <stp>P</stp>
        <stp>0</stp>
        <stp>FRN</stp>
        <stp>PAS:FP</stp>
        <stp>현재가</stp>
        <stp>45107</stp>
        <stp>FILL=TRUE</stp>
        <tr r="L88" s="1"/>
      </tp>
      <tp>
        <v>75.099999999999994</v>
        <stp/>
        <stp>P</stp>
        <stp>0</stp>
        <stp>FRN</stp>
        <stp>SPT:EB</stp>
        <stp>현재가</stp>
        <stp>45107</stp>
        <stp>FILL=TRUE</stp>
        <tr r="E98" s="1"/>
      </tp>
      <tp>
        <v>13787.92</v>
        <stp/>
        <stp>P</stp>
        <stp>0</stp>
        <stp>FRN</stp>
        <stp>NAS:IXIC</stp>
        <stp>현재가</stp>
        <stp>45107</stp>
        <stp>FILL=TRUE</stp>
        <tr r="E19" s="1"/>
      </tp>
      <tp>
        <v>78.67</v>
        <stp/>
        <stp>P</stp>
        <stp>0</stp>
        <stp>FRN</stp>
        <stp>NYS:BABA</stp>
        <stp>현재가</stp>
        <stp>45076</stp>
        <stp>FILL=TRUE</stp>
        <tr r="G86" s="1"/>
        <tr r="G86" s="1"/>
      </tp>
      <tp>
        <v>124.68</v>
        <stp/>
        <stp>P</stp>
        <stp>0</stp>
        <stp>FRN</stp>
        <stp>XTR:VOW3</stp>
        <stp>현재가</stp>
        <stp>45015</stp>
        <stp>FILL=TRUE</stp>
        <tr r="O91" s="1"/>
        <tr r="O91" s="1"/>
      </tp>
      <tp>
        <v>17202.400000000001</v>
        <stp/>
        <stp>P</stp>
        <stp>0</stp>
        <stp>FRN</stp>
        <stp>TWS:TI01</stp>
        <stp>현재가</stp>
        <stp>45100</stp>
        <stp>FILL=TRUE</stp>
        <tr r="H10" s="1"/>
        <tr r="H10" s="1"/>
      </tp>
      <tp>
        <v>-2.5999999999999999E-3</v>
        <stp/>
        <stp>P</stp>
        <stp>0</stp>
        <stp>IR</stp>
        <stp>US10Y</stp>
        <stp>전일대비</stp>
        <stp>45107</stp>
        <stp/>
        <tr r="F57" s="1"/>
      </tp>
      <tp>
        <v>3.6629999999999998</v>
        <stp/>
        <stp>P</stp>
        <stp>0</stp>
        <stp>FRN</stp>
        <stp>COM:HG</stp>
        <stp>현재가</stp>
        <stp>45076</stp>
        <stp>FILL=TRUE</stp>
        <tr r="G107" s="1"/>
        <tr r="G107" s="1"/>
      </tp>
      <tp>
        <v>102.4</v>
        <stp/>
        <stp>P</stp>
        <stp>0</stp>
        <stp>FRN</stp>
        <stp>NYS:GE</stp>
        <stp>현재가</stp>
        <stp>45076</stp>
        <stp>FILL=TRUE</stp>
        <tr r="G78" s="1"/>
        <tr r="G78" s="1"/>
      </tp>
      <tp>
        <v>83.99</v>
        <stp/>
        <stp>P</stp>
        <stp>0</stp>
        <stp>FRN</stp>
        <stp>NYB:CT</stp>
        <stp>현재가</stp>
        <stp>45076</stp>
        <stp>FILL=TRUE</stp>
        <tr r="N109" s="1"/>
        <tr r="N109" s="1"/>
      </tp>
      <tp>
        <v>69.459999999999994</v>
        <stp/>
        <stp>P</stp>
        <stp>0</stp>
        <stp>FRN</stp>
        <stp>NYM:CL</stp>
        <stp>현재가</stp>
        <stp>45076</stp>
        <stp>FILL=TRUE</stp>
        <tr r="G99" s="1"/>
        <tr r="G99" s="1"/>
      </tp>
      <tp>
        <v>672.25</v>
        <stp/>
        <stp>P</stp>
        <stp>0</stp>
        <stp>FRN</stp>
        <stp>IPE:EP</stp>
        <stp>현재가</stp>
        <stp>45076</stp>
        <stp>FILL=TRUE</stp>
        <tr r="G102" s="1"/>
        <tr r="G102" s="1"/>
      </tp>
      <tp>
        <v>73.540000000000006</v>
        <stp/>
        <stp>P</stp>
        <stp>0</stp>
        <stp>FRN</stp>
        <stp>IPE:EB</stp>
        <stp>현재가</stp>
        <stp>45076</stp>
        <stp>FILL=TRUE</stp>
        <tr r="G100" s="1"/>
        <tr r="G100" s="1"/>
      </tp>
      <tp>
        <v>2.327</v>
        <stp/>
        <stp>P</stp>
        <stp>0</stp>
        <stp>FRN</stp>
        <stp>NYM:NG</stp>
        <stp>현재가</stp>
        <stp>45076</stp>
        <stp>FILL=TRUE</stp>
        <tr r="G103" s="1"/>
        <tr r="G103" s="1"/>
      </tp>
      <tp>
        <v>2.2808000000000002</v>
        <stp/>
        <stp>P</stp>
        <stp>0</stp>
        <stp>FRN</stp>
        <stp>NYM:HO</stp>
        <stp>현재가</stp>
        <stp>45076</stp>
        <stp>FILL=TRUE</stp>
        <tr r="G101" s="1"/>
        <tr r="G101" s="1"/>
      </tp>
      <tp>
        <v>1977.1</v>
        <stp/>
        <stp>P</stp>
        <stp>0</stp>
        <stp>FRN</stp>
        <stp>COM:GC</stp>
        <stp>현재가</stp>
        <stp>45076</stp>
        <stp>FILL=TRUE</stp>
        <tr r="G105" s="1"/>
        <tr r="G105" s="1"/>
      </tp>
      <tp>
        <v>0.58289999999999997</v>
        <stp/>
        <stp>P</stp>
        <stp>0</stp>
        <stp>FRN</stp>
        <stp>IPE:MN</stp>
        <stp>현재가</stp>
        <stp>45076</stp>
        <stp>FILL=TRUE</stp>
        <tr r="G104" s="1"/>
        <tr r="G104" s="1"/>
      </tp>
      <tp>
        <v>1021.9</v>
        <stp/>
        <stp>P</stp>
        <stp>0</stp>
        <stp>FRN</stp>
        <stp>NYM:PL</stp>
        <stp>현재가</stp>
        <stp>45076</stp>
        <stp>FILL=TRUE</stp>
        <tr r="G109" s="1"/>
        <tr r="G109" s="1"/>
      </tp>
      <tp>
        <v>1378.6</v>
        <stp/>
        <stp>P</stp>
        <stp>0</stp>
        <stp>FRN</stp>
        <stp>NYM:PA</stp>
        <stp>현재가</stp>
        <stp>45076</stp>
        <stp>FILL=TRUE</stp>
        <tr r="G108" s="1"/>
        <tr r="G108" s="1"/>
      </tp>
      <tp>
        <v>25.33</v>
        <stp/>
        <stp>P</stp>
        <stp>0</stp>
        <stp>FRN</stp>
        <stp>NYB:SB</stp>
        <stp>현재가</stp>
        <stp>45076</stp>
        <stp>FILL=TRUE</stp>
        <tr r="N108" s="1"/>
        <tr r="N108" s="1"/>
      </tp>
      <tp>
        <v>23.239000000000001</v>
        <stp/>
        <stp>P</stp>
        <stp>0</stp>
        <stp>FRN</stp>
        <stp>COM:SI</stp>
        <stp>현재가</stp>
        <stp>45076</stp>
        <stp>FILL=TRUE</stp>
        <tr r="G106" s="1"/>
        <tr r="G106" s="1"/>
      </tp>
      <tp>
        <v>69.569999999999993</v>
        <stp/>
        <stp>P</stp>
        <stp>0</stp>
        <stp>FRN</stp>
        <stp>SPT:CL</stp>
        <stp>현재가</stp>
        <stp>45076</stp>
        <stp>FILL=TRUE</stp>
        <tr r="G97" s="1"/>
        <tr r="G97" s="1"/>
      </tp>
      <tp>
        <v>74.95</v>
        <stp/>
        <stp>P</stp>
        <stp>0</stp>
        <stp>FRN</stp>
        <stp>SPT:DU</stp>
        <stp>현재가</stp>
        <stp>45076</stp>
        <stp>FILL=TRUE</stp>
        <tr r="G96" s="1"/>
        <tr r="G96" s="1"/>
      </tp>
      <tp>
        <v>46.63</v>
        <stp/>
        <stp>P</stp>
        <stp>0</stp>
        <stp>FRN</stp>
        <stp>PAS:FP</stp>
        <stp>현재가</stp>
        <stp>45076</stp>
        <stp>FILL=TRUE</stp>
        <tr r="N88" s="1"/>
        <tr r="N88" s="1"/>
      </tp>
      <tp>
        <v>73.72</v>
        <stp/>
        <stp>P</stp>
        <stp>0</stp>
        <stp>FRN</stp>
        <stp>SPT:EB</stp>
        <stp>현재가</stp>
        <stp>45076</stp>
        <stp>FILL=TRUE</stp>
        <tr r="G98" s="1"/>
        <tr r="G98" s="1"/>
      </tp>
      <tp>
        <v>13017.43</v>
        <stp/>
        <stp>P</stp>
        <stp>0</stp>
        <stp>FRN</stp>
        <stp>NAS:IXIC</stp>
        <stp>현재가</stp>
        <stp>45076</stp>
        <stp>FILL=TRUE</stp>
        <tr r="I19" s="1"/>
        <tr r="I19" s="1"/>
      </tp>
      <tp>
        <v>535.6</v>
        <stp/>
        <stp>P</stp>
        <stp>0</stp>
        <stp>FRN</stp>
        <stp>LNS:HSBA</stp>
        <stp>현재가</stp>
        <stp>44742</stp>
        <stp>FILL=TRUE</stp>
        <tr r="P82" s="1"/>
        <tr r="P82" s="1"/>
      </tp>
      <tp>
        <v>83.35</v>
        <stp/>
        <stp>P</stp>
        <stp>0</stp>
        <stp>FRN</stp>
        <stp>NYS:BABA</stp>
        <stp>현재가</stp>
        <stp>45107</stp>
        <stp>FILL=TRUE</stp>
        <tr r="E86" s="1"/>
      </tp>
      <tp>
        <v>2.3800000000000002E-2</v>
        <stp/>
        <stp>P</stp>
        <stp>0</stp>
        <stp>IR</stp>
        <stp>US03Y</stp>
        <stp>전일대비</stp>
        <stp>45107</stp>
        <stp/>
        <tr r="F52" s="1"/>
      </tp>
      <tp>
        <v>-2.1000000000000003E-3</v>
        <stp/>
        <stp>P</stp>
        <stp>0</stp>
        <stp>IR</stp>
        <stp>JP03Y</stp>
        <stp>전일대비</stp>
        <stp>45107</stp>
        <stp/>
        <tr r="F53" s="1"/>
      </tp>
      <tp>
        <v>-7.000000000000001E-4</v>
        <stp/>
        <stp>P</stp>
        <stp>0</stp>
        <stp>IR</stp>
        <stp>DE03Y</stp>
        <stp>전일대비</stp>
        <stp>45107</stp>
        <stp/>
        <tr r="F55" s="1"/>
      </tp>
      <tp>
        <v>3.8199999999999998E-2</v>
        <stp/>
        <stp>P</stp>
        <stp>0</stp>
        <stp>IR</stp>
        <stp>GB03Y</stp>
        <stp>전일대비</stp>
        <stp>45107</stp>
        <stp/>
        <tr r="F54" s="1"/>
      </tp>
      <tp>
        <v>-3.3700000000000001E-2</v>
        <stp/>
        <stp>P</stp>
        <stp>0</stp>
        <stp>IR</stp>
        <stp>US03M</stp>
        <stp>전일대비</stp>
        <stp>45107</stp>
        <stp/>
        <tr r="F48" s="1"/>
      </tp>
      <tp>
        <v>1.0800000000000001E-2</v>
        <stp/>
        <stp>P</stp>
        <stp>0</stp>
        <stp>IR</stp>
        <stp>US01Y</stp>
        <stp>전일대비</stp>
        <stp>45107</stp>
        <stp/>
        <tr r="F51" s="1"/>
      </tp>
      <tp>
        <v>1.5900000000000001E-2</v>
        <stp/>
        <stp>P</stp>
        <stp>0</stp>
        <stp>IR</stp>
        <stp>US05Y</stp>
        <stp>전일대비</stp>
        <stp>45107</stp>
        <stp/>
        <tr r="F56" s="1"/>
      </tp>
      <tp>
        <v>4.0914999999999999</v>
        <stp/>
        <stp>P</stp>
        <stp>0</stp>
        <stp>FRN</stp>
        <stp>COM:HG</stp>
        <stp>현재가</stp>
        <stp>45015</stp>
        <stp>FILL=TRUE</stp>
        <tr r="H107" s="1"/>
        <tr r="H107" s="1"/>
      </tp>
      <tp>
        <v>94.05</v>
        <stp/>
        <stp>P</stp>
        <stp>0</stp>
        <stp>FRN</stp>
        <stp>NYS:GE</stp>
        <stp>현재가</stp>
        <stp>45015</stp>
        <stp>FILL=TRUE</stp>
        <tr r="H78" s="1"/>
        <tr r="H78" s="1"/>
      </tp>
      <tp>
        <v>83.5</v>
        <stp/>
        <stp>P</stp>
        <stp>0</stp>
        <stp>FRN</stp>
        <stp>NYB:CT</stp>
        <stp>현재가</stp>
        <stp>45015</stp>
        <stp>FILL=TRUE</stp>
        <tr r="O109" s="1"/>
        <tr r="O109" s="1"/>
      </tp>
      <tp>
        <v>74.37</v>
        <stp/>
        <stp>P</stp>
        <stp>0</stp>
        <stp>FRN</stp>
        <stp>NYM:CL</stp>
        <stp>현재가</stp>
        <stp>45015</stp>
        <stp>FILL=TRUE</stp>
        <tr r="H99" s="1"/>
        <tr r="H99" s="1"/>
      </tp>
      <tp>
        <v>756.25</v>
        <stp/>
        <stp>P</stp>
        <stp>0</stp>
        <stp>FRN</stp>
        <stp>IPE:EP</stp>
        <stp>현재가</stp>
        <stp>45015</stp>
        <stp>FILL=TRUE</stp>
        <tr r="H102" s="1"/>
        <tr r="H102" s="1"/>
      </tp>
      <tp>
        <v>79.27</v>
        <stp/>
        <stp>P</stp>
        <stp>0</stp>
        <stp>FRN</stp>
        <stp>IPE:EB</stp>
        <stp>현재가</stp>
        <stp>45015</stp>
        <stp>FILL=TRUE</stp>
        <tr r="H100" s="1"/>
        <tr r="H100" s="1"/>
      </tp>
      <tp>
        <v>2.1040000000000001</v>
        <stp/>
        <stp>P</stp>
        <stp>0</stp>
        <stp>FRN</stp>
        <stp>NYM:NG</stp>
        <stp>현재가</stp>
        <stp>45015</stp>
        <stp>FILL=TRUE</stp>
        <tr r="H103" s="1"/>
        <tr r="H103" s="1"/>
      </tp>
      <tp>
        <v>2.6236999999999999</v>
        <stp/>
        <stp>P</stp>
        <stp>0</stp>
        <stp>FRN</stp>
        <stp>NYM:HO</stp>
        <stp>현재가</stp>
        <stp>45015</stp>
        <stp>FILL=TRUE</stp>
        <tr r="H101" s="1"/>
        <tr r="H101" s="1"/>
      </tp>
      <tp>
        <v>1997.7</v>
        <stp/>
        <stp>P</stp>
        <stp>0</stp>
        <stp>FRN</stp>
        <stp>COM:GC</stp>
        <stp>현재가</stp>
        <stp>45015</stp>
        <stp>FILL=TRUE</stp>
        <tr r="H105" s="1"/>
        <tr r="H105" s="1"/>
      </tp>
      <tp>
        <v>1.0741000000000001</v>
        <stp/>
        <stp>P</stp>
        <stp>0</stp>
        <stp>FRN</stp>
        <stp>IPE:MN</stp>
        <stp>현재가</stp>
        <stp>45015</stp>
        <stp>FILL=TRUE</stp>
        <tr r="H104" s="1"/>
        <tr r="H104" s="1"/>
      </tp>
      <tp>
        <v>985.2</v>
        <stp/>
        <stp>P</stp>
        <stp>0</stp>
        <stp>FRN</stp>
        <stp>NYM:PL</stp>
        <stp>현재가</stp>
        <stp>45015</stp>
        <stp>FILL=TRUE</stp>
        <tr r="H109" s="1"/>
        <tr r="H109" s="1"/>
      </tp>
      <tp>
        <v>1463.6</v>
        <stp/>
        <stp>P</stp>
        <stp>0</stp>
        <stp>FRN</stp>
        <stp>NYM:PA</stp>
        <stp>현재가</stp>
        <stp>45015</stp>
        <stp>FILL=TRUE</stp>
        <tr r="H108" s="1"/>
        <tr r="H108" s="1"/>
      </tp>
      <tp>
        <v>21.96</v>
        <stp/>
        <stp>P</stp>
        <stp>0</stp>
        <stp>FRN</stp>
        <stp>NYB:SB</stp>
        <stp>현재가</stp>
        <stp>45015</stp>
        <stp>FILL=TRUE</stp>
        <tr r="O108" s="1"/>
        <tr r="O108" s="1"/>
      </tp>
      <tp>
        <v>23.989000000000001</v>
        <stp/>
        <stp>P</stp>
        <stp>0</stp>
        <stp>FRN</stp>
        <stp>COM:SI</stp>
        <stp>현재가</stp>
        <stp>45015</stp>
        <stp>FILL=TRUE</stp>
        <tr r="H106" s="1"/>
        <tr r="H106" s="1"/>
      </tp>
      <tp>
        <v>74.33</v>
        <stp/>
        <stp>P</stp>
        <stp>0</stp>
        <stp>FRN</stp>
        <stp>SPT:CL</stp>
        <stp>현재가</stp>
        <stp>45015</stp>
        <stp>FILL=TRUE</stp>
        <tr r="H97" s="1"/>
        <tr r="H97" s="1"/>
      </tp>
      <tp>
        <v>77.78</v>
        <stp/>
        <stp>P</stp>
        <stp>0</stp>
        <stp>FRN</stp>
        <stp>SPT:DU</stp>
        <stp>현재가</stp>
        <stp>45015</stp>
        <stp>FILL=TRUE</stp>
        <tr r="H96" s="1"/>
        <tr r="H96" s="1"/>
      </tp>
      <tp>
        <v>46.63</v>
        <stp/>
        <stp>P</stp>
        <stp>0</stp>
        <stp>FRN</stp>
        <stp>PAS:FP</stp>
        <stp>현재가</stp>
        <stp>45015</stp>
        <stp>FILL=TRUE</stp>
        <tr r="O88" s="1"/>
        <tr r="O88" s="1"/>
      </tp>
      <tp>
        <v>78.5</v>
        <stp/>
        <stp>P</stp>
        <stp>0</stp>
        <stp>FRN</stp>
        <stp>SPT:EB</stp>
        <stp>현재가</stp>
        <stp>45015</stp>
        <stp>FILL=TRUE</stp>
        <tr r="H98" s="1"/>
        <tr r="H98" s="1"/>
      </tp>
      <tp>
        <v>12013.47</v>
        <stp/>
        <stp>P</stp>
        <stp>0</stp>
        <stp>FRN</stp>
        <stp>NAS:IXIC</stp>
        <stp>현재가</stp>
        <stp>45015</stp>
        <stp>FILL=TRUE</stp>
        <tr r="K19" s="1"/>
        <tr r="K19" s="1"/>
      </tp>
      <tp>
        <v>10466.48</v>
        <stp/>
        <stp>P</stp>
        <stp>0</stp>
        <stp>FRN</stp>
        <stp>NAS:IXIC</stp>
        <stp>현재가</stp>
        <stp>44925</stp>
        <stp>FILL=TRUE</stp>
        <tr r="L19" s="1"/>
        <tr r="L19" s="1"/>
      </tp>
      <tp>
        <v>122.94</v>
        <stp/>
        <stp>P</stp>
        <stp>0</stp>
        <stp>FRN</stp>
        <stp>XTR:VOW3</stp>
        <stp>현재가</stp>
        <stp>45107</stp>
        <stp>FILL=TRUE</stp>
        <tr r="L91" s="1"/>
      </tp>
      <tp>
        <v>14825.73</v>
        <stp/>
        <stp>P</stp>
        <stp>0</stp>
        <stp>FRN</stp>
        <stp>TWS:TI01</stp>
        <stp>현재가</stp>
        <stp>44742</stp>
        <stp>FILL=TRUE</stp>
        <tr r="M10" s="1"/>
        <tr r="M10" s="1"/>
      </tp>
      <tp>
        <v>103.38</v>
        <stp/>
        <stp>P</stp>
        <stp>0</stp>
        <stp>FRN</stp>
        <stp>NYS:BABA</stp>
        <stp>현재가</stp>
        <stp>45015</stp>
        <stp>FILL=TRUE</stp>
        <tr r="H86" s="1"/>
        <tr r="H86" s="1"/>
      </tp>
      <tp>
        <v>118.8</v>
        <stp/>
        <stp>P</stp>
        <stp>0</stp>
        <stp>FRN</stp>
        <stp>XTR:VOW3</stp>
        <stp>현재가</stp>
        <stp>45076</stp>
        <stp>FILL=TRUE</stp>
        <tr r="N91" s="1"/>
        <tr r="N91" s="1"/>
      </tp>
      <tp>
        <v>649.5</v>
        <stp/>
        <stp>P</stp>
        <stp>0</stp>
        <stp>FRN</stp>
        <stp>CBT$ZC</stp>
        <stp>현재가</stp>
        <stp>45015</stp>
        <stp>FILL=TRUE</stp>
        <tr r="O103" s="1"/>
        <tr r="O103" s="1"/>
      </tp>
      <tp>
        <v>459.9</v>
        <stp/>
        <stp>P</stp>
        <stp>0</stp>
        <stp>FRN</stp>
        <stp>CBT$ZM</stp>
        <stp>현재가</stp>
        <stp>45015</stp>
        <stp>FILL=TRUE</stp>
        <tr r="O105" s="1"/>
        <tr r="O105" s="1"/>
      </tp>
      <tp>
        <v>54.37</v>
        <stp/>
        <stp>P</stp>
        <stp>0</stp>
        <stp>FRN</stp>
        <stp>CBT$ZL</stp>
        <stp>현재가</stp>
        <stp>45015</stp>
        <stp>FILL=TRUE</stp>
        <tr r="O106" s="1"/>
        <tr r="O106" s="1"/>
      </tp>
      <tp>
        <v>692.25</v>
        <stp/>
        <stp>P</stp>
        <stp>0</stp>
        <stp>FRN</stp>
        <stp>CBT$ZW</stp>
        <stp>현재가</stp>
        <stp>45015</stp>
        <stp>FILL=TRUE</stp>
        <tr r="O107" s="1"/>
        <tr r="O107" s="1"/>
      </tp>
      <tp>
        <v>1474.5</v>
        <stp/>
        <stp>P</stp>
        <stp>0</stp>
        <stp>FRN</stp>
        <stp>CBT$ZS</stp>
        <stp>현재가</stp>
        <stp>45015</stp>
        <stp>FILL=TRUE</stp>
        <tr r="O104" s="1"/>
        <tr r="O104" s="1"/>
      </tp>
      <tp>
        <v>7666.88</v>
        <stp/>
        <stp>P</stp>
        <stp>0</stp>
        <stp>FRN</stp>
        <stp>HSI:HSCE</stp>
        <stp>현재가</stp>
        <stp>44742</stp>
        <stp>FILL=TRUE</stp>
        <tr r="M12" s="1"/>
        <tr r="M12" s="1"/>
      </tp>
      <tp>
        <v>136.72</v>
        <stp/>
        <stp>P</stp>
        <stp>0</stp>
        <stp>FRN</stp>
        <stp>NAS:AAPL</stp>
        <stp>현재가</stp>
        <stp>44742</stp>
        <stp>FILL=TRUE</stp>
        <tr r="I90" s="1"/>
        <tr r="I90" s="1"/>
      </tp>
      <tp>
        <v>15.95</v>
        <stp/>
        <stp>P</stp>
        <stp>0</stp>
        <stp>FRN</stp>
        <stp>NYS:T</stp>
        <stp>현재가</stp>
        <stp>45107</stp>
        <stp>FILL=TRUE</stp>
        <tr r="E77" s="1"/>
      </tp>
      <tp>
        <v>15.64</v>
        <stp/>
        <stp>P</stp>
        <stp>0</stp>
        <stp>FRN</stp>
        <stp>NYS:T</stp>
        <stp>현재가</stp>
        <stp>45076</stp>
        <stp>FILL=TRUE</stp>
        <tr r="G77" s="1"/>
        <tr r="G77" s="1"/>
      </tp>
      <tp>
        <v>554.5</v>
        <stp/>
        <stp>P</stp>
        <stp>0</stp>
        <stp>FRN</stp>
        <stp>CBT$ZC</stp>
        <stp>현재가</stp>
        <stp>45107</stp>
        <stp>FILL=TRUE</stp>
        <tr r="L103" s="1"/>
      </tp>
      <tp>
        <v>65.010000000000005</v>
        <stp/>
        <stp>P</stp>
        <stp>0</stp>
        <stp>FRN</stp>
        <stp>CBT$ZL</stp>
        <stp>현재가</stp>
        <stp>45107</stp>
        <stp>FILL=TRUE</stp>
        <tr r="L106" s="1"/>
      </tp>
      <tp>
        <v>419.2</v>
        <stp/>
        <stp>P</stp>
        <stp>0</stp>
        <stp>FRN</stp>
        <stp>CBT$ZM</stp>
        <stp>현재가</stp>
        <stp>45107</stp>
        <stp>FILL=TRUE</stp>
        <tr r="L105" s="1"/>
      </tp>
      <tp>
        <v>636.25</v>
        <stp/>
        <stp>P</stp>
        <stp>0</stp>
        <stp>FRN</stp>
        <stp>CBT$ZW</stp>
        <stp>현재가</stp>
        <stp>45107</stp>
        <stp>FILL=TRUE</stp>
        <tr r="L107" s="1"/>
      </tp>
      <tp>
        <v>1557.25</v>
        <stp/>
        <stp>P</stp>
        <stp>0</stp>
        <stp>FRN</stp>
        <stp>CBT$ZS</stp>
        <stp>현재가</stp>
        <stp>45107</stp>
        <stp>FILL=TRUE</stp>
        <tr r="L104" s="1"/>
      </tp>
      <tp>
        <v>6394.54</v>
        <stp/>
        <stp>P</stp>
        <stp>0</stp>
        <stp>FRN</stp>
        <stp>HSI:HSCE</stp>
        <stp>현재가</stp>
        <stp>45100</stp>
        <stp>FILL=TRUE</stp>
        <tr r="H12" s="1"/>
        <tr r="H12" s="1"/>
      </tp>
      <tp>
        <v>19.079999999999998</v>
        <stp/>
        <stp>P</stp>
        <stp>0</stp>
        <stp>FRN</stp>
        <stp>NYS:T</stp>
        <stp>현재가</stp>
        <stp>45015</stp>
        <stp>FILL=TRUE</stp>
        <tr r="H77" s="1"/>
        <tr r="H77" s="1"/>
      </tp>
      <tp>
        <v>33147.25</v>
        <stp/>
        <stp>P</stp>
        <stp>0</stp>
        <stp>FRN</stp>
        <stp>DJI:DJI</stp>
        <stp>현재가</stp>
        <stp>20230101</stp>
        <stp>FILL=TRUE</stp>
        <tr r="N18" s="1"/>
        <tr r="N18" s="1"/>
      </tp>
      <tp>
        <v>3839.5</v>
        <stp/>
        <stp>P</stp>
        <stp>0</stp>
        <stp>FRN</stp>
        <stp>SPI:SPX</stp>
        <stp>현재가</stp>
        <stp>20230101</stp>
        <stp>FILL=TRUE</stp>
        <tr r="N20" s="1"/>
        <tr r="N20" s="1"/>
      </tp>
      <tp>
        <v>594</v>
        <stp/>
        <stp>P</stp>
        <stp>0</stp>
        <stp>FRN</stp>
        <stp>CBT$ZC</stp>
        <stp>현재가</stp>
        <stp>45076</stp>
        <stp>FILL=TRUE</stp>
        <tr r="N103" s="1"/>
        <tr r="N103" s="1"/>
      </tp>
      <tp>
        <v>392.6</v>
        <stp/>
        <stp>P</stp>
        <stp>0</stp>
        <stp>FRN</stp>
        <stp>CBT$ZM</stp>
        <stp>현재가</stp>
        <stp>45076</stp>
        <stp>FILL=TRUE</stp>
        <tr r="N105" s="1"/>
        <tr r="N105" s="1"/>
      </tp>
      <tp>
        <v>46.2</v>
        <stp/>
        <stp>P</stp>
        <stp>0</stp>
        <stp>FRN</stp>
        <stp>CBT$ZL</stp>
        <stp>현재가</stp>
        <stp>45076</stp>
        <stp>FILL=TRUE</stp>
        <tr r="N106" s="1"/>
        <tr r="N106" s="1"/>
      </tp>
      <tp>
        <v>591</v>
        <stp/>
        <stp>P</stp>
        <stp>0</stp>
        <stp>FRN</stp>
        <stp>CBT$ZW</stp>
        <stp>현재가</stp>
        <stp>45076</stp>
        <stp>FILL=TRUE</stp>
        <tr r="N107" s="1"/>
        <tr r="N107" s="1"/>
      </tp>
      <tp>
        <v>1296.5</v>
        <stp/>
        <stp>P</stp>
        <stp>0</stp>
        <stp>FRN</stp>
        <stp>CBT$ZS</stp>
        <stp>현재가</stp>
        <stp>45076</stp>
        <stp>FILL=TRUE</stp>
        <tr r="N104" s="1"/>
        <tr r="N104" s="1"/>
      </tp>
      <tp>
        <v>6283.71</v>
        <stp/>
        <stp>P</stp>
        <stp>0</stp>
        <stp>FRN</stp>
        <stp>HSI:HSCE</stp>
        <stp>현재가</stp>
        <stp>45076</stp>
        <stp>FILL=TRUE</stp>
        <tr r="I12" s="1"/>
        <tr r="I12" s="1"/>
      </tp>
      <tp>
        <v>177.3</v>
        <stp/>
        <stp>P</stp>
        <stp>0</stp>
        <stp>FRN</stp>
        <stp>NAS:AAPL</stp>
        <stp>현재가</stp>
        <stp>45076</stp>
        <stp>FILL=TRUE</stp>
        <tr r="G90" s="1"/>
        <tr r="G90" s="1"/>
      </tp>
      <tp>
        <v>6424.88</v>
        <stp/>
        <stp>P</stp>
        <stp>0</stp>
        <stp>FRN</stp>
        <stp>HSI:HSCE</stp>
        <stp>현재가</stp>
        <stp>45107</stp>
        <stp>FILL=TRUE</stp>
        <tr r="E12" s="1"/>
      </tp>
      <tp>
        <v>193.97</v>
        <stp/>
        <stp>P</stp>
        <stp>0</stp>
        <stp>FRN</stp>
        <stp>NAS:AAPL</stp>
        <stp>현재가</stp>
        <stp>45107</stp>
        <stp>FILL=TRUE</stp>
        <tr r="E90" s="1"/>
      </tp>
      <tp>
        <v>20.96</v>
        <stp/>
        <stp>P</stp>
        <stp>0</stp>
        <stp>FRN</stp>
        <stp>NYS:T</stp>
        <stp>현재가</stp>
        <stp>44742</stp>
        <stp>FILL=TRUE</stp>
        <tr r="I77" s="1"/>
        <tr r="I77" s="1"/>
      </tp>
      <tp>
        <v>743.75</v>
        <stp/>
        <stp>P</stp>
        <stp>0</stp>
        <stp>FRN</stp>
        <stp>CBT$ZC</stp>
        <stp>현재가</stp>
        <stp>44742</stp>
        <stp>FILL=TRUE</stp>
        <tr r="P103" s="1"/>
        <tr r="P103" s="1"/>
      </tp>
      <tp>
        <v>69.930000000000007</v>
        <stp/>
        <stp>P</stp>
        <stp>0</stp>
        <stp>FRN</stp>
        <stp>CBT$ZL</stp>
        <stp>현재가</stp>
        <stp>44742</stp>
        <stp>FILL=TRUE</stp>
        <tr r="P106" s="1"/>
        <tr r="P106" s="1"/>
      </tp>
      <tp>
        <v>469.9</v>
        <stp/>
        <stp>P</stp>
        <stp>0</stp>
        <stp>FRN</stp>
        <stp>CBT$ZM</stp>
        <stp>현재가</stp>
        <stp>44742</stp>
        <stp>FILL=TRUE</stp>
        <tr r="P105" s="1"/>
        <tr r="P105" s="1"/>
      </tp>
      <tp>
        <v>1675</v>
        <stp/>
        <stp>P</stp>
        <stp>0</stp>
        <stp>FRN</stp>
        <stp>CBT$ZS</stp>
        <stp>현재가</stp>
        <stp>44742</stp>
        <stp>FILL=TRUE</stp>
        <tr r="P104" s="1"/>
        <tr r="P104" s="1"/>
      </tp>
      <tp>
        <v>868.75</v>
        <stp/>
        <stp>P</stp>
        <stp>0</stp>
        <stp>FRN</stp>
        <stp>CBT$ZW</stp>
        <stp>현재가</stp>
        <stp>44742</stp>
        <stp>FILL=TRUE</stp>
        <tr r="P107" s="1"/>
        <tr r="P107" s="1"/>
      </tp>
      <tp>
        <v>6922.66</v>
        <stp/>
        <stp>P</stp>
        <stp>0</stp>
        <stp>FRN</stp>
        <stp>HSI:HSCE</stp>
        <stp>현재가</stp>
        <stp>45015</stp>
        <stp>FILL=TRUE</stp>
        <tr r="K12" s="1"/>
        <tr r="K12" s="1"/>
      </tp>
      <tp>
        <v>6704.94</v>
        <stp/>
        <stp>P</stp>
        <stp>0</stp>
        <stp>FRN</stp>
        <stp>HSI:HSCE</stp>
        <stp>현재가</stp>
        <stp>44925</stp>
        <stp>FILL=TRUE</stp>
        <tr r="L12" s="1"/>
        <tr r="L12" s="1"/>
      </tp>
      <tp>
        <v>162.36000000000001</v>
        <stp/>
        <stp>P</stp>
        <stp>0</stp>
        <stp>FRN</stp>
        <stp>NAS:AAPL</stp>
        <stp>현재가</stp>
        <stp>45015</stp>
        <stp>FILL=TRUE</stp>
        <tr r="H90" s="1"/>
        <tr r="H90" s="1"/>
      </tp>
      <tp>
        <v>60840.74</v>
        <stp/>
        <stp>P</stp>
        <stp>0</stp>
        <stp>FRN</stp>
        <stp>INI:BSE30</stp>
        <stp>현재가</stp>
        <stp>20230101</stp>
        <stp>FILL=TRUE</stp>
        <tr r="N13" s="1"/>
        <tr r="N13" s="1"/>
      </tp>
      <tp>
        <v>1324.9</v>
        <stp/>
        <stp>P</stp>
        <stp>0</stp>
        <stp>FX</stp>
        <stp>USDSP_AMBC</stp>
        <stp>현재가</stp>
        <stp>45076</stp>
        <stp>FILL=TRUE</stp>
        <tr r="G63" s="1"/>
        <tr r="G63" s="1"/>
      </tp>
      <tp>
        <v>121.66</v>
        <stp/>
        <stp>P</stp>
        <stp>0</stp>
        <stp>FRN</stp>
        <stp>NAS:AMZN</stp>
        <stp>현재가</stp>
        <stp>45076</stp>
        <stp>FILL=TRUE</stp>
        <tr r="G89" s="1"/>
        <tr r="G89" s="1"/>
      </tp>
      <tp>
        <v>32.090000000000003</v>
        <stp/>
        <stp>P</stp>
        <stp>0</stp>
        <stp>FRN</stp>
        <stp>NAS:INTC</stp>
        <stp>현재가</stp>
        <stp>45015</stp>
        <stp>FILL=TRUE</stp>
        <tr r="H82" s="1"/>
        <tr r="H82" s="1"/>
      </tp>
      <tp>
        <v>1317.7</v>
        <stp/>
        <stp>P</stp>
        <stp>0</stp>
        <stp>FX</stp>
        <stp>USDSP_AMBC</stp>
        <stp>현재가</stp>
        <stp>45107</stp>
        <stp>FILL=TRUE</stp>
        <tr r="E63" s="1"/>
      </tp>
      <tp>
        <v>29150.2</v>
        <stp/>
        <stp>P</stp>
        <stp>0</stp>
        <stp>FRN</stp>
        <stp>CLI:IGPA</stp>
        <stp>현재가</stp>
        <stp>45100</stp>
        <stp>FILL=TRUE</stp>
        <tr r="H14" s="1"/>
        <tr r="H14" s="1"/>
      </tp>
      <tp>
        <v>101.32</v>
        <stp/>
        <stp>P</stp>
        <stp>0</stp>
        <stp>FRN</stp>
        <stp>NAS:GOOG</stp>
        <stp>현재가</stp>
        <stp>45015</stp>
        <stp>FILL=TRUE</stp>
        <tr r="H88" s="1"/>
        <tr r="H88" s="1"/>
      </tp>
      <tp>
        <v>130.36000000000001</v>
        <stp/>
        <stp>P</stp>
        <stp>0</stp>
        <stp>FRN</stp>
        <stp>NAS:AMZN</stp>
        <stp>현재가</stp>
        <stp>45107</stp>
        <stp>FILL=TRUE</stp>
        <tr r="E89" s="1"/>
      </tp>
      <tp>
        <v>285.18</v>
        <stp/>
        <stp>P</stp>
        <stp>0</stp>
        <stp>FRN</stp>
        <stp>DJI:DJI</stp>
        <stp>전일대비</stp>
        <stp>45107</stp>
        <stp>FILL=TRUE</stp>
        <tr r="F18" s="1"/>
      </tp>
      <tp>
        <v>53.94</v>
        <stp/>
        <stp>P</stp>
        <stp>0</stp>
        <stp>FRN</stp>
        <stp>SPI:SPX</stp>
        <stp>전일대비</stp>
        <stp>45107</stp>
        <stp>FILL=TRUE</stp>
        <tr r="F20" s="1"/>
      </tp>
      <tp>
        <v>124.64</v>
        <stp/>
        <stp>P</stp>
        <stp>0</stp>
        <stp>FRN</stp>
        <stp>NAS:GOOG</stp>
        <stp>현재가</stp>
        <stp>45076</stp>
        <stp>FILL=TRUE</stp>
        <tr r="G88" s="1"/>
        <tr r="G88" s="1"/>
      </tp>
      <tp>
        <v>33.44</v>
        <stp/>
        <stp>P</stp>
        <stp>0</stp>
        <stp>FRN</stp>
        <stp>NAS:INTC</stp>
        <stp>현재가</stp>
        <stp>45107</stp>
        <stp>FILL=TRUE</stp>
        <tr r="E82" s="1"/>
      </tp>
      <tp>
        <v>1299</v>
        <stp/>
        <stp>P</stp>
        <stp>0</stp>
        <stp>FX</stp>
        <stp>USDSP_AMBC</stp>
        <stp>현재가</stp>
        <stp>45015</stp>
        <stp>FILL=TRUE</stp>
        <tr r="H63" s="1"/>
        <tr r="H63" s="1"/>
      </tp>
      <tp>
        <v>26000.400000000001</v>
        <stp/>
        <stp>P</stp>
        <stp>0</stp>
        <stp>FRN</stp>
        <stp>CLI:IGPA</stp>
        <stp>현재가</stp>
        <stp>44742</stp>
        <stp>FILL=TRUE</stp>
        <tr r="M14" s="1"/>
        <tr r="M14" s="1"/>
      </tp>
      <tp>
        <v>120.97</v>
        <stp/>
        <stp>P</stp>
        <stp>0</stp>
        <stp>FRN</stp>
        <stp>NAS:GOOG</stp>
        <stp>현재가</stp>
        <stp>45107</stp>
        <stp>FILL=TRUE</stp>
        <tr r="E88" s="1"/>
      </tp>
      <tp>
        <v>102</v>
        <stp/>
        <stp>P</stp>
        <stp>0</stp>
        <stp>FRN</stp>
        <stp>NAS:AMZN</stp>
        <stp>현재가</stp>
        <stp>45015</stp>
        <stp>FILL=TRUE</stp>
        <tr r="H89" s="1"/>
        <tr r="H89" s="1"/>
      </tp>
      <tp>
        <v>29.99</v>
        <stp/>
        <stp>P</stp>
        <stp>0</stp>
        <stp>FRN</stp>
        <stp>NAS:INTC</stp>
        <stp>현재가</stp>
        <stp>45076</stp>
        <stp>FILL=TRUE</stp>
        <tr r="G82" s="1"/>
        <tr r="G82" s="1"/>
      </tp>
      <tp>
        <v>1298.4000000000001</v>
        <stp/>
        <stp>P</stp>
        <stp>0</stp>
        <stp>FX</stp>
        <stp>USDSP_AMBC</stp>
        <stp>현재가</stp>
        <stp>44742</stp>
        <stp>FILL=TRUE</stp>
        <tr r="I63" s="1"/>
        <tr r="I63" s="1"/>
      </tp>
      <tp>
        <v>27606.58</v>
        <stp/>
        <stp>P</stp>
        <stp>0</stp>
        <stp>FRN</stp>
        <stp>CLI:IGPA</stp>
        <stp>현재가</stp>
        <stp>44925</stp>
        <stp>FILL=TRUE</stp>
        <tr r="L14" s="1"/>
        <tr r="L14" s="1"/>
      </tp>
      <tp>
        <v>27519.54</v>
        <stp/>
        <stp>P</stp>
        <stp>0</stp>
        <stp>FRN</stp>
        <stp>CLI:IGPA</stp>
        <stp>현재가</stp>
        <stp>45015</stp>
        <stp>FILL=TRUE</stp>
        <tr r="K14" s="1"/>
        <tr r="K14" s="1"/>
      </tp>
      <tp>
        <v>106.21</v>
        <stp/>
        <stp>P</stp>
        <stp>0</stp>
        <stp>FRN</stp>
        <stp>NAS:AMZN</stp>
        <stp>현재가</stp>
        <stp>44742</stp>
        <stp>FILL=TRUE</stp>
        <tr r="I89" s="1"/>
        <tr r="I89" s="1"/>
      </tp>
      <tp>
        <v>29662.83</v>
        <stp/>
        <stp>P</stp>
        <stp>0</stp>
        <stp>FRN</stp>
        <stp>CLI:IGPA</stp>
        <stp>현재가</stp>
        <stp>45107</stp>
        <stp>FILL=TRUE</stp>
        <tr r="E14" s="1"/>
      </tp>
      <tp>
        <v>109.37</v>
        <stp/>
        <stp>P</stp>
        <stp>0</stp>
        <stp>FRN</stp>
        <stp>NAS:GOOG</stp>
        <stp>현재가</stp>
        <stp>44742</stp>
        <stp>FILL=TRUE</stp>
        <tr r="I88" s="1"/>
        <tr r="I88" s="1"/>
      </tp>
      <tp>
        <v>28576.27</v>
        <stp/>
        <stp>P</stp>
        <stp>0</stp>
        <stp>FRN</stp>
        <stp>CLI:IGPA</stp>
        <stp>현재가</stp>
        <stp>45076</stp>
        <stp>FILL=TRUE</stp>
        <tr r="I14" s="1"/>
        <tr r="I14" s="1"/>
      </tp>
      <tp>
        <v>37.409999999999997</v>
        <stp/>
        <stp>P</stp>
        <stp>0</stp>
        <stp>FRN</stp>
        <stp>NAS:INTC</stp>
        <stp>현재가</stp>
        <stp>44742</stp>
        <stp>FILL=TRUE</stp>
        <tr r="I82" s="1"/>
        <tr r="I82" s="1"/>
      </tp>
      <tp>
        <v>13923.59</v>
        <stp/>
        <stp>P</stp>
        <stp>0</stp>
        <stp>FRN</stp>
        <stp>XTR:DAX30</stp>
        <stp>현재가</stp>
        <stp>20230101</stp>
        <stp>FILL=TRUE</stp>
        <tr r="N16" s="1"/>
        <tr r="N16" s="1"/>
      </tp>
      <tp>
        <v>3.0396000000000001</v>
        <stp/>
        <stp>P</stp>
        <stp>0</stp>
        <stp>IR</stp>
        <stp>US05Y</stp>
        <stp>종가</stp>
        <stp>44742</stp>
        <stp>FILL=TRUE</stp>
        <tr r="I56" s="1"/>
      </tp>
      <tp>
        <v>3.0165999999999999</v>
        <stp/>
        <stp>P</stp>
        <stp>0</stp>
        <stp>IR</stp>
        <stp>US03Y</stp>
        <stp>종가</stp>
        <stp>44742</stp>
        <stp>FILL=TRUE</stp>
        <tr r="I52" s="1"/>
      </tp>
      <tp>
        <v>1.6671</v>
        <stp/>
        <stp>P</stp>
        <stp>0</stp>
        <stp>IR</stp>
        <stp>US03M</stp>
        <stp>종가</stp>
        <stp>44742</stp>
        <stp>FILL=TRUE</stp>
        <tr r="I48" s="1"/>
      </tp>
      <tp>
        <v>2.8003999999999998</v>
        <stp/>
        <stp>P</stp>
        <stp>0</stp>
        <stp>IR</stp>
        <stp>US01Y</stp>
        <stp>종가</stp>
        <stp>44742</stp>
        <stp>FILL=TRUE</stp>
        <tr r="I51" s="1"/>
      </tp>
      <tp>
        <v>3.0129000000000001</v>
        <stp/>
        <stp>P</stp>
        <stp>0</stp>
        <stp>IR</stp>
        <stp>US10Y</stp>
        <stp>종가</stp>
        <stp>44742</stp>
        <stp>FILL=TRUE</stp>
        <tr r="I57" s="1"/>
      </tp>
      <tp>
        <v>-6.0900000000000003E-2</v>
        <stp/>
        <stp>P</stp>
        <stp>0</stp>
        <stp>IR</stp>
        <stp>JP03Y</stp>
        <stp>종가</stp>
        <stp>44742</stp>
        <stp>FILL=TRUE</stp>
        <tr r="I53" s="1"/>
      </tp>
      <tp>
        <v>3.6922999999999999</v>
        <stp/>
        <stp>P</stp>
        <stp>0</stp>
        <stp>IR</stp>
        <stp>US10Y</stp>
        <stp>종가</stp>
        <stp>45076</stp>
        <stp>FILL=TRUE</stp>
        <tr r="G57" s="1"/>
        <tr r="H57" s="1"/>
      </tp>
      <tp>
        <v>5.2130999999999998</v>
        <stp/>
        <stp>P</stp>
        <stp>0</stp>
        <stp>IR</stp>
        <stp>US01Y</stp>
        <stp>종가</stp>
        <stp>45076</stp>
        <stp>FILL=TRUE</stp>
        <tr r="G51" s="1"/>
        <tr r="H51" s="1"/>
      </tp>
      <tp>
        <v>4.1147</v>
        <stp/>
        <stp>P</stp>
        <stp>0</stp>
        <stp>IR</stp>
        <stp>US03Y</stp>
        <stp>종가</stp>
        <stp>45076</stp>
        <stp>FILL=TRUE</stp>
        <tr r="G52" s="1"/>
        <tr r="H52" s="1"/>
      </tp>
      <tp>
        <v>5.2649999999999997</v>
        <stp/>
        <stp>P</stp>
        <stp>0</stp>
        <stp>IR</stp>
        <stp>US03M</stp>
        <stp>종가</stp>
        <stp>45076</stp>
        <stp>FILL=TRUE</stp>
        <tr r="G48" s="1"/>
        <tr r="H48" s="1"/>
      </tp>
      <tp>
        <v>3.8119000000000001</v>
        <stp/>
        <stp>P</stp>
        <stp>0</stp>
        <stp>IR</stp>
        <stp>US05Y</stp>
        <stp>종가</stp>
        <stp>45076</stp>
        <stp>FILL=TRUE</stp>
        <tr r="G56" s="1"/>
        <tr r="H56" s="1"/>
      </tp>
      <tp>
        <v>-4.4299999999999999E-2</v>
        <stp/>
        <stp>P</stp>
        <stp>0</stp>
        <stp>IR</stp>
        <stp>JP03Y</stp>
        <stp>종가</stp>
        <stp>45076</stp>
        <stp>FILL=TRUE</stp>
        <tr r="H53" s="1"/>
        <tr r="G53" s="1"/>
      </tp>
      <tp>
        <v>-3.2000000000000001E-2</v>
        <stp/>
        <stp>P</stp>
        <stp>0</stp>
        <stp>IR</stp>
        <stp>BONDKSDCAL12</stp>
        <stp>전일대비</stp>
        <stp>44742</stp>
        <stp>FILL=TRUE</stp>
        <tr r="I46" s="1"/>
      </tp>
      <tp>
        <v>-3.1E-2</v>
        <stp/>
        <stp>P</stp>
        <stp>0</stp>
        <stp>IR</stp>
        <stp>BONDKSDCAL13</stp>
        <stp>전일대비</stp>
        <stp>44742</stp>
        <stp>FILL=TRUE</stp>
        <tr r="I47" s="1"/>
      </tp>
      <tp>
        <v>-2E-3</v>
        <stp/>
        <stp>P</stp>
        <stp>0</stp>
        <stp>IR</stp>
        <stp>BONDKSDCAL11</stp>
        <stp>전일대비</stp>
        <stp>44742</stp>
        <stp>FILL=TRUE</stp>
        <tr r="I45" s="1"/>
      </tp>
      <tp>
        <v>3.6509999999999998</v>
        <stp/>
        <stp>P</stp>
        <stp>0</stp>
        <stp>IR</stp>
        <stp>BONDKSDCAL13</stp>
        <stp>대표수익률</stp>
        <stp>45076</stp>
        <stp>FILL=TRUE</stp>
        <tr r="G47" s="1"/>
      </tp>
      <tp>
        <v>3.5819999999999999</v>
        <stp/>
        <stp>P</stp>
        <stp>0</stp>
        <stp>IR</stp>
        <stp>BONDKSDCAL12</stp>
        <stp>대표수익률</stp>
        <stp>45076</stp>
        <stp>FILL=TRUE</stp>
        <tr r="G46" s="1"/>
      </tp>
      <tp>
        <v>3.24</v>
        <stp/>
        <stp>P</stp>
        <stp>0</stp>
        <stp>IR</stp>
        <stp>BONDKSDCAL11</stp>
        <stp>대표수익률</stp>
        <stp>45015</stp>
        <stp>FILL=TRUE</stp>
        <tr r="H45" s="1"/>
      </tp>
      <tp>
        <v>3.56</v>
        <stp/>
        <stp>P</stp>
        <stp>0</stp>
        <stp>IR</stp>
        <stp>BONDKSDCAL11</stp>
        <stp>대표수익률</stp>
        <stp>45076</stp>
        <stp>FILL=TRUE</stp>
        <tr r="G45" s="1"/>
      </tp>
      <tp>
        <v>3.2530000000000001</v>
        <stp/>
        <stp>P</stp>
        <stp>0</stp>
        <stp>IR</stp>
        <stp>BONDKSDCAL12</stp>
        <stp>대표수익률</stp>
        <stp>45015</stp>
        <stp>FILL=TRUE</stp>
        <tr r="H46" s="1"/>
      </tp>
      <tp>
        <v>3.3050000000000002</v>
        <stp/>
        <stp>P</stp>
        <stp>0</stp>
        <stp>IR</stp>
        <stp>BONDKSDCAL13</stp>
        <stp>대표수익률</stp>
        <stp>45015</stp>
        <stp>FILL=TRUE</stp>
        <tr r="H47" s="1"/>
      </tp>
      <tp>
        <v>2236.4</v>
        <stp/>
        <stp>P</stp>
        <stp>0</stp>
        <stp>IDX</stp>
        <stp>001</stp>
        <stp>현재가</stp>
        <stp>20230101</stp>
        <stp>FILL=TRUE</stp>
        <tr r="N8" s="1"/>
        <tr r="N8" s="1"/>
      </tp>
      <tp>
        <v>-26.76</v>
        <stp/>
        <stp>P</stp>
        <stp>0</stp>
        <stp>FRN</stp>
        <stp>TWS:TI01</stp>
        <stp>전일대비</stp>
        <stp>45107</stp>
        <stp>FILL=TRUE</stp>
        <tr r="F10" s="1"/>
      </tp>
      <tp>
        <v>19.68</v>
        <stp/>
        <stp>P</stp>
        <stp>0</stp>
        <stp>FRN</stp>
        <stp>SHS:000001</stp>
        <stp>전일대비</stp>
        <stp>45107</stp>
        <stp>FILL=TRUE</stp>
        <tr r="F9" s="1"/>
      </tp>
      <tp>
        <v>3202.06</v>
        <stp/>
        <stp>P</stp>
        <stp>0</stp>
        <stp>FRN</stp>
        <stp>SHS:000001</stp>
        <stp>현재가</stp>
        <stp>45107</stp>
        <stp>FILL=TRUE</stp>
        <tr r="E9" s="1"/>
      </tp>
      <tp>
        <v>3224.21</v>
        <stp/>
        <stp>P</stp>
        <stp>0</stp>
        <stp>FRN</stp>
        <stp>SHS:000001</stp>
        <stp>현재가</stp>
        <stp>45076</stp>
        <stp>FILL=TRUE</stp>
        <tr r="I9" s="1"/>
        <tr r="I9" s="1"/>
      </tp>
      <tp>
        <v>1.8423</v>
        <stp/>
        <stp>P</stp>
        <stp>0</stp>
        <stp>IR</stp>
        <stp>GB03Y</stp>
        <stp>종가</stp>
        <stp>44742</stp>
        <stp>FILL=TRUE</stp>
        <tr r="I54" s="1"/>
      </tp>
      <tp>
        <v>3261.25</v>
        <stp/>
        <stp>P</stp>
        <stp>0</stp>
        <stp>FRN</stp>
        <stp>SHS:000001</stp>
        <stp>현재가</stp>
        <stp>45015</stp>
        <stp>FILL=TRUE</stp>
        <tr r="K9" s="1"/>
        <tr r="K9" s="1"/>
      </tp>
      <tp>
        <v>3089.26</v>
        <stp/>
        <stp>P</stp>
        <stp>0</stp>
        <stp>FRN</stp>
        <stp>SHS:000001</stp>
        <stp>현재가</stp>
        <stp>44925</stp>
        <stp>FILL=TRUE</stp>
        <tr r="L9" s="1"/>
        <tr r="L9" s="1"/>
      </tp>
      <tp>
        <v>2.5680000000000001</v>
        <stp/>
        <stp>P</stp>
        <stp>0</stp>
        <stp>IR</stp>
        <stp>DE03Y</stp>
        <stp>종가</stp>
        <stp>45076</stp>
        <stp>FILL=TRUE</stp>
        <tr r="G55" s="1"/>
        <tr r="H55" s="1"/>
      </tp>
      <tp>
        <v>44.4</v>
        <stp/>
        <stp>P</stp>
        <stp>0</stp>
        <stp>FRN</stp>
        <stp>DJI:SX5E</stp>
        <stp>전일대비</stp>
        <stp>45107</stp>
        <stp>FILL=TRUE</stp>
        <tr r="F21" s="1"/>
      </tp>
      <tp>
        <v>4202531</v>
        <stp/>
        <stp>P</stp>
        <stp>0</stp>
        <stp>FRN</stp>
        <stp>NAS:IXIC</stp>
        <stp>거래량</stp>
        <stp>45107</stp>
        <stp/>
        <tr r="O19" s="1"/>
      </tp>
      <tp>
        <v>59.84</v>
        <stp/>
        <stp>P</stp>
        <stp>0</stp>
        <stp>FRN</stp>
        <stp>LNS:FTSE100</stp>
        <stp>전일대비</stp>
        <stp>45107</stp>
        <stp>FILL=TRUE</stp>
        <tr r="F15" s="1"/>
      </tp>
      <tp>
        <v>1657256</v>
        <stp/>
        <stp>P</stp>
        <stp>0</stp>
        <stp>FRN</stp>
        <stp>HSI:HSCE</stp>
        <stp>거래량</stp>
        <stp>45107</stp>
        <stp/>
        <tr r="O12" s="1"/>
      </tp>
      <tp>
        <v>0</v>
        <stp/>
        <stp>P</stp>
        <stp>0</stp>
        <stp>FRN</stp>
        <stp>TWS:TI01</stp>
        <stp>거래량</stp>
        <stp>45107</stp>
        <stp/>
        <tr r="O10" s="1"/>
      </tp>
      <tp>
        <v>3398.62</v>
        <stp/>
        <stp>P</stp>
        <stp>0</stp>
        <stp>FRN</stp>
        <stp>SHS:000001</stp>
        <stp>현재가</stp>
        <stp>44742</stp>
        <stp>FILL=TRUE</stp>
        <tr r="M9" s="1"/>
        <tr r="M9" s="1"/>
      </tp>
      <tp>
        <v>4.3411999999999997</v>
        <stp/>
        <stp>P</stp>
        <stp>0</stp>
        <stp>IR</stp>
        <stp>GB03Y</stp>
        <stp>종가</stp>
        <stp>45076</stp>
        <stp>FILL=TRUE</stp>
        <tr r="H54" s="1"/>
        <tr r="G54" s="1"/>
      </tp>
      <tp>
        <v>0.76939999999999997</v>
        <stp/>
        <stp>P</stp>
        <stp>0</stp>
        <stp>IR</stp>
        <stp>DE03Y</stp>
        <stp>종가</stp>
        <stp>44742</stp>
        <stp>FILL=TRUE</stp>
        <tr r="I55" s="1"/>
      </tp>
      <tp>
        <v>3197.9</v>
        <stp/>
        <stp>P</stp>
        <stp>0</stp>
        <stp>FRN</stp>
        <stp>SHS:000001</stp>
        <stp>현재가</stp>
        <stp>45100</stp>
        <stp>FILL=TRUE</stp>
        <tr r="H9" s="1"/>
        <tr r="H9" s="1"/>
      </tp>
      <tp>
        <v>33189.040000000001</v>
        <stp/>
        <stp>P</stp>
        <stp>0</stp>
        <stp>FRN</stp>
        <stp>NII:NI225</stp>
        <stp>현재가</stp>
        <stp>45107</stp>
        <stp>FILL=TRUE</stp>
        <tr r="E11" s="1"/>
      </tp>
      <tp>
        <v>31328.16</v>
        <stp/>
        <stp>P</stp>
        <stp>0</stp>
        <stp>FRN</stp>
        <stp>NII:NI225</stp>
        <stp>현재가</stp>
        <stp>45076</stp>
        <stp>FILL=TRUE</stp>
        <tr r="I11" s="1"/>
        <tr r="I11" s="1"/>
      </tp>
      <tp>
        <v>27782.93</v>
        <stp/>
        <stp>P</stp>
        <stp>0</stp>
        <stp>FRN</stp>
        <stp>NII:NI225</stp>
        <stp>현재가</stp>
        <stp>45015</stp>
        <stp>FILL=TRUE</stp>
        <tr r="K11" s="1"/>
        <tr r="K11" s="1"/>
      </tp>
      <tp>
        <v>26094.5</v>
        <stp/>
        <stp>P</stp>
        <stp>0</stp>
        <stp>FRN</stp>
        <stp>NII:NI225</stp>
        <stp>현재가</stp>
        <stp>44925</stp>
        <stp>FILL=TRUE</stp>
        <tr r="L11" s="1"/>
        <tr r="L11" s="1"/>
      </tp>
      <tp>
        <v>87.33</v>
        <stp/>
        <stp>P</stp>
        <stp>0</stp>
        <stp>FRN</stp>
        <stp>PAS:CAC40</stp>
        <stp>전일대비</stp>
        <stp>45107</stp>
        <stp>FILL=TRUE</stp>
        <tr r="F17" s="1"/>
      </tp>
      <tp>
        <v>803.14</v>
        <stp/>
        <stp>P</stp>
        <stp>0</stp>
        <stp>FRN</stp>
        <stp>INI:BSE30</stp>
        <stp>전일대비</stp>
        <stp>45107</stp>
        <stp>FILL=TRUE</stp>
        <tr r="F13" s="1"/>
      </tp>
      <tp>
        <v>201.18</v>
        <stp/>
        <stp>P</stp>
        <stp>0</stp>
        <stp>FRN</stp>
        <stp>XTR:DAX30</stp>
        <stp>전일대비</stp>
        <stp>45107</stp>
        <stp>FILL=TRUE</stp>
        <tr r="F16" s="1"/>
      </tp>
      <tp>
        <v>26393.040000000001</v>
        <stp/>
        <stp>P</stp>
        <stp>0</stp>
        <stp>FRN</stp>
        <stp>NII:NI225</stp>
        <stp>현재가</stp>
        <stp>44742</stp>
        <stp>FILL=TRUE</stp>
        <tr r="M11" s="1"/>
        <tr r="M11" s="1"/>
      </tp>
      <tp>
        <v>-45.1</v>
        <stp/>
        <stp>P</stp>
        <stp>0</stp>
        <stp>FRN</stp>
        <stp>NII:NI225</stp>
        <stp>전일대비</stp>
        <stp>45107</stp>
        <stp>FILL=TRUE</stp>
        <tr r="F11" s="1"/>
      </tp>
      <tp>
        <v>0</v>
        <stp/>
        <stp>P</stp>
        <stp>0</stp>
        <stp>FRN</stp>
        <stp>CLI:IGPA</stp>
        <stp>거래량</stp>
        <stp>45107</stp>
        <stp/>
        <tr r="O14" s="1"/>
      </tp>
      <tp>
        <v>32781.54</v>
        <stp/>
        <stp>P</stp>
        <stp>0</stp>
        <stp>FRN</stp>
        <stp>NII:NI225</stp>
        <stp>현재가</stp>
        <stp>45100</stp>
        <stp>FILL=TRUE</stp>
        <tr r="H11" s="1"/>
        <tr r="H11" s="1"/>
      </tp>
      <tp>
        <v>14.26</v>
        <stp/>
        <stp>P</stp>
        <stp>0</stp>
        <stp>IDX</stp>
        <stp>001</stp>
        <stp>전일대비</stp>
        <stp>45107</stp>
        <stp>FILL=TRUE</stp>
        <tr r="F8" s="1"/>
      </tp>
      <tp>
        <v>3089.26</v>
        <stp/>
        <stp>P</stp>
        <stp>0</stp>
        <stp>FRN</stp>
        <stp>SHS:000001</stp>
        <stp>현재가</stp>
        <stp>20230101</stp>
        <stp>FILL=TRUE</stp>
        <tr r="N9" s="1"/>
        <tr r="N9" s="1"/>
      </tp>
      <tp>
        <v>0</v>
        <stp/>
        <stp>P</stp>
        <stp>0</stp>
        <stp>FRN</stp>
        <stp>XTR:DAX30</stp>
        <stp>거래량</stp>
        <stp>45107</stp>
        <stp/>
        <tr r="O16" s="1"/>
      </tp>
      <tp>
        <v>-1.71</v>
        <stp/>
        <stp>P</stp>
        <stp>0</stp>
        <stp>FRN</stp>
        <stp>HSI:HSCE</stp>
        <stp>전일대비</stp>
        <stp>45107</stp>
        <stp>FILL=TRUE</stp>
        <tr r="F12" s="1"/>
      </tp>
      <tp>
        <v>4.57</v>
        <stp/>
        <stp>P</stp>
        <stp>0</stp>
        <stp>FRN</stp>
        <stp>IRR:TED</stp>
        <stp>전일대비</stp>
        <stp>45107</stp>
        <stp/>
        <tr r="F50" s="1"/>
      </tp>
      <tp>
        <v>2570.1</v>
        <stp/>
        <stp>P</stp>
        <stp>0</stp>
        <stp>IDX</stp>
        <stp>001</stp>
        <stp>현재가</stp>
        <stp>45100</stp>
        <stp>FILL=TRUE</stp>
        <tr r="H8" s="1"/>
        <tr r="H8" s="1"/>
      </tp>
      <tp>
        <v>15908.91</v>
        <stp/>
        <stp>P</stp>
        <stp>0</stp>
        <stp>FRN</stp>
        <stp>XTR:DAX30</stp>
        <stp>현재가</stp>
        <stp>45076</stp>
        <stp>FILL=TRUE</stp>
        <tr r="I16" s="1"/>
        <tr r="I16" s="1"/>
      </tp>
      <tp>
        <v>62979.37</v>
        <stp/>
        <stp>P</stp>
        <stp>0</stp>
        <stp>FRN</stp>
        <stp>INI:BSE30</stp>
        <stp>현재가</stp>
        <stp>45100</stp>
        <stp>FILL=TRUE</stp>
        <tr r="H13" s="1"/>
        <tr r="H13" s="1"/>
      </tp>
      <tp>
        <v>7620.43</v>
        <stp/>
        <stp>P</stp>
        <stp>0</stp>
        <stp>FRN</stp>
        <stp>LNS:FTSE100</stp>
        <stp>현재가</stp>
        <stp>45015</stp>
        <stp>FILL=TRUE</stp>
        <tr r="K15" s="1"/>
        <tr r="K15" s="1"/>
      </tp>
      <tp>
        <v>7451.74</v>
        <stp/>
        <stp>P</stp>
        <stp>0</stp>
        <stp>FRN</stp>
        <stp>LNS:FTSE100</stp>
        <stp>현재가</stp>
        <stp>44925</stp>
        <stp>FILL=TRUE</stp>
        <tr r="L15" s="1"/>
        <tr r="L15" s="1"/>
      </tp>
      <tp>
        <v>16147.9</v>
        <stp/>
        <stp>P</stp>
        <stp>0</stp>
        <stp>FRN</stp>
        <stp>XTR:DAX30</stp>
        <stp>현재가</stp>
        <stp>45107</stp>
        <stp>FILL=TRUE</stp>
        <tr r="E16" s="1"/>
      </tp>
      <tp>
        <v>339850</v>
        <stp/>
        <stp>P</stp>
        <stp>0</stp>
        <stp>FRN</stp>
        <stp>DJI:DJI</stp>
        <stp>거래량</stp>
        <stp>45107</stp>
        <stp/>
        <tr r="O18" s="1"/>
      </tp>
      <tp>
        <v>2440498</v>
        <stp/>
        <stp>P</stp>
        <stp>0</stp>
        <stp>FRN</stp>
        <stp>SPI:SPX</stp>
        <stp>거래량</stp>
        <stp>45107</stp>
        <stp/>
        <tr r="O20" s="1"/>
      </tp>
      <tp>
        <v>7522.07</v>
        <stp/>
        <stp>P</stp>
        <stp>0</stp>
        <stp>FRN</stp>
        <stp>LNS:FTSE100</stp>
        <stp>현재가</stp>
        <stp>45076</stp>
        <stp>FILL=TRUE</stp>
        <tr r="I15" s="1"/>
        <tr r="I15" s="1"/>
      </tp>
      <tp>
        <v>2332.64</v>
        <stp/>
        <stp>P</stp>
        <stp>0</stp>
        <stp>IDX</stp>
        <stp>001</stp>
        <stp>현재가</stp>
        <stp>44742</stp>
        <stp>FILL=TRUE</stp>
        <tr r="M8" s="1"/>
        <tr r="M8" s="1"/>
      </tp>
      <tp>
        <v>53018.94</v>
        <stp/>
        <stp>P</stp>
        <stp>0</stp>
        <stp>FRN</stp>
        <stp>INI:BSE30</stp>
        <stp>현재가</stp>
        <stp>44742</stp>
        <stp>FILL=TRUE</stp>
        <tr r="M13" s="1"/>
        <tr r="M13" s="1"/>
      </tp>
      <tp>
        <v>7531.53</v>
        <stp/>
        <stp>P</stp>
        <stp>0</stp>
        <stp>FRN</stp>
        <stp>LNS:FTSE100</stp>
        <stp>현재가</stp>
        <stp>45107</stp>
        <stp>FILL=TRUE</stp>
        <tr r="E15" s="1"/>
      </tp>
      <tp>
        <v>13923.59</v>
        <stp/>
        <stp>P</stp>
        <stp>0</stp>
        <stp>FRN</stp>
        <stp>XTR:DAX30</stp>
        <stp>현재가</stp>
        <stp>44925</stp>
        <stp>FILL=TRUE</stp>
        <tr r="L16" s="1"/>
        <tr r="L16" s="1"/>
      </tp>
      <tp>
        <v>15522.4</v>
        <stp/>
        <stp>P</stp>
        <stp>0</stp>
        <stp>FRN</stp>
        <stp>XTR:DAX30</stp>
        <stp>현재가</stp>
        <stp>45015</stp>
        <stp>FILL=TRUE</stp>
        <tr r="K16" s="1"/>
        <tr r="K16" s="1"/>
      </tp>
      <tp>
        <v>7461.87</v>
        <stp/>
        <stp>P</stp>
        <stp>0</stp>
        <stp>FRN</stp>
        <stp>LNS:FTSE100</stp>
        <stp>현재가</stp>
        <stp>45100</stp>
        <stp>FILL=TRUE</stp>
        <tr r="H15" s="1"/>
        <tr r="H15" s="1"/>
      </tp>
      <tp>
        <v>12783.77</v>
        <stp/>
        <stp>P</stp>
        <stp>0</stp>
        <stp>FRN</stp>
        <stp>XTR:DAX30</stp>
        <stp>현재가</stp>
        <stp>44742</stp>
        <stp>FILL=TRUE</stp>
        <tr r="M16" s="1"/>
        <tr r="M16" s="1"/>
      </tp>
      <tp>
        <v>0</v>
        <stp/>
        <stp>P</stp>
        <stp>0</stp>
        <stp>FRN</stp>
        <stp>INI:BSE30</stp>
        <stp>거래량</stp>
        <stp>45107</stp>
        <stp/>
        <tr r="O13" s="1"/>
      </tp>
      <tp>
        <v>2453.16</v>
        <stp/>
        <stp>P</stp>
        <stp>0</stp>
        <stp>IDX</stp>
        <stp>001</stp>
        <stp>현재가</stp>
        <stp>45015</stp>
        <stp>FILL=TRUE</stp>
        <tr r="K8" s="1"/>
        <tr r="K8" s="1"/>
      </tp>
      <tp>
        <v>2236.4</v>
        <stp/>
        <stp>P</stp>
        <stp>0</stp>
        <stp>IDX</stp>
        <stp>001</stp>
        <stp>현재가</stp>
        <stp>44925</stp>
        <stp>FILL=TRUE</stp>
        <tr r="L8" s="1"/>
        <tr r="L8" s="1"/>
      </tp>
      <tp>
        <v>60840.74</v>
        <stp/>
        <stp>P</stp>
        <stp>0</stp>
        <stp>FRN</stp>
        <stp>INI:BSE30</stp>
        <stp>현재가</stp>
        <stp>44925</stp>
        <stp>FILL=TRUE</stp>
        <tr r="L13" s="1"/>
        <tr r="L13" s="1"/>
      </tp>
      <tp>
        <v>57960.09</v>
        <stp/>
        <stp>P</stp>
        <stp>0</stp>
        <stp>FRN</stp>
        <stp>INI:BSE30</stp>
        <stp>현재가</stp>
        <stp>45015</stp>
        <stp>FILL=TRUE</stp>
        <tr r="K13" s="1"/>
        <tr r="K13" s="1"/>
      </tp>
      <tp>
        <v>7169.28</v>
        <stp/>
        <stp>P</stp>
        <stp>0</stp>
        <stp>FRN</stp>
        <stp>LNS:FTSE100</stp>
        <stp>현재가</stp>
        <stp>44742</stp>
        <stp>FILL=TRUE</stp>
        <tr r="M15" s="1"/>
        <tr r="M15" s="1"/>
      </tp>
      <tp>
        <v>2585.52</v>
        <stp/>
        <stp>P</stp>
        <stp>0</stp>
        <stp>IDX</stp>
        <stp>001</stp>
        <stp>현재가</stp>
        <stp>45076</stp>
        <stp>FILL=TRUE</stp>
        <tr r="I8" s="1"/>
        <tr r="I8" s="1"/>
      </tp>
      <tp>
        <v>15829.94</v>
        <stp/>
        <stp>P</stp>
        <stp>0</stp>
        <stp>FRN</stp>
        <stp>XTR:DAX30</stp>
        <stp>현재가</stp>
        <stp>45100</stp>
        <stp>FILL=TRUE</stp>
        <tr r="H16" s="1"/>
        <tr r="H16" s="1"/>
      </tp>
      <tp>
        <v>62969.13</v>
        <stp/>
        <stp>P</stp>
        <stp>0</stp>
        <stp>FRN</stp>
        <stp>INI:BSE30</stp>
        <stp>현재가</stp>
        <stp>45076</stp>
        <stp>FILL=TRUE</stp>
        <tr r="I13" s="1"/>
        <tr r="I13" s="1"/>
      </tp>
      <tp>
        <v>2564.2800000000002</v>
        <stp/>
        <stp>P</stp>
        <stp>0</stp>
        <stp>IDX</stp>
        <stp>001</stp>
        <stp>현재가</stp>
        <stp>45107</stp>
        <stp>FILL=TRUE</stp>
        <tr r="E8" s="1"/>
      </tp>
      <tp>
        <v>64718.559999999998</v>
        <stp/>
        <stp>P</stp>
        <stp>0</stp>
        <stp>FRN</stp>
        <stp>INI:BSE30</stp>
        <stp>현재가</stp>
        <stp>45107</stp>
        <stp>FILL=TRUE</stp>
        <tr r="E13" s="1"/>
      </tp>
      <tp>
        <v>0</v>
        <stp/>
        <stp>P</stp>
        <stp>0</stp>
        <stp>FRN</stp>
        <stp>DJI:SX5E</stp>
        <stp>거래량</stp>
        <stp/>
        <stp/>
        <tr r="O21" s="1"/>
      </tp>
      <tp>
        <v>7263.37</v>
        <stp/>
        <stp>P</stp>
        <stp>0</stp>
        <stp>FRN</stp>
        <stp>PAS:CAC40</stp>
        <stp>현재가</stp>
        <stp>45015</stp>
        <stp>FILL=TRUE</stp>
        <tr r="K17" s="1"/>
        <tr r="K17" s="1"/>
      </tp>
      <tp>
        <v>6473.76</v>
        <stp/>
        <stp>P</stp>
        <stp>0</stp>
        <stp>FRN</stp>
        <stp>PAS:CAC40</stp>
        <stp>현재가</stp>
        <stp>44925</stp>
        <stp>FILL=TRUE</stp>
        <tr r="L17" s="1"/>
        <tr r="L17" s="1"/>
      </tp>
      <tp>
        <v>1074126</v>
        <stp/>
        <stp>P</stp>
        <stp>0</stp>
        <stp>FRN</stp>
        <stp>NII:NI225</stp>
        <stp>거래량</stp>
        <stp>45107</stp>
        <stp/>
        <tr r="O11" s="1"/>
      </tp>
      <tp>
        <v>0</v>
        <stp/>
        <stp>P</stp>
        <stp>0</stp>
        <stp>FRN</stp>
        <stp>PAS:CAC40</stp>
        <stp>거래량</stp>
        <stp>45107</stp>
        <stp/>
        <tr r="O17" s="1"/>
      </tp>
      <tp>
        <v>7209.75</v>
        <stp/>
        <stp>P</stp>
        <stp>0</stp>
        <stp>FRN</stp>
        <stp>PAS:CAC40</stp>
        <stp>현재가</stp>
        <stp>45076</stp>
        <stp>FILL=TRUE</stp>
        <tr r="I17" s="1"/>
        <tr r="I17" s="1"/>
      </tp>
      <tp>
        <v>7400.06</v>
        <stp/>
        <stp>P</stp>
        <stp>0</stp>
        <stp>FRN</stp>
        <stp>PAS:CAC40</stp>
        <stp>현재가</stp>
        <stp>45107</stp>
        <stp>FILL=TRUE</stp>
        <tr r="E17" s="1"/>
      </tp>
      <tp>
        <v>7163.42</v>
        <stp/>
        <stp>P</stp>
        <stp>0</stp>
        <stp>FRN</stp>
        <stp>PAS:CAC40</stp>
        <stp>현재가</stp>
        <stp>45100</stp>
        <stp>FILL=TRUE</stp>
        <tr r="H17" s="1"/>
        <tr r="H17" s="1"/>
      </tp>
      <tp>
        <v>196.59</v>
        <stp/>
        <stp>P</stp>
        <stp>0</stp>
        <stp>FRN</stp>
        <stp>NAS:IXIC</stp>
        <stp>전일대비</stp>
        <stp>45107</stp>
        <stp>FILL=TRUE</stp>
        <tr r="F19" s="1"/>
      </tp>
      <tp>
        <v>5922.86</v>
        <stp/>
        <stp>P</stp>
        <stp>0</stp>
        <stp>FRN</stp>
        <stp>PAS:CAC40</stp>
        <stp>현재가</stp>
        <stp>44742</stp>
        <stp>FILL=TRUE</stp>
        <tr r="M17" s="1"/>
        <tr r="M17" s="1"/>
      </tp>
      <tp>
        <v>298.70999999999998</v>
        <stp/>
        <stp>P</stp>
        <stp>0</stp>
        <stp>FRN</stp>
        <stp>CLI:IGPA</stp>
        <stp>전일대비</stp>
        <stp>45107</stp>
        <stp>FILL=TRUE</stp>
        <tr r="F14" s="1"/>
      </tp>
      <tp>
        <v>108.96</v>
        <stp/>
        <stp>P</stp>
        <stp>0</stp>
        <stp>FRN</stp>
        <stp>NAS:GOOGL</stp>
        <stp>현재가</stp>
        <stp>44742</stp>
        <stp>FILL=TRUE</stp>
        <tr r="I87" s="1"/>
        <tr r="I87" s="1"/>
      </tp>
      <tp>
        <v>2.2851400000000002</v>
        <stp/>
        <stp>P</stp>
        <stp>0</stp>
        <stp>IR</stp>
        <stp>IBRUSDBFRS  03M</stp>
        <stp>금리</stp>
        <stp>44742</stp>
        <stp>FILL=TRUE</stp>
        <tr r="I49" s="1"/>
      </tp>
      <tp>
        <v>3.6619999999999999</v>
        <stp/>
        <stp>P</stp>
        <stp>0</stp>
        <stp>IR</stp>
        <stp>BONDKSDCAL11</stp>
        <stp>대표수익률</stp>
        <stp>45107</stp>
        <stp/>
        <tr r="E45" s="1"/>
      </tp>
      <tp>
        <v>3.6629999999999998</v>
        <stp/>
        <stp>P</stp>
        <stp>0</stp>
        <stp>IR</stp>
        <stp>BONDKSDCAL12</stp>
        <stp>대표수익률</stp>
        <stp>45107</stp>
        <stp/>
        <tr r="E46" s="1"/>
      </tp>
      <tp>
        <v>3.6749999999999998</v>
        <stp/>
        <stp>P</stp>
        <stp>0</stp>
        <stp>IR</stp>
        <stp>BONDKSDCAL13</stp>
        <stp>대표수익률</stp>
        <stp>45107</stp>
        <stp/>
        <tr r="E47" s="1"/>
      </tp>
      <tp>
        <v>7451.74</v>
        <stp/>
        <stp>P</stp>
        <stp>0</stp>
        <stp>FRN</stp>
        <stp>LNS:FTSE100</stp>
        <stp>현재가</stp>
        <stp>20230101</stp>
        <stp>FILL=TRUE</stp>
        <tr r="N15" s="1"/>
        <tr r="N15" s="1"/>
      </tp>
      <tp>
        <v>100.89</v>
        <stp/>
        <stp>P</stp>
        <stp>0</stp>
        <stp>FRN</stp>
        <stp>NAS:GOOGL</stp>
        <stp>현재가</stp>
        <stp>45015</stp>
        <stp>FILL=TRUE</stp>
        <tr r="H87" s="1"/>
        <tr r="H87" s="1"/>
      </tp>
      <tp>
        <v>123.67</v>
        <stp/>
        <stp>P</stp>
        <stp>0</stp>
        <stp>FRN</stp>
        <stp>NAS:GOOGL</stp>
        <stp>현재가</stp>
        <stp>45076</stp>
        <stp>FILL=TRUE</stp>
        <tr r="G87" s="1"/>
        <tr r="G87" s="1"/>
      </tp>
      <tp>
        <v>119.7</v>
        <stp/>
        <stp>P</stp>
        <stp>0</stp>
        <stp>FRN</stp>
        <stp>NAS:GOOGL</stp>
        <stp>현재가</stp>
        <stp>45107</stp>
        <stp>FILL=TRUE</stp>
        <tr r="E87" s="1"/>
      </tp>
      <tp>
        <v>5.4960000000000004</v>
        <stp/>
        <stp>P</stp>
        <stp>0</stp>
        <stp>IR</stp>
        <stp>IBRUSDBFRS  03M</stp>
        <stp>금리</stp>
        <stp>45076</stp>
        <stp>FILL=TRUE</stp>
        <tr r="G49" s="1"/>
        <tr r="H49" s="1"/>
      </tp>
      <tp>
        <v>510933</v>
        <stp/>
        <stp>P</stp>
        <stp>0</stp>
        <stp>IDX</stp>
        <stp>001</stp>
        <stp>누적거래량</stp>
        <stp>45107</stp>
        <stp>fill=true</stp>
        <tr r="O8" s="1"/>
      </tp>
      <tp>
        <v>1.2E-2</v>
        <stp/>
        <stp>P</stp>
        <stp>0</stp>
        <stp>IR</stp>
        <stp>IBRUSDBFRS  03M</stp>
        <stp>전일대비</stp>
        <stp>45107</stp>
        <stp/>
        <tr r="F49" s="1"/>
      </tp>
      <tp>
        <v>3182.75</v>
        <stp/>
        <stp>P</stp>
        <stp>0</stp>
        <stp>FRN</stp>
        <stp>LME:ZDY</stp>
        <stp>현재가</stp>
        <stp>44742</stp>
        <stp>FILL=TRUE</stp>
        <tr r="P102" s="1"/>
        <tr r="P102" s="1"/>
      </tp>
      <tp>
        <v>85.64</v>
        <stp/>
        <stp>P</stp>
        <stp>0</stp>
        <stp>FRN</stp>
        <stp>NYS:XOM</stp>
        <stp>현재가</stp>
        <stp>44742</stp>
        <stp>FILL=TRUE</stp>
        <tr r="I81" s="1"/>
        <tr r="I81" s="1"/>
      </tp>
      <tp>
        <v>2963.5</v>
        <stp/>
        <stp>P</stp>
        <stp>0</stp>
        <stp>FRN</stp>
        <stp>LME:ZDY</stp>
        <stp>현재가</stp>
        <stp>45015</stp>
        <stp>FILL=TRUE</stp>
        <tr r="O102" s="1"/>
        <tr r="O102" s="1"/>
      </tp>
      <tp>
        <v>109.49</v>
        <stp/>
        <stp>P</stp>
        <stp>0</stp>
        <stp>FRN</stp>
        <stp>NYS:XOM</stp>
        <stp>현재가</stp>
        <stp>45015</stp>
        <stp>FILL=TRUE</stp>
        <tr r="H81" s="1"/>
        <tr r="H81" s="1"/>
      </tp>
      <tp>
        <v>26537987</v>
        <stp/>
        <stp>P</stp>
        <stp>0</stp>
        <stp>FRN</stp>
        <stp>SHS:000001</stp>
        <stp>거래량</stp>
        <stp>45107</stp>
        <stp/>
        <tr r="O9" s="1"/>
      </tp>
      <tp>
        <v>27606.58</v>
        <stp/>
        <stp>P</stp>
        <stp>0</stp>
        <stp>FRN</stp>
        <stp>CLI:IGPA</stp>
        <stp>현재가</stp>
        <stp>20230101</stp>
        <stp>FILL=TRUE</stp>
        <tr r="N14" s="1"/>
        <tr r="N14" s="1"/>
      </tp>
      <tp>
        <v>2382.25</v>
        <stp/>
        <stp>P</stp>
        <stp>0</stp>
        <stp>FRN</stp>
        <stp>LME:ZDY</stp>
        <stp>현재가</stp>
        <stp>45107</stp>
        <stp>FILL=TRUE</stp>
        <tr r="L102" s="1"/>
      </tp>
      <tp>
        <v>107.25</v>
        <stp/>
        <stp>P</stp>
        <stp>0</stp>
        <stp>FRN</stp>
        <stp>NYS:XOM</stp>
        <stp>현재가</stp>
        <stp>45107</stp>
        <stp>FILL=TRUE</stp>
        <tr r="E81" s="1"/>
      </tp>
      <tp>
        <v>2287.77</v>
        <stp/>
        <stp>P</stp>
        <stp>0</stp>
        <stp>FRN</stp>
        <stp>LME:ZDY</stp>
        <stp>현재가</stp>
        <stp>45076</stp>
        <stp>FILL=TRUE</stp>
        <tr r="N102" s="1"/>
        <tr r="N102" s="1"/>
      </tp>
      <tp>
        <v>104.04</v>
        <stp/>
        <stp>P</stp>
        <stp>0</stp>
        <stp>FRN</stp>
        <stp>NYS:XOM</stp>
        <stp>현재가</stp>
        <stp>45076</stp>
        <stp>FILL=TRUE</stp>
        <tr r="G81" s="1"/>
        <tr r="G81" s="1"/>
      </tp>
      <tp>
        <v>146.06</v>
        <stp/>
        <stp>P</stp>
        <stp>0</stp>
        <stp>FRN</stp>
        <stp>NYS:WMT</stp>
        <stp>현재가</stp>
        <stp>45076</stp>
        <stp>FILL=TRUE</stp>
        <tr r="G91" s="1"/>
        <tr r="G91" s="1"/>
      </tp>
      <tp>
        <v>47.9</v>
        <stp/>
        <stp>P</stp>
        <stp>0</stp>
        <stp>FRN</stp>
        <stp>XTR:BAS</stp>
        <stp>현재가</stp>
        <stp>45015</stp>
        <stp>FILL=TRUE</stp>
        <tr r="O90" s="1"/>
        <tr r="O90" s="1"/>
      </tp>
      <tp>
        <v>10466.48</v>
        <stp/>
        <stp>P</stp>
        <stp>0</stp>
        <stp>FRN</stp>
        <stp>NAS:IXIC</stp>
        <stp>현재가</stp>
        <stp>20230101</stp>
        <stp>FILL=TRUE</stp>
        <tr r="N19" s="1"/>
        <tr r="N19" s="1"/>
      </tp>
      <tp>
        <v>1903.5</v>
        <stp/>
        <stp>P</stp>
        <stp>0</stp>
        <stp>FRN</stp>
        <stp>LME:PDY</stp>
        <stp>현재가</stp>
        <stp>44742</stp>
        <stp>FILL=TRUE</stp>
        <tr r="P99" s="1"/>
        <tr r="P99" s="1"/>
      </tp>
      <tp>
        <v>157.18</v>
        <stp/>
        <stp>P</stp>
        <stp>0</stp>
        <stp>FRN</stp>
        <stp>NYS:WMT</stp>
        <stp>현재가</stp>
        <stp>45107</stp>
        <stp>FILL=TRUE</stp>
        <tr r="E91" s="1"/>
      </tp>
      <tp>
        <v>26689</v>
        <stp/>
        <stp>P</stp>
        <stp>0</stp>
        <stp>FRN</stp>
        <stp>LME:SDY</stp>
        <stp>현재가</stp>
        <stp>44742</stp>
        <stp>FILL=TRUE</stp>
        <tr r="P101" s="1"/>
        <tr r="P101" s="1"/>
      </tp>
      <tp>
        <v>44.47</v>
        <stp/>
        <stp>P</stp>
        <stp>0</stp>
        <stp>FRN</stp>
        <stp>XTR:BAS</stp>
        <stp>현재가</stp>
        <stp>45107</stp>
        <stp>FILL=TRUE</stp>
        <tr r="L90" s="1"/>
      </tp>
      <tp>
        <v>145.66999999999999</v>
        <stp/>
        <stp>P</stp>
        <stp>0</stp>
        <stp>FRN</stp>
        <stp>NYS:WMT</stp>
        <stp>현재가</stp>
        <stp>45015</stp>
        <stp>FILL=TRUE</stp>
        <tr r="H91" s="1"/>
        <tr r="H91" s="1"/>
      </tp>
      <tp>
        <v>45.98</v>
        <stp/>
        <stp>P</stp>
        <stp>0</stp>
        <stp>FRN</stp>
        <stp>XTR:BAS</stp>
        <stp>현재가</stp>
        <stp>45076</stp>
        <stp>FILL=TRUE</stp>
        <tr r="N90" s="1"/>
        <tr r="N90" s="1"/>
      </tp>
      <tp>
        <v>2143.5</v>
        <stp/>
        <stp>P</stp>
        <stp>0</stp>
        <stp>FRN</stp>
        <stp>LME:PDY</stp>
        <stp>현재가</stp>
        <stp>45107</stp>
        <stp>FILL=TRUE</stp>
        <tr r="L99" s="1"/>
      </tp>
      <tp>
        <v>121.58</v>
        <stp/>
        <stp>P</stp>
        <stp>0</stp>
        <stp>FRN</stp>
        <stp>NYS:WMT</stp>
        <stp>현재가</stp>
        <stp>44742</stp>
        <stp>FILL=TRUE</stp>
        <tr r="I91" s="1"/>
        <tr r="I91" s="1"/>
      </tp>
      <tp>
        <v>2064.75</v>
        <stp/>
        <stp>P</stp>
        <stp>0</stp>
        <stp>FRN</stp>
        <stp>LME:PDY</stp>
        <stp>현재가</stp>
        <stp>45076</stp>
        <stp>FILL=TRUE</stp>
        <tr r="N99" s="1"/>
        <tr r="N99" s="1"/>
      </tp>
      <tp>
        <v>26036</v>
        <stp/>
        <stp>P</stp>
        <stp>0</stp>
        <stp>FRN</stp>
        <stp>LME:SDY</stp>
        <stp>현재가</stp>
        <stp>45015</stp>
        <stp>FILL=TRUE</stp>
        <tr r="O101" s="1"/>
        <tr r="O101" s="1"/>
      </tp>
      <tp>
        <v>25867</v>
        <stp/>
        <stp>P</stp>
        <stp>0</stp>
        <stp>FRN</stp>
        <stp>LME:SDY</stp>
        <stp>현재가</stp>
        <stp>45076</stp>
        <stp>FILL=TRUE</stp>
        <tr r="N101" s="1"/>
        <tr r="N101" s="1"/>
      </tp>
      <tp>
        <v>2161.5</v>
        <stp/>
        <stp>P</stp>
        <stp>0</stp>
        <stp>FRN</stp>
        <stp>LME:PDY</stp>
        <stp>현재가</stp>
        <stp>45015</stp>
        <stp>FILL=TRUE</stp>
        <tr r="O99" s="1"/>
        <tr r="O99" s="1"/>
      </tp>
      <tp>
        <v>27462</v>
        <stp/>
        <stp>P</stp>
        <stp>0</stp>
        <stp>FRN</stp>
        <stp>LME:SDY</stp>
        <stp>현재가</stp>
        <stp>45107</stp>
        <stp>FILL=TRUE</stp>
        <tr r="L101" s="1"/>
      </tp>
      <tp>
        <v>41.53</v>
        <stp/>
        <stp>P</stp>
        <stp>0</stp>
        <stp>FRN</stp>
        <stp>XTR:BAS</stp>
        <stp>현재가</stp>
        <stp>44742</stp>
        <stp>FILL=TRUE</stp>
        <tr r="P90" s="1"/>
        <tr r="P90" s="1"/>
      </tp>
      <tp>
        <v>14137.69</v>
        <stp/>
        <stp>P</stp>
        <stp>0</stp>
        <stp>FRN</stp>
        <stp>TWS:TI01</stp>
        <stp>현재가</stp>
        <stp>20230101</stp>
        <stp>FILL=TRUE</stp>
        <tr r="N10" s="1"/>
        <tr r="N10" s="1"/>
      </tp>
      <tp>
        <v>6704.94</v>
        <stp/>
        <stp>P</stp>
        <stp>0</stp>
        <stp>FRN</stp>
        <stp>HSI:HSCE</stp>
        <stp>현재가</stp>
        <stp>20230101</stp>
        <stp>FILL=TRUE</stp>
        <tr r="N12" s="1"/>
        <tr r="N12" s="1"/>
      </tp>
      <tp>
        <v>3502</v>
        <stp/>
        <stp>P</stp>
        <stp>0</stp>
        <stp>FRN</stp>
        <stp>TSE:7751</stp>
        <stp>현재가</stp>
        <stp>45076</stp>
        <stp>FILL=TRUE</stp>
        <tr r="N79" s="1"/>
        <tr r="N79" s="1"/>
      </tp>
      <tp>
        <v>13355</v>
        <stp/>
        <stp>P</stp>
        <stp>0</stp>
        <stp>FRN</stp>
        <stp>TSE:6758</stp>
        <stp>현재가</stp>
        <stp>45076</stp>
        <stp>FILL=TRUE</stp>
        <tr r="N78" s="1"/>
        <tr r="N78" s="1"/>
      </tp>
      <tp>
        <v>3002</v>
        <stp/>
        <stp>P</stp>
        <stp>0</stp>
        <stp>FRN</stp>
        <stp>TSE:5401</stp>
        <stp>현재가</stp>
        <stp>45015</stp>
        <stp>FILL=TRUE</stp>
        <tr r="O81" s="1"/>
        <tr r="O81" s="1"/>
      </tp>
      <tp>
        <v>3880</v>
        <stp/>
        <stp>P</stp>
        <stp>0</stp>
        <stp>FRN</stp>
        <stp>TSE:9437</stp>
        <stp>현재가</stp>
        <stp>45015</stp>
        <stp>FILL=TRUE</stp>
        <tr r="O80" s="1"/>
        <tr r="O80" s="1"/>
      </tp>
      <tp>
        <v>566</v>
        <stp/>
        <stp>P</stp>
        <stp>0</stp>
        <stp>FRN</stp>
        <stp>TWS:2330</stp>
        <stp>현재가</stp>
        <stp>45076</stp>
        <stp>FILL=TRUE</stp>
        <tr r="N84" s="1"/>
        <tr r="N84" s="1"/>
      </tp>
      <tp>
        <v>31</v>
        <stp/>
        <stp>P</stp>
        <stp>0</stp>
        <stp>FRN</stp>
        <stp>TWS:2353</stp>
        <stp>현재가</stp>
        <stp>45076</stp>
        <stp>FILL=TRUE</stp>
        <tr r="N87" s="1"/>
        <tr r="N87" s="1"/>
      </tp>
      <tp>
        <v>23006.52</v>
        <stp/>
        <stp>P</stp>
        <stp>0</stp>
        <stp>FRN</stp>
        <stp>LME:NDY</stp>
        <stp>현재가</stp>
        <stp>45015</stp>
        <stp>FILL=TRUE</stp>
        <tr r="O100" s="1"/>
        <tr r="O100" s="1"/>
      </tp>
      <tp>
        <v>4450.38</v>
        <stp/>
        <stp>P</stp>
        <stp>0</stp>
        <stp>FRN</stp>
        <stp>SPI:SPX</stp>
        <stp>현재가</stp>
        <stp>45107</stp>
        <stp>FILL=TRUE</stp>
        <tr r="E20" s="1"/>
      </tp>
      <tp>
        <v>34407.599999999999</v>
        <stp/>
        <stp>P</stp>
        <stp>0</stp>
        <stp>FRN</stp>
        <stp>DJI:DJI</stp>
        <stp>현재가</stp>
        <stp>45107</stp>
        <stp>FILL=TRUE</stp>
        <tr r="E18" s="1"/>
      </tp>
      <tp>
        <v>3790</v>
        <stp/>
        <stp>P</stp>
        <stp>0</stp>
        <stp>FRN</stp>
        <stp>TSE:7751</stp>
        <stp>현재가</stp>
        <stp>45107</stp>
        <stp>FILL=TRUE</stp>
        <tr r="L79" s="1"/>
      </tp>
      <tp>
        <v>12965</v>
        <stp/>
        <stp>P</stp>
        <stp>0</stp>
        <stp>FRN</stp>
        <stp>TSE:6758</stp>
        <stp>현재가</stp>
        <stp>45107</stp>
        <stp>FILL=TRUE</stp>
        <tr r="L78" s="1"/>
      </tp>
      <tp>
        <v>2100</v>
        <stp/>
        <stp>P</stp>
        <stp>0</stp>
        <stp>FRN</stp>
        <stp>TSE:7203</stp>
        <stp>현재가</stp>
        <stp>44742</stp>
        <stp>FILL=TRUE</stp>
        <tr r="P77" s="1"/>
        <tr r="P77" s="1"/>
      </tp>
      <tp>
        <v>576</v>
        <stp/>
        <stp>P</stp>
        <stp>0</stp>
        <stp>FRN</stp>
        <stp>TWS:2330</stp>
        <stp>현재가</stp>
        <stp>45107</stp>
        <stp>FILL=TRUE</stp>
        <tr r="L84" s="1"/>
      </tp>
      <tp>
        <v>84.6</v>
        <stp/>
        <stp>P</stp>
        <stp>0</stp>
        <stp>FRN</stp>
        <stp>TWS:2603</stp>
        <stp>현재가</stp>
        <stp>44742</stp>
        <stp>FILL=TRUE</stp>
        <tr r="P86" s="1"/>
        <tr r="P86" s="1"/>
      </tp>
      <tp>
        <v>31.35</v>
        <stp/>
        <stp>P</stp>
        <stp>0</stp>
        <stp>FRN</stp>
        <stp>TWS:2353</stp>
        <stp>현재가</stp>
        <stp>45107</stp>
        <stp>FILL=TRUE</stp>
        <tr r="L87" s="1"/>
      </tp>
      <tp>
        <v>112.61</v>
        <stp/>
        <stp>P</stp>
        <stp>0</stp>
        <stp>FRN</stp>
        <stp>NYS:JPM</stp>
        <stp>현재가</stp>
        <stp>44742</stp>
        <stp>FILL=TRUE</stp>
        <tr r="I85" s="1"/>
        <tr r="I85" s="1"/>
      </tp>
      <tp>
        <v>4205.5200000000004</v>
        <stp/>
        <stp>P</stp>
        <stp>0</stp>
        <stp>FRN</stp>
        <stp>SPI:SPX</stp>
        <stp>현재가</stp>
        <stp>45076</stp>
        <stp>FILL=TRUE</stp>
        <tr r="I20" s="1"/>
        <tr r="I20" s="1"/>
      </tp>
      <tp>
        <v>33042.78</v>
        <stp/>
        <stp>P</stp>
        <stp>0</stp>
        <stp>FRN</stp>
        <stp>DJI:DJI</stp>
        <stp>현재가</stp>
        <stp>45076</stp>
        <stp>FILL=TRUE</stp>
        <tr r="I18" s="1"/>
        <tr r="I18" s="1"/>
      </tp>
      <tp>
        <v>3004</v>
        <stp/>
        <stp>P</stp>
        <stp>0</stp>
        <stp>FRN</stp>
        <stp>TSE:5401</stp>
        <stp>현재가</stp>
        <stp>45107</stp>
        <stp>FILL=TRUE</stp>
        <tr r="L81" s="1"/>
      </tp>
      <tp>
        <v>3880</v>
        <stp/>
        <stp>P</stp>
        <stp>0</stp>
        <stp>FRN</stp>
        <stp>TSE:9437</stp>
        <stp>현재가</stp>
        <stp>45107</stp>
        <stp>FILL=TRUE</stp>
        <tr r="L80" s="1"/>
      </tp>
      <tp>
        <v>20346.13</v>
        <stp/>
        <stp>P</stp>
        <stp>0</stp>
        <stp>FRN</stp>
        <stp>LME:NDY</stp>
        <stp>현재가</stp>
        <stp>45107</stp>
        <stp>FILL=TRUE</stp>
        <tr r="L100" s="1"/>
      </tp>
      <tp>
        <v>4050.83</v>
        <stp/>
        <stp>P</stp>
        <stp>0</stp>
        <stp>FRN</stp>
        <stp>SPI:SPX</stp>
        <stp>현재가</stp>
        <stp>45015</stp>
        <stp>FILL=TRUE</stp>
        <tr r="K20" s="1"/>
        <tr r="K20" s="1"/>
      </tp>
      <tp>
        <v>32859.03</v>
        <stp/>
        <stp>P</stp>
        <stp>0</stp>
        <stp>FRN</stp>
        <stp>DJI:DJI</stp>
        <stp>현재가</stp>
        <stp>45015</stp>
        <stp>FILL=TRUE</stp>
        <tr r="K18" s="1"/>
        <tr r="K18" s="1"/>
      </tp>
      <tp>
        <v>3839.5</v>
        <stp/>
        <stp>P</stp>
        <stp>0</stp>
        <stp>FRN</stp>
        <stp>SPI:SPX</stp>
        <stp>현재가</stp>
        <stp>44925</stp>
        <stp>FILL=TRUE</stp>
        <tr r="L20" s="1"/>
        <tr r="L20" s="1"/>
      </tp>
      <tp>
        <v>33147.25</v>
        <stp/>
        <stp>P</stp>
        <stp>0</stp>
        <stp>FRN</stp>
        <stp>DJI:DJI</stp>
        <stp>현재가</stp>
        <stp>44925</stp>
        <stp>FILL=TRUE</stp>
        <tr r="L18" s="1"/>
        <tr r="L18" s="1"/>
      </tp>
      <tp>
        <v>141.19</v>
        <stp/>
        <stp>P</stp>
        <stp>0</stp>
        <stp>FRN</stp>
        <stp>NYS:IBM</stp>
        <stp>현재가</stp>
        <stp>44742</stp>
        <stp>FILL=TRUE</stp>
        <tr r="I80" s="1"/>
        <tr r="I80" s="1"/>
      </tp>
      <tp>
        <v>2934</v>
        <stp/>
        <stp>P</stp>
        <stp>0</stp>
        <stp>FRN</stp>
        <stp>TSE:7751</stp>
        <stp>현재가</stp>
        <stp>45015</stp>
        <stp>FILL=TRUE</stp>
        <tr r="O79" s="1"/>
        <tr r="O79" s="1"/>
      </tp>
      <tp>
        <v>11735</v>
        <stp/>
        <stp>P</stp>
        <stp>0</stp>
        <stp>FRN</stp>
        <stp>TSE:6758</stp>
        <stp>현재가</stp>
        <stp>45015</stp>
        <stp>FILL=TRUE</stp>
        <tr r="O78" s="1"/>
        <tr r="O78" s="1"/>
      </tp>
      <tp>
        <v>2837</v>
        <stp/>
        <stp>P</stp>
        <stp>0</stp>
        <stp>FRN</stp>
        <stp>TSE:5401</stp>
        <stp>현재가</stp>
        <stp>45076</stp>
        <stp>FILL=TRUE</stp>
        <tr r="N81" s="1"/>
        <tr r="N81" s="1"/>
      </tp>
      <tp>
        <v>3880</v>
        <stp/>
        <stp>P</stp>
        <stp>0</stp>
        <stp>FRN</stp>
        <stp>TSE:9437</stp>
        <stp>현재가</stp>
        <stp>45076</stp>
        <stp>FILL=TRUE</stp>
        <tr r="N80" s="1"/>
        <tr r="N80" s="1"/>
      </tp>
      <tp>
        <v>535</v>
        <stp/>
        <stp>P</stp>
        <stp>0</stp>
        <stp>FRN</stp>
        <stp>TWS:2330</stp>
        <stp>현재가</stp>
        <stp>45015</stp>
        <stp>FILL=TRUE</stp>
        <tr r="O84" s="1"/>
        <tr r="O84" s="1"/>
      </tp>
      <tp>
        <v>16.3</v>
        <stp/>
        <stp>P</stp>
        <stp>0</stp>
        <stp>FRN</stp>
        <stp>TWS:2409</stp>
        <stp>현재가</stp>
        <stp>44742</stp>
        <stp>FILL=TRUE</stp>
        <tr r="P85" s="1"/>
        <tr r="P85" s="1"/>
      </tp>
      <tp>
        <v>28.4</v>
        <stp/>
        <stp>P</stp>
        <stp>0</stp>
        <stp>FRN</stp>
        <stp>TWS:2353</stp>
        <stp>현재가</stp>
        <stp>45015</stp>
        <stp>FILL=TRUE</stp>
        <tr r="O87" s="1"/>
        <tr r="O87" s="1"/>
      </tp>
      <tp>
        <v>32.78</v>
        <stp/>
        <stp>P</stp>
        <stp>0</stp>
        <stp>FRN</stp>
        <stp>NYS:HPQ</stp>
        <stp>현재가</stp>
        <stp>44742</stp>
        <stp>FILL=TRUE</stp>
        <tr r="I79" s="1"/>
        <tr r="I79" s="1"/>
      </tp>
      <tp>
        <v>20865.5</v>
        <stp/>
        <stp>P</stp>
        <stp>0</stp>
        <stp>FRN</stp>
        <stp>LME:NDY</stp>
        <stp>현재가</stp>
        <stp>45076</stp>
        <stp>FILL=TRUE</stp>
        <tr r="N100" s="1"/>
        <tr r="N100" s="1"/>
      </tp>
      <tp>
        <v>24.38</v>
        <stp/>
        <stp>P</stp>
        <stp>0</stp>
        <stp>FRN</stp>
        <stp>PAS:VIV</stp>
        <stp>현재가</stp>
        <stp>44742</stp>
        <stp>FILL=TRUE</stp>
        <tr r="P89" s="1"/>
        <tr r="P89" s="1"/>
      </tp>
      <tp>
        <v>3085</v>
        <stp/>
        <stp>P</stp>
        <stp>0</stp>
        <stp>FRN</stp>
        <stp>TSE:7751</stp>
        <stp>현재가</stp>
        <stp>44742</stp>
        <stp>FILL=TRUE</stp>
        <tr r="P79" s="1"/>
        <tr r="P79" s="1"/>
      </tp>
      <tp>
        <v>11095</v>
        <stp/>
        <stp>P</stp>
        <stp>0</stp>
        <stp>FRN</stp>
        <stp>TSE:6758</stp>
        <stp>현재가</stp>
        <stp>44742</stp>
        <stp>FILL=TRUE</stp>
        <tr r="P78" s="1"/>
        <tr r="P78" s="1"/>
      </tp>
      <tp>
        <v>2308.5</v>
        <stp/>
        <stp>P</stp>
        <stp>0</stp>
        <stp>FRN</stp>
        <stp>TSE:7203</stp>
        <stp>현재가</stp>
        <stp>45107</stp>
        <stp>FILL=TRUE</stp>
        <tr r="L77" s="1"/>
      </tp>
      <tp>
        <v>476</v>
        <stp/>
        <stp>P</stp>
        <stp>0</stp>
        <stp>FRN</stp>
        <stp>TWS:2330</stp>
        <stp>현재가</stp>
        <stp>44742</stp>
        <stp>FILL=TRUE</stp>
        <tr r="P84" s="1"/>
        <tr r="P84" s="1"/>
      </tp>
      <tp>
        <v>93.5</v>
        <stp/>
        <stp>P</stp>
        <stp>0</stp>
        <stp>FRN</stp>
        <stp>TWS:2603</stp>
        <stp>현재가</stp>
        <stp>45107</stp>
        <stp>FILL=TRUE</stp>
        <tr r="L86" s="1"/>
      </tp>
      <tp>
        <v>18.350000000000001</v>
        <stp/>
        <stp>P</stp>
        <stp>0</stp>
        <stp>FRN</stp>
        <stp>TWS:2409</stp>
        <stp>현재가</stp>
        <stp>45015</stp>
        <stp>FILL=TRUE</stp>
        <tr r="O85" s="1"/>
        <tr r="O85" s="1"/>
      </tp>
      <tp>
        <v>21.7</v>
        <stp/>
        <stp>P</stp>
        <stp>0</stp>
        <stp>FRN</stp>
        <stp>TWS:2353</stp>
        <stp>현재가</stp>
        <stp>44742</stp>
        <stp>FILL=TRUE</stp>
        <tr r="P87" s="1"/>
        <tr r="P87" s="1"/>
      </tp>
      <tp>
        <v>24.38</v>
        <stp/>
        <stp>P</stp>
        <stp>0</stp>
        <stp>FRN</stp>
        <stp>PAS:VIV</stp>
        <stp>현재가</stp>
        <stp>45015</stp>
        <stp>FILL=TRUE</stp>
        <tr r="O89" s="1"/>
        <tr r="O89" s="1"/>
      </tp>
      <tp>
        <v>145.44</v>
        <stp/>
        <stp>P</stp>
        <stp>0</stp>
        <stp>FRN</stp>
        <stp>NYS:JPM</stp>
        <stp>현재가</stp>
        <stp>45107</stp>
        <stp>FILL=TRUE</stp>
        <tr r="E85" s="1"/>
      </tp>
      <tp>
        <v>28.9</v>
        <stp/>
        <stp>P</stp>
        <stp>0</stp>
        <stp>FRN</stp>
        <stp>NYS:HPQ</stp>
        <stp>현재가</stp>
        <stp>45015</stp>
        <stp>FILL=TRUE</stp>
        <tr r="H79" s="1"/>
        <tr r="H79" s="1"/>
      </tp>
      <tp>
        <v>1940</v>
        <stp/>
        <stp>P</stp>
        <stp>0</stp>
        <stp>FRN</stp>
        <stp>TSE:7203</stp>
        <stp>현재가</stp>
        <stp>45076</stp>
        <stp>FILL=TRUE</stp>
        <tr r="N77" s="1"/>
        <tr r="N77" s="1"/>
      </tp>
      <tp>
        <v>153.5</v>
        <stp/>
        <stp>P</stp>
        <stp>0</stp>
        <stp>FRN</stp>
        <stp>TWS:2603</stp>
        <stp>현재가</stp>
        <stp>45076</stp>
        <stp>FILL=TRUE</stp>
        <tr r="N86" s="1"/>
        <tr r="N86" s="1"/>
      </tp>
      <tp>
        <v>137.46</v>
        <stp/>
        <stp>P</stp>
        <stp>0</stp>
        <stp>FRN</stp>
        <stp>NYS:JPM</stp>
        <stp>현재가</stp>
        <stp>45076</stp>
        <stp>FILL=TRUE</stp>
        <tr r="G85" s="1"/>
        <tr r="G85" s="1"/>
      </tp>
      <tp>
        <v>3785.38</v>
        <stp/>
        <stp>P</stp>
        <stp>0</stp>
        <stp>FRN</stp>
        <stp>SPI:SPX</stp>
        <stp>현재가</stp>
        <stp>44742</stp>
        <stp>FILL=TRUE</stp>
        <tr r="M20" s="1"/>
        <tr r="M20" s="1"/>
      </tp>
      <tp>
        <v>30775.43</v>
        <stp/>
        <stp>P</stp>
        <stp>0</stp>
        <stp>FRN</stp>
        <stp>DJI:DJI</stp>
        <stp>현재가</stp>
        <stp>44742</stp>
        <stp>FILL=TRUE</stp>
        <tr r="M18" s="1"/>
        <tr r="M18" s="1"/>
      </tp>
      <tp>
        <v>129.22</v>
        <stp/>
        <stp>P</stp>
        <stp>0</stp>
        <stp>FRN</stp>
        <stp>NYS:IBM</stp>
        <stp>현재가</stp>
        <stp>45015</stp>
        <stp>FILL=TRUE</stp>
        <tr r="H80" s="1"/>
        <tr r="H80" s="1"/>
      </tp>
      <tp>
        <v>1842</v>
        <stp/>
        <stp>P</stp>
        <stp>0</stp>
        <stp>FRN</stp>
        <stp>TSE:7203</stp>
        <stp>현재가</stp>
        <stp>45015</stp>
        <stp>FILL=TRUE</stp>
        <tr r="O77" s="1"/>
        <tr r="O77" s="1"/>
      </tp>
      <tp>
        <v>158</v>
        <stp/>
        <stp>P</stp>
        <stp>0</stp>
        <stp>FRN</stp>
        <stp>TWS:2603</stp>
        <stp>현재가</stp>
        <stp>45015</stp>
        <stp>FILL=TRUE</stp>
        <tr r="O86" s="1"/>
        <tr r="O86" s="1"/>
      </tp>
      <tp>
        <v>18.600000000000001</v>
        <stp/>
        <stp>P</stp>
        <stp>0</stp>
        <stp>FRN</stp>
        <stp>TWS:2409</stp>
        <stp>현재가</stp>
        <stp>45107</stp>
        <stp>FILL=TRUE</stp>
        <tr r="L85" s="1"/>
      </tp>
      <tp>
        <v>24.38</v>
        <stp/>
        <stp>P</stp>
        <stp>0</stp>
        <stp>FRN</stp>
        <stp>PAS:VIV</stp>
        <stp>현재가</stp>
        <stp>45107</stp>
        <stp>FILL=TRUE</stp>
        <tr r="L89" s="1"/>
      </tp>
      <tp>
        <v>128.75</v>
        <stp/>
        <stp>P</stp>
        <stp>0</stp>
        <stp>FRN</stp>
        <stp>NYS:JPM</stp>
        <stp>현재가</stp>
        <stp>45015</stp>
        <stp>FILL=TRUE</stp>
        <tr r="H85" s="1"/>
        <tr r="H85" s="1"/>
      </tp>
      <tp>
        <v>30.71</v>
        <stp/>
        <stp>P</stp>
        <stp>0</stp>
        <stp>FRN</stp>
        <stp>NYS:HPQ</stp>
        <stp>현재가</stp>
        <stp>45107</stp>
        <stp>FILL=TRUE</stp>
        <tr r="E79" s="1"/>
      </tp>
      <tp>
        <v>129.47999999999999</v>
        <stp/>
        <stp>P</stp>
        <stp>0</stp>
        <stp>FRN</stp>
        <stp>NYS:IBM</stp>
        <stp>현재가</stp>
        <stp>45076</stp>
        <stp>FILL=TRUE</stp>
        <tr r="G80" s="1"/>
        <tr r="G80" s="1"/>
      </tp>
      <tp>
        <v>1899</v>
        <stp/>
        <stp>P</stp>
        <stp>0</stp>
        <stp>FRN</stp>
        <stp>TSE:5401</stp>
        <stp>현재가</stp>
        <stp>44742</stp>
        <stp>FILL=TRUE</stp>
        <tr r="P81" s="1"/>
        <tr r="P81" s="1"/>
      </tp>
      <tp>
        <v>3880</v>
        <stp/>
        <stp>P</stp>
        <stp>0</stp>
        <stp>FRN</stp>
        <stp>TSE:9437</stp>
        <stp>현재가</stp>
        <stp>44742</stp>
        <stp>FILL=TRUE</stp>
        <tr r="P80" s="1"/>
        <tr r="P80" s="1"/>
      </tp>
      <tp>
        <v>17.600000000000001</v>
        <stp/>
        <stp>P</stp>
        <stp>0</stp>
        <stp>FRN</stp>
        <stp>TWS:2409</stp>
        <stp>현재가</stp>
        <stp>45076</stp>
        <stp>FILL=TRUE</stp>
        <tr r="N85" s="1"/>
        <tr r="N85" s="1"/>
      </tp>
      <tp>
        <v>22643</v>
        <stp/>
        <stp>P</stp>
        <stp>0</stp>
        <stp>FRN</stp>
        <stp>LME:NDY</stp>
        <stp>현재가</stp>
        <stp>44742</stp>
        <stp>FILL=TRUE</stp>
        <tr r="P100" s="1"/>
        <tr r="P100" s="1"/>
      </tp>
      <tp>
        <v>24.38</v>
        <stp/>
        <stp>P</stp>
        <stp>0</stp>
        <stp>FRN</stp>
        <stp>PAS:VIV</stp>
        <stp>현재가</stp>
        <stp>45076</stp>
        <stp>FILL=TRUE</stp>
        <tr r="N89" s="1"/>
        <tr r="N89" s="1"/>
      </tp>
      <tp>
        <v>30.93</v>
        <stp/>
        <stp>P</stp>
        <stp>0</stp>
        <stp>FRN</stp>
        <stp>NYS:HPQ</stp>
        <stp>현재가</stp>
        <stp>45076</stp>
        <stp>FILL=TRUE</stp>
        <tr r="G79" s="1"/>
        <tr r="G79" s="1"/>
      </tp>
      <tp>
        <v>4348.33</v>
        <stp/>
        <stp>P</stp>
        <stp>0</stp>
        <stp>FRN</stp>
        <stp>SPI:SPX</stp>
        <stp>현재가</stp>
        <stp>45100</stp>
        <stp>FILL=TRUE</stp>
        <tr r="H20" s="1"/>
        <tr r="H20" s="1"/>
      </tp>
      <tp>
        <v>33727.43</v>
        <stp/>
        <stp>P</stp>
        <stp>0</stp>
        <stp>FRN</stp>
        <stp>DJI:DJI</stp>
        <stp>현재가</stp>
        <stp>45100</stp>
        <stp>FILL=TRUE</stp>
        <tr r="H18" s="1"/>
        <tr r="H18" s="1"/>
      </tp>
      <tp>
        <v>133.81</v>
        <stp/>
        <stp>P</stp>
        <stp>0</stp>
        <stp>FRN</stp>
        <stp>NYS:IBM</stp>
        <stp>현재가</stp>
        <stp>45107</stp>
        <stp>FILL=TRUE</stp>
        <tr r="E80" s="1"/>
      </tp>
      <tp>
        <v>1920</v>
        <stp/>
        <stp>P</stp>
        <stp>0</stp>
        <stp>FRN</stp>
        <stp>LME:AAY</stp>
        <stp>현재가</stp>
        <stp>44742</stp>
        <stp>FILL=TRUE</stp>
        <tr r="P96" s="1"/>
        <tr r="P96" s="1"/>
      </tp>
      <tp>
        <v>2426</v>
        <stp/>
        <stp>P</stp>
        <stp>0</stp>
        <stp>FRN</stp>
        <stp>LME:ADY</stp>
        <stp>현재가</stp>
        <stp>44742</stp>
        <stp>FILL=TRUE</stp>
        <tr r="P97" s="1"/>
        <tr r="P97" s="1"/>
      </tp>
      <tp>
        <v>3793.62</v>
        <stp/>
        <stp>P</stp>
        <stp>0</stp>
        <stp>FRN</stp>
        <stp>DJI:SX5E</stp>
        <stp>현재가</stp>
        <stp>20230101</stp>
        <stp>FILL=TRUE</stp>
        <tr r="N21" s="1"/>
        <tr r="N21" s="1"/>
      </tp>
      <tp>
        <v>31.13</v>
        <stp/>
        <stp>P</stp>
        <stp>0</stp>
        <stp>FRN</stp>
        <stp>NYS:BAC</stp>
        <stp>현재가</stp>
        <stp>44742</stp>
        <stp>FILL=TRUE</stp>
        <tr r="I84" s="1"/>
        <tr r="I84" s="1"/>
      </tp>
      <tp>
        <v>8254.25</v>
        <stp/>
        <stp>P</stp>
        <stp>0</stp>
        <stp>FRN</stp>
        <stp>LME:CDY</stp>
        <stp>현재가</stp>
        <stp>44742</stp>
        <stp>FILL=TRUE</stp>
        <tr r="P98" s="1"/>
        <tr r="P98" s="1"/>
      </tp>
      <tp>
        <v>0.1</v>
        <stp/>
        <stp>P</stp>
        <stp>0</stp>
        <stp>FX</stp>
        <stp>USDSP_AMBC</stp>
        <stp>전일대비</stp>
        <stp>45107</stp>
        <stp>FILL=TRUE</stp>
        <tr r="F63" s="1"/>
      </tp>
      <tp>
        <v>388.3</v>
        <stp/>
        <stp>P</stp>
        <stp>0</stp>
        <stp>FRN</stp>
        <stp>LNS:BP.</stp>
        <stp>현재가</stp>
        <stp>44742</stp>
        <stp>FILL=TRUE</stp>
        <tr r="P83" s="1"/>
        <tr r="P83" s="1"/>
      </tp>
      <tp>
        <v>1950</v>
        <stp/>
        <stp>P</stp>
        <stp>0</stp>
        <stp>FRN</stp>
        <stp>LME:AAY</stp>
        <stp>현재가</stp>
        <stp>45076</stp>
        <stp>FILL=TRUE</stp>
        <tr r="N96" s="1"/>
        <tr r="N96" s="1"/>
      </tp>
      <tp>
        <v>2251.5100000000002</v>
        <stp/>
        <stp>P</stp>
        <stp>0</stp>
        <stp>FRN</stp>
        <stp>LME:ADY</stp>
        <stp>현재가</stp>
        <stp>45076</stp>
        <stp>FILL=TRUE</stp>
        <tr r="N97" s="1"/>
        <tr r="N97" s="1"/>
      </tp>
      <tp>
        <v>513.20000000000005</v>
        <stp/>
        <stp>P</stp>
        <stp>0</stp>
        <stp>FRN</stp>
        <stp>LNS:BP.</stp>
        <stp>현재가</stp>
        <stp>45015</stp>
        <stp>FILL=TRUE</stp>
        <tr r="O83" s="1"/>
        <tr r="O83" s="1"/>
      </tp>
      <tp>
        <v>28.69</v>
        <stp/>
        <stp>P</stp>
        <stp>0</stp>
        <stp>FRN</stp>
        <stp>NYS:BAC</stp>
        <stp>현재가</stp>
        <stp>45107</stp>
        <stp>FILL=TRUE</stp>
        <tr r="E84" s="1"/>
      </tp>
      <tp>
        <v>1955</v>
        <stp/>
        <stp>P</stp>
        <stp>0</stp>
        <stp>FRN</stp>
        <stp>LME:AAY</stp>
        <stp>현재가</stp>
        <stp>45107</stp>
        <stp>FILL=TRUE</stp>
        <tr r="L96" s="1"/>
      </tp>
      <tp>
        <v>2110.5</v>
        <stp/>
        <stp>P</stp>
        <stp>0</stp>
        <stp>FRN</stp>
        <stp>LME:ADY</stp>
        <stp>현재가</stp>
        <stp>45107</stp>
        <stp>FILL=TRUE</stp>
        <tr r="L97" s="1"/>
      </tp>
      <tp>
        <v>9003.25</v>
        <stp/>
        <stp>P</stp>
        <stp>0</stp>
        <stp>FRN</stp>
        <stp>LME:CDY</stp>
        <stp>현재가</stp>
        <stp>45015</stp>
        <stp>FILL=TRUE</stp>
        <tr r="O98" s="1"/>
        <tr r="O98" s="1"/>
      </tp>
      <tp>
        <v>28.26</v>
        <stp/>
        <stp>P</stp>
        <stp>0</stp>
        <stp>FRN</stp>
        <stp>NYS:BAC</stp>
        <stp>현재가</stp>
        <stp>45076</stp>
        <stp>FILL=TRUE</stp>
        <tr r="G84" s="1"/>
        <tr r="G84" s="1"/>
      </tp>
      <tp>
        <v>8103</v>
        <stp/>
        <stp>P</stp>
        <stp>0</stp>
        <stp>FRN</stp>
        <stp>LME:CDY</stp>
        <stp>현재가</stp>
        <stp>45076</stp>
        <stp>FILL=TRUE</stp>
        <tr r="N98" s="1"/>
        <tr r="N98" s="1"/>
      </tp>
      <tp>
        <v>458.35</v>
        <stp/>
        <stp>P</stp>
        <stp>0</stp>
        <stp>FRN</stp>
        <stp>LNS:BP.</stp>
        <stp>현재가</stp>
        <stp>45107</stp>
        <stp>FILL=TRUE</stp>
        <tr r="L83" s="1"/>
      </tp>
      <tp>
        <v>28.3</v>
        <stp/>
        <stp>P</stp>
        <stp>0</stp>
        <stp>FRN</stp>
        <stp>NYS:BAC</stp>
        <stp>현재가</stp>
        <stp>45015</stp>
        <stp>FILL=TRUE</stp>
        <tr r="H84" s="1"/>
        <tr r="H84" s="1"/>
      </tp>
      <tp>
        <v>1954</v>
        <stp/>
        <stp>P</stp>
        <stp>0</stp>
        <stp>FRN</stp>
        <stp>LME:AAY</stp>
        <stp>현재가</stp>
        <stp>45015</stp>
        <stp>FILL=TRUE</stp>
        <tr r="O96" s="1"/>
        <tr r="O96" s="1"/>
      </tp>
      <tp>
        <v>8322.0499999999993</v>
        <stp/>
        <stp>P</stp>
        <stp>0</stp>
        <stp>FRN</stp>
        <stp>LME:CDY</stp>
        <stp>현재가</stp>
        <stp>45107</stp>
        <stp>FILL=TRUE</stp>
        <tr r="L98" s="1"/>
      </tp>
      <tp>
        <v>2344.25</v>
        <stp/>
        <stp>P</stp>
        <stp>0</stp>
        <stp>FRN</stp>
        <stp>LME:ADY</stp>
        <stp>현재가</stp>
        <stp>45015</stp>
        <stp>FILL=TRUE</stp>
        <tr r="O97" s="1"/>
        <tr r="O97" s="1"/>
      </tp>
      <tp>
        <v>466.6</v>
        <stp/>
        <stp>P</stp>
        <stp>0</stp>
        <stp>FRN</stp>
        <stp>LNS:BP.</stp>
        <stp>현재가</stp>
        <stp>45076</stp>
        <stp>FILL=TRUE</stp>
        <tr r="N83" s="1"/>
        <tr r="N8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160862106616623E-2"/>
          <c:y val="9.5361106567910497E-2"/>
          <c:w val="0.92947876448462219"/>
          <c:h val="0.77668824037944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'세계주요증시 및 상품시세'!$I$7</c:f>
              <c:strCache>
                <c:ptCount val="1"/>
                <c:pt idx="0">
                  <c:v>1M(%)</c:v>
                </c:pt>
              </c:strCache>
            </c:strRef>
          </c:tx>
          <c:spPr>
            <a:solidFill>
              <a:srgbClr val="3366CC"/>
            </a:solidFill>
            <a:effectLst/>
          </c:spPr>
          <c:invertIfNegative val="0"/>
          <c:cat>
            <c:strRef>
              <c:f>'세계주요증시 및 상품시세'!$D$8:$D$21</c:f>
              <c:strCache>
                <c:ptCount val="14"/>
                <c:pt idx="0">
                  <c:v>KOSPI</c:v>
                </c:pt>
                <c:pt idx="1">
                  <c:v>상해종합</c:v>
                </c:pt>
                <c:pt idx="2">
                  <c:v>대만</c:v>
                </c:pt>
                <c:pt idx="3">
                  <c:v>일본</c:v>
                </c:pt>
                <c:pt idx="4">
                  <c:v>항셍H</c:v>
                </c:pt>
                <c:pt idx="5">
                  <c:v>인도</c:v>
                </c:pt>
                <c:pt idx="6">
                  <c:v>칠레</c:v>
                </c:pt>
                <c:pt idx="7">
                  <c:v>영국</c:v>
                </c:pt>
                <c:pt idx="8">
                  <c:v>독일</c:v>
                </c:pt>
                <c:pt idx="9">
                  <c:v>프랑스</c:v>
                </c:pt>
                <c:pt idx="10">
                  <c:v>다우존스</c:v>
                </c:pt>
                <c:pt idx="11">
                  <c:v>나스닥</c:v>
                </c:pt>
                <c:pt idx="12">
                  <c:v>S&amp;P</c:v>
                </c:pt>
                <c:pt idx="13">
                  <c:v>EURO STOXX50</c:v>
                </c:pt>
              </c:strCache>
            </c:strRef>
          </c:cat>
          <c:val>
            <c:numRef>
              <c:f>'세계주요증시 및 상품시세'!$I$8:$I$21</c:f>
              <c:numCache>
                <c:formatCode>0.00_ </c:formatCode>
                <c:ptCount val="14"/>
                <c:pt idx="0">
                  <c:v>-0.82149818991923418</c:v>
                </c:pt>
                <c:pt idx="1">
                  <c:v>-0.68698999134672034</c:v>
                </c:pt>
                <c:pt idx="2">
                  <c:v>1.7614424577416192</c:v>
                </c:pt>
                <c:pt idx="3">
                  <c:v>5.9399594486238616</c:v>
                </c:pt>
                <c:pt idx="4">
                  <c:v>2.2466027235502604</c:v>
                </c:pt>
                <c:pt idx="5">
                  <c:v>2.7782343507048619</c:v>
                </c:pt>
                <c:pt idx="6">
                  <c:v>3.802315697605045</c:v>
                </c:pt>
                <c:pt idx="7">
                  <c:v>0.12576325399790267</c:v>
                </c:pt>
                <c:pt idx="8">
                  <c:v>1.5022399397570279</c:v>
                </c:pt>
                <c:pt idx="9">
                  <c:v>2.6396199590831917</c:v>
                </c:pt>
                <c:pt idx="10">
                  <c:v>4.1304635990071041</c:v>
                </c:pt>
                <c:pt idx="11">
                  <c:v>5.9189102610884001</c:v>
                </c:pt>
                <c:pt idx="12">
                  <c:v>5.8223477715003051</c:v>
                </c:pt>
                <c:pt idx="13">
                  <c:v>2.5051379678346954</c:v>
                </c:pt>
              </c:numCache>
            </c:numRef>
          </c:val>
        </c:ser>
        <c:ser>
          <c:idx val="1"/>
          <c:order val="1"/>
          <c:tx>
            <c:strRef>
              <c:f>'세계주요증시 및 상품시세'!$L$7</c:f>
              <c:strCache>
                <c:ptCount val="1"/>
                <c:pt idx="0">
                  <c:v>6M(%)</c:v>
                </c:pt>
              </c:strCache>
            </c:strRef>
          </c:tx>
          <c:spPr>
            <a:solidFill>
              <a:srgbClr val="33CCCC"/>
            </a:solidFill>
            <a:effectLst/>
          </c:spPr>
          <c:invertIfNegative val="0"/>
          <c:cat>
            <c:strRef>
              <c:f>'세계주요증시 및 상품시세'!$D$8:$D$21</c:f>
              <c:strCache>
                <c:ptCount val="14"/>
                <c:pt idx="0">
                  <c:v>KOSPI</c:v>
                </c:pt>
                <c:pt idx="1">
                  <c:v>상해종합</c:v>
                </c:pt>
                <c:pt idx="2">
                  <c:v>대만</c:v>
                </c:pt>
                <c:pt idx="3">
                  <c:v>일본</c:v>
                </c:pt>
                <c:pt idx="4">
                  <c:v>항셍H</c:v>
                </c:pt>
                <c:pt idx="5">
                  <c:v>인도</c:v>
                </c:pt>
                <c:pt idx="6">
                  <c:v>칠레</c:v>
                </c:pt>
                <c:pt idx="7">
                  <c:v>영국</c:v>
                </c:pt>
                <c:pt idx="8">
                  <c:v>독일</c:v>
                </c:pt>
                <c:pt idx="9">
                  <c:v>프랑스</c:v>
                </c:pt>
                <c:pt idx="10">
                  <c:v>다우존스</c:v>
                </c:pt>
                <c:pt idx="11">
                  <c:v>나스닥</c:v>
                </c:pt>
                <c:pt idx="12">
                  <c:v>S&amp;P</c:v>
                </c:pt>
                <c:pt idx="13">
                  <c:v>EURO STOXX50</c:v>
                </c:pt>
              </c:strCache>
            </c:strRef>
          </c:cat>
          <c:val>
            <c:numRef>
              <c:f>'세계주요증시 및 상품시세'!$L$8:$L$21</c:f>
              <c:numCache>
                <c:formatCode>0.00_ </c:formatCode>
                <c:ptCount val="14"/>
                <c:pt idx="0">
                  <c:v>14.661062421749243</c:v>
                </c:pt>
                <c:pt idx="1">
                  <c:v>3.6513598725908376</c:v>
                </c:pt>
                <c:pt idx="2">
                  <c:v>19.648542300757761</c:v>
                </c:pt>
                <c:pt idx="3">
                  <c:v>27.187874839525573</c:v>
                </c:pt>
                <c:pt idx="4">
                  <c:v>-4.1769203005545092</c:v>
                </c:pt>
                <c:pt idx="5">
                  <c:v>6.373722607581696</c:v>
                </c:pt>
                <c:pt idx="6">
                  <c:v>7.4484054163898596</c:v>
                </c:pt>
                <c:pt idx="7">
                  <c:v>1.0707566286531733</c:v>
                </c:pt>
                <c:pt idx="8">
                  <c:v>15.975118485965181</c:v>
                </c:pt>
                <c:pt idx="9">
                  <c:v>14.30853167247473</c:v>
                </c:pt>
                <c:pt idx="10">
                  <c:v>3.8022762069251552</c:v>
                </c:pt>
                <c:pt idx="11">
                  <c:v>31.734069142634397</c:v>
                </c:pt>
                <c:pt idx="12">
                  <c:v>15.910405000651128</c:v>
                </c:pt>
                <c:pt idx="13">
                  <c:v>15.960217417664403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569344"/>
        <c:axId val="172570880"/>
      </c:barChart>
      <c:catAx>
        <c:axId val="172569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ko-KR"/>
          </a:p>
        </c:txPr>
        <c:crossAx val="172570880"/>
        <c:crosses val="autoZero"/>
        <c:auto val="1"/>
        <c:lblAlgn val="ctr"/>
        <c:lblOffset val="100"/>
        <c:noMultiLvlLbl val="0"/>
      </c:catAx>
      <c:valAx>
        <c:axId val="172570880"/>
        <c:scaling>
          <c:orientation val="minMax"/>
        </c:scaling>
        <c:delete val="0"/>
        <c:axPos val="l"/>
        <c:numFmt formatCode="0.00_ " sourceLinked="1"/>
        <c:majorTickMark val="in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25693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6413589890397154E-2"/>
          <c:y val="1.4246750313480846E-2"/>
          <c:w val="0.146210842107966"/>
          <c:h val="7.9457619726317652E-2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043109629018009E-2"/>
          <c:y val="0.15456955380577433"/>
          <c:w val="0.87614019991203129"/>
          <c:h val="0.67841942257217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'세계주요증시 및 상품시세'!$G$62</c:f>
              <c:strCache>
                <c:ptCount val="1"/>
                <c:pt idx="0">
                  <c:v>1M(%)</c:v>
                </c:pt>
              </c:strCache>
            </c:strRef>
          </c:tx>
          <c:spPr>
            <a:solidFill>
              <a:srgbClr val="3366CC"/>
            </a:solidFill>
            <a:effectLst/>
          </c:spPr>
          <c:invertIfNegative val="0"/>
          <c:cat>
            <c:strRef>
              <c:f>'세계주요증시 및 상품시세'!$D$63:$D$72</c:f>
              <c:strCache>
                <c:ptCount val="10"/>
                <c:pt idx="0">
                  <c:v>KRW</c:v>
                </c:pt>
                <c:pt idx="1">
                  <c:v>JPY</c:v>
                </c:pt>
                <c:pt idx="2">
                  <c:v>EUR</c:v>
                </c:pt>
                <c:pt idx="3">
                  <c:v>HKD</c:v>
                </c:pt>
                <c:pt idx="4">
                  <c:v>PHP</c:v>
                </c:pt>
                <c:pt idx="5">
                  <c:v>SGD</c:v>
                </c:pt>
                <c:pt idx="6">
                  <c:v>MYR</c:v>
                </c:pt>
                <c:pt idx="7">
                  <c:v>TWD</c:v>
                </c:pt>
                <c:pt idx="8">
                  <c:v>IDR</c:v>
                </c:pt>
                <c:pt idx="9">
                  <c:v>THB</c:v>
                </c:pt>
              </c:strCache>
            </c:strRef>
          </c:cat>
          <c:val>
            <c:numRef>
              <c:f>'세계주요증시 및 상품시세'!$G$63:$G$72</c:f>
              <c:numCache>
                <c:formatCode>0.00_ </c:formatCode>
                <c:ptCount val="10"/>
                <c:pt idx="0">
                  <c:v>-0.5434372405464597</c:v>
                </c:pt>
                <c:pt idx="1">
                  <c:v>3.2210761241219377</c:v>
                </c:pt>
                <c:pt idx="2">
                  <c:v>1.6376949304119321</c:v>
                </c:pt>
                <c:pt idx="3">
                  <c:v>2.5528438680698817E-2</c:v>
                </c:pt>
                <c:pt idx="4">
                  <c:v>-1.8469188421239551</c:v>
                </c:pt>
                <c:pt idx="5">
                  <c:v>0.14069905213270234</c:v>
                </c:pt>
                <c:pt idx="6">
                  <c:v>1.4566800739210821</c:v>
                </c:pt>
                <c:pt idx="7">
                  <c:v>1.9046685615341841</c:v>
                </c:pt>
                <c:pt idx="8">
                  <c:v>6.673785371062467E-2</c:v>
                </c:pt>
                <c:pt idx="9">
                  <c:v>1.8457101658255246</c:v>
                </c:pt>
              </c:numCache>
            </c:numRef>
          </c:val>
        </c:ser>
        <c:ser>
          <c:idx val="1"/>
          <c:order val="1"/>
          <c:tx>
            <c:strRef>
              <c:f>'세계주요증시 및 상품시세'!$I$62</c:f>
              <c:strCache>
                <c:ptCount val="1"/>
                <c:pt idx="0">
                  <c:v>1Y(%)</c:v>
                </c:pt>
              </c:strCache>
            </c:strRef>
          </c:tx>
          <c:spPr>
            <a:solidFill>
              <a:srgbClr val="33CCCC"/>
            </a:solidFill>
            <a:effectLst/>
          </c:spPr>
          <c:invertIfNegative val="0"/>
          <c:cat>
            <c:strRef>
              <c:f>'세계주요증시 및 상품시세'!$D$63:$D$72</c:f>
              <c:strCache>
                <c:ptCount val="10"/>
                <c:pt idx="0">
                  <c:v>KRW</c:v>
                </c:pt>
                <c:pt idx="1">
                  <c:v>JPY</c:v>
                </c:pt>
                <c:pt idx="2">
                  <c:v>EUR</c:v>
                </c:pt>
                <c:pt idx="3">
                  <c:v>HKD</c:v>
                </c:pt>
                <c:pt idx="4">
                  <c:v>PHP</c:v>
                </c:pt>
                <c:pt idx="5">
                  <c:v>SGD</c:v>
                </c:pt>
                <c:pt idx="6">
                  <c:v>MYR</c:v>
                </c:pt>
                <c:pt idx="7">
                  <c:v>TWD</c:v>
                </c:pt>
                <c:pt idx="8">
                  <c:v>IDR</c:v>
                </c:pt>
                <c:pt idx="9">
                  <c:v>THB</c:v>
                </c:pt>
              </c:strCache>
            </c:strRef>
          </c:cat>
          <c:val>
            <c:numRef>
              <c:f>'세계주요증시 및 상품시세'!$I$63:$I$72</c:f>
              <c:numCache>
                <c:formatCode>0.00_ </c:formatCode>
                <c:ptCount val="10"/>
                <c:pt idx="0">
                  <c:v>1.4864448552064042</c:v>
                </c:pt>
                <c:pt idx="1">
                  <c:v>6.315525790361658</c:v>
                </c:pt>
                <c:pt idx="2">
                  <c:v>4.0731060533796253</c:v>
                </c:pt>
                <c:pt idx="3">
                  <c:v>-0.1274469820554622</c:v>
                </c:pt>
                <c:pt idx="4">
                  <c:v>0.41787790697675142</c:v>
                </c:pt>
                <c:pt idx="5">
                  <c:v>-2.7262264422385298</c:v>
                </c:pt>
                <c:pt idx="6">
                  <c:v>5.852330724736305</c:v>
                </c:pt>
                <c:pt idx="7">
                  <c:v>4.8153499781578679</c:v>
                </c:pt>
                <c:pt idx="8">
                  <c:v>0.73228081961706415</c:v>
                </c:pt>
                <c:pt idx="9">
                  <c:v>-2.8308563340424954E-2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612224"/>
        <c:axId val="172618112"/>
      </c:barChart>
      <c:catAx>
        <c:axId val="172612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crossAx val="172618112"/>
        <c:crosses val="autoZero"/>
        <c:auto val="1"/>
        <c:lblAlgn val="ctr"/>
        <c:lblOffset val="100"/>
        <c:noMultiLvlLbl val="0"/>
      </c:catAx>
      <c:valAx>
        <c:axId val="172618112"/>
        <c:scaling>
          <c:orientation val="minMax"/>
        </c:scaling>
        <c:delete val="0"/>
        <c:axPos val="l"/>
        <c:numFmt formatCode="0.00_ " sourceLinked="1"/>
        <c:majorTickMark val="in"/>
        <c:minorTickMark val="none"/>
        <c:tickLblPos val="nextTo"/>
        <c:crossAx val="17261222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40260026333759452"/>
          <c:y val="2.0000000000000007E-2"/>
          <c:w val="0.23071423687269568"/>
          <c:h val="0.12055275590551187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'세계주요증시 및 상품시세'!$X$5</c:f>
              <c:strCache>
                <c:ptCount val="1"/>
                <c:pt idx="0">
                  <c:v>TED SPREAD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numRef>
              <c:f>'세계주요증시 및 상품시세'!$X$7:$X$370</c:f>
            </c:numRef>
          </c:cat>
          <c:val>
            <c:numRef>
              <c:f>'세계주요증시 및 상품시세'!$Y$7:$Y$370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826496"/>
        <c:axId val="224824704"/>
      </c:barChart>
      <c:lineChart>
        <c:grouping val="standard"/>
        <c:varyColors val="0"/>
        <c:ser>
          <c:idx val="1"/>
          <c:order val="1"/>
          <c:tx>
            <c:strRef>
              <c:f>'세계주요증시 및 상품시세'!$Z$5</c:f>
              <c:strCache>
                <c:ptCount val="1"/>
                <c:pt idx="0">
                  <c:v>T-BILL(3M)</c:v>
                </c:pt>
              </c:strCache>
            </c:strRef>
          </c:tx>
          <c:spPr>
            <a:ln>
              <a:solidFill>
                <a:srgbClr val="FF6699"/>
              </a:solidFill>
            </a:ln>
            <a:effectLst/>
          </c:spPr>
          <c:marker>
            <c:symbol val="none"/>
          </c:marker>
          <c:cat>
            <c:numRef>
              <c:f>'세계주요증시 및 상품시세'!$X$7:$X$370</c:f>
            </c:numRef>
          </c:cat>
          <c:val>
            <c:numRef>
              <c:f>'세계주요증시 및 상품시세'!$Z$7:$Z$370</c:f>
            </c:numRef>
          </c:val>
          <c:smooth val="0"/>
        </c:ser>
        <c:ser>
          <c:idx val="2"/>
          <c:order val="2"/>
          <c:tx>
            <c:strRef>
              <c:f>'세계주요증시 및 상품시세'!$AA$5</c:f>
              <c:strCache>
                <c:ptCount val="1"/>
                <c:pt idx="0">
                  <c:v>LIBOR(3M)</c:v>
                </c:pt>
              </c:strCache>
            </c:strRef>
          </c:tx>
          <c:spPr>
            <a:ln>
              <a:solidFill>
                <a:srgbClr val="3366FF"/>
              </a:solidFill>
            </a:ln>
            <a:effectLst/>
          </c:spPr>
          <c:marker>
            <c:symbol val="none"/>
          </c:marker>
          <c:cat>
            <c:numRef>
              <c:f>'세계주요증시 및 상품시세'!$X$7:$X$370</c:f>
            </c:numRef>
          </c:cat>
          <c:val>
            <c:numRef>
              <c:f>'세계주요증시 및 상품시세'!$AA$7:$AA$370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821632"/>
        <c:axId val="224823168"/>
      </c:lineChart>
      <c:catAx>
        <c:axId val="224821632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txPr>
          <a:bodyPr rot="-2700000"/>
          <a:lstStyle/>
          <a:p>
            <a:pPr>
              <a:defRPr sz="800"/>
            </a:pPr>
            <a:endParaRPr lang="ko-KR"/>
          </a:p>
        </c:txPr>
        <c:crossAx val="224823168"/>
        <c:crosses val="autoZero"/>
        <c:auto val="1"/>
        <c:lblAlgn val="ctr"/>
        <c:lblOffset val="100"/>
        <c:tickLblSkip val="3"/>
        <c:noMultiLvlLbl val="1"/>
      </c:catAx>
      <c:valAx>
        <c:axId val="224823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4821632"/>
        <c:crosses val="autoZero"/>
        <c:crossBetween val="between"/>
      </c:valAx>
      <c:valAx>
        <c:axId val="2248247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4826496"/>
        <c:crosses val="max"/>
        <c:crossBetween val="between"/>
      </c:valAx>
      <c:catAx>
        <c:axId val="2248264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24824704"/>
        <c:crosses val="autoZero"/>
        <c:auto val="1"/>
        <c:lblAlgn val="ctr"/>
        <c:lblOffset val="100"/>
        <c:noMultiLvlLbl val="1"/>
      </c:catAx>
    </c:plotArea>
    <c:legend>
      <c:legendPos val="t"/>
      <c:layout/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21</xdr:row>
      <xdr:rowOff>133350</xdr:rowOff>
    </xdr:from>
    <xdr:to>
      <xdr:col>15</xdr:col>
      <xdr:colOff>704851</xdr:colOff>
      <xdr:row>39</xdr:row>
      <xdr:rowOff>104776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58</xdr:row>
      <xdr:rowOff>161925</xdr:rowOff>
    </xdr:from>
    <xdr:to>
      <xdr:col>15</xdr:col>
      <xdr:colOff>704850</xdr:colOff>
      <xdr:row>72</xdr:row>
      <xdr:rowOff>0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66674</xdr:colOff>
      <xdr:row>42</xdr:row>
      <xdr:rowOff>0</xdr:rowOff>
    </xdr:from>
    <xdr:to>
      <xdr:col>15</xdr:col>
      <xdr:colOff>704850</xdr:colOff>
      <xdr:row>57</xdr:row>
      <xdr:rowOff>9525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372"/>
  <sheetViews>
    <sheetView showGridLines="0" showRowColHeaders="0" tabSelected="1" workbookViewId="0"/>
  </sheetViews>
  <sheetFormatPr defaultColWidth="0" defaultRowHeight="13.5" zeroHeight="1" x14ac:dyDescent="0.25"/>
  <cols>
    <col min="1" max="1" width="1.5703125" style="50" customWidth="1"/>
    <col min="2" max="2" width="5.140625" style="49" hidden="1" customWidth="1"/>
    <col min="3" max="3" width="11.5703125" style="50" hidden="1" customWidth="1"/>
    <col min="4" max="4" width="16.85546875" customWidth="1"/>
    <col min="5" max="9" width="12.7109375" customWidth="1"/>
    <col min="10" max="10" width="12.7109375" style="50" hidden="1" customWidth="1"/>
    <col min="11" max="11" width="17.140625" customWidth="1"/>
    <col min="12" max="14" width="12.7109375" customWidth="1"/>
    <col min="15" max="16" width="10.7109375" customWidth="1"/>
    <col min="17" max="17" width="13.85546875" bestFit="1" customWidth="1"/>
    <col min="18" max="18" width="11" bestFit="1" customWidth="1"/>
    <col min="19" max="19" width="17.140625" style="7" hidden="1"/>
    <col min="20" max="20" width="7.7109375" style="7" hidden="1"/>
    <col min="21" max="21" width="18.28515625" style="7" hidden="1"/>
    <col min="22" max="23" width="9.140625" style="7" hidden="1"/>
    <col min="24" max="24" width="12" style="7" hidden="1"/>
    <col min="25" max="25" width="11.28515625" style="7" hidden="1"/>
    <col min="26" max="26" width="9.28515625" style="7" hidden="1"/>
    <col min="27" max="27" width="11.28515625" style="7" hidden="1"/>
    <col min="28" max="28" width="9.140625" style="7" hidden="1"/>
    <col min="29" max="29" width="9.28515625" style="7" hidden="1"/>
    <col min="30" max="34" width="9.140625" style="7" hidden="1"/>
    <col min="35" max="35" width="9.28515625" style="7" hidden="1"/>
    <col min="36" max="37" width="0" style="7" hidden="1"/>
    <col min="38" max="16384" width="9.140625" style="7" hidden="1"/>
  </cols>
  <sheetData>
    <row r="1" spans="1:37" ht="6" customHeight="1" x14ac:dyDescent="0.25">
      <c r="D1" s="7"/>
      <c r="E1" s="7"/>
      <c r="F1" s="7"/>
      <c r="G1" s="7"/>
      <c r="H1" s="7"/>
      <c r="I1" s="7"/>
      <c r="K1" s="7"/>
      <c r="L1" s="7"/>
      <c r="M1" s="7"/>
      <c r="N1" s="7"/>
      <c r="O1" s="7"/>
      <c r="P1" s="7"/>
      <c r="Q1" s="7"/>
      <c r="R1" s="7"/>
    </row>
    <row r="2" spans="1:37" ht="30" customHeight="1" x14ac:dyDescent="0.25">
      <c r="A2" s="70"/>
      <c r="B2" s="73"/>
      <c r="C2" s="70"/>
      <c r="D2" s="74" t="s">
        <v>242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1"/>
      <c r="R2" s="71"/>
    </row>
    <row r="3" spans="1:37" x14ac:dyDescent="0.25">
      <c r="X3" s="7" t="s">
        <v>215</v>
      </c>
      <c r="Y3" s="95">
        <f>$E$4-365</f>
        <v>44742</v>
      </c>
      <c r="Z3" s="7" t="s">
        <v>216</v>
      </c>
      <c r="AA3" s="95">
        <f>$E$4</f>
        <v>45107</v>
      </c>
      <c r="AB3" s="7" t="s">
        <v>217</v>
      </c>
      <c r="AC3" s="7">
        <v>365</v>
      </c>
      <c r="AD3" s="7" t="s">
        <v>218</v>
      </c>
      <c r="AE3" s="7" t="s">
        <v>219</v>
      </c>
      <c r="AF3" s="7" t="s">
        <v>220</v>
      </c>
      <c r="AG3" s="7" t="s">
        <v>227</v>
      </c>
      <c r="AH3" s="7" t="s">
        <v>221</v>
      </c>
      <c r="AI3" s="7">
        <v>2</v>
      </c>
      <c r="AJ3" s="7" t="s">
        <v>222</v>
      </c>
      <c r="AK3" s="7" t="s">
        <v>212</v>
      </c>
    </row>
    <row r="4" spans="1:37" x14ac:dyDescent="0.25">
      <c r="D4" s="9" t="s">
        <v>230</v>
      </c>
      <c r="E4" s="8">
        <v>45107</v>
      </c>
      <c r="X4" s="7" t="s">
        <v>63</v>
      </c>
      <c r="Z4" s="7" t="s">
        <v>65</v>
      </c>
      <c r="AA4" s="7" t="s">
        <v>64</v>
      </c>
    </row>
    <row r="5" spans="1:37" hidden="1" x14ac:dyDescent="0.25">
      <c r="I5" s="3"/>
      <c r="O5" s="5" t="s">
        <v>154</v>
      </c>
      <c r="P5" s="6"/>
      <c r="X5" s="7" t="str">
        <f>_xll.IMDH("FRN",$X$4,X6:Y6,$Y$3,$AA$3,$AC$3,"Per="&amp;$AE$3&amp;",sort="&amp;$AG$3&amp;",real=true,Bizday="&amp;$AI$3&amp;",Quote="&amp;$AK$3&amp;",Pos=20,Orient=V,Title=TED SPREAD,DtFmt=1,TmFmt=1,unit=true")</f>
        <v>TED SPREAD</v>
      </c>
      <c r="Z5" s="7" t="str">
        <f>_xll.IMDH("IR",$Z$4,Z6:Z6,$Y$3,$AA$3,$AC$3,"Per="&amp;$AE$3&amp;",sort="&amp;$AG$3&amp;",real=true,Bizday="&amp;$AI$3&amp;",Quote="&amp;$AK$3&amp;",Pos=20,Orient=V,Title=T-Bill(3M),DtFmt=1,TmFmt=1,unit=true")</f>
        <v>T-BILL(3M)</v>
      </c>
      <c r="AA5" s="7" t="str">
        <f>_xll.IMDH("IR",$AA$4,AA6:AA6,$Y$3,$AA$3,$AC$3,"Per="&amp;$AE$3&amp;",sort="&amp;$AG$3&amp;",real=true,Bizday="&amp;$AI$3&amp;",Quote="&amp;$AK$3&amp;",Pos=20,Orient=V,Title=Libor(3M),DtFmt=1,TmFmt=1,unit=true")</f>
        <v>LIBOR(3M)</v>
      </c>
    </row>
    <row r="6" spans="1:37" hidden="1" x14ac:dyDescent="0.25">
      <c r="E6" t="s">
        <v>24</v>
      </c>
      <c r="F6" t="s">
        <v>27</v>
      </c>
      <c r="G6" t="s">
        <v>39</v>
      </c>
      <c r="I6" s="3"/>
      <c r="M6">
        <f>YEAR(E4)</f>
        <v>2023</v>
      </c>
      <c r="N6" t="str">
        <f>M6&amp;"01"&amp;"01"</f>
        <v>20230101</v>
      </c>
      <c r="O6" t="s">
        <v>26</v>
      </c>
      <c r="P6" s="6"/>
      <c r="Q6" s="6"/>
      <c r="X6" s="7" t="s">
        <v>214</v>
      </c>
      <c r="Y6" s="7" t="s">
        <v>233</v>
      </c>
      <c r="Z6" s="7" t="s">
        <v>212</v>
      </c>
      <c r="AA6" s="7" t="s">
        <v>234</v>
      </c>
    </row>
    <row r="7" spans="1:37" ht="15" customHeight="1" x14ac:dyDescent="0.25">
      <c r="D7" s="44" t="s">
        <v>28</v>
      </c>
      <c r="E7" s="44" t="s">
        <v>29</v>
      </c>
      <c r="F7" s="44" t="s">
        <v>30</v>
      </c>
      <c r="G7" s="44" t="s">
        <v>31</v>
      </c>
      <c r="H7" s="44" t="s">
        <v>32</v>
      </c>
      <c r="I7" s="44" t="s">
        <v>33</v>
      </c>
      <c r="J7" s="59"/>
      <c r="K7" s="44" t="s">
        <v>34</v>
      </c>
      <c r="L7" s="44" t="s">
        <v>35</v>
      </c>
      <c r="M7" s="44" t="s">
        <v>36</v>
      </c>
      <c r="N7" s="44" t="s">
        <v>37</v>
      </c>
      <c r="O7" s="79" t="s">
        <v>38</v>
      </c>
      <c r="P7" s="79"/>
      <c r="X7" s="95">
        <v>44743</v>
      </c>
      <c r="Y7" s="7">
        <v>61.845999999999997</v>
      </c>
      <c r="Z7" s="7">
        <v>1.6744000000000001</v>
      </c>
      <c r="AA7" s="7">
        <v>2.2928600000000001</v>
      </c>
    </row>
    <row r="8" spans="1:37" ht="15" customHeight="1" x14ac:dyDescent="0.25">
      <c r="B8" s="49" t="s">
        <v>40</v>
      </c>
      <c r="C8" s="51" t="s">
        <v>153</v>
      </c>
      <c r="D8" s="39" t="s">
        <v>0</v>
      </c>
      <c r="E8" s="85">
        <f>_xll.IMDP($B8,$C8,E$6,$E$4,"FILL=TRUE")</f>
        <v>2564.2800000000002</v>
      </c>
      <c r="F8" s="88">
        <f>_xll.IMDP($B8,$C8,F$6,$E$4,"FILL=TRUE")</f>
        <v>14.26</v>
      </c>
      <c r="G8" s="40">
        <f>_xll.IMDP($B8,$C8,G$6,$E$4,"FILL=TRUE")</f>
        <v>0.56000000000000005</v>
      </c>
      <c r="H8" s="19">
        <f>($E8-_xll.IMDP($B8,$C8,$E$6,$E$4-7,"FILL=TRUE"))/_xll.IMDP($B8,$C8,$E$6,$E$4-7,"FILL=TRUE")*100</f>
        <v>-0.22645033267186915</v>
      </c>
      <c r="I8" s="19">
        <f>($E8-_xll.IMDP($B8,$C8,$E$6,EDATE($E$4,-1),"FILL=TRUE"))/_xll.IMDP($B8,$C8,$E$6,EDATE($E$4,-1),"FILL=TRUE")*100</f>
        <v>-0.82149818991923418</v>
      </c>
      <c r="J8" s="60"/>
      <c r="K8" s="19">
        <f>($E8-_xll.IMDP($B8,$C8,$E$6,EDATE($E$4,-3),"FILL=TRUE"))/_xll.IMDP($B8,$C8,$E$6,EDATE($E$4,-3),"FILL=TRUE")*100</f>
        <v>4.5296678569681701</v>
      </c>
      <c r="L8" s="19">
        <f>($E8-_xll.IMDP($B8,$C8,$E$6,EDATE($E$4,-6),"FILL=TRUE"))/_xll.IMDP($B8,$C8,$E$6,EDATE($E$4,-6),"FILL=TRUE")*100</f>
        <v>14.661062421749243</v>
      </c>
      <c r="M8" s="19">
        <f>($E8-_xll.IMDP($B8,$C8,$E$6,EDATE($E$4,-12),"FILL=TRUE"))/_xll.IMDP($B8,$C8,$E$6,EDATE($E$4,-12),"FILL=TRUE")*100</f>
        <v>9.9303793127100768</v>
      </c>
      <c r="N8" s="19">
        <f>($E8-_xll.IMDP($B8,$C8,$E$6,$N$6,"FILL=TRUE"))/_xll.IMDP($B8,$C8,$E$6,$N$6,"FILL=TRUE")*100</f>
        <v>14.661062421749243</v>
      </c>
      <c r="O8" s="80">
        <f>_xll.IMDP($B8,$C8,$O$5,$E$4,"fill=true")</f>
        <v>510933</v>
      </c>
      <c r="P8" s="81"/>
      <c r="X8" s="95">
        <v>44744</v>
      </c>
      <c r="Y8" s="7">
        <v>61.845999999999997</v>
      </c>
      <c r="Z8" s="7">
        <v>1.6744000000000001</v>
      </c>
      <c r="AA8" s="7">
        <v>2.2928600000000001</v>
      </c>
    </row>
    <row r="9" spans="1:37" ht="15" customHeight="1" x14ac:dyDescent="0.25">
      <c r="B9" s="49" t="s">
        <v>41</v>
      </c>
      <c r="C9" s="50" t="s">
        <v>11</v>
      </c>
      <c r="D9" s="41" t="s">
        <v>1</v>
      </c>
      <c r="E9" s="86">
        <f>_xll.IMDP($B9,$C9,E$6,$E$4,"FILL=TRUE")</f>
        <v>3202.06</v>
      </c>
      <c r="F9" s="89">
        <f>_xll.IMDP($B9,$C9,F$6,$E$4,"FILL=TRUE")</f>
        <v>19.68</v>
      </c>
      <c r="G9" s="10">
        <f>_xll.IMDP($B9,$C9,G$6,$E$4,"FILL=TRUE")</f>
        <v>0.62</v>
      </c>
      <c r="H9" s="11">
        <f>(E$8-_xll.IMDP($B9,$C9,E$6,$E$4-7,"FILL=TRUE"))/_xll.IMDP($B9,$C9,E$6,$E$4-7,"FILL=TRUE")*100</f>
        <v>-19.81362769317364</v>
      </c>
      <c r="I9" s="11">
        <f>($E9-_xll.IMDP($B9,$C9,$E$6,EDATE($E$4,-1),"FILL=TRUE"))/_xll.IMDP($B9,$C9,$E$6,EDATE($E$4,-1),"FILL=TRUE")*100</f>
        <v>-0.68698999134672034</v>
      </c>
      <c r="J9" s="61"/>
      <c r="K9" s="11">
        <f>($E9-_xll.IMDP($B9,$C9,$E$6,EDATE($E$4,-3),"FILL=TRUE"))/_xll.IMDP($B9,$C9,$E$6,EDATE($E$4,-3),"FILL=TRUE")*100</f>
        <v>-1.8149482560367973</v>
      </c>
      <c r="L9" s="11">
        <f>($E9-_xll.IMDP($B9,$C9,$E$6,EDATE($E$4,-6),"FILL=TRUE"))/_xll.IMDP($B9,$C9,$E$6,EDATE($E$4,-6),"FILL=TRUE")*100</f>
        <v>3.6513598725908376</v>
      </c>
      <c r="M9" s="11">
        <f>($E9-_xll.IMDP($B9,$C9,$E$6,EDATE($E$4,-12),"FILL=TRUE"))/_xll.IMDP($B9,$C9,$E$6,EDATE($E$4,-12),"FILL=TRUE")*100</f>
        <v>-5.7835239008774142</v>
      </c>
      <c r="N9" s="11">
        <f>($E9-_xll.IMDP($B9,$C9,$E$6,$N$6,"FILL=TRUE"))/_xll.IMDP($B9,$C9,$E$6,$N$6,"FILL=TRUE")*100</f>
        <v>3.6513598725908376</v>
      </c>
      <c r="O9" s="77">
        <f>_xll.IMDP($B9,$C9,$O$6,$E$4)</f>
        <v>26537987</v>
      </c>
      <c r="P9" s="78"/>
      <c r="X9" s="95">
        <v>44745</v>
      </c>
      <c r="Y9" s="7">
        <v>61.845999999999997</v>
      </c>
      <c r="Z9" s="7">
        <v>1.6744000000000001</v>
      </c>
      <c r="AA9" s="7">
        <v>2.2928600000000001</v>
      </c>
    </row>
    <row r="10" spans="1:37" ht="15" customHeight="1" x14ac:dyDescent="0.25">
      <c r="B10" s="49" t="s">
        <v>41</v>
      </c>
      <c r="C10" s="50" t="s">
        <v>12</v>
      </c>
      <c r="D10" s="41" t="s">
        <v>2</v>
      </c>
      <c r="E10" s="86">
        <f>_xll.IMDP($B10,$C10,E$6,$E$4,"FILL=TRUE")</f>
        <v>16915.54</v>
      </c>
      <c r="F10" s="89">
        <f>_xll.IMDP($B10,$C10,F$6,$E$4,"FILL=TRUE")</f>
        <v>-26.76</v>
      </c>
      <c r="G10" s="10">
        <f>_xll.IMDP($B10,$C10,G$6,$E$4,"FILL=TRUE")</f>
        <v>-0.16</v>
      </c>
      <c r="H10" s="11">
        <f>(E$8-_xll.IMDP($B10,$C10,E$6,$E$4-7,"FILL=TRUE"))/_xll.IMDP($B10,$C10,E$6,$E$4-7,"FILL=TRUE")*100</f>
        <v>-85.09347532902386</v>
      </c>
      <c r="I10" s="11">
        <f>($E10-_xll.IMDP($B10,$C10,$E$6,EDATE($E$4,-1),"FILL=TRUE"))/_xll.IMDP($B10,$C10,$E$6,EDATE($E$4,-1),"FILL=TRUE")*100</f>
        <v>1.7614424577416192</v>
      </c>
      <c r="J10" s="61"/>
      <c r="K10" s="11">
        <f>($E10-_xll.IMDP($B10,$C10,$E$6,EDATE($E$4,-3),"FILL=TRUE"))/_xll.IMDP($B10,$C10,$E$6,EDATE($E$4,-3),"FILL=TRUE")*100</f>
        <v>6.7264879557182855</v>
      </c>
      <c r="L10" s="11">
        <f>($E10-_xll.IMDP($B10,$C10,$E$6,EDATE($E$4,-6),"FILL=TRUE"))/_xll.IMDP($B10,$C10,$E$6,EDATE($E$4,-6),"FILL=TRUE")*100</f>
        <v>19.648542300757761</v>
      </c>
      <c r="M10" s="11">
        <f>($E10-_xll.IMDP($B10,$C10,$E$6,EDATE($E$4,-12),"FILL=TRUE"))/_xll.IMDP($B10,$C10,$E$6,EDATE($E$4,-12),"FILL=TRUE")*100</f>
        <v>14.095832043346274</v>
      </c>
      <c r="N10" s="11">
        <f>($E10-_xll.IMDP($B10,$C10,$E$6,$N$6,"FILL=TRUE"))/_xll.IMDP($B10,$C10,$E$6,$N$6,"FILL=TRUE")*100</f>
        <v>19.648542300757761</v>
      </c>
      <c r="O10" s="77">
        <f>_xll.IMDP($B10,$C10,$O$6,$E$4)</f>
        <v>0</v>
      </c>
      <c r="P10" s="78"/>
      <c r="X10" s="95">
        <v>44746</v>
      </c>
      <c r="Y10" s="7">
        <v>64.730999999999995</v>
      </c>
      <c r="Z10" s="7">
        <v>1.6744000000000001</v>
      </c>
      <c r="AA10" s="7">
        <v>2.3217099999999999</v>
      </c>
    </row>
    <row r="11" spans="1:37" ht="15" customHeight="1" x14ac:dyDescent="0.25">
      <c r="B11" s="49" t="s">
        <v>41</v>
      </c>
      <c r="C11" s="50" t="s">
        <v>13</v>
      </c>
      <c r="D11" s="41" t="s">
        <v>238</v>
      </c>
      <c r="E11" s="86">
        <f>_xll.IMDP($B11,$C11,E$6,$E$4,"FILL=TRUE")</f>
        <v>33189.040000000001</v>
      </c>
      <c r="F11" s="89">
        <f>_xll.IMDP($B11,$C11,F$6,$E$4,"FILL=TRUE")</f>
        <v>-45.1</v>
      </c>
      <c r="G11" s="10">
        <f>_xll.IMDP($B11,$C11,G$6,$E$4,"FILL=TRUE")</f>
        <v>-0.14000000000000001</v>
      </c>
      <c r="H11" s="11">
        <f>(E$8-_xll.IMDP($B11,$C11,E$6,$E$4-7,"FILL=TRUE"))/_xll.IMDP($B11,$C11,E$6,$E$4-7,"FILL=TRUE")*100</f>
        <v>-92.177670725658416</v>
      </c>
      <c r="I11" s="11">
        <f>($E11-_xll.IMDP($B11,$C11,$E$6,EDATE($E$4,-1),"FILL=TRUE"))/_xll.IMDP($B11,$C11,$E$6,EDATE($E$4,-1),"FILL=TRUE")*100</f>
        <v>5.9399594486238616</v>
      </c>
      <c r="J11" s="61"/>
      <c r="K11" s="11">
        <f>($E11-_xll.IMDP($B11,$C11,$E$6,EDATE($E$4,-3),"FILL=TRUE"))/_xll.IMDP($B11,$C11,$E$6,EDATE($E$4,-3),"FILL=TRUE")*100</f>
        <v>19.458386858405504</v>
      </c>
      <c r="L11" s="11">
        <f>($E11-_xll.IMDP($B11,$C11,$E$6,EDATE($E$4,-6),"FILL=TRUE"))/_xll.IMDP($B11,$C11,$E$6,EDATE($E$4,-6),"FILL=TRUE")*100</f>
        <v>27.187874839525573</v>
      </c>
      <c r="M11" s="11">
        <f>($E11-_xll.IMDP($B11,$C11,$E$6,EDATE($E$4,-12),"FILL=TRUE"))/_xll.IMDP($B11,$C11,$E$6,EDATE($E$4,-12),"FILL=TRUE")*100</f>
        <v>25.749212671219379</v>
      </c>
      <c r="N11" s="11">
        <f>($E11-_xll.IMDP($B11,$C11,$E$6,$N$6,"FILL=TRUE"))/_xll.IMDP($B11,$C11,$E$6,$N$6,"FILL=TRUE")*100</f>
        <v>27.187874839525573</v>
      </c>
      <c r="O11" s="77">
        <f>_xll.IMDP($B11,$C11,$O$6,$E$4)</f>
        <v>1074126</v>
      </c>
      <c r="P11" s="78"/>
      <c r="X11" s="95">
        <v>44747</v>
      </c>
      <c r="Y11" s="7">
        <v>66.369</v>
      </c>
      <c r="Z11" s="7">
        <v>1.6846000000000001</v>
      </c>
      <c r="AA11" s="7">
        <v>2.34829</v>
      </c>
    </row>
    <row r="12" spans="1:37" ht="15" customHeight="1" x14ac:dyDescent="0.25">
      <c r="B12" s="49" t="s">
        <v>41</v>
      </c>
      <c r="C12" s="50" t="s">
        <v>15</v>
      </c>
      <c r="D12" s="41" t="s">
        <v>4</v>
      </c>
      <c r="E12" s="86">
        <f>_xll.IMDP($B12,$C12,E$6,$E$4,"FILL=TRUE")</f>
        <v>6424.88</v>
      </c>
      <c r="F12" s="89">
        <f>_xll.IMDP($B12,$C12,F$6,$E$4,"FILL=TRUE")</f>
        <v>-1.71</v>
      </c>
      <c r="G12" s="10">
        <f>_xll.IMDP($B12,$C12,G$6,$E$4,"FILL=TRUE")</f>
        <v>-0.03</v>
      </c>
      <c r="H12" s="11">
        <f>(E$8-_xll.IMDP($B12,$C12,E$6,$E$4-7,"FILL=TRUE"))/_xll.IMDP($B12,$C12,E$6,$E$4-7,"FILL=TRUE")*100</f>
        <v>-59.898913760802188</v>
      </c>
      <c r="I12" s="11">
        <f>($E12-_xll.IMDP($B12,$C12,$E$6,EDATE($E$4,-1),"FILL=TRUE"))/_xll.IMDP($B12,$C12,$E$6,EDATE($E$4,-1),"FILL=TRUE")*100</f>
        <v>2.2466027235502604</v>
      </c>
      <c r="J12" s="61"/>
      <c r="K12" s="11">
        <f>($E12-_xll.IMDP($B12,$C12,$E$6,EDATE($E$4,-3),"FILL=TRUE"))/_xll.IMDP($B12,$C12,$E$6,EDATE($E$4,-3),"FILL=TRUE")*100</f>
        <v>-7.1905885887794536</v>
      </c>
      <c r="L12" s="11">
        <f>($E12-_xll.IMDP($B12,$C12,$E$6,EDATE($E$4,-6),"FILL=TRUE"))/_xll.IMDP($B12,$C12,$E$6,EDATE($E$4,-6),"FILL=TRUE")*100</f>
        <v>-4.1769203005545092</v>
      </c>
      <c r="M12" s="11">
        <f>($E12-_xll.IMDP($B12,$C12,$E$6,EDATE($E$4,-12),"FILL=TRUE"))/_xll.IMDP($B12,$C12,$E$6,EDATE($E$4,-12),"FILL=TRUE")*100</f>
        <v>-16.199549229934469</v>
      </c>
      <c r="N12" s="11">
        <f>($E12-_xll.IMDP($B12,$C12,$E$6,$N$6,"FILL=TRUE"))/_xll.IMDP($B12,$C12,$E$6,$N$6,"FILL=TRUE")*100</f>
        <v>-4.1769203005545092</v>
      </c>
      <c r="O12" s="77">
        <f>_xll.IMDP($B12,$C12,$O$6,$E$4)</f>
        <v>1657256</v>
      </c>
      <c r="P12" s="78"/>
      <c r="X12" s="95">
        <v>44748</v>
      </c>
      <c r="Y12" s="7">
        <v>49.067</v>
      </c>
      <c r="Z12" s="7">
        <v>1.8998999999999999</v>
      </c>
      <c r="AA12" s="7">
        <v>2.3905699999999999</v>
      </c>
    </row>
    <row r="13" spans="1:37" ht="15" customHeight="1" x14ac:dyDescent="0.25">
      <c r="B13" s="49" t="s">
        <v>41</v>
      </c>
      <c r="C13" s="50" t="s">
        <v>16</v>
      </c>
      <c r="D13" s="41" t="s">
        <v>5</v>
      </c>
      <c r="E13" s="86">
        <f>_xll.IMDP($B13,$C13,E$6,$E$4,"FILL=TRUE")</f>
        <v>64718.559999999998</v>
      </c>
      <c r="F13" s="89">
        <f>_xll.IMDP($B13,$C13,F$6,$E$4,"FILL=TRUE")</f>
        <v>803.14</v>
      </c>
      <c r="G13" s="10">
        <f>_xll.IMDP($B13,$C13,G$6,$E$4,"FILL=TRUE")</f>
        <v>1.26</v>
      </c>
      <c r="H13" s="11">
        <f>(E$8-_xll.IMDP($B13,$C13,E$6,$E$4-7,"FILL=TRUE"))/_xll.IMDP($B13,$C13,E$6,$E$4-7,"FILL=TRUE")*100</f>
        <v>-95.928380992061363</v>
      </c>
      <c r="I13" s="11">
        <f>($E13-_xll.IMDP($B13,$C13,$E$6,EDATE($E$4,-1),"FILL=TRUE"))/_xll.IMDP($B13,$C13,$E$6,EDATE($E$4,-1),"FILL=TRUE")*100</f>
        <v>2.7782343507048619</v>
      </c>
      <c r="J13" s="61"/>
      <c r="K13" s="11">
        <f>($E13-_xll.IMDP($B13,$C13,$E$6,EDATE($E$4,-3),"FILL=TRUE"))/_xll.IMDP($B13,$C13,$E$6,EDATE($E$4,-3),"FILL=TRUE")*100</f>
        <v>11.660558153032547</v>
      </c>
      <c r="L13" s="11">
        <f>($E13-_xll.IMDP($B13,$C13,$E$6,EDATE($E$4,-6),"FILL=TRUE"))/_xll.IMDP($B13,$C13,$E$6,EDATE($E$4,-6),"FILL=TRUE")*100</f>
        <v>6.373722607581696</v>
      </c>
      <c r="M13" s="11">
        <f>($E13-_xll.IMDP($B13,$C13,$E$6,EDATE($E$4,-12),"FILL=TRUE"))/_xll.IMDP($B13,$C13,$E$6,EDATE($E$4,-12),"FILL=TRUE")*100</f>
        <v>22.066868934007346</v>
      </c>
      <c r="N13" s="11">
        <f>($E13-_xll.IMDP($B13,$C13,$E$6,$N$6,"FILL=TRUE"))/_xll.IMDP($B13,$C13,$E$6,$N$6,"FILL=TRUE")*100</f>
        <v>6.373722607581696</v>
      </c>
      <c r="O13" s="77">
        <f>_xll.IMDP($B13,$C13,$O$6,$E$4)</f>
        <v>0</v>
      </c>
      <c r="P13" s="78"/>
      <c r="X13" s="95">
        <v>44749</v>
      </c>
      <c r="Y13" s="7">
        <v>49.197000000000003</v>
      </c>
      <c r="Z13" s="7">
        <v>1.9356</v>
      </c>
      <c r="AA13" s="7">
        <v>2.4275699999999998</v>
      </c>
    </row>
    <row r="14" spans="1:37" ht="15" customHeight="1" x14ac:dyDescent="0.25">
      <c r="B14" s="49" t="s">
        <v>41</v>
      </c>
      <c r="C14" s="50" t="s">
        <v>17</v>
      </c>
      <c r="D14" s="41" t="s">
        <v>6</v>
      </c>
      <c r="E14" s="86">
        <f>_xll.IMDP($B14,$C14,E$6,$E$4,"FILL=TRUE")</f>
        <v>29662.83</v>
      </c>
      <c r="F14" s="89">
        <f>_xll.IMDP($B14,$C14,F$6,$E$4,"FILL=TRUE")</f>
        <v>298.70999999999998</v>
      </c>
      <c r="G14" s="10">
        <f>_xll.IMDP($B14,$C14,G$6,$E$4,"FILL=TRUE")</f>
        <v>1.02</v>
      </c>
      <c r="H14" s="11">
        <f>(E$8-_xll.IMDP($B14,$C14,E$6,$E$4-7,"FILL=TRUE"))/_xll.IMDP($B14,$C14,E$6,$E$4-7,"FILL=TRUE")*100</f>
        <v>-91.203216444484099</v>
      </c>
      <c r="I14" s="11">
        <f>($E14-_xll.IMDP($B14,$C14,$E$6,EDATE($E$4,-1),"FILL=TRUE"))/_xll.IMDP($B14,$C14,$E$6,EDATE($E$4,-1),"FILL=TRUE")*100</f>
        <v>3.802315697605045</v>
      </c>
      <c r="J14" s="61"/>
      <c r="K14" s="11">
        <f>($E14-_xll.IMDP($B14,$C14,$E$6,EDATE($E$4,-3),"FILL=TRUE"))/_xll.IMDP($B14,$C14,$E$6,EDATE($E$4,-3),"FILL=TRUE")*100</f>
        <v>7.7882479140276351</v>
      </c>
      <c r="L14" s="11">
        <f>($E14-_xll.IMDP($B14,$C14,$E$6,EDATE($E$4,-6),"FILL=TRUE"))/_xll.IMDP($B14,$C14,$E$6,EDATE($E$4,-6),"FILL=TRUE")*100</f>
        <v>7.4484054163898596</v>
      </c>
      <c r="M14" s="11">
        <f>($E14-_xll.IMDP($B14,$C14,$E$6,EDATE($E$4,-12),"FILL=TRUE"))/_xll.IMDP($B14,$C14,$E$6,EDATE($E$4,-12),"FILL=TRUE")*100</f>
        <v>14.086052522268888</v>
      </c>
      <c r="N14" s="11">
        <f>($E14-_xll.IMDP($B14,$C14,$E$6,$N$6,"FILL=TRUE"))/_xll.IMDP($B14,$C14,$E$6,$N$6,"FILL=TRUE")*100</f>
        <v>7.4484054163898596</v>
      </c>
      <c r="O14" s="77">
        <f>_xll.IMDP($B14,$C14,$O$6,$E$4)</f>
        <v>0</v>
      </c>
      <c r="P14" s="78"/>
      <c r="X14" s="95">
        <v>44750</v>
      </c>
      <c r="Y14" s="7">
        <v>50.56</v>
      </c>
      <c r="Z14" s="7">
        <v>1.9174</v>
      </c>
      <c r="AA14" s="7">
        <v>2.423</v>
      </c>
    </row>
    <row r="15" spans="1:37" ht="15" customHeight="1" x14ac:dyDescent="0.25">
      <c r="B15" s="49" t="s">
        <v>237</v>
      </c>
      <c r="C15" s="50" t="s">
        <v>239</v>
      </c>
      <c r="D15" s="41" t="s">
        <v>236</v>
      </c>
      <c r="E15" s="86">
        <f>_xll.IMDP($B15,$C15,E$6,$E$4,"FILL=TRUE")</f>
        <v>7531.53</v>
      </c>
      <c r="F15" s="89">
        <f>_xll.IMDP($B15,$C15,F$6,$E$4,"FILL=TRUE")</f>
        <v>59.84</v>
      </c>
      <c r="G15" s="10">
        <f>_xll.IMDP($B15,$C15,G$6,$E$4,"FILL=TRUE")</f>
        <v>0.8</v>
      </c>
      <c r="H15" s="11">
        <f>(E$8-_xll.IMDP($B15,$C15,E$6,$E$4-7,"FILL=TRUE"))/_xll.IMDP($B15,$C15,E$6,$E$4-7,"FILL=TRUE")*100</f>
        <v>-65.634887769419734</v>
      </c>
      <c r="I15" s="11">
        <f>($E15-_xll.IMDP($B15,$C15,$E$6,EDATE($E$4,-1),"FILL=TRUE"))/_xll.IMDP($B15,$C15,$E$6,EDATE($E$4,-1),"FILL=TRUE")*100</f>
        <v>0.12576325399790267</v>
      </c>
      <c r="J15" s="61"/>
      <c r="K15" s="11">
        <f>($E15-_xll.IMDP($B15,$C15,$E$6,EDATE($E$4,-3),"FILL=TRUE"))/_xll.IMDP($B15,$C15,$E$6,EDATE($E$4,-3),"FILL=TRUE")*100</f>
        <v>-1.1666008348610319</v>
      </c>
      <c r="L15" s="11">
        <f>($E15-_xll.IMDP($B15,$C15,$E$6,EDATE($E$4,-6),"FILL=TRUE"))/_xll.IMDP($B15,$C15,$E$6,EDATE($E$4,-6),"FILL=TRUE")*100</f>
        <v>1.0707566286531733</v>
      </c>
      <c r="M15" s="11">
        <f>($E15-_xll.IMDP($B15,$C15,$E$6,EDATE($E$4,-12),"FILL=TRUE"))/_xll.IMDP($B15,$C15,$E$6,EDATE($E$4,-12),"FILL=TRUE")*100</f>
        <v>5.0528086502410288</v>
      </c>
      <c r="N15" s="11">
        <f>($E15-_xll.IMDP($B15,$C15,$E$6,$N$6,"FILL=TRUE"))/_xll.IMDP($B15,$C15,$E$6,$N$6,"FILL=TRUE")*100</f>
        <v>1.0707566286531733</v>
      </c>
      <c r="O15" s="77">
        <f>_xll.IMDP($B15,$C15,$O$6,$E$4)</f>
        <v>0</v>
      </c>
      <c r="P15" s="78"/>
      <c r="Q15" s="7"/>
      <c r="R15" s="7"/>
      <c r="X15" s="95">
        <v>44751</v>
      </c>
      <c r="Y15" s="7">
        <v>50.56</v>
      </c>
      <c r="Z15" s="7">
        <v>1.9174</v>
      </c>
      <c r="AA15" s="7">
        <v>2.423</v>
      </c>
    </row>
    <row r="16" spans="1:37" ht="15" customHeight="1" x14ac:dyDescent="0.25">
      <c r="B16" s="49" t="s">
        <v>41</v>
      </c>
      <c r="C16" s="50" t="s">
        <v>18</v>
      </c>
      <c r="D16" s="41" t="s">
        <v>7</v>
      </c>
      <c r="E16" s="86">
        <f>_xll.IMDP($B16,$C16,E$6,$E$4,"FILL=TRUE")</f>
        <v>16147.9</v>
      </c>
      <c r="F16" s="89">
        <f>_xll.IMDP($B16,$C16,F$6,$E$4,"FILL=TRUE")</f>
        <v>201.18</v>
      </c>
      <c r="G16" s="10">
        <f>_xll.IMDP($B16,$C16,G$6,$E$4,"FILL=TRUE")</f>
        <v>1.26</v>
      </c>
      <c r="H16" s="11">
        <f>(E$8-_xll.IMDP($B16,$C16,E$6,$E$4-7,"FILL=TRUE"))/_xll.IMDP($B16,$C16,E$6,$E$4-7,"FILL=TRUE")*100</f>
        <v>-83.801075683167454</v>
      </c>
      <c r="I16" s="11">
        <f>($E16-_xll.IMDP($B16,$C16,$E$6,EDATE($E$4,-1),"FILL=TRUE"))/_xll.IMDP($B16,$C16,$E$6,EDATE($E$4,-1),"FILL=TRUE")*100</f>
        <v>1.5022399397570279</v>
      </c>
      <c r="J16" s="61"/>
      <c r="K16" s="11">
        <f>($E16-_xll.IMDP($B16,$C16,$E$6,EDATE($E$4,-3),"FILL=TRUE"))/_xll.IMDP($B16,$C16,$E$6,EDATE($E$4,-3),"FILL=TRUE")*100</f>
        <v>4.0296603617997215</v>
      </c>
      <c r="L16" s="11">
        <f>($E16-_xll.IMDP($B16,$C16,$E$6,EDATE($E$4,-6),"FILL=TRUE"))/_xll.IMDP($B16,$C16,$E$6,EDATE($E$4,-6),"FILL=TRUE")*100</f>
        <v>15.975118485965181</v>
      </c>
      <c r="M16" s="11">
        <f>($E16-_xll.IMDP($B16,$C16,$E$6,EDATE($E$4,-12),"FILL=TRUE"))/_xll.IMDP($B16,$C16,$E$6,EDATE($E$4,-12),"FILL=TRUE")*100</f>
        <v>26.315633025312557</v>
      </c>
      <c r="N16" s="11">
        <f>($E16-_xll.IMDP($B16,$C16,$E$6,$N$6,"FILL=TRUE"))/_xll.IMDP($B16,$C16,$E$6,$N$6,"FILL=TRUE")*100</f>
        <v>15.975118485965181</v>
      </c>
      <c r="O16" s="77">
        <f>_xll.IMDP($B16,$C16,$O$6,$E$4)</f>
        <v>0</v>
      </c>
      <c r="P16" s="78"/>
      <c r="X16" s="95">
        <v>44752</v>
      </c>
      <c r="Y16" s="7">
        <v>50.56</v>
      </c>
      <c r="Z16" s="7">
        <v>1.9174</v>
      </c>
      <c r="AA16" s="7">
        <v>2.423</v>
      </c>
    </row>
    <row r="17" spans="2:27" ht="15" customHeight="1" x14ac:dyDescent="0.25">
      <c r="B17" s="49" t="s">
        <v>41</v>
      </c>
      <c r="C17" s="50" t="s">
        <v>14</v>
      </c>
      <c r="D17" s="41" t="s">
        <v>3</v>
      </c>
      <c r="E17" s="86">
        <f>_xll.IMDP($B17,$C17,E$6,$E$4,"FILL=TRUE")</f>
        <v>7400.06</v>
      </c>
      <c r="F17" s="89">
        <f>_xll.IMDP($B17,$C17,F$6,$E$4,"FILL=TRUE")</f>
        <v>87.33</v>
      </c>
      <c r="G17" s="10">
        <f>_xll.IMDP($B17,$C17,G$6,$E$4,"FILL=TRUE")</f>
        <v>1.19</v>
      </c>
      <c r="H17" s="11">
        <f>(E$8-_xll.IMDP($B17,$C17,E$6,$E$4-7,"FILL=TRUE"))/_xll.IMDP($B17,$C17,E$6,$E$4-7,"FILL=TRUE")*100</f>
        <v>-64.203132023530657</v>
      </c>
      <c r="I17" s="11">
        <f>($E17-_xll.IMDP($B17,$C17,$E$6,EDATE($E$4,-1),"FILL=TRUE"))/_xll.IMDP($B17,$C17,$E$6,EDATE($E$4,-1),"FILL=TRUE")*100</f>
        <v>2.6396199590831917</v>
      </c>
      <c r="J17" s="61"/>
      <c r="K17" s="11">
        <f>($E17-_xll.IMDP($B17,$C17,$E$6,EDATE($E$4,-3),"FILL=TRUE"))/_xll.IMDP($B17,$C17,$E$6,EDATE($E$4,-3),"FILL=TRUE")*100</f>
        <v>1.881908810923862</v>
      </c>
      <c r="L17" s="11">
        <f>($E17-_xll.IMDP($B17,$C17,$E$6,EDATE($E$4,-6),"FILL=TRUE"))/_xll.IMDP($B17,$C17,$E$6,EDATE($E$4,-6),"FILL=TRUE")*100</f>
        <v>14.30853167247473</v>
      </c>
      <c r="M17" s="11">
        <f>($E17-_xll.IMDP($B17,$C17,$E$6,EDATE($E$4,-12),"FILL=TRUE"))/_xll.IMDP($B17,$C17,$E$6,EDATE($E$4,-12),"FILL=TRUE")*100</f>
        <v>24.940653670692889</v>
      </c>
      <c r="N17" s="11">
        <f>($E17-_xll.IMDP($B17,$C17,$E$6,$N$6,"FILL=TRUE"))/_xll.IMDP($B17,$C17,$E$6,$N$6,"FILL=TRUE")*100</f>
        <v>14.30853167247473</v>
      </c>
      <c r="O17" s="77">
        <f>_xll.IMDP($B17,$C17,$O$6,$E$4)</f>
        <v>0</v>
      </c>
      <c r="P17" s="78"/>
      <c r="X17" s="95">
        <v>44753</v>
      </c>
      <c r="Y17" s="7">
        <v>42.274000000000001</v>
      </c>
      <c r="Z17" s="7">
        <v>2.0324</v>
      </c>
      <c r="AA17" s="7">
        <v>2.4551400000000001</v>
      </c>
    </row>
    <row r="18" spans="2:27" ht="15" customHeight="1" x14ac:dyDescent="0.25">
      <c r="B18" s="49" t="s">
        <v>41</v>
      </c>
      <c r="C18" s="50" t="s">
        <v>19</v>
      </c>
      <c r="D18" s="41" t="s">
        <v>8</v>
      </c>
      <c r="E18" s="86">
        <f>_xll.IMDP($B18,$C18,E$6,$E$4,"FILL=TRUE")</f>
        <v>34407.599999999999</v>
      </c>
      <c r="F18" s="89">
        <f>_xll.IMDP($B18,$C18,F$6,$E$4,"FILL=TRUE")</f>
        <v>285.18</v>
      </c>
      <c r="G18" s="10">
        <f>_xll.IMDP($B18,$C18,G$6,$E$4,"FILL=TRUE")</f>
        <v>0.84</v>
      </c>
      <c r="H18" s="11">
        <f>(E$8-_xll.IMDP($B18,$C18,E$6,$E$4-7,"FILL=TRUE"))/_xll.IMDP($B18,$C18,E$6,$E$4-7,"FILL=TRUE")*100</f>
        <v>-92.397048930203113</v>
      </c>
      <c r="I18" s="11">
        <f>($E18-_xll.IMDP($B18,$C18,$E$6,EDATE($E$4,-1),"FILL=TRUE"))/_xll.IMDP($B18,$C18,$E$6,EDATE($E$4,-1),"FILL=TRUE")*100</f>
        <v>4.1304635990071041</v>
      </c>
      <c r="J18" s="61"/>
      <c r="K18" s="11">
        <f>($E18-_xll.IMDP($B18,$C18,$E$6,EDATE($E$4,-3),"FILL=TRUE"))/_xll.IMDP($B18,$C18,$E$6,EDATE($E$4,-3),"FILL=TRUE")*100</f>
        <v>4.7127684536031635</v>
      </c>
      <c r="L18" s="11">
        <f>($E18-_xll.IMDP($B18,$C18,$E$6,EDATE($E$4,-6),"FILL=TRUE"))/_xll.IMDP($B18,$C18,$E$6,EDATE($E$4,-6),"FILL=TRUE")*100</f>
        <v>3.8022762069251552</v>
      </c>
      <c r="M18" s="11">
        <f>($E18-_xll.IMDP($B18,$C18,$E$6,EDATE($E$4,-12),"FILL=TRUE"))/_xll.IMDP($B18,$C18,$E$6,EDATE($E$4,-12),"FILL=TRUE")*100</f>
        <v>11.802174656861004</v>
      </c>
      <c r="N18" s="11">
        <f>($E18-_xll.IMDP($B18,$C18,$E$6,$N$6,"FILL=TRUE"))/_xll.IMDP($B18,$C18,$E$6,$N$6,"FILL=TRUE")*100</f>
        <v>3.8022762069251552</v>
      </c>
      <c r="O18" s="77">
        <f>_xll.IMDP($B18,$C18,$O$6,$E$4)</f>
        <v>339850</v>
      </c>
      <c r="P18" s="78"/>
      <c r="X18" s="95">
        <v>44754</v>
      </c>
      <c r="Y18" s="7">
        <v>45.33</v>
      </c>
      <c r="Z18" s="7">
        <v>2.0297000000000001</v>
      </c>
      <c r="AA18" s="7">
        <v>2.4830000000000001</v>
      </c>
    </row>
    <row r="19" spans="2:27" ht="15" customHeight="1" x14ac:dyDescent="0.25">
      <c r="B19" s="49" t="s">
        <v>41</v>
      </c>
      <c r="C19" s="50" t="s">
        <v>20</v>
      </c>
      <c r="D19" s="41" t="s">
        <v>9</v>
      </c>
      <c r="E19" s="86">
        <f>_xll.IMDP($B19,$C19,E$6,$E$4,"FILL=TRUE")</f>
        <v>13787.92</v>
      </c>
      <c r="F19" s="89">
        <f>_xll.IMDP($B19,$C19,F$6,$E$4,"FILL=TRUE")</f>
        <v>196.59</v>
      </c>
      <c r="G19" s="10">
        <f>_xll.IMDP($B19,$C19,G$6,$E$4,"FILL=TRUE")</f>
        <v>1.45</v>
      </c>
      <c r="H19" s="11">
        <f>(E$8-_xll.IMDP($B19,$C19,E$6,$E$4-7,"FILL=TRUE"))/_xll.IMDP($B19,$C19,E$6,$E$4-7,"FILL=TRUE")*100</f>
        <v>-80.994803046428686</v>
      </c>
      <c r="I19" s="11">
        <f>($E19-_xll.IMDP($B19,$C19,$E$6,EDATE($E$4,-1),"FILL=TRUE"))/_xll.IMDP($B19,$C19,$E$6,EDATE($E$4,-1),"FILL=TRUE")*100</f>
        <v>5.9189102610884001</v>
      </c>
      <c r="J19" s="61"/>
      <c r="K19" s="11">
        <f>($E19-_xll.IMDP($B19,$C19,$E$6,EDATE($E$4,-3),"FILL=TRUE"))/_xll.IMDP($B19,$C19,$E$6,EDATE($E$4,-3),"FILL=TRUE")*100</f>
        <v>14.770503443218328</v>
      </c>
      <c r="L19" s="11">
        <f>($E19-_xll.IMDP($B19,$C19,$E$6,EDATE($E$4,-6),"FILL=TRUE"))/_xll.IMDP($B19,$C19,$E$6,EDATE($E$4,-6),"FILL=TRUE")*100</f>
        <v>31.734069142634397</v>
      </c>
      <c r="M19" s="11">
        <f>($E19-_xll.IMDP($B19,$C19,$E$6,EDATE($E$4,-12),"FILL=TRUE"))/_xll.IMDP($B19,$C19,$E$6,EDATE($E$4,-12),"FILL=TRUE")*100</f>
        <v>25.018089101746892</v>
      </c>
      <c r="N19" s="11">
        <f>($E19-_xll.IMDP($B19,$C19,$E$6,$N$6,"FILL=TRUE"))/_xll.IMDP($B19,$C19,$E$6,$N$6,"FILL=TRUE")*100</f>
        <v>31.734069142634397</v>
      </c>
      <c r="O19" s="77">
        <f>_xll.IMDP($B19,$C19,$O$6,$E$4)</f>
        <v>4202531</v>
      </c>
      <c r="P19" s="78"/>
      <c r="X19" s="95">
        <v>44755</v>
      </c>
      <c r="Y19" s="7">
        <v>14.33</v>
      </c>
      <c r="Z19" s="7">
        <v>2.3687</v>
      </c>
      <c r="AA19" s="7">
        <v>2.512</v>
      </c>
    </row>
    <row r="20" spans="2:27" ht="15" customHeight="1" x14ac:dyDescent="0.25">
      <c r="B20" s="49" t="s">
        <v>41</v>
      </c>
      <c r="C20" s="50" t="s">
        <v>21</v>
      </c>
      <c r="D20" s="41" t="s">
        <v>10</v>
      </c>
      <c r="E20" s="86">
        <f>_xll.IMDP($B20,$C20,E$6,$E$4,"FILL=TRUE")</f>
        <v>4450.38</v>
      </c>
      <c r="F20" s="89">
        <f>_xll.IMDP($B20,$C20,F$6,$E$4,"FILL=TRUE")</f>
        <v>53.94</v>
      </c>
      <c r="G20" s="10">
        <f>_xll.IMDP($B20,$C20,G$6,$E$4,"FILL=TRUE")</f>
        <v>1.23</v>
      </c>
      <c r="H20" s="11">
        <f>(E$8-_xll.IMDP($B20,$C20,E$6,$E$4-7,"FILL=TRUE"))/_xll.IMDP($B20,$C20,E$6,$E$4-7,"FILL=TRUE")*100</f>
        <v>-41.028394809041622</v>
      </c>
      <c r="I20" s="11">
        <f>($E20-_xll.IMDP($B20,$C20,$E$6,EDATE($E$4,-1),"FILL=TRUE"))/_xll.IMDP($B20,$C20,$E$6,EDATE($E$4,-1),"FILL=TRUE")*100</f>
        <v>5.8223477715003051</v>
      </c>
      <c r="J20" s="61"/>
      <c r="K20" s="11">
        <f>($E20-_xll.IMDP($B20,$C20,$E$6,EDATE($E$4,-3),"FILL=TRUE"))/_xll.IMDP($B20,$C20,$E$6,EDATE($E$4,-3),"FILL=TRUE")*100</f>
        <v>9.8634107084227232</v>
      </c>
      <c r="L20" s="11">
        <f>($E20-_xll.IMDP($B20,$C20,$E$6,EDATE($E$4,-6),"FILL=TRUE"))/_xll.IMDP($B20,$C20,$E$6,EDATE($E$4,-6),"FILL=TRUE")*100</f>
        <v>15.910405000651128</v>
      </c>
      <c r="M20" s="11">
        <f>($E20-_xll.IMDP($B20,$C20,$E$6,EDATE($E$4,-12),"FILL=TRUE"))/_xll.IMDP($B20,$C20,$E$6,EDATE($E$4,-12),"FILL=TRUE")*100</f>
        <v>17.567588987103012</v>
      </c>
      <c r="N20" s="11">
        <f>($E20-_xll.IMDP($B20,$C20,$E$6,$N$6,"FILL=TRUE"))/_xll.IMDP($B20,$C20,$E$6,$N$6,"FILL=TRUE")*100</f>
        <v>15.910405000651128</v>
      </c>
      <c r="O20" s="77">
        <f>_xll.IMDP($B20,$C20,$O$6,$E$4)</f>
        <v>2440498</v>
      </c>
      <c r="P20" s="78"/>
      <c r="X20" s="95">
        <v>44756</v>
      </c>
      <c r="Y20" s="7">
        <v>38.459000000000003</v>
      </c>
      <c r="Z20" s="7">
        <v>2.3557000000000001</v>
      </c>
      <c r="AA20" s="7">
        <v>2.7402899999999999</v>
      </c>
    </row>
    <row r="21" spans="2:27" ht="15" customHeight="1" x14ac:dyDescent="0.25">
      <c r="B21" s="49" t="s">
        <v>41</v>
      </c>
      <c r="C21" s="50" t="s">
        <v>22</v>
      </c>
      <c r="D21" s="42" t="s">
        <v>23</v>
      </c>
      <c r="E21" s="87">
        <f>_xll.IMDP($B21,$C21,E$6,$E$4,"FILL=TRUE")</f>
        <v>4399.09</v>
      </c>
      <c r="F21" s="90">
        <f>_xll.IMDP($B21,$C21,F$6,$E$4,"FILL=TRUE")</f>
        <v>44.4</v>
      </c>
      <c r="G21" s="43">
        <f>_xll.IMDP($B21,$C21,G$6,$E$4,"FILL=TRUE")</f>
        <v>1.02</v>
      </c>
      <c r="H21" s="26">
        <f>(E$8-_xll.IMDP($B21,$C21,E$6,$E$4-7,"FILL=TRUE"))/_xll.IMDP($B21,$C21,E$6,$E$4-7,"FILL=TRUE")*100</f>
        <v>-39.969238764774865</v>
      </c>
      <c r="I21" s="26">
        <f>($E21-_xll.IMDP($B21,$C21,$E$6,EDATE($E$4,-1),"FILL=TRUE"))/_xll.IMDP($B21,$C21,$E$6,EDATE($E$4,-1),"FILL=TRUE")*100</f>
        <v>2.5051379678346954</v>
      </c>
      <c r="J21" s="62"/>
      <c r="K21" s="26">
        <f>($E21-_xll.IMDP($B21,$C21,$E$6,EDATE($E$4,-3),"FILL=TRUE"))/_xll.IMDP($B21,$C21,$E$6,EDATE($E$4,-3),"FILL=TRUE")*100</f>
        <v>2.6524821371067495</v>
      </c>
      <c r="L21" s="26">
        <f>($E21-_xll.IMDP($B21,$C21,$E$6,EDATE($E$4,-6),"FILL=TRUE"))/_xll.IMDP($B21,$C21,$E$6,EDATE($E$4,-6),"FILL=TRUE")*100</f>
        <v>15.960217417664403</v>
      </c>
      <c r="M21" s="26">
        <f>($E21-_xll.IMDP($B21,$C21,$E$6,EDATE($E$4,-12),"FILL=TRUE"))/_xll.IMDP($B21,$C21,$E$6,EDATE($E$4,-12),"FILL=TRUE")*100</f>
        <v>27.330485171613322</v>
      </c>
      <c r="N21" s="26">
        <f>($E21-_xll.IMDP($B21,$C21,$E$6,$N$6,"FILL=TRUE"))/_xll.IMDP($B21,$C21,$E$6,$N$6,"FILL=TRUE")*100</f>
        <v>15.960217417664403</v>
      </c>
      <c r="O21" s="75">
        <f>_xll.IMDP("FRN",$C21,$O$6)</f>
        <v>0</v>
      </c>
      <c r="P21" s="76"/>
      <c r="X21" s="95">
        <v>44757</v>
      </c>
      <c r="Y21" s="7">
        <v>39.767000000000003</v>
      </c>
      <c r="Z21" s="7">
        <v>2.3399000000000001</v>
      </c>
      <c r="AA21" s="7">
        <v>2.7375699999999998</v>
      </c>
    </row>
    <row r="22" spans="2:27" x14ac:dyDescent="0.25">
      <c r="P22" s="6"/>
      <c r="X22" s="95">
        <v>44758</v>
      </c>
      <c r="Y22" s="7">
        <v>39.767000000000003</v>
      </c>
      <c r="Z22" s="7">
        <v>2.3399000000000001</v>
      </c>
      <c r="AA22" s="7">
        <v>2.7375699999999998</v>
      </c>
    </row>
    <row r="23" spans="2:27" x14ac:dyDescent="0.25">
      <c r="X23" s="95">
        <v>44759</v>
      </c>
      <c r="Y23" s="7">
        <v>39.767000000000003</v>
      </c>
      <c r="Z23" s="7">
        <v>2.3399000000000001</v>
      </c>
      <c r="AA23" s="7">
        <v>2.7375699999999998</v>
      </c>
    </row>
    <row r="24" spans="2:27" x14ac:dyDescent="0.25">
      <c r="X24" s="95">
        <v>44760</v>
      </c>
      <c r="Y24" s="7">
        <v>38.295999999999999</v>
      </c>
      <c r="Z24" s="7">
        <v>2.3269000000000002</v>
      </c>
      <c r="AA24" s="7">
        <v>2.7098599999999999</v>
      </c>
    </row>
    <row r="25" spans="2:27" x14ac:dyDescent="0.25">
      <c r="X25" s="95">
        <v>44761</v>
      </c>
      <c r="Y25" s="7">
        <v>24.741</v>
      </c>
      <c r="Z25" s="7">
        <v>2.4843000000000002</v>
      </c>
      <c r="AA25" s="7">
        <v>2.7317100000000001</v>
      </c>
    </row>
    <row r="26" spans="2:27" x14ac:dyDescent="0.25">
      <c r="X26" s="95">
        <v>44762</v>
      </c>
      <c r="Y26" s="7">
        <v>29.03</v>
      </c>
      <c r="Z26" s="7">
        <v>2.4687000000000001</v>
      </c>
      <c r="AA26" s="7">
        <v>2.7589999999999999</v>
      </c>
    </row>
    <row r="27" spans="2:27" x14ac:dyDescent="0.25">
      <c r="X27" s="95">
        <v>44763</v>
      </c>
      <c r="Y27" s="7">
        <v>34.520000000000003</v>
      </c>
      <c r="Z27" s="7">
        <v>2.4378000000000002</v>
      </c>
      <c r="AA27" s="7">
        <v>2.7829999999999999</v>
      </c>
    </row>
    <row r="28" spans="2:27" x14ac:dyDescent="0.25">
      <c r="X28" s="95">
        <v>44764</v>
      </c>
      <c r="Y28" s="7">
        <v>34.179000000000002</v>
      </c>
      <c r="Z28" s="7">
        <v>2.4245000000000001</v>
      </c>
      <c r="AA28" s="7">
        <v>2.7662900000000001</v>
      </c>
    </row>
    <row r="29" spans="2:27" x14ac:dyDescent="0.25">
      <c r="X29" s="95">
        <v>44765</v>
      </c>
      <c r="Y29" s="7">
        <v>34.179000000000002</v>
      </c>
      <c r="Z29" s="7">
        <v>2.4245000000000001</v>
      </c>
      <c r="AA29" s="7">
        <v>2.7662900000000001</v>
      </c>
    </row>
    <row r="30" spans="2:27" x14ac:dyDescent="0.25">
      <c r="X30" s="95">
        <v>44766</v>
      </c>
      <c r="Y30" s="7">
        <v>34.179000000000002</v>
      </c>
      <c r="Z30" s="7">
        <v>2.4245000000000001</v>
      </c>
      <c r="AA30" s="7">
        <v>2.7662900000000001</v>
      </c>
    </row>
    <row r="31" spans="2:27" x14ac:dyDescent="0.25">
      <c r="X31" s="95">
        <v>44767</v>
      </c>
      <c r="Y31" s="7">
        <v>30.138999999999999</v>
      </c>
      <c r="Z31" s="7">
        <v>2.4679000000000002</v>
      </c>
      <c r="AA31" s="7">
        <v>2.7692899999999998</v>
      </c>
    </row>
    <row r="32" spans="2:27" x14ac:dyDescent="0.25">
      <c r="X32" s="95">
        <v>44768</v>
      </c>
      <c r="Y32" s="7">
        <v>28.545999999999999</v>
      </c>
      <c r="Z32" s="7">
        <v>2.5074000000000001</v>
      </c>
      <c r="AA32" s="7">
        <v>2.7928600000000001</v>
      </c>
    </row>
    <row r="33" spans="2:27" x14ac:dyDescent="0.25">
      <c r="X33" s="95">
        <v>44769</v>
      </c>
      <c r="Y33" s="7">
        <v>39.106000000000002</v>
      </c>
      <c r="Z33" s="7">
        <v>2.4148000000000001</v>
      </c>
      <c r="AA33" s="7">
        <v>2.80586</v>
      </c>
    </row>
    <row r="34" spans="2:27" x14ac:dyDescent="0.25">
      <c r="X34" s="95">
        <v>44770</v>
      </c>
      <c r="Y34" s="7">
        <v>41.378999999999998</v>
      </c>
      <c r="Z34" s="7">
        <v>2.3685</v>
      </c>
      <c r="AA34" s="7">
        <v>2.7822900000000002</v>
      </c>
    </row>
    <row r="35" spans="2:27" x14ac:dyDescent="0.25">
      <c r="X35" s="95">
        <v>44771</v>
      </c>
      <c r="Y35" s="7">
        <v>41.768999999999998</v>
      </c>
      <c r="Z35" s="7">
        <v>2.3706</v>
      </c>
      <c r="AA35" s="7">
        <v>2.7882899999999999</v>
      </c>
    </row>
    <row r="36" spans="2:27" x14ac:dyDescent="0.25">
      <c r="X36" s="95">
        <v>44772</v>
      </c>
      <c r="Y36" s="7">
        <v>41.768999999999998</v>
      </c>
      <c r="Z36" s="7">
        <v>2.3706</v>
      </c>
      <c r="AA36" s="7">
        <v>2.7882899999999999</v>
      </c>
    </row>
    <row r="37" spans="2:27" x14ac:dyDescent="0.25">
      <c r="X37" s="95">
        <v>44773</v>
      </c>
      <c r="Y37" s="7">
        <v>41.768999999999998</v>
      </c>
      <c r="Z37" s="7">
        <v>2.3706</v>
      </c>
      <c r="AA37" s="7">
        <v>2.7882899999999999</v>
      </c>
    </row>
    <row r="38" spans="2:27" x14ac:dyDescent="0.25">
      <c r="X38" s="95">
        <v>44774</v>
      </c>
      <c r="Y38" s="7">
        <v>46.244</v>
      </c>
      <c r="Z38" s="7">
        <v>2.3397000000000001</v>
      </c>
      <c r="AA38" s="7">
        <v>2.8021400000000001</v>
      </c>
    </row>
    <row r="39" spans="2:27" x14ac:dyDescent="0.25">
      <c r="X39" s="95">
        <v>44775</v>
      </c>
      <c r="Y39" s="7">
        <v>30.99</v>
      </c>
      <c r="Z39" s="7">
        <v>2.4971000000000001</v>
      </c>
      <c r="AA39" s="7">
        <v>2.8069999999999999</v>
      </c>
    </row>
    <row r="40" spans="2:27" x14ac:dyDescent="0.25">
      <c r="X40" s="95">
        <v>44776</v>
      </c>
      <c r="Y40" s="7">
        <v>34.558999999999997</v>
      </c>
      <c r="Z40" s="7">
        <v>2.4866999999999999</v>
      </c>
      <c r="AA40" s="7">
        <v>2.83229</v>
      </c>
    </row>
    <row r="41" spans="2:27" x14ac:dyDescent="0.25">
      <c r="X41" s="95">
        <v>44777</v>
      </c>
      <c r="Y41" s="7">
        <v>42.548999999999999</v>
      </c>
      <c r="Z41" s="7">
        <v>2.4378000000000002</v>
      </c>
      <c r="AA41" s="7">
        <v>2.8632900000000001</v>
      </c>
    </row>
    <row r="42" spans="2:27" x14ac:dyDescent="0.25">
      <c r="D42" s="9" t="s">
        <v>229</v>
      </c>
      <c r="X42" s="95">
        <v>44778</v>
      </c>
      <c r="Y42" s="7">
        <v>36.271000000000001</v>
      </c>
      <c r="Z42" s="7">
        <v>2.504</v>
      </c>
      <c r="AA42" s="7">
        <v>2.8667099999999999</v>
      </c>
    </row>
    <row r="43" spans="2:27" hidden="1" x14ac:dyDescent="0.25">
      <c r="D43" t="s">
        <v>53</v>
      </c>
      <c r="E43" s="1" t="s">
        <v>73</v>
      </c>
      <c r="F43" t="s">
        <v>27</v>
      </c>
      <c r="G43" t="s">
        <v>61</v>
      </c>
      <c r="X43" s="95">
        <v>44779</v>
      </c>
      <c r="Y43" s="7">
        <v>36.271000000000001</v>
      </c>
      <c r="Z43" s="7">
        <v>2.504</v>
      </c>
      <c r="AA43" s="7">
        <v>2.8667099999999999</v>
      </c>
    </row>
    <row r="44" spans="2:27" ht="15" customHeight="1" x14ac:dyDescent="0.25">
      <c r="B44" s="50"/>
      <c r="D44" s="48" t="s">
        <v>53</v>
      </c>
      <c r="E44" s="82">
        <f>$E$4</f>
        <v>45107</v>
      </c>
      <c r="F44" s="44" t="s">
        <v>25</v>
      </c>
      <c r="G44" s="44" t="s">
        <v>54</v>
      </c>
      <c r="H44" s="44" t="s">
        <v>55</v>
      </c>
      <c r="I44" s="44" t="s">
        <v>56</v>
      </c>
      <c r="J44" s="63"/>
      <c r="X44" s="95">
        <v>44780</v>
      </c>
      <c r="Y44" s="7">
        <v>36.271000000000001</v>
      </c>
      <c r="Z44" s="7">
        <v>2.504</v>
      </c>
      <c r="AA44" s="7">
        <v>2.8667099999999999</v>
      </c>
    </row>
    <row r="45" spans="2:27" ht="15" customHeight="1" x14ac:dyDescent="0.25">
      <c r="B45" s="52" t="s">
        <v>57</v>
      </c>
      <c r="C45" s="53" t="s">
        <v>58</v>
      </c>
      <c r="D45" s="17" t="s">
        <v>42</v>
      </c>
      <c r="E45" s="36">
        <f>_xll.IMDP($B45,$C45,E$43,$E$4)</f>
        <v>3.6619999999999999</v>
      </c>
      <c r="F45" s="36">
        <f>_xll.IMDP($B45,$C45,F$43,$E$4)</f>
        <v>7.8E-2</v>
      </c>
      <c r="G45" s="36">
        <f>_xll.IMDP($B45,$C45,E$43,EDATE($E$4,-1),"FILL=TRUE")</f>
        <v>3.56</v>
      </c>
      <c r="H45" s="36">
        <f>_xll.IMDP($B45,$C45,E$43,EDATE($E$4,-3),"FILL=TRUE")</f>
        <v>3.24</v>
      </c>
      <c r="I45" s="37">
        <f>_xll.IMDP($B45,$C45,F$43,EDATE($E$4,-12),"FILL=TRUE")</f>
        <v>-2E-3</v>
      </c>
      <c r="J45" s="63"/>
      <c r="X45" s="95">
        <v>44781</v>
      </c>
      <c r="Y45" s="7">
        <v>39.237000000000002</v>
      </c>
      <c r="Z45" s="7">
        <v>2.5192000000000001</v>
      </c>
      <c r="AA45" s="7">
        <v>2.9115700000000002</v>
      </c>
    </row>
    <row r="46" spans="2:27" ht="15" customHeight="1" x14ac:dyDescent="0.25">
      <c r="B46" s="52" t="s">
        <v>57</v>
      </c>
      <c r="C46" s="53" t="s">
        <v>59</v>
      </c>
      <c r="D46" s="22" t="s">
        <v>43</v>
      </c>
      <c r="E46" s="12">
        <f>_xll.IMDP($B46,$C46,E$43,$E$4)</f>
        <v>3.6629999999999998</v>
      </c>
      <c r="F46" s="12">
        <f>_xll.IMDP($B46,$C46,F$43,$E$4)</f>
        <v>7.3999999999999996E-2</v>
      </c>
      <c r="G46" s="12">
        <f>_xll.IMDP($B46,$C46,E$43,EDATE($E$4,-1),"FILL=TRUE")</f>
        <v>3.5819999999999999</v>
      </c>
      <c r="H46" s="12">
        <f>_xll.IMDP($B46,$C46,E$43,EDATE($E$4,-3),"FILL=TRUE")</f>
        <v>3.2530000000000001</v>
      </c>
      <c r="I46" s="38">
        <f>_xll.IMDP($B46,$C46,F$43,EDATE($E$4,-12),"FILL=TRUE")</f>
        <v>-3.2000000000000001E-2</v>
      </c>
      <c r="J46" s="63"/>
      <c r="X46" s="95">
        <v>44782</v>
      </c>
      <c r="Y46" s="7">
        <v>30.32</v>
      </c>
      <c r="Z46" s="7">
        <v>2.6177999999999999</v>
      </c>
      <c r="AA46" s="7">
        <v>2.9209999999999998</v>
      </c>
    </row>
    <row r="47" spans="2:27" ht="15" customHeight="1" x14ac:dyDescent="0.25">
      <c r="B47" s="52" t="s">
        <v>57</v>
      </c>
      <c r="C47" s="53" t="s">
        <v>60</v>
      </c>
      <c r="D47" s="22" t="s">
        <v>44</v>
      </c>
      <c r="E47" s="12">
        <f>_xll.IMDP($B47,$C47,E$43,$E$4)</f>
        <v>3.6749999999999998</v>
      </c>
      <c r="F47" s="12">
        <f>_xll.IMDP($B47,$C47,F$43,$E$4)</f>
        <v>4.9000000000000002E-2</v>
      </c>
      <c r="G47" s="12">
        <f>_xll.IMDP($B47,$C47,E$43,EDATE($E$4,-1),"FILL=TRUE")</f>
        <v>3.6509999999999998</v>
      </c>
      <c r="H47" s="12">
        <f>_xll.IMDP($B47,$C47,E$43,EDATE($E$4,-3),"FILL=TRUE")</f>
        <v>3.3050000000000002</v>
      </c>
      <c r="I47" s="38">
        <f>_xll.IMDP($B47,$C47,F$43,EDATE($E$4,-12),"FILL=TRUE")</f>
        <v>-3.1E-2</v>
      </c>
      <c r="J47" s="63"/>
      <c r="X47" s="95">
        <v>44783</v>
      </c>
      <c r="Y47" s="7">
        <v>32.561</v>
      </c>
      <c r="Z47" s="7">
        <v>2.5971000000000002</v>
      </c>
      <c r="AA47" s="7">
        <v>2.9227099999999999</v>
      </c>
    </row>
    <row r="48" spans="2:27" ht="15" customHeight="1" x14ac:dyDescent="0.25">
      <c r="B48" s="54" t="s">
        <v>57</v>
      </c>
      <c r="C48" s="55" t="s">
        <v>224</v>
      </c>
      <c r="D48" s="22" t="s">
        <v>223</v>
      </c>
      <c r="E48" s="12">
        <f>_xll.IMDP($B48,$C48,G$43,$E$4)</f>
        <v>5.3148</v>
      </c>
      <c r="F48" s="12">
        <f>_xll.IMDP($B48,$C48,F$43,$E$4)</f>
        <v>-3.3700000000000001E-2</v>
      </c>
      <c r="G48" s="12">
        <f>_xll.IMDP($B48,$C48,G$43,EDATE($E$4,-1),"FILL=TRUE")</f>
        <v>5.2649999999999997</v>
      </c>
      <c r="H48" s="12">
        <f>_xll.IMDP($B48,$C48,G$43,EDATE($E$4,-1),"FILL=TRUE")</f>
        <v>5.2649999999999997</v>
      </c>
      <c r="I48" s="38">
        <f>_xll.IMDP($B48,$C48,G$43,EDATE($E$4,-12),"FILL=TRUE")</f>
        <v>1.6671</v>
      </c>
      <c r="J48" s="63"/>
      <c r="X48" s="95">
        <v>44784</v>
      </c>
      <c r="Y48" s="7">
        <v>35.704000000000001</v>
      </c>
      <c r="Z48" s="7">
        <v>2.5480999999999998</v>
      </c>
      <c r="AA48" s="7">
        <v>2.9051399999999998</v>
      </c>
    </row>
    <row r="49" spans="2:27" ht="15" customHeight="1" x14ac:dyDescent="0.25">
      <c r="B49" s="54" t="s">
        <v>57</v>
      </c>
      <c r="C49" s="55" t="s">
        <v>225</v>
      </c>
      <c r="D49" s="22" t="s">
        <v>226</v>
      </c>
      <c r="E49" s="12">
        <f>_xll.IMDP($B49,$C49,D$43,$E$4)</f>
        <v>5.5454299999999996</v>
      </c>
      <c r="F49" s="12">
        <f>_xll.IMDP($B49,$C49,F$43,$E$4)</f>
        <v>1.2E-2</v>
      </c>
      <c r="G49" s="12">
        <f>_xll.IMDP($B49,$C49,D$43,EDATE($E$4,-1),"FILL=TRUE")</f>
        <v>5.4960000000000004</v>
      </c>
      <c r="H49" s="12">
        <f>_xll.IMDP($B49,$C49,D$43,EDATE($E$4,-1),"FILL=TRUE")</f>
        <v>5.4960000000000004</v>
      </c>
      <c r="I49" s="38">
        <f>_xll.IMDP($B49,$C49,D$43,EDATE($E$4,-12),"FILL=TRUE")</f>
        <v>2.2851400000000002</v>
      </c>
      <c r="J49" s="63"/>
      <c r="X49" s="95">
        <v>44785</v>
      </c>
      <c r="Y49" s="7">
        <v>36.116999999999997</v>
      </c>
      <c r="Z49" s="7">
        <v>2.5604</v>
      </c>
      <c r="AA49" s="7">
        <v>2.92157</v>
      </c>
    </row>
    <row r="50" spans="2:27" ht="15" customHeight="1" x14ac:dyDescent="0.25">
      <c r="B50" s="54" t="s">
        <v>41</v>
      </c>
      <c r="C50" s="55" t="s">
        <v>63</v>
      </c>
      <c r="D50" s="22" t="s">
        <v>45</v>
      </c>
      <c r="E50" s="12">
        <f>_xll.IMDP($B50,$C50,G$43,$E$4)</f>
        <v>23.062999999999999</v>
      </c>
      <c r="F50" s="12">
        <f>_xll.IMDP($B50,$C50,F$43,$E$4)</f>
        <v>4.57</v>
      </c>
      <c r="G50" s="12">
        <f>_xll.IMDP($B50,$C50,G$43,EDATE($E$4,-1),"FILL=TRUE")</f>
        <v>23.1</v>
      </c>
      <c r="H50" s="12">
        <f>_xll.IMDP($B50,$C50,G$43,EDATE($E$4,-1),"FILL=TRUE")</f>
        <v>23.1</v>
      </c>
      <c r="I50" s="38">
        <f>_xll.IMDP($B50,$C50,G$43,EDATE($E$4,-12),"FILL=TRUE")</f>
        <v>61.804000000000002</v>
      </c>
      <c r="J50" s="63"/>
      <c r="X50" s="95">
        <v>44786</v>
      </c>
      <c r="Y50" s="7">
        <v>36.116999999999997</v>
      </c>
      <c r="Z50" s="7">
        <v>2.5604</v>
      </c>
      <c r="AA50" s="7">
        <v>2.92157</v>
      </c>
    </row>
    <row r="51" spans="2:27" ht="15" customHeight="1" x14ac:dyDescent="0.25">
      <c r="B51" s="54" t="s">
        <v>57</v>
      </c>
      <c r="C51" s="55" t="s">
        <v>66</v>
      </c>
      <c r="D51" s="22" t="s">
        <v>46</v>
      </c>
      <c r="E51" s="12">
        <f>_xll.IMDP($B51,$C51,G$43,$E$4)</f>
        <v>5.4173999999999998</v>
      </c>
      <c r="F51" s="12">
        <f>_xll.IMDP($B51,$C51,F$43,$E$4)</f>
        <v>1.0800000000000001E-2</v>
      </c>
      <c r="G51" s="12">
        <f>_xll.IMDP($B51,$C51,G$43,EDATE($E$4,-1),"FILL=TRUE")</f>
        <v>5.2130999999999998</v>
      </c>
      <c r="H51" s="12">
        <f>_xll.IMDP($B51,$C51,G$43,EDATE($E$4,-1),"FILL=TRUE")</f>
        <v>5.2130999999999998</v>
      </c>
      <c r="I51" s="38">
        <f>_xll.IMDP($B51,$C51,G$43,EDATE($E$4,-12),"FILL=TRUE")</f>
        <v>2.8003999999999998</v>
      </c>
      <c r="J51" s="63"/>
      <c r="X51" s="95">
        <v>44787</v>
      </c>
      <c r="Y51" s="7">
        <v>36.116999999999997</v>
      </c>
      <c r="Z51" s="7">
        <v>2.5604</v>
      </c>
      <c r="AA51" s="7">
        <v>2.92157</v>
      </c>
    </row>
    <row r="52" spans="2:27" ht="15" customHeight="1" x14ac:dyDescent="0.25">
      <c r="B52" s="54" t="s">
        <v>57</v>
      </c>
      <c r="C52" s="55" t="s">
        <v>67</v>
      </c>
      <c r="D52" s="22" t="s">
        <v>47</v>
      </c>
      <c r="E52" s="12">
        <f>_xll.IMDP($B52,$C52,G$43,$E$4)</f>
        <v>4.5186000000000002</v>
      </c>
      <c r="F52" s="12">
        <f>_xll.IMDP($B52,$C52,F$43,$E$4)</f>
        <v>2.3800000000000002E-2</v>
      </c>
      <c r="G52" s="12">
        <f>_xll.IMDP($B52,$C52,G$43,EDATE($E$4,-1),"FILL=TRUE")</f>
        <v>4.1147</v>
      </c>
      <c r="H52" s="12">
        <f>_xll.IMDP($B52,$C52,G$43,EDATE($E$4,-1),"FILL=TRUE")</f>
        <v>4.1147</v>
      </c>
      <c r="I52" s="38">
        <f>_xll.IMDP($B52,$C52,G$43,EDATE($E$4,-12),"FILL=TRUE")</f>
        <v>3.0165999999999999</v>
      </c>
      <c r="J52" s="63"/>
      <c r="X52" s="95">
        <v>44788</v>
      </c>
      <c r="Y52" s="7">
        <v>35.085999999999999</v>
      </c>
      <c r="Z52" s="7">
        <v>2.5910000000000002</v>
      </c>
      <c r="AA52" s="7">
        <v>2.9418600000000001</v>
      </c>
    </row>
    <row r="53" spans="2:27" ht="15" customHeight="1" x14ac:dyDescent="0.25">
      <c r="B53" s="54" t="s">
        <v>57</v>
      </c>
      <c r="C53" s="55" t="s">
        <v>70</v>
      </c>
      <c r="D53" s="22" t="s">
        <v>48</v>
      </c>
      <c r="E53" s="12">
        <f>_xll.IMDP($B53,$C53,G$43,$E$4)</f>
        <v>-7.3700000000000002E-2</v>
      </c>
      <c r="F53" s="12">
        <f>_xll.IMDP($B53,$C53,F$43,$E$4)</f>
        <v>-2.1000000000000003E-3</v>
      </c>
      <c r="G53" s="12">
        <f>_xll.IMDP($B53,$C53,G$43,EDATE($E$4,-1),"FILL=TRUE")</f>
        <v>-4.4299999999999999E-2</v>
      </c>
      <c r="H53" s="12">
        <f>_xll.IMDP($B53,$C53,G$43,EDATE($E$4,-1),"FILL=TRUE")</f>
        <v>-4.4299999999999999E-2</v>
      </c>
      <c r="I53" s="38">
        <f>_xll.IMDP($B53,$C53,G$43,EDATE($E$4,-12),"FILL=TRUE")</f>
        <v>-6.0900000000000003E-2</v>
      </c>
      <c r="J53" s="63"/>
      <c r="X53" s="95">
        <v>44789</v>
      </c>
      <c r="Y53" s="7">
        <v>31.457000000000001</v>
      </c>
      <c r="Z53" s="7">
        <v>2.6459999999999999</v>
      </c>
      <c r="AA53" s="7">
        <v>2.9605700000000001</v>
      </c>
    </row>
    <row r="54" spans="2:27" ht="15" customHeight="1" x14ac:dyDescent="0.25">
      <c r="B54" s="54" t="s">
        <v>57</v>
      </c>
      <c r="C54" s="55" t="s">
        <v>71</v>
      </c>
      <c r="D54" s="22" t="s">
        <v>49</v>
      </c>
      <c r="E54" s="12">
        <f>_xll.IMDP($B54,$C54,G$43,$E$4)</f>
        <v>5.0471000000000004</v>
      </c>
      <c r="F54" s="12">
        <f>_xll.IMDP($B54,$C54,F$43,$E$4)</f>
        <v>3.8199999999999998E-2</v>
      </c>
      <c r="G54" s="12">
        <f>_xll.IMDP($B54,$C54,G$43,EDATE($E$4,-1),"FILL=TRUE")</f>
        <v>4.3411999999999997</v>
      </c>
      <c r="H54" s="12">
        <f>_xll.IMDP($B54,$C54,G$43,EDATE($E$4,-1),"FILL=TRUE")</f>
        <v>4.3411999999999997</v>
      </c>
      <c r="I54" s="38">
        <f>_xll.IMDP($B54,$C54,G$43,EDATE($E$4,-12),"FILL=TRUE")</f>
        <v>1.8423</v>
      </c>
      <c r="J54" s="63"/>
      <c r="X54" s="95">
        <v>44790</v>
      </c>
      <c r="Y54" s="7">
        <v>34.866999999999997</v>
      </c>
      <c r="Z54" s="7">
        <v>2.6278999999999999</v>
      </c>
      <c r="AA54" s="7">
        <v>2.9765700000000002</v>
      </c>
    </row>
    <row r="55" spans="2:27" ht="15" customHeight="1" x14ac:dyDescent="0.25">
      <c r="B55" s="54" t="s">
        <v>57</v>
      </c>
      <c r="C55" s="55" t="s">
        <v>72</v>
      </c>
      <c r="D55" s="22" t="s">
        <v>50</v>
      </c>
      <c r="E55" s="12">
        <f>_xll.IMDP($B55,$C55,G$43,$E$4)</f>
        <v>2.8220000000000001</v>
      </c>
      <c r="F55" s="12">
        <f>_xll.IMDP($B55,$C55,F$43,$E$4)</f>
        <v>-7.000000000000001E-4</v>
      </c>
      <c r="G55" s="12">
        <f>_xll.IMDP($B55,$C55,G$43,EDATE($E$4,-1),"FILL=TRUE")</f>
        <v>2.5680000000000001</v>
      </c>
      <c r="H55" s="12">
        <f>_xll.IMDP($B55,$C55,G$43,EDATE($E$4,-1),"FILL=TRUE")</f>
        <v>2.5680000000000001</v>
      </c>
      <c r="I55" s="38">
        <f>_xll.IMDP($B55,$C55,G$43,EDATE($E$4,-12),"FILL=TRUE")</f>
        <v>0.76939999999999997</v>
      </c>
      <c r="J55" s="63"/>
      <c r="X55" s="95">
        <v>44791</v>
      </c>
      <c r="Y55" s="7">
        <v>33.32</v>
      </c>
      <c r="Z55" s="7">
        <v>2.6507999999999998</v>
      </c>
      <c r="AA55" s="7">
        <v>2.984</v>
      </c>
    </row>
    <row r="56" spans="2:27" ht="15" customHeight="1" x14ac:dyDescent="0.25">
      <c r="B56" s="54" t="s">
        <v>57</v>
      </c>
      <c r="C56" s="55" t="s">
        <v>68</v>
      </c>
      <c r="D56" s="22" t="s">
        <v>51</v>
      </c>
      <c r="E56" s="12">
        <f>_xll.IMDP($B56,$C56,G$43,$E$4)</f>
        <v>4.1520999999999999</v>
      </c>
      <c r="F56" s="12">
        <f>_xll.IMDP($B56,$C56,F$43,$E$4)</f>
        <v>1.5900000000000001E-2</v>
      </c>
      <c r="G56" s="12">
        <f>_xll.IMDP($B56,$C56,G$43,EDATE($E$4,-1),"FILL=TRUE")</f>
        <v>3.8119000000000001</v>
      </c>
      <c r="H56" s="12">
        <f>_xll.IMDP($B56,$C56,G$43,EDATE($E$4,-1),"FILL=TRUE")</f>
        <v>3.8119000000000001</v>
      </c>
      <c r="I56" s="38">
        <f>_xll.IMDP($B56,$C56,G$43,EDATE($E$4,-12),"FILL=TRUE")</f>
        <v>3.0396000000000001</v>
      </c>
      <c r="J56" s="63"/>
      <c r="N56" s="2"/>
      <c r="O56" s="2"/>
      <c r="P56" s="2"/>
      <c r="X56" s="95">
        <v>44792</v>
      </c>
      <c r="Y56" s="7">
        <v>29.210999999999999</v>
      </c>
      <c r="Z56" s="7">
        <v>2.6656</v>
      </c>
      <c r="AA56" s="7">
        <v>2.9577100000000001</v>
      </c>
    </row>
    <row r="57" spans="2:27" ht="15" customHeight="1" x14ac:dyDescent="0.25">
      <c r="B57" s="54" t="s">
        <v>57</v>
      </c>
      <c r="C57" s="55" t="s">
        <v>69</v>
      </c>
      <c r="D57" s="24" t="s">
        <v>52</v>
      </c>
      <c r="E57" s="34">
        <f>_xll.IMDP($B57,$C57,G$43,$E$4)</f>
        <v>3.8435000000000001</v>
      </c>
      <c r="F57" s="34">
        <f>_xll.IMDP($B57,$C57,F$43,$E$4)</f>
        <v>-2.5999999999999999E-3</v>
      </c>
      <c r="G57" s="34">
        <f>_xll.IMDP($B57,$C57,G$43,EDATE($E$4,-1),"FILL=TRUE")</f>
        <v>3.6922999999999999</v>
      </c>
      <c r="H57" s="34">
        <f>_xll.IMDP($B57,$C57,G$43,EDATE($E$4,-1),"FILL=TRUE")</f>
        <v>3.6922999999999999</v>
      </c>
      <c r="I57" s="35">
        <f>_xll.IMDP($B57,$C57,G$43,EDATE($E$4,-12),"FILL=TRUE")</f>
        <v>3.0129000000000001</v>
      </c>
      <c r="J57" s="63"/>
      <c r="N57" s="2"/>
      <c r="O57" s="2"/>
      <c r="P57" s="2"/>
      <c r="X57" s="95">
        <v>44793</v>
      </c>
      <c r="Y57" s="7">
        <v>29.210999999999999</v>
      </c>
      <c r="Z57" s="7">
        <v>2.6656</v>
      </c>
      <c r="AA57" s="7">
        <v>2.9577100000000001</v>
      </c>
    </row>
    <row r="58" spans="2:27" x14ac:dyDescent="0.25">
      <c r="N58" s="2"/>
      <c r="O58" s="2"/>
      <c r="P58" s="2"/>
      <c r="X58" s="95">
        <v>44794</v>
      </c>
      <c r="Y58" s="7">
        <v>29.210999999999999</v>
      </c>
      <c r="Z58" s="7">
        <v>2.6656</v>
      </c>
      <c r="AA58" s="7">
        <v>2.9577100000000001</v>
      </c>
    </row>
    <row r="59" spans="2:27" x14ac:dyDescent="0.25">
      <c r="D59" s="9" t="s">
        <v>228</v>
      </c>
      <c r="N59" s="2"/>
      <c r="O59" s="2"/>
      <c r="P59" s="2"/>
      <c r="X59" s="95">
        <v>44795</v>
      </c>
      <c r="Y59" s="7">
        <v>24.501000000000001</v>
      </c>
      <c r="Z59" s="7">
        <v>2.7347000000000001</v>
      </c>
      <c r="AA59" s="7">
        <v>2.9797099999999999</v>
      </c>
    </row>
    <row r="60" spans="2:27" hidden="1" x14ac:dyDescent="0.25">
      <c r="E60" t="s">
        <v>95</v>
      </c>
      <c r="F60" t="s">
        <v>96</v>
      </c>
      <c r="N60" s="2"/>
      <c r="O60" s="2"/>
      <c r="P60" s="2"/>
      <c r="X60" s="95">
        <v>44796</v>
      </c>
      <c r="Y60" s="7">
        <v>27.616</v>
      </c>
      <c r="Z60" s="7">
        <v>2.7206999999999999</v>
      </c>
      <c r="AA60" s="7">
        <v>2.9968599999999999</v>
      </c>
    </row>
    <row r="61" spans="2:27" hidden="1" x14ac:dyDescent="0.25">
      <c r="E61" t="s">
        <v>104</v>
      </c>
      <c r="F61" t="s">
        <v>97</v>
      </c>
      <c r="N61" s="2"/>
      <c r="O61" s="2"/>
      <c r="P61" s="2"/>
      <c r="X61" s="95">
        <v>44797</v>
      </c>
      <c r="Y61" s="7">
        <v>23.29</v>
      </c>
      <c r="Z61" s="7">
        <v>2.7770999999999999</v>
      </c>
      <c r="AA61" s="7">
        <v>3.01</v>
      </c>
    </row>
    <row r="62" spans="2:27" ht="15" customHeight="1" x14ac:dyDescent="0.25">
      <c r="B62" s="50"/>
      <c r="D62" s="44" t="s">
        <v>105</v>
      </c>
      <c r="E62" s="82">
        <f>$E$4</f>
        <v>45107</v>
      </c>
      <c r="F62" s="44" t="s">
        <v>25</v>
      </c>
      <c r="G62" s="44" t="s">
        <v>99</v>
      </c>
      <c r="H62" s="44" t="s">
        <v>101</v>
      </c>
      <c r="I62" s="44" t="s">
        <v>103</v>
      </c>
      <c r="J62" s="64"/>
      <c r="N62" s="2"/>
      <c r="O62" s="2"/>
      <c r="P62" s="2"/>
      <c r="X62" s="95">
        <v>44798</v>
      </c>
      <c r="Y62" s="7">
        <v>23.803999999999998</v>
      </c>
      <c r="Z62" s="7">
        <v>2.8050999999999999</v>
      </c>
      <c r="AA62" s="7">
        <v>3.0431400000000002</v>
      </c>
    </row>
    <row r="63" spans="2:27" ht="15" customHeight="1" x14ac:dyDescent="0.25">
      <c r="B63" s="52" t="s">
        <v>93</v>
      </c>
      <c r="C63" s="55" t="s">
        <v>92</v>
      </c>
      <c r="D63" s="17" t="s">
        <v>74</v>
      </c>
      <c r="E63" s="19">
        <f>_xll.IMDP($B63,$C63,E$60,$E$4,"FILL=TRUE")</f>
        <v>1317.7</v>
      </c>
      <c r="F63" s="19">
        <f>_xll.IMDP($B63,$C63,F$60,$E$4,"FILL=TRUE")</f>
        <v>0.1</v>
      </c>
      <c r="G63" s="19">
        <f>(E63-_xll.IMDP($B63,$C63,E$60,EDATE($E$4,-1),"FILL=TRUE"))/_xll.IMDP($B63,$C63,E$60,EDATE($E$4,-1),"FILL=TRUE")*100</f>
        <v>-0.5434372405464597</v>
      </c>
      <c r="H63" s="19">
        <f>(E63-_xll.IMDP($B63,$C63,E$60,EDATE($E$4,-3),"FILL=TRUE"))/_xll.IMDP($B63,$C63,E$60,EDATE($E$4,-3),"FILL=TRUE")*100</f>
        <v>1.4395688991531983</v>
      </c>
      <c r="I63" s="21">
        <f>(E63-_xll.IMDP($B63,$C63,E$60,EDATE($E$4,-12),"FILL=TRUE"))/_xll.IMDP($B63,$C63,E$60,EDATE($E$4,-12),"FILL=TRUE")*100</f>
        <v>1.4864448552064042</v>
      </c>
      <c r="J63" s="64"/>
      <c r="N63" s="2"/>
      <c r="O63" s="2"/>
      <c r="P63" s="2"/>
      <c r="X63" s="95">
        <v>44799</v>
      </c>
      <c r="Y63" s="7">
        <v>21.106999999999999</v>
      </c>
      <c r="Z63" s="7">
        <v>2.8584999999999998</v>
      </c>
      <c r="AA63" s="7">
        <v>3.0695700000000001</v>
      </c>
    </row>
    <row r="64" spans="2:27" ht="15" customHeight="1" x14ac:dyDescent="0.25">
      <c r="B64" s="52" t="s">
        <v>93</v>
      </c>
      <c r="C64" s="55" t="s">
        <v>94</v>
      </c>
      <c r="D64" s="22" t="s">
        <v>75</v>
      </c>
      <c r="E64" s="91">
        <f>_xll.IMDP($B64,$C64,E$61,$E$4,"FILL=TRUE")</f>
        <v>144.30099999999999</v>
      </c>
      <c r="F64" s="91">
        <f>_xll.IMDP($B64,$C64,F$61,$E$4,"FILL=TRUE")</f>
        <v>-0.496</v>
      </c>
      <c r="G64" s="11">
        <f>(E64-_xll.IMDP($B64,$C64,E$61,EDATE($E$4,-1),"FILL=TRUE"))/_xll.IMDP($B64,$C64,E$61,EDATE($E$4,-1),"FILL=TRUE")*100</f>
        <v>3.2210761241219377</v>
      </c>
      <c r="H64" s="11">
        <f>(E64-_xll.IMDP($B64,$C64,E$61,EDATE($E$4,-3),"FILL=TRUE"))/_xll.IMDP($B64,$C64,E$61,EDATE($E$4,-3),"FILL=TRUE")*100</f>
        <v>8.7422758100979649</v>
      </c>
      <c r="I64" s="23">
        <f>(E64-_xll.IMDP($B64,$C64,E$61,EDATE($E$4,-12),"FILL=TRUE"))/_xll.IMDP($B64,$C64,E$61,EDATE($E$4,-12),"FILL=TRUE")*100</f>
        <v>6.315525790361658</v>
      </c>
      <c r="J64" s="64"/>
      <c r="X64" s="95">
        <v>44800</v>
      </c>
      <c r="Y64" s="7">
        <v>21.106999999999999</v>
      </c>
      <c r="Z64" s="7">
        <v>2.8584999999999998</v>
      </c>
      <c r="AA64" s="7">
        <v>3.0695700000000001</v>
      </c>
    </row>
    <row r="65" spans="2:27" ht="15" customHeight="1" x14ac:dyDescent="0.25">
      <c r="B65" s="52" t="s">
        <v>93</v>
      </c>
      <c r="C65" s="55" t="s">
        <v>84</v>
      </c>
      <c r="D65" s="22" t="s">
        <v>76</v>
      </c>
      <c r="E65" s="94">
        <f>_xll.IMDP($B65,$C65,E$61,$E$4,"FILL=TRUE")</f>
        <v>1.09104</v>
      </c>
      <c r="F65" s="12">
        <f>_xll.IMDP($B65,$C65,F$61,$E$4,"FILL=TRUE")</f>
        <v>4.47E-3</v>
      </c>
      <c r="G65" s="11">
        <f>(E65-_xll.IMDP($B65,$C65,E$61,EDATE($E$4,-1),"FILL=TRUE"))/_xll.IMDP($B65,$C65,E$61,EDATE($E$4,-1),"FILL=TRUE")*100</f>
        <v>1.6376949304119321</v>
      </c>
      <c r="H65" s="11">
        <f>(E65-_xll.IMDP($B65,$C65,E$61,EDATE($E$4,-3),"FILL=TRUE"))/_xll.IMDP($B65,$C65,E$61,EDATE($E$4,-3),"FILL=TRUE")*100</f>
        <v>4.0344764349898768E-2</v>
      </c>
      <c r="I65" s="23">
        <f>(E65-_xll.IMDP($B65,$C65,E$61,EDATE($E$4,-12),"FILL=TRUE"))/_xll.IMDP($B65,$C65,E$61,EDATE($E$4,-12),"FILL=TRUE")*100</f>
        <v>4.0731060533796253</v>
      </c>
      <c r="J65" s="64"/>
      <c r="X65" s="95">
        <v>44801</v>
      </c>
      <c r="Y65" s="7">
        <v>21.106999999999999</v>
      </c>
      <c r="Z65" s="7">
        <v>2.8584999999999998</v>
      </c>
      <c r="AA65" s="7">
        <v>3.0695700000000001</v>
      </c>
    </row>
    <row r="66" spans="2:27" ht="15" customHeight="1" x14ac:dyDescent="0.25">
      <c r="B66" s="54" t="s">
        <v>93</v>
      </c>
      <c r="C66" s="55" t="s">
        <v>85</v>
      </c>
      <c r="D66" s="22" t="s">
        <v>77</v>
      </c>
      <c r="E66" s="12">
        <f>_xll.IMDP($B66,$C66,E$61,$E$4,"FILL=TRUE")</f>
        <v>7.8364000000000003</v>
      </c>
      <c r="F66" s="12">
        <f>_xll.IMDP($B66,$C66,F$61,$E$4,"FILL=TRUE")</f>
        <v>-1.6000000000000001E-3</v>
      </c>
      <c r="G66" s="11">
        <f>(E66-_xll.IMDP($B66,$C66,E$61,EDATE($E$4,-1),"FILL=TRUE"))/_xll.IMDP($B66,$C66,E$61,EDATE($E$4,-1),"FILL=TRUE")*100</f>
        <v>2.5528438680698817E-2</v>
      </c>
      <c r="H66" s="11">
        <f>(E66-_xll.IMDP($B66,$C66,E$61,EDATE($E$4,-3),"FILL=TRUE"))/_xll.IMDP($B66,$C66,E$61,EDATE($E$4,-3),"FILL=TRUE")*100</f>
        <v>-0.1719767130791427</v>
      </c>
      <c r="I66" s="23">
        <f>(E66-_xll.IMDP($B66,$C66,E$61,EDATE($E$4,-12),"FILL=TRUE"))/_xll.IMDP($B66,$C66,E$61,EDATE($E$4,-12),"FILL=TRUE")*100</f>
        <v>-0.1274469820554622</v>
      </c>
      <c r="J66" s="64"/>
      <c r="X66" s="95">
        <v>44802</v>
      </c>
      <c r="Y66" s="7">
        <v>18.047000000000001</v>
      </c>
      <c r="Z66" s="7">
        <v>2.8891</v>
      </c>
      <c r="AA66" s="7">
        <v>3.0695700000000001</v>
      </c>
    </row>
    <row r="67" spans="2:27" ht="15" customHeight="1" x14ac:dyDescent="0.25">
      <c r="B67" s="54" t="s">
        <v>93</v>
      </c>
      <c r="C67" s="55" t="s">
        <v>86</v>
      </c>
      <c r="D67" s="22" t="s">
        <v>78</v>
      </c>
      <c r="E67" s="11">
        <f>_xll.IMDP($B67,$C67,E$61,$E$4,"FILL=TRUE")</f>
        <v>55.27</v>
      </c>
      <c r="F67" s="11">
        <f>_xll.IMDP($B67,$C67,F$61,$E$4,"FILL=TRUE")</f>
        <v>-0.16</v>
      </c>
      <c r="G67" s="11">
        <f>(E67-_xll.IMDP($B67,$C67,E$61,EDATE($E$4,-1),"FILL=TRUE"))/_xll.IMDP($B67,$C67,E$61,EDATE($E$4,-1),"FILL=TRUE")*100</f>
        <v>-1.8469188421239551</v>
      </c>
      <c r="H67" s="11">
        <f>(E67-_xll.IMDP($B67,$C67,E$61,EDATE($E$4,-3),"FILL=TRUE"))/_xll.IMDP($B67,$C67,E$61,EDATE($E$4,-3),"FILL=TRUE")*100</f>
        <v>1.580591802977406</v>
      </c>
      <c r="I67" s="23">
        <f>(E67-_xll.IMDP($B67,$C67,E$61,EDATE($E$4,-12),"FILL=TRUE"))/_xll.IMDP($B67,$C67,E$61,EDATE($E$4,-12),"FILL=TRUE")*100</f>
        <v>0.41787790697675142</v>
      </c>
      <c r="J67" s="64"/>
      <c r="X67" s="95">
        <v>44803</v>
      </c>
      <c r="Y67" s="7">
        <v>16.873999999999999</v>
      </c>
      <c r="Z67" s="7">
        <v>2.9134000000000002</v>
      </c>
      <c r="AA67" s="7">
        <v>3.0821399999999999</v>
      </c>
    </row>
    <row r="68" spans="2:27" ht="15" customHeight="1" x14ac:dyDescent="0.25">
      <c r="B68" s="54" t="s">
        <v>93</v>
      </c>
      <c r="C68" s="55" t="s">
        <v>87</v>
      </c>
      <c r="D68" s="22" t="s">
        <v>79</v>
      </c>
      <c r="E68" s="12">
        <f>_xll.IMDP($B68,$C68,E$61,$E$4,"FILL=TRUE")</f>
        <v>1.3523000000000001</v>
      </c>
      <c r="F68" s="12">
        <f>_xll.IMDP($B68,$C68,F$61,$E$4,"FILL=TRUE")</f>
        <v>-4.7000000000000002E-3</v>
      </c>
      <c r="G68" s="11">
        <f>(E68-_xll.IMDP($B68,$C68,E$61,EDATE($E$4,-1),"FILL=TRUE"))/_xll.IMDP($B68,$C68,E$61,EDATE($E$4,-1),"FILL=TRUE")*100</f>
        <v>0.14069905213270234</v>
      </c>
      <c r="H68" s="11">
        <f>(E68-_xll.IMDP($B68,$C68,E$61,EDATE($E$4,-3),"FILL=TRUE"))/_xll.IMDP($B68,$C68,E$61,EDATE($E$4,-3),"FILL=TRUE")*100</f>
        <v>1.8681732580037784</v>
      </c>
      <c r="I68" s="23">
        <f>(E68-_xll.IMDP($B68,$C68,E$61,EDATE($E$4,-12),"FILL=TRUE"))/_xll.IMDP($B68,$C68,E$61,EDATE($E$4,-12),"FILL=TRUE")*100</f>
        <v>-2.7262264422385298</v>
      </c>
      <c r="J68" s="64"/>
      <c r="X68" s="95">
        <v>44804</v>
      </c>
      <c r="Y68" s="7">
        <v>16.861000000000001</v>
      </c>
      <c r="Z68" s="7">
        <v>2.9310999999999998</v>
      </c>
      <c r="AA68" s="7">
        <v>3.09971</v>
      </c>
    </row>
    <row r="69" spans="2:27" ht="15" customHeight="1" x14ac:dyDescent="0.25">
      <c r="B69" s="54" t="s">
        <v>93</v>
      </c>
      <c r="C69" s="55" t="s">
        <v>88</v>
      </c>
      <c r="D69" s="22" t="s">
        <v>80</v>
      </c>
      <c r="E69" s="12">
        <f>_xll.IMDP($B69,$C69,E$61,$E$4,"FILL=TRUE")</f>
        <v>4.6665000000000001</v>
      </c>
      <c r="F69" s="12">
        <f>_xll.IMDP($B69,$C69,F$61,$E$4,"FILL=TRUE")</f>
        <v>-3.8999999999999998E-3</v>
      </c>
      <c r="G69" s="11">
        <f>(E69-_xll.IMDP($B69,$C69,E$61,EDATE($E$4,-1),"FILL=TRUE"))/_xll.IMDP($B69,$C69,E$61,EDATE($E$4,-1),"FILL=TRUE")*100</f>
        <v>1.4566800739210821</v>
      </c>
      <c r="H69" s="11">
        <f>(E69-_xll.IMDP($B69,$C69,E$61,EDATE($E$4,-3),"FILL=TRUE"))/_xll.IMDP($B69,$C69,E$61,EDATE($E$4,-3),"FILL=TRUE")*100</f>
        <v>5.5411059595160035</v>
      </c>
      <c r="I69" s="23">
        <f>(E69-_xll.IMDP($B69,$C69,E$61,EDATE($E$4,-12),"FILL=TRUE"))/_xll.IMDP($B69,$C69,E$61,EDATE($E$4,-12),"FILL=TRUE")*100</f>
        <v>5.852330724736305</v>
      </c>
      <c r="J69" s="64"/>
      <c r="X69" s="95">
        <v>44805</v>
      </c>
      <c r="Y69" s="7">
        <v>20.814</v>
      </c>
      <c r="Z69" s="7">
        <v>2.9359999999999999</v>
      </c>
      <c r="AA69" s="7">
        <v>3.1441400000000002</v>
      </c>
    </row>
    <row r="70" spans="2:27" ht="15" customHeight="1" x14ac:dyDescent="0.25">
      <c r="B70" s="54" t="s">
        <v>93</v>
      </c>
      <c r="C70" s="55" t="s">
        <v>91</v>
      </c>
      <c r="D70" s="22" t="s">
        <v>81</v>
      </c>
      <c r="E70" s="91">
        <f>_xll.IMDP($B70,$C70,E$61,$E$4,"FILL=TRUE")</f>
        <v>31.192</v>
      </c>
      <c r="F70" s="91">
        <f>_xll.IMDP($B70,$C70,F$61,$E$4,"FILL=TRUE")</f>
        <v>3.5000000000000003E-2</v>
      </c>
      <c r="G70" s="11">
        <f>(E70-_xll.IMDP($B70,$C70,E$61,EDATE($E$4,-1),"FILL=TRUE"))/_xll.IMDP($B70,$C70,E$61,EDATE($E$4,-1),"FILL=TRUE")*100</f>
        <v>1.9046685615341841</v>
      </c>
      <c r="H70" s="11">
        <f>(E70-_xll.IMDP($B70,$C70,E$61,EDATE($E$4,-3),"FILL=TRUE"))/_xll.IMDP($B70,$C70,E$61,EDATE($E$4,-3),"FILL=TRUE")*100</f>
        <v>2.2520898213407676</v>
      </c>
      <c r="I70" s="23">
        <f>(E70-_xll.IMDP($B70,$C70,E$61,EDATE($E$4,-12),"FILL=TRUE"))/_xll.IMDP($B70,$C70,E$61,EDATE($E$4,-12),"FILL=TRUE")*100</f>
        <v>4.8153499781578679</v>
      </c>
      <c r="J70" s="64"/>
      <c r="X70" s="95">
        <v>44806</v>
      </c>
      <c r="Y70" s="7">
        <v>25.384</v>
      </c>
      <c r="Z70" s="7">
        <v>2.9043000000000001</v>
      </c>
      <c r="AA70" s="7">
        <v>3.1581399999999999</v>
      </c>
    </row>
    <row r="71" spans="2:27" ht="15" customHeight="1" x14ac:dyDescent="0.25">
      <c r="B71" s="54" t="s">
        <v>93</v>
      </c>
      <c r="C71" s="55" t="s">
        <v>89</v>
      </c>
      <c r="D71" s="22" t="s">
        <v>82</v>
      </c>
      <c r="E71" s="92">
        <f>_xll.IMDP($B71,$C71,E$61,$E$4,"FILL=TRUE")</f>
        <v>14994</v>
      </c>
      <c r="F71" s="92">
        <f>_xll.IMDP($B71,$C71,F$61,$E$4,"FILL=TRUE")</f>
        <v>-1</v>
      </c>
      <c r="G71" s="11">
        <f>(E71-_xll.IMDP($B71,$C71,E$61,EDATE($E$4,-1),"FILL=TRUE"))/_xll.IMDP($B71,$C71,E$61,EDATE($E$4,-1),"FILL=TRUE")*100</f>
        <v>6.673785371062467E-2</v>
      </c>
      <c r="H71" s="11">
        <f>(E71-_xll.IMDP($B71,$C71,E$61,EDATE($E$4,-3),"FILL=TRUE"))/_xll.IMDP($B71,$C71,E$61,EDATE($E$4,-3),"FILL=TRUE")*100</f>
        <v>-0.3654727888896272</v>
      </c>
      <c r="I71" s="23">
        <f>(E71-_xll.IMDP($B71,$C71,E$61,EDATE($E$4,-12),"FILL=TRUE"))/_xll.IMDP($B71,$C71,E$61,EDATE($E$4,-12),"FILL=TRUE")*100</f>
        <v>0.73228081961706415</v>
      </c>
      <c r="J71" s="64"/>
      <c r="X71" s="95">
        <v>44807</v>
      </c>
      <c r="Y71" s="7">
        <v>25.384</v>
      </c>
      <c r="Z71" s="7">
        <v>2.9043000000000001</v>
      </c>
      <c r="AA71" s="7">
        <v>3.1581399999999999</v>
      </c>
    </row>
    <row r="72" spans="2:27" ht="15" customHeight="1" x14ac:dyDescent="0.25">
      <c r="B72" s="54" t="s">
        <v>93</v>
      </c>
      <c r="C72" s="55" t="s">
        <v>90</v>
      </c>
      <c r="D72" s="24" t="s">
        <v>83</v>
      </c>
      <c r="E72" s="93">
        <f>_xll.IMDP($B72,$C72,E$61,$E$4,"FILL=TRUE")</f>
        <v>35.314999999999998</v>
      </c>
      <c r="F72" s="93">
        <f>_xll.IMDP($B72,$C72,F$61,$E$4,"FILL=TRUE")</f>
        <v>-0.32</v>
      </c>
      <c r="G72" s="26">
        <f>(E72-_xll.IMDP($B72,$C72,E$61,EDATE($E$4,-1),"FILL=TRUE"))/_xll.IMDP($B72,$C72,E$61,EDATE($E$4,-1),"FILL=TRUE")*100</f>
        <v>1.8457101658255246</v>
      </c>
      <c r="H72" s="26">
        <f>(E72-_xll.IMDP($B72,$C72,E$61,EDATE($E$4,-3),"FILL=TRUE"))/_xll.IMDP($B72,$C72,E$61,EDATE($E$4,-3),"FILL=TRUE")*100</f>
        <v>3.426563186410879</v>
      </c>
      <c r="I72" s="28">
        <f>(E72-_xll.IMDP($B72,$C72,E$61,EDATE($E$4,-12),"FILL=TRUE"))/_xll.IMDP($B72,$C72,E$61,EDATE($E$4,-12),"FILL=TRUE")*100</f>
        <v>-2.8308563340424954E-2</v>
      </c>
      <c r="J72" s="64"/>
      <c r="X72" s="95">
        <v>44808</v>
      </c>
      <c r="Y72" s="7">
        <v>25.384</v>
      </c>
      <c r="Z72" s="7">
        <v>2.9043000000000001</v>
      </c>
      <c r="AA72" s="7">
        <v>3.1581399999999999</v>
      </c>
    </row>
    <row r="73" spans="2:27" x14ac:dyDescent="0.25">
      <c r="D73" s="5"/>
      <c r="E73" s="5"/>
      <c r="F73" s="5"/>
      <c r="G73" s="5"/>
      <c r="H73" s="5"/>
      <c r="I73" s="5"/>
      <c r="K73" s="5"/>
      <c r="X73" s="95">
        <v>44809</v>
      </c>
      <c r="Y73" s="7">
        <v>24.056000000000001</v>
      </c>
      <c r="Z73" s="7">
        <v>2.9043000000000001</v>
      </c>
      <c r="AA73" s="7">
        <v>3.14486</v>
      </c>
    </row>
    <row r="74" spans="2:27" x14ac:dyDescent="0.25">
      <c r="D74" s="9" t="s">
        <v>231</v>
      </c>
      <c r="X74" s="95">
        <v>44810</v>
      </c>
      <c r="Y74" s="7">
        <v>22.276</v>
      </c>
      <c r="Z74" s="7">
        <v>2.9451000000000001</v>
      </c>
      <c r="AA74" s="7">
        <v>3.1678600000000001</v>
      </c>
    </row>
    <row r="75" spans="2:27" hidden="1" x14ac:dyDescent="0.25">
      <c r="E75" s="4" t="s">
        <v>95</v>
      </c>
      <c r="F75" s="4" t="s">
        <v>152</v>
      </c>
      <c r="L75" s="4" t="s">
        <v>95</v>
      </c>
      <c r="M75" s="4" t="s">
        <v>152</v>
      </c>
      <c r="X75" s="95">
        <v>44811</v>
      </c>
      <c r="Y75" s="7">
        <v>17.8</v>
      </c>
      <c r="Z75" s="7">
        <v>3.016</v>
      </c>
      <c r="AA75" s="7">
        <v>3.194</v>
      </c>
    </row>
    <row r="76" spans="2:27" ht="15" customHeight="1" x14ac:dyDescent="0.25">
      <c r="B76" s="50"/>
      <c r="D76" s="45" t="s">
        <v>62</v>
      </c>
      <c r="E76" s="83">
        <f>$E$4</f>
        <v>45107</v>
      </c>
      <c r="F76" s="46" t="s">
        <v>106</v>
      </c>
      <c r="G76" s="46" t="s">
        <v>98</v>
      </c>
      <c r="H76" s="47" t="s">
        <v>100</v>
      </c>
      <c r="I76" s="47" t="s">
        <v>102</v>
      </c>
      <c r="J76" s="65"/>
      <c r="K76" s="47" t="s">
        <v>62</v>
      </c>
      <c r="L76" s="83">
        <f>$E$4</f>
        <v>45107</v>
      </c>
      <c r="M76" s="47" t="s">
        <v>106</v>
      </c>
      <c r="N76" s="46" t="s">
        <v>98</v>
      </c>
      <c r="O76" s="46" t="s">
        <v>100</v>
      </c>
      <c r="P76" s="46" t="s">
        <v>102</v>
      </c>
      <c r="R76" s="2"/>
      <c r="X76" s="95">
        <v>44812</v>
      </c>
      <c r="Y76" s="7">
        <v>20.710999999999999</v>
      </c>
      <c r="Z76" s="7">
        <v>3.0286</v>
      </c>
      <c r="AA76" s="7">
        <v>3.2357100000000001</v>
      </c>
    </row>
    <row r="77" spans="2:27" ht="15" customHeight="1" x14ac:dyDescent="0.25">
      <c r="B77" s="56" t="s">
        <v>41</v>
      </c>
      <c r="C77" s="57" t="s">
        <v>131</v>
      </c>
      <c r="D77" s="29" t="s">
        <v>107</v>
      </c>
      <c r="E77" s="18">
        <f>_xll.IMDP($B77,$C77,E$75,$E$4,"FILL=TRUE")</f>
        <v>15.95</v>
      </c>
      <c r="F77" s="18">
        <f>_xll.IMDP($B77,$C77,F$75,$E$4,"FILL=TRUE")</f>
        <v>-0.19</v>
      </c>
      <c r="G77" s="19">
        <f>($E77-_xll.IMDP($B77,$C77,E$75,EDATE($E$4,-1),"FILL=TRUE"))/_xll.IMDP($B77,$C77,E$75,EDATE($E$4,-1),"FILL=TRUE")*100</f>
        <v>1.9820971867007591</v>
      </c>
      <c r="H77" s="19">
        <f>($E77-_xll.IMDP($B77,$C77,E$75,EDATE($E$4,-3),"FILL=TRUE"))/_xll.IMDP($B77,$C77,E$75,EDATE($E$4,-3),"FILL=TRUE")*100</f>
        <v>-16.404612159329137</v>
      </c>
      <c r="I77" s="19">
        <f>($E77-_xll.IMDP($B77,$C77,E$75,EDATE($E$4,-12),"FILL=TRUE"))/_xll.IMDP($B77,$C77,E$75,EDATE($E$4,-12),"FILL=TRUE")*100</f>
        <v>-23.902671755725198</v>
      </c>
      <c r="J77" s="66" t="s">
        <v>235</v>
      </c>
      <c r="K77" s="30" t="s">
        <v>116</v>
      </c>
      <c r="L77" s="18">
        <f>_xll.IMDP($B77,$J77,L$75,$E$4,"FILL=TRUE")</f>
        <v>2308.5</v>
      </c>
      <c r="M77" s="18">
        <f>_xll.IMDP($B77,$J77,M$75,$E$4,"FILL=TRUE")</f>
        <v>0.56999999999999995</v>
      </c>
      <c r="N77" s="19">
        <f>($L77-_xll.IMDP($B77,$J77,L$75,EDATE($E$4,-1),"FILL=TRUE"))/_xll.IMDP($B77,$J77,L$75,EDATE($E$4,-1),"FILL=TRUE")*100</f>
        <v>18.994845360824741</v>
      </c>
      <c r="O77" s="19">
        <f>($L77-_xll.IMDP($B77,$J77,L$75,EDATE($E$4,-3),"FILL=TRUE"))/_xll.IMDP($B77,$J77,L$75,EDATE($E$4,-3),"FILL=TRUE")*100</f>
        <v>25.325732899022803</v>
      </c>
      <c r="P77" s="21">
        <f>($L77-_xll.IMDP($B77,$J77,L$75,EDATE($E$4,-12),"FILL=TRUE"))/_xll.IMDP($B77,$J77,L$75,EDATE($E$4,-12),"FILL=TRUE")*100</f>
        <v>9.9285714285714288</v>
      </c>
      <c r="R77" s="2"/>
      <c r="X77" s="95">
        <v>44813</v>
      </c>
      <c r="Y77" s="7">
        <v>20.213000000000001</v>
      </c>
      <c r="Z77" s="7">
        <v>3.0432999999999999</v>
      </c>
      <c r="AA77" s="7">
        <v>3.2454299999999998</v>
      </c>
    </row>
    <row r="78" spans="2:27" ht="15" customHeight="1" x14ac:dyDescent="0.25">
      <c r="B78" s="56" t="s">
        <v>41</v>
      </c>
      <c r="C78" s="57" t="s">
        <v>132</v>
      </c>
      <c r="D78" s="31" t="s">
        <v>108</v>
      </c>
      <c r="E78" s="14">
        <f>_xll.IMDP($B78,$C78,E$75,$E$4,"FILL=TRUE")</f>
        <v>109.85</v>
      </c>
      <c r="F78" s="14">
        <f>_xll.IMDP($B78,$C78,F$75,$E$4,"FILL=TRUE")</f>
        <v>1.96</v>
      </c>
      <c r="G78" s="11">
        <f>($E78-_xll.IMDP($B78,$C78,E$75,EDATE($E$4,-1),"FILL=TRUE"))/_xll.IMDP($B78,$C78,E$75,EDATE($E$4,-1),"FILL=TRUE")*100</f>
        <v>7.2753906249999893</v>
      </c>
      <c r="H78" s="11">
        <f>($E78-_xll.IMDP($B78,$C78,E$75,EDATE($E$4,-3),"FILL=TRUE"))/_xll.IMDP($B78,$C78,E$75,EDATE($E$4,-3),"FILL=TRUE")*100</f>
        <v>16.799574694311534</v>
      </c>
      <c r="I78" s="11">
        <f>($E78-_xll.IMDP($B78,$C78,E$75,EDATE($E$4,-12),"FILL=TRUE"))/_xll.IMDP($B78,$C78,E$75,EDATE($E$4,-12),"FILL=TRUE")*100</f>
        <v>72.530234019161284</v>
      </c>
      <c r="J78" s="67" t="s">
        <v>143</v>
      </c>
      <c r="K78" s="16" t="s">
        <v>117</v>
      </c>
      <c r="L78" s="14">
        <f>_xll.IMDP($B78,$J78,L$75,$E$4,"FILL=TRUE")</f>
        <v>12965</v>
      </c>
      <c r="M78" s="14">
        <f>_xll.IMDP($B78,$J78,M$75,$E$4,"FILL=TRUE")</f>
        <v>-0.65</v>
      </c>
      <c r="N78" s="11">
        <f>($L78-_xll.IMDP($B78,$J78,L$75,EDATE($E$4,-1),"FILL=TRUE"))/_xll.IMDP($B78,$J78,L$75,EDATE($E$4,-1),"FILL=TRUE")*100</f>
        <v>-2.9202545862972671</v>
      </c>
      <c r="O78" s="11">
        <f>($L78-_xll.IMDP($B78,$J78,L$75,EDATE($E$4,-3),"FILL=TRUE"))/_xll.IMDP($B78,$J78,L$75,EDATE($E$4,-3),"FILL=TRUE")*100</f>
        <v>10.481465700894759</v>
      </c>
      <c r="P78" s="23">
        <f>($L78-_xll.IMDP($B78,$J78,L$75,EDATE($E$4,-12),"FILL=TRUE"))/_xll.IMDP($B78,$J78,L$75,EDATE($E$4,-12),"FILL=TRUE")*100</f>
        <v>16.854438936457864</v>
      </c>
      <c r="X78" s="95">
        <v>44814</v>
      </c>
      <c r="Y78" s="7">
        <v>20.213000000000001</v>
      </c>
      <c r="Z78" s="7">
        <v>3.0432999999999999</v>
      </c>
      <c r="AA78" s="7">
        <v>3.2454299999999998</v>
      </c>
    </row>
    <row r="79" spans="2:27" ht="15" customHeight="1" x14ac:dyDescent="0.25">
      <c r="B79" s="58" t="s">
        <v>41</v>
      </c>
      <c r="C79" s="57" t="s">
        <v>133</v>
      </c>
      <c r="D79" s="31" t="s">
        <v>109</v>
      </c>
      <c r="E79" s="14">
        <f>_xll.IMDP($B79,$C79,E$75,$E$4,"FILL=TRUE")</f>
        <v>30.71</v>
      </c>
      <c r="F79" s="14">
        <f>_xll.IMDP($B79,$C79,F$75,$E$4,"FILL=TRUE")</f>
        <v>1.29</v>
      </c>
      <c r="G79" s="11">
        <f>($E79-_xll.IMDP($B79,$C79,E$75,EDATE($E$4,-1),"FILL=TRUE"))/_xll.IMDP($B79,$C79,E$75,EDATE($E$4,-1),"FILL=TRUE")*100</f>
        <v>-0.71128354348528577</v>
      </c>
      <c r="H79" s="11">
        <f>($E79-_xll.IMDP($B79,$C79,E$75,EDATE($E$4,-3),"FILL=TRUE"))/_xll.IMDP($B79,$C79,E$75,EDATE($E$4,-3),"FILL=TRUE")*100</f>
        <v>6.2629757785467213</v>
      </c>
      <c r="I79" s="11">
        <f>($E79-_xll.IMDP($B79,$C79,E$75,EDATE($E$4,-12),"FILL=TRUE"))/_xll.IMDP($B79,$C79,E$75,EDATE($E$4,-12),"FILL=TRUE")*100</f>
        <v>-6.3148261134838322</v>
      </c>
      <c r="J79" s="67" t="s">
        <v>144</v>
      </c>
      <c r="K79" s="16" t="s">
        <v>118</v>
      </c>
      <c r="L79" s="14">
        <f>_xll.IMDP($B79,$J79,L$75,$E$4,"FILL=TRUE")</f>
        <v>3790</v>
      </c>
      <c r="M79" s="14">
        <f>_xll.IMDP($B79,$J79,M$75,$E$4,"FILL=TRUE")</f>
        <v>-0.84</v>
      </c>
      <c r="N79" s="11">
        <f>($L79-_xll.IMDP($B79,$J79,L$75,EDATE($E$4,-1),"FILL=TRUE"))/_xll.IMDP($B79,$J79,L$75,EDATE($E$4,-1),"FILL=TRUE")*100</f>
        <v>8.2238720731010844</v>
      </c>
      <c r="O79" s="11">
        <f>($L79-_xll.IMDP($B79,$J79,L$75,EDATE($E$4,-3),"FILL=TRUE"))/_xll.IMDP($B79,$J79,L$75,EDATE($E$4,-3),"FILL=TRUE")*100</f>
        <v>29.175187457396046</v>
      </c>
      <c r="P79" s="23">
        <f>($L79-_xll.IMDP($B79,$J79,L$75,EDATE($E$4,-12),"FILL=TRUE"))/_xll.IMDP($B79,$J79,L$75,EDATE($E$4,-12),"FILL=TRUE")*100</f>
        <v>22.852512155591572</v>
      </c>
      <c r="X79" s="95">
        <v>44815</v>
      </c>
      <c r="Y79" s="7">
        <v>20.213000000000001</v>
      </c>
      <c r="Z79" s="7">
        <v>3.0432999999999999</v>
      </c>
      <c r="AA79" s="7">
        <v>3.2454299999999998</v>
      </c>
    </row>
    <row r="80" spans="2:27" ht="15" customHeight="1" x14ac:dyDescent="0.25">
      <c r="B80" s="58" t="s">
        <v>41</v>
      </c>
      <c r="C80" s="57" t="s">
        <v>134</v>
      </c>
      <c r="D80" s="31" t="s">
        <v>110</v>
      </c>
      <c r="E80" s="14">
        <f>_xll.IMDP($B80,$C80,E$75,$E$4,"FILL=TRUE")</f>
        <v>133.81</v>
      </c>
      <c r="F80" s="14">
        <f>_xll.IMDP($B80,$C80,F$75,$E$4,"FILL=TRUE")</f>
        <v>-0.19</v>
      </c>
      <c r="G80" s="11">
        <f>($E80-_xll.IMDP($B80,$C80,E$75,EDATE($E$4,-1),"FILL=TRUE"))/_xll.IMDP($B80,$C80,E$75,EDATE($E$4,-1),"FILL=TRUE")*100</f>
        <v>3.3441458140253419</v>
      </c>
      <c r="H80" s="11">
        <f>($E80-_xll.IMDP($B80,$C80,E$75,EDATE($E$4,-3),"FILL=TRUE"))/_xll.IMDP($B80,$C80,E$75,EDATE($E$4,-3),"FILL=TRUE")*100</f>
        <v>3.5520817210958082</v>
      </c>
      <c r="I80" s="11">
        <f>($E80-_xll.IMDP($B80,$C80,E$75,EDATE($E$4,-12),"FILL=TRUE"))/_xll.IMDP($B80,$C80,E$75,EDATE($E$4,-12),"FILL=TRUE")*100</f>
        <v>-5.2269990792549015</v>
      </c>
      <c r="J80" s="67" t="s">
        <v>246</v>
      </c>
      <c r="K80" s="16" t="s">
        <v>119</v>
      </c>
      <c r="L80" s="14">
        <f>_xll.IMDP($B80,$J80,L$75,$E$4,"FILL=TRUE")</f>
        <v>3880</v>
      </c>
      <c r="M80" s="14">
        <f>_xll.IMDP($B80,$J80,M$75,$E$4,"FILL=TRUE")</f>
        <v>0</v>
      </c>
      <c r="N80" s="11">
        <f>($L80-_xll.IMDP($B80,$J80,L$75,EDATE($E$4,-1),"FILL=TRUE"))/_xll.IMDP($B80,$J80,L$75,EDATE($E$4,-1),"FILL=TRUE")*100</f>
        <v>0</v>
      </c>
      <c r="O80" s="11">
        <f>($L80-_xll.IMDP($B80,$J80,L$75,EDATE($E$4,-3),"FILL=TRUE"))/_xll.IMDP($B80,$J80,L$75,EDATE($E$4,-3),"FILL=TRUE")*100</f>
        <v>0</v>
      </c>
      <c r="P80" s="23">
        <f>($L80-_xll.IMDP($B80,$J80,L$75,EDATE($E$4,-12),"FILL=TRUE"))/_xll.IMDP($B80,$J80,L$75,EDATE($E$4,-12),"FILL=TRUE")*100</f>
        <v>0</v>
      </c>
      <c r="X80" s="95">
        <v>44816</v>
      </c>
      <c r="Y80" s="7">
        <v>17.893999999999998</v>
      </c>
      <c r="Z80" s="7">
        <v>3.0912000000000002</v>
      </c>
      <c r="AA80" s="7">
        <v>3.27014</v>
      </c>
    </row>
    <row r="81" spans="2:27" ht="15" customHeight="1" x14ac:dyDescent="0.25">
      <c r="B81" s="58" t="s">
        <v>41</v>
      </c>
      <c r="C81" s="57" t="s">
        <v>135</v>
      </c>
      <c r="D81" s="31" t="s">
        <v>111</v>
      </c>
      <c r="E81" s="14">
        <f>_xll.IMDP($B81,$C81,E$75,$E$4,"FILL=TRUE")</f>
        <v>107.25</v>
      </c>
      <c r="F81" s="14">
        <f>_xll.IMDP($B81,$C81,F$75,$E$4,"FILL=TRUE")</f>
        <v>0.52</v>
      </c>
      <c r="G81" s="11">
        <f>($E81-_xll.IMDP($B81,$C81,E$75,EDATE($E$4,-1),"FILL=TRUE"))/_xll.IMDP($B81,$C81,E$75,EDATE($E$4,-1),"FILL=TRUE")*100</f>
        <v>3.0853517877739272</v>
      </c>
      <c r="H81" s="11">
        <f>($E81-_xll.IMDP($B81,$C81,E$75,EDATE($E$4,-3),"FILL=TRUE"))/_xll.IMDP($B81,$C81,E$75,EDATE($E$4,-3),"FILL=TRUE")*100</f>
        <v>-2.0458489359758838</v>
      </c>
      <c r="I81" s="11">
        <f>($E81-_xll.IMDP($B81,$C81,E$75,EDATE($E$4,-12),"FILL=TRUE"))/_xll.IMDP($B81,$C81,E$75,EDATE($E$4,-12),"FILL=TRUE")*100</f>
        <v>25.233535730966839</v>
      </c>
      <c r="J81" s="67" t="s">
        <v>145</v>
      </c>
      <c r="K81" s="16" t="s">
        <v>120</v>
      </c>
      <c r="L81" s="14">
        <f>_xll.IMDP($B81,$J81,L$75,$E$4,"FILL=TRUE")</f>
        <v>3004</v>
      </c>
      <c r="M81" s="14">
        <f>_xll.IMDP($B81,$J81,M$75,$E$4,"FILL=TRUE")</f>
        <v>0.94</v>
      </c>
      <c r="N81" s="11">
        <f>($L81-_xll.IMDP($B81,$J81,L$75,EDATE($E$4,-1),"FILL=TRUE"))/_xll.IMDP($B81,$J81,L$75,EDATE($E$4,-1),"FILL=TRUE")*100</f>
        <v>5.8864998237574904</v>
      </c>
      <c r="O81" s="11">
        <f>($L81-_xll.IMDP($B81,$J81,L$75,EDATE($E$4,-3),"FILL=TRUE"))/_xll.IMDP($B81,$J81,L$75,EDATE($E$4,-3),"FILL=TRUE")*100</f>
        <v>6.6622251832111928E-2</v>
      </c>
      <c r="P81" s="23">
        <f>($L81-_xll.IMDP($B81,$J81,L$75,EDATE($E$4,-12),"FILL=TRUE"))/_xll.IMDP($B81,$J81,L$75,EDATE($E$4,-12),"FILL=TRUE")*100</f>
        <v>58.188520273828324</v>
      </c>
      <c r="X81" s="95">
        <v>44817</v>
      </c>
      <c r="Y81" s="7">
        <v>9.0969999999999995</v>
      </c>
      <c r="Z81" s="7">
        <v>3.2016</v>
      </c>
      <c r="AA81" s="7">
        <v>3.29257</v>
      </c>
    </row>
    <row r="82" spans="2:27" ht="15" customHeight="1" x14ac:dyDescent="0.25">
      <c r="B82" s="58" t="s">
        <v>41</v>
      </c>
      <c r="C82" s="57" t="s">
        <v>136</v>
      </c>
      <c r="D82" s="31" t="s">
        <v>112</v>
      </c>
      <c r="E82" s="14">
        <f>_xll.IMDP($B82,$C82,E$75,$E$4,"FILL=TRUE")</f>
        <v>33.44</v>
      </c>
      <c r="F82" s="14">
        <f>_xll.IMDP($B82,$C82,F$75,$E$4,"FILL=TRUE")</f>
        <v>1.61</v>
      </c>
      <c r="G82" s="11">
        <f>($E82-_xll.IMDP($B82,$C82,E$75,EDATE($E$4,-1),"FILL=TRUE"))/_xll.IMDP($B82,$C82,E$75,EDATE($E$4,-1),"FILL=TRUE")*100</f>
        <v>11.503834611537176</v>
      </c>
      <c r="H82" s="11">
        <f>($E82-_xll.IMDP($B82,$C82,E$75,EDATE($E$4,-3),"FILL=TRUE"))/_xll.IMDP($B82,$C82,E$75,EDATE($E$4,-3),"FILL=TRUE")*100</f>
        <v>4.2069180430040332</v>
      </c>
      <c r="I82" s="11">
        <f>($E82-_xll.IMDP($B82,$C82,E$75,EDATE($E$4,-12),"FILL=TRUE"))/_xll.IMDP($B82,$C82,E$75,EDATE($E$4,-12),"FILL=TRUE")*100</f>
        <v>-10.61213579256883</v>
      </c>
      <c r="J82" s="67" t="s">
        <v>146</v>
      </c>
      <c r="K82" s="16" t="s">
        <v>121</v>
      </c>
      <c r="L82" s="14">
        <f>_xll.IMDP($B82,$J82,L$75,$E$4,"FILL=TRUE")</f>
        <v>621.70000000000005</v>
      </c>
      <c r="M82" s="14">
        <f>_xll.IMDP($B82,$J82,M$75,$E$4,"FILL=TRUE")</f>
        <v>0.47</v>
      </c>
      <c r="N82" s="11">
        <f>($L82-_xll.IMDP($B82,$J82,L$75,EDATE($E$4,-1),"FILL=TRUE"))/_xll.IMDP($B82,$J82,L$75,EDATE($E$4,-1),"FILL=TRUE")*100</f>
        <v>3.5994000999833395</v>
      </c>
      <c r="O82" s="11">
        <f>($L82-_xll.IMDP($B82,$J82,L$75,EDATE($E$4,-3),"FILL=TRUE"))/_xll.IMDP($B82,$J82,L$75,EDATE($E$4,-3),"FILL=TRUE")*100</f>
        <v>11.957500450207112</v>
      </c>
      <c r="P82" s="23">
        <f>($L82-_xll.IMDP($B82,$J82,L$75,EDATE($E$4,-12),"FILL=TRUE"))/_xll.IMDP($B82,$J82,L$75,EDATE($E$4,-12),"FILL=TRUE")*100</f>
        <v>16.075429424943991</v>
      </c>
      <c r="X82" s="95">
        <v>44818</v>
      </c>
      <c r="Y82" s="7">
        <v>27.693000000000001</v>
      </c>
      <c r="Z82" s="7">
        <v>3.2065000000000001</v>
      </c>
      <c r="AA82" s="7">
        <v>3.4834299999999998</v>
      </c>
    </row>
    <row r="83" spans="2:27" ht="15" customHeight="1" x14ac:dyDescent="0.25">
      <c r="B83" s="58" t="s">
        <v>41</v>
      </c>
      <c r="C83" s="57" t="s">
        <v>137</v>
      </c>
      <c r="D83" s="31" t="s">
        <v>113</v>
      </c>
      <c r="E83" s="14">
        <f>_xll.IMDP($B83,$C83,E$75,$E$4,"FILL=TRUE")</f>
        <v>340.54</v>
      </c>
      <c r="F83" s="14">
        <f>_xll.IMDP($B83,$C83,F$75,$E$4,"FILL=TRUE")</f>
        <v>1.64</v>
      </c>
      <c r="G83" s="11">
        <f>($E83-_xll.IMDP($B83,$C83,E$75,EDATE($E$4,-1),"FILL=TRUE"))/_xll.IMDP($B83,$C83,E$75,EDATE($E$4,-1),"FILL=TRUE")*100</f>
        <v>2.8169439328522814</v>
      </c>
      <c r="H83" s="11">
        <f>($E83-_xll.IMDP($B83,$C83,E$75,EDATE($E$4,-3),"FILL=TRUE"))/_xll.IMDP($B83,$C83,E$75,EDATE($E$4,-3),"FILL=TRUE")*100</f>
        <v>19.887343777503965</v>
      </c>
      <c r="I83" s="11">
        <f>($E83-_xll.IMDP($B83,$C83,E$75,EDATE($E$4,-12),"FILL=TRUE"))/_xll.IMDP($B83,$C83,E$75,EDATE($E$4,-12),"FILL=TRUE")*100</f>
        <v>32.593544367869818</v>
      </c>
      <c r="J83" s="67" t="s">
        <v>248</v>
      </c>
      <c r="K83" s="16" t="s">
        <v>122</v>
      </c>
      <c r="L83" s="14">
        <f>_xll.IMDP($B83,$J83,L$75,$E$4,"FILL=TRUE")</f>
        <v>458.35</v>
      </c>
      <c r="M83" s="14">
        <f>_xll.IMDP($B83,$J83,M$75,$E$4,"FILL=TRUE")</f>
        <v>0.78</v>
      </c>
      <c r="N83" s="11">
        <f>($L83-_xll.IMDP($B83,$J83,L$75,EDATE($E$4,-1),"FILL=TRUE"))/_xll.IMDP($B83,$J83,L$75,EDATE($E$4,-1),"FILL=TRUE")*100</f>
        <v>-1.7681097299614228</v>
      </c>
      <c r="O83" s="11">
        <f>($L83-_xll.IMDP($B83,$J83,L$75,EDATE($E$4,-3),"FILL=TRUE"))/_xll.IMDP($B83,$J83,L$75,EDATE($E$4,-3),"FILL=TRUE")*100</f>
        <v>-10.687840997661734</v>
      </c>
      <c r="P83" s="23">
        <f>($L83-_xll.IMDP($B83,$J83,L$75,EDATE($E$4,-12),"FILL=TRUE"))/_xll.IMDP($B83,$J83,L$75,EDATE($E$4,-12),"FILL=TRUE")*100</f>
        <v>18.040175122328101</v>
      </c>
      <c r="X83" s="95">
        <v>44819</v>
      </c>
      <c r="Y83" s="7">
        <v>36.723999999999997</v>
      </c>
      <c r="Z83" s="7">
        <v>3.1598999999999999</v>
      </c>
      <c r="AA83" s="7">
        <v>3.5271400000000002</v>
      </c>
    </row>
    <row r="84" spans="2:27" ht="15" customHeight="1" x14ac:dyDescent="0.25">
      <c r="B84" s="58" t="s">
        <v>41</v>
      </c>
      <c r="C84" s="57" t="s">
        <v>243</v>
      </c>
      <c r="D84" s="31" t="s">
        <v>247</v>
      </c>
      <c r="E84" s="14">
        <f>_xll.IMDP($B84,$C84,E$75,$E$4,"FILL=TRUE")</f>
        <v>28.69</v>
      </c>
      <c r="F84" s="14">
        <f>_xll.IMDP($B84,$C84,F$75,$E$4,"FILL=TRUE")</f>
        <v>0.1</v>
      </c>
      <c r="G84" s="11">
        <f>($E84-_xll.IMDP($B84,$C84,E$75,EDATE($E$4,-1),"FILL=TRUE"))/_xll.IMDP($B84,$C84,E$75,EDATE($E$4,-1),"FILL=TRUE")*100</f>
        <v>1.5215852795470619</v>
      </c>
      <c r="H84" s="11">
        <f>($E84-_xll.IMDP($B84,$C84,E$75,EDATE($E$4,-3),"FILL=TRUE"))/_xll.IMDP($B84,$C84,E$75,EDATE($E$4,-3),"FILL=TRUE")*100</f>
        <v>1.3780918727915215</v>
      </c>
      <c r="I84" s="11">
        <f>($E84-_xll.IMDP($B84,$C84,E$75,EDATE($E$4,-12),"FILL=TRUE"))/_xll.IMDP($B84,$C84,E$75,EDATE($E$4,-12),"FILL=TRUE")*100</f>
        <v>-7.8380982974622482</v>
      </c>
      <c r="J84" s="67" t="s">
        <v>147</v>
      </c>
      <c r="K84" s="16" t="s">
        <v>123</v>
      </c>
      <c r="L84" s="14">
        <f>_xll.IMDP($B84,$J84,L$75,$E$4,"FILL=TRUE")</f>
        <v>576</v>
      </c>
      <c r="M84" s="14">
        <f>_xll.IMDP($B84,$J84,M$75,$E$4,"FILL=TRUE")</f>
        <v>0.52</v>
      </c>
      <c r="N84" s="11">
        <f>($L84-_xll.IMDP($B84,$J84,L$75,EDATE($E$4,-1),"FILL=TRUE"))/_xll.IMDP($B84,$J84,L$75,EDATE($E$4,-1),"FILL=TRUE")*100</f>
        <v>1.7667844522968199</v>
      </c>
      <c r="O84" s="11">
        <f>($L84-_xll.IMDP($B84,$J84,L$75,EDATE($E$4,-3),"FILL=TRUE"))/_xll.IMDP($B84,$J84,L$75,EDATE($E$4,-3),"FILL=TRUE")*100</f>
        <v>7.6635514018691593</v>
      </c>
      <c r="P84" s="23">
        <f>($L84-_xll.IMDP($B84,$J84,L$75,EDATE($E$4,-12),"FILL=TRUE"))/_xll.IMDP($B84,$J84,L$75,EDATE($E$4,-12),"FILL=TRUE")*100</f>
        <v>21.008403361344538</v>
      </c>
      <c r="X84" s="95">
        <v>44820</v>
      </c>
      <c r="Y84" s="7">
        <v>42.168999999999997</v>
      </c>
      <c r="Z84" s="7">
        <v>3.1436000000000002</v>
      </c>
      <c r="AA84" s="7">
        <v>3.5652900000000001</v>
      </c>
    </row>
    <row r="85" spans="2:27" ht="15" customHeight="1" x14ac:dyDescent="0.25">
      <c r="B85" s="58" t="s">
        <v>41</v>
      </c>
      <c r="C85" s="57" t="s">
        <v>138</v>
      </c>
      <c r="D85" s="31" t="s">
        <v>114</v>
      </c>
      <c r="E85" s="14">
        <f>_xll.IMDP($B85,$C85,E$75,$E$4,"FILL=TRUE")</f>
        <v>145.44</v>
      </c>
      <c r="F85" s="14">
        <f>_xll.IMDP($B85,$C85,F$75,$E$4,"FILL=TRUE")</f>
        <v>1.4</v>
      </c>
      <c r="G85" s="11">
        <f>($E85-_xll.IMDP($B85,$C85,E$75,EDATE($E$4,-1),"FILL=TRUE"))/_xll.IMDP($B85,$C85,E$75,EDATE($E$4,-1),"FILL=TRUE")*100</f>
        <v>5.8053251855085035</v>
      </c>
      <c r="H85" s="11">
        <f>($E85-_xll.IMDP($B85,$C85,E$75,EDATE($E$4,-3),"FILL=TRUE"))/_xll.IMDP($B85,$C85,E$75,EDATE($E$4,-3),"FILL=TRUE")*100</f>
        <v>12.963106796116502</v>
      </c>
      <c r="I85" s="11">
        <f>($E85-_xll.IMDP($B85,$C85,E$75,EDATE($E$4,-12),"FILL=TRUE"))/_xll.IMDP($B85,$C85,E$75,EDATE($E$4,-12),"FILL=TRUE")*100</f>
        <v>29.153716366219694</v>
      </c>
      <c r="J85" s="67" t="s">
        <v>148</v>
      </c>
      <c r="K85" s="16" t="s">
        <v>124</v>
      </c>
      <c r="L85" s="14">
        <f>_xll.IMDP($B85,$J85,L$75,$E$4,"FILL=TRUE")</f>
        <v>18.600000000000001</v>
      </c>
      <c r="M85" s="14">
        <f>_xll.IMDP($B85,$J85,M$75,$E$4,"FILL=TRUE")</f>
        <v>-0.8</v>
      </c>
      <c r="N85" s="11">
        <f>($L85-_xll.IMDP($B85,$J85,L$75,EDATE($E$4,-1),"FILL=TRUE"))/_xll.IMDP($B85,$J85,L$75,EDATE($E$4,-1),"FILL=TRUE")*100</f>
        <v>5.6818181818181817</v>
      </c>
      <c r="O85" s="11">
        <f>($L85-_xll.IMDP($B85,$J85,L$75,EDATE($E$4,-3),"FILL=TRUE"))/_xll.IMDP($B85,$J85,L$75,EDATE($E$4,-3),"FILL=TRUE")*100</f>
        <v>1.3623978201634876</v>
      </c>
      <c r="P85" s="23">
        <f>($L85-_xll.IMDP($B85,$J85,L$75,EDATE($E$4,-12),"FILL=TRUE"))/_xll.IMDP($B85,$J85,L$75,EDATE($E$4,-12),"FILL=TRUE")*100</f>
        <v>14.110429447852765</v>
      </c>
      <c r="X85" s="95">
        <v>44821</v>
      </c>
      <c r="Y85" s="7">
        <v>42.168999999999997</v>
      </c>
      <c r="Z85" s="7">
        <v>3.1436000000000002</v>
      </c>
      <c r="AA85" s="7">
        <v>3.5652900000000001</v>
      </c>
    </row>
    <row r="86" spans="2:27" ht="15" customHeight="1" x14ac:dyDescent="0.25">
      <c r="B86" s="58" t="s">
        <v>41</v>
      </c>
      <c r="C86" s="57" t="s">
        <v>253</v>
      </c>
      <c r="D86" s="31" t="s">
        <v>254</v>
      </c>
      <c r="E86" s="14">
        <f>_xll.IMDP($B86,$C86,E$75,$E$4,"FILL=TRUE")</f>
        <v>83.35</v>
      </c>
      <c r="F86" s="14">
        <f>_xll.IMDP($B86,$C86,F$75,$E$4,"FILL=TRUE")</f>
        <v>-0.24</v>
      </c>
      <c r="G86" s="11">
        <f>($E86-_xll.IMDP($B86,$C86,E$75,EDATE($E$4,-1),"FILL=TRUE"))/_xll.IMDP($B86,$C86,E$75,EDATE($E$4,-1),"FILL=TRUE")*100</f>
        <v>5.9489004703190451</v>
      </c>
      <c r="H86" s="11">
        <f>($E86-_xll.IMDP($B86,$C86,E$75,EDATE($E$4,-3),"FILL=TRUE"))/_xll.IMDP($B86,$C86,E$75,EDATE($E$4,-3),"FILL=TRUE")*100</f>
        <v>-19.375120913136005</v>
      </c>
      <c r="I86" s="11">
        <f>($E86-_xll.IMDP($B86,$C86,E$75,EDATE($E$4,-12),"FILL=TRUE"))/_xll.IMDP($B86,$C86,E$75,EDATE($E$4,-12),"FILL=TRUE")*100</f>
        <v>-26.680154820548918</v>
      </c>
      <c r="J86" s="67" t="s">
        <v>149</v>
      </c>
      <c r="K86" s="16" t="s">
        <v>125</v>
      </c>
      <c r="L86" s="14">
        <f>_xll.IMDP($B86,$J86,L$75,$E$4,"FILL=TRUE")</f>
        <v>93.5</v>
      </c>
      <c r="M86" s="14">
        <f>_xll.IMDP($B86,$J86,M$75,$E$4,"FILL=TRUE")</f>
        <v>10</v>
      </c>
      <c r="N86" s="11">
        <f>($L86-_xll.IMDP($B86,$J86,L$75,EDATE($E$4,-1),"FILL=TRUE"))/_xll.IMDP($B86,$J86,L$75,EDATE($E$4,-1),"FILL=TRUE")*100</f>
        <v>-39.087947882736159</v>
      </c>
      <c r="O86" s="11">
        <f>($L86-_xll.IMDP($B86,$J86,L$75,EDATE($E$4,-3),"FILL=TRUE"))/_xll.IMDP($B86,$J86,L$75,EDATE($E$4,-3),"FILL=TRUE")*100</f>
        <v>-40.822784810126585</v>
      </c>
      <c r="P86" s="23">
        <f>($L86-_xll.IMDP($B86,$J86,L$75,EDATE($E$4,-12),"FILL=TRUE"))/_xll.IMDP($B86,$J86,L$75,EDATE($E$4,-12),"FILL=TRUE")*100</f>
        <v>10.520094562647762</v>
      </c>
      <c r="Q86" s="2"/>
      <c r="X86" s="95">
        <v>44822</v>
      </c>
      <c r="Y86" s="7">
        <v>42.168999999999997</v>
      </c>
      <c r="Z86" s="7">
        <v>3.1436000000000002</v>
      </c>
      <c r="AA86" s="7">
        <v>3.5652900000000001</v>
      </c>
    </row>
    <row r="87" spans="2:27" ht="15" customHeight="1" x14ac:dyDescent="0.25">
      <c r="B87" s="58" t="s">
        <v>41</v>
      </c>
      <c r="C87" s="57" t="s">
        <v>251</v>
      </c>
      <c r="D87" s="31" t="s">
        <v>252</v>
      </c>
      <c r="E87" s="14">
        <f>_xll.IMDP($B87,$C87,E$75,$E$4,"FILL=TRUE")</f>
        <v>119.7</v>
      </c>
      <c r="F87" s="14">
        <f>_xll.IMDP($B87,$C87,F$75,$E$4,"FILL=TRUE")</f>
        <v>0.5</v>
      </c>
      <c r="G87" s="11">
        <f>($E87-_xll.IMDP($B87,$C87,E$75,EDATE($E$4,-1),"FILL=TRUE"))/_xll.IMDP($B87,$C87,E$75,EDATE($E$4,-1),"FILL=TRUE")*100</f>
        <v>-3.210156060483544</v>
      </c>
      <c r="H87" s="11">
        <f>($E87-_xll.IMDP($B87,$C87,E$75,EDATE($E$4,-3),"FILL=TRUE"))/_xll.IMDP($B87,$C87,E$75,EDATE($E$4,-3),"FILL=TRUE")*100</f>
        <v>18.644067796610173</v>
      </c>
      <c r="I87" s="11">
        <f>($E87-_xll.IMDP($B87,$C87,E$75,EDATE($E$4,-12),"FILL=TRUE"))/_xll.IMDP($B87,$C87,E$75,EDATE($E$4,-12),"FILL=TRUE")*100</f>
        <v>9.856828193832607</v>
      </c>
      <c r="J87" s="67" t="s">
        <v>150</v>
      </c>
      <c r="K87" s="16" t="s">
        <v>126</v>
      </c>
      <c r="L87" s="14">
        <f>_xll.IMDP($B87,$J87,L$75,$E$4,"FILL=TRUE")</f>
        <v>31.35</v>
      </c>
      <c r="M87" s="14">
        <f>_xll.IMDP($B87,$J87,M$75,$E$4,"FILL=TRUE")</f>
        <v>-2.1800000000000002</v>
      </c>
      <c r="N87" s="11">
        <f>($L87-_xll.IMDP($B87,$J87,L$75,EDATE($E$4,-1),"FILL=TRUE"))/_xll.IMDP($B87,$J87,L$75,EDATE($E$4,-1),"FILL=TRUE")*100</f>
        <v>1.1290322580645207</v>
      </c>
      <c r="O87" s="11">
        <f>($L87-_xll.IMDP($B87,$J87,L$75,EDATE($E$4,-3),"FILL=TRUE"))/_xll.IMDP($B87,$J87,L$75,EDATE($E$4,-3),"FILL=TRUE")*100</f>
        <v>10.387323943661983</v>
      </c>
      <c r="P87" s="23">
        <f>($L87-_xll.IMDP($B87,$J87,L$75,EDATE($E$4,-12),"FILL=TRUE"))/_xll.IMDP($B87,$J87,L$75,EDATE($E$4,-12),"FILL=TRUE")*100</f>
        <v>44.470046082949324</v>
      </c>
      <c r="X87" s="95">
        <v>44823</v>
      </c>
      <c r="Y87" s="7">
        <v>41.679000000000002</v>
      </c>
      <c r="Z87" s="7">
        <v>3.1484999999999999</v>
      </c>
      <c r="AA87" s="7">
        <v>3.5652900000000001</v>
      </c>
    </row>
    <row r="88" spans="2:27" ht="15" customHeight="1" x14ac:dyDescent="0.25">
      <c r="B88" s="58" t="s">
        <v>41</v>
      </c>
      <c r="C88" s="57" t="s">
        <v>139</v>
      </c>
      <c r="D88" s="31" t="s">
        <v>245</v>
      </c>
      <c r="E88" s="14">
        <f>_xll.IMDP($B88,$C88,E$75,$E$4,"FILL=TRUE")</f>
        <v>120.97</v>
      </c>
      <c r="F88" s="14">
        <f>_xll.IMDP($B88,$C88,F$75,$E$4,"FILL=TRUE")</f>
        <v>0.8</v>
      </c>
      <c r="G88" s="11">
        <f>($E88-_xll.IMDP($B88,$C88,E$75,EDATE($E$4,-1),"FILL=TRUE"))/_xll.IMDP($B88,$C88,E$75,EDATE($E$4,-1),"FILL=TRUE")*100</f>
        <v>-2.9444801026957652</v>
      </c>
      <c r="H88" s="11">
        <f>($E88-_xll.IMDP($B88,$C88,E$75,EDATE($E$4,-3),"FILL=TRUE"))/_xll.IMDP($B88,$C88,E$75,EDATE($E$4,-3),"FILL=TRUE")*100</f>
        <v>19.393999210422429</v>
      </c>
      <c r="I88" s="11">
        <f>($E88-_xll.IMDP($B88,$C88,E$75,EDATE($E$4,-12),"FILL=TRUE"))/_xll.IMDP($B88,$C88,E$75,EDATE($E$4,-12),"FILL=TRUE")*100</f>
        <v>10.606199140532132</v>
      </c>
      <c r="J88" s="67" t="s">
        <v>249</v>
      </c>
      <c r="K88" s="16" t="s">
        <v>127</v>
      </c>
      <c r="L88" s="14">
        <f>_xll.IMDP($B88,$J88,L$75,$E$4,"FILL=TRUE")</f>
        <v>46.63</v>
      </c>
      <c r="M88" s="14">
        <f>_xll.IMDP($B88,$J88,M$75,$E$4,"FILL=TRUE")</f>
        <v>0</v>
      </c>
      <c r="N88" s="11">
        <f>($L88-_xll.IMDP($B88,$J88,L$75,EDATE($E$4,-1),"FILL=TRUE"))/_xll.IMDP($B88,$J88,L$75,EDATE($E$4,-1),"FILL=TRUE")*100</f>
        <v>0</v>
      </c>
      <c r="O88" s="11">
        <f>($L88-_xll.IMDP($B88,$J88,L$75,EDATE($E$4,-3),"FILL=TRUE"))/_xll.IMDP($B88,$J88,L$75,EDATE($E$4,-3),"FILL=TRUE")*100</f>
        <v>0</v>
      </c>
      <c r="P88" s="23">
        <f>($L88-_xll.IMDP($B88,$J88,L$75,EDATE($E$4,-12),"FILL=TRUE"))/_xll.IMDP($B88,$J88,L$75,EDATE($E$4,-12),"FILL=TRUE")*100</f>
        <v>0</v>
      </c>
      <c r="X88" s="95">
        <v>44824</v>
      </c>
      <c r="Y88" s="7">
        <v>34.341000000000001</v>
      </c>
      <c r="Z88" s="7">
        <v>3.2583000000000002</v>
      </c>
      <c r="AA88" s="7">
        <v>3.6017100000000002</v>
      </c>
    </row>
    <row r="89" spans="2:27" ht="15" customHeight="1" x14ac:dyDescent="0.25">
      <c r="B89" s="56" t="s">
        <v>41</v>
      </c>
      <c r="C89" s="57" t="s">
        <v>140</v>
      </c>
      <c r="D89" s="31" t="s">
        <v>241</v>
      </c>
      <c r="E89" s="14">
        <f>_xll.IMDP($B89,$C89,E$75,$E$4,"FILL=TRUE")</f>
        <v>130.36000000000001</v>
      </c>
      <c r="F89" s="14">
        <f>_xll.IMDP($B89,$C89,F$75,$E$4,"FILL=TRUE")</f>
        <v>1.92</v>
      </c>
      <c r="G89" s="11">
        <f>($E89-_xll.IMDP($B89,$C89,E$75,EDATE($E$4,-1),"FILL=TRUE"))/_xll.IMDP($B89,$C89,E$75,EDATE($E$4,-1),"FILL=TRUE")*100</f>
        <v>7.1510767713299508</v>
      </c>
      <c r="H89" s="11">
        <f>($E89-_xll.IMDP($B89,$C89,E$75,EDATE($E$4,-3),"FILL=TRUE"))/_xll.IMDP($B89,$C89,E$75,EDATE($E$4,-3),"FILL=TRUE")*100</f>
        <v>27.803921568627466</v>
      </c>
      <c r="I89" s="11">
        <f>($E89-_xll.IMDP($B89,$C89,E$75,EDATE($E$4,-12),"FILL=TRUE"))/_xll.IMDP($B89,$C89,E$75,EDATE($E$4,-12),"FILL=TRUE")*100</f>
        <v>22.737971942378326</v>
      </c>
      <c r="J89" s="67" t="s">
        <v>151</v>
      </c>
      <c r="K89" s="16" t="s">
        <v>128</v>
      </c>
      <c r="L89" s="14">
        <f>_xll.IMDP($B89,$J89,L$75,$E$4,"FILL=TRUE")</f>
        <v>24.38</v>
      </c>
      <c r="M89" s="14">
        <f>_xll.IMDP($B89,$J89,M$75,$E$4,"FILL=TRUE")</f>
        <v>0</v>
      </c>
      <c r="N89" s="11">
        <f>($L89-_xll.IMDP($B89,$J89,L$75,EDATE($E$4,-1),"FILL=TRUE"))/_xll.IMDP($B89,$J89,L$75,EDATE($E$4,-1),"FILL=TRUE")*100</f>
        <v>0</v>
      </c>
      <c r="O89" s="11">
        <f>($L89-_xll.IMDP($B89,$J89,L$75,EDATE($E$4,-3),"FILL=TRUE"))/_xll.IMDP($B89,$J89,L$75,EDATE($E$4,-3),"FILL=TRUE")*100</f>
        <v>0</v>
      </c>
      <c r="P89" s="23">
        <f>($L89-_xll.IMDP($B89,$J89,L$75,EDATE($E$4,-12),"FILL=TRUE"))/_xll.IMDP($B89,$J89,L$75,EDATE($E$4,-12),"FILL=TRUE")*100</f>
        <v>0</v>
      </c>
      <c r="X89" s="95">
        <v>44825</v>
      </c>
      <c r="Y89" s="7">
        <v>33.555999999999997</v>
      </c>
      <c r="Z89" s="7">
        <v>3.2683</v>
      </c>
      <c r="AA89" s="7">
        <v>3.6038600000000001</v>
      </c>
    </row>
    <row r="90" spans="2:27" ht="15" customHeight="1" x14ac:dyDescent="0.25">
      <c r="B90" s="56" t="s">
        <v>41</v>
      </c>
      <c r="C90" s="57" t="s">
        <v>141</v>
      </c>
      <c r="D90" s="31" t="s">
        <v>115</v>
      </c>
      <c r="E90" s="14">
        <f>_xll.IMDP($B90,$C90,E$75,$E$4,"FILL=TRUE")</f>
        <v>193.97</v>
      </c>
      <c r="F90" s="14">
        <f>_xll.IMDP($B90,$C90,F$75,$E$4,"FILL=TRUE")</f>
        <v>2.31</v>
      </c>
      <c r="G90" s="11">
        <f>($E90-_xll.IMDP($B90,$C90,E$75,EDATE($E$4,-1),"FILL=TRUE"))/_xll.IMDP($B90,$C90,E$75,EDATE($E$4,-1),"FILL=TRUE")*100</f>
        <v>9.4021432600112718</v>
      </c>
      <c r="H90" s="11">
        <f>($E90-_xll.IMDP($B90,$C90,E$75,EDATE($E$4,-3),"FILL=TRUE"))/_xll.IMDP($B90,$C90,E$75,EDATE($E$4,-3),"FILL=TRUE")*100</f>
        <v>19.469081054446896</v>
      </c>
      <c r="I90" s="11">
        <f>($E90-_xll.IMDP($B90,$C90,E$75,EDATE($E$4,-12),"FILL=TRUE"))/_xll.IMDP($B90,$C90,E$75,EDATE($E$4,-12),"FILL=TRUE")*100</f>
        <v>41.873902867173783</v>
      </c>
      <c r="J90" s="67" t="s">
        <v>240</v>
      </c>
      <c r="K90" s="16" t="s">
        <v>129</v>
      </c>
      <c r="L90" s="14">
        <f>_xll.IMDP($B90,$J90,L$75,$E$4,"FILL=TRUE")</f>
        <v>44.47</v>
      </c>
      <c r="M90" s="14">
        <f>_xll.IMDP($B90,$J90,M$75,$E$4,"FILL=TRUE")</f>
        <v>0.98</v>
      </c>
      <c r="N90" s="11">
        <f>($L90-_xll.IMDP($B90,$J90,L$75,EDATE($E$4,-1),"FILL=TRUE"))/_xll.IMDP($B90,$J90,L$75,EDATE($E$4,-1),"FILL=TRUE")*100</f>
        <v>-3.2840365376250498</v>
      </c>
      <c r="O90" s="11">
        <f>($L90-_xll.IMDP($B90,$J90,L$75,EDATE($E$4,-3),"FILL=TRUE"))/_xll.IMDP($B90,$J90,L$75,EDATE($E$4,-3),"FILL=TRUE")*100</f>
        <v>-7.1607515657620038</v>
      </c>
      <c r="P90" s="23">
        <f>($L90-_xll.IMDP($B90,$J90,L$75,EDATE($E$4,-12),"FILL=TRUE"))/_xll.IMDP($B90,$J90,L$75,EDATE($E$4,-12),"FILL=TRUE")*100</f>
        <v>7.0792198410787321</v>
      </c>
      <c r="X90" s="95">
        <v>44826</v>
      </c>
      <c r="Y90" s="7">
        <v>42.743000000000002</v>
      </c>
      <c r="Z90" s="7">
        <v>3.214</v>
      </c>
      <c r="AA90" s="7">
        <v>3.6414300000000002</v>
      </c>
    </row>
    <row r="91" spans="2:27" ht="15" customHeight="1" x14ac:dyDescent="0.25">
      <c r="B91" s="58" t="s">
        <v>41</v>
      </c>
      <c r="C91" s="57" t="s">
        <v>142</v>
      </c>
      <c r="D91" s="32" t="s">
        <v>244</v>
      </c>
      <c r="E91" s="25">
        <f>_xll.IMDP($B91,$C91,E$75,$E$4,"FILL=TRUE")</f>
        <v>157.18</v>
      </c>
      <c r="F91" s="25">
        <f>_xll.IMDP($B91,$C91,F$75,$E$4,"FILL=TRUE")</f>
        <v>1.88</v>
      </c>
      <c r="G91" s="26">
        <f>($E91-_xll.IMDP($B91,$C91,E$75,EDATE($E$4,-1),"FILL=TRUE"))/_xll.IMDP($B91,$C91,E$75,EDATE($E$4,-1),"FILL=TRUE")*100</f>
        <v>7.613309598795019</v>
      </c>
      <c r="H91" s="26">
        <f>($E91-_xll.IMDP($B91,$C91,E$75,EDATE($E$4,-3),"FILL=TRUE"))/_xll.IMDP($B91,$C91,E$75,EDATE($E$4,-3),"FILL=TRUE")*100</f>
        <v>7.9014210201139701</v>
      </c>
      <c r="I91" s="26">
        <f>($E91-_xll.IMDP($B91,$C91,E$75,EDATE($E$4,-12),"FILL=TRUE"))/_xll.IMDP($B91,$C91,E$75,EDATE($E$4,-12),"FILL=TRUE")*100</f>
        <v>29.281131765092951</v>
      </c>
      <c r="J91" s="68" t="s">
        <v>250</v>
      </c>
      <c r="K91" s="33" t="s">
        <v>130</v>
      </c>
      <c r="L91" s="25">
        <f>_xll.IMDP($B91,$J91,L$75,$E$4,"FILL=TRUE")</f>
        <v>122.94</v>
      </c>
      <c r="M91" s="25">
        <f>_xll.IMDP($B91,$J91,M$75,$E$4,"FILL=TRUE")</f>
        <v>0.42</v>
      </c>
      <c r="N91" s="26">
        <f>($L91-_xll.IMDP($B91,$J91,L$75,EDATE($E$4,-1),"FILL=TRUE"))/_xll.IMDP($B91,$J91,L$75,EDATE($E$4,-1),"FILL=TRUE")*100</f>
        <v>3.4848484848484853</v>
      </c>
      <c r="O91" s="26">
        <f>($L91-_xll.IMDP($B91,$J91,L$75,EDATE($E$4,-3),"FILL=TRUE"))/_xll.IMDP($B91,$J91,L$75,EDATE($E$4,-3),"FILL=TRUE")*100</f>
        <v>-1.3955726660250312</v>
      </c>
      <c r="P91" s="28">
        <f>($L91-_xll.IMDP($B91,$J91,L$75,EDATE($E$4,-12),"FILL=TRUE"))/_xll.IMDP($B91,$J91,L$75,EDATE($E$4,-12),"FILL=TRUE")*100</f>
        <v>-3.5159315649034717</v>
      </c>
      <c r="X91" s="95">
        <v>44827</v>
      </c>
      <c r="Y91" s="7">
        <v>43.593000000000004</v>
      </c>
      <c r="Z91" s="7">
        <v>3.1924999999999999</v>
      </c>
      <c r="AA91" s="7">
        <v>3.6284299999999998</v>
      </c>
    </row>
    <row r="92" spans="2:27" x14ac:dyDescent="0.25">
      <c r="X92" s="95">
        <v>44828</v>
      </c>
      <c r="Y92" s="7">
        <v>43.593000000000004</v>
      </c>
      <c r="Z92" s="7">
        <v>3.1924999999999999</v>
      </c>
      <c r="AA92" s="7">
        <v>3.6284299999999998</v>
      </c>
    </row>
    <row r="93" spans="2:27" x14ac:dyDescent="0.25">
      <c r="D93" s="9" t="s">
        <v>232</v>
      </c>
      <c r="E93" s="6"/>
      <c r="F93" s="6"/>
      <c r="G93" s="6"/>
      <c r="H93" s="6"/>
      <c r="I93" s="6"/>
      <c r="K93" s="6"/>
      <c r="L93" s="6"/>
      <c r="M93" s="6"/>
      <c r="N93" s="6"/>
      <c r="O93" s="6"/>
      <c r="P93" s="6"/>
      <c r="X93" s="95">
        <v>44829</v>
      </c>
      <c r="Y93" s="7">
        <v>43.593000000000004</v>
      </c>
      <c r="Z93" s="7">
        <v>3.1924999999999999</v>
      </c>
      <c r="AA93" s="7">
        <v>3.6284299999999998</v>
      </c>
    </row>
    <row r="94" spans="2:27" hidden="1" x14ac:dyDescent="0.25">
      <c r="E94" s="6" t="s">
        <v>213</v>
      </c>
      <c r="F94" s="6" t="s">
        <v>39</v>
      </c>
      <c r="L94" s="6" t="s">
        <v>213</v>
      </c>
      <c r="M94" s="6" t="s">
        <v>39</v>
      </c>
      <c r="X94" s="95">
        <v>44830</v>
      </c>
      <c r="Y94" s="7">
        <v>38.945999999999998</v>
      </c>
      <c r="Z94" s="7">
        <v>3.2513999999999998</v>
      </c>
      <c r="AA94" s="7">
        <v>3.64086</v>
      </c>
    </row>
    <row r="95" spans="2:27" ht="15" customHeight="1" x14ac:dyDescent="0.25">
      <c r="B95" s="50"/>
      <c r="D95" s="13" t="s">
        <v>155</v>
      </c>
      <c r="E95" s="84">
        <f>$E$4</f>
        <v>45107</v>
      </c>
      <c r="F95" s="13" t="s">
        <v>31</v>
      </c>
      <c r="G95" s="13" t="s">
        <v>33</v>
      </c>
      <c r="H95" s="13" t="s">
        <v>34</v>
      </c>
      <c r="I95" s="13" t="s">
        <v>36</v>
      </c>
      <c r="J95" s="69"/>
      <c r="K95" s="13" t="s">
        <v>155</v>
      </c>
      <c r="L95" s="84">
        <f>$E$4</f>
        <v>45107</v>
      </c>
      <c r="M95" s="13" t="s">
        <v>31</v>
      </c>
      <c r="N95" s="13" t="s">
        <v>33</v>
      </c>
      <c r="O95" s="13" t="s">
        <v>34</v>
      </c>
      <c r="P95" s="13" t="s">
        <v>36</v>
      </c>
      <c r="X95" s="95">
        <v>44831</v>
      </c>
      <c r="Y95" s="7">
        <v>35.006</v>
      </c>
      <c r="Z95" s="7">
        <v>3.2917999999999998</v>
      </c>
      <c r="AA95" s="7">
        <v>3.6418599999999999</v>
      </c>
    </row>
    <row r="96" spans="2:27" ht="15" customHeight="1" x14ac:dyDescent="0.25">
      <c r="B96" s="52" t="s">
        <v>41</v>
      </c>
      <c r="C96" s="55" t="s">
        <v>187</v>
      </c>
      <c r="D96" s="17" t="s">
        <v>156</v>
      </c>
      <c r="E96" s="18">
        <f>_xll.IMDP($B96,$C96,E$94,$E$4,"FILL=TRUE")</f>
        <v>76.63</v>
      </c>
      <c r="F96" s="18">
        <f>_xll.IMDP($B96,$C96,F$94,$E$4,"FILL=TRUE")</f>
        <v>3.22</v>
      </c>
      <c r="G96" s="19">
        <f>($E96-_xll.IMDP($B96,$C96,E$94,EDATE($E$4,-1),"FILL=TRUE"))/_xll.IMDP($B96,$C96,E$94,EDATE($E$4,-1),"FILL=TRUE")*100</f>
        <v>2.2414943295530252</v>
      </c>
      <c r="H96" s="19">
        <f>($E96-_xll.IMDP($B96,$C96,E$94,EDATE($E$4,-3),"FILL=TRUE"))/_xll.IMDP($B96,$C96,E$94,EDATE($E$4,-3),"FILL=TRUE")*100</f>
        <v>-1.4785291848804392</v>
      </c>
      <c r="I96" s="19">
        <f>($E96-_xll.IMDP($B96,$C96,E$94,EDATE($E$4,-12),"FILL=TRUE"))/_xll.IMDP($B96,$C96,E$94,EDATE($E$4,-12),"FILL=TRUE")*100</f>
        <v>-32.425044091710767</v>
      </c>
      <c r="J96" s="66" t="s">
        <v>198</v>
      </c>
      <c r="K96" s="20" t="s">
        <v>167</v>
      </c>
      <c r="L96" s="18">
        <f>_xll.IMDP($B96,$J96,L$94,$E$4,"FILL=TRUE")</f>
        <v>1955</v>
      </c>
      <c r="M96" s="18">
        <f>_xll.IMDP($B96,$J96,M$94,$E$4,"FILL=TRUE")</f>
        <v>7.6789999999999997E-2</v>
      </c>
      <c r="N96" s="19">
        <f>($L96-_xll.IMDP($B96,$J96,L$94,EDATE($E$4,-1),"FILL=TRUE"))/_xll.IMDP($B96,$J96,L$94,EDATE($E$4,-1),"FILL=TRUE")*100</f>
        <v>0.25641025641025639</v>
      </c>
      <c r="O96" s="19">
        <f>($L96-_xll.IMDP($B96,$J96,L$94,EDATE($E$4,-3),"FILL=TRUE"))/_xll.IMDP($B96,$J96,L$94,EDATE($E$4,-3),"FILL=TRUE")*100</f>
        <v>5.1177072671443197E-2</v>
      </c>
      <c r="P96" s="21">
        <f>($L96-_xll.IMDP($B96,$J96,L$94,EDATE($E$4,-12),"FILL=TRUE"))/_xll.IMDP($B96,$J96,L$94,EDATE($E$4,-12),"FILL=TRUE")*100</f>
        <v>1.8229166666666667</v>
      </c>
      <c r="Q96" s="2"/>
      <c r="X96" s="95">
        <v>44832</v>
      </c>
      <c r="Y96" s="7">
        <v>34.393999999999998</v>
      </c>
      <c r="Z96" s="7">
        <v>3.3302</v>
      </c>
      <c r="AA96" s="7">
        <v>3.67414</v>
      </c>
    </row>
    <row r="97" spans="2:27" ht="15" customHeight="1" x14ac:dyDescent="0.25">
      <c r="B97" s="52" t="s">
        <v>41</v>
      </c>
      <c r="C97" s="55" t="s">
        <v>188</v>
      </c>
      <c r="D97" s="22" t="s">
        <v>157</v>
      </c>
      <c r="E97" s="14">
        <f>_xll.IMDP($B97,$C97,E$94,$E$4,"FILL=TRUE")</f>
        <v>70.48</v>
      </c>
      <c r="F97" s="14">
        <f>_xll.IMDP($B97,$C97,F$94,$E$4,"FILL=TRUE")</f>
        <v>1.07</v>
      </c>
      <c r="G97" s="11">
        <f>($E97-_xll.IMDP($B97,$C97,E$94,EDATE($E$4,-1),"FILL=TRUE"))/_xll.IMDP($B97,$C97,E$94,EDATE($E$4,-1),"FILL=TRUE")*100</f>
        <v>1.3080350725887753</v>
      </c>
      <c r="H97" s="11">
        <f>($E97-_xll.IMDP($B97,$C97,E$94,EDATE($E$4,-3),"FILL=TRUE"))/_xll.IMDP($B97,$C97,E$94,EDATE($E$4,-3),"FILL=TRUE")*100</f>
        <v>-5.1796044665679997</v>
      </c>
      <c r="I97" s="11">
        <f>($E97-_xll.IMDP($B97,$C97,E$94,EDATE($E$4,-12),"FILL=TRUE"))/_xll.IMDP($B97,$C97,E$94,EDATE($E$4,-12),"FILL=TRUE")*100</f>
        <v>-33.496886204944325</v>
      </c>
      <c r="J97" s="67" t="s">
        <v>199</v>
      </c>
      <c r="K97" s="15" t="s">
        <v>168</v>
      </c>
      <c r="L97" s="14">
        <f>_xll.IMDP($B97,$J97,L$94,$E$4,"FILL=TRUE")</f>
        <v>2110.5</v>
      </c>
      <c r="M97" s="14">
        <f>_xll.IMDP($B97,$J97,M$94,$E$4,"FILL=TRUE")</f>
        <v>-0.42886000000000002</v>
      </c>
      <c r="N97" s="11">
        <f>($L97-_xll.IMDP($B97,$J97,L$94,EDATE($E$4,-1),"FILL=TRUE"))/_xll.IMDP($B97,$J97,L$94,EDATE($E$4,-1),"FILL=TRUE")*100</f>
        <v>-6.2629080039617948</v>
      </c>
      <c r="O97" s="11">
        <f>($L97-_xll.IMDP($B97,$J97,L$94,EDATE($E$4,-3),"FILL=TRUE"))/_xll.IMDP($B97,$J97,L$94,EDATE($E$4,-3),"FILL=TRUE")*100</f>
        <v>-9.9712061426895602</v>
      </c>
      <c r="P97" s="23">
        <f>($L97-_xll.IMDP($B97,$J97,L$94,EDATE($E$4,-12),"FILL=TRUE"))/_xll.IMDP($B97,$J97,L$94,EDATE($E$4,-12),"FILL=TRUE")*100</f>
        <v>-13.004946413849957</v>
      </c>
      <c r="X97" s="95">
        <v>44833</v>
      </c>
      <c r="Y97" s="7">
        <v>43.366</v>
      </c>
      <c r="Z97" s="7">
        <v>3.3092000000000001</v>
      </c>
      <c r="AA97" s="7">
        <v>3.7428599999999999</v>
      </c>
    </row>
    <row r="98" spans="2:27" ht="15" customHeight="1" x14ac:dyDescent="0.25">
      <c r="B98" s="52" t="s">
        <v>41</v>
      </c>
      <c r="C98" s="55" t="s">
        <v>189</v>
      </c>
      <c r="D98" s="22" t="s">
        <v>158</v>
      </c>
      <c r="E98" s="14">
        <f>_xll.IMDP($B98,$C98,E$94,$E$4,"FILL=TRUE")</f>
        <v>75.099999999999994</v>
      </c>
      <c r="F98" s="14">
        <f>_xll.IMDP($B98,$C98,F$94,$E$4,"FILL=TRUE")</f>
        <v>0.98</v>
      </c>
      <c r="G98" s="11">
        <f>($E98-_xll.IMDP($B98,$C98,E$94,EDATE($E$4,-1),"FILL=TRUE"))/_xll.IMDP($B98,$C98,E$94,EDATE($E$4,-1),"FILL=TRUE")*100</f>
        <v>1.8719479110146438</v>
      </c>
      <c r="H98" s="11">
        <f>($E98-_xll.IMDP($B98,$C98,E$94,EDATE($E$4,-3),"FILL=TRUE"))/_xll.IMDP($B98,$C98,E$94,EDATE($E$4,-3),"FILL=TRUE")*100</f>
        <v>-4.3312101910828096</v>
      </c>
      <c r="I98" s="11">
        <f>($E98-_xll.IMDP($B98,$C98,E$94,EDATE($E$4,-12),"FILL=TRUE"))/_xll.IMDP($B98,$C98,E$94,EDATE($E$4,-12),"FILL=TRUE")*100</f>
        <v>-31.201905459875416</v>
      </c>
      <c r="J98" s="67" t="s">
        <v>200</v>
      </c>
      <c r="K98" s="15" t="s">
        <v>169</v>
      </c>
      <c r="L98" s="14">
        <f>_xll.IMDP($B98,$J98,L$94,$E$4,"FILL=TRUE")</f>
        <v>8322.0499999999993</v>
      </c>
      <c r="M98" s="14">
        <f>_xll.IMDP($B98,$J98,M$94,$E$4,"FILL=TRUE")</f>
        <v>1.7738799999999999</v>
      </c>
      <c r="N98" s="11">
        <f>($L98-_xll.IMDP($B98,$J98,L$94,EDATE($E$4,-1),"FILL=TRUE"))/_xll.IMDP($B98,$J98,L$94,EDATE($E$4,-1),"FILL=TRUE")*100</f>
        <v>2.7033197581142696</v>
      </c>
      <c r="O98" s="11">
        <f>($L98-_xll.IMDP($B98,$J98,L$94,EDATE($E$4,-3),"FILL=TRUE"))/_xll.IMDP($B98,$J98,L$94,EDATE($E$4,-3),"FILL=TRUE")*100</f>
        <v>-7.5661566656485242</v>
      </c>
      <c r="P98" s="23">
        <f>($L98-_xll.IMDP($B98,$J98,L$94,EDATE($E$4,-12),"FILL=TRUE"))/_xll.IMDP($B98,$J98,L$94,EDATE($E$4,-12),"FILL=TRUE")*100</f>
        <v>0.82139503891933574</v>
      </c>
      <c r="X98" s="95">
        <v>44834</v>
      </c>
      <c r="Y98" s="7">
        <v>48.750999999999998</v>
      </c>
      <c r="Z98" s="7">
        <v>3.2671999999999999</v>
      </c>
      <c r="AA98" s="7">
        <v>3.7547100000000002</v>
      </c>
    </row>
    <row r="99" spans="2:27" ht="15" customHeight="1" x14ac:dyDescent="0.25">
      <c r="B99" s="52" t="s">
        <v>41</v>
      </c>
      <c r="C99" s="55" t="s">
        <v>190</v>
      </c>
      <c r="D99" s="22" t="s">
        <v>159</v>
      </c>
      <c r="E99" s="14">
        <f>_xll.IMDP($B99,$C99,E$94,$E$4,"FILL=TRUE")</f>
        <v>70.64</v>
      </c>
      <c r="F99" s="14">
        <f>_xll.IMDP($B99,$C99,F$94,$E$4,"FILL=TRUE")</f>
        <v>1.1200000000000001</v>
      </c>
      <c r="G99" s="11">
        <f>($E99-_xll.IMDP($B99,$C99,E$94,EDATE($E$4,-1),"FILL=TRUE"))/_xll.IMDP($B99,$C99,E$94,EDATE($E$4,-1),"FILL=TRUE")*100</f>
        <v>1.6988194644399754</v>
      </c>
      <c r="H99" s="11">
        <f>($E99-_xll.IMDP($B99,$C99,E$94,EDATE($E$4,-3),"FILL=TRUE"))/_xll.IMDP($B99,$C99,E$94,EDATE($E$4,-3),"FILL=TRUE")*100</f>
        <v>-5.0154632244184532</v>
      </c>
      <c r="I99" s="11">
        <f>($E99-_xll.IMDP($B99,$C99,E$94,EDATE($E$4,-12),"FILL=TRUE"))/_xll.IMDP($B99,$C99,E$94,EDATE($E$4,-12),"FILL=TRUE")*100</f>
        <v>-33.20726172465961</v>
      </c>
      <c r="J99" s="67" t="s">
        <v>201</v>
      </c>
      <c r="K99" s="15" t="s">
        <v>170</v>
      </c>
      <c r="L99" s="14">
        <f>_xll.IMDP($B99,$J99,L$94,$E$4,"FILL=TRUE")</f>
        <v>2143.5</v>
      </c>
      <c r="M99" s="14">
        <f>_xll.IMDP($B99,$J99,M$94,$E$4,"FILL=TRUE")</f>
        <v>2.3394599999999999</v>
      </c>
      <c r="N99" s="11">
        <f>($L99-_xll.IMDP($B99,$J99,L$94,EDATE($E$4,-1),"FILL=TRUE"))/_xll.IMDP($B99,$J99,L$94,EDATE($E$4,-1),"FILL=TRUE")*100</f>
        <v>3.814021067925899</v>
      </c>
      <c r="O99" s="11">
        <f>($L99-_xll.IMDP($B99,$J99,L$94,EDATE($E$4,-3),"FILL=TRUE"))/_xll.IMDP($B99,$J99,L$94,EDATE($E$4,-3),"FILL=TRUE")*100</f>
        <v>-0.83275503122831362</v>
      </c>
      <c r="P99" s="23">
        <f>($L99-_xll.IMDP($B99,$J99,L$94,EDATE($E$4,-12),"FILL=TRUE"))/_xll.IMDP($B99,$J99,L$94,EDATE($E$4,-12),"FILL=TRUE")*100</f>
        <v>12.608353033884947</v>
      </c>
      <c r="X99" s="95">
        <v>44835</v>
      </c>
      <c r="Y99" s="7">
        <v>48.750999999999998</v>
      </c>
      <c r="Z99" s="7">
        <v>3.2671999999999999</v>
      </c>
      <c r="AA99" s="7">
        <v>3.7547100000000002</v>
      </c>
    </row>
    <row r="100" spans="2:27" ht="15" customHeight="1" x14ac:dyDescent="0.25">
      <c r="B100" s="52" t="s">
        <v>41</v>
      </c>
      <c r="C100" s="55" t="s">
        <v>191</v>
      </c>
      <c r="D100" s="22" t="s">
        <v>160</v>
      </c>
      <c r="E100" s="14">
        <f>_xll.IMDP($B100,$C100,E$94,$E$4,"FILL=TRUE")</f>
        <v>74.900000000000006</v>
      </c>
      <c r="F100" s="14">
        <f>_xll.IMDP($B100,$C100,F$94,$E$4,"FILL=TRUE")</f>
        <v>0.75</v>
      </c>
      <c r="G100" s="11">
        <f>($E100-_xll.IMDP($B100,$C100,E$94,EDATE($E$4,-1),"FILL=TRUE"))/_xll.IMDP($B100,$C100,E$94,EDATE($E$4,-1),"FILL=TRUE")*100</f>
        <v>1.8493336959477826</v>
      </c>
      <c r="H100" s="11">
        <f>($E100-_xll.IMDP($B100,$C100,E$94,EDATE($E$4,-3),"FILL=TRUE"))/_xll.IMDP($B100,$C100,E$94,EDATE($E$4,-3),"FILL=TRUE")*100</f>
        <v>-5.5128043395988273</v>
      </c>
      <c r="I100" s="11">
        <f>($E100-_xll.IMDP($B100,$C100,E$94,EDATE($E$4,-12),"FILL=TRUE"))/_xll.IMDP($B100,$C100,E$94,EDATE($E$4,-12),"FILL=TRUE")*100</f>
        <v>-34.761780332723625</v>
      </c>
      <c r="J100" s="67" t="s">
        <v>202</v>
      </c>
      <c r="K100" s="15" t="s">
        <v>171</v>
      </c>
      <c r="L100" s="14">
        <f>_xll.IMDP($B100,$J100,L$94,$E$4,"FILL=TRUE")</f>
        <v>20346.13</v>
      </c>
      <c r="M100" s="14">
        <f>_xll.IMDP($B100,$J100,M$94,$E$4,"FILL=TRUE")</f>
        <v>-0.54683000000000004</v>
      </c>
      <c r="N100" s="11">
        <f>($L100-_xll.IMDP($B100,$J100,L$94,EDATE($E$4,-1),"FILL=TRUE"))/_xll.IMDP($B100,$J100,L$94,EDATE($E$4,-1),"FILL=TRUE")*100</f>
        <v>-2.4891327789892359</v>
      </c>
      <c r="O100" s="11">
        <f>($L100-_xll.IMDP($B100,$J100,L$94,EDATE($E$4,-3),"FILL=TRUE"))/_xll.IMDP($B100,$J100,L$94,EDATE($E$4,-3),"FILL=TRUE")*100</f>
        <v>-11.563635004337899</v>
      </c>
      <c r="P100" s="23">
        <f>($L100-_xll.IMDP($B100,$J100,L$94,EDATE($E$4,-12),"FILL=TRUE"))/_xll.IMDP($B100,$J100,L$94,EDATE($E$4,-12),"FILL=TRUE")*100</f>
        <v>-10.143841363776881</v>
      </c>
      <c r="Q100" s="6"/>
      <c r="R100" s="6"/>
      <c r="X100" s="95">
        <v>44836</v>
      </c>
      <c r="Y100" s="7">
        <v>48.750999999999998</v>
      </c>
      <c r="Z100" s="7">
        <v>3.2671999999999999</v>
      </c>
      <c r="AA100" s="7">
        <v>3.7547100000000002</v>
      </c>
    </row>
    <row r="101" spans="2:27" ht="15" customHeight="1" x14ac:dyDescent="0.25">
      <c r="B101" s="52" t="s">
        <v>41</v>
      </c>
      <c r="C101" s="55" t="s">
        <v>192</v>
      </c>
      <c r="D101" s="22" t="s">
        <v>161</v>
      </c>
      <c r="E101" s="14">
        <f>_xll.IMDP($B101,$C101,E$94,$E$4,"FILL=TRUE")</f>
        <v>2.4481999999999999</v>
      </c>
      <c r="F101" s="14">
        <f>_xll.IMDP($B101,$C101,F$94,$E$4,"FILL=TRUE")</f>
        <v>1.35</v>
      </c>
      <c r="G101" s="11">
        <f>($E101-_xll.IMDP($B101,$C101,E$94,EDATE($E$4,-1),"FILL=TRUE"))/_xll.IMDP($B101,$C101,E$94,EDATE($E$4,-1),"FILL=TRUE")*100</f>
        <v>7.3395299894773656</v>
      </c>
      <c r="H101" s="11">
        <f>($E101-_xll.IMDP($B101,$C101,E$94,EDATE($E$4,-3),"FILL=TRUE"))/_xll.IMDP($B101,$C101,E$94,EDATE($E$4,-3),"FILL=TRUE")*100</f>
        <v>-6.6890269466783545</v>
      </c>
      <c r="I101" s="11">
        <f>($E101-_xll.IMDP($B101,$C101,E$94,EDATE($E$4,-12),"FILL=TRUE"))/_xll.IMDP($B101,$C101,E$94,EDATE($E$4,-12),"FILL=TRUE")*100</f>
        <v>-37.196654866348574</v>
      </c>
      <c r="J101" s="67" t="s">
        <v>203</v>
      </c>
      <c r="K101" s="15" t="s">
        <v>172</v>
      </c>
      <c r="L101" s="14">
        <f>_xll.IMDP($B101,$J101,L$94,$E$4,"FILL=TRUE")</f>
        <v>27462</v>
      </c>
      <c r="M101" s="14">
        <f>_xll.IMDP($B101,$J101,M$94,$E$4,"FILL=TRUE")</f>
        <v>2.6003099999999999</v>
      </c>
      <c r="N101" s="11">
        <f>($L101-_xll.IMDP($B101,$J101,L$94,EDATE($E$4,-1),"FILL=TRUE"))/_xll.IMDP($B101,$J101,L$94,EDATE($E$4,-1),"FILL=TRUE")*100</f>
        <v>6.166157652607569</v>
      </c>
      <c r="O101" s="11">
        <f>($L101-_xll.IMDP($B101,$J101,L$94,EDATE($E$4,-3),"FILL=TRUE"))/_xll.IMDP($B101,$J101,L$94,EDATE($E$4,-3),"FILL=TRUE")*100</f>
        <v>5.4770318021201412</v>
      </c>
      <c r="P101" s="23">
        <f>($L101-_xll.IMDP($B101,$J101,L$94,EDATE($E$4,-12),"FILL=TRUE"))/_xll.IMDP($B101,$J101,L$94,EDATE($E$4,-12),"FILL=TRUE")*100</f>
        <v>2.8963243283749862</v>
      </c>
      <c r="X101" s="95">
        <v>44837</v>
      </c>
      <c r="Y101" s="7">
        <v>50.459000000000003</v>
      </c>
      <c r="Z101" s="7">
        <v>3.2437</v>
      </c>
      <c r="AA101" s="7">
        <v>3.7482899999999999</v>
      </c>
    </row>
    <row r="102" spans="2:27" ht="15" customHeight="1" x14ac:dyDescent="0.25">
      <c r="B102" s="52" t="s">
        <v>41</v>
      </c>
      <c r="C102" s="53" t="s">
        <v>184</v>
      </c>
      <c r="D102" s="22" t="s">
        <v>183</v>
      </c>
      <c r="E102" s="14">
        <f>_xll.IMDP($B102,$C102,E$94,$E$4,"FILL=TRUE")</f>
        <v>709.25</v>
      </c>
      <c r="F102" s="14">
        <f>_xll.IMDP($B102,$C102,F$94,$E$4,"FILL=TRUE")</f>
        <v>1.9</v>
      </c>
      <c r="G102" s="11">
        <f>($E102-_xll.IMDP($B102,$C102,E$94,EDATE($E$4,-1),"FILL=TRUE"))/_xll.IMDP($B102,$C102,E$94,EDATE($E$4,-1),"FILL=TRUE")*100</f>
        <v>5.5039047973224244</v>
      </c>
      <c r="H102" s="11">
        <f>($E102-_xll.IMDP($B102,$C102,E$94,EDATE($E$4,-3),"FILL=TRUE"))/_xll.IMDP($B102,$C102,E$94,EDATE($E$4,-3),"FILL=TRUE")*100</f>
        <v>-6.214876033057851</v>
      </c>
      <c r="I102" s="11">
        <f>($E102-_xll.IMDP($B102,$C102,E$94,EDATE($E$4,-12),"FILL=TRUE"))/_xll.IMDP($B102,$C102,E$94,EDATE($E$4,-12),"FILL=TRUE")*100</f>
        <v>-38.857758620689651</v>
      </c>
      <c r="J102" s="67" t="s">
        <v>204</v>
      </c>
      <c r="K102" s="15" t="s">
        <v>173</v>
      </c>
      <c r="L102" s="14">
        <f>_xll.IMDP($B102,$J102,L$94,$E$4,"FILL=TRUE")</f>
        <v>2382.25</v>
      </c>
      <c r="M102" s="14">
        <f>_xll.IMDP($B102,$J102,M$94,$E$4,"FILL=TRUE")</f>
        <v>1.9798800000000001</v>
      </c>
      <c r="N102" s="11">
        <f>($L102-_xll.IMDP($B102,$J102,L$94,EDATE($E$4,-1),"FILL=TRUE"))/_xll.IMDP($B102,$J102,L$94,EDATE($E$4,-1),"FILL=TRUE")*100</f>
        <v>4.1297857739195818</v>
      </c>
      <c r="O102" s="11">
        <f>($L102-_xll.IMDP($B102,$J102,L$94,EDATE($E$4,-3),"FILL=TRUE"))/_xll.IMDP($B102,$J102,L$94,EDATE($E$4,-3),"FILL=TRUE")*100</f>
        <v>-19.613632529104098</v>
      </c>
      <c r="P102" s="23">
        <f>($L102-_xll.IMDP($B102,$J102,L$94,EDATE($E$4,-12),"FILL=TRUE"))/_xll.IMDP($B102,$J102,L$94,EDATE($E$4,-12),"FILL=TRUE")*100</f>
        <v>-25.151205718325347</v>
      </c>
      <c r="X102" s="95">
        <v>44838</v>
      </c>
      <c r="Y102" s="7">
        <v>35.350999999999999</v>
      </c>
      <c r="Z102" s="7">
        <v>3.3872</v>
      </c>
      <c r="AA102" s="7">
        <v>3.74071</v>
      </c>
    </row>
    <row r="103" spans="2:27" ht="15" customHeight="1" x14ac:dyDescent="0.25">
      <c r="B103" s="52" t="s">
        <v>41</v>
      </c>
      <c r="C103" s="53" t="s">
        <v>182</v>
      </c>
      <c r="D103" s="22" t="s">
        <v>181</v>
      </c>
      <c r="E103" s="14">
        <f>_xll.IMDP($B103,$C103,E$94,$E$4,"FILL=TRUE")</f>
        <v>2.798</v>
      </c>
      <c r="F103" s="14">
        <f>_xll.IMDP($B103,$C103,F$94,$E$4,"FILL=TRUE")</f>
        <v>3.59</v>
      </c>
      <c r="G103" s="11">
        <f>($E103-_xll.IMDP($B103,$C103,E$94,EDATE($E$4,-1),"FILL=TRUE"))/_xll.IMDP($B103,$C103,E$94,EDATE($E$4,-1),"FILL=TRUE")*100</f>
        <v>20.240653201547058</v>
      </c>
      <c r="H103" s="11">
        <f>($E103-_xll.IMDP($B103,$C103,E$94,EDATE($E$4,-3),"FILL=TRUE"))/_xll.IMDP($B103,$C103,E$94,EDATE($E$4,-3),"FILL=TRUE")*100</f>
        <v>32.984790874524712</v>
      </c>
      <c r="I103" s="11">
        <f>($E103-_xll.IMDP($B103,$C103,E$94,EDATE($E$4,-12),"FILL=TRUE"))/_xll.IMDP($B103,$C103,E$94,EDATE($E$4,-12),"FILL=TRUE")*100</f>
        <v>-48.41445427728614</v>
      </c>
      <c r="J103" s="67" t="s">
        <v>205</v>
      </c>
      <c r="K103" s="15" t="s">
        <v>174</v>
      </c>
      <c r="L103" s="14">
        <f>_xll.IMDP($B103,$J103,L$94,$E$4,"FILL=TRUE")</f>
        <v>554.5</v>
      </c>
      <c r="M103" s="14">
        <f>_xll.IMDP($B103,$J103,M$94,$E$4,"FILL=TRUE")</f>
        <v>-4.5599999999999996</v>
      </c>
      <c r="N103" s="11">
        <f>($L103-_xll.IMDP($B103,$J103,L$94,EDATE($E$4,-1),"FILL=TRUE"))/_xll.IMDP($B103,$J103,L$94,EDATE($E$4,-1),"FILL=TRUE")*100</f>
        <v>-6.6498316498316505</v>
      </c>
      <c r="O103" s="11">
        <f>($L103-_xll.IMDP($B103,$J103,L$94,EDATE($E$4,-3),"FILL=TRUE"))/_xll.IMDP($B103,$J103,L$94,EDATE($E$4,-3),"FILL=TRUE")*100</f>
        <v>-14.626635873749038</v>
      </c>
      <c r="P103" s="23">
        <f>($L103-_xll.IMDP($B103,$J103,L$94,EDATE($E$4,-12),"FILL=TRUE"))/_xll.IMDP($B103,$J103,L$94,EDATE($E$4,-12),"FILL=TRUE")*100</f>
        <v>-25.445378151260506</v>
      </c>
      <c r="X103" s="95">
        <v>44839</v>
      </c>
      <c r="Y103" s="7">
        <v>40.74</v>
      </c>
      <c r="Z103" s="7">
        <v>3.3765999999999998</v>
      </c>
      <c r="AA103" s="7">
        <v>3.7839999999999998</v>
      </c>
    </row>
    <row r="104" spans="2:27" ht="15" customHeight="1" x14ac:dyDescent="0.25">
      <c r="B104" s="52" t="s">
        <v>41</v>
      </c>
      <c r="C104" s="53" t="s">
        <v>186</v>
      </c>
      <c r="D104" s="22" t="s">
        <v>185</v>
      </c>
      <c r="E104" s="14">
        <f>_xll.IMDP($B104,$C104,E$94,$E$4,"FILL=TRUE")</f>
        <v>0.91220000000000001</v>
      </c>
      <c r="F104" s="14">
        <f>_xll.IMDP($B104,$C104,F$94,$E$4,"FILL=TRUE")</f>
        <v>4.4400000000000004</v>
      </c>
      <c r="G104" s="11">
        <f>($E104-_xll.IMDP($B104,$C104,E$94,EDATE($E$4,-1),"FILL=TRUE"))/_xll.IMDP($B104,$C104,E$94,EDATE($E$4,-1),"FILL=TRUE")*100</f>
        <v>56.49339509349803</v>
      </c>
      <c r="H104" s="11">
        <f>($E104-_xll.IMDP($B104,$C104,E$94,EDATE($E$4,-3),"FILL=TRUE"))/_xll.IMDP($B104,$C104,E$94,EDATE($E$4,-3),"FILL=TRUE")*100</f>
        <v>-15.073084442789314</v>
      </c>
      <c r="I104" s="11">
        <f>($E104-_xll.IMDP($B104,$C104,E$94,EDATE($E$4,-12),"FILL=TRUE"))/_xll.IMDP($B104,$C104,E$94,EDATE($E$4,-12),"FILL=TRUE")*100</f>
        <v>-63.262182843334678</v>
      </c>
      <c r="J104" s="67" t="s">
        <v>206</v>
      </c>
      <c r="K104" s="15" t="s">
        <v>175</v>
      </c>
      <c r="L104" s="14">
        <f>_xll.IMDP($B104,$J104,L$94,$E$4,"FILL=TRUE")</f>
        <v>1557.25</v>
      </c>
      <c r="M104" s="14">
        <f>_xll.IMDP($B104,$J104,M$94,$E$4,"FILL=TRUE")</f>
        <v>5.01</v>
      </c>
      <c r="N104" s="11">
        <f>($L104-_xll.IMDP($B104,$J104,L$94,EDATE($E$4,-1),"FILL=TRUE"))/_xll.IMDP($B104,$J104,L$94,EDATE($E$4,-1),"FILL=TRUE")*100</f>
        <v>20.111839568067875</v>
      </c>
      <c r="O104" s="11">
        <f>($L104-_xll.IMDP($B104,$J104,L$94,EDATE($E$4,-3),"FILL=TRUE"))/_xll.IMDP($B104,$J104,L$94,EDATE($E$4,-3),"FILL=TRUE")*100</f>
        <v>5.6120718887758558</v>
      </c>
      <c r="P104" s="23">
        <f>($L104-_xll.IMDP($B104,$J104,L$94,EDATE($E$4,-12),"FILL=TRUE"))/_xll.IMDP($B104,$J104,L$94,EDATE($E$4,-12),"FILL=TRUE")*100</f>
        <v>-7.0298507462686564</v>
      </c>
      <c r="X104" s="95">
        <v>44840</v>
      </c>
      <c r="Y104" s="7">
        <v>44.170999999999999</v>
      </c>
      <c r="Z104" s="7">
        <v>3.3839999999999999</v>
      </c>
      <c r="AA104" s="7">
        <v>3.8257099999999999</v>
      </c>
    </row>
    <row r="105" spans="2:27" ht="15" customHeight="1" x14ac:dyDescent="0.25">
      <c r="B105" s="52" t="s">
        <v>41</v>
      </c>
      <c r="C105" s="55" t="s">
        <v>193</v>
      </c>
      <c r="D105" s="22" t="s">
        <v>162</v>
      </c>
      <c r="E105" s="14">
        <f>_xll.IMDP($B105,$C105,E$94,$E$4,"FILL=TRUE")</f>
        <v>1929.4</v>
      </c>
      <c r="F105" s="14">
        <f>_xll.IMDP($B105,$C105,F$94,$E$4,"FILL=TRUE")</f>
        <v>0.6</v>
      </c>
      <c r="G105" s="11">
        <f>($E105-_xll.IMDP($B105,$C105,E$94,EDATE($E$4,-1),"FILL=TRUE"))/_xll.IMDP($B105,$C105,E$94,EDATE($E$4,-1),"FILL=TRUE")*100</f>
        <v>-2.4126245511102029</v>
      </c>
      <c r="H105" s="11">
        <f>($E105-_xll.IMDP($B105,$C105,E$94,EDATE($E$4,-3),"FILL=TRUE"))/_xll.IMDP($B105,$C105,E$94,EDATE($E$4,-3),"FILL=TRUE")*100</f>
        <v>-3.4189317715372654</v>
      </c>
      <c r="I105" s="11">
        <f>($E105-_xll.IMDP($B105,$C105,E$94,EDATE($E$4,-12),"FILL=TRUE"))/_xll.IMDP($B105,$C105,E$94,EDATE($E$4,-12),"FILL=TRUE")*100</f>
        <v>6.7559342665855224</v>
      </c>
      <c r="J105" s="67" t="s">
        <v>207</v>
      </c>
      <c r="K105" s="15" t="s">
        <v>176</v>
      </c>
      <c r="L105" s="14">
        <f>_xll.IMDP($B105,$J105,L$94,$E$4,"FILL=TRUE")</f>
        <v>419.2</v>
      </c>
      <c r="M105" s="14">
        <f>_xll.IMDP($B105,$J105,M$94,$E$4,"FILL=TRUE")</f>
        <v>4.0199999999999996</v>
      </c>
      <c r="N105" s="11">
        <f>($L105-_xll.IMDP($B105,$J105,L$94,EDATE($E$4,-1),"FILL=TRUE"))/_xll.IMDP($B105,$J105,L$94,EDATE($E$4,-1),"FILL=TRUE")*100</f>
        <v>6.7753438614365686</v>
      </c>
      <c r="O105" s="11">
        <f>($L105-_xll.IMDP($B105,$J105,L$94,EDATE($E$4,-3),"FILL=TRUE"))/_xll.IMDP($B105,$J105,L$94,EDATE($E$4,-3),"FILL=TRUE")*100</f>
        <v>-8.8497499456403546</v>
      </c>
      <c r="P105" s="23">
        <f>($L105-_xll.IMDP($B105,$J105,L$94,EDATE($E$4,-12),"FILL=TRUE"))/_xll.IMDP($B105,$J105,L$94,EDATE($E$4,-12),"FILL=TRUE")*100</f>
        <v>-10.78952968716748</v>
      </c>
      <c r="X105" s="95">
        <v>44841</v>
      </c>
      <c r="Y105" s="7">
        <v>54.401000000000003</v>
      </c>
      <c r="Z105" s="7">
        <v>3.3647</v>
      </c>
      <c r="AA105" s="7">
        <v>3.9087100000000001</v>
      </c>
    </row>
    <row r="106" spans="2:27" ht="15" customHeight="1" x14ac:dyDescent="0.25">
      <c r="B106" s="52" t="s">
        <v>41</v>
      </c>
      <c r="C106" s="55" t="s">
        <v>194</v>
      </c>
      <c r="D106" s="22" t="s">
        <v>163</v>
      </c>
      <c r="E106" s="14">
        <f>_xll.IMDP($B106,$C106,E$94,$E$4,"FILL=TRUE")</f>
        <v>23.02</v>
      </c>
      <c r="F106" s="14">
        <f>_xll.IMDP($B106,$C106,F$94,$E$4,"FILL=TRUE")</f>
        <v>0.97</v>
      </c>
      <c r="G106" s="11">
        <f>($E106-_xll.IMDP($B106,$C106,E$94,EDATE($E$4,-1),"FILL=TRUE"))/_xll.IMDP($B106,$C106,E$94,EDATE($E$4,-1),"FILL=TRUE")*100</f>
        <v>-0.94238134171006138</v>
      </c>
      <c r="H106" s="11">
        <f>($E106-_xll.IMDP($B106,$C106,E$94,EDATE($E$4,-3),"FILL=TRUE"))/_xll.IMDP($B106,$C106,E$94,EDATE($E$4,-3),"FILL=TRUE")*100</f>
        <v>-4.0393513693776359</v>
      </c>
      <c r="I106" s="11">
        <f>($E106-_xll.IMDP($B106,$C106,E$94,EDATE($E$4,-12),"FILL=TRUE"))/_xll.IMDP($B106,$C106,E$94,EDATE($E$4,-12),"FILL=TRUE")*100</f>
        <v>13.109276729559744</v>
      </c>
      <c r="J106" s="67" t="s">
        <v>208</v>
      </c>
      <c r="K106" s="15" t="s">
        <v>177</v>
      </c>
      <c r="L106" s="14">
        <f>_xll.IMDP($B106,$J106,L$94,$E$4,"FILL=TRUE")</f>
        <v>65.010000000000005</v>
      </c>
      <c r="M106" s="14">
        <f>_xll.IMDP($B106,$J106,M$94,$E$4,"FILL=TRUE")</f>
        <v>6.87</v>
      </c>
      <c r="N106" s="11">
        <f>($L106-_xll.IMDP($B106,$J106,L$94,EDATE($E$4,-1),"FILL=TRUE"))/_xll.IMDP($B106,$J106,L$94,EDATE($E$4,-1),"FILL=TRUE")*100</f>
        <v>40.714285714285715</v>
      </c>
      <c r="O106" s="11">
        <f>($L106-_xll.IMDP($B106,$J106,L$94,EDATE($E$4,-3),"FILL=TRUE"))/_xll.IMDP($B106,$J106,L$94,EDATE($E$4,-3),"FILL=TRUE")*100</f>
        <v>19.569615596836506</v>
      </c>
      <c r="P106" s="23">
        <f>($L106-_xll.IMDP($B106,$J106,L$94,EDATE($E$4,-12),"FILL=TRUE"))/_xll.IMDP($B106,$J106,L$94,EDATE($E$4,-12),"FILL=TRUE")*100</f>
        <v>-7.035607035607037</v>
      </c>
      <c r="X106" s="95">
        <v>44842</v>
      </c>
      <c r="Y106" s="7">
        <v>54.401000000000003</v>
      </c>
      <c r="Z106" s="7">
        <v>3.3647</v>
      </c>
      <c r="AA106" s="7">
        <v>3.9087100000000001</v>
      </c>
    </row>
    <row r="107" spans="2:27" ht="15" customHeight="1" x14ac:dyDescent="0.25">
      <c r="B107" s="52" t="s">
        <v>41</v>
      </c>
      <c r="C107" s="55" t="s">
        <v>195</v>
      </c>
      <c r="D107" s="22" t="s">
        <v>164</v>
      </c>
      <c r="E107" s="14">
        <f>_xll.IMDP($B107,$C107,E$94,$E$4,"FILL=TRUE")</f>
        <v>3.7595000000000001</v>
      </c>
      <c r="F107" s="14">
        <f>_xll.IMDP($B107,$C107,F$94,$E$4,"FILL=TRUE")</f>
        <v>1.64</v>
      </c>
      <c r="G107" s="11">
        <f>($E107-_xll.IMDP($B107,$C107,E$94,EDATE($E$4,-1),"FILL=TRUE"))/_xll.IMDP($B107,$C107,E$94,EDATE($E$4,-1),"FILL=TRUE")*100</f>
        <v>2.6344526344526416</v>
      </c>
      <c r="H107" s="11">
        <f>($E107-_xll.IMDP($B107,$C107,E$94,EDATE($E$4,-3),"FILL=TRUE"))/_xll.IMDP($B107,$C107,E$94,EDATE($E$4,-3),"FILL=TRUE")*100</f>
        <v>-8.1143834779420718</v>
      </c>
      <c r="I107" s="11">
        <f>($E107-_xll.IMDP($B107,$C107,E$94,EDATE($E$4,-12),"FILL=TRUE"))/_xll.IMDP($B107,$C107,E$94,EDATE($E$4,-12),"FILL=TRUE")*100</f>
        <v>1.3342318059299219</v>
      </c>
      <c r="J107" s="67" t="s">
        <v>209</v>
      </c>
      <c r="K107" s="15" t="s">
        <v>178</v>
      </c>
      <c r="L107" s="14">
        <f>_xll.IMDP($B107,$J107,L$94,$E$4,"FILL=TRUE")</f>
        <v>636.25</v>
      </c>
      <c r="M107" s="14">
        <f>_xll.IMDP($B107,$J107,M$94,$E$4,"FILL=TRUE")</f>
        <v>-2.57</v>
      </c>
      <c r="N107" s="11">
        <f>($L107-_xll.IMDP($B107,$J107,L$94,EDATE($E$4,-1),"FILL=TRUE"))/_xll.IMDP($B107,$J107,L$94,EDATE($E$4,-1),"FILL=TRUE")*100</f>
        <v>7.6565143824027073</v>
      </c>
      <c r="O107" s="11">
        <f>($L107-_xll.IMDP($B107,$J107,L$94,EDATE($E$4,-3),"FILL=TRUE"))/_xll.IMDP($B107,$J107,L$94,EDATE($E$4,-3),"FILL=TRUE")*100</f>
        <v>-8.089563019140483</v>
      </c>
      <c r="P107" s="23">
        <f>($L107-_xll.IMDP($B107,$J107,L$94,EDATE($E$4,-12),"FILL=TRUE"))/_xll.IMDP($B107,$J107,L$94,EDATE($E$4,-12),"FILL=TRUE")*100</f>
        <v>-26.762589928057558</v>
      </c>
      <c r="X107" s="95">
        <v>44843</v>
      </c>
      <c r="Y107" s="7">
        <v>54.401000000000003</v>
      </c>
      <c r="Z107" s="7">
        <v>3.3647</v>
      </c>
      <c r="AA107" s="7">
        <v>3.9087100000000001</v>
      </c>
    </row>
    <row r="108" spans="2:27" ht="15" customHeight="1" x14ac:dyDescent="0.25">
      <c r="B108" s="52" t="s">
        <v>41</v>
      </c>
      <c r="C108" s="55" t="s">
        <v>196</v>
      </c>
      <c r="D108" s="22" t="s">
        <v>165</v>
      </c>
      <c r="E108" s="14">
        <f>_xll.IMDP($B108,$C108,E$94,$E$4,"FILL=TRUE")</f>
        <v>1222</v>
      </c>
      <c r="F108" s="14">
        <f>_xll.IMDP($B108,$C108,F$94,$E$4,"FILL=TRUE")</f>
        <v>-0.44</v>
      </c>
      <c r="G108" s="11">
        <f>($E108-_xll.IMDP($B108,$C108,E$94,EDATE($E$4,-1),"FILL=TRUE"))/_xll.IMDP($B108,$C108,E$94,EDATE($E$4,-1),"FILL=TRUE")*100</f>
        <v>-11.359350065283614</v>
      </c>
      <c r="H108" s="11">
        <f>($E108-_xll.IMDP($B108,$C108,E$94,EDATE($E$4,-3),"FILL=TRUE"))/_xll.IMDP($B108,$C108,E$94,EDATE($E$4,-3),"FILL=TRUE")*100</f>
        <v>-16.50724241596064</v>
      </c>
      <c r="I108" s="11">
        <f>($E108-_xll.IMDP($B108,$C108,E$94,EDATE($E$4,-12),"FILL=TRUE"))/_xll.IMDP($B108,$C108,E$94,EDATE($E$4,-12),"FILL=TRUE")*100</f>
        <v>-36.224622931997288</v>
      </c>
      <c r="J108" s="67" t="s">
        <v>210</v>
      </c>
      <c r="K108" s="15" t="s">
        <v>179</v>
      </c>
      <c r="L108" s="14">
        <f>_xll.IMDP($B108,$J108,L$94,$E$4,"FILL=TRUE")</f>
        <v>22.89</v>
      </c>
      <c r="M108" s="14">
        <f>_xll.IMDP($B108,$J108,M$94,$E$4,"FILL=TRUE")</f>
        <v>3.72</v>
      </c>
      <c r="N108" s="11">
        <f>($L108-_xll.IMDP($B108,$J108,L$94,EDATE($E$4,-1),"FILL=TRUE"))/_xll.IMDP($B108,$J108,L$94,EDATE($E$4,-1),"FILL=TRUE")*100</f>
        <v>-9.6328464271614607</v>
      </c>
      <c r="O108" s="11">
        <f>($L108-_xll.IMDP($B108,$J108,L$94,EDATE($E$4,-3),"FILL=TRUE"))/_xll.IMDP($B108,$J108,L$94,EDATE($E$4,-3),"FILL=TRUE")*100</f>
        <v>4.2349726775956267</v>
      </c>
      <c r="P108" s="23">
        <f>($L108-_xll.IMDP($B108,$J108,L$94,EDATE($E$4,-12),"FILL=TRUE"))/_xll.IMDP($B108,$J108,L$94,EDATE($E$4,-12),"FILL=TRUE")*100</f>
        <v>21.561338289962841</v>
      </c>
      <c r="X108" s="95">
        <v>44844</v>
      </c>
      <c r="Y108" s="7">
        <v>54.401000000000003</v>
      </c>
      <c r="Z108" s="7">
        <v>3.3647</v>
      </c>
      <c r="AA108" s="7">
        <v>3.9191400000000001</v>
      </c>
    </row>
    <row r="109" spans="2:27" ht="15" customHeight="1" x14ac:dyDescent="0.25">
      <c r="B109" s="52" t="s">
        <v>41</v>
      </c>
      <c r="C109" s="55" t="s">
        <v>197</v>
      </c>
      <c r="D109" s="24" t="s">
        <v>166</v>
      </c>
      <c r="E109" s="25">
        <f>_xll.IMDP($B109,$C109,E$94,$E$4,"FILL=TRUE")</f>
        <v>904.5</v>
      </c>
      <c r="F109" s="25">
        <f>_xll.IMDP($B109,$C109,F$94,$E$4,"FILL=TRUE")</f>
        <v>0.75</v>
      </c>
      <c r="G109" s="26">
        <f>($E109-_xll.IMDP($B109,$C109,E$94,EDATE($E$4,-1),"FILL=TRUE"))/_xll.IMDP($B109,$C109,E$94,EDATE($E$4,-1),"FILL=TRUE")*100</f>
        <v>-11.488403953420098</v>
      </c>
      <c r="H109" s="26">
        <f>($E109-_xll.IMDP($B109,$C109,E$94,EDATE($E$4,-3),"FILL=TRUE"))/_xll.IMDP($B109,$C109,E$94,EDATE($E$4,-3),"FILL=TRUE")*100</f>
        <v>-8.1912302070645602</v>
      </c>
      <c r="I109" s="26">
        <f>($E109-_xll.IMDP($B109,$C109,E$94,EDATE($E$4,-12),"FILL=TRUE"))/_xll.IMDP($B109,$C109,E$94,EDATE($E$4,-12),"FILL=TRUE")*100</f>
        <v>0.67898486197685026</v>
      </c>
      <c r="J109" s="68" t="s">
        <v>211</v>
      </c>
      <c r="K109" s="27" t="s">
        <v>180</v>
      </c>
      <c r="L109" s="25">
        <f>_xll.IMDP($B109,$J109,L$94,$E$4,"FILL=TRUE")</f>
        <v>82.84</v>
      </c>
      <c r="M109" s="25">
        <f>_xll.IMDP($B109,$J109,M$94,$E$4,"FILL=TRUE")</f>
        <v>1.96</v>
      </c>
      <c r="N109" s="26">
        <f>($L109-_xll.IMDP($B109,$J109,L$94,EDATE($E$4,-1),"FILL=TRUE"))/_xll.IMDP($B109,$J109,L$94,EDATE($E$4,-1),"FILL=TRUE")*100</f>
        <v>-1.3692106203119319</v>
      </c>
      <c r="O109" s="26">
        <f>($L109-_xll.IMDP($B109,$J109,L$94,EDATE($E$4,-3),"FILL=TRUE"))/_xll.IMDP($B109,$J109,L$94,EDATE($E$4,-3),"FILL=TRUE")*100</f>
        <v>-0.79041916167664261</v>
      </c>
      <c r="P109" s="28">
        <f>($L109-_xll.IMDP($B109,$J109,L$94,EDATE($E$4,-12),"FILL=TRUE"))/_xll.IMDP($B109,$J109,L$94,EDATE($E$4,-12),"FILL=TRUE")*100</f>
        <v>-20.300173176832782</v>
      </c>
      <c r="X109" s="95">
        <v>44845</v>
      </c>
      <c r="Y109" s="7">
        <v>49.911000000000001</v>
      </c>
      <c r="Z109" s="7">
        <v>3.4416000000000002</v>
      </c>
      <c r="AA109" s="7">
        <v>3.9407100000000002</v>
      </c>
    </row>
    <row r="110" spans="2:27" x14ac:dyDescent="0.25">
      <c r="X110" s="95">
        <v>44846</v>
      </c>
      <c r="Y110" s="7">
        <v>38.926000000000002</v>
      </c>
      <c r="Z110" s="7">
        <v>3.6215999999999999</v>
      </c>
      <c r="AA110" s="7">
        <v>4.0108600000000001</v>
      </c>
    </row>
    <row r="111" spans="2:27" x14ac:dyDescent="0.25">
      <c r="X111" s="95">
        <v>44847</v>
      </c>
      <c r="Y111" s="7">
        <v>36.764000000000003</v>
      </c>
      <c r="Z111" s="7">
        <v>3.7115</v>
      </c>
      <c r="AA111" s="7">
        <v>4.0791399999999998</v>
      </c>
    </row>
    <row r="112" spans="2:27" x14ac:dyDescent="0.25">
      <c r="X112" s="95">
        <v>44848</v>
      </c>
      <c r="Y112" s="7">
        <v>47.811</v>
      </c>
      <c r="Z112" s="7">
        <v>3.7155999999999998</v>
      </c>
      <c r="AA112" s="7">
        <v>4.1937100000000003</v>
      </c>
    </row>
    <row r="113" spans="4:27" hidden="1" x14ac:dyDescent="0.25">
      <c r="X113" s="95">
        <v>44849</v>
      </c>
      <c r="Y113" s="7">
        <v>47.811</v>
      </c>
      <c r="Z113" s="7">
        <v>3.7155999999999998</v>
      </c>
      <c r="AA113" s="7">
        <v>4.1937100000000003</v>
      </c>
    </row>
    <row r="114" spans="4:27" hidden="1" x14ac:dyDescent="0.25">
      <c r="X114" s="95">
        <v>44850</v>
      </c>
      <c r="Y114" s="7">
        <v>47.811</v>
      </c>
      <c r="Z114" s="7">
        <v>3.7155999999999998</v>
      </c>
      <c r="AA114" s="7">
        <v>4.1937100000000003</v>
      </c>
    </row>
    <row r="115" spans="4:27" hidden="1" x14ac:dyDescent="0.25">
      <c r="X115" s="95">
        <v>44851</v>
      </c>
      <c r="Y115" s="7">
        <v>45.716999999999999</v>
      </c>
      <c r="Z115" s="7">
        <v>3.7694000000000001</v>
      </c>
      <c r="AA115" s="7">
        <v>4.2265699999999997</v>
      </c>
    </row>
    <row r="116" spans="4:27" hidden="1" x14ac:dyDescent="0.25">
      <c r="X116" s="95">
        <v>44852</v>
      </c>
      <c r="Y116" s="7">
        <v>34.167000000000002</v>
      </c>
      <c r="Z116" s="7">
        <v>3.9009</v>
      </c>
      <c r="AA116" s="7">
        <v>4.2425699999999997</v>
      </c>
    </row>
    <row r="117" spans="4:27" hidden="1" x14ac:dyDescent="0.25">
      <c r="X117" s="95">
        <v>44853</v>
      </c>
      <c r="Y117" s="7">
        <v>29.177</v>
      </c>
      <c r="Z117" s="7">
        <v>3.9857999999999998</v>
      </c>
      <c r="AA117" s="7">
        <v>4.2775699999999999</v>
      </c>
    </row>
    <row r="118" spans="4:27" hidden="1" x14ac:dyDescent="0.25">
      <c r="X118" s="95">
        <v>44854</v>
      </c>
      <c r="Y118" s="7">
        <v>33.927</v>
      </c>
      <c r="Z118" s="7">
        <v>3.9853000000000001</v>
      </c>
      <c r="AA118" s="7">
        <v>4.3245699999999996</v>
      </c>
    </row>
    <row r="119" spans="4:27" hidden="1" x14ac:dyDescent="0.25">
      <c r="X119" s="95">
        <v>44855</v>
      </c>
      <c r="Y119" s="7">
        <v>36.402999999999999</v>
      </c>
      <c r="Z119" s="7">
        <v>3.9944000000000002</v>
      </c>
      <c r="AA119" s="7">
        <v>4.3584300000000002</v>
      </c>
    </row>
    <row r="120" spans="4:27" hidden="1" x14ac:dyDescent="0.25">
      <c r="X120" s="95">
        <v>44856</v>
      </c>
      <c r="Y120" s="7">
        <v>36.402999999999999</v>
      </c>
      <c r="Z120" s="7">
        <v>3.9944000000000002</v>
      </c>
      <c r="AA120" s="7">
        <v>4.3584300000000002</v>
      </c>
    </row>
    <row r="121" spans="4:27" hidden="1" x14ac:dyDescent="0.25">
      <c r="X121" s="95">
        <v>44857</v>
      </c>
      <c r="Y121" s="7">
        <v>36.402999999999999</v>
      </c>
      <c r="Z121" s="7">
        <v>3.9944000000000002</v>
      </c>
      <c r="AA121" s="7">
        <v>4.3584300000000002</v>
      </c>
    </row>
    <row r="122" spans="4:27" hidden="1" x14ac:dyDescent="0.25">
      <c r="D122" s="7"/>
      <c r="X122" s="95">
        <v>44858</v>
      </c>
      <c r="Y122" s="7">
        <v>30.966000000000001</v>
      </c>
      <c r="Z122" s="7">
        <v>4.0171999999999999</v>
      </c>
      <c r="AA122" s="7">
        <v>4.3268599999999999</v>
      </c>
    </row>
    <row r="123" spans="4:27" hidden="1" x14ac:dyDescent="0.25">
      <c r="D123" s="7"/>
      <c r="X123" s="95">
        <v>44859</v>
      </c>
      <c r="Y123" s="7">
        <v>32.01</v>
      </c>
      <c r="Z123" s="7">
        <v>4.0378999999999996</v>
      </c>
      <c r="AA123" s="7">
        <v>4.3579999999999997</v>
      </c>
    </row>
    <row r="124" spans="4:27" hidden="1" x14ac:dyDescent="0.25">
      <c r="D124" s="7"/>
      <c r="X124" s="95">
        <v>44860</v>
      </c>
      <c r="Y124" s="7">
        <v>34.926000000000002</v>
      </c>
      <c r="Z124" s="7">
        <v>4.0246000000000004</v>
      </c>
      <c r="AA124" s="7">
        <v>4.3738599999999996</v>
      </c>
    </row>
    <row r="125" spans="4:27" hidden="1" x14ac:dyDescent="0.25">
      <c r="D125" s="7"/>
      <c r="X125" s="95">
        <v>44861</v>
      </c>
      <c r="Y125" s="7">
        <v>37.771000000000001</v>
      </c>
      <c r="Z125" s="7">
        <v>4.0369999999999999</v>
      </c>
      <c r="AA125" s="7">
        <v>4.4147100000000004</v>
      </c>
    </row>
    <row r="126" spans="4:27" hidden="1" x14ac:dyDescent="0.25">
      <c r="X126" s="95">
        <v>44862</v>
      </c>
      <c r="Y126" s="7">
        <v>36.247</v>
      </c>
      <c r="Z126" s="7">
        <v>4.0770999999999997</v>
      </c>
      <c r="AA126" s="7">
        <v>4.4395699999999998</v>
      </c>
    </row>
    <row r="127" spans="4:27" hidden="1" x14ac:dyDescent="0.25">
      <c r="X127" s="95">
        <v>44863</v>
      </c>
      <c r="Y127" s="7">
        <v>36.247</v>
      </c>
      <c r="Z127" s="7">
        <v>4.0770999999999997</v>
      </c>
      <c r="AA127" s="7">
        <v>4.4395699999999998</v>
      </c>
    </row>
    <row r="128" spans="4:27" hidden="1" x14ac:dyDescent="0.25">
      <c r="X128" s="95">
        <v>44864</v>
      </c>
      <c r="Y128" s="7">
        <v>36.247</v>
      </c>
      <c r="Z128" s="7">
        <v>4.0770999999999997</v>
      </c>
      <c r="AA128" s="7">
        <v>4.4395699999999998</v>
      </c>
    </row>
    <row r="129" spans="24:27" hidden="1" x14ac:dyDescent="0.25">
      <c r="X129" s="95">
        <v>44865</v>
      </c>
      <c r="Y129" s="7">
        <v>38.628999999999998</v>
      </c>
      <c r="Z129" s="7">
        <v>4.0739999999999998</v>
      </c>
      <c r="AA129" s="7">
        <v>4.4602899999999996</v>
      </c>
    </row>
    <row r="130" spans="24:27" hidden="1" x14ac:dyDescent="0.25">
      <c r="X130" s="95">
        <v>44866</v>
      </c>
      <c r="Y130" s="7">
        <v>33.121000000000002</v>
      </c>
      <c r="Z130" s="7">
        <v>4.1284999999999998</v>
      </c>
      <c r="AA130" s="7">
        <v>4.4597100000000003</v>
      </c>
    </row>
    <row r="131" spans="24:27" hidden="1" x14ac:dyDescent="0.25">
      <c r="X131" s="95">
        <v>44867</v>
      </c>
      <c r="Y131" s="7">
        <v>37.262999999999998</v>
      </c>
      <c r="Z131" s="7">
        <v>4.1357999999999997</v>
      </c>
      <c r="AA131" s="7">
        <v>4.5084299999999997</v>
      </c>
    </row>
    <row r="132" spans="24:27" hidden="1" x14ac:dyDescent="0.25">
      <c r="X132" s="95">
        <v>44868</v>
      </c>
      <c r="Y132" s="7">
        <v>39.366999999999997</v>
      </c>
      <c r="Z132" s="7">
        <v>4.1379000000000001</v>
      </c>
      <c r="AA132" s="7">
        <v>4.5315700000000003</v>
      </c>
    </row>
    <row r="133" spans="24:27" hidden="1" x14ac:dyDescent="0.25">
      <c r="X133" s="95">
        <v>44869</v>
      </c>
      <c r="Y133" s="7">
        <v>43.709000000000003</v>
      </c>
      <c r="Z133" s="7">
        <v>4.1132</v>
      </c>
      <c r="AA133" s="7">
        <v>4.5502900000000004</v>
      </c>
    </row>
    <row r="134" spans="24:27" hidden="1" x14ac:dyDescent="0.25">
      <c r="X134" s="95">
        <v>44870</v>
      </c>
      <c r="Y134" s="7">
        <v>43.709000000000003</v>
      </c>
      <c r="Z134" s="7">
        <v>4.1132</v>
      </c>
      <c r="AA134" s="7">
        <v>4.5502900000000004</v>
      </c>
    </row>
    <row r="135" spans="24:27" hidden="1" x14ac:dyDescent="0.25">
      <c r="X135" s="95">
        <v>44871</v>
      </c>
      <c r="Y135" s="7">
        <v>43.709000000000003</v>
      </c>
      <c r="Z135" s="7">
        <v>4.1132</v>
      </c>
      <c r="AA135" s="7">
        <v>4.5502900000000004</v>
      </c>
    </row>
    <row r="136" spans="24:27" hidden="1" x14ac:dyDescent="0.25">
      <c r="X136" s="95">
        <v>44872</v>
      </c>
      <c r="Y136" s="7">
        <v>47.298999999999999</v>
      </c>
      <c r="Z136" s="7">
        <v>4.0842999999999998</v>
      </c>
      <c r="AA136" s="7">
        <v>4.5572900000000001</v>
      </c>
    </row>
    <row r="137" spans="24:27" hidden="1" x14ac:dyDescent="0.25">
      <c r="X137" s="95">
        <v>44873</v>
      </c>
      <c r="Y137" s="7">
        <v>41.17</v>
      </c>
      <c r="Z137" s="7">
        <v>4.1802999999999999</v>
      </c>
      <c r="AA137" s="7">
        <v>4.5919999999999996</v>
      </c>
    </row>
    <row r="138" spans="24:27" hidden="1" x14ac:dyDescent="0.25">
      <c r="X138" s="95">
        <v>44874</v>
      </c>
      <c r="Y138" s="7">
        <v>42.95</v>
      </c>
      <c r="Z138" s="7">
        <v>4.2004999999999999</v>
      </c>
      <c r="AA138" s="7">
        <v>4.63</v>
      </c>
    </row>
    <row r="139" spans="24:27" hidden="1" x14ac:dyDescent="0.25">
      <c r="X139" s="95">
        <v>44875</v>
      </c>
      <c r="Y139" s="7">
        <v>47.960999999999999</v>
      </c>
      <c r="Z139" s="7">
        <v>4.1700999999999997</v>
      </c>
      <c r="AA139" s="7">
        <v>4.6497099999999998</v>
      </c>
    </row>
    <row r="140" spans="24:27" hidden="1" x14ac:dyDescent="0.25">
      <c r="X140" s="95">
        <v>44876</v>
      </c>
      <c r="Y140" s="7">
        <v>43.603999999999999</v>
      </c>
      <c r="Z140" s="7">
        <v>4.1700999999999997</v>
      </c>
      <c r="AA140" s="7">
        <v>4.6061399999999999</v>
      </c>
    </row>
    <row r="141" spans="24:27" hidden="1" x14ac:dyDescent="0.25">
      <c r="X141" s="95">
        <v>44877</v>
      </c>
      <c r="Y141" s="7">
        <v>43.603999999999999</v>
      </c>
      <c r="Z141" s="7">
        <v>4.1700999999999997</v>
      </c>
      <c r="AA141" s="7">
        <v>4.6061399999999999</v>
      </c>
    </row>
    <row r="142" spans="24:27" hidden="1" x14ac:dyDescent="0.25">
      <c r="X142" s="95">
        <v>44878</v>
      </c>
      <c r="Y142" s="7">
        <v>43.603999999999999</v>
      </c>
      <c r="Z142" s="7">
        <v>4.1700999999999997</v>
      </c>
      <c r="AA142" s="7">
        <v>4.6061399999999999</v>
      </c>
    </row>
    <row r="143" spans="24:27" hidden="1" x14ac:dyDescent="0.25">
      <c r="X143" s="95">
        <v>44879</v>
      </c>
      <c r="Y143" s="7">
        <v>45.276000000000003</v>
      </c>
      <c r="Z143" s="7">
        <v>4.1910999999999996</v>
      </c>
      <c r="AA143" s="7">
        <v>4.6438600000000001</v>
      </c>
    </row>
    <row r="144" spans="24:27" hidden="1" x14ac:dyDescent="0.25">
      <c r="X144" s="95">
        <v>44880</v>
      </c>
      <c r="Y144" s="7">
        <v>46.430999999999997</v>
      </c>
      <c r="Z144" s="7">
        <v>4.1853999999999996</v>
      </c>
      <c r="AA144" s="7">
        <v>4.6497099999999998</v>
      </c>
    </row>
    <row r="145" spans="24:27" hidden="1" x14ac:dyDescent="0.25">
      <c r="X145" s="95">
        <v>44881</v>
      </c>
      <c r="Y145" s="7">
        <v>44.789000000000001</v>
      </c>
      <c r="Z145" s="7">
        <v>4.2263999999999999</v>
      </c>
      <c r="AA145" s="7">
        <v>4.6742900000000001</v>
      </c>
    </row>
    <row r="146" spans="24:27" hidden="1" x14ac:dyDescent="0.25">
      <c r="X146" s="95">
        <v>44882</v>
      </c>
      <c r="Y146" s="7">
        <v>44.692999999999998</v>
      </c>
      <c r="Z146" s="7">
        <v>4.2285000000000004</v>
      </c>
      <c r="AA146" s="7">
        <v>4.6754300000000004</v>
      </c>
    </row>
    <row r="147" spans="24:27" hidden="1" x14ac:dyDescent="0.25">
      <c r="X147" s="95">
        <v>44883</v>
      </c>
      <c r="Y147" s="7">
        <v>41.456000000000003</v>
      </c>
      <c r="Z147" s="7">
        <v>4.2503000000000002</v>
      </c>
      <c r="AA147" s="7">
        <v>4.66486</v>
      </c>
    </row>
    <row r="148" spans="24:27" hidden="1" x14ac:dyDescent="0.25">
      <c r="X148" s="95">
        <v>44884</v>
      </c>
      <c r="Y148" s="7">
        <v>41.456000000000003</v>
      </c>
      <c r="Z148" s="7">
        <v>4.2503000000000002</v>
      </c>
      <c r="AA148" s="7">
        <v>4.66486</v>
      </c>
    </row>
    <row r="149" spans="24:27" hidden="1" x14ac:dyDescent="0.25">
      <c r="X149" s="95">
        <v>44885</v>
      </c>
      <c r="Y149" s="7">
        <v>41.456000000000003</v>
      </c>
      <c r="Z149" s="7">
        <v>4.2503000000000002</v>
      </c>
      <c r="AA149" s="7">
        <v>4.66486</v>
      </c>
    </row>
    <row r="150" spans="24:27" hidden="1" x14ac:dyDescent="0.25">
      <c r="X150" s="95">
        <v>44886</v>
      </c>
      <c r="Y150" s="7">
        <v>47.826000000000001</v>
      </c>
      <c r="Z150" s="7">
        <v>4.2135999999999996</v>
      </c>
      <c r="AA150" s="7">
        <v>4.6918600000000001</v>
      </c>
    </row>
    <row r="151" spans="24:27" hidden="1" x14ac:dyDescent="0.25">
      <c r="X151" s="95">
        <v>44887</v>
      </c>
      <c r="Y151" s="7">
        <v>47.701000000000001</v>
      </c>
      <c r="Z151" s="7">
        <v>4.2217000000000002</v>
      </c>
      <c r="AA151" s="7">
        <v>4.6987100000000002</v>
      </c>
    </row>
    <row r="152" spans="24:27" hidden="1" x14ac:dyDescent="0.25">
      <c r="X152" s="95">
        <v>44888</v>
      </c>
      <c r="Y152" s="7">
        <v>47.969000000000001</v>
      </c>
      <c r="Z152" s="7">
        <v>4.2775999999999996</v>
      </c>
      <c r="AA152" s="7">
        <v>4.7572900000000002</v>
      </c>
    </row>
    <row r="153" spans="24:27" hidden="1" x14ac:dyDescent="0.25">
      <c r="X153" s="95">
        <v>44889</v>
      </c>
      <c r="Y153" s="7">
        <v>48.869</v>
      </c>
      <c r="Z153" s="7">
        <v>4.2775999999999996</v>
      </c>
      <c r="AA153" s="7">
        <v>4.7362900000000003</v>
      </c>
    </row>
    <row r="154" spans="24:27" hidden="1" x14ac:dyDescent="0.25">
      <c r="X154" s="95">
        <v>44890</v>
      </c>
      <c r="Y154" s="7">
        <v>44.216000000000001</v>
      </c>
      <c r="Z154" s="7">
        <v>4.2916999999999996</v>
      </c>
      <c r="AA154" s="7">
        <v>4.73386</v>
      </c>
    </row>
    <row r="155" spans="24:27" hidden="1" x14ac:dyDescent="0.25">
      <c r="X155" s="95">
        <v>44891</v>
      </c>
      <c r="Y155" s="7">
        <v>44.216000000000001</v>
      </c>
      <c r="Z155" s="7">
        <v>4.2916999999999996</v>
      </c>
      <c r="AA155" s="7">
        <v>4.73386</v>
      </c>
    </row>
    <row r="156" spans="24:27" hidden="1" x14ac:dyDescent="0.25">
      <c r="X156" s="95">
        <v>44892</v>
      </c>
      <c r="Y156" s="7">
        <v>44.216000000000001</v>
      </c>
      <c r="Z156" s="7">
        <v>4.2916999999999996</v>
      </c>
      <c r="AA156" s="7">
        <v>4.73386</v>
      </c>
    </row>
    <row r="157" spans="24:27" hidden="1" x14ac:dyDescent="0.25">
      <c r="X157" s="95">
        <v>44893</v>
      </c>
      <c r="Y157" s="7">
        <v>43.076000000000001</v>
      </c>
      <c r="Z157" s="7">
        <v>4.3041</v>
      </c>
      <c r="AA157" s="7">
        <v>4.7348600000000003</v>
      </c>
    </row>
    <row r="158" spans="24:27" hidden="1" x14ac:dyDescent="0.25">
      <c r="X158" s="95">
        <v>44894</v>
      </c>
      <c r="Y158" s="7">
        <v>41.826999999999998</v>
      </c>
      <c r="Z158" s="7">
        <v>4.3422999999999998</v>
      </c>
      <c r="AA158" s="7">
        <v>4.7605700000000004</v>
      </c>
    </row>
    <row r="159" spans="24:27" hidden="1" x14ac:dyDescent="0.25">
      <c r="X159" s="95">
        <v>44895</v>
      </c>
      <c r="Y159" s="7">
        <v>41.076999999999998</v>
      </c>
      <c r="Z159" s="7">
        <v>4.3677999999999999</v>
      </c>
      <c r="AA159" s="7">
        <v>4.7785700000000002</v>
      </c>
    </row>
    <row r="160" spans="24:27" hidden="1" x14ac:dyDescent="0.25">
      <c r="X160" s="95">
        <v>44896</v>
      </c>
      <c r="Y160" s="7">
        <v>43.67</v>
      </c>
      <c r="Z160" s="7">
        <v>4.3282999999999996</v>
      </c>
      <c r="AA160" s="7">
        <v>4.7649999999999997</v>
      </c>
    </row>
    <row r="161" spans="24:27" hidden="1" x14ac:dyDescent="0.25">
      <c r="X161" s="95">
        <v>44897</v>
      </c>
      <c r="Y161" s="7">
        <v>42.656999999999996</v>
      </c>
      <c r="Z161" s="7">
        <v>4.306</v>
      </c>
      <c r="AA161" s="7">
        <v>4.7325699999999999</v>
      </c>
    </row>
    <row r="162" spans="24:27" hidden="1" x14ac:dyDescent="0.25">
      <c r="X162" s="95">
        <v>44898</v>
      </c>
      <c r="Y162" s="7">
        <v>42.656999999999996</v>
      </c>
      <c r="Z162" s="7">
        <v>4.306</v>
      </c>
      <c r="AA162" s="7">
        <v>4.7325699999999999</v>
      </c>
    </row>
    <row r="163" spans="24:27" hidden="1" x14ac:dyDescent="0.25">
      <c r="X163" s="95">
        <v>44899</v>
      </c>
      <c r="Y163" s="7">
        <v>42.656999999999996</v>
      </c>
      <c r="Z163" s="7">
        <v>4.306</v>
      </c>
      <c r="AA163" s="7">
        <v>4.7325699999999999</v>
      </c>
    </row>
    <row r="164" spans="24:27" hidden="1" x14ac:dyDescent="0.25">
      <c r="X164" s="95">
        <v>44900</v>
      </c>
      <c r="Y164" s="7">
        <v>42.573</v>
      </c>
      <c r="Z164" s="7">
        <v>4.2976999999999999</v>
      </c>
      <c r="AA164" s="7">
        <v>4.7234299999999996</v>
      </c>
    </row>
    <row r="165" spans="24:27" hidden="1" x14ac:dyDescent="0.25">
      <c r="X165" s="95">
        <v>44901</v>
      </c>
      <c r="Y165" s="7">
        <v>42.087000000000003</v>
      </c>
      <c r="Z165" s="7">
        <v>4.3136999999999999</v>
      </c>
      <c r="AA165" s="7">
        <v>4.7345699999999997</v>
      </c>
    </row>
    <row r="166" spans="24:27" hidden="1" x14ac:dyDescent="0.25">
      <c r="X166" s="95">
        <v>44902</v>
      </c>
      <c r="Y166" s="7">
        <v>41.802999999999997</v>
      </c>
      <c r="Z166" s="7">
        <v>4.3053999999999997</v>
      </c>
      <c r="AA166" s="7">
        <v>4.7234299999999996</v>
      </c>
    </row>
    <row r="167" spans="24:27" hidden="1" x14ac:dyDescent="0.25">
      <c r="X167" s="95">
        <v>44903</v>
      </c>
      <c r="Y167" s="7">
        <v>46.134</v>
      </c>
      <c r="Z167" s="7">
        <v>4.2737999999999996</v>
      </c>
      <c r="AA167" s="7">
        <v>4.7351400000000003</v>
      </c>
    </row>
    <row r="168" spans="24:27" hidden="1" x14ac:dyDescent="0.25">
      <c r="X168" s="95">
        <v>44904</v>
      </c>
      <c r="Y168" s="7">
        <v>42.973999999999997</v>
      </c>
      <c r="Z168" s="7">
        <v>4.3033999999999999</v>
      </c>
      <c r="AA168" s="7">
        <v>4.7331399999999997</v>
      </c>
    </row>
    <row r="169" spans="24:27" hidden="1" x14ac:dyDescent="0.25">
      <c r="X169" s="95">
        <v>44905</v>
      </c>
      <c r="Y169" s="7">
        <v>42.973999999999997</v>
      </c>
      <c r="Z169" s="7">
        <v>4.3033999999999999</v>
      </c>
      <c r="AA169" s="7">
        <v>4.7331399999999997</v>
      </c>
    </row>
    <row r="170" spans="24:27" hidden="1" x14ac:dyDescent="0.25">
      <c r="X170" s="95">
        <v>44906</v>
      </c>
      <c r="Y170" s="7">
        <v>42.973999999999997</v>
      </c>
      <c r="Z170" s="7">
        <v>4.3033999999999999</v>
      </c>
      <c r="AA170" s="7">
        <v>4.7331399999999997</v>
      </c>
    </row>
    <row r="171" spans="24:27" hidden="1" x14ac:dyDescent="0.25">
      <c r="X171" s="95">
        <v>44907</v>
      </c>
      <c r="Y171" s="7">
        <v>46.790999999999997</v>
      </c>
      <c r="Z171" s="7">
        <v>4.2847999999999997</v>
      </c>
      <c r="AA171" s="7">
        <v>4.7527100000000004</v>
      </c>
    </row>
    <row r="172" spans="24:27" hidden="1" x14ac:dyDescent="0.25">
      <c r="X172" s="95">
        <v>44908</v>
      </c>
      <c r="Y172" s="7">
        <v>43.71</v>
      </c>
      <c r="Z172" s="7">
        <v>4.3319000000000001</v>
      </c>
      <c r="AA172" s="7">
        <v>4.7690000000000001</v>
      </c>
    </row>
    <row r="173" spans="24:27" hidden="1" x14ac:dyDescent="0.25">
      <c r="X173" s="95">
        <v>44909</v>
      </c>
      <c r="Y173" s="7">
        <v>40.228999999999999</v>
      </c>
      <c r="Z173" s="7">
        <v>4.3339999999999996</v>
      </c>
      <c r="AA173" s="7">
        <v>4.7362900000000003</v>
      </c>
    </row>
    <row r="174" spans="24:27" hidden="1" x14ac:dyDescent="0.25">
      <c r="X174" s="95">
        <v>44910</v>
      </c>
      <c r="Y174" s="7">
        <v>41.460999999999999</v>
      </c>
      <c r="Z174" s="7">
        <v>4.3231000000000002</v>
      </c>
      <c r="AA174" s="7">
        <v>4.7377099999999999</v>
      </c>
    </row>
    <row r="175" spans="24:27" hidden="1" x14ac:dyDescent="0.25">
      <c r="X175" s="95">
        <v>44911</v>
      </c>
      <c r="Y175" s="7">
        <v>44.506</v>
      </c>
      <c r="Z175" s="7">
        <v>4.3007999999999997</v>
      </c>
      <c r="AA175" s="7">
        <v>4.7458600000000004</v>
      </c>
    </row>
    <row r="176" spans="24:27" hidden="1" x14ac:dyDescent="0.25">
      <c r="X176" s="95">
        <v>44912</v>
      </c>
      <c r="Y176" s="7">
        <v>44.506</v>
      </c>
      <c r="Z176" s="7">
        <v>4.3007999999999997</v>
      </c>
      <c r="AA176" s="7">
        <v>4.7458600000000004</v>
      </c>
    </row>
    <row r="177" spans="24:27" hidden="1" x14ac:dyDescent="0.25">
      <c r="X177" s="95">
        <v>44913</v>
      </c>
      <c r="Y177" s="7">
        <v>44.506</v>
      </c>
      <c r="Z177" s="7">
        <v>4.3007999999999997</v>
      </c>
      <c r="AA177" s="7">
        <v>4.7458600000000004</v>
      </c>
    </row>
    <row r="178" spans="24:27" hidden="1" x14ac:dyDescent="0.25">
      <c r="X178" s="95">
        <v>44914</v>
      </c>
      <c r="Y178" s="7">
        <v>47.168999999999997</v>
      </c>
      <c r="Z178" s="7">
        <v>4.2666000000000004</v>
      </c>
      <c r="AA178" s="7">
        <v>4.7382900000000001</v>
      </c>
    </row>
    <row r="179" spans="24:27" hidden="1" x14ac:dyDescent="0.25">
      <c r="X179" s="95">
        <v>44915</v>
      </c>
      <c r="Y179" s="7">
        <v>44.406999999999996</v>
      </c>
      <c r="Z179" s="7">
        <v>4.3085000000000004</v>
      </c>
      <c r="AA179" s="7">
        <v>4.7525700000000004</v>
      </c>
    </row>
    <row r="180" spans="24:27" hidden="1" x14ac:dyDescent="0.25">
      <c r="X180" s="95">
        <v>44916</v>
      </c>
      <c r="Y180" s="7">
        <v>38.979999999999997</v>
      </c>
      <c r="Z180" s="7">
        <v>4.3391999999999999</v>
      </c>
      <c r="AA180" s="7">
        <v>4.7290000000000001</v>
      </c>
    </row>
    <row r="181" spans="24:27" hidden="1" x14ac:dyDescent="0.25">
      <c r="X181" s="95">
        <v>44917</v>
      </c>
      <c r="Y181" s="7">
        <v>39.036000000000001</v>
      </c>
      <c r="Z181" s="7">
        <v>4.3334999999999999</v>
      </c>
      <c r="AA181" s="7">
        <v>4.7238600000000002</v>
      </c>
    </row>
    <row r="182" spans="24:27" hidden="1" x14ac:dyDescent="0.25">
      <c r="X182" s="95">
        <v>44918</v>
      </c>
      <c r="Y182" s="7">
        <v>40.533000000000001</v>
      </c>
      <c r="Z182" s="7">
        <v>4.3211000000000004</v>
      </c>
      <c r="AA182" s="7">
        <v>4.7264299999999997</v>
      </c>
    </row>
    <row r="183" spans="24:27" hidden="1" x14ac:dyDescent="0.25">
      <c r="X183" s="95">
        <v>44919</v>
      </c>
      <c r="Y183" s="7">
        <v>40.533000000000001</v>
      </c>
      <c r="Z183" s="7">
        <v>4.3211000000000004</v>
      </c>
      <c r="AA183" s="7">
        <v>4.7264299999999997</v>
      </c>
    </row>
    <row r="184" spans="24:27" hidden="1" x14ac:dyDescent="0.25">
      <c r="X184" s="95">
        <v>44920</v>
      </c>
      <c r="Y184" s="7">
        <v>40.533000000000001</v>
      </c>
      <c r="Z184" s="7">
        <v>4.3211000000000004</v>
      </c>
      <c r="AA184" s="7">
        <v>4.7264299999999997</v>
      </c>
    </row>
    <row r="185" spans="24:27" hidden="1" x14ac:dyDescent="0.25">
      <c r="X185" s="95">
        <v>44921</v>
      </c>
      <c r="Y185" s="7">
        <v>40.533000000000001</v>
      </c>
      <c r="Z185" s="7">
        <v>4.3211000000000004</v>
      </c>
      <c r="AA185" s="7">
        <v>4.7264299999999997</v>
      </c>
    </row>
    <row r="186" spans="24:27" hidden="1" x14ac:dyDescent="0.25">
      <c r="X186" s="95">
        <v>44922</v>
      </c>
      <c r="Y186" s="7">
        <v>42.143000000000001</v>
      </c>
      <c r="Z186" s="7">
        <v>4.3049999999999997</v>
      </c>
      <c r="AA186" s="7">
        <v>4.7264299999999997</v>
      </c>
    </row>
    <row r="187" spans="24:27" hidden="1" x14ac:dyDescent="0.25">
      <c r="X187" s="95">
        <v>44923</v>
      </c>
      <c r="Y187" s="7">
        <v>27.376000000000001</v>
      </c>
      <c r="Z187" s="7">
        <v>4.4561000000000002</v>
      </c>
      <c r="AA187" s="7">
        <v>4.7298600000000004</v>
      </c>
    </row>
    <row r="188" spans="24:27" hidden="1" x14ac:dyDescent="0.25">
      <c r="X188" s="95">
        <v>44924</v>
      </c>
      <c r="Y188" s="7">
        <v>33.985999999999997</v>
      </c>
      <c r="Z188" s="7">
        <v>4.4139999999999997</v>
      </c>
      <c r="AA188" s="7">
        <v>4.7538600000000004</v>
      </c>
    </row>
    <row r="189" spans="24:27" hidden="1" x14ac:dyDescent="0.25">
      <c r="X189" s="95">
        <v>44925</v>
      </c>
      <c r="Y189" s="7">
        <v>34.768999999999998</v>
      </c>
      <c r="Z189" s="7">
        <v>4.4196</v>
      </c>
      <c r="AA189" s="7">
        <v>4.76729</v>
      </c>
    </row>
    <row r="190" spans="24:27" hidden="1" x14ac:dyDescent="0.25">
      <c r="X190" s="95">
        <v>44926</v>
      </c>
      <c r="Y190" s="7">
        <v>34.768999999999998</v>
      </c>
      <c r="Z190" s="7">
        <v>4.4196</v>
      </c>
      <c r="AA190" s="7">
        <v>4.76729</v>
      </c>
    </row>
    <row r="191" spans="24:27" hidden="1" x14ac:dyDescent="0.25">
      <c r="X191" s="95">
        <v>44927</v>
      </c>
      <c r="Y191" s="7">
        <v>34.768999999999998</v>
      </c>
      <c r="Z191" s="7">
        <v>4.4196</v>
      </c>
      <c r="AA191" s="7">
        <v>4.76729</v>
      </c>
    </row>
    <row r="192" spans="24:27" hidden="1" x14ac:dyDescent="0.25">
      <c r="X192" s="95">
        <v>44928</v>
      </c>
      <c r="Y192" s="7">
        <v>34.768999999999998</v>
      </c>
      <c r="Z192" s="7">
        <v>4.4196</v>
      </c>
      <c r="AA192" s="7">
        <v>4.76729</v>
      </c>
    </row>
    <row r="193" spans="24:27" hidden="1" x14ac:dyDescent="0.25">
      <c r="X193" s="95">
        <v>44929</v>
      </c>
      <c r="Y193" s="7">
        <v>39.646000000000001</v>
      </c>
      <c r="Z193" s="7">
        <v>4.3853999999999997</v>
      </c>
      <c r="AA193" s="7">
        <v>4.78186</v>
      </c>
    </row>
    <row r="194" spans="24:27" hidden="1" x14ac:dyDescent="0.25">
      <c r="X194" s="95">
        <v>44930</v>
      </c>
      <c r="Y194" s="7">
        <v>27.452999999999999</v>
      </c>
      <c r="Z194" s="7">
        <v>4.5138999999999996</v>
      </c>
      <c r="AA194" s="7">
        <v>4.78843</v>
      </c>
    </row>
    <row r="195" spans="24:27" hidden="1" x14ac:dyDescent="0.25">
      <c r="X195" s="95">
        <v>44931</v>
      </c>
      <c r="Y195" s="7">
        <v>19.471</v>
      </c>
      <c r="Z195" s="7">
        <v>4.617</v>
      </c>
      <c r="AA195" s="7">
        <v>4.8117099999999997</v>
      </c>
    </row>
    <row r="196" spans="24:27" hidden="1" x14ac:dyDescent="0.25">
      <c r="X196" s="95">
        <v>44932</v>
      </c>
      <c r="Y196" s="7">
        <v>19.456</v>
      </c>
      <c r="Z196" s="7">
        <v>4.6153000000000004</v>
      </c>
      <c r="AA196" s="7">
        <v>4.8098599999999996</v>
      </c>
    </row>
    <row r="197" spans="24:27" hidden="1" x14ac:dyDescent="0.25">
      <c r="X197" s="95">
        <v>44933</v>
      </c>
      <c r="Y197" s="7">
        <v>19.456</v>
      </c>
      <c r="Z197" s="7">
        <v>4.6153000000000004</v>
      </c>
      <c r="AA197" s="7">
        <v>4.8098599999999996</v>
      </c>
    </row>
    <row r="198" spans="24:27" hidden="1" x14ac:dyDescent="0.25">
      <c r="X198" s="95">
        <v>44934</v>
      </c>
      <c r="Y198" s="7">
        <v>19.456</v>
      </c>
      <c r="Z198" s="7">
        <v>4.6153000000000004</v>
      </c>
      <c r="AA198" s="7">
        <v>4.8098599999999996</v>
      </c>
    </row>
    <row r="199" spans="24:27" hidden="1" x14ac:dyDescent="0.25">
      <c r="X199" s="95">
        <v>44935</v>
      </c>
      <c r="Y199" s="7">
        <v>16.527000000000001</v>
      </c>
      <c r="Z199" s="7">
        <v>4.6173000000000002</v>
      </c>
      <c r="AA199" s="7">
        <v>4.7825699999999998</v>
      </c>
    </row>
    <row r="200" spans="24:27" hidden="1" x14ac:dyDescent="0.25">
      <c r="X200" s="95">
        <v>44936</v>
      </c>
      <c r="Y200" s="7">
        <v>18.245999999999999</v>
      </c>
      <c r="Z200" s="7">
        <v>4.6234000000000002</v>
      </c>
      <c r="AA200" s="7">
        <v>4.80586</v>
      </c>
    </row>
    <row r="201" spans="24:27" hidden="1" x14ac:dyDescent="0.25">
      <c r="X201" s="95">
        <v>44937</v>
      </c>
      <c r="Y201" s="7">
        <v>13.52</v>
      </c>
      <c r="Z201" s="7">
        <v>4.6798000000000002</v>
      </c>
      <c r="AA201" s="7">
        <v>4.8150000000000004</v>
      </c>
    </row>
    <row r="202" spans="24:27" hidden="1" x14ac:dyDescent="0.25">
      <c r="X202" s="95">
        <v>44938</v>
      </c>
      <c r="Y202" s="7">
        <v>23.341000000000001</v>
      </c>
      <c r="Z202" s="7">
        <v>4.5963000000000003</v>
      </c>
      <c r="AA202" s="7">
        <v>4.8297100000000004</v>
      </c>
    </row>
    <row r="203" spans="24:27" hidden="1" x14ac:dyDescent="0.25">
      <c r="X203" s="95">
        <v>44939</v>
      </c>
      <c r="Y203" s="7">
        <v>18.033000000000001</v>
      </c>
      <c r="Z203" s="7">
        <v>4.6120999999999999</v>
      </c>
      <c r="AA203" s="7">
        <v>4.7924300000000004</v>
      </c>
    </row>
    <row r="204" spans="24:27" hidden="1" x14ac:dyDescent="0.25">
      <c r="X204" s="95">
        <v>44940</v>
      </c>
      <c r="Y204" s="7">
        <v>18.033000000000001</v>
      </c>
      <c r="Z204" s="7">
        <v>4.6120999999999999</v>
      </c>
      <c r="AA204" s="7">
        <v>4.7924300000000004</v>
      </c>
    </row>
    <row r="205" spans="24:27" hidden="1" x14ac:dyDescent="0.25">
      <c r="X205" s="95">
        <v>44941</v>
      </c>
      <c r="Y205" s="7">
        <v>18.033000000000001</v>
      </c>
      <c r="Z205" s="7">
        <v>4.6120999999999999</v>
      </c>
      <c r="AA205" s="7">
        <v>4.7924300000000004</v>
      </c>
    </row>
    <row r="206" spans="24:27" hidden="1" x14ac:dyDescent="0.25">
      <c r="X206" s="95">
        <v>44942</v>
      </c>
      <c r="Y206" s="7">
        <v>18.260999999999999</v>
      </c>
      <c r="Z206" s="7">
        <v>4.6120999999999999</v>
      </c>
      <c r="AA206" s="7">
        <v>4.7947100000000002</v>
      </c>
    </row>
    <row r="207" spans="24:27" hidden="1" x14ac:dyDescent="0.25">
      <c r="X207" s="95">
        <v>44943</v>
      </c>
      <c r="Y207" s="7">
        <v>18.606999999999999</v>
      </c>
      <c r="Z207" s="7">
        <v>4.6115000000000004</v>
      </c>
      <c r="AA207" s="7">
        <v>4.7975700000000003</v>
      </c>
    </row>
    <row r="208" spans="24:27" hidden="1" x14ac:dyDescent="0.25">
      <c r="X208" s="95">
        <v>44944</v>
      </c>
      <c r="Y208" s="7">
        <v>13.821</v>
      </c>
      <c r="Z208" s="7">
        <v>4.6695000000000002</v>
      </c>
      <c r="AA208" s="7">
        <v>4.8077100000000002</v>
      </c>
    </row>
    <row r="209" spans="24:27" hidden="1" x14ac:dyDescent="0.25">
      <c r="X209" s="95">
        <v>44945</v>
      </c>
      <c r="Y209" s="7">
        <v>15.419</v>
      </c>
      <c r="Z209" s="7">
        <v>4.6611000000000002</v>
      </c>
      <c r="AA209" s="7">
        <v>4.8152900000000001</v>
      </c>
    </row>
    <row r="210" spans="24:27" hidden="1" x14ac:dyDescent="0.25">
      <c r="X210" s="95">
        <v>44946</v>
      </c>
      <c r="Y210" s="7">
        <v>15.887</v>
      </c>
      <c r="Z210" s="7">
        <v>4.6566999999999998</v>
      </c>
      <c r="AA210" s="7">
        <v>4.8155700000000001</v>
      </c>
    </row>
    <row r="211" spans="24:27" hidden="1" x14ac:dyDescent="0.25">
      <c r="X211" s="95">
        <v>44947</v>
      </c>
      <c r="Y211" s="7">
        <v>15.887</v>
      </c>
      <c r="Z211" s="7">
        <v>4.6566999999999998</v>
      </c>
      <c r="AA211" s="7">
        <v>4.8155700000000001</v>
      </c>
    </row>
    <row r="212" spans="24:27" hidden="1" x14ac:dyDescent="0.25">
      <c r="X212" s="95">
        <v>44948</v>
      </c>
      <c r="Y212" s="7">
        <v>15.887</v>
      </c>
      <c r="Z212" s="7">
        <v>4.6566999999999998</v>
      </c>
      <c r="AA212" s="7">
        <v>4.8155700000000001</v>
      </c>
    </row>
    <row r="213" spans="24:27" hidden="1" x14ac:dyDescent="0.25">
      <c r="X213" s="95">
        <v>44949</v>
      </c>
      <c r="Y213" s="7">
        <v>14.861000000000001</v>
      </c>
      <c r="Z213" s="7">
        <v>4.6691000000000003</v>
      </c>
      <c r="AA213" s="7">
        <v>4.8177099999999999</v>
      </c>
    </row>
    <row r="214" spans="24:27" hidden="1" x14ac:dyDescent="0.25">
      <c r="X214" s="95">
        <v>44950</v>
      </c>
      <c r="Y214" s="7">
        <v>13.625999999999999</v>
      </c>
      <c r="Z214" s="7">
        <v>4.6856</v>
      </c>
      <c r="AA214" s="7">
        <v>4.82186</v>
      </c>
    </row>
    <row r="215" spans="24:27" hidden="1" x14ac:dyDescent="0.25">
      <c r="X215" s="95">
        <v>44951</v>
      </c>
      <c r="Y215" s="7">
        <v>13.737</v>
      </c>
      <c r="Z215" s="7">
        <v>4.6772</v>
      </c>
      <c r="AA215" s="7">
        <v>4.8145699999999998</v>
      </c>
    </row>
    <row r="216" spans="24:27" hidden="1" x14ac:dyDescent="0.25">
      <c r="X216" s="95">
        <v>44952</v>
      </c>
      <c r="Y216" s="7">
        <v>12.323</v>
      </c>
      <c r="Z216" s="7">
        <v>4.6791999999999998</v>
      </c>
      <c r="AA216" s="7">
        <v>4.8024300000000002</v>
      </c>
    </row>
    <row r="217" spans="24:27" hidden="1" x14ac:dyDescent="0.25">
      <c r="X217" s="95">
        <v>44953</v>
      </c>
      <c r="Y217" s="7">
        <v>15.298999999999999</v>
      </c>
      <c r="Z217" s="7">
        <v>4.6722999999999999</v>
      </c>
      <c r="AA217" s="7">
        <v>4.8252899999999999</v>
      </c>
    </row>
    <row r="218" spans="24:27" hidden="1" x14ac:dyDescent="0.25">
      <c r="X218" s="95">
        <v>44954</v>
      </c>
      <c r="Y218" s="7">
        <v>15.298999999999999</v>
      </c>
      <c r="Z218" s="7">
        <v>4.6722999999999999</v>
      </c>
      <c r="AA218" s="7">
        <v>4.8252899999999999</v>
      </c>
    </row>
    <row r="219" spans="24:27" hidden="1" x14ac:dyDescent="0.25">
      <c r="X219" s="95">
        <v>44955</v>
      </c>
      <c r="Y219" s="7">
        <v>15.298999999999999</v>
      </c>
      <c r="Z219" s="7">
        <v>4.6722999999999999</v>
      </c>
      <c r="AA219" s="7">
        <v>4.8252899999999999</v>
      </c>
    </row>
    <row r="220" spans="24:27" hidden="1" x14ac:dyDescent="0.25">
      <c r="X220" s="95">
        <v>44956</v>
      </c>
      <c r="Y220" s="7">
        <v>14.967000000000001</v>
      </c>
      <c r="Z220" s="7">
        <v>4.6638999999999999</v>
      </c>
      <c r="AA220" s="7">
        <v>4.8135700000000003</v>
      </c>
    </row>
    <row r="221" spans="24:27" hidden="1" x14ac:dyDescent="0.25">
      <c r="X221" s="95">
        <v>44957</v>
      </c>
      <c r="Y221" s="7">
        <v>16.167000000000002</v>
      </c>
      <c r="Z221" s="7">
        <v>4.6519000000000004</v>
      </c>
      <c r="AA221" s="7">
        <v>4.8135700000000003</v>
      </c>
    </row>
    <row r="222" spans="24:27" hidden="1" x14ac:dyDescent="0.25">
      <c r="X222" s="95">
        <v>44958</v>
      </c>
      <c r="Y222" s="7">
        <v>13.978999999999999</v>
      </c>
      <c r="Z222" s="7">
        <v>4.6565000000000003</v>
      </c>
      <c r="AA222" s="7">
        <v>4.7962899999999999</v>
      </c>
    </row>
    <row r="223" spans="24:27" hidden="1" x14ac:dyDescent="0.25">
      <c r="X223" s="95">
        <v>44959</v>
      </c>
      <c r="Y223" s="7">
        <v>17.353999999999999</v>
      </c>
      <c r="Z223" s="7">
        <v>4.6326000000000001</v>
      </c>
      <c r="AA223" s="7">
        <v>4.8061400000000001</v>
      </c>
    </row>
    <row r="224" spans="24:27" hidden="1" x14ac:dyDescent="0.25">
      <c r="X224" s="95">
        <v>44960</v>
      </c>
      <c r="Y224" s="7">
        <v>21.373999999999999</v>
      </c>
      <c r="Z224" s="7">
        <v>4.6619000000000002</v>
      </c>
      <c r="AA224" s="7">
        <v>4.8341399999999997</v>
      </c>
    </row>
    <row r="225" spans="24:27" hidden="1" x14ac:dyDescent="0.25">
      <c r="X225" s="95">
        <v>44961</v>
      </c>
      <c r="Y225" s="7">
        <v>21.373999999999999</v>
      </c>
      <c r="Z225" s="7">
        <v>4.6619000000000002</v>
      </c>
      <c r="AA225" s="7">
        <v>4.8341399999999997</v>
      </c>
    </row>
    <row r="226" spans="24:27" hidden="1" x14ac:dyDescent="0.25">
      <c r="X226" s="95">
        <v>44962</v>
      </c>
      <c r="Y226" s="7">
        <v>21.373999999999999</v>
      </c>
      <c r="Z226" s="7">
        <v>4.6619000000000002</v>
      </c>
      <c r="AA226" s="7">
        <v>4.8341399999999997</v>
      </c>
    </row>
    <row r="227" spans="24:27" hidden="1" x14ac:dyDescent="0.25">
      <c r="X227" s="95">
        <v>44963</v>
      </c>
      <c r="Y227" s="7">
        <v>18.443999999999999</v>
      </c>
      <c r="Z227" s="7">
        <v>4.6586999999999996</v>
      </c>
      <c r="AA227" s="7">
        <v>4.84314</v>
      </c>
    </row>
    <row r="228" spans="24:27" hidden="1" x14ac:dyDescent="0.25">
      <c r="X228" s="95">
        <v>44964</v>
      </c>
      <c r="Y228" s="7">
        <v>16.72</v>
      </c>
      <c r="Z228" s="7">
        <v>4.6778000000000004</v>
      </c>
      <c r="AA228" s="7">
        <v>4.8449999999999998</v>
      </c>
    </row>
    <row r="229" spans="24:27" hidden="1" x14ac:dyDescent="0.25">
      <c r="X229" s="95">
        <v>44965</v>
      </c>
      <c r="Y229" s="7">
        <v>14.569000000000001</v>
      </c>
      <c r="Z229" s="7">
        <v>4.7135999999999996</v>
      </c>
      <c r="AA229" s="7">
        <v>4.8592899999999997</v>
      </c>
    </row>
    <row r="230" spans="24:27" hidden="1" x14ac:dyDescent="0.25">
      <c r="X230" s="95">
        <v>44966</v>
      </c>
      <c r="Y230" s="7">
        <v>11.547000000000001</v>
      </c>
      <c r="Z230" s="7">
        <v>4.7571000000000003</v>
      </c>
      <c r="AA230" s="7">
        <v>4.8725699999999996</v>
      </c>
    </row>
    <row r="231" spans="24:27" hidden="1" x14ac:dyDescent="0.25">
      <c r="X231" s="95">
        <v>44967</v>
      </c>
      <c r="Y231" s="7">
        <v>11.163</v>
      </c>
      <c r="Z231" s="7">
        <v>4.7577999999999996</v>
      </c>
      <c r="AA231" s="7">
        <v>4.8694300000000004</v>
      </c>
    </row>
    <row r="232" spans="24:27" hidden="1" x14ac:dyDescent="0.25">
      <c r="X232" s="95">
        <v>44968</v>
      </c>
      <c r="Y232" s="7">
        <v>11.163</v>
      </c>
      <c r="Z232" s="7">
        <v>4.7577999999999996</v>
      </c>
      <c r="AA232" s="7">
        <v>4.8694300000000004</v>
      </c>
    </row>
    <row r="233" spans="24:27" hidden="1" x14ac:dyDescent="0.25">
      <c r="X233" s="95">
        <v>44969</v>
      </c>
      <c r="Y233" s="7">
        <v>11.163</v>
      </c>
      <c r="Z233" s="7">
        <v>4.7577999999999996</v>
      </c>
      <c r="AA233" s="7">
        <v>4.8694300000000004</v>
      </c>
    </row>
    <row r="234" spans="24:27" hidden="1" x14ac:dyDescent="0.25">
      <c r="X234" s="95">
        <v>44970</v>
      </c>
      <c r="Y234" s="7">
        <v>11.766999999999999</v>
      </c>
      <c r="Z234" s="7">
        <v>4.7458999999999998</v>
      </c>
      <c r="AA234" s="7">
        <v>4.8635700000000002</v>
      </c>
    </row>
    <row r="235" spans="24:27" hidden="1" x14ac:dyDescent="0.25">
      <c r="X235" s="95">
        <v>44971</v>
      </c>
      <c r="Y235" s="7">
        <v>10.547000000000001</v>
      </c>
      <c r="Z235" s="7">
        <v>4.7660999999999998</v>
      </c>
      <c r="AA235" s="7">
        <v>4.8715700000000002</v>
      </c>
    </row>
    <row r="236" spans="24:27" hidden="1" x14ac:dyDescent="0.25">
      <c r="X236" s="95">
        <v>44972</v>
      </c>
      <c r="Y236" s="7">
        <v>10.077</v>
      </c>
      <c r="Z236" s="7">
        <v>4.7758000000000003</v>
      </c>
      <c r="AA236" s="7">
        <v>4.8765700000000001</v>
      </c>
    </row>
    <row r="237" spans="24:27" hidden="1" x14ac:dyDescent="0.25">
      <c r="X237" s="95">
        <v>44973</v>
      </c>
      <c r="Y237" s="7">
        <v>9.1859999999999999</v>
      </c>
      <c r="Z237" s="7">
        <v>4.8090000000000002</v>
      </c>
      <c r="AA237" s="7">
        <v>4.9008599999999998</v>
      </c>
    </row>
    <row r="238" spans="24:27" hidden="1" x14ac:dyDescent="0.25">
      <c r="X238" s="95">
        <v>44974</v>
      </c>
      <c r="Y238" s="7">
        <v>9.8490000000000002</v>
      </c>
      <c r="Z238" s="7">
        <v>4.8167999999999997</v>
      </c>
      <c r="AA238" s="7">
        <v>4.9152899999999997</v>
      </c>
    </row>
    <row r="239" spans="24:27" hidden="1" x14ac:dyDescent="0.25">
      <c r="X239" s="95">
        <v>44975</v>
      </c>
      <c r="Y239" s="7">
        <v>9.8490000000000002</v>
      </c>
      <c r="Z239" s="7">
        <v>4.8167999999999997</v>
      </c>
      <c r="AA239" s="7">
        <v>4.9152899999999997</v>
      </c>
    </row>
    <row r="240" spans="24:27" hidden="1" x14ac:dyDescent="0.25">
      <c r="X240" s="95">
        <v>44976</v>
      </c>
      <c r="Y240" s="7">
        <v>9.8490000000000002</v>
      </c>
      <c r="Z240" s="7">
        <v>4.8167999999999997</v>
      </c>
      <c r="AA240" s="7">
        <v>4.9152899999999997</v>
      </c>
    </row>
    <row r="241" spans="24:27" hidden="1" x14ac:dyDescent="0.25">
      <c r="X241" s="95">
        <v>44977</v>
      </c>
      <c r="Y241" s="7">
        <v>9.2629999999999999</v>
      </c>
      <c r="Z241" s="7">
        <v>4.8167999999999997</v>
      </c>
      <c r="AA241" s="7">
        <v>4.9094300000000004</v>
      </c>
    </row>
    <row r="242" spans="24:27" hidden="1" x14ac:dyDescent="0.25">
      <c r="X242" s="95">
        <v>44978</v>
      </c>
      <c r="Y242" s="7">
        <v>10.334</v>
      </c>
      <c r="Z242" s="7">
        <v>4.8188000000000004</v>
      </c>
      <c r="AA242" s="7">
        <v>4.9221399999999997</v>
      </c>
    </row>
    <row r="243" spans="24:27" hidden="1" x14ac:dyDescent="0.25">
      <c r="X243" s="95">
        <v>44979</v>
      </c>
      <c r="Y243" s="7">
        <v>9.5139999999999993</v>
      </c>
      <c r="Z243" s="7">
        <v>4.8330000000000002</v>
      </c>
      <c r="AA243" s="7">
        <v>4.92814</v>
      </c>
    </row>
    <row r="244" spans="24:27" hidden="1" x14ac:dyDescent="0.25">
      <c r="X244" s="95">
        <v>44980</v>
      </c>
      <c r="Y244" s="7">
        <v>14.375999999999999</v>
      </c>
      <c r="Z244" s="7">
        <v>4.8140999999999998</v>
      </c>
      <c r="AA244" s="7">
        <v>4.9578600000000002</v>
      </c>
    </row>
    <row r="245" spans="24:27" hidden="1" x14ac:dyDescent="0.25">
      <c r="X245" s="95">
        <v>44981</v>
      </c>
      <c r="Y245" s="7">
        <v>13.603</v>
      </c>
      <c r="Z245" s="7">
        <v>4.8174000000000001</v>
      </c>
      <c r="AA245" s="7">
        <v>4.95343</v>
      </c>
    </row>
    <row r="246" spans="24:27" hidden="1" x14ac:dyDescent="0.25">
      <c r="X246" s="95">
        <v>44982</v>
      </c>
      <c r="Y246" s="7">
        <v>13.603</v>
      </c>
      <c r="Z246" s="7">
        <v>4.8174000000000001</v>
      </c>
      <c r="AA246" s="7">
        <v>4.95343</v>
      </c>
    </row>
    <row r="247" spans="24:27" hidden="1" x14ac:dyDescent="0.25">
      <c r="X247" s="95">
        <v>44983</v>
      </c>
      <c r="Y247" s="7">
        <v>13.603</v>
      </c>
      <c r="Z247" s="7">
        <v>4.8174000000000001</v>
      </c>
      <c r="AA247" s="7">
        <v>4.95343</v>
      </c>
    </row>
    <row r="248" spans="24:27" hidden="1" x14ac:dyDescent="0.25">
      <c r="X248" s="95">
        <v>44984</v>
      </c>
      <c r="Y248" s="7">
        <v>15.933</v>
      </c>
      <c r="Z248" s="7">
        <v>4.7857000000000003</v>
      </c>
      <c r="AA248" s="7">
        <v>4.9624300000000003</v>
      </c>
    </row>
    <row r="249" spans="24:27" hidden="1" x14ac:dyDescent="0.25">
      <c r="X249" s="95">
        <v>44985</v>
      </c>
      <c r="Y249" s="7">
        <v>16.34</v>
      </c>
      <c r="Z249" s="7">
        <v>4.8075999999999999</v>
      </c>
      <c r="AA249" s="7">
        <v>4.9710000000000001</v>
      </c>
    </row>
    <row r="250" spans="24:27" hidden="1" x14ac:dyDescent="0.25">
      <c r="X250" s="95">
        <v>44986</v>
      </c>
      <c r="Y250" s="7">
        <v>12.224</v>
      </c>
      <c r="Z250" s="7">
        <v>4.8589000000000002</v>
      </c>
      <c r="AA250" s="7">
        <v>4.9811399999999999</v>
      </c>
    </row>
    <row r="251" spans="24:27" hidden="1" x14ac:dyDescent="0.25">
      <c r="X251" s="95">
        <v>44987</v>
      </c>
      <c r="Y251" s="7">
        <v>13.260999999999999</v>
      </c>
      <c r="Z251" s="7">
        <v>4.8531000000000004</v>
      </c>
      <c r="AA251" s="7">
        <v>4.9857100000000001</v>
      </c>
    </row>
    <row r="252" spans="24:27" hidden="1" x14ac:dyDescent="0.25">
      <c r="X252" s="95">
        <v>44988</v>
      </c>
      <c r="Y252" s="7">
        <v>13.29</v>
      </c>
      <c r="Z252" s="7">
        <v>4.8510999999999997</v>
      </c>
      <c r="AA252" s="7">
        <v>4.984</v>
      </c>
    </row>
    <row r="253" spans="24:27" hidden="1" x14ac:dyDescent="0.25">
      <c r="X253" s="95">
        <v>44989</v>
      </c>
      <c r="Y253" s="7">
        <v>13.29</v>
      </c>
      <c r="Z253" s="7">
        <v>4.8510999999999997</v>
      </c>
      <c r="AA253" s="7">
        <v>4.984</v>
      </c>
    </row>
    <row r="254" spans="24:27" hidden="1" x14ac:dyDescent="0.25">
      <c r="X254" s="95">
        <v>44990</v>
      </c>
      <c r="Y254" s="7">
        <v>13.29</v>
      </c>
      <c r="Z254" s="7">
        <v>4.8510999999999997</v>
      </c>
      <c r="AA254" s="7">
        <v>4.984</v>
      </c>
    </row>
    <row r="255" spans="24:27" hidden="1" x14ac:dyDescent="0.25">
      <c r="X255" s="95">
        <v>44991</v>
      </c>
      <c r="Y255" s="7">
        <v>15.23</v>
      </c>
      <c r="Z255" s="7">
        <v>4.8556999999999997</v>
      </c>
      <c r="AA255" s="7">
        <v>5.008</v>
      </c>
    </row>
    <row r="256" spans="24:27" hidden="1" x14ac:dyDescent="0.25">
      <c r="X256" s="95">
        <v>44992</v>
      </c>
      <c r="Y256" s="7">
        <v>8.3010000000000002</v>
      </c>
      <c r="Z256" s="7">
        <v>4.9427000000000003</v>
      </c>
      <c r="AA256" s="7">
        <v>5.0257100000000001</v>
      </c>
    </row>
    <row r="257" spans="24:27" hidden="1" x14ac:dyDescent="0.25">
      <c r="X257" s="95">
        <v>44993</v>
      </c>
      <c r="Y257" s="7">
        <v>11.510999999999999</v>
      </c>
      <c r="Z257" s="7">
        <v>5.0095999999999998</v>
      </c>
      <c r="AA257" s="7">
        <v>5.1247100000000003</v>
      </c>
    </row>
    <row r="258" spans="24:27" hidden="1" x14ac:dyDescent="0.25">
      <c r="X258" s="95">
        <v>44994</v>
      </c>
      <c r="Y258" s="7">
        <v>16.821000000000002</v>
      </c>
      <c r="Z258" s="7">
        <v>4.9855</v>
      </c>
      <c r="AA258" s="7">
        <v>5.1537100000000002</v>
      </c>
    </row>
    <row r="259" spans="24:27" hidden="1" x14ac:dyDescent="0.25">
      <c r="X259" s="95">
        <v>44995</v>
      </c>
      <c r="Y259" s="7">
        <v>22.474</v>
      </c>
      <c r="Z259" s="7">
        <v>4.9134000000000002</v>
      </c>
      <c r="AA259" s="7">
        <v>5.1381399999999999</v>
      </c>
    </row>
    <row r="260" spans="24:27" hidden="1" x14ac:dyDescent="0.25">
      <c r="X260" s="95">
        <v>44996</v>
      </c>
      <c r="Y260" s="7">
        <v>22.474</v>
      </c>
      <c r="Z260" s="7">
        <v>4.9134000000000002</v>
      </c>
      <c r="AA260" s="7">
        <v>5.1381399999999999</v>
      </c>
    </row>
    <row r="261" spans="24:27" hidden="1" x14ac:dyDescent="0.25">
      <c r="X261" s="95">
        <v>44997</v>
      </c>
      <c r="Y261" s="7">
        <v>22.474</v>
      </c>
      <c r="Z261" s="7">
        <v>4.9134000000000002</v>
      </c>
      <c r="AA261" s="7">
        <v>5.1381399999999999</v>
      </c>
    </row>
    <row r="262" spans="24:27" hidden="1" x14ac:dyDescent="0.25">
      <c r="X262" s="95">
        <v>44998</v>
      </c>
      <c r="Y262" s="7">
        <v>7.2789999999999999</v>
      </c>
      <c r="Z262" s="7">
        <v>4.7934999999999999</v>
      </c>
      <c r="AA262" s="7">
        <v>4.8662900000000002</v>
      </c>
    </row>
    <row r="263" spans="24:27" hidden="1" x14ac:dyDescent="0.25">
      <c r="X263" s="95">
        <v>44999</v>
      </c>
      <c r="Y263" s="7">
        <v>11.78</v>
      </c>
      <c r="Z263" s="7">
        <v>4.8231999999999999</v>
      </c>
      <c r="AA263" s="7">
        <v>4.9409999999999998</v>
      </c>
    </row>
    <row r="264" spans="24:27" hidden="1" x14ac:dyDescent="0.25">
      <c r="X264" s="95">
        <v>45000</v>
      </c>
      <c r="Y264" s="7">
        <v>24.283999999999999</v>
      </c>
      <c r="Z264" s="7">
        <v>4.6642999999999999</v>
      </c>
      <c r="AA264" s="7">
        <v>4.9071400000000001</v>
      </c>
    </row>
    <row r="265" spans="24:27" hidden="1" x14ac:dyDescent="0.25">
      <c r="X265" s="95">
        <v>45001</v>
      </c>
      <c r="Y265" s="7">
        <v>30.146999999999998</v>
      </c>
      <c r="Z265" s="7">
        <v>4.6611000000000002</v>
      </c>
      <c r="AA265" s="7">
        <v>4.9625700000000004</v>
      </c>
    </row>
    <row r="266" spans="24:27" hidden="1" x14ac:dyDescent="0.25">
      <c r="X266" s="95">
        <v>45002</v>
      </c>
      <c r="Y266" s="7">
        <v>59.813000000000002</v>
      </c>
      <c r="Z266" s="7">
        <v>4.4002999999999997</v>
      </c>
      <c r="AA266" s="7">
        <v>4.9984299999999999</v>
      </c>
    </row>
    <row r="267" spans="24:27" hidden="1" x14ac:dyDescent="0.25">
      <c r="X267" s="95">
        <v>45003</v>
      </c>
      <c r="Y267" s="7">
        <v>59.813000000000002</v>
      </c>
      <c r="Z267" s="7">
        <v>4.4002999999999997</v>
      </c>
      <c r="AA267" s="7">
        <v>4.9984299999999999</v>
      </c>
    </row>
    <row r="268" spans="24:27" hidden="1" x14ac:dyDescent="0.25">
      <c r="X268" s="95">
        <v>45004</v>
      </c>
      <c r="Y268" s="7">
        <v>59.813000000000002</v>
      </c>
      <c r="Z268" s="7">
        <v>4.4002999999999997</v>
      </c>
      <c r="AA268" s="7">
        <v>4.9984299999999999</v>
      </c>
    </row>
    <row r="269" spans="24:27" hidden="1" x14ac:dyDescent="0.25">
      <c r="X269" s="95">
        <v>45005</v>
      </c>
      <c r="Y269" s="7">
        <v>35.323999999999998</v>
      </c>
      <c r="Z269" s="7">
        <v>4.5938999999999997</v>
      </c>
      <c r="AA269" s="7">
        <v>4.9471400000000001</v>
      </c>
    </row>
    <row r="270" spans="24:27" hidden="1" x14ac:dyDescent="0.25">
      <c r="X270" s="95">
        <v>45006</v>
      </c>
      <c r="Y270" s="7">
        <v>34.500999999999998</v>
      </c>
      <c r="Z270" s="7">
        <v>4.6726999999999999</v>
      </c>
      <c r="AA270" s="7">
        <v>5.0177100000000001</v>
      </c>
    </row>
    <row r="271" spans="24:27" hidden="1" x14ac:dyDescent="0.25">
      <c r="X271" s="95">
        <v>45007</v>
      </c>
      <c r="Y271" s="7">
        <v>37.159999999999997</v>
      </c>
      <c r="Z271" s="7">
        <v>4.7084000000000001</v>
      </c>
      <c r="AA271" s="7">
        <v>5.08</v>
      </c>
    </row>
    <row r="272" spans="24:27" hidden="1" x14ac:dyDescent="0.25">
      <c r="X272" s="95">
        <v>45008</v>
      </c>
      <c r="Y272" s="7">
        <v>48.301000000000002</v>
      </c>
      <c r="Z272" s="7">
        <v>4.6506999999999996</v>
      </c>
      <c r="AA272" s="7">
        <v>5.1337099999999998</v>
      </c>
    </row>
    <row r="273" spans="24:27" hidden="1" x14ac:dyDescent="0.25">
      <c r="X273" s="95">
        <v>45009</v>
      </c>
      <c r="Y273" s="7">
        <v>45.253</v>
      </c>
      <c r="Z273" s="7">
        <v>4.6489000000000003</v>
      </c>
      <c r="AA273" s="7">
        <v>5.1014299999999997</v>
      </c>
    </row>
    <row r="274" spans="24:27" hidden="1" x14ac:dyDescent="0.25">
      <c r="X274" s="95">
        <v>45010</v>
      </c>
      <c r="Y274" s="7">
        <v>45.253</v>
      </c>
      <c r="Z274" s="7">
        <v>4.6489000000000003</v>
      </c>
      <c r="AA274" s="7">
        <v>5.1014299999999997</v>
      </c>
    </row>
    <row r="275" spans="24:27" hidden="1" x14ac:dyDescent="0.25">
      <c r="X275" s="95">
        <v>45011</v>
      </c>
      <c r="Y275" s="7">
        <v>45.253</v>
      </c>
      <c r="Z275" s="7">
        <v>4.6489000000000003</v>
      </c>
      <c r="AA275" s="7">
        <v>5.1014299999999997</v>
      </c>
    </row>
    <row r="276" spans="24:27" hidden="1" x14ac:dyDescent="0.25">
      <c r="X276" s="95">
        <v>45012</v>
      </c>
      <c r="Y276" s="7">
        <v>44.554000000000002</v>
      </c>
      <c r="Z276" s="7">
        <v>4.6976000000000004</v>
      </c>
      <c r="AA276" s="7">
        <v>5.1431399999999998</v>
      </c>
    </row>
    <row r="277" spans="24:27" hidden="1" x14ac:dyDescent="0.25">
      <c r="X277" s="95">
        <v>45013</v>
      </c>
      <c r="Y277" s="7">
        <v>45.905999999999999</v>
      </c>
      <c r="Z277" s="7">
        <v>4.7038000000000002</v>
      </c>
      <c r="AA277" s="7">
        <v>5.1628600000000002</v>
      </c>
    </row>
    <row r="278" spans="24:27" hidden="1" x14ac:dyDescent="0.25">
      <c r="X278" s="95">
        <v>45014</v>
      </c>
      <c r="Y278" s="7">
        <v>39.103999999999999</v>
      </c>
      <c r="Z278" s="7">
        <v>4.7680999999999996</v>
      </c>
      <c r="AA278" s="7">
        <v>5.1591399999999998</v>
      </c>
    </row>
    <row r="279" spans="24:27" hidden="1" x14ac:dyDescent="0.25">
      <c r="X279" s="95">
        <v>45015</v>
      </c>
      <c r="Y279" s="7">
        <v>34.427</v>
      </c>
      <c r="Z279" s="7">
        <v>4.8323</v>
      </c>
      <c r="AA279" s="7">
        <v>5.1765699999999999</v>
      </c>
    </row>
    <row r="280" spans="24:27" hidden="1" x14ac:dyDescent="0.25">
      <c r="X280" s="95">
        <v>45016</v>
      </c>
      <c r="Y280" s="7">
        <v>43.750999999999998</v>
      </c>
      <c r="Z280" s="7">
        <v>4.7552000000000003</v>
      </c>
      <c r="AA280" s="7">
        <v>5.1927099999999999</v>
      </c>
    </row>
    <row r="281" spans="24:27" hidden="1" x14ac:dyDescent="0.25">
      <c r="X281" s="95">
        <v>45017</v>
      </c>
      <c r="Y281" s="7">
        <v>43.750999999999998</v>
      </c>
      <c r="Z281" s="7">
        <v>4.7552000000000003</v>
      </c>
      <c r="AA281" s="7">
        <v>5.1927099999999999</v>
      </c>
    </row>
    <row r="282" spans="24:27" hidden="1" x14ac:dyDescent="0.25">
      <c r="X282" s="95">
        <v>45018</v>
      </c>
      <c r="Y282" s="7">
        <v>43.750999999999998</v>
      </c>
      <c r="Z282" s="7">
        <v>4.7552000000000003</v>
      </c>
      <c r="AA282" s="7">
        <v>5.1927099999999999</v>
      </c>
    </row>
    <row r="283" spans="24:27" hidden="1" x14ac:dyDescent="0.25">
      <c r="X283" s="95">
        <v>45019</v>
      </c>
      <c r="Y283" s="7">
        <v>40.906999999999996</v>
      </c>
      <c r="Z283" s="7">
        <v>4.7624000000000004</v>
      </c>
      <c r="AA283" s="7">
        <v>5.2225700000000002</v>
      </c>
    </row>
    <row r="284" spans="24:27" hidden="1" x14ac:dyDescent="0.25">
      <c r="X284" s="95">
        <v>45020</v>
      </c>
      <c r="Y284" s="7">
        <v>41.905999999999999</v>
      </c>
      <c r="Z284" s="7">
        <v>4.7998000000000003</v>
      </c>
      <c r="AA284" s="7">
        <v>5.2188600000000003</v>
      </c>
    </row>
    <row r="285" spans="24:27" hidden="1" x14ac:dyDescent="0.25">
      <c r="X285" s="95">
        <v>45021</v>
      </c>
      <c r="Y285" s="7">
        <v>38.06</v>
      </c>
      <c r="Z285" s="7">
        <v>4.8356000000000003</v>
      </c>
      <c r="AA285" s="7">
        <v>5.2110000000000003</v>
      </c>
    </row>
    <row r="286" spans="24:27" hidden="1" x14ac:dyDescent="0.25">
      <c r="X286" s="95">
        <v>45022</v>
      </c>
      <c r="Y286" s="7">
        <v>33.436</v>
      </c>
      <c r="Z286" s="7">
        <v>4.8635000000000002</v>
      </c>
      <c r="AA286" s="7">
        <v>5.1978600000000004</v>
      </c>
    </row>
    <row r="287" spans="24:27" hidden="1" x14ac:dyDescent="0.25">
      <c r="X287" s="95">
        <v>45023</v>
      </c>
      <c r="Y287" s="7">
        <v>33.375999999999998</v>
      </c>
      <c r="Z287" s="7">
        <v>4.8640999999999996</v>
      </c>
      <c r="AA287" s="7">
        <v>5.1978600000000004</v>
      </c>
    </row>
    <row r="288" spans="24:27" hidden="1" x14ac:dyDescent="0.25">
      <c r="X288" s="95">
        <v>45024</v>
      </c>
      <c r="Y288" s="7">
        <v>33.375999999999998</v>
      </c>
      <c r="Z288" s="7">
        <v>4.8640999999999996</v>
      </c>
      <c r="AA288" s="7">
        <v>5.1978600000000004</v>
      </c>
    </row>
    <row r="289" spans="24:27" hidden="1" x14ac:dyDescent="0.25">
      <c r="X289" s="95">
        <v>45025</v>
      </c>
      <c r="Y289" s="7">
        <v>33.375999999999998</v>
      </c>
      <c r="Z289" s="7">
        <v>4.8640999999999996</v>
      </c>
      <c r="AA289" s="7">
        <v>5.1978600000000004</v>
      </c>
    </row>
    <row r="290" spans="24:27" hidden="1" x14ac:dyDescent="0.25">
      <c r="X290" s="95">
        <v>45026</v>
      </c>
      <c r="Y290" s="7">
        <v>20.466000000000001</v>
      </c>
      <c r="Z290" s="7">
        <v>4.9931999999999999</v>
      </c>
      <c r="AA290" s="7">
        <v>5.1978600000000004</v>
      </c>
    </row>
    <row r="291" spans="24:27" hidden="1" x14ac:dyDescent="0.25">
      <c r="X291" s="95">
        <v>45027</v>
      </c>
      <c r="Y291" s="7">
        <v>25.466999999999999</v>
      </c>
      <c r="Z291" s="7">
        <v>4.9869000000000003</v>
      </c>
      <c r="AA291" s="7">
        <v>5.2415700000000003</v>
      </c>
    </row>
    <row r="292" spans="24:27" hidden="1" x14ac:dyDescent="0.25">
      <c r="X292" s="95">
        <v>45028</v>
      </c>
      <c r="Y292" s="7">
        <v>22.869</v>
      </c>
      <c r="Z292" s="7">
        <v>5.0225999999999997</v>
      </c>
      <c r="AA292" s="7">
        <v>5.25129</v>
      </c>
    </row>
    <row r="293" spans="24:27" hidden="1" x14ac:dyDescent="0.25">
      <c r="X293" s="95">
        <v>45029</v>
      </c>
      <c r="Y293" s="7">
        <v>25.399000000000001</v>
      </c>
      <c r="Z293" s="7">
        <v>5.0063000000000004</v>
      </c>
      <c r="AA293" s="7">
        <v>5.2602900000000004</v>
      </c>
    </row>
    <row r="294" spans="24:27" hidden="1" x14ac:dyDescent="0.25">
      <c r="X294" s="95">
        <v>45030</v>
      </c>
      <c r="Y294" s="7">
        <v>20.041</v>
      </c>
      <c r="Z294" s="7">
        <v>5.0613000000000001</v>
      </c>
      <c r="AA294" s="7">
        <v>5.2617099999999999</v>
      </c>
    </row>
    <row r="295" spans="24:27" hidden="1" x14ac:dyDescent="0.25">
      <c r="X295" s="95">
        <v>45031</v>
      </c>
      <c r="Y295" s="7">
        <v>20.041</v>
      </c>
      <c r="Z295" s="7">
        <v>5.0613000000000001</v>
      </c>
      <c r="AA295" s="7">
        <v>5.2617099999999999</v>
      </c>
    </row>
    <row r="296" spans="24:27" hidden="1" x14ac:dyDescent="0.25">
      <c r="X296" s="95">
        <v>45032</v>
      </c>
      <c r="Y296" s="7">
        <v>20.041</v>
      </c>
      <c r="Z296" s="7">
        <v>5.0613000000000001</v>
      </c>
      <c r="AA296" s="7">
        <v>5.2617099999999999</v>
      </c>
    </row>
    <row r="297" spans="24:27" hidden="1" x14ac:dyDescent="0.25">
      <c r="X297" s="95">
        <v>45033</v>
      </c>
      <c r="Y297" s="7">
        <v>19.399999999999999</v>
      </c>
      <c r="Z297" s="7">
        <v>5.0709999999999997</v>
      </c>
      <c r="AA297" s="7">
        <v>5.2649999999999997</v>
      </c>
    </row>
    <row r="298" spans="24:27" hidden="1" x14ac:dyDescent="0.25">
      <c r="X298" s="95">
        <v>45034</v>
      </c>
      <c r="Y298" s="7">
        <v>12.573</v>
      </c>
      <c r="Z298" s="7">
        <v>5.1246999999999998</v>
      </c>
      <c r="AA298" s="7">
        <v>5.2504299999999997</v>
      </c>
    </row>
    <row r="299" spans="24:27" hidden="1" x14ac:dyDescent="0.25">
      <c r="X299" s="95">
        <v>45035</v>
      </c>
      <c r="Y299" s="7">
        <v>13.493</v>
      </c>
      <c r="Z299" s="7">
        <v>5.1265000000000001</v>
      </c>
      <c r="AA299" s="7">
        <v>5.2614299999999998</v>
      </c>
    </row>
    <row r="300" spans="24:27" hidden="1" x14ac:dyDescent="0.25">
      <c r="X300" s="95">
        <v>45036</v>
      </c>
      <c r="Y300" s="7">
        <v>18.850999999999999</v>
      </c>
      <c r="Z300" s="7">
        <v>5.0842000000000001</v>
      </c>
      <c r="AA300" s="7">
        <v>5.27271</v>
      </c>
    </row>
    <row r="301" spans="24:27" hidden="1" x14ac:dyDescent="0.25">
      <c r="X301" s="95">
        <v>45037</v>
      </c>
      <c r="Y301" s="7">
        <v>18.084</v>
      </c>
      <c r="Z301" s="7">
        <v>5.0846999999999998</v>
      </c>
      <c r="AA301" s="7">
        <v>5.2551399999999999</v>
      </c>
    </row>
    <row r="302" spans="24:27" hidden="1" x14ac:dyDescent="0.25">
      <c r="X302" s="95">
        <v>45038</v>
      </c>
      <c r="Y302" s="7">
        <v>18.084</v>
      </c>
      <c r="Z302" s="7">
        <v>5.0846999999999998</v>
      </c>
      <c r="AA302" s="7">
        <v>5.2551399999999999</v>
      </c>
    </row>
    <row r="303" spans="24:27" hidden="1" x14ac:dyDescent="0.25">
      <c r="X303" s="95">
        <v>45039</v>
      </c>
      <c r="Y303" s="7">
        <v>18.084</v>
      </c>
      <c r="Z303" s="7">
        <v>5.0846999999999998</v>
      </c>
      <c r="AA303" s="7">
        <v>5.2551399999999999</v>
      </c>
    </row>
    <row r="304" spans="24:27" hidden="1" x14ac:dyDescent="0.25">
      <c r="X304" s="95">
        <v>45040</v>
      </c>
      <c r="Y304" s="7">
        <v>24.904</v>
      </c>
      <c r="Z304" s="7">
        <v>5.0190999999999999</v>
      </c>
      <c r="AA304" s="7">
        <v>5.2681399999999998</v>
      </c>
    </row>
    <row r="305" spans="24:27" hidden="1" x14ac:dyDescent="0.25">
      <c r="X305" s="95">
        <v>45041</v>
      </c>
      <c r="Y305" s="7">
        <v>24.486999999999998</v>
      </c>
      <c r="Z305" s="7">
        <v>5.0467000000000004</v>
      </c>
      <c r="AA305" s="7">
        <v>5.2915700000000001</v>
      </c>
    </row>
    <row r="306" spans="24:27" hidden="1" x14ac:dyDescent="0.25">
      <c r="X306" s="95">
        <v>45042</v>
      </c>
      <c r="Y306" s="7">
        <v>14.101000000000001</v>
      </c>
      <c r="Z306" s="7">
        <v>5.1317000000000004</v>
      </c>
      <c r="AA306" s="7">
        <v>5.27271</v>
      </c>
    </row>
    <row r="307" spans="24:27" hidden="1" x14ac:dyDescent="0.25">
      <c r="X307" s="95">
        <v>45043</v>
      </c>
      <c r="Y307" s="7">
        <v>13.954000000000001</v>
      </c>
      <c r="Z307" s="7">
        <v>5.1596000000000002</v>
      </c>
      <c r="AA307" s="7">
        <v>5.2991400000000004</v>
      </c>
    </row>
    <row r="308" spans="24:27" hidden="1" x14ac:dyDescent="0.25">
      <c r="X308" s="95">
        <v>45044</v>
      </c>
      <c r="Y308" s="7">
        <v>24.113</v>
      </c>
      <c r="Z308" s="7">
        <v>5.0613000000000001</v>
      </c>
      <c r="AA308" s="7">
        <v>5.3024300000000002</v>
      </c>
    </row>
    <row r="309" spans="24:27" hidden="1" x14ac:dyDescent="0.25">
      <c r="X309" s="95">
        <v>45045</v>
      </c>
      <c r="Y309" s="7">
        <v>24.113</v>
      </c>
      <c r="Z309" s="7">
        <v>5.0613000000000001</v>
      </c>
      <c r="AA309" s="7">
        <v>5.3024300000000002</v>
      </c>
    </row>
    <row r="310" spans="24:27" hidden="1" x14ac:dyDescent="0.25">
      <c r="X310" s="95">
        <v>45046</v>
      </c>
      <c r="Y310" s="7">
        <v>24.113</v>
      </c>
      <c r="Z310" s="7">
        <v>5.0613000000000001</v>
      </c>
      <c r="AA310" s="7">
        <v>5.3024300000000002</v>
      </c>
    </row>
    <row r="311" spans="24:27" hidden="1" x14ac:dyDescent="0.25">
      <c r="X311" s="95">
        <v>45047</v>
      </c>
      <c r="Y311" s="7">
        <v>27.033000000000001</v>
      </c>
      <c r="Z311" s="7">
        <v>5.0320999999999998</v>
      </c>
      <c r="AA311" s="7">
        <v>5.3024300000000002</v>
      </c>
    </row>
    <row r="312" spans="24:27" hidden="1" x14ac:dyDescent="0.25">
      <c r="X312" s="95">
        <v>45048</v>
      </c>
      <c r="Y312" s="7">
        <v>19.079000000000001</v>
      </c>
      <c r="Z312" s="7">
        <v>5.1455000000000002</v>
      </c>
      <c r="AA312" s="7">
        <v>5.33629</v>
      </c>
    </row>
    <row r="313" spans="24:27" hidden="1" x14ac:dyDescent="0.25">
      <c r="X313" s="95">
        <v>45049</v>
      </c>
      <c r="Y313" s="7">
        <v>11.388999999999999</v>
      </c>
      <c r="Z313" s="7">
        <v>5.2123999999999997</v>
      </c>
      <c r="AA313" s="7">
        <v>5.3262900000000002</v>
      </c>
    </row>
    <row r="314" spans="24:27" hidden="1" x14ac:dyDescent="0.25">
      <c r="X314" s="95">
        <v>45050</v>
      </c>
      <c r="Y314" s="7">
        <v>9.391</v>
      </c>
      <c r="Z314" s="7">
        <v>5.2298</v>
      </c>
      <c r="AA314" s="7">
        <v>5.3237100000000002</v>
      </c>
    </row>
    <row r="315" spans="24:27" hidden="1" x14ac:dyDescent="0.25">
      <c r="X315" s="95">
        <v>45051</v>
      </c>
      <c r="Y315" s="7">
        <v>11.186</v>
      </c>
      <c r="Z315" s="7">
        <v>5.2249999999999996</v>
      </c>
      <c r="AA315" s="7">
        <v>5.3368599999999997</v>
      </c>
    </row>
    <row r="316" spans="24:27" hidden="1" x14ac:dyDescent="0.25">
      <c r="X316" s="95">
        <v>45052</v>
      </c>
      <c r="Y316" s="7">
        <v>11.186</v>
      </c>
      <c r="Z316" s="7">
        <v>5.2249999999999996</v>
      </c>
      <c r="AA316" s="7">
        <v>5.3368599999999997</v>
      </c>
    </row>
    <row r="317" spans="24:27" hidden="1" x14ac:dyDescent="0.25">
      <c r="X317" s="95">
        <v>45053</v>
      </c>
      <c r="Y317" s="7">
        <v>11.186</v>
      </c>
      <c r="Z317" s="7">
        <v>5.2249999999999996</v>
      </c>
      <c r="AA317" s="7">
        <v>5.3368599999999997</v>
      </c>
    </row>
    <row r="318" spans="24:27" hidden="1" x14ac:dyDescent="0.25">
      <c r="X318" s="95">
        <v>45054</v>
      </c>
      <c r="Y318" s="7">
        <v>10.736000000000001</v>
      </c>
      <c r="Z318" s="7">
        <v>5.2294999999999998</v>
      </c>
      <c r="AA318" s="7">
        <v>5.3368599999999997</v>
      </c>
    </row>
    <row r="319" spans="24:27" hidden="1" x14ac:dyDescent="0.25">
      <c r="X319" s="95">
        <v>45055</v>
      </c>
      <c r="Y319" s="7">
        <v>12.084</v>
      </c>
      <c r="Z319" s="7">
        <v>5.2183000000000002</v>
      </c>
      <c r="AA319" s="7">
        <v>5.3391400000000004</v>
      </c>
    </row>
    <row r="320" spans="24:27" hidden="1" x14ac:dyDescent="0.25">
      <c r="X320" s="95">
        <v>45056</v>
      </c>
      <c r="Y320" s="7">
        <v>11.702999999999999</v>
      </c>
      <c r="Z320" s="7">
        <v>5.2253999999999996</v>
      </c>
      <c r="AA320" s="7">
        <v>5.3424300000000002</v>
      </c>
    </row>
    <row r="321" spans="24:27" hidden="1" x14ac:dyDescent="0.25">
      <c r="X321" s="95">
        <v>45057</v>
      </c>
      <c r="Y321" s="7">
        <v>15.331</v>
      </c>
      <c r="Z321" s="7">
        <v>5.1673999999999998</v>
      </c>
      <c r="AA321" s="7">
        <v>5.3207100000000001</v>
      </c>
    </row>
    <row r="322" spans="24:27" hidden="1" x14ac:dyDescent="0.25">
      <c r="X322" s="95">
        <v>45058</v>
      </c>
      <c r="Y322" s="7">
        <v>14.009</v>
      </c>
      <c r="Z322" s="7">
        <v>5.1782000000000004</v>
      </c>
      <c r="AA322" s="7">
        <v>5.3182900000000002</v>
      </c>
    </row>
    <row r="323" spans="24:27" hidden="1" x14ac:dyDescent="0.25">
      <c r="X323" s="95">
        <v>45059</v>
      </c>
      <c r="Y323" s="7">
        <v>14.009</v>
      </c>
      <c r="Z323" s="7">
        <v>5.1782000000000004</v>
      </c>
      <c r="AA323" s="7">
        <v>5.3182900000000002</v>
      </c>
    </row>
    <row r="324" spans="24:27" hidden="1" x14ac:dyDescent="0.25">
      <c r="X324" s="95">
        <v>45060</v>
      </c>
      <c r="Y324" s="7">
        <v>14.009</v>
      </c>
      <c r="Z324" s="7">
        <v>5.1782000000000004</v>
      </c>
      <c r="AA324" s="7">
        <v>5.3182900000000002</v>
      </c>
    </row>
    <row r="325" spans="24:27" hidden="1" x14ac:dyDescent="0.25">
      <c r="X325" s="95">
        <v>45061</v>
      </c>
      <c r="Y325" s="7">
        <v>18.672999999999998</v>
      </c>
      <c r="Z325" s="7">
        <v>5.1436999999999999</v>
      </c>
      <c r="AA325" s="7">
        <v>5.3304299999999998</v>
      </c>
    </row>
    <row r="326" spans="24:27" hidden="1" x14ac:dyDescent="0.25">
      <c r="X326" s="95">
        <v>45062</v>
      </c>
      <c r="Y326" s="7">
        <v>17.623999999999999</v>
      </c>
      <c r="Z326" s="7">
        <v>5.1688999999999998</v>
      </c>
      <c r="AA326" s="7">
        <v>5.3451399999999998</v>
      </c>
    </row>
    <row r="327" spans="24:27" hidden="1" x14ac:dyDescent="0.25">
      <c r="X327" s="95">
        <v>45063</v>
      </c>
      <c r="Y327" s="7">
        <v>13.58</v>
      </c>
      <c r="Z327" s="7">
        <v>5.2332000000000001</v>
      </c>
      <c r="AA327" s="7">
        <v>5.3689999999999998</v>
      </c>
    </row>
    <row r="328" spans="24:27" hidden="1" x14ac:dyDescent="0.25">
      <c r="X328" s="95">
        <v>45064</v>
      </c>
      <c r="Y328" s="7">
        <v>14.414</v>
      </c>
      <c r="Z328" s="7">
        <v>5.2350000000000003</v>
      </c>
      <c r="AA328" s="7">
        <v>5.3791399999999996</v>
      </c>
    </row>
    <row r="329" spans="24:27" hidden="1" x14ac:dyDescent="0.25">
      <c r="X329" s="95">
        <v>45065</v>
      </c>
      <c r="Y329" s="7">
        <v>14.691000000000001</v>
      </c>
      <c r="Z329" s="7">
        <v>5.2458</v>
      </c>
      <c r="AA329" s="7">
        <v>5.3927100000000001</v>
      </c>
    </row>
    <row r="330" spans="24:27" hidden="1" x14ac:dyDescent="0.25">
      <c r="X330" s="95">
        <v>45066</v>
      </c>
      <c r="Y330" s="7">
        <v>14.691000000000001</v>
      </c>
      <c r="Z330" s="7">
        <v>5.2458</v>
      </c>
      <c r="AA330" s="7">
        <v>5.3927100000000001</v>
      </c>
    </row>
    <row r="331" spans="24:27" hidden="1" x14ac:dyDescent="0.25">
      <c r="X331" s="95">
        <v>45067</v>
      </c>
      <c r="Y331" s="7">
        <v>14.691000000000001</v>
      </c>
      <c r="Z331" s="7">
        <v>5.2458</v>
      </c>
      <c r="AA331" s="7">
        <v>5.3927100000000001</v>
      </c>
    </row>
    <row r="332" spans="24:27" hidden="1" x14ac:dyDescent="0.25">
      <c r="X332" s="95">
        <v>45068</v>
      </c>
      <c r="Y332" s="7">
        <v>12.191000000000001</v>
      </c>
      <c r="Z332" s="7">
        <v>5.2527999999999997</v>
      </c>
      <c r="AA332" s="7">
        <v>5.3747100000000003</v>
      </c>
    </row>
    <row r="333" spans="24:27" hidden="1" x14ac:dyDescent="0.25">
      <c r="X333" s="95">
        <v>45069</v>
      </c>
      <c r="Y333" s="7">
        <v>12.555999999999999</v>
      </c>
      <c r="Z333" s="7">
        <v>5.2702999999999998</v>
      </c>
      <c r="AA333" s="7">
        <v>5.3958599999999999</v>
      </c>
    </row>
    <row r="334" spans="24:27" hidden="1" x14ac:dyDescent="0.25">
      <c r="X334" s="95">
        <v>45070</v>
      </c>
      <c r="Y334" s="7">
        <v>7.673</v>
      </c>
      <c r="Z334" s="7">
        <v>5.3476999999999997</v>
      </c>
      <c r="AA334" s="7">
        <v>5.4244300000000001</v>
      </c>
    </row>
    <row r="335" spans="24:27" hidden="1" x14ac:dyDescent="0.25">
      <c r="X335" s="95">
        <v>45071</v>
      </c>
      <c r="Y335" s="7">
        <v>15.534000000000001</v>
      </c>
      <c r="Z335" s="7">
        <v>5.3078000000000003</v>
      </c>
      <c r="AA335" s="7">
        <v>5.4631400000000001</v>
      </c>
    </row>
    <row r="336" spans="24:27" hidden="1" x14ac:dyDescent="0.25">
      <c r="X336" s="95">
        <v>45072</v>
      </c>
      <c r="Y336" s="7">
        <v>20.731000000000002</v>
      </c>
      <c r="Z336" s="7">
        <v>5.2683999999999997</v>
      </c>
      <c r="AA336" s="7">
        <v>5.4757100000000003</v>
      </c>
    </row>
    <row r="337" spans="24:27" hidden="1" x14ac:dyDescent="0.25">
      <c r="X337" s="95">
        <v>45073</v>
      </c>
      <c r="Y337" s="7">
        <v>20.731000000000002</v>
      </c>
      <c r="Z337" s="7">
        <v>5.2683999999999997</v>
      </c>
      <c r="AA337" s="7">
        <v>5.4757100000000003</v>
      </c>
    </row>
    <row r="338" spans="24:27" hidden="1" x14ac:dyDescent="0.25">
      <c r="X338" s="95">
        <v>45074</v>
      </c>
      <c r="Y338" s="7">
        <v>20.731000000000002</v>
      </c>
      <c r="Z338" s="7">
        <v>5.2683999999999997</v>
      </c>
      <c r="AA338" s="7">
        <v>5.4757100000000003</v>
      </c>
    </row>
    <row r="339" spans="24:27" hidden="1" x14ac:dyDescent="0.25">
      <c r="X339" s="95">
        <v>45075</v>
      </c>
      <c r="Y339" s="7">
        <v>20.731000000000002</v>
      </c>
      <c r="Z339" s="7">
        <v>5.2683999999999997</v>
      </c>
      <c r="AA339" s="7">
        <v>5.4757100000000003</v>
      </c>
    </row>
    <row r="340" spans="24:27" hidden="1" x14ac:dyDescent="0.25">
      <c r="X340" s="95">
        <v>45076</v>
      </c>
      <c r="Y340" s="7">
        <v>23.1</v>
      </c>
      <c r="Z340" s="7">
        <v>5.2649999999999997</v>
      </c>
      <c r="AA340" s="7">
        <v>5.4960000000000004</v>
      </c>
    </row>
    <row r="341" spans="24:27" hidden="1" x14ac:dyDescent="0.25">
      <c r="X341" s="95">
        <v>45077</v>
      </c>
      <c r="Y341" s="7">
        <v>11.000999999999999</v>
      </c>
      <c r="Z341" s="7">
        <v>5.4066999999999998</v>
      </c>
      <c r="AA341" s="7">
        <v>5.5167099999999998</v>
      </c>
    </row>
    <row r="342" spans="24:27" hidden="1" x14ac:dyDescent="0.25">
      <c r="X342" s="95">
        <v>45078</v>
      </c>
      <c r="Y342" s="7">
        <v>12.137</v>
      </c>
      <c r="Z342" s="7">
        <v>5.3772000000000002</v>
      </c>
      <c r="AA342" s="7">
        <v>5.49857</v>
      </c>
    </row>
    <row r="343" spans="24:27" hidden="1" x14ac:dyDescent="0.25">
      <c r="X343" s="95">
        <v>45079</v>
      </c>
      <c r="Y343" s="7">
        <v>12.148999999999999</v>
      </c>
      <c r="Z343" s="7">
        <v>5.3747999999999996</v>
      </c>
      <c r="AA343" s="7">
        <v>5.4962900000000001</v>
      </c>
    </row>
    <row r="344" spans="24:27" hidden="1" x14ac:dyDescent="0.25">
      <c r="X344" s="95">
        <v>45080</v>
      </c>
      <c r="Y344" s="7">
        <v>12.148999999999999</v>
      </c>
      <c r="Z344" s="7">
        <v>5.3747999999999996</v>
      </c>
      <c r="AA344" s="7">
        <v>5.4962900000000001</v>
      </c>
    </row>
    <row r="345" spans="24:27" hidden="1" x14ac:dyDescent="0.25">
      <c r="X345" s="95">
        <v>45081</v>
      </c>
      <c r="Y345" s="7">
        <v>12.148999999999999</v>
      </c>
      <c r="Z345" s="7">
        <v>5.3747999999999996</v>
      </c>
      <c r="AA345" s="7">
        <v>5.4962900000000001</v>
      </c>
    </row>
    <row r="346" spans="24:27" hidden="1" x14ac:dyDescent="0.25">
      <c r="X346" s="95">
        <v>45082</v>
      </c>
      <c r="Y346" s="7">
        <v>21.334</v>
      </c>
      <c r="Z346" s="7">
        <v>5.2957999999999998</v>
      </c>
      <c r="AA346" s="7">
        <v>5.5091400000000004</v>
      </c>
    </row>
    <row r="347" spans="24:27" hidden="1" x14ac:dyDescent="0.25">
      <c r="X347" s="95">
        <v>45083</v>
      </c>
      <c r="Y347" s="7">
        <v>23.779</v>
      </c>
      <c r="Z347" s="7">
        <v>5.2755000000000001</v>
      </c>
      <c r="AA347" s="7">
        <v>5.5132899999999996</v>
      </c>
    </row>
    <row r="348" spans="24:27" hidden="1" x14ac:dyDescent="0.25">
      <c r="X348" s="95">
        <v>45084</v>
      </c>
      <c r="Y348" s="7">
        <v>21.686</v>
      </c>
      <c r="Z348" s="7">
        <v>5.2930000000000001</v>
      </c>
      <c r="AA348" s="7">
        <v>5.5098599999999998</v>
      </c>
    </row>
    <row r="349" spans="24:27" hidden="1" x14ac:dyDescent="0.25">
      <c r="X349" s="95">
        <v>45085</v>
      </c>
      <c r="Y349" s="7">
        <v>29.690999999999999</v>
      </c>
      <c r="Z349" s="7">
        <v>5.2427999999999999</v>
      </c>
      <c r="AA349" s="7">
        <v>5.5397100000000004</v>
      </c>
    </row>
    <row r="350" spans="24:27" hidden="1" x14ac:dyDescent="0.25">
      <c r="X350" s="95">
        <v>45086</v>
      </c>
      <c r="Y350" s="7">
        <v>29.603000000000002</v>
      </c>
      <c r="Z350" s="7">
        <v>5.2484000000000002</v>
      </c>
      <c r="AA350" s="7">
        <v>5.5444300000000002</v>
      </c>
    </row>
    <row r="351" spans="24:27" hidden="1" x14ac:dyDescent="0.25">
      <c r="X351" s="95">
        <v>45087</v>
      </c>
      <c r="Y351" s="7">
        <v>29.603000000000002</v>
      </c>
      <c r="Z351" s="7">
        <v>5.2484000000000002</v>
      </c>
      <c r="AA351" s="7">
        <v>5.5444300000000002</v>
      </c>
    </row>
    <row r="352" spans="24:27" hidden="1" x14ac:dyDescent="0.25">
      <c r="X352" s="95">
        <v>45088</v>
      </c>
      <c r="Y352" s="7">
        <v>29.603000000000002</v>
      </c>
      <c r="Z352" s="7">
        <v>5.2484000000000002</v>
      </c>
      <c r="AA352" s="7">
        <v>5.5444300000000002</v>
      </c>
    </row>
    <row r="353" spans="24:27" hidden="1" x14ac:dyDescent="0.25">
      <c r="X353" s="95">
        <v>45089</v>
      </c>
      <c r="Y353" s="7">
        <v>33.323</v>
      </c>
      <c r="Z353" s="7">
        <v>5.2241999999999997</v>
      </c>
      <c r="AA353" s="7">
        <v>5.5574300000000001</v>
      </c>
    </row>
    <row r="354" spans="24:27" hidden="1" x14ac:dyDescent="0.25">
      <c r="X354" s="95">
        <v>45090</v>
      </c>
      <c r="Y354" s="7">
        <v>32.46</v>
      </c>
      <c r="Z354" s="7">
        <v>5.2274000000000003</v>
      </c>
      <c r="AA354" s="7">
        <v>5.5519999999999996</v>
      </c>
    </row>
    <row r="355" spans="24:27" hidden="1" x14ac:dyDescent="0.25">
      <c r="X355" s="95">
        <v>45091</v>
      </c>
      <c r="Y355" s="7">
        <v>25.832999999999998</v>
      </c>
      <c r="Z355" s="7">
        <v>5.2500999999999998</v>
      </c>
      <c r="AA355" s="7">
        <v>5.5084299999999997</v>
      </c>
    </row>
    <row r="356" spans="24:27" hidden="1" x14ac:dyDescent="0.25">
      <c r="X356" s="95">
        <v>45092</v>
      </c>
      <c r="Y356" s="7">
        <v>29.821000000000002</v>
      </c>
      <c r="Z356" s="7">
        <v>5.2154999999999996</v>
      </c>
      <c r="AA356" s="7">
        <v>5.5137099999999997</v>
      </c>
    </row>
    <row r="357" spans="24:27" hidden="1" x14ac:dyDescent="0.25">
      <c r="X357" s="95">
        <v>45093</v>
      </c>
      <c r="Y357" s="7">
        <v>28.37</v>
      </c>
      <c r="Z357" s="7">
        <v>5.2263000000000002</v>
      </c>
      <c r="AA357" s="7">
        <v>5.51</v>
      </c>
    </row>
    <row r="358" spans="24:27" hidden="1" x14ac:dyDescent="0.25">
      <c r="X358" s="95">
        <v>45094</v>
      </c>
      <c r="Y358" s="7">
        <v>28.37</v>
      </c>
      <c r="Z358" s="7">
        <v>5.2263000000000002</v>
      </c>
      <c r="AA358" s="7">
        <v>5.51</v>
      </c>
    </row>
    <row r="359" spans="24:27" hidden="1" x14ac:dyDescent="0.25">
      <c r="X359" s="95">
        <v>45095</v>
      </c>
      <c r="Y359" s="7">
        <v>28.37</v>
      </c>
      <c r="Z359" s="7">
        <v>5.2263000000000002</v>
      </c>
      <c r="AA359" s="7">
        <v>5.51</v>
      </c>
    </row>
    <row r="360" spans="24:27" hidden="1" x14ac:dyDescent="0.25">
      <c r="X360" s="95">
        <v>45096</v>
      </c>
      <c r="Y360" s="7">
        <v>28.798999999999999</v>
      </c>
      <c r="Z360" s="7">
        <v>5.2263000000000002</v>
      </c>
      <c r="AA360" s="7">
        <v>5.5142899999999999</v>
      </c>
    </row>
    <row r="361" spans="24:27" hidden="1" x14ac:dyDescent="0.25">
      <c r="X361" s="95">
        <v>45097</v>
      </c>
      <c r="Y361" s="7">
        <v>28.248999999999999</v>
      </c>
      <c r="Z361" s="7">
        <v>5.2378</v>
      </c>
      <c r="AA361" s="7">
        <v>5.5202900000000001</v>
      </c>
    </row>
    <row r="362" spans="24:27" hidden="1" x14ac:dyDescent="0.25">
      <c r="X362" s="95">
        <v>45098</v>
      </c>
      <c r="Y362" s="7">
        <v>24.247</v>
      </c>
      <c r="Z362" s="7">
        <v>5.2971000000000004</v>
      </c>
      <c r="AA362" s="7">
        <v>5.5395700000000003</v>
      </c>
    </row>
    <row r="363" spans="24:27" hidden="1" x14ac:dyDescent="0.25">
      <c r="X363" s="95">
        <v>45099</v>
      </c>
      <c r="Y363" s="7">
        <v>25.076000000000001</v>
      </c>
      <c r="Z363" s="7">
        <v>5.2911000000000001</v>
      </c>
      <c r="AA363" s="7">
        <v>5.5418599999999998</v>
      </c>
    </row>
    <row r="364" spans="24:27" hidden="1" x14ac:dyDescent="0.25">
      <c r="X364" s="95">
        <v>45100</v>
      </c>
      <c r="Y364" s="7">
        <v>24.234000000000002</v>
      </c>
      <c r="Z364" s="7">
        <v>5.3018000000000001</v>
      </c>
      <c r="AA364" s="7">
        <v>5.5441399999999996</v>
      </c>
    </row>
    <row r="365" spans="24:27" hidden="1" x14ac:dyDescent="0.25">
      <c r="X365" s="95">
        <v>45101</v>
      </c>
      <c r="Y365" s="7">
        <v>24.234000000000002</v>
      </c>
      <c r="Z365" s="7">
        <v>5.3018000000000001</v>
      </c>
      <c r="AA365" s="7">
        <v>5.5441399999999996</v>
      </c>
    </row>
    <row r="366" spans="24:27" hidden="1" x14ac:dyDescent="0.25">
      <c r="X366" s="95">
        <v>45102</v>
      </c>
      <c r="Y366" s="7">
        <v>24.234000000000002</v>
      </c>
      <c r="Z366" s="7">
        <v>5.3018000000000001</v>
      </c>
      <c r="AA366" s="7">
        <v>5.5441399999999996</v>
      </c>
    </row>
    <row r="367" spans="24:27" hidden="1" x14ac:dyDescent="0.25">
      <c r="X367" s="95">
        <v>45103</v>
      </c>
      <c r="Y367" s="7">
        <v>20.95</v>
      </c>
      <c r="Z367" s="7">
        <v>5.3114999999999997</v>
      </c>
      <c r="AA367" s="7">
        <v>5.5209999999999999</v>
      </c>
    </row>
    <row r="368" spans="24:27" hidden="1" x14ac:dyDescent="0.25">
      <c r="X368" s="95">
        <v>45104</v>
      </c>
      <c r="Y368" s="7">
        <v>23.091000000000001</v>
      </c>
      <c r="Z368" s="7">
        <v>5.2977999999999996</v>
      </c>
      <c r="AA368" s="7">
        <v>5.5287100000000002</v>
      </c>
    </row>
    <row r="369" spans="24:27" hidden="1" x14ac:dyDescent="0.25">
      <c r="X369" s="95">
        <v>45105</v>
      </c>
      <c r="Y369" s="7">
        <v>19.905999999999999</v>
      </c>
      <c r="Z369" s="7">
        <v>5.3388</v>
      </c>
      <c r="AA369" s="7">
        <v>5.5378600000000002</v>
      </c>
    </row>
    <row r="370" spans="24:27" hidden="1" x14ac:dyDescent="0.25">
      <c r="X370" s="95">
        <v>45106</v>
      </c>
      <c r="Y370" s="7">
        <v>18.492999999999999</v>
      </c>
      <c r="Z370" s="7">
        <v>5.3484999999999996</v>
      </c>
      <c r="AA370" s="7">
        <v>5.5334300000000001</v>
      </c>
    </row>
    <row r="371" spans="24:27" hidden="1" x14ac:dyDescent="0.25">
      <c r="X371" s="95">
        <v>45107</v>
      </c>
      <c r="Y371" s="7">
        <v>23.062999999999999</v>
      </c>
      <c r="Z371" s="7">
        <v>5.3148</v>
      </c>
      <c r="AA371" s="7">
        <v>5.5454299999999996</v>
      </c>
    </row>
    <row r="372" spans="24:27" hidden="1" x14ac:dyDescent="0.25">
      <c r="X372" s="7">
        <v>43606</v>
      </c>
      <c r="Y372" s="7">
        <v>13.67</v>
      </c>
      <c r="Z372" s="7">
        <v>2.3868</v>
      </c>
      <c r="AA372" s="7">
        <v>2.5234999999999999</v>
      </c>
    </row>
  </sheetData>
  <mergeCells count="15">
    <mergeCell ref="O12:P12"/>
    <mergeCell ref="O13:P13"/>
    <mergeCell ref="O14:P14"/>
    <mergeCell ref="O16:P16"/>
    <mergeCell ref="O7:P7"/>
    <mergeCell ref="O8:P8"/>
    <mergeCell ref="O9:P9"/>
    <mergeCell ref="O10:P10"/>
    <mergeCell ref="O11:P11"/>
    <mergeCell ref="O15:P15"/>
    <mergeCell ref="O21:P21"/>
    <mergeCell ref="O17:P17"/>
    <mergeCell ref="O18:P18"/>
    <mergeCell ref="O19:P19"/>
    <mergeCell ref="O20:P20"/>
  </mergeCells>
  <phoneticPr fontId="1" type="noConversion"/>
  <pageMargins left="0.31496062992125984" right="0.31496062992125984" top="0.35433070866141736" bottom="0.35433070866141736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세계주요증시 및 상품시세</vt:lpstr>
      <vt:lpstr>해외주요금리동향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cp:lastPrinted>2015-08-27T06:27:24Z</cp:lastPrinted>
  <dcterms:created xsi:type="dcterms:W3CDTF">2015-08-25T04:56:25Z</dcterms:created>
  <dcterms:modified xsi:type="dcterms:W3CDTF">2023-08-17T23:48:12Z</dcterms:modified>
</cp:coreProperties>
</file>