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trlProps/ctrlProp15.xml" ContentType="application/vnd.ms-excel.controlproperties+xml"/>
  <Override PartName="/xl/ctrlProps/ctrlProp9.xml" ContentType="application/vnd.ms-excel.control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volatileDependencies.xml" ContentType="application/vnd.openxmlformats-officedocument.spreadsheetml.volatileDependencies+xml"/>
  <Override PartName="/xl/ctrlProps/ctrlProp14.xml" ContentType="application/vnd.ms-excel.controlproperties+xml"/>
  <Override PartName="/xl/ctrlProps/ctrlProp13.xml" ContentType="application/vnd.ms-excel.controlproperties+xml"/>
  <Override PartName="/xl/ctrlProps/ctrlProp8.xml" ContentType="application/vnd.ms-excel.controlproperties+xml"/>
  <Override PartName="/xl/ctrlProps/ctrlProp7.xml" ContentType="application/vnd.ms-excel.control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ctrlProps/ctrlProp5.xml" ContentType="application/vnd.ms-excel.controlproperties+xml"/>
  <Override PartName="/xl/ctrlProps/ctrlProp12.xml" ContentType="application/vnd.ms-excel.controlproperties+xml"/>
  <Override PartName="/xl/ctrlProps/ctrlProp6.xml" ContentType="application/vnd.ms-excel.controlproperties+xml"/>
  <Override PartName="/xl/ctrlProps/ctrlProp11.xml" ContentType="application/vnd.ms-excel.controlproperties+xml"/>
  <Override PartName="/xl/sharedStrings.xml" ContentType="application/vnd.openxmlformats-officedocument.spreadsheetml.sharedStrings+xml"/>
  <Override PartName="/xl/ctrlProps/ctrlProp10.xml" ContentType="application/vnd.ms-excel.controlproperties+xml"/>
  <Override PartName="/xl/ctrlProps/ctrlProp4.xml" ContentType="application/vnd.ms-excel.controlproperties+xml"/>
  <Override PartName="/xl/ctrlProps/ctrlProp3.xml" ContentType="application/vnd.ms-excel.controlproperties+xml"/>
  <Override PartName="/xl/metadata.xml" ContentType="application/vnd.openxmlformats-officedocument.spreadsheetml.sheetMetadata+xml"/>
  <Override PartName="/xl/ctrlProps/ctrlProp2.xml" ContentType="application/vnd.ms-excel.controlproperties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현재_통합_문서" defaultThemeVersion="124226"/>
  <bookViews>
    <workbookView xWindow="510" yWindow="465" windowWidth="27615" windowHeight="13995" tabRatio="941"/>
  </bookViews>
  <sheets>
    <sheet name="daily monitor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/>
  <c r="AB350" l="1"/>
  <c r="AA350"/>
  <c r="AB349"/>
  <c r="AB348"/>
  <c r="AB347"/>
  <c r="AB346"/>
  <c r="AB345"/>
  <c r="AB344"/>
  <c r="AB343"/>
  <c r="AB342"/>
  <c r="AB341"/>
  <c r="AB340"/>
  <c r="AB339"/>
  <c r="AB338"/>
  <c r="AB337"/>
  <c r="AB336"/>
  <c r="AB335"/>
  <c r="AB334"/>
  <c r="AB333"/>
  <c r="AB332"/>
  <c r="AB331"/>
  <c r="AB330"/>
  <c r="AB329"/>
  <c r="AB328"/>
  <c r="AB327"/>
  <c r="AB326"/>
  <c r="AB325"/>
  <c r="AB324"/>
  <c r="AB323"/>
  <c r="AB322"/>
  <c r="AB321"/>
  <c r="AB320"/>
  <c r="AB319"/>
  <c r="AB318"/>
  <c r="AB317"/>
  <c r="AB316"/>
  <c r="AB315"/>
  <c r="AB314"/>
  <c r="AB313"/>
  <c r="AB312"/>
  <c r="AB311"/>
  <c r="AB310"/>
  <c r="AB309"/>
  <c r="AB308"/>
  <c r="AB307"/>
  <c r="AB306"/>
  <c r="AB305"/>
  <c r="AB304"/>
  <c r="AB303"/>
  <c r="AB302"/>
  <c r="AB301"/>
  <c r="AB300"/>
  <c r="AB299"/>
  <c r="AB298"/>
  <c r="AB297"/>
  <c r="AB296"/>
  <c r="AB295"/>
  <c r="AB294"/>
  <c r="AB293"/>
  <c r="AB292"/>
  <c r="AB291"/>
  <c r="AB290"/>
  <c r="AB289"/>
  <c r="AB288"/>
  <c r="AB287"/>
  <c r="AB286"/>
  <c r="AB285"/>
  <c r="AB284"/>
  <c r="AB283"/>
  <c r="AB282"/>
  <c r="AB281"/>
  <c r="AB280"/>
  <c r="AB279"/>
  <c r="AB278"/>
  <c r="AB277"/>
  <c r="AB276"/>
  <c r="AB275"/>
  <c r="AB274"/>
  <c r="AB273"/>
  <c r="AB272"/>
  <c r="AB271"/>
  <c r="AB270"/>
  <c r="AB269"/>
  <c r="AB268"/>
  <c r="AB267"/>
  <c r="AB266"/>
  <c r="AB265"/>
  <c r="AB264"/>
  <c r="AB263"/>
  <c r="AB262"/>
  <c r="AB261"/>
  <c r="AB260"/>
  <c r="AB259"/>
  <c r="AB258"/>
  <c r="AB257"/>
  <c r="AB256"/>
  <c r="AB255"/>
  <c r="AB254"/>
  <c r="AB253"/>
  <c r="AB252"/>
  <c r="AB251"/>
  <c r="AB250"/>
  <c r="AB249"/>
  <c r="AB248"/>
  <c r="AB247"/>
  <c r="AB246"/>
  <c r="AB245"/>
  <c r="AB244"/>
  <c r="AB243"/>
  <c r="AB242"/>
  <c r="AB241"/>
  <c r="AB240"/>
  <c r="AB239"/>
  <c r="AB238"/>
  <c r="AB237"/>
  <c r="AB236"/>
  <c r="AB235"/>
  <c r="AB234"/>
  <c r="AB233"/>
  <c r="AB232"/>
  <c r="AB231"/>
  <c r="AB230"/>
  <c r="AB229"/>
  <c r="AB228"/>
  <c r="AB227"/>
  <c r="AB226"/>
  <c r="AB225"/>
  <c r="AB224"/>
  <c r="AB223"/>
  <c r="AB222"/>
  <c r="AB221"/>
  <c r="AB220"/>
  <c r="AB219"/>
  <c r="AB218"/>
  <c r="AB217"/>
  <c r="AB216"/>
  <c r="AB215"/>
  <c r="AB214"/>
  <c r="AB213"/>
  <c r="AB212"/>
  <c r="AB211"/>
  <c r="AB210"/>
  <c r="AB209"/>
  <c r="AB208"/>
  <c r="AB207"/>
  <c r="AB206"/>
  <c r="AB205"/>
  <c r="AB204"/>
  <c r="AB203"/>
  <c r="AB202"/>
  <c r="AB201"/>
  <c r="AB200"/>
  <c r="AB199"/>
  <c r="AB198"/>
  <c r="AB197"/>
  <c r="AB196"/>
  <c r="AB195"/>
  <c r="AB194"/>
  <c r="AB193"/>
  <c r="AB192"/>
  <c r="AB191"/>
  <c r="AB190"/>
  <c r="AB189"/>
  <c r="AB188"/>
  <c r="AB187"/>
  <c r="AB186"/>
  <c r="AB185"/>
  <c r="AB184"/>
  <c r="AB183"/>
  <c r="AB182"/>
  <c r="AB181"/>
  <c r="AB180"/>
  <c r="AB179"/>
  <c r="AB178"/>
  <c r="AB177"/>
  <c r="AB176"/>
  <c r="AB175"/>
  <c r="AB174"/>
  <c r="AB173"/>
  <c r="AB172"/>
  <c r="AB171"/>
  <c r="AB170"/>
  <c r="AB169"/>
  <c r="AB168"/>
  <c r="AB167"/>
  <c r="AB166"/>
  <c r="AB165"/>
  <c r="AB164"/>
  <c r="AB163"/>
  <c r="AB162"/>
  <c r="AB161"/>
  <c r="AB160"/>
  <c r="AB159"/>
  <c r="AB158"/>
  <c r="AB157"/>
  <c r="AB156"/>
  <c r="AB155"/>
  <c r="AB154"/>
  <c r="AB153"/>
  <c r="AB152"/>
  <c r="AB151"/>
  <c r="AB150"/>
  <c r="AB149"/>
  <c r="AB148"/>
  <c r="AB147"/>
  <c r="AB146"/>
  <c r="AB145"/>
  <c r="AB144"/>
  <c r="AB143"/>
  <c r="AB142"/>
  <c r="AB141"/>
  <c r="AB140"/>
  <c r="AB139"/>
  <c r="AB138"/>
  <c r="AB137"/>
  <c r="AB136"/>
  <c r="AB135"/>
  <c r="AB134"/>
  <c r="AB133"/>
  <c r="AB132"/>
  <c r="AB131"/>
  <c r="AB130"/>
  <c r="AB129"/>
  <c r="AB128"/>
  <c r="AB127"/>
  <c r="AB126"/>
  <c r="AB125"/>
  <c r="AB124"/>
  <c r="AB123"/>
  <c r="AB122"/>
  <c r="AB121"/>
  <c r="AB120"/>
  <c r="AB119"/>
  <c r="AB118"/>
  <c r="AB117"/>
  <c r="AB116"/>
  <c r="AB115"/>
  <c r="AB114"/>
  <c r="AB113"/>
  <c r="AB112"/>
  <c r="AB111"/>
  <c r="AB110"/>
  <c r="AB109"/>
  <c r="AB108"/>
  <c r="AB107"/>
  <c r="AB106"/>
  <c r="AB105"/>
  <c r="AB104"/>
  <c r="AB103"/>
  <c r="AB102"/>
  <c r="AB101"/>
  <c r="V98"/>
  <c r="U98"/>
  <c r="T98"/>
  <c r="S98"/>
  <c r="Q98"/>
  <c r="I36" l="1"/>
  <c r="H36"/>
  <c r="G36"/>
  <c r="F36"/>
  <c r="E36"/>
  <c r="E42" l="1"/>
  <c r="F42" s="1"/>
  <c r="G42" s="1"/>
  <c r="H42" s="1"/>
  <c r="I42" s="1"/>
  <c r="E40"/>
  <c r="F40" s="1"/>
  <c r="G40" s="1"/>
  <c r="H40" s="1"/>
  <c r="I40" s="1"/>
  <c r="E39"/>
  <c r="F39" s="1"/>
  <c r="G39" s="1"/>
  <c r="H39" s="1"/>
  <c r="I39" s="1"/>
  <c r="E41"/>
  <c r="F41" s="1"/>
  <c r="G41" s="1"/>
  <c r="H41" s="1"/>
  <c r="I41" s="1"/>
  <c r="E38"/>
  <c r="F38" s="1"/>
  <c r="G38" s="1"/>
  <c r="H38" s="1"/>
  <c r="I38" s="1"/>
  <c r="E37"/>
  <c r="F37" s="1"/>
  <c r="G37" s="1"/>
  <c r="H37" s="1"/>
  <c r="I37" s="1"/>
  <c r="E43"/>
  <c r="F43" s="1"/>
  <c r="G43" s="1"/>
  <c r="H43" s="1"/>
  <c r="I43" s="1"/>
  <c r="X101"/>
  <c r="I4"/>
  <c r="I35" s="1"/>
  <c r="F47"/>
  <c r="G47"/>
  <c r="H47"/>
  <c r="I47"/>
  <c r="E47"/>
  <c r="F49"/>
  <c r="AK98" s="1"/>
  <c r="G49"/>
  <c r="AL98" s="1"/>
  <c r="H49"/>
  <c r="AM98" s="1"/>
  <c r="I49"/>
  <c r="AN98" s="1"/>
  <c r="E49"/>
  <c r="AI98" s="1"/>
  <c r="F50"/>
  <c r="G50"/>
  <c r="H50"/>
  <c r="I50"/>
  <c r="E50"/>
  <c r="F48"/>
  <c r="G48"/>
  <c r="H48"/>
  <c r="I48"/>
  <c r="E48"/>
  <c r="W101"/>
  <c r="Y101"/>
  <c r="Z101"/>
  <c r="AA101"/>
  <c r="W102"/>
  <c r="X102"/>
  <c r="Y102"/>
  <c r="Z102"/>
  <c r="AA102"/>
  <c r="W103"/>
  <c r="X103"/>
  <c r="Y103"/>
  <c r="Z103"/>
  <c r="AA103"/>
  <c r="W104"/>
  <c r="X104"/>
  <c r="Y104"/>
  <c r="Z104"/>
  <c r="AA104"/>
  <c r="W105"/>
  <c r="X105"/>
  <c r="Y105"/>
  <c r="Z105"/>
  <c r="AA105"/>
  <c r="W106"/>
  <c r="X106"/>
  <c r="Y106"/>
  <c r="Z106"/>
  <c r="AA106"/>
  <c r="W107"/>
  <c r="X107"/>
  <c r="Y107"/>
  <c r="Z107"/>
  <c r="AA107"/>
  <c r="W108"/>
  <c r="X108"/>
  <c r="Y108"/>
  <c r="Z108"/>
  <c r="AA108"/>
  <c r="W109"/>
  <c r="X109"/>
  <c r="Y109"/>
  <c r="Z109"/>
  <c r="AA109"/>
  <c r="W110"/>
  <c r="X110"/>
  <c r="Y110"/>
  <c r="Z110"/>
  <c r="AA110"/>
  <c r="W111"/>
  <c r="X111"/>
  <c r="Y111"/>
  <c r="Z111"/>
  <c r="AA111"/>
  <c r="W112"/>
  <c r="X112"/>
  <c r="Y112"/>
  <c r="Z112"/>
  <c r="AA112"/>
  <c r="W113"/>
  <c r="X113"/>
  <c r="Y113"/>
  <c r="Z113"/>
  <c r="AA113"/>
  <c r="W114"/>
  <c r="X114"/>
  <c r="Y114"/>
  <c r="Z114"/>
  <c r="AA114"/>
  <c r="W115"/>
  <c r="X115"/>
  <c r="Y115"/>
  <c r="Z115"/>
  <c r="AA115"/>
  <c r="W116"/>
  <c r="X116"/>
  <c r="Y116"/>
  <c r="Z116"/>
  <c r="AA116"/>
  <c r="W117"/>
  <c r="X117"/>
  <c r="Y117"/>
  <c r="Z117"/>
  <c r="AA117"/>
  <c r="W118"/>
  <c r="X118"/>
  <c r="Y118"/>
  <c r="Z118"/>
  <c r="AA118"/>
  <c r="W119"/>
  <c r="X119"/>
  <c r="Y119"/>
  <c r="Z119"/>
  <c r="AA119"/>
  <c r="W120"/>
  <c r="X120"/>
  <c r="Y120"/>
  <c r="Z120"/>
  <c r="AA120"/>
  <c r="W121"/>
  <c r="X121"/>
  <c r="Y121"/>
  <c r="Z121"/>
  <c r="AA121"/>
  <c r="W122"/>
  <c r="X122"/>
  <c r="Y122"/>
  <c r="Z122"/>
  <c r="AA122"/>
  <c r="W123"/>
  <c r="X123"/>
  <c r="Y123"/>
  <c r="Z123"/>
  <c r="AA123"/>
  <c r="W124"/>
  <c r="X124"/>
  <c r="Y124"/>
  <c r="Z124"/>
  <c r="AA124"/>
  <c r="W125"/>
  <c r="X125"/>
  <c r="Y125"/>
  <c r="Z125"/>
  <c r="AA125"/>
  <c r="W126"/>
  <c r="X126"/>
  <c r="Y126"/>
  <c r="Z126"/>
  <c r="AA126"/>
  <c r="W127"/>
  <c r="X127"/>
  <c r="Y127"/>
  <c r="Z127"/>
  <c r="AA127"/>
  <c r="W128"/>
  <c r="X128"/>
  <c r="Y128"/>
  <c r="Z128"/>
  <c r="AA128"/>
  <c r="W129"/>
  <c r="X129"/>
  <c r="Y129"/>
  <c r="Z129"/>
  <c r="AA129"/>
  <c r="W130"/>
  <c r="X130"/>
  <c r="Y130"/>
  <c r="Z130"/>
  <c r="AA130"/>
  <c r="W131"/>
  <c r="X131"/>
  <c r="Y131"/>
  <c r="Z131"/>
  <c r="AA131"/>
  <c r="W132"/>
  <c r="X132"/>
  <c r="Y132"/>
  <c r="Z132"/>
  <c r="AA132"/>
  <c r="W133"/>
  <c r="X133"/>
  <c r="Y133"/>
  <c r="Z133"/>
  <c r="AA133"/>
  <c r="W134"/>
  <c r="X134"/>
  <c r="Y134"/>
  <c r="Z134"/>
  <c r="AA134"/>
  <c r="W135"/>
  <c r="X135"/>
  <c r="Y135"/>
  <c r="Z135"/>
  <c r="AA135"/>
  <c r="W136"/>
  <c r="X136"/>
  <c r="Y136"/>
  <c r="Z136"/>
  <c r="AA136"/>
  <c r="W137"/>
  <c r="X137"/>
  <c r="Y137"/>
  <c r="Z137"/>
  <c r="AA137"/>
  <c r="W138"/>
  <c r="X138"/>
  <c r="Y138"/>
  <c r="Z138"/>
  <c r="AA138"/>
  <c r="W139"/>
  <c r="X139"/>
  <c r="Y139"/>
  <c r="Z139"/>
  <c r="AA139"/>
  <c r="W140"/>
  <c r="X140"/>
  <c r="Y140"/>
  <c r="Z140"/>
  <c r="AA140"/>
  <c r="W141"/>
  <c r="X141"/>
  <c r="Y141"/>
  <c r="Z141"/>
  <c r="AA141"/>
  <c r="W142"/>
  <c r="X142"/>
  <c r="Y142"/>
  <c r="Z142"/>
  <c r="AA142"/>
  <c r="W143"/>
  <c r="X143"/>
  <c r="Y143"/>
  <c r="Z143"/>
  <c r="AA143"/>
  <c r="W144"/>
  <c r="X144"/>
  <c r="Y144"/>
  <c r="Z144"/>
  <c r="AA144"/>
  <c r="W145"/>
  <c r="X145"/>
  <c r="Y145"/>
  <c r="Z145"/>
  <c r="AA145"/>
  <c r="W146"/>
  <c r="X146"/>
  <c r="Y146"/>
  <c r="Z146"/>
  <c r="AA146"/>
  <c r="W147"/>
  <c r="X147"/>
  <c r="Y147"/>
  <c r="Z147"/>
  <c r="AA147"/>
  <c r="W148"/>
  <c r="X148"/>
  <c r="Y148"/>
  <c r="Z148"/>
  <c r="AA148"/>
  <c r="W149"/>
  <c r="X149"/>
  <c r="Y149"/>
  <c r="Z149"/>
  <c r="AA149"/>
  <c r="W150"/>
  <c r="X150"/>
  <c r="Y150"/>
  <c r="Z150"/>
  <c r="AA150"/>
  <c r="W151"/>
  <c r="X151"/>
  <c r="Y151"/>
  <c r="Z151"/>
  <c r="AA151"/>
  <c r="W152"/>
  <c r="X152"/>
  <c r="Y152"/>
  <c r="Z152"/>
  <c r="AA152"/>
  <c r="W153"/>
  <c r="X153"/>
  <c r="Y153"/>
  <c r="Z153"/>
  <c r="AA153"/>
  <c r="W154"/>
  <c r="X154"/>
  <c r="Y154"/>
  <c r="Z154"/>
  <c r="AA154"/>
  <c r="W155"/>
  <c r="X155"/>
  <c r="Y155"/>
  <c r="Z155"/>
  <c r="AA155"/>
  <c r="W156"/>
  <c r="X156"/>
  <c r="Y156"/>
  <c r="Z156"/>
  <c r="AA156"/>
  <c r="W157"/>
  <c r="X157"/>
  <c r="Y157"/>
  <c r="Z157"/>
  <c r="AA157"/>
  <c r="W158"/>
  <c r="X158"/>
  <c r="Y158"/>
  <c r="Z158"/>
  <c r="AA158"/>
  <c r="W159"/>
  <c r="X159"/>
  <c r="Y159"/>
  <c r="Z159"/>
  <c r="AA159"/>
  <c r="W160"/>
  <c r="X160"/>
  <c r="Y160"/>
  <c r="Z160"/>
  <c r="AA160"/>
  <c r="W161"/>
  <c r="X161"/>
  <c r="Y161"/>
  <c r="Z161"/>
  <c r="AA161"/>
  <c r="W162"/>
  <c r="X162"/>
  <c r="Y162"/>
  <c r="Z162"/>
  <c r="AA162"/>
  <c r="W163"/>
  <c r="X163"/>
  <c r="Y163"/>
  <c r="Z163"/>
  <c r="AA163"/>
  <c r="W164"/>
  <c r="X164"/>
  <c r="Y164"/>
  <c r="Z164"/>
  <c r="AA164"/>
  <c r="W165"/>
  <c r="X165"/>
  <c r="Y165"/>
  <c r="Z165"/>
  <c r="AA165"/>
  <c r="W166"/>
  <c r="X166"/>
  <c r="Y166"/>
  <c r="Z166"/>
  <c r="AA166"/>
  <c r="W167"/>
  <c r="X167"/>
  <c r="Y167"/>
  <c r="Z167"/>
  <c r="AA167"/>
  <c r="W168"/>
  <c r="X168"/>
  <c r="Y168"/>
  <c r="Z168"/>
  <c r="AA168"/>
  <c r="W169"/>
  <c r="X169"/>
  <c r="Y169"/>
  <c r="Z169"/>
  <c r="AA169"/>
  <c r="W170"/>
  <c r="X170"/>
  <c r="Y170"/>
  <c r="Z170"/>
  <c r="AA170"/>
  <c r="W171"/>
  <c r="X171"/>
  <c r="Y171"/>
  <c r="Z171"/>
  <c r="AA171"/>
  <c r="W172"/>
  <c r="X172"/>
  <c r="Y172"/>
  <c r="Z172"/>
  <c r="AA172"/>
  <c r="W173"/>
  <c r="X173"/>
  <c r="Y173"/>
  <c r="Z173"/>
  <c r="AA173"/>
  <c r="W174"/>
  <c r="X174"/>
  <c r="Y174"/>
  <c r="Z174"/>
  <c r="AA174"/>
  <c r="W175"/>
  <c r="X175"/>
  <c r="Y175"/>
  <c r="Z175"/>
  <c r="AA175"/>
  <c r="W176"/>
  <c r="X176"/>
  <c r="Y176"/>
  <c r="Z176"/>
  <c r="AA176"/>
  <c r="W177"/>
  <c r="X177"/>
  <c r="Y177"/>
  <c r="Z177"/>
  <c r="AA177"/>
  <c r="W178"/>
  <c r="X178"/>
  <c r="Y178"/>
  <c r="Z178"/>
  <c r="AA178"/>
  <c r="W179"/>
  <c r="X179"/>
  <c r="Y179"/>
  <c r="Z179"/>
  <c r="AA179"/>
  <c r="W180"/>
  <c r="X180"/>
  <c r="Y180"/>
  <c r="Z180"/>
  <c r="AA180"/>
  <c r="W181"/>
  <c r="X181"/>
  <c r="Y181"/>
  <c r="Z181"/>
  <c r="AA181"/>
  <c r="W182"/>
  <c r="X182"/>
  <c r="Y182"/>
  <c r="Z182"/>
  <c r="AA182"/>
  <c r="W183"/>
  <c r="X183"/>
  <c r="Y183"/>
  <c r="Z183"/>
  <c r="AA183"/>
  <c r="W184"/>
  <c r="X184"/>
  <c r="Y184"/>
  <c r="Z184"/>
  <c r="AA184"/>
  <c r="W185"/>
  <c r="X185"/>
  <c r="Y185"/>
  <c r="Z185"/>
  <c r="AA185"/>
  <c r="W186"/>
  <c r="X186"/>
  <c r="Y186"/>
  <c r="Z186"/>
  <c r="AA186"/>
  <c r="W187"/>
  <c r="X187"/>
  <c r="Y187"/>
  <c r="Z187"/>
  <c r="AA187"/>
  <c r="W188"/>
  <c r="X188"/>
  <c r="Y188"/>
  <c r="Z188"/>
  <c r="AA188"/>
  <c r="W189"/>
  <c r="X189"/>
  <c r="Y189"/>
  <c r="Z189"/>
  <c r="AA189"/>
  <c r="W190"/>
  <c r="X190"/>
  <c r="Y190"/>
  <c r="Z190"/>
  <c r="AA190"/>
  <c r="W191"/>
  <c r="X191"/>
  <c r="Y191"/>
  <c r="Z191"/>
  <c r="AA191"/>
  <c r="W192"/>
  <c r="X192"/>
  <c r="Y192"/>
  <c r="Z192"/>
  <c r="AA192"/>
  <c r="W193"/>
  <c r="X193"/>
  <c r="Y193"/>
  <c r="Z193"/>
  <c r="AA193"/>
  <c r="W194"/>
  <c r="X194"/>
  <c r="Y194"/>
  <c r="Z194"/>
  <c r="AA194"/>
  <c r="W195"/>
  <c r="X195"/>
  <c r="Y195"/>
  <c r="Z195"/>
  <c r="AA195"/>
  <c r="W196"/>
  <c r="X196"/>
  <c r="Y196"/>
  <c r="Z196"/>
  <c r="AA196"/>
  <c r="W197"/>
  <c r="X197"/>
  <c r="Y197"/>
  <c r="Z197"/>
  <c r="AA197"/>
  <c r="W198"/>
  <c r="X198"/>
  <c r="Y198"/>
  <c r="Z198"/>
  <c r="AA198"/>
  <c r="W199"/>
  <c r="X199"/>
  <c r="Y199"/>
  <c r="Z199"/>
  <c r="AA199"/>
  <c r="W200"/>
  <c r="X200"/>
  <c r="Y200"/>
  <c r="Z200"/>
  <c r="AA200"/>
  <c r="W201"/>
  <c r="X201"/>
  <c r="Y201"/>
  <c r="Z201"/>
  <c r="AA201"/>
  <c r="W202"/>
  <c r="X202"/>
  <c r="Y202"/>
  <c r="Z202"/>
  <c r="AA202"/>
  <c r="W203"/>
  <c r="X203"/>
  <c r="Y203"/>
  <c r="Z203"/>
  <c r="AA203"/>
  <c r="W204"/>
  <c r="X204"/>
  <c r="Y204"/>
  <c r="Z204"/>
  <c r="AA204"/>
  <c r="W205"/>
  <c r="X205"/>
  <c r="Y205"/>
  <c r="Z205"/>
  <c r="AA205"/>
  <c r="W206"/>
  <c r="X206"/>
  <c r="Y206"/>
  <c r="Z206"/>
  <c r="AA206"/>
  <c r="W207"/>
  <c r="X207"/>
  <c r="Y207"/>
  <c r="Z207"/>
  <c r="AA207"/>
  <c r="W208"/>
  <c r="X208"/>
  <c r="Y208"/>
  <c r="Z208"/>
  <c r="AA208"/>
  <c r="W209"/>
  <c r="X209"/>
  <c r="Y209"/>
  <c r="Z209"/>
  <c r="AA209"/>
  <c r="W210"/>
  <c r="X210"/>
  <c r="Y210"/>
  <c r="Z210"/>
  <c r="AA210"/>
  <c r="W211"/>
  <c r="X211"/>
  <c r="Y211"/>
  <c r="Z211"/>
  <c r="AA211"/>
  <c r="W212"/>
  <c r="X212"/>
  <c r="Y212"/>
  <c r="Z212"/>
  <c r="AA212"/>
  <c r="W213"/>
  <c r="X213"/>
  <c r="Y213"/>
  <c r="Z213"/>
  <c r="AA213"/>
  <c r="W214"/>
  <c r="X214"/>
  <c r="Y214"/>
  <c r="Z214"/>
  <c r="AA214"/>
  <c r="W215"/>
  <c r="X215"/>
  <c r="Y215"/>
  <c r="Z215"/>
  <c r="AA215"/>
  <c r="W216"/>
  <c r="X216"/>
  <c r="Y216"/>
  <c r="Z216"/>
  <c r="AA216"/>
  <c r="W217"/>
  <c r="X217"/>
  <c r="Y217"/>
  <c r="Z217"/>
  <c r="AA217"/>
  <c r="W218"/>
  <c r="X218"/>
  <c r="Y218"/>
  <c r="Z218"/>
  <c r="AA218"/>
  <c r="W219"/>
  <c r="X219"/>
  <c r="Y219"/>
  <c r="Z219"/>
  <c r="AA219"/>
  <c r="W220"/>
  <c r="X220"/>
  <c r="Y220"/>
  <c r="Z220"/>
  <c r="AA220"/>
  <c r="W221"/>
  <c r="X221"/>
  <c r="Y221"/>
  <c r="Z221"/>
  <c r="AA221"/>
  <c r="W222"/>
  <c r="X222"/>
  <c r="Y222"/>
  <c r="Z222"/>
  <c r="AA222"/>
  <c r="W223"/>
  <c r="X223"/>
  <c r="Y223"/>
  <c r="Z223"/>
  <c r="AA223"/>
  <c r="W224"/>
  <c r="X224"/>
  <c r="Y224"/>
  <c r="Z224"/>
  <c r="AA224"/>
  <c r="W225"/>
  <c r="X225"/>
  <c r="Y225"/>
  <c r="Z225"/>
  <c r="AA225"/>
  <c r="W226"/>
  <c r="X226"/>
  <c r="Y226"/>
  <c r="Z226"/>
  <c r="AA226"/>
  <c r="W227"/>
  <c r="X227"/>
  <c r="Y227"/>
  <c r="Z227"/>
  <c r="AA227"/>
  <c r="W228"/>
  <c r="X228"/>
  <c r="Y228"/>
  <c r="Z228"/>
  <c r="AA228"/>
  <c r="W229"/>
  <c r="X229"/>
  <c r="Y229"/>
  <c r="Z229"/>
  <c r="AA229"/>
  <c r="W230"/>
  <c r="X230"/>
  <c r="Y230"/>
  <c r="Z230"/>
  <c r="AA230"/>
  <c r="W231"/>
  <c r="X231"/>
  <c r="Y231"/>
  <c r="Z231"/>
  <c r="AA231"/>
  <c r="W232"/>
  <c r="X232"/>
  <c r="Y232"/>
  <c r="Z232"/>
  <c r="AA232"/>
  <c r="W233"/>
  <c r="X233"/>
  <c r="Y233"/>
  <c r="Z233"/>
  <c r="AA233"/>
  <c r="W234"/>
  <c r="X234"/>
  <c r="Y234"/>
  <c r="Z234"/>
  <c r="AA234"/>
  <c r="W235"/>
  <c r="X235"/>
  <c r="Y235"/>
  <c r="Z235"/>
  <c r="AA235"/>
  <c r="W236"/>
  <c r="X236"/>
  <c r="Y236"/>
  <c r="Z236"/>
  <c r="AA236"/>
  <c r="W237"/>
  <c r="X237"/>
  <c r="Y237"/>
  <c r="Z237"/>
  <c r="AA237"/>
  <c r="W238"/>
  <c r="X238"/>
  <c r="Y238"/>
  <c r="Z238"/>
  <c r="AA238"/>
  <c r="W239"/>
  <c r="X239"/>
  <c r="Y239"/>
  <c r="Z239"/>
  <c r="AA239"/>
  <c r="W240"/>
  <c r="X240"/>
  <c r="Y240"/>
  <c r="Z240"/>
  <c r="AA240"/>
  <c r="W241"/>
  <c r="X241"/>
  <c r="Y241"/>
  <c r="Z241"/>
  <c r="AA241"/>
  <c r="W242"/>
  <c r="X242"/>
  <c r="Y242"/>
  <c r="Z242"/>
  <c r="AA242"/>
  <c r="W243"/>
  <c r="X243"/>
  <c r="Y243"/>
  <c r="Z243"/>
  <c r="AA243"/>
  <c r="W244"/>
  <c r="X244"/>
  <c r="Y244"/>
  <c r="Z244"/>
  <c r="AA244"/>
  <c r="W245"/>
  <c r="X245"/>
  <c r="Y245"/>
  <c r="Z245"/>
  <c r="AA245"/>
  <c r="W246"/>
  <c r="X246"/>
  <c r="Y246"/>
  <c r="Z246"/>
  <c r="AA246"/>
  <c r="W247"/>
  <c r="X247"/>
  <c r="Y247"/>
  <c r="Z247"/>
  <c r="AA247"/>
  <c r="W248"/>
  <c r="X248"/>
  <c r="Y248"/>
  <c r="Z248"/>
  <c r="AA248"/>
  <c r="W249"/>
  <c r="X249"/>
  <c r="Y249"/>
  <c r="Z249"/>
  <c r="AA249"/>
  <c r="W250"/>
  <c r="X250"/>
  <c r="Y250"/>
  <c r="Z250"/>
  <c r="AA250"/>
  <c r="W251"/>
  <c r="X251"/>
  <c r="Y251"/>
  <c r="Z251"/>
  <c r="AA251"/>
  <c r="W252"/>
  <c r="X252"/>
  <c r="Y252"/>
  <c r="Z252"/>
  <c r="AA252"/>
  <c r="W253"/>
  <c r="X253"/>
  <c r="Y253"/>
  <c r="Z253"/>
  <c r="AA253"/>
  <c r="W254"/>
  <c r="X254"/>
  <c r="Y254"/>
  <c r="Z254"/>
  <c r="AA254"/>
  <c r="W255"/>
  <c r="X255"/>
  <c r="Y255"/>
  <c r="Z255"/>
  <c r="AA255"/>
  <c r="W256"/>
  <c r="X256"/>
  <c r="Y256"/>
  <c r="Z256"/>
  <c r="AA256"/>
  <c r="W257"/>
  <c r="X257"/>
  <c r="Y257"/>
  <c r="Z257"/>
  <c r="AA257"/>
  <c r="W258"/>
  <c r="X258"/>
  <c r="Y258"/>
  <c r="Z258"/>
  <c r="AA258"/>
  <c r="W259"/>
  <c r="X259"/>
  <c r="Y259"/>
  <c r="Z259"/>
  <c r="AA259"/>
  <c r="W260"/>
  <c r="X260"/>
  <c r="Y260"/>
  <c r="Z260"/>
  <c r="AA260"/>
  <c r="W261"/>
  <c r="X261"/>
  <c r="Y261"/>
  <c r="Z261"/>
  <c r="AA261"/>
  <c r="W262"/>
  <c r="X262"/>
  <c r="Y262"/>
  <c r="Z262"/>
  <c r="AA262"/>
  <c r="W263"/>
  <c r="X263"/>
  <c r="Y263"/>
  <c r="Z263"/>
  <c r="AA263"/>
  <c r="W264"/>
  <c r="X264"/>
  <c r="Y264"/>
  <c r="Z264"/>
  <c r="AA264"/>
  <c r="W265"/>
  <c r="X265"/>
  <c r="Y265"/>
  <c r="Z265"/>
  <c r="AA265"/>
  <c r="W266"/>
  <c r="X266"/>
  <c r="Y266"/>
  <c r="Z266"/>
  <c r="AA266"/>
  <c r="W267"/>
  <c r="X267"/>
  <c r="Y267"/>
  <c r="Z267"/>
  <c r="AA267"/>
  <c r="W268"/>
  <c r="X268"/>
  <c r="Y268"/>
  <c r="Z268"/>
  <c r="AA268"/>
  <c r="W269"/>
  <c r="X269"/>
  <c r="Y269"/>
  <c r="Z269"/>
  <c r="AA269"/>
  <c r="W270"/>
  <c r="X270"/>
  <c r="Y270"/>
  <c r="Z270"/>
  <c r="AA270"/>
  <c r="W271"/>
  <c r="X271"/>
  <c r="Y271"/>
  <c r="Z271"/>
  <c r="AA271"/>
  <c r="W272"/>
  <c r="X272"/>
  <c r="Y272"/>
  <c r="Z272"/>
  <c r="AA272"/>
  <c r="W273"/>
  <c r="X273"/>
  <c r="Y273"/>
  <c r="Z273"/>
  <c r="AA273"/>
  <c r="W274"/>
  <c r="X274"/>
  <c r="Y274"/>
  <c r="Z274"/>
  <c r="AA274"/>
  <c r="W275"/>
  <c r="X275"/>
  <c r="Y275"/>
  <c r="Z275"/>
  <c r="AA275"/>
  <c r="W276"/>
  <c r="X276"/>
  <c r="Y276"/>
  <c r="Z276"/>
  <c r="AA276"/>
  <c r="W277"/>
  <c r="X277"/>
  <c r="Y277"/>
  <c r="Z277"/>
  <c r="AA277"/>
  <c r="W278"/>
  <c r="X278"/>
  <c r="Y278"/>
  <c r="Z278"/>
  <c r="AA278"/>
  <c r="W279"/>
  <c r="X279"/>
  <c r="Y279"/>
  <c r="Z279"/>
  <c r="AA279"/>
  <c r="W280"/>
  <c r="X280"/>
  <c r="Y280"/>
  <c r="Z280"/>
  <c r="AA280"/>
  <c r="W281"/>
  <c r="X281"/>
  <c r="Y281"/>
  <c r="Z281"/>
  <c r="AA281"/>
  <c r="W282"/>
  <c r="X282"/>
  <c r="Y282"/>
  <c r="Z282"/>
  <c r="AA282"/>
  <c r="W283"/>
  <c r="X283"/>
  <c r="Y283"/>
  <c r="Z283"/>
  <c r="AA283"/>
  <c r="W284"/>
  <c r="X284"/>
  <c r="Y284"/>
  <c r="Z284"/>
  <c r="AA284"/>
  <c r="W285"/>
  <c r="X285"/>
  <c r="Y285"/>
  <c r="Z285"/>
  <c r="AA285"/>
  <c r="W286"/>
  <c r="X286"/>
  <c r="Y286"/>
  <c r="Z286"/>
  <c r="AA286"/>
  <c r="W287"/>
  <c r="X287"/>
  <c r="Y287"/>
  <c r="Z287"/>
  <c r="AA287"/>
  <c r="W288"/>
  <c r="X288"/>
  <c r="Y288"/>
  <c r="Z288"/>
  <c r="AA288"/>
  <c r="W289"/>
  <c r="X289"/>
  <c r="Y289"/>
  <c r="Z289"/>
  <c r="AA289"/>
  <c r="W290"/>
  <c r="X290"/>
  <c r="Y290"/>
  <c r="Z290"/>
  <c r="AA290"/>
  <c r="W291"/>
  <c r="X291"/>
  <c r="Y291"/>
  <c r="Z291"/>
  <c r="AA291"/>
  <c r="W292"/>
  <c r="X292"/>
  <c r="Y292"/>
  <c r="Z292"/>
  <c r="AA292"/>
  <c r="W293"/>
  <c r="X293"/>
  <c r="Y293"/>
  <c r="Z293"/>
  <c r="AA293"/>
  <c r="W294"/>
  <c r="X294"/>
  <c r="Y294"/>
  <c r="Z294"/>
  <c r="AA294"/>
  <c r="W295"/>
  <c r="X295"/>
  <c r="Y295"/>
  <c r="Z295"/>
  <c r="AA295"/>
  <c r="W296"/>
  <c r="X296"/>
  <c r="Y296"/>
  <c r="Z296"/>
  <c r="AA296"/>
  <c r="W297"/>
  <c r="X297"/>
  <c r="Y297"/>
  <c r="Z297"/>
  <c r="AA297"/>
  <c r="W298"/>
  <c r="X298"/>
  <c r="Y298"/>
  <c r="Z298"/>
  <c r="AA298"/>
  <c r="W299"/>
  <c r="X299"/>
  <c r="Y299"/>
  <c r="Z299"/>
  <c r="AA299"/>
  <c r="W300"/>
  <c r="X300"/>
  <c r="Y300"/>
  <c r="Z300"/>
  <c r="AA300"/>
  <c r="W301"/>
  <c r="X301"/>
  <c r="Y301"/>
  <c r="Z301"/>
  <c r="AA301"/>
  <c r="W302"/>
  <c r="X302"/>
  <c r="Y302"/>
  <c r="Z302"/>
  <c r="AA302"/>
  <c r="W303"/>
  <c r="X303"/>
  <c r="Y303"/>
  <c r="Z303"/>
  <c r="AA303"/>
  <c r="W304"/>
  <c r="X304"/>
  <c r="Y304"/>
  <c r="Z304"/>
  <c r="AA304"/>
  <c r="W305"/>
  <c r="X305"/>
  <c r="Y305"/>
  <c r="Z305"/>
  <c r="AA305"/>
  <c r="W306"/>
  <c r="X306"/>
  <c r="Y306"/>
  <c r="Z306"/>
  <c r="AA306"/>
  <c r="W307"/>
  <c r="X307"/>
  <c r="Y307"/>
  <c r="Z307"/>
  <c r="AA307"/>
  <c r="W308"/>
  <c r="X308"/>
  <c r="Y308"/>
  <c r="Z308"/>
  <c r="AA308"/>
  <c r="W309"/>
  <c r="X309"/>
  <c r="Y309"/>
  <c r="Z309"/>
  <c r="AA309"/>
  <c r="W310"/>
  <c r="X310"/>
  <c r="Y310"/>
  <c r="Z310"/>
  <c r="AA310"/>
  <c r="W311"/>
  <c r="X311"/>
  <c r="Y311"/>
  <c r="Z311"/>
  <c r="AA311"/>
  <c r="W312"/>
  <c r="X312"/>
  <c r="Y312"/>
  <c r="Z312"/>
  <c r="AA312"/>
  <c r="W313"/>
  <c r="X313"/>
  <c r="Y313"/>
  <c r="Z313"/>
  <c r="AA313"/>
  <c r="W314"/>
  <c r="X314"/>
  <c r="Y314"/>
  <c r="Z314"/>
  <c r="AA314"/>
  <c r="W315"/>
  <c r="X315"/>
  <c r="Y315"/>
  <c r="Z315"/>
  <c r="AA315"/>
  <c r="W316"/>
  <c r="X316"/>
  <c r="Y316"/>
  <c r="Z316"/>
  <c r="AA316"/>
  <c r="W317"/>
  <c r="X317"/>
  <c r="Y317"/>
  <c r="Z317"/>
  <c r="AA317"/>
  <c r="W318"/>
  <c r="X318"/>
  <c r="Y318"/>
  <c r="Z318"/>
  <c r="AA318"/>
  <c r="W319"/>
  <c r="X319"/>
  <c r="Y319"/>
  <c r="Z319"/>
  <c r="AA319"/>
  <c r="W320"/>
  <c r="X320"/>
  <c r="Y320"/>
  <c r="Z320"/>
  <c r="AA320"/>
  <c r="W321"/>
  <c r="X321"/>
  <c r="Y321"/>
  <c r="Z321"/>
  <c r="AA321"/>
  <c r="W322"/>
  <c r="X322"/>
  <c r="Y322"/>
  <c r="Z322"/>
  <c r="AA322"/>
  <c r="W323"/>
  <c r="X323"/>
  <c r="Y323"/>
  <c r="Z323"/>
  <c r="AA323"/>
  <c r="W324"/>
  <c r="X324"/>
  <c r="Y324"/>
  <c r="Z324"/>
  <c r="AA324"/>
  <c r="W325"/>
  <c r="X325"/>
  <c r="Y325"/>
  <c r="Z325"/>
  <c r="AA325"/>
  <c r="W326"/>
  <c r="X326"/>
  <c r="Y326"/>
  <c r="Z326"/>
  <c r="AA326"/>
  <c r="W327"/>
  <c r="X327"/>
  <c r="Y327"/>
  <c r="Z327"/>
  <c r="AA327"/>
  <c r="W328"/>
  <c r="X328"/>
  <c r="Y328"/>
  <c r="Z328"/>
  <c r="AA328"/>
  <c r="W329"/>
  <c r="X329"/>
  <c r="Y329"/>
  <c r="Z329"/>
  <c r="AA329"/>
  <c r="W330"/>
  <c r="X330"/>
  <c r="Y330"/>
  <c r="Z330"/>
  <c r="AA330"/>
  <c r="W331"/>
  <c r="X331"/>
  <c r="Y331"/>
  <c r="Z331"/>
  <c r="AA331"/>
  <c r="W332"/>
  <c r="X332"/>
  <c r="Y332"/>
  <c r="Z332"/>
  <c r="AA332"/>
  <c r="W333"/>
  <c r="X333"/>
  <c r="Y333"/>
  <c r="Z333"/>
  <c r="AA333"/>
  <c r="W334"/>
  <c r="X334"/>
  <c r="Y334"/>
  <c r="Z334"/>
  <c r="AA334"/>
  <c r="W335"/>
  <c r="X335"/>
  <c r="Y335"/>
  <c r="Z335"/>
  <c r="AA335"/>
  <c r="W336"/>
  <c r="X336"/>
  <c r="Y336"/>
  <c r="Z336"/>
  <c r="AA336"/>
  <c r="W337"/>
  <c r="X337"/>
  <c r="Y337"/>
  <c r="Z337"/>
  <c r="AA337"/>
  <c r="W338"/>
  <c r="X338"/>
  <c r="Y338"/>
  <c r="Z338"/>
  <c r="AA338"/>
  <c r="W339"/>
  <c r="X339"/>
  <c r="Y339"/>
  <c r="Z339"/>
  <c r="AA339"/>
  <c r="W340"/>
  <c r="X340"/>
  <c r="Y340"/>
  <c r="Z340"/>
  <c r="AA340"/>
  <c r="W341"/>
  <c r="X341"/>
  <c r="Y341"/>
  <c r="Z341"/>
  <c r="AA341"/>
  <c r="W342"/>
  <c r="X342"/>
  <c r="Y342"/>
  <c r="Z342"/>
  <c r="AA342"/>
  <c r="W343"/>
  <c r="X343"/>
  <c r="Y343"/>
  <c r="Z343"/>
  <c r="AA343"/>
  <c r="W344"/>
  <c r="X344"/>
  <c r="Y344"/>
  <c r="Z344"/>
  <c r="AA344"/>
  <c r="W345"/>
  <c r="X345"/>
  <c r="Y345"/>
  <c r="Z345"/>
  <c r="AA345"/>
  <c r="W346"/>
  <c r="X346"/>
  <c r="Y346"/>
  <c r="Z346"/>
  <c r="AA346"/>
  <c r="W347"/>
  <c r="X347"/>
  <c r="Y347"/>
  <c r="Z347"/>
  <c r="AA347"/>
  <c r="W348"/>
  <c r="X348"/>
  <c r="Y348"/>
  <c r="Z348"/>
  <c r="AA348"/>
  <c r="W349"/>
  <c r="X349"/>
  <c r="Y349"/>
  <c r="Z349"/>
  <c r="AA349"/>
  <c r="W350"/>
  <c r="X350"/>
  <c r="Y350"/>
  <c r="Z350"/>
  <c r="J99"/>
  <c r="E5" l="1"/>
  <c r="I44"/>
  <c r="E28"/>
  <c r="E20"/>
  <c r="H56" a="1"/>
  <c r="E15"/>
  <c r="I54" a="1"/>
  <c r="E7"/>
  <c r="I99"/>
  <c r="G10"/>
  <c r="E55" a="1"/>
  <c r="G20"/>
  <c r="G32"/>
  <c r="E17"/>
  <c r="T99"/>
  <c r="E22"/>
  <c r="E21"/>
  <c r="E19"/>
  <c r="E18"/>
  <c r="F51"/>
  <c r="Q99"/>
  <c r="G99"/>
  <c r="G24"/>
  <c r="E12"/>
  <c r="I53" a="1"/>
  <c r="G22"/>
  <c r="G23"/>
  <c r="E25"/>
  <c r="I56" a="1"/>
  <c r="E34"/>
  <c r="I51"/>
  <c r="G52"/>
  <c r="G21"/>
  <c r="G56" a="1"/>
  <c r="H51"/>
  <c r="M99"/>
  <c r="D99"/>
  <c r="I52"/>
  <c r="E52"/>
  <c r="G19"/>
  <c r="G55" a="1"/>
  <c r="E27"/>
  <c r="H54" a="1"/>
  <c r="AD99"/>
  <c r="E51"/>
  <c r="V99"/>
  <c r="F56" a="1"/>
  <c r="E53" a="1"/>
  <c r="E10"/>
  <c r="I55" a="1"/>
  <c r="E32"/>
  <c r="AF99"/>
  <c r="K99"/>
  <c r="H52"/>
  <c r="F55" a="1"/>
  <c r="E14"/>
  <c r="G54" a="1"/>
  <c r="F52"/>
  <c r="E23"/>
  <c r="G16"/>
  <c r="N99"/>
  <c r="E56" a="1"/>
  <c r="E9"/>
  <c r="F53" a="1"/>
  <c r="G7"/>
  <c r="E24"/>
  <c r="E29"/>
  <c r="G13"/>
  <c r="E26"/>
  <c r="F99"/>
  <c r="E33"/>
  <c r="E8"/>
  <c r="U99"/>
  <c r="O99"/>
  <c r="E11"/>
  <c r="G51"/>
  <c r="G53" a="1"/>
  <c r="AG99"/>
  <c r="E16"/>
  <c r="E13"/>
  <c r="F54" a="1"/>
  <c r="E54" a="1"/>
  <c r="H53" a="1"/>
  <c r="H55" a="1"/>
  <c r="S99"/>
  <c r="E30"/>
  <c r="P99"/>
  <c r="H99"/>
  <c r="E31"/>
  <c r="AM99"/>
  <c r="G53" l="1"/>
  <c r="I53"/>
  <c r="F54"/>
  <c r="H54"/>
  <c r="E55"/>
  <c r="G55"/>
  <c r="I55"/>
  <c r="F56"/>
  <c r="H56"/>
  <c r="F53"/>
  <c r="H53"/>
  <c r="E54"/>
  <c r="G54"/>
  <c r="I54"/>
  <c r="F55"/>
  <c r="H55"/>
  <c r="E56"/>
  <c r="G56"/>
  <c r="I56"/>
  <c r="E53"/>
  <c r="E6"/>
  <c r="I5"/>
  <c r="H5"/>
  <c r="F6"/>
  <c r="I25"/>
  <c r="I31"/>
  <c r="G12"/>
  <c r="F15"/>
  <c r="I32"/>
  <c r="I8"/>
  <c r="H29"/>
  <c r="F25"/>
  <c r="I14"/>
  <c r="AK99"/>
  <c r="I17"/>
  <c r="H20"/>
  <c r="F33"/>
  <c r="I30"/>
  <c r="H9"/>
  <c r="G34"/>
  <c r="I13"/>
  <c r="F18"/>
  <c r="G15"/>
  <c r="F28"/>
  <c r="H26"/>
  <c r="H10"/>
  <c r="I19"/>
  <c r="I24"/>
  <c r="H13"/>
  <c r="I16"/>
  <c r="I12"/>
  <c r="I27"/>
  <c r="F27"/>
  <c r="I34"/>
  <c r="H17"/>
  <c r="H33"/>
  <c r="I26"/>
  <c r="G28"/>
  <c r="I22"/>
  <c r="H27"/>
  <c r="I18"/>
  <c r="G11"/>
  <c r="H8"/>
  <c r="F13"/>
  <c r="G9"/>
  <c r="H22"/>
  <c r="G29"/>
  <c r="H25"/>
  <c r="AI99"/>
  <c r="H23"/>
  <c r="G27"/>
  <c r="F11"/>
  <c r="G8"/>
  <c r="F19"/>
  <c r="G26"/>
  <c r="H11"/>
  <c r="H12"/>
  <c r="F21"/>
  <c r="F12"/>
  <c r="F31"/>
  <c r="F20"/>
  <c r="F34"/>
  <c r="F7"/>
  <c r="H16"/>
  <c r="H30"/>
  <c r="I9"/>
  <c r="AL99"/>
  <c r="F14"/>
  <c r="G30"/>
  <c r="AN99"/>
  <c r="H31"/>
  <c r="F29"/>
  <c r="H32"/>
  <c r="F9"/>
  <c r="H19"/>
  <c r="F8"/>
  <c r="I11"/>
  <c r="H28"/>
  <c r="I28"/>
  <c r="I20"/>
  <c r="H7"/>
  <c r="G25"/>
  <c r="F32"/>
  <c r="F17"/>
  <c r="H18"/>
  <c r="H24"/>
  <c r="F26"/>
  <c r="H21"/>
  <c r="F24"/>
  <c r="G31"/>
  <c r="I10"/>
  <c r="H34"/>
  <c r="I23"/>
  <c r="I33"/>
  <c r="G17"/>
  <c r="F30"/>
  <c r="I29"/>
  <c r="F10"/>
  <c r="H14"/>
  <c r="G14"/>
  <c r="G18"/>
  <c r="F16"/>
  <c r="F23"/>
  <c r="I7"/>
  <c r="F22"/>
  <c r="H15"/>
  <c r="I15"/>
  <c r="G33"/>
  <c r="I2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<sst xmlns="http://schemas.openxmlformats.org/spreadsheetml/2006/main" count="326" uniqueCount="234">
  <si>
    <t>전일대비</t>
    <phoneticPr fontId="2" type="noConversion"/>
  </si>
  <si>
    <t>전주대비</t>
    <phoneticPr fontId="2" type="noConversion"/>
  </si>
  <si>
    <t>전년대비</t>
    <phoneticPr fontId="2" type="noConversion"/>
  </si>
  <si>
    <t>IDX</t>
    <phoneticPr fontId="2" type="noConversion"/>
  </si>
  <si>
    <t>001</t>
    <phoneticPr fontId="2" type="noConversion"/>
  </si>
  <si>
    <t>KOSPI</t>
    <phoneticPr fontId="2" type="noConversion"/>
  </si>
  <si>
    <t xml:space="preserve">  거래량</t>
    <phoneticPr fontId="2" type="noConversion"/>
  </si>
  <si>
    <t xml:space="preserve">  거래대금</t>
    <phoneticPr fontId="2" type="noConversion"/>
  </si>
  <si>
    <t>211</t>
    <phoneticPr fontId="2" type="noConversion"/>
  </si>
  <si>
    <t>KOSPI200</t>
    <phoneticPr fontId="2" type="noConversion"/>
  </si>
  <si>
    <t>801</t>
    <phoneticPr fontId="2" type="noConversion"/>
  </si>
  <si>
    <t>KOSDAQ</t>
    <phoneticPr fontId="2" type="noConversion"/>
  </si>
  <si>
    <t>IDX</t>
    <phoneticPr fontId="2" type="noConversion"/>
  </si>
  <si>
    <t>801</t>
    <phoneticPr fontId="2" type="noConversion"/>
  </si>
  <si>
    <t xml:space="preserve">  거래대금</t>
    <phoneticPr fontId="2" type="noConversion"/>
  </si>
  <si>
    <t>FUT</t>
    <phoneticPr fontId="2" type="noConversion"/>
  </si>
  <si>
    <t>C01</t>
    <phoneticPr fontId="2" type="noConversion"/>
  </si>
  <si>
    <t>K200 선물</t>
    <phoneticPr fontId="2" type="noConversion"/>
  </si>
  <si>
    <t xml:space="preserve">  거래량</t>
    <phoneticPr fontId="2" type="noConversion"/>
  </si>
  <si>
    <t xml:space="preserve">  미결제약정</t>
    <phoneticPr fontId="2" type="noConversion"/>
  </si>
  <si>
    <t>IR</t>
  </si>
  <si>
    <t>BONDKSDCAL11</t>
  </si>
  <si>
    <t>국고 3Y</t>
    <phoneticPr fontId="2" type="noConversion"/>
  </si>
  <si>
    <t>BONDKSDCAL12</t>
  </si>
  <si>
    <t>국고 5Y</t>
    <phoneticPr fontId="2" type="noConversion"/>
  </si>
  <si>
    <t>BONDKSDCAL13</t>
  </si>
  <si>
    <t>국고 10Y</t>
    <phoneticPr fontId="2" type="noConversion"/>
  </si>
  <si>
    <t>BONDKSDCAL07</t>
  </si>
  <si>
    <t>회사채 3Y(AA-)</t>
    <phoneticPr fontId="2" type="noConversion"/>
  </si>
  <si>
    <t>BONDKSDCAL08</t>
    <phoneticPr fontId="2" type="noConversion"/>
  </si>
  <si>
    <t>CD91</t>
    <phoneticPr fontId="2" type="noConversion"/>
  </si>
  <si>
    <t>C65</t>
    <phoneticPr fontId="2" type="noConversion"/>
  </si>
  <si>
    <t>KTB 선물</t>
    <phoneticPr fontId="2" type="noConversion"/>
  </si>
  <si>
    <t>FX</t>
  </si>
  <si>
    <t>USDSP_AMBC</t>
  </si>
  <si>
    <t>USDKRW</t>
    <phoneticPr fontId="2" type="noConversion"/>
  </si>
  <si>
    <t>USDCNY</t>
    <phoneticPr fontId="2" type="noConversion"/>
  </si>
  <si>
    <t>CNYKRW</t>
    <phoneticPr fontId="2" type="noConversion"/>
  </si>
  <si>
    <t>USDJPY</t>
    <phoneticPr fontId="2" type="noConversion"/>
  </si>
  <si>
    <t>EURUSD</t>
    <phoneticPr fontId="2" type="noConversion"/>
  </si>
  <si>
    <t>C75</t>
    <phoneticPr fontId="2" type="noConversion"/>
  </si>
  <si>
    <t>USD 선물</t>
    <phoneticPr fontId="2" type="noConversion"/>
  </si>
  <si>
    <t>001</t>
    <phoneticPr fontId="2" type="noConversion"/>
  </si>
  <si>
    <t>KOSPI</t>
    <phoneticPr fontId="2" type="noConversion"/>
  </si>
  <si>
    <t>211</t>
    <phoneticPr fontId="2" type="noConversion"/>
  </si>
  <si>
    <t>KOSDAQ</t>
    <phoneticPr fontId="2" type="noConversion"/>
  </si>
  <si>
    <t>C67</t>
    <phoneticPr fontId="2" type="noConversion"/>
  </si>
  <si>
    <t>시작</t>
  </si>
  <si>
    <t>종료</t>
  </si>
  <si>
    <t>Data 개수</t>
  </si>
  <si>
    <t>주기</t>
  </si>
  <si>
    <t>정렬</t>
  </si>
  <si>
    <t>D</t>
  </si>
  <si>
    <t>영업일</t>
  </si>
  <si>
    <t>시세산출</t>
  </si>
  <si>
    <t>종가</t>
  </si>
  <si>
    <t>외국인합순매수금액</t>
  </si>
  <si>
    <t>BNDINV0000</t>
  </si>
  <si>
    <t>미국</t>
  </si>
  <si>
    <t>중국</t>
  </si>
  <si>
    <t>일본</t>
  </si>
  <si>
    <t>1Y</t>
    <phoneticPr fontId="2" type="noConversion"/>
  </si>
  <si>
    <t>3Y</t>
    <phoneticPr fontId="2" type="noConversion"/>
  </si>
  <si>
    <t>5Y</t>
    <phoneticPr fontId="2" type="noConversion"/>
  </si>
  <si>
    <t>10Y</t>
    <phoneticPr fontId="2" type="noConversion"/>
  </si>
  <si>
    <t>인도</t>
  </si>
  <si>
    <t>브라질</t>
  </si>
  <si>
    <t>DJI:DJI</t>
  </si>
  <si>
    <t>SHS:000001</t>
  </si>
  <si>
    <t>INI:BSE30</t>
  </si>
  <si>
    <t>BRI:BVSP</t>
  </si>
  <si>
    <t>그리스</t>
  </si>
  <si>
    <t>GR</t>
  </si>
  <si>
    <t>남아공</t>
  </si>
  <si>
    <t>네덜란드</t>
  </si>
  <si>
    <t>노르웨이</t>
  </si>
  <si>
    <t>뉴질랜드</t>
  </si>
  <si>
    <t>대만</t>
  </si>
  <si>
    <t>덴마크</t>
  </si>
  <si>
    <t>독일</t>
  </si>
  <si>
    <t>말레이시아</t>
  </si>
  <si>
    <t>멕시코</t>
  </si>
  <si>
    <t>벨기에</t>
  </si>
  <si>
    <t>ZA</t>
  </si>
  <si>
    <t>스웨덴</t>
  </si>
  <si>
    <t>스페인</t>
  </si>
  <si>
    <t>싱가포르</t>
  </si>
  <si>
    <t>아일랜드</t>
  </si>
  <si>
    <t>영국</t>
  </si>
  <si>
    <t>이탈리아</t>
  </si>
  <si>
    <t>NL</t>
  </si>
  <si>
    <t>인도네시아</t>
  </si>
  <si>
    <t>체코</t>
  </si>
  <si>
    <t>캐나다</t>
  </si>
  <si>
    <t>태국</t>
  </si>
  <si>
    <t>포르투갈</t>
  </si>
  <si>
    <t>폴란드</t>
  </si>
  <si>
    <t>프랑스</t>
  </si>
  <si>
    <t>필리핀</t>
  </si>
  <si>
    <t>NO</t>
  </si>
  <si>
    <t>헝가리</t>
  </si>
  <si>
    <t>호주</t>
  </si>
  <si>
    <t>홍콩</t>
  </si>
  <si>
    <t>NZ</t>
  </si>
  <si>
    <t>TW</t>
  </si>
  <si>
    <t>DK</t>
  </si>
  <si>
    <t>MY</t>
  </si>
  <si>
    <t>MX</t>
  </si>
  <si>
    <t>US</t>
  </si>
  <si>
    <t>BE</t>
  </si>
  <si>
    <t>BR</t>
  </si>
  <si>
    <t>SE</t>
  </si>
  <si>
    <t>SG</t>
  </si>
  <si>
    <t>IE</t>
  </si>
  <si>
    <t>GB</t>
  </si>
  <si>
    <t>IT</t>
  </si>
  <si>
    <t>IN</t>
  </si>
  <si>
    <t>ID</t>
  </si>
  <si>
    <t>JP</t>
  </si>
  <si>
    <t>RM</t>
  </si>
  <si>
    <t>CZ</t>
  </si>
  <si>
    <t>CA</t>
  </si>
  <si>
    <t>TH</t>
  </si>
  <si>
    <t>PT</t>
  </si>
  <si>
    <t>PL</t>
  </si>
  <si>
    <t>PH</t>
  </si>
  <si>
    <t>HU</t>
  </si>
  <si>
    <t>AU</t>
  </si>
  <si>
    <t>ES</t>
    <phoneticPr fontId="2" type="noConversion"/>
  </si>
  <si>
    <t>FR</t>
    <phoneticPr fontId="2" type="noConversion"/>
  </si>
  <si>
    <t>HK</t>
    <phoneticPr fontId="2" type="noConversion"/>
  </si>
  <si>
    <t>GRI:ASE</t>
  </si>
  <si>
    <t>MSI:ZA</t>
  </si>
  <si>
    <t>NLI:AEX</t>
  </si>
  <si>
    <t>NOI:OSEAX</t>
  </si>
  <si>
    <t>NZI:NZ50</t>
  </si>
  <si>
    <t>TWS:TI01</t>
  </si>
  <si>
    <t>DKI:KFX</t>
  </si>
  <si>
    <t>XTR:DAX30</t>
  </si>
  <si>
    <t>MYI:KLSE</t>
  </si>
  <si>
    <t>MXI:IPC</t>
  </si>
  <si>
    <t>SPI:SPX</t>
  </si>
  <si>
    <t>NAS:IXIC</t>
  </si>
  <si>
    <t>BEI:MFX</t>
  </si>
  <si>
    <t>SEI:SXASI</t>
  </si>
  <si>
    <t>ESI:IBEX</t>
  </si>
  <si>
    <t>SGI:STI</t>
  </si>
  <si>
    <t>IEI:ISEQ</t>
  </si>
  <si>
    <t>LNS:FTSE100</t>
  </si>
  <si>
    <t>ITI:FTSEMIB</t>
  </si>
  <si>
    <t>IDI:JKSE</t>
  </si>
  <si>
    <t>TSE:TSI01</t>
  </si>
  <si>
    <t>SZS:399106</t>
  </si>
  <si>
    <t>PSE:PX</t>
  </si>
  <si>
    <t>CAI:SPTSX</t>
  </si>
  <si>
    <t>THI:SET</t>
  </si>
  <si>
    <t>PTI:PSI20</t>
  </si>
  <si>
    <t>PLI:WIGI</t>
  </si>
  <si>
    <t>PAS:CAC40</t>
  </si>
  <si>
    <t>PHI:COMP</t>
  </si>
  <si>
    <t>HUI:BUX</t>
  </si>
  <si>
    <t>AUI:AORD</t>
  </si>
  <si>
    <t>HSI:HSI</t>
  </si>
  <si>
    <t>01Y</t>
    <phoneticPr fontId="2" type="noConversion"/>
  </si>
  <si>
    <t>03Y</t>
    <phoneticPr fontId="2" type="noConversion"/>
  </si>
  <si>
    <t>05Y</t>
    <phoneticPr fontId="2" type="noConversion"/>
  </si>
  <si>
    <t>FRN</t>
    <phoneticPr fontId="2" type="noConversion"/>
  </si>
  <si>
    <t>IR</t>
    <phoneticPr fontId="2" type="noConversion"/>
  </si>
  <si>
    <t>대표지수</t>
    <phoneticPr fontId="2" type="noConversion"/>
  </si>
  <si>
    <t>해외 지수 &amp; 금리</t>
    <phoneticPr fontId="2" type="noConversion"/>
  </si>
  <si>
    <t>MSI:NO</t>
  </si>
  <si>
    <t>MSI:NZ</t>
    <phoneticPr fontId="2" type="noConversion"/>
  </si>
  <si>
    <t>MSI:GR</t>
    <phoneticPr fontId="2" type="noConversion"/>
  </si>
  <si>
    <t>MSI:ZA</t>
    <phoneticPr fontId="2" type="noConversion"/>
  </si>
  <si>
    <t>MSI:NL</t>
    <phoneticPr fontId="2" type="noConversion"/>
  </si>
  <si>
    <t>MSI:TW</t>
    <phoneticPr fontId="2" type="noConversion"/>
  </si>
  <si>
    <t>MSI:DK</t>
    <phoneticPr fontId="2" type="noConversion"/>
  </si>
  <si>
    <t>DE</t>
    <phoneticPr fontId="2" type="noConversion"/>
  </si>
  <si>
    <t>MSI:DE</t>
    <phoneticPr fontId="2" type="noConversion"/>
  </si>
  <si>
    <t>MSI:MY</t>
    <phoneticPr fontId="2" type="noConversion"/>
  </si>
  <si>
    <t>MSI:MX</t>
    <phoneticPr fontId="2" type="noConversion"/>
  </si>
  <si>
    <t>MSI:US</t>
    <phoneticPr fontId="2" type="noConversion"/>
  </si>
  <si>
    <t>MSI:BE</t>
    <phoneticPr fontId="2" type="noConversion"/>
  </si>
  <si>
    <t>MSI:BR</t>
    <phoneticPr fontId="2" type="noConversion"/>
  </si>
  <si>
    <t>MSI:SE</t>
    <phoneticPr fontId="2" type="noConversion"/>
  </si>
  <si>
    <t>MSI:ES</t>
    <phoneticPr fontId="2" type="noConversion"/>
  </si>
  <si>
    <t>MSI:SG</t>
    <phoneticPr fontId="2" type="noConversion"/>
  </si>
  <si>
    <t>MSI:IE</t>
    <phoneticPr fontId="2" type="noConversion"/>
  </si>
  <si>
    <t>MSI:GB</t>
    <phoneticPr fontId="2" type="noConversion"/>
  </si>
  <si>
    <t>MSI:IT</t>
    <phoneticPr fontId="2" type="noConversion"/>
  </si>
  <si>
    <t>MSI:IN</t>
    <phoneticPr fontId="2" type="noConversion"/>
  </si>
  <si>
    <t>MSI:ID</t>
    <phoneticPr fontId="2" type="noConversion"/>
  </si>
  <si>
    <t>MSI:JP</t>
    <phoneticPr fontId="2" type="noConversion"/>
  </si>
  <si>
    <t>MSI:CN</t>
    <phoneticPr fontId="2" type="noConversion"/>
  </si>
  <si>
    <t>MSI:CZ</t>
    <phoneticPr fontId="2" type="noConversion"/>
  </si>
  <si>
    <t>MSI:CA</t>
    <phoneticPr fontId="2" type="noConversion"/>
  </si>
  <si>
    <t>MSI:TH</t>
    <phoneticPr fontId="2" type="noConversion"/>
  </si>
  <si>
    <t>MSI:PT</t>
    <phoneticPr fontId="2" type="noConversion"/>
  </si>
  <si>
    <t>MSI:PL</t>
    <phoneticPr fontId="2" type="noConversion"/>
  </si>
  <si>
    <t>MSI:FR</t>
    <phoneticPr fontId="2" type="noConversion"/>
  </si>
  <si>
    <t>MSI:PH</t>
    <phoneticPr fontId="2" type="noConversion"/>
  </si>
  <si>
    <t>MSI:HU</t>
    <phoneticPr fontId="2" type="noConversion"/>
  </si>
  <si>
    <t>MSI:AU</t>
    <phoneticPr fontId="2" type="noConversion"/>
  </si>
  <si>
    <t>MSI:HK</t>
    <phoneticPr fontId="2" type="noConversion"/>
  </si>
  <si>
    <t>MSCI</t>
    <phoneticPr fontId="2" type="noConversion"/>
  </si>
  <si>
    <t>Daily 금융시장 동향</t>
    <phoneticPr fontId="2" type="noConversion"/>
  </si>
  <si>
    <t>일</t>
    <phoneticPr fontId="2" type="noConversion"/>
  </si>
  <si>
    <t>채권(장외)</t>
    <phoneticPr fontId="2" type="noConversion"/>
  </si>
  <si>
    <t>001</t>
    <phoneticPr fontId="2" type="noConversion"/>
  </si>
  <si>
    <t>국내시장</t>
    <phoneticPr fontId="2" type="noConversion"/>
  </si>
  <si>
    <t>해외지표</t>
    <phoneticPr fontId="2" type="noConversion"/>
  </si>
  <si>
    <t>801</t>
    <phoneticPr fontId="2" type="noConversion"/>
  </si>
  <si>
    <t>C01</t>
    <phoneticPr fontId="2" type="noConversion"/>
  </si>
  <si>
    <t>C65</t>
    <phoneticPr fontId="2" type="noConversion"/>
  </si>
  <si>
    <t>C67</t>
    <phoneticPr fontId="2" type="noConversion"/>
  </si>
  <si>
    <t>일자</t>
    <phoneticPr fontId="2" type="noConversion"/>
  </si>
  <si>
    <t>외국인합순매수금액</t>
    <phoneticPr fontId="2" type="noConversion"/>
  </si>
  <si>
    <t>현재가</t>
    <phoneticPr fontId="2" type="noConversion"/>
  </si>
  <si>
    <t>누적거래량</t>
    <phoneticPr fontId="2" type="noConversion"/>
  </si>
  <si>
    <t>대표수익률</t>
    <phoneticPr fontId="2" type="noConversion"/>
  </si>
  <si>
    <t>KOSDAQ</t>
    <phoneticPr fontId="2" type="noConversion"/>
  </si>
  <si>
    <t>K200F</t>
    <phoneticPr fontId="2" type="noConversion"/>
  </si>
  <si>
    <t>KTB</t>
    <phoneticPr fontId="2" type="noConversion"/>
  </si>
  <si>
    <t>장외채권</t>
    <phoneticPr fontId="2" type="noConversion"/>
  </si>
  <si>
    <t>외국인 순매수거래대금</t>
    <phoneticPr fontId="2" type="noConversion"/>
  </si>
  <si>
    <t>외국인 누적 순매수 현황(백만)</t>
    <phoneticPr fontId="2" type="noConversion"/>
  </si>
  <si>
    <t>date</t>
    <phoneticPr fontId="2" type="noConversion"/>
  </si>
  <si>
    <t>국내지표</t>
    <phoneticPr fontId="2" type="noConversion"/>
  </si>
  <si>
    <t>국내 금융시장</t>
    <phoneticPr fontId="2" type="noConversion"/>
  </si>
  <si>
    <t>KTB03</t>
  </si>
  <si>
    <t>KTB10</t>
  </si>
  <si>
    <t>FUT</t>
  </si>
  <si>
    <t>C70</t>
  </si>
  <si>
    <t>KTB30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</si>
</sst>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#,##0.00_ "/>
    <numFmt numFmtId="177" formatCode="#,##0_ "/>
    <numFmt numFmtId="178" formatCode="#,##0.000_ "/>
    <numFmt numFmtId="179" formatCode="#,##0.0000_ "/>
    <numFmt numFmtId="180" formatCode="#,##0.00000_ "/>
    <numFmt numFmtId="181" formatCode="[Red]\+#,##0.00000_ ;[Blue]\-#,##0.00000\ "/>
    <numFmt numFmtId="182" formatCode="[Red]\+#,##0.00_ ;[Blue]\-#,##0.00\ "/>
    <numFmt numFmtId="183" formatCode="[Red]\+#,##0_ ;[Blue]\-#,##0\ "/>
    <numFmt numFmtId="184" formatCode="[Red]\+#,##0.000_ ;[Blue]\-#,##0.000\ "/>
    <numFmt numFmtId="185" formatCode="[Red]\+#,##0.0000_ ;[Blue]\-#,##0.0000\ "/>
  </numFmts>
  <fonts count="10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 tint="0.14999847407452621"/>
      <name val="맑은 고딕"/>
      <family val="3"/>
      <charset val="129"/>
      <scheme val="minor"/>
    </font>
    <font>
      <b/>
      <u val="double"/>
      <sz val="16"/>
      <color theme="1"/>
      <name val="맑은 고딕"/>
      <family val="3"/>
      <charset val="129"/>
      <scheme val="minor"/>
    </font>
    <font>
      <b/>
      <i/>
      <sz val="10"/>
      <color theme="1" tint="0.249977111117893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b/>
      <sz val="10"/>
      <color theme="1" tint="0.249977111117893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/>
      <bottom style="hair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medium">
        <color theme="0" tint="-0.24994659260841701"/>
      </right>
      <top style="hair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/>
      <top style="hair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hair">
        <color theme="0" tint="-0.24994659260841701"/>
      </top>
      <bottom/>
      <diagonal/>
    </border>
    <border>
      <left style="medium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4" fillId="3" borderId="4" xfId="0" applyFont="1" applyFill="1" applyBorder="1">
      <alignment vertical="center"/>
    </xf>
    <xf numFmtId="0" fontId="0" fillId="0" borderId="6" xfId="0" applyBorder="1">
      <alignment vertical="center"/>
    </xf>
    <xf numFmtId="0" fontId="4" fillId="3" borderId="8" xfId="0" applyFont="1" applyFill="1" applyBorder="1">
      <alignment vertical="center"/>
    </xf>
    <xf numFmtId="0" fontId="4" fillId="3" borderId="12" xfId="0" applyFont="1" applyFill="1" applyBorder="1">
      <alignment vertical="center"/>
    </xf>
    <xf numFmtId="0" fontId="4" fillId="3" borderId="16" xfId="0" applyFont="1" applyFill="1" applyBorder="1">
      <alignment vertical="center"/>
    </xf>
    <xf numFmtId="0" fontId="4" fillId="3" borderId="20" xfId="0" applyFont="1" applyFill="1" applyBorder="1">
      <alignment vertical="center"/>
    </xf>
    <xf numFmtId="0" fontId="4" fillId="3" borderId="24" xfId="0" applyFont="1" applyFill="1" applyBorder="1">
      <alignment vertical="center"/>
    </xf>
    <xf numFmtId="49" fontId="4" fillId="3" borderId="4" xfId="0" applyNumberFormat="1" applyFont="1" applyFill="1" applyBorder="1">
      <alignment vertical="center"/>
    </xf>
    <xf numFmtId="49" fontId="4" fillId="3" borderId="8" xfId="0" applyNumberFormat="1" applyFont="1" applyFill="1" applyBorder="1">
      <alignment vertical="center"/>
    </xf>
    <xf numFmtId="49" fontId="4" fillId="3" borderId="12" xfId="0" applyNumberFormat="1" applyFont="1" applyFill="1" applyBorder="1">
      <alignment vertical="center"/>
    </xf>
    <xf numFmtId="49" fontId="4" fillId="3" borderId="16" xfId="0" applyNumberFormat="1" applyFont="1" applyFill="1" applyBorder="1">
      <alignment vertical="center"/>
    </xf>
    <xf numFmtId="0" fontId="4" fillId="3" borderId="28" xfId="0" applyFont="1" applyFill="1" applyBorder="1">
      <alignment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35" xfId="0" quotePrefix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3" borderId="42" xfId="0" applyFont="1" applyFill="1" applyBorder="1">
      <alignment vertical="center"/>
    </xf>
    <xf numFmtId="0" fontId="4" fillId="3" borderId="43" xfId="0" applyFont="1" applyFill="1" applyBorder="1">
      <alignment vertical="center"/>
    </xf>
    <xf numFmtId="0" fontId="4" fillId="3" borderId="44" xfId="0" applyFont="1" applyFill="1" applyBorder="1">
      <alignment vertical="center"/>
    </xf>
    <xf numFmtId="0" fontId="3" fillId="4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5" borderId="45" xfId="0" applyNumberFormat="1" applyFont="1" applyFill="1" applyBorder="1" applyAlignment="1">
      <alignment horizontal="center" vertical="center"/>
    </xf>
    <xf numFmtId="14" fontId="3" fillId="6" borderId="45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14" fontId="3" fillId="4" borderId="2" xfId="0" applyNumberFormat="1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177" fontId="0" fillId="0" borderId="9" xfId="1" applyNumberFormat="1" applyFont="1" applyBorder="1">
      <alignment vertical="center"/>
    </xf>
    <xf numFmtId="177" fontId="0" fillId="0" borderId="10" xfId="1" applyNumberFormat="1" applyFont="1" applyBorder="1">
      <alignment vertical="center"/>
    </xf>
    <xf numFmtId="177" fontId="0" fillId="0" borderId="11" xfId="1" applyNumberFormat="1" applyFont="1" applyBorder="1">
      <alignment vertical="center"/>
    </xf>
    <xf numFmtId="177" fontId="0" fillId="0" borderId="13" xfId="1" applyNumberFormat="1" applyFont="1" applyBorder="1">
      <alignment vertical="center"/>
    </xf>
    <xf numFmtId="177" fontId="0" fillId="0" borderId="14" xfId="1" applyNumberFormat="1" applyFon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76" fontId="0" fillId="0" borderId="19" xfId="0" applyNumberFormat="1" applyBorder="1">
      <alignment vertical="center"/>
    </xf>
    <xf numFmtId="176" fontId="0" fillId="0" borderId="21" xfId="0" applyNumberFormat="1" applyBorder="1">
      <alignment vertical="center"/>
    </xf>
    <xf numFmtId="176" fontId="0" fillId="0" borderId="22" xfId="0" applyNumberFormat="1" applyBorder="1">
      <alignment vertical="center"/>
    </xf>
    <xf numFmtId="177" fontId="0" fillId="0" borderId="25" xfId="1" applyNumberFormat="1" applyFont="1" applyBorder="1">
      <alignment vertical="center"/>
    </xf>
    <xf numFmtId="177" fontId="0" fillId="0" borderId="26" xfId="1" applyNumberFormat="1" applyFont="1" applyBorder="1">
      <alignment vertical="center"/>
    </xf>
    <xf numFmtId="178" fontId="0" fillId="0" borderId="5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0" fillId="0" borderId="9" xfId="0" applyNumberFormat="1" applyBorder="1">
      <alignment vertical="center"/>
    </xf>
    <xf numFmtId="178" fontId="0" fillId="0" borderId="10" xfId="0" applyNumberFormat="1" applyBorder="1">
      <alignment vertical="center"/>
    </xf>
    <xf numFmtId="178" fontId="0" fillId="0" borderId="13" xfId="0" applyNumberFormat="1" applyBorder="1">
      <alignment vertical="center"/>
    </xf>
    <xf numFmtId="178" fontId="0" fillId="0" borderId="14" xfId="0" applyNumberFormat="1" applyBorder="1">
      <alignment vertical="center"/>
    </xf>
    <xf numFmtId="177" fontId="0" fillId="0" borderId="29" xfId="1" applyNumberFormat="1" applyFont="1" applyBorder="1">
      <alignment vertical="center"/>
    </xf>
    <xf numFmtId="177" fontId="0" fillId="0" borderId="30" xfId="1" applyNumberFormat="1" applyFont="1" applyBorder="1">
      <alignment vertical="center"/>
    </xf>
    <xf numFmtId="177" fontId="0" fillId="0" borderId="31" xfId="1" applyNumberFormat="1" applyFont="1" applyBorder="1">
      <alignment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9" fontId="0" fillId="0" borderId="9" xfId="0" applyNumberFormat="1" applyBorder="1">
      <alignment vertical="center"/>
    </xf>
    <xf numFmtId="179" fontId="0" fillId="0" borderId="10" xfId="0" applyNumberFormat="1" applyBorder="1">
      <alignment vertical="center"/>
    </xf>
    <xf numFmtId="179" fontId="0" fillId="0" borderId="11" xfId="0" applyNumberFormat="1" applyBorder="1">
      <alignment vertical="center"/>
    </xf>
    <xf numFmtId="180" fontId="0" fillId="0" borderId="13" xfId="0" applyNumberFormat="1" applyBorder="1">
      <alignment vertical="center"/>
    </xf>
    <xf numFmtId="180" fontId="0" fillId="0" borderId="14" xfId="0" applyNumberFormat="1" applyBorder="1">
      <alignment vertical="center"/>
    </xf>
    <xf numFmtId="177" fontId="0" fillId="0" borderId="34" xfId="1" applyNumberFormat="1" applyFont="1" applyBorder="1">
      <alignment vertical="center"/>
    </xf>
    <xf numFmtId="177" fontId="0" fillId="0" borderId="6" xfId="1" applyNumberFormat="1" applyFont="1" applyBorder="1">
      <alignment vertical="center"/>
    </xf>
    <xf numFmtId="177" fontId="0" fillId="0" borderId="7" xfId="1" applyNumberFormat="1" applyFont="1" applyBorder="1">
      <alignment vertical="center"/>
    </xf>
    <xf numFmtId="177" fontId="0" fillId="0" borderId="35" xfId="1" applyNumberFormat="1" applyFont="1" applyBorder="1">
      <alignment vertical="center"/>
    </xf>
    <xf numFmtId="177" fontId="0" fillId="0" borderId="36" xfId="1" applyNumberFormat="1" applyFont="1" applyBorder="1">
      <alignment vertical="center"/>
    </xf>
    <xf numFmtId="176" fontId="0" fillId="0" borderId="41" xfId="0" applyNumberFormat="1" applyBorder="1">
      <alignment vertical="center"/>
    </xf>
    <xf numFmtId="178" fontId="0" fillId="0" borderId="39" xfId="0" applyNumberFormat="1" applyBorder="1">
      <alignment vertical="center"/>
    </xf>
    <xf numFmtId="178" fontId="0" fillId="0" borderId="40" xfId="0" applyNumberFormat="1" applyBorder="1">
      <alignment vertical="center"/>
    </xf>
    <xf numFmtId="179" fontId="0" fillId="0" borderId="38" xfId="0" applyNumberFormat="1" applyBorder="1">
      <alignment vertical="center"/>
    </xf>
    <xf numFmtId="179" fontId="0" fillId="0" borderId="22" xfId="0" applyNumberFormat="1" applyBorder="1">
      <alignment vertical="center"/>
    </xf>
    <xf numFmtId="179" fontId="0" fillId="0" borderId="23" xfId="0" applyNumberFormat="1" applyBorder="1">
      <alignment vertical="center"/>
    </xf>
    <xf numFmtId="179" fontId="0" fillId="0" borderId="35" xfId="0" applyNumberFormat="1" applyBorder="1">
      <alignment vertical="center"/>
    </xf>
    <xf numFmtId="179" fontId="7" fillId="0" borderId="11" xfId="0" applyNumberFormat="1" applyFont="1" applyBorder="1">
      <alignment vertical="center"/>
    </xf>
    <xf numFmtId="179" fontId="0" fillId="0" borderId="36" xfId="0" applyNumberFormat="1" applyBorder="1">
      <alignment vertical="center"/>
    </xf>
    <xf numFmtId="179" fontId="0" fillId="0" borderId="30" xfId="0" applyNumberFormat="1" applyBorder="1">
      <alignment vertical="center"/>
    </xf>
    <xf numFmtId="179" fontId="0" fillId="0" borderId="31" xfId="0" applyNumberFormat="1" applyBorder="1">
      <alignment vertical="center"/>
    </xf>
    <xf numFmtId="181" fontId="0" fillId="0" borderId="14" xfId="0" applyNumberFormat="1" applyBorder="1">
      <alignment vertical="center"/>
    </xf>
    <xf numFmtId="181" fontId="0" fillId="0" borderId="15" xfId="0" applyNumberFormat="1" applyBorder="1">
      <alignment vertical="center"/>
    </xf>
    <xf numFmtId="182" fontId="0" fillId="0" borderId="6" xfId="0" applyNumberFormat="1" applyBorder="1">
      <alignment vertical="center"/>
    </xf>
    <xf numFmtId="182" fontId="0" fillId="0" borderId="7" xfId="0" applyNumberFormat="1" applyBorder="1">
      <alignment vertical="center"/>
    </xf>
    <xf numFmtId="182" fontId="0" fillId="0" borderId="18" xfId="0" applyNumberFormat="1" applyBorder="1">
      <alignment vertical="center"/>
    </xf>
    <xf numFmtId="182" fontId="0" fillId="0" borderId="19" xfId="0" applyNumberFormat="1" applyBorder="1">
      <alignment vertical="center"/>
    </xf>
    <xf numFmtId="182" fontId="0" fillId="0" borderId="22" xfId="0" applyNumberFormat="1" applyBorder="1">
      <alignment vertical="center"/>
    </xf>
    <xf numFmtId="182" fontId="0" fillId="0" borderId="23" xfId="0" applyNumberFormat="1" applyBorder="1">
      <alignment vertical="center"/>
    </xf>
    <xf numFmtId="182" fontId="0" fillId="0" borderId="10" xfId="0" applyNumberFormat="1" applyBorder="1">
      <alignment vertical="center"/>
    </xf>
    <xf numFmtId="182" fontId="0" fillId="0" borderId="11" xfId="0" applyNumberFormat="1" applyBorder="1">
      <alignment vertical="center"/>
    </xf>
    <xf numFmtId="183" fontId="0" fillId="0" borderId="10" xfId="1" applyNumberFormat="1" applyFont="1" applyBorder="1">
      <alignment vertical="center"/>
    </xf>
    <xf numFmtId="183" fontId="0" fillId="0" borderId="11" xfId="1" applyNumberFormat="1" applyFont="1" applyBorder="1">
      <alignment vertical="center"/>
    </xf>
    <xf numFmtId="183" fontId="0" fillId="0" borderId="14" xfId="1" applyNumberFormat="1" applyFont="1" applyBorder="1">
      <alignment vertical="center"/>
    </xf>
    <xf numFmtId="183" fontId="0" fillId="0" borderId="15" xfId="1" applyNumberFormat="1" applyFont="1" applyBorder="1">
      <alignment vertical="center"/>
    </xf>
    <xf numFmtId="183" fontId="0" fillId="0" borderId="26" xfId="1" applyNumberFormat="1" applyFont="1" applyBorder="1">
      <alignment vertical="center"/>
    </xf>
    <xf numFmtId="183" fontId="0" fillId="0" borderId="27" xfId="1" applyNumberFormat="1" applyFont="1" applyBorder="1">
      <alignment vertical="center"/>
    </xf>
    <xf numFmtId="183" fontId="0" fillId="0" borderId="30" xfId="1" applyNumberFormat="1" applyFont="1" applyBorder="1">
      <alignment vertical="center"/>
    </xf>
    <xf numFmtId="183" fontId="0" fillId="0" borderId="31" xfId="1" applyNumberFormat="1" applyFont="1" applyBorder="1">
      <alignment vertical="center"/>
    </xf>
    <xf numFmtId="184" fontId="0" fillId="0" borderId="6" xfId="0" applyNumberFormat="1" applyBorder="1">
      <alignment vertical="center"/>
    </xf>
    <xf numFmtId="184" fontId="0" fillId="0" borderId="7" xfId="0" applyNumberFormat="1" applyBorder="1">
      <alignment vertical="center"/>
    </xf>
    <xf numFmtId="184" fontId="0" fillId="0" borderId="10" xfId="0" applyNumberFormat="1" applyBorder="1">
      <alignment vertical="center"/>
    </xf>
    <xf numFmtId="184" fontId="0" fillId="0" borderId="11" xfId="0" applyNumberFormat="1" applyBorder="1">
      <alignment vertical="center"/>
    </xf>
    <xf numFmtId="184" fontId="0" fillId="0" borderId="14" xfId="0" applyNumberFormat="1" applyBorder="1">
      <alignment vertical="center"/>
    </xf>
    <xf numFmtId="184" fontId="0" fillId="0" borderId="15" xfId="0" applyNumberFormat="1" applyBorder="1">
      <alignment vertical="center"/>
    </xf>
    <xf numFmtId="185" fontId="0" fillId="0" borderId="10" xfId="0" applyNumberFormat="1" applyBorder="1">
      <alignment vertical="center"/>
    </xf>
    <xf numFmtId="185" fontId="0" fillId="0" borderId="11" xfId="0" applyNumberFormat="1" applyBorder="1">
      <alignment vertical="center"/>
    </xf>
    <xf numFmtId="14" fontId="9" fillId="7" borderId="45" xfId="0" applyNumberFormat="1" applyFont="1" applyFill="1" applyBorder="1" applyAlignment="1">
      <alignment horizontal="center" vertical="center"/>
    </xf>
    <xf numFmtId="182" fontId="0" fillId="0" borderId="0" xfId="0" applyNumberFormat="1">
      <alignment vertical="center"/>
    </xf>
    <xf numFmtId="183" fontId="0" fillId="0" borderId="0" xfId="1" applyNumberFormat="1" applyFont="1" applyBorder="1">
      <alignment vertical="center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181" fontId="0" fillId="0" borderId="0" xfId="0" applyNumberFormat="1">
      <alignment vertical="center"/>
    </xf>
    <xf numFmtId="14" fontId="6" fillId="5" borderId="0" xfId="0" applyNumberFormat="1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177" fontId="0" fillId="0" borderId="0" xfId="1" applyNumberFormat="1" applyFont="1" applyBorder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7" fillId="0" borderId="0" xfId="0" applyNumberFormat="1" applyFont="1">
      <alignment vertical="center"/>
    </xf>
    <xf numFmtId="0" fontId="4" fillId="3" borderId="46" xfId="0" applyFont="1" applyFill="1" applyBorder="1">
      <alignment vertical="center"/>
    </xf>
    <xf numFmtId="177" fontId="0" fillId="0" borderId="47" xfId="1" applyNumberFormat="1" applyFont="1" applyBorder="1">
      <alignment vertical="center"/>
    </xf>
    <xf numFmtId="177" fontId="0" fillId="0" borderId="27" xfId="1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1" defaultTableStyle="TableStyleMedium9" defaultPivotStyle="PivotStyleLight16">
    <tableStyle name="Invisible" pivot="0" table="0" count="0"/>
  </tableStyles>
  <colors>
    <mruColors>
      <color rgb="FFFF3399"/>
      <color rgb="FFFFFFCC"/>
      <color rgb="FFFF9900"/>
      <color rgb="FF3366FF"/>
      <color rgb="FF6666FF"/>
      <color rgb="FFFF6600"/>
      <color rgb="FFFF66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x20.1lKU</stp>
        <stp>127</stp>
        <stp>271716</stp>
        <tr r="AK99" s="1"/>
      </tp>
      <tp>
        <v>0</v>
        <stp/>
        <stp>H</stp>
        <stp>x21.1lKU</stp>
        <stp>128</stp>
        <stp>271716</stp>
        <tr r="AI99" s="1"/>
      </tp>
      <tp>
        <v>0</v>
        <stp/>
        <stp>H</stp>
        <stp>x22.1lKU</stp>
        <stp>129</stp>
        <stp>271716</stp>
        <tr r="AL99" s="1"/>
      </tp>
      <tp>
        <v>0</v>
        <stp/>
        <stp>H</stp>
        <stp>x23.1lKU</stp>
        <stp>130</stp>
        <stp>271716</stp>
        <tr r="AN99" s="1"/>
      </tp>
      <tp>
        <v>0</v>
        <stp/>
        <stp>H</stp>
        <stp>x18.1lKU</stp>
        <stp>125</stp>
        <stp>271716</stp>
        <tr r="H99" s="1"/>
      </tp>
      <tp>
        <v>0</v>
        <stp/>
        <stp>H</stp>
        <stp>x19.1lKU</stp>
        <stp>126</stp>
        <stp>271716</stp>
        <tr r="AM99" s="1"/>
      </tp>
      <tp>
        <v>0</v>
        <stp/>
        <stp>H</stp>
        <stp>x12.1lKU</stp>
        <stp>119</stp>
        <stp>271716</stp>
        <tr r="F99" s="1"/>
      </tp>
      <tp>
        <v>0</v>
        <stp/>
        <stp>H</stp>
        <stp>x11.1lKU</stp>
        <stp>118</stp>
        <stp>271716</stp>
        <tr r="N99" s="1"/>
      </tp>
      <tp>
        <v>0</v>
        <stp/>
        <stp>H</stp>
        <stp>x13.1lKU</stp>
        <stp>120</stp>
        <stp>271716</stp>
        <tr r="U99" s="1"/>
      </tp>
      <tp>
        <v>0</v>
        <stp/>
        <stp>H</stp>
        <stp>x10.1lKU</stp>
        <stp>117</stp>
        <stp>271716</stp>
        <tr r="K99" s="1"/>
      </tp>
      <tp>
        <v>0</v>
        <stp/>
        <stp>H</stp>
        <stp>x14.1lKU</stp>
        <stp>121</stp>
        <stp>271716</stp>
        <tr r="O99" s="1"/>
      </tp>
      <tp>
        <v>0</v>
        <stp/>
        <stp>H</stp>
        <stp>x15.1lKU</stp>
        <stp>122</stp>
        <stp>271716</stp>
        <tr r="AG99" s="1"/>
      </tp>
      <tp>
        <v>0</v>
        <stp/>
        <stp>H</stp>
        <stp>x16.1lKU</stp>
        <stp>123</stp>
        <stp>271716</stp>
        <tr r="S99" s="1"/>
      </tp>
      <tp>
        <v>0</v>
        <stp/>
        <stp>H</stp>
        <stp>x17.1lKU</stp>
        <stp>124</stp>
        <stp>271716</stp>
        <tr r="P99" s="1"/>
      </tp>
      <tp>
        <v>0</v>
        <stp/>
        <stp>H</stp>
        <stp>x6.1lKU</stp>
        <stp>113</stp>
        <stp>271716</stp>
        <tr r="D99" s="1"/>
      </tp>
      <tp>
        <v>0</v>
        <stp/>
        <stp>H</stp>
        <stp>x7.1lKU</stp>
        <stp>114</stp>
        <stp>271716</stp>
        <tr r="AD99" s="1"/>
      </tp>
      <tp>
        <v>0</v>
        <stp/>
        <stp>H</stp>
        <stp>x4.1lKU</stp>
        <stp>111</stp>
        <stp>271716</stp>
        <tr r="G99" s="1"/>
      </tp>
      <tp>
        <v>0</v>
        <stp/>
        <stp>H</stp>
        <stp>x5.1lKU</stp>
        <stp>112</stp>
        <stp>271716</stp>
        <tr r="M99" s="1"/>
      </tp>
      <tp>
        <v>0</v>
        <stp/>
        <stp>H</stp>
        <stp>x2.1lKU</stp>
        <stp>109</stp>
        <stp>271716</stp>
        <tr r="T99" s="1"/>
      </tp>
      <tp>
        <v>0</v>
        <stp/>
        <stp>H</stp>
        <stp>x3.1lKU</stp>
        <stp>110</stp>
        <stp>271716</stp>
        <tr r="Q99" s="1"/>
      </tp>
      <tp>
        <v>0</v>
        <stp/>
        <stp>H</stp>
        <stp>x1.1lKU</stp>
        <stp>108</stp>
        <stp>271716</stp>
        <tr r="I99" s="1"/>
      </tp>
      <tp>
        <v>0</v>
        <stp/>
        <stp>H</stp>
        <stp>x8.1lKU</stp>
        <stp>115</stp>
        <stp>271716</stp>
        <tr r="V99" s="1"/>
      </tp>
      <tp>
        <v>0</v>
        <stp/>
        <stp>H</stp>
        <stp>x9.1lKU</stp>
        <stp>116</stp>
        <stp>271716</stp>
        <tr r="AF99" s="1"/>
      </tp>
      <tp>
        <v>0</v>
        <stp/>
        <stp>H</stp>
        <stp>x1.0lKU</stp>
        <stp>107</stp>
        <stp>271716</stp>
        <tr r="J99" s="1"/>
      </tp>
      <tp>
        <v>1279.652</v>
        <stp/>
        <stp>P</stp>
        <stp>0</stp>
        <stp>FRN</stp>
        <stp>MSI:GB</stp>
        <stp>현재가</stp>
        <stp>45688</stp>
        <stp>fill=true</stp>
        <tr r="H52" s="1"/>
      </tp>
      <tp>
        <v>64.897000000000006</v>
        <stp/>
        <stp>P</stp>
        <stp>0</stp>
        <stp>FRN</stp>
        <stp>MSI:CN</stp>
        <stp>현재가</stp>
        <stp>45688</stp>
        <stp>fill=true</stp>
        <tr r="F52" s="1"/>
      </tp>
      <tp>
        <v>3992.2710000000002</v>
        <stp/>
        <stp>P</stp>
        <stp>0</stp>
        <stp>FRN</stp>
        <stp>MSI:JP</stp>
        <stp>현재가</stp>
        <stp>45688</stp>
        <stp>fill=true</stp>
        <tr r="G52" s="1"/>
      </tp>
      <tp>
        <v>986.85599999999999</v>
        <stp/>
        <stp>P</stp>
        <stp>0</stp>
        <stp>FRN</stp>
        <stp>MSI:IN</stp>
        <stp>현재가</stp>
        <stp>45688</stp>
        <stp>fill=true</stp>
        <tr r="I52" s="1"/>
      </tp>
      <tp>
        <v>5783.64</v>
        <stp/>
        <stp>P</stp>
        <stp>0</stp>
        <stp>FRN</stp>
        <stp>MSI:US</stp>
        <stp>현재가</stp>
        <stp>45688</stp>
        <stp>fill=true</stp>
        <tr r="E52" s="1"/>
      </tp>
      <tp>
        <v>1431.3</v>
        <stp/>
        <stp>P</stp>
        <stp>0</stp>
        <stp>FX</stp>
        <stp>USDSP_AMBC</stp>
        <stp>종가</stp>
        <stp>45681</stp>
        <stp>FILL=TRUE</stp>
        <tr r="H27" s="1"/>
      </tp>
      <tp>
        <v>1431.3</v>
        <stp/>
        <stp>P</stp>
        <stp>0</stp>
        <stp>FX</stp>
        <stp>USDSP_AMBC</stp>
        <stp>종가</stp>
        <stp>45681</stp>
        <stp>fill=true</stp>
        <tr r="G27" s="1"/>
        <tr r="F27" s="1"/>
      </tp>
      <tp>
        <v>1331.8</v>
        <stp/>
        <stp>P</stp>
        <stp>0</stp>
        <stp>FX</stp>
        <stp>USDSP_AMBC</stp>
        <stp>종가</stp>
        <stp>45323</stp>
        <stp>FILL=TRUE</stp>
        <tr r="I27" s="1"/>
      </tp>
      <tp>
        <v>1452.7</v>
        <stp/>
        <stp>P</stp>
        <stp>0</stp>
        <stp>FX</stp>
        <stp>USDSP_AMBC</stp>
        <stp>종가</stp>
        <stp>45688</stp>
        <stp>fill=true</stp>
        <tr r="G27" s="1"/>
        <tr r="H27" s="1"/>
        <tr r="I27" s="1"/>
        <tr r="E27" s="1"/>
      </tp>
      <tp>
        <v>-3.35</v>
        <stp/>
        <stp>P</stp>
        <stp>0</stp>
        <stp>FUT</stp>
        <stp>C01</stp>
        <stp>전일대비</stp>
        <stp>45688</stp>
        <stp>fill=true</stp>
        <tr r="G16" s="1"/>
      </tp>
      <tp>
        <v>3.2040000000000002</v>
        <stp/>
        <stp>P</stp>
        <stp>0</stp>
        <stp>IR</stp>
        <stp>BONDKSDCAL07</stp>
        <stp>대표수익률</stp>
        <stp>45688</stp>
        <stp>fill=true</stp>
        <tr r="H22" s="1"/>
        <tr r="I22" s="1"/>
        <tr r="E22" s="1"/>
      </tp>
      <tp>
        <v>2.573</v>
        <stp/>
        <stp>P</stp>
        <stp>0</stp>
        <stp>IR</stp>
        <stp>BONDKSDCAL11</stp>
        <stp>대표수익률</stp>
        <stp>45688</stp>
        <stp>fill=true</stp>
        <tr r="H19" s="1"/>
        <tr r="I19" s="1"/>
        <tr r="E19" s="1"/>
      </tp>
      <tp>
        <v>3.03</v>
        <stp/>
        <stp>P</stp>
        <stp>0</stp>
        <stp>IR</stp>
        <stp>BONDKSDCAL08</stp>
        <stp>대표수익률</stp>
        <stp>45681</stp>
        <stp>FILL=TRUE</stp>
        <tr r="H23" s="1"/>
      </tp>
      <tp>
        <v>3.03</v>
        <stp/>
        <stp>P</stp>
        <stp>0</stp>
        <stp>IR</stp>
        <stp>BONDKSDCAL08</stp>
        <stp>대표수익률</stp>
        <stp>45681</stp>
        <stp>fill=true</stp>
        <tr r="F23" s="1"/>
      </tp>
      <tp>
        <v>3.68</v>
        <stp/>
        <stp>P</stp>
        <stp>0</stp>
        <stp>IR</stp>
        <stp>BONDKSDCAL08</stp>
        <stp>대표수익률</stp>
        <stp>45323</stp>
        <stp>FILL=TRUE</stp>
        <tr r="I23" s="1"/>
      </tp>
      <tp>
        <v>2.859</v>
        <stp/>
        <stp>P</stp>
        <stp>0</stp>
        <stp>IR</stp>
        <stp>BONDKSDCAL13</stp>
        <stp>대표수익률</stp>
        <stp>45688</stp>
        <stp>fill=true</stp>
        <tr r="I21" s="1"/>
        <tr r="H21" s="1"/>
        <tr r="E21" s="1"/>
      </tp>
      <tp>
        <v>23.6</v>
        <stp/>
        <stp>P</stp>
        <stp>0</stp>
        <stp>FUT</stp>
        <stp>C75</stp>
        <stp>전일대비</stp>
        <stp>45688</stp>
        <stp>fill=true</stp>
        <tr r="G32" s="1"/>
      </tp>
      <tp>
        <v>2.7010000000000001</v>
        <stp/>
        <stp>P</stp>
        <stp>0</stp>
        <stp>IR</stp>
        <stp>BONDKSDCAL12</stp>
        <stp>대표수익률</stp>
        <stp>45688</stp>
        <stp>fill=true</stp>
        <tr r="I20" s="1"/>
        <tr r="H20" s="1"/>
        <tr r="E20" s="1"/>
      </tp>
      <tp>
        <v>-0.03</v>
        <stp/>
        <stp>P</stp>
        <stp>0</stp>
        <stp>FUT</stp>
        <stp>C65</stp>
        <stp>전일대비</stp>
        <stp>45688</stp>
        <stp>fill=true</stp>
        <tr r="G24" s="1"/>
      </tp>
      <tp>
        <v>1.2419</v>
        <stp/>
        <stp>P</stp>
        <stp>0</stp>
        <stp>IR</stp>
        <stp>JP10Y</stp>
        <stp>종가</stp>
        <stp>45688</stp>
        <stp>fill=true</stp>
        <tr r="G56" s="1"/>
        <tr r="G56" s="1"/>
      </tp>
      <tp>
        <v>0.90739999999999998</v>
        <stp/>
        <stp>P</stp>
        <stp>0</stp>
        <stp>IR</stp>
        <stp>JP05Y</stp>
        <stp>종가</stp>
        <stp>45688</stp>
        <stp>fill=true</stp>
        <tr r="G55" s="1"/>
        <tr r="G55" s="1"/>
      </tp>
      <tp>
        <v>0.74</v>
        <stp/>
        <stp>P</stp>
        <stp>0</stp>
        <stp>IR</stp>
        <stp>JP03Y</stp>
        <stp>종가</stp>
        <stp>45688</stp>
        <stp>fill=true</stp>
        <tr r="G54" s="1"/>
        <tr r="G54" s="1"/>
      </tp>
      <tp>
        <v>0.54400000000000004</v>
        <stp/>
        <stp>P</stp>
        <stp>0</stp>
        <stp>IR</stp>
        <stp>JP01Y</stp>
        <stp>종가</stp>
        <stp>45688</stp>
        <stp>fill=true</stp>
        <tr r="G53" s="1"/>
        <tr r="G53" s="1"/>
      </tp>
      <tp>
        <v>4.0010000000000003</v>
        <stp/>
        <stp>P</stp>
        <stp>0</stp>
        <stp>IR</stp>
        <stp>BONDKSDCAL07</stp>
        <stp>대표수익률</stp>
        <stp>45323</stp>
        <stp>FILL=TRUE</stp>
        <tr r="I22" s="1"/>
      </tp>
      <tp>
        <v>4.5430000000000001</v>
        <stp/>
        <stp>P</stp>
        <stp>0</stp>
        <stp>IR</stp>
        <stp>US10Y</stp>
        <stp>종가</stp>
        <stp>45688</stp>
        <stp>fill=true</stp>
        <tr r="E56" s="1"/>
        <tr r="E56" s="1"/>
      </tp>
      <tp>
        <v>4.3330000000000002</v>
        <stp/>
        <stp>P</stp>
        <stp>0</stp>
        <stp>IR</stp>
        <stp>US05Y</stp>
        <stp>종가</stp>
        <stp>45688</stp>
        <stp>fill=true</stp>
        <tr r="E55" s="1"/>
        <tr r="E55" s="1"/>
      </tp>
      <tp>
        <v>4.2480000000000002</v>
        <stp/>
        <stp>P</stp>
        <stp>0</stp>
        <stp>IR</stp>
        <stp>US03Y</stp>
        <stp>종가</stp>
        <stp>45688</stp>
        <stp>fill=true</stp>
        <tr r="E54" s="1"/>
        <tr r="E54" s="1"/>
      </tp>
      <tp>
        <v>4.1509999999999998</v>
        <stp/>
        <stp>P</stp>
        <stp>0</stp>
        <stp>IR</stp>
        <stp>US01Y</stp>
        <stp>종가</stp>
        <stp>45688</stp>
        <stp>fill=true</stp>
        <tr r="E53" s="1"/>
        <tr r="E53" s="1"/>
      </tp>
      <tp>
        <v>3.21</v>
        <stp/>
        <stp>P</stp>
        <stp>0</stp>
        <stp>IR</stp>
        <stp>BONDKSDCAL07</stp>
        <stp>대표수익률</stp>
        <stp>45681</stp>
        <stp>FILL=TRUE</stp>
        <tr r="H22" s="1"/>
      </tp>
      <tp>
        <v>3.21</v>
        <stp/>
        <stp>P</stp>
        <stp>0</stp>
        <stp>IR</stp>
        <stp>BONDKSDCAL07</stp>
        <stp>대표수익률</stp>
        <stp>45681</stp>
        <stp>fill=true</stp>
        <tr r="F22" s="1"/>
      </tp>
      <tp>
        <v>3.2930000000000001</v>
        <stp/>
        <stp>P</stp>
        <stp>0</stp>
        <stp>IR</stp>
        <stp>BONDKSDCAL12</stp>
        <stp>대표수익률</stp>
        <stp>45323</stp>
        <stp>FILL=TRUE</stp>
        <tr r="I20" s="1"/>
      </tp>
      <tp>
        <v>-6.0000000000000001E-3</v>
        <stp/>
        <stp>P</stp>
        <stp>0</stp>
        <stp>IR</stp>
        <stp>BONDKSDCAL07</stp>
        <stp>전일대비</stp>
        <stp>45688</stp>
        <stp>fill=true</stp>
        <tr r="G22" s="1"/>
      </tp>
      <tp>
        <v>0</v>
        <stp/>
        <stp>P</stp>
        <stp>0</stp>
        <stp>IR</stp>
        <stp>BONDKSDCAL08</stp>
        <stp>전일대비</stp>
        <stp>45688</stp>
        <stp>fill=true</stp>
        <tr r="G23" s="1"/>
      </tp>
      <tp>
        <v>3.339</v>
        <stp/>
        <stp>P</stp>
        <stp>0</stp>
        <stp>IR</stp>
        <stp>BONDKSDCAL13</stp>
        <stp>대표수익률</stp>
        <stp>45323</stp>
        <stp>FILL=TRUE</stp>
        <tr r="I21" s="1"/>
      </tp>
      <tp>
        <v>2.57</v>
        <stp/>
        <stp>P</stp>
        <stp>0</stp>
        <stp>IR</stp>
        <stp>BONDKSDCAL11</stp>
        <stp>대표수익률</stp>
        <stp>45681</stp>
        <stp>FILL=TRUE</stp>
        <tr r="H19" s="1"/>
      </tp>
      <tp>
        <v>2.57</v>
        <stp/>
        <stp>P</stp>
        <stp>0</stp>
        <stp>IR</stp>
        <stp>BONDKSDCAL11</stp>
        <stp>대표수익률</stp>
        <stp>45681</stp>
        <stp>fill=true</stp>
        <tr r="F19" s="1"/>
      </tp>
      <tp>
        <v>3.03</v>
        <stp/>
        <stp>P</stp>
        <stp>0</stp>
        <stp>IR</stp>
        <stp>BONDKSDCAL08</stp>
        <stp>대표수익률</stp>
        <stp>45688</stp>
        <stp>fill=true</stp>
        <tr r="I23" s="1"/>
        <tr r="H23" s="1"/>
        <tr r="E23" s="1"/>
      </tp>
      <tp>
        <v>0</v>
        <stp/>
        <stp>P</stp>
        <stp>0</stp>
        <stp>IR</stp>
        <stp>BONDKSDCAL13</stp>
        <stp>전일대비</stp>
        <stp>45688</stp>
        <stp>fill=true</stp>
        <tr r="G21" s="1"/>
      </tp>
      <tp>
        <v>-3.0000000000000001E-3</v>
        <stp/>
        <stp>P</stp>
        <stp>0</stp>
        <stp>IR</stp>
        <stp>BONDKSDCAL12</stp>
        <stp>전일대비</stp>
        <stp>45688</stp>
        <stp>fill=true</stp>
        <tr r="G20" s="1"/>
      </tp>
      <tp>
        <v>3.0000000000000001E-3</v>
        <stp/>
        <stp>P</stp>
        <stp>0</stp>
        <stp>IR</stp>
        <stp>BONDKSDCAL11</stp>
        <stp>전일대비</stp>
        <stp>45688</stp>
        <stp>fill=true</stp>
        <tr r="G19" s="1"/>
      </tp>
      <tp>
        <v>2.7040000000000002</v>
        <stp/>
        <stp>P</stp>
        <stp>0</stp>
        <stp>IR</stp>
        <stp>BONDKSDCAL12</stp>
        <stp>대표수익률</stp>
        <stp>45681</stp>
        <stp>FILL=TRUE</stp>
        <tr r="H20" s="1"/>
      </tp>
      <tp>
        <v>2.7040000000000002</v>
        <stp/>
        <stp>P</stp>
        <stp>0</stp>
        <stp>IR</stp>
        <stp>BONDKSDCAL12</stp>
        <stp>대표수익률</stp>
        <stp>45681</stp>
        <stp>fill=true</stp>
        <tr r="F20" s="1"/>
      </tp>
      <tp>
        <v>3.2669999999999999</v>
        <stp/>
        <stp>P</stp>
        <stp>0</stp>
        <stp>IR</stp>
        <stp>BONDKSDCAL11</stp>
        <stp>대표수익률</stp>
        <stp>45323</stp>
        <stp>FILL=TRUE</stp>
        <tr r="I19" s="1"/>
      </tp>
      <tp>
        <v>2.859</v>
        <stp/>
        <stp>P</stp>
        <stp>0</stp>
        <stp>IR</stp>
        <stp>BONDKSDCAL13</stp>
        <stp>대표수익률</stp>
        <stp>45681</stp>
        <stp>FILL=TRUE</stp>
        <tr r="H21" s="1"/>
      </tp>
      <tp>
        <v>2.859</v>
        <stp/>
        <stp>P</stp>
        <stp>0</stp>
        <stp>IR</stp>
        <stp>BONDKSDCAL13</stp>
        <stp>대표수익률</stp>
        <stp>45681</stp>
        <stp>fill=true</stp>
        <tr r="F21" s="1"/>
      </tp>
      <tp>
        <v>-19.43</v>
        <stp/>
        <stp>P</stp>
        <stp>0</stp>
        <stp>IDX</stp>
        <stp>001</stp>
        <stp>전일대비</stp>
        <stp>45688</stp>
        <stp>fill=true</stp>
        <tr r="G7" s="1"/>
      </tp>
      <tp>
        <v>-0.45</v>
        <stp/>
        <stp>P</stp>
        <stp>0</stp>
        <stp>IDX</stp>
        <stp>801</stp>
        <stp>전일대비</stp>
        <stp>45688</stp>
        <stp>fill=true</stp>
        <tr r="G13" s="1"/>
      </tp>
      <tp>
        <v>167488</v>
        <stp/>
        <stp>P</stp>
        <stp>0</stp>
        <stp>FUT</stp>
        <stp>C65</stp>
        <stp>거래량</stp>
        <stp>45681</stp>
        <stp>FILL=TRUE</stp>
        <tr r="H25" s="1"/>
      </tp>
      <tp>
        <v>167488</v>
        <stp/>
        <stp>P</stp>
        <stp>0</stp>
        <stp>FUT</stp>
        <stp>C65</stp>
        <stp>거래량</stp>
        <stp>45681</stp>
        <stp>fill=true</stp>
        <tr r="G25" s="1"/>
        <tr r="F25" s="1"/>
      </tp>
      <tp>
        <v>428724</v>
        <stp/>
        <stp>P</stp>
        <stp>0</stp>
        <stp>FUT</stp>
        <stp>C75</stp>
        <stp>거래량</stp>
        <stp>45681</stp>
        <stp>FILL=TRUE</stp>
        <tr r="H33" s="1"/>
      </tp>
      <tp>
        <v>428724</v>
        <stp/>
        <stp>P</stp>
        <stp>0</stp>
        <stp>FUT</stp>
        <stp>C75</stp>
        <stp>거래량</stp>
        <stp>45681</stp>
        <stp>fill=true</stp>
        <tr r="G33" s="1"/>
        <tr r="F33" s="1"/>
      </tp>
      <tp>
        <v>178483</v>
        <stp/>
        <stp>P</stp>
        <stp>0</stp>
        <stp>FUT</stp>
        <stp>C01</stp>
        <stp>거래량</stp>
        <stp>45681</stp>
        <stp>FILL=TRUE</stp>
        <tr r="H17" s="1"/>
      </tp>
      <tp>
        <v>178483</v>
        <stp/>
        <stp>P</stp>
        <stp>0</stp>
        <stp>FUT</stp>
        <stp>C01</stp>
        <stp>거래량</stp>
        <stp>45681</stp>
        <stp>fill=true</stp>
        <tr r="G17" s="1"/>
        <tr r="F17" s="1"/>
      </tp>
      <tp>
        <v>-3.38</v>
        <stp/>
        <stp>P</stp>
        <stp>0</stp>
        <stp>IDX</stp>
        <stp>211</stp>
        <stp>전일대비</stp>
        <stp>45688</stp>
        <stp>fill=true</stp>
        <tr r="G10" s="1"/>
      </tp>
      <tp>
        <v>142379</v>
        <stp/>
        <stp>P</stp>
        <stp>0</stp>
        <stp>FUT</stp>
        <stp>C65</stp>
        <stp>거래량</stp>
        <stp>45323</stp>
        <stp>FILL=TRUE</stp>
        <tr r="I25" s="1"/>
      </tp>
      <tp>
        <v>436793</v>
        <stp/>
        <stp>P</stp>
        <stp>0</stp>
        <stp>FUT</stp>
        <stp>C75</stp>
        <stp>거래량</stp>
        <stp>45323</stp>
        <stp>FILL=TRUE</stp>
        <tr r="I33" s="1"/>
      </tp>
      <tp>
        <v>307757</v>
        <stp/>
        <stp>P</stp>
        <stp>0</stp>
        <stp>FUT</stp>
        <stp>C01</stp>
        <stp>거래량</stp>
        <stp>45323</stp>
        <stp>FILL=TRUE</stp>
        <tr r="I17" s="1"/>
      </tp>
      <tp>
        <v>1.6458999999999999</v>
        <stp/>
        <stp>P</stp>
        <stp>0</stp>
        <stp>IR</stp>
        <stp>RM10Y</stp>
        <stp>종가</stp>
        <stp>45688</stp>
        <stp>fill=true</stp>
        <tr r="F56" s="1"/>
        <tr r="F56" s="1"/>
      </tp>
      <tp>
        <v>1.417</v>
        <stp/>
        <stp>P</stp>
        <stp>0</stp>
        <stp>IR</stp>
        <stp>RM05Y</stp>
        <stp>종가</stp>
        <stp>45688</stp>
        <stp>fill=true</stp>
        <tr r="F55" s="1"/>
        <tr r="F55" s="1"/>
      </tp>
      <tp>
        <v>1.3049999999999999</v>
        <stp/>
        <stp>P</stp>
        <stp>0</stp>
        <stp>IR</stp>
        <stp>RM03Y</stp>
        <stp>종가</stp>
        <stp>45688</stp>
        <stp>fill=true</stp>
        <tr r="F54" s="1"/>
        <tr r="F54" s="1"/>
      </tp>
      <tp>
        <v>1.2386999999999999</v>
        <stp/>
        <stp>P</stp>
        <stp>0</stp>
        <stp>IR</stp>
        <stp>RM01Y</stp>
        <stp>종가</stp>
        <stp>45688</stp>
        <stp>fill=true</stp>
        <tr r="F53" s="1"/>
        <tr r="F53" s="1"/>
      </tp>
      <tp>
        <v>335.85</v>
        <stp/>
        <stp>P</stp>
        <stp>0</stp>
        <stp>FUT</stp>
        <stp>C01</stp>
        <stp>현재가</stp>
        <stp>45681</stp>
        <stp>FILL=TRUE</stp>
        <tr r="H16" s="1"/>
        <tr r="H16" s="1"/>
      </tp>
      <tp>
        <v>335.85</v>
        <stp/>
        <stp>P</stp>
        <stp>0</stp>
        <stp>FUT</stp>
        <stp>C01</stp>
        <stp>현재가</stp>
        <stp>45681</stp>
        <stp>fill=true</stp>
        <tr r="F16" s="1"/>
      </tp>
      <tp>
        <v>1430</v>
        <stp/>
        <stp>P</stp>
        <stp>0</stp>
        <stp>FUT</stp>
        <stp>C75</stp>
        <stp>현재가</stp>
        <stp>45681</stp>
        <stp>FILL=TRUE</stp>
        <tr r="H32" s="1"/>
        <tr r="H32" s="1"/>
      </tp>
      <tp>
        <v>1430</v>
        <stp/>
        <stp>P</stp>
        <stp>0</stp>
        <stp>FUT</stp>
        <stp>C75</stp>
        <stp>현재가</stp>
        <stp>45681</stp>
        <stp>fill=true</stp>
        <tr r="F32" s="1"/>
      </tp>
      <tp>
        <v>106.91</v>
        <stp/>
        <stp>P</stp>
        <stp>0</stp>
        <stp>FUT</stp>
        <stp>C65</stp>
        <stp>현재가</stp>
        <stp>45681</stp>
        <stp>FILL=TRUE</stp>
        <tr r="H24" s="1"/>
        <tr r="H24" s="1"/>
      </tp>
      <tp>
        <v>106.91</v>
        <stp/>
        <stp>P</stp>
        <stp>0</stp>
        <stp>FUT</stp>
        <stp>C65</stp>
        <stp>현재가</stp>
        <stp>45681</stp>
        <stp>fill=true</stp>
        <tr r="F24" s="1"/>
      </tp>
      <tp>
        <v>342.15</v>
        <stp/>
        <stp>P</stp>
        <stp>0</stp>
        <stp>FUT</stp>
        <stp>C01</stp>
        <stp>현재가</stp>
        <stp>45323</stp>
        <stp>FILL=TRUE</stp>
        <tr r="I16" s="1"/>
        <tr r="I16" s="1"/>
      </tp>
      <tp>
        <v>1330.9</v>
        <stp/>
        <stp>P</stp>
        <stp>0</stp>
        <stp>FUT</stp>
        <stp>C75</stp>
        <stp>현재가</stp>
        <stp>45323</stp>
        <stp>FILL=TRUE</stp>
        <tr r="I32" s="1"/>
        <tr r="I32" s="1"/>
      </tp>
      <tp>
        <v>104.93</v>
        <stp/>
        <stp>P</stp>
        <stp>0</stp>
        <stp>FUT</stp>
        <stp>C65</stp>
        <stp>현재가</stp>
        <stp>45323</stp>
        <stp>FILL=TRUE</stp>
        <tr r="I24" s="1"/>
        <tr r="I24" s="1"/>
      </tp>
      <tp>
        <v>6.7380000000000004</v>
        <stp/>
        <stp>P</stp>
        <stp>0</stp>
        <stp>IR</stp>
        <stp>IN10Y</stp>
        <stp>종가</stp>
        <stp>45688</stp>
        <stp>fill=true</stp>
        <tr r="I56" s="1"/>
        <tr r="I56" s="1"/>
      </tp>
      <tp>
        <v>6.6890000000000001</v>
        <stp/>
        <stp>P</stp>
        <stp>0</stp>
        <stp>IR</stp>
        <stp>IN05Y</stp>
        <stp>종가</stp>
        <stp>45688</stp>
        <stp>fill=true</stp>
        <tr r="I55" s="1"/>
        <tr r="I55" s="1"/>
      </tp>
      <tp t="s">
        <v/>
        <stp/>
        <stp>P</stp>
        <stp>0</stp>
        <stp>IR</stp>
        <stp>IN03Y</stp>
        <stp>종가</stp>
        <stp>45688</stp>
        <stp>fill=true</stp>
        <tr r="I54" s="1"/>
      </tp>
      <tp>
        <v>6.649</v>
        <stp/>
        <stp>P</stp>
        <stp>0</stp>
        <stp>IR</stp>
        <stp>IN01Y</stp>
        <stp>종가</stp>
        <stp>45688</stp>
        <stp>fill=true</stp>
        <tr r="I53" s="1"/>
        <tr r="I53" s="1"/>
      </tp>
      <tp>
        <v>162053</v>
        <stp/>
        <stp>P</stp>
        <stp>0</stp>
        <stp>FUT</stp>
        <stp>C65</stp>
        <stp>거래량</stp>
        <stp>45688</stp>
        <stp>fill=true</stp>
        <tr r="G25" s="1"/>
        <tr r="H25" s="1"/>
        <tr r="I25" s="1"/>
        <tr r="E25" s="1"/>
      </tp>
      <tp>
        <v>475725</v>
        <stp/>
        <stp>P</stp>
        <stp>0</stp>
        <stp>FUT</stp>
        <stp>C75</stp>
        <stp>거래량</stp>
        <stp>45688</stp>
        <stp>fill=true</stp>
        <tr r="G33" s="1"/>
        <tr r="I33" s="1"/>
        <tr r="H33" s="1"/>
        <tr r="E33" s="1"/>
      </tp>
      <tp>
        <v>232705</v>
        <stp/>
        <stp>P</stp>
        <stp>0</stp>
        <stp>FUT</stp>
        <stp>C01</stp>
        <stp>거래량</stp>
        <stp>45688</stp>
        <stp>fill=true</stp>
        <tr r="G17" s="1"/>
        <tr r="H17" s="1"/>
        <tr r="I17" s="1"/>
        <tr r="E17" s="1"/>
      </tp>
      <tp>
        <v>4.5434999999999999</v>
        <stp/>
        <stp>P</stp>
        <stp>0</stp>
        <stp>IR</stp>
        <stp>GB10Y</stp>
        <stp>종가</stp>
        <stp>45688</stp>
        <stp>fill=true</stp>
        <tr r="H56" s="1"/>
        <tr r="H56" s="1"/>
      </tp>
      <tp>
        <v>4.2427000000000001</v>
        <stp/>
        <stp>P</stp>
        <stp>0</stp>
        <stp>IR</stp>
        <stp>GB05Y</stp>
        <stp>종가</stp>
        <stp>45688</stp>
        <stp>fill=true</stp>
        <tr r="H55" s="1"/>
        <tr r="H55" s="1"/>
      </tp>
      <tp>
        <v>4.0426000000000002</v>
        <stp/>
        <stp>P</stp>
        <stp>0</stp>
        <stp>IR</stp>
        <stp>GB03Y</stp>
        <stp>종가</stp>
        <stp>45688</stp>
        <stp>fill=true</stp>
        <tr r="H54" s="1"/>
        <tr r="H54" s="1"/>
      </tp>
      <tp>
        <v>4.4137000000000004</v>
        <stp/>
        <stp>P</stp>
        <stp>0</stp>
        <stp>IR</stp>
        <stp>GB01Y</stp>
        <stp>종가</stp>
        <stp>45688</stp>
        <stp>fill=true</stp>
        <tr r="H53" s="1"/>
        <tr r="H53" s="1"/>
      </tp>
      <tp>
        <v>332.5</v>
        <stp/>
        <stp>P</stp>
        <stp>0</stp>
        <stp>FUT</stp>
        <stp>C01</stp>
        <stp>현재가</stp>
        <stp>45688</stp>
        <stp>fill=true</stp>
        <tr r="H16" s="1"/>
        <tr r="I16" s="1"/>
        <tr r="E16" s="1"/>
      </tp>
      <tp>
        <v>1453.6</v>
        <stp/>
        <stp>P</stp>
        <stp>0</stp>
        <stp>FUT</stp>
        <stp>C75</stp>
        <stp>현재가</stp>
        <stp>45688</stp>
        <stp>fill=true</stp>
        <tr r="H32" s="1"/>
        <tr r="I32" s="1"/>
        <tr r="E32" s="1"/>
      </tp>
      <tp>
        <v>106.88</v>
        <stp/>
        <stp>P</stp>
        <stp>0</stp>
        <stp>FUT</stp>
        <stp>C65</stp>
        <stp>현재가</stp>
        <stp>45688</stp>
        <stp>fill=true</stp>
        <tr r="H24" s="1"/>
        <tr r="I24" s="1"/>
        <tr r="E24" s="1"/>
      </tp>
      <tp>
        <v>3250.6</v>
        <stp/>
        <stp>P</stp>
        <stp>0</stp>
        <stp>FRN</stp>
        <stp>SHS:000001</stp>
        <stp>현재가</stp>
        <stp>45688</stp>
        <stp>fill=true</stp>
        <tr r="F51" s="1"/>
      </tp>
      <tp>
        <v>197.51</v>
        <stp/>
        <stp>P</stp>
        <stp>0</stp>
        <stp>FX</stp>
        <stp>CNYKRW</stp>
        <stp>한국종가</stp>
        <stp>45681</stp>
        <stp>FILL=TRUE</stp>
        <tr r="H29" s="1"/>
      </tp>
      <tp>
        <v>197.51</v>
        <stp/>
        <stp>P</stp>
        <stp>0</stp>
        <stp>FX</stp>
        <stp>CNYKRW</stp>
        <stp>한국종가</stp>
        <stp>45681</stp>
        <stp>fill=true</stp>
        <tr r="F29" s="1"/>
        <tr r="G29" s="1"/>
      </tp>
      <tp>
        <v>2788.66</v>
        <stp/>
        <stp>P</stp>
        <stp>0</stp>
        <stp>FRN</stp>
        <stp>TSE:TSI01</stp>
        <stp>현재가</stp>
        <stp>45688</stp>
        <stp>fill=true</stp>
        <tr r="G51" s="1"/>
      </tp>
      <tp>
        <v>2517.37</v>
        <stp/>
        <stp>P</stp>
        <stp>0</stp>
        <stp>IDX</stp>
        <stp>001</stp>
        <stp>현재가</stp>
        <stp>45688</stp>
        <stp>fill=true</stp>
        <tr r="I7" s="1"/>
        <tr r="H7" s="1"/>
        <tr r="E7" s="1"/>
      </tp>
      <tp>
        <v>77500.570000000007</v>
        <stp/>
        <stp>P</stp>
        <stp>0</stp>
        <stp>FRN</stp>
        <stp>INI:BSE30</stp>
        <stp>현재가</stp>
        <stp>45688</stp>
        <stp>fill=true</stp>
        <tr r="I51" s="1"/>
      </tp>
      <tp>
        <v>728.74</v>
        <stp/>
        <stp>P</stp>
        <stp>0</stp>
        <stp>IDX</stp>
        <stp>801</stp>
        <stp>현재가</stp>
        <stp>45681</stp>
        <stp>FILL=TRUE</stp>
        <tr r="H13" s="1"/>
        <tr r="H13" s="1"/>
      </tp>
      <tp>
        <v>728.74</v>
        <stp/>
        <stp>P</stp>
        <stp>0</stp>
        <stp>IDX</stp>
        <stp>801</stp>
        <stp>현재가</stp>
        <stp>45681</stp>
        <stp>fill=true</stp>
        <tr r="F13" s="1"/>
      </tp>
      <tp>
        <v>185.54</v>
        <stp/>
        <stp>P</stp>
        <stp>0</stp>
        <stp>FX</stp>
        <stp>CNYKRW</stp>
        <stp>한국종가</stp>
        <stp>45323</stp>
        <stp>FILL=TRUE</stp>
        <tr r="I29" s="1"/>
      </tp>
      <tp>
        <v>333.36</v>
        <stp/>
        <stp>P</stp>
        <stp>0</stp>
        <stp>IDX</stp>
        <stp>211</stp>
        <stp>현재가</stp>
        <stp>45688</stp>
        <stp>fill=true</stp>
        <tr r="I10" s="1"/>
        <tr r="H10" s="1"/>
        <tr r="E10" s="1"/>
      </tp>
      <tp>
        <v>7.2446000000000002</v>
        <stp/>
        <stp>P</stp>
        <stp>0</stp>
        <stp>FX</stp>
        <stp>USDCNY</stp>
        <stp>한국종가</stp>
        <stp>45688</stp>
        <stp>fill=true</stp>
        <tr r="I28" s="1"/>
        <tr r="H28" s="1"/>
        <tr r="G28" s="1"/>
        <tr r="E28" s="1"/>
      </tp>
      <tp>
        <v>798.73</v>
        <stp/>
        <stp>P</stp>
        <stp>0</stp>
        <stp>IDX</stp>
        <stp>801</stp>
        <stp>현재가</stp>
        <stp>45323</stp>
        <stp>FILL=TRUE</stp>
        <tr r="I13" s="1"/>
        <tr r="I13" s="1"/>
      </tp>
      <tp>
        <v>8673.9599999999991</v>
        <stp/>
        <stp>P</stp>
        <stp>0</stp>
        <stp>FRN</stp>
        <stp>LNS:FTSE100</stp>
        <stp>현재가</stp>
        <stp>45688</stp>
        <stp>fill=true</stp>
        <tr r="H51" s="1"/>
      </tp>
      <tp>
        <v>1.08003</v>
        <stp/>
        <stp>P</stp>
        <stp>0</stp>
        <stp>FX</stp>
        <stp>EURUSD</stp>
        <stp>한국종가</stp>
        <stp>45323</stp>
        <stp>FILL=TRUE</stp>
        <tr r="I31" s="1"/>
      </tp>
      <tp>
        <v>1.0455099999999999</v>
        <stp/>
        <stp>P</stp>
        <stp>0</stp>
        <stp>FX</stp>
        <stp>EURUSD</stp>
        <stp>한국종가</stp>
        <stp>45681</stp>
        <stp>FILL=TRUE</stp>
        <tr r="H31" s="1"/>
      </tp>
      <tp>
        <v>1.0455099999999999</v>
        <stp/>
        <stp>P</stp>
        <stp>0</stp>
        <stp>FX</stp>
        <stp>EURUSD</stp>
        <stp>한국종가</stp>
        <stp>45681</stp>
        <stp>fill=true</stp>
        <tr r="G31" s="1"/>
        <tr r="F31" s="1"/>
      </tp>
      <tp>
        <v>7.1797000000000004</v>
        <stp/>
        <stp>P</stp>
        <stp>0</stp>
        <stp>FX</stp>
        <stp>USDCNY</stp>
        <stp>한국종가</stp>
        <stp>45323</stp>
        <stp>FILL=TRUE</stp>
        <tr r="I28" s="1"/>
      </tp>
      <tp>
        <v>728.29</v>
        <stp/>
        <stp>P</stp>
        <stp>0</stp>
        <stp>IDX</stp>
        <stp>801</stp>
        <stp>현재가</stp>
        <stp>45688</stp>
        <stp>fill=true</stp>
        <tr r="H13" s="1"/>
        <tr r="I13" s="1"/>
        <tr r="E13" s="1"/>
      </tp>
      <tp>
        <v>200.56</v>
        <stp/>
        <stp>P</stp>
        <stp>0</stp>
        <stp>FX</stp>
        <stp>CNYKRW</stp>
        <stp>한국종가</stp>
        <stp>45688</stp>
        <stp>fill=true</stp>
        <tr r="I29" s="1"/>
        <tr r="G29" s="1"/>
        <tr r="H29" s="1"/>
        <tr r="E29" s="1"/>
      </tp>
      <tp>
        <v>2536.8000000000002</v>
        <stp/>
        <stp>P</stp>
        <stp>0</stp>
        <stp>IDX</stp>
        <stp>001</stp>
        <stp>현재가</stp>
        <stp>45681</stp>
        <stp>FILL=TRUE</stp>
        <tr r="H7" s="1"/>
      </tp>
      <tp>
        <v>2536.8000000000002</v>
        <stp/>
        <stp>P</stp>
        <stp>0</stp>
        <stp>IDX</stp>
        <stp>001</stp>
        <stp>현재가</stp>
        <stp>45681</stp>
        <stp>fill=true</stp>
        <tr r="F7" s="1"/>
      </tp>
      <tp>
        <v>342.41</v>
        <stp/>
        <stp>P</stp>
        <stp>0</stp>
        <stp>IDX</stp>
        <stp>211</stp>
        <stp>현재가</stp>
        <stp>45323</stp>
        <stp>FILL=TRUE</stp>
        <tr r="I10" s="1"/>
      </tp>
      <tp>
        <v>7.2439</v>
        <stp/>
        <stp>P</stp>
        <stp>0</stp>
        <stp>FX</stp>
        <stp>USDCNY</stp>
        <stp>한국종가</stp>
        <stp>45681</stp>
        <stp>FILL=TRUE</stp>
        <tr r="H28" s="1"/>
      </tp>
      <tp>
        <v>7.2439</v>
        <stp/>
        <stp>P</stp>
        <stp>0</stp>
        <stp>FX</stp>
        <stp>USDCNY</stp>
        <stp>한국종가</stp>
        <stp>45681</stp>
        <stp>fill=true</stp>
        <tr r="G28" s="1"/>
        <tr r="F28" s="1"/>
      </tp>
      <tp>
        <v>2542.46</v>
        <stp/>
        <stp>P</stp>
        <stp>0</stp>
        <stp>IDX</stp>
        <stp>001</stp>
        <stp>현재가</stp>
        <stp>45323</stp>
        <stp>FILL=TRUE</stp>
        <tr r="I7" s="1"/>
      </tp>
      <tp>
        <v>336.74</v>
        <stp/>
        <stp>P</stp>
        <stp>0</stp>
        <stp>IDX</stp>
        <stp>211</stp>
        <stp>현재가</stp>
        <stp>45681</stp>
        <stp>FILL=TRUE</stp>
        <tr r="H10" s="1"/>
      </tp>
      <tp>
        <v>336.74</v>
        <stp/>
        <stp>P</stp>
        <stp>0</stp>
        <stp>IDX</stp>
        <stp>211</stp>
        <stp>현재가</stp>
        <stp>45681</stp>
        <stp>fill=true</stp>
        <tr r="F10" s="1"/>
      </tp>
      <tp>
        <v>1.0390600000000001</v>
        <stp/>
        <stp>P</stp>
        <stp>0</stp>
        <stp>FX</stp>
        <stp>EURUSD</stp>
        <stp>한국종가</stp>
        <stp>45688</stp>
        <stp>fill=true</stp>
        <tr r="G31" s="1"/>
        <tr r="H31" s="1"/>
        <tr r="I31" s="1"/>
        <tr r="E31" s="1"/>
      </tp>
      <tp>
        <v>155.22999999999999</v>
        <stp/>
        <stp>P</stp>
        <stp>0</stp>
        <stp>FX</stp>
        <stp>USDJPY</stp>
        <stp>한국종가</stp>
        <stp>45681</stp>
        <stp>FILL=TRUE</stp>
        <tr r="H30" s="1"/>
      </tp>
      <tp>
        <v>155.22999999999999</v>
        <stp/>
        <stp>P</stp>
        <stp>0</stp>
        <stp>FX</stp>
        <stp>USDJPY</stp>
        <stp>한국종가</stp>
        <stp>45681</stp>
        <stp>fill=true</stp>
        <tr r="F30" s="1"/>
        <tr r="G30" s="1"/>
      </tp>
      <tp>
        <v>146.91200000000001</v>
        <stp/>
        <stp>P</stp>
        <stp>0</stp>
        <stp>FX</stp>
        <stp>USDJPY</stp>
        <stp>한국종가</stp>
        <stp>45323</stp>
        <stp>FILL=TRUE</stp>
        <tr r="I30" s="1"/>
      </tp>
      <tp>
        <v>154.70400000000001</v>
        <stp/>
        <stp>P</stp>
        <stp>0</stp>
        <stp>FX</stp>
        <stp>USDJPY</stp>
        <stp>한국종가</stp>
        <stp>45688</stp>
        <stp>fill=true</stp>
        <tr r="G30" s="1"/>
        <tr r="H30" s="1"/>
        <tr r="I30" s="1"/>
        <tr r="E30" s="1"/>
      </tp>
      <tp>
        <v>11500569</v>
        <stp/>
        <stp>P</stp>
        <stp>0</stp>
        <stp>IDX</stp>
        <stp>211</stp>
        <stp>누적거래대금</stp>
        <stp>45688</stp>
        <stp>fill=true</stp>
        <tr r="H12" s="1"/>
        <tr r="I12" s="1"/>
        <tr r="G12" s="1"/>
        <tr r="E12" s="1"/>
      </tp>
      <tp>
        <v>13759431</v>
        <stp/>
        <stp>P</stp>
        <stp>0</stp>
        <stp>IDX</stp>
        <stp>001</stp>
        <stp>누적거래대금</stp>
        <stp>45688</stp>
        <stp>fill=true</stp>
        <tr r="I9" s="1"/>
        <tr r="G9" s="1"/>
        <tr r="H9" s="1"/>
        <tr r="E9" s="1"/>
      </tp>
      <tp>
        <v>6531727</v>
        <stp/>
        <stp>P</stp>
        <stp>0</stp>
        <stp>IDX</stp>
        <stp>801</stp>
        <stp>누적거래대금</stp>
        <stp>45688</stp>
        <stp>fill=true</stp>
        <tr r="I15" s="1"/>
        <tr r="H15" s="1"/>
        <tr r="G15" s="1"/>
        <tr r="E15" s="1"/>
      </tp>
      <tp>
        <v>1124844</v>
        <stp/>
        <stp>P</stp>
        <stp>0</stp>
        <stp>IDX</stp>
        <stp>801</stp>
        <stp>누적거래량</stp>
        <stp>45323</stp>
        <stp>FILL=TRUE</stp>
        <tr r="I14" s="1"/>
      </tp>
      <tp>
        <v>751074</v>
        <stp/>
        <stp>P</stp>
        <stp>0</stp>
        <stp>IDX</stp>
        <stp>001</stp>
        <stp>누적거래량</stp>
        <stp>45323</stp>
        <stp>FILL=TRUE</stp>
        <tr r="I8" s="1"/>
      </tp>
      <tp>
        <v>243069</v>
        <stp/>
        <stp>P</stp>
        <stp>0</stp>
        <stp>IDX</stp>
        <stp>211</stp>
        <stp>누적거래량</stp>
        <stp>45323</stp>
        <stp>FILL=TRUE</stp>
        <tr r="I11" s="1"/>
      </tp>
      <tp>
        <v>763299</v>
        <stp/>
        <stp>P</stp>
        <stp>0</stp>
        <stp>IDX</stp>
        <stp>801</stp>
        <stp>누적거래량</stp>
        <stp>45681</stp>
        <stp>FILL=TRUE</stp>
        <tr r="H14" s="1"/>
      </tp>
      <tp>
        <v>763299</v>
        <stp/>
        <stp>P</stp>
        <stp>0</stp>
        <stp>IDX</stp>
        <stp>801</stp>
        <stp>누적거래량</stp>
        <stp>45681</stp>
        <stp>fill=true</stp>
        <tr r="G14" s="1"/>
        <tr r="F14" s="1"/>
      </tp>
      <tp>
        <v>602014</v>
        <stp/>
        <stp>P</stp>
        <stp>0</stp>
        <stp>IDX</stp>
        <stp>001</stp>
        <stp>누적거래량</stp>
        <stp>45681</stp>
        <stp>FILL=TRUE</stp>
        <tr r="H8" s="1"/>
      </tp>
      <tp>
        <v>602014</v>
        <stp/>
        <stp>P</stp>
        <stp>0</stp>
        <stp>IDX</stp>
        <stp>001</stp>
        <stp>누적거래량</stp>
        <stp>45681</stp>
        <stp>fill=true</stp>
        <tr r="F8" s="1"/>
        <tr r="G8" s="1"/>
      </tp>
      <tp>
        <v>118264</v>
        <stp/>
        <stp>P</stp>
        <stp>0</stp>
        <stp>IDX</stp>
        <stp>211</stp>
        <stp>누적거래량</stp>
        <stp>45681</stp>
        <stp>FILL=TRUE</stp>
        <tr r="H11" s="1"/>
      </tp>
      <tp>
        <v>118264</v>
        <stp/>
        <stp>P</stp>
        <stp>0</stp>
        <stp>IDX</stp>
        <stp>211</stp>
        <stp>누적거래량</stp>
        <stp>45681</stp>
        <stp>fill=true</stp>
        <tr r="F11" s="1"/>
        <tr r="G11" s="1"/>
      </tp>
      <tp>
        <v>7507943</v>
        <stp/>
        <stp>P</stp>
        <stp>0</stp>
        <stp>IDX</stp>
        <stp>211</stp>
        <stp>누적거래대금</stp>
        <stp>45681</stp>
        <stp>FILL=TRUE</stp>
        <tr r="H12" s="1"/>
      </tp>
      <tp>
        <v>7507943</v>
        <stp/>
        <stp>P</stp>
        <stp>0</stp>
        <stp>IDX</stp>
        <stp>211</stp>
        <stp>누적거래대금</stp>
        <stp>45681</stp>
        <stp>fill=true</stp>
        <tr r="F12" s="1"/>
        <tr r="G12" s="1"/>
      </tp>
      <tp>
        <v>10179284</v>
        <stp/>
        <stp>P</stp>
        <stp>0</stp>
        <stp>IDX</stp>
        <stp>001</stp>
        <stp>누적거래대금</stp>
        <stp>45681</stp>
        <stp>FILL=TRUE</stp>
        <tr r="H9" s="1"/>
      </tp>
      <tp>
        <v>10179284</v>
        <stp/>
        <stp>P</stp>
        <stp>0</stp>
        <stp>IDX</stp>
        <stp>001</stp>
        <stp>누적거래대금</stp>
        <stp>45681</stp>
        <stp>fill=true</stp>
        <tr r="F9" s="1"/>
        <tr r="G9" s="1"/>
      </tp>
      <tp>
        <v>6343842</v>
        <stp/>
        <stp>P</stp>
        <stp>0</stp>
        <stp>IDX</stp>
        <stp>801</stp>
        <stp>누적거래대금</stp>
        <stp>45681</stp>
        <stp>FILL=TRUE</stp>
        <tr r="H15" s="1"/>
      </tp>
      <tp>
        <v>6343842</v>
        <stp/>
        <stp>P</stp>
        <stp>0</stp>
        <stp>IDX</stp>
        <stp>801</stp>
        <stp>누적거래대금</stp>
        <stp>45681</stp>
        <stp>fill=true</stp>
        <tr r="G15" s="1"/>
        <tr r="F15" s="1"/>
      </tp>
      <tp>
        <v>10373116</v>
        <stp/>
        <stp>P</stp>
        <stp>0</stp>
        <stp>IDX</stp>
        <stp>211</stp>
        <stp>누적거래대금</stp>
        <stp>45323</stp>
        <stp>FILL=TRUE</stp>
        <tr r="I12" s="1"/>
      </tp>
      <tp>
        <v>13462482</v>
        <stp/>
        <stp>P</stp>
        <stp>0</stp>
        <stp>IDX</stp>
        <stp>001</stp>
        <stp>누적거래대금</stp>
        <stp>45323</stp>
        <stp>FILL=TRUE</stp>
        <tr r="I9" s="1"/>
      </tp>
      <tp>
        <v>8978321</v>
        <stp/>
        <stp>P</stp>
        <stp>0</stp>
        <stp>IDX</stp>
        <stp>801</stp>
        <stp>누적거래대금</stp>
        <stp>45323</stp>
        <stp>FILL=TRUE</stp>
        <tr r="I15" s="1"/>
      </tp>
      <tp>
        <v>687448</v>
        <stp/>
        <stp>P</stp>
        <stp>0</stp>
        <stp>IDX</stp>
        <stp>801</stp>
        <stp>누적거래량</stp>
        <stp>45688</stp>
        <stp>fill=true</stp>
        <tr r="G14" s="1"/>
        <tr r="H14" s="1"/>
        <tr r="I14" s="1"/>
        <tr r="E14" s="1"/>
      </tp>
      <tp>
        <v>454403</v>
        <stp/>
        <stp>P</stp>
        <stp>0</stp>
        <stp>IDX</stp>
        <stp>001</stp>
        <stp>누적거래량</stp>
        <stp>45688</stp>
        <stp>fill=true</stp>
        <tr r="G8" s="1"/>
        <tr r="H8" s="1"/>
        <tr r="I8" s="1"/>
        <tr r="E8" s="1"/>
      </tp>
      <tp>
        <v>175542</v>
        <stp/>
        <stp>P</stp>
        <stp>0</stp>
        <stp>IDX</stp>
        <stp>211</stp>
        <stp>누적거래량</stp>
        <stp>45688</stp>
        <stp>fill=true</stp>
        <tr r="I11" s="1"/>
        <tr r="H11" s="1"/>
        <tr r="G11" s="1"/>
        <tr r="E11" s="1"/>
      </tp>
      <tp>
        <v>468714</v>
        <stp/>
        <stp>P</stp>
        <stp>0</stp>
        <stp>FUT</stp>
        <stp>C65</stp>
        <stp>미결제약정수량</stp>
        <stp>45681</stp>
        <stp>FILL=TRUE</stp>
        <tr r="H26" s="1"/>
      </tp>
      <tp>
        <v>468714</v>
        <stp/>
        <stp>P</stp>
        <stp>0</stp>
        <stp>FUT</stp>
        <stp>C65</stp>
        <stp>미결제약정수량</stp>
        <stp>45681</stp>
        <stp>fill=true</stp>
        <tr r="F26" s="1"/>
        <tr r="G26" s="1"/>
      </tp>
      <tp>
        <v>1011590</v>
        <stp/>
        <stp>P</stp>
        <stp>0</stp>
        <stp>FUT</stp>
        <stp>C75</stp>
        <stp>미결제약정수량</stp>
        <stp>45681</stp>
        <stp>FILL=TRUE</stp>
        <tr r="H34" s="1"/>
      </tp>
      <tp>
        <v>1011590</v>
        <stp/>
        <stp>P</stp>
        <stp>0</stp>
        <stp>FUT</stp>
        <stp>C75</stp>
        <stp>미결제약정수량</stp>
        <stp>45681</stp>
        <stp>fill=true</stp>
        <tr r="F34" s="1"/>
        <tr r="G34" s="1"/>
      </tp>
      <tp>
        <v>258564</v>
        <stp/>
        <stp>P</stp>
        <stp>0</stp>
        <stp>FUT</stp>
        <stp>C01</stp>
        <stp>미결제약정수량</stp>
        <stp>45681</stp>
        <stp>FILL=TRUE</stp>
        <tr r="H18" s="1"/>
      </tp>
      <tp>
        <v>258564</v>
        <stp/>
        <stp>P</stp>
        <stp>0</stp>
        <stp>FUT</stp>
        <stp>C01</stp>
        <stp>미결제약정수량</stp>
        <stp>45681</stp>
        <stp>fill=true</stp>
        <tr r="G18" s="1"/>
        <tr r="F18" s="1"/>
      </tp>
      <tp>
        <v>406559</v>
        <stp/>
        <stp>P</stp>
        <stp>0</stp>
        <stp>FUT</stp>
        <stp>C65</stp>
        <stp>미결제약정수량</stp>
        <stp>45323</stp>
        <stp>FILL=TRUE</stp>
        <tr r="I26" s="1"/>
      </tp>
      <tp>
        <v>935616</v>
        <stp/>
        <stp>P</stp>
        <stp>0</stp>
        <stp>FUT</stp>
        <stp>C75</stp>
        <stp>미결제약정수량</stp>
        <stp>45323</stp>
        <stp>FILL=TRUE</stp>
        <tr r="I34" s="1"/>
      </tp>
      <tp>
        <v>252986</v>
        <stp/>
        <stp>P</stp>
        <stp>0</stp>
        <stp>FUT</stp>
        <stp>C01</stp>
        <stp>미결제약정수량</stp>
        <stp>45323</stp>
        <stp>FILL=TRUE</stp>
        <tr r="I18" s="1"/>
      </tp>
      <tp>
        <v>468916</v>
        <stp/>
        <stp>P</stp>
        <stp>0</stp>
        <stp>FUT</stp>
        <stp>C65</stp>
        <stp>미결제약정수량</stp>
        <stp>45688</stp>
        <stp>fill=true</stp>
        <tr r="G26" s="1"/>
        <tr r="I26" s="1"/>
        <tr r="H26" s="1"/>
        <tr r="E26" s="1"/>
      </tp>
      <tp>
        <v>1045959</v>
        <stp/>
        <stp>P</stp>
        <stp>0</stp>
        <stp>FUT</stp>
        <stp>C75</stp>
        <stp>미결제약정수량</stp>
        <stp>45688</stp>
        <stp>fill=true</stp>
        <tr r="H34" s="1"/>
        <tr r="I34" s="1"/>
        <tr r="G34" s="1"/>
        <tr r="E34" s="1"/>
      </tp>
      <tp>
        <v>262319</v>
        <stp/>
        <stp>P</stp>
        <stp>0</stp>
        <stp>FUT</stp>
        <stp>C01</stp>
        <stp>미결제약정수량</stp>
        <stp>45688</stp>
        <stp>fill=true</stp>
        <tr r="G18" s="1"/>
        <tr r="H18" s="1"/>
        <tr r="I18" s="1"/>
        <tr r="E18" s="1"/>
      </tp>
      <tp>
        <v>44544.66</v>
        <stp/>
        <stp>P</stp>
        <stp>0</stp>
        <stp>FRN</stp>
        <stp>DJI:DJI</stp>
        <stp>현재가</stp>
        <stp>45688</stp>
        <stp>fill=true</stp>
        <tr r="E5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/>
      <c:areaChart>
        <c:grouping val="standard"/>
        <c:ser>
          <c:idx val="2"/>
          <c:order val="2"/>
          <c:tx>
            <c:strRef>
              <c:f>'daily monitor'!$N$99</c:f>
              <c:strCache>
                <c:ptCount val="1"/>
                <c:pt idx="0">
                  <c:v>KOSPI거래량</c:v>
                </c:pt>
              </c:strCache>
            </c:strRef>
          </c:tx>
          <c:spPr>
            <a:solidFill>
              <a:schemeClr val="accent1">
                <a:alpha val="44000"/>
              </a:schemeClr>
            </a:solidFill>
            <a:ln>
              <a:noFill/>
            </a:ln>
            <a:effectLst/>
          </c:spPr>
          <c:cat>
            <c:numRef>
              <c:f>'daily monitor'!$D$101:$D$349</c:f>
              <c:numCache>
                <c:formatCode>yyyy/mm/dd</c:formatCode>
                <c:ptCount val="249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45656</c:v>
                </c:pt>
                <c:pt idx="19">
                  <c:v>45653</c:v>
                </c:pt>
                <c:pt idx="20">
                  <c:v>45652</c:v>
                </c:pt>
                <c:pt idx="21">
                  <c:v>45650</c:v>
                </c:pt>
                <c:pt idx="22">
                  <c:v>45649</c:v>
                </c:pt>
                <c:pt idx="23">
                  <c:v>45646</c:v>
                </c:pt>
                <c:pt idx="24">
                  <c:v>45645</c:v>
                </c:pt>
                <c:pt idx="25">
                  <c:v>45644</c:v>
                </c:pt>
                <c:pt idx="26">
                  <c:v>45643</c:v>
                </c:pt>
                <c:pt idx="27">
                  <c:v>45642</c:v>
                </c:pt>
                <c:pt idx="28">
                  <c:v>45639</c:v>
                </c:pt>
                <c:pt idx="29">
                  <c:v>45638</c:v>
                </c:pt>
                <c:pt idx="30">
                  <c:v>45637</c:v>
                </c:pt>
                <c:pt idx="31">
                  <c:v>45636</c:v>
                </c:pt>
                <c:pt idx="32">
                  <c:v>45635</c:v>
                </c:pt>
                <c:pt idx="33">
                  <c:v>45632</c:v>
                </c:pt>
                <c:pt idx="34">
                  <c:v>45631</c:v>
                </c:pt>
                <c:pt idx="35">
                  <c:v>45630</c:v>
                </c:pt>
                <c:pt idx="36">
                  <c:v>45629</c:v>
                </c:pt>
                <c:pt idx="37">
                  <c:v>45628</c:v>
                </c:pt>
                <c:pt idx="38">
                  <c:v>45625</c:v>
                </c:pt>
                <c:pt idx="39">
                  <c:v>45624</c:v>
                </c:pt>
                <c:pt idx="40">
                  <c:v>45623</c:v>
                </c:pt>
                <c:pt idx="41">
                  <c:v>45622</c:v>
                </c:pt>
                <c:pt idx="42">
                  <c:v>45621</c:v>
                </c:pt>
                <c:pt idx="43">
                  <c:v>45618</c:v>
                </c:pt>
                <c:pt idx="44">
                  <c:v>45617</c:v>
                </c:pt>
                <c:pt idx="45">
                  <c:v>45616</c:v>
                </c:pt>
                <c:pt idx="46">
                  <c:v>45615</c:v>
                </c:pt>
                <c:pt idx="47">
                  <c:v>45614</c:v>
                </c:pt>
                <c:pt idx="48">
                  <c:v>45611</c:v>
                </c:pt>
                <c:pt idx="49">
                  <c:v>45610</c:v>
                </c:pt>
                <c:pt idx="50">
                  <c:v>45609</c:v>
                </c:pt>
                <c:pt idx="51">
                  <c:v>45608</c:v>
                </c:pt>
                <c:pt idx="52">
                  <c:v>45607</c:v>
                </c:pt>
                <c:pt idx="53">
                  <c:v>45604</c:v>
                </c:pt>
                <c:pt idx="54">
                  <c:v>45603</c:v>
                </c:pt>
                <c:pt idx="55">
                  <c:v>45602</c:v>
                </c:pt>
                <c:pt idx="56">
                  <c:v>45601</c:v>
                </c:pt>
                <c:pt idx="57">
                  <c:v>45600</c:v>
                </c:pt>
                <c:pt idx="58">
                  <c:v>45597</c:v>
                </c:pt>
                <c:pt idx="59">
                  <c:v>45596</c:v>
                </c:pt>
                <c:pt idx="60">
                  <c:v>45595</c:v>
                </c:pt>
                <c:pt idx="61">
                  <c:v>45594</c:v>
                </c:pt>
                <c:pt idx="62">
                  <c:v>45593</c:v>
                </c:pt>
                <c:pt idx="63">
                  <c:v>45590</c:v>
                </c:pt>
                <c:pt idx="64">
                  <c:v>45589</c:v>
                </c:pt>
                <c:pt idx="65">
                  <c:v>45588</c:v>
                </c:pt>
                <c:pt idx="66">
                  <c:v>45587</c:v>
                </c:pt>
                <c:pt idx="67">
                  <c:v>45586</c:v>
                </c:pt>
                <c:pt idx="68">
                  <c:v>45583</c:v>
                </c:pt>
                <c:pt idx="69">
                  <c:v>45582</c:v>
                </c:pt>
                <c:pt idx="70">
                  <c:v>45581</c:v>
                </c:pt>
                <c:pt idx="71">
                  <c:v>45580</c:v>
                </c:pt>
                <c:pt idx="72">
                  <c:v>45579</c:v>
                </c:pt>
                <c:pt idx="73">
                  <c:v>45576</c:v>
                </c:pt>
                <c:pt idx="74">
                  <c:v>45575</c:v>
                </c:pt>
                <c:pt idx="75">
                  <c:v>45573</c:v>
                </c:pt>
                <c:pt idx="76">
                  <c:v>45572</c:v>
                </c:pt>
                <c:pt idx="77">
                  <c:v>45569</c:v>
                </c:pt>
                <c:pt idx="78">
                  <c:v>45567</c:v>
                </c:pt>
                <c:pt idx="79">
                  <c:v>45565</c:v>
                </c:pt>
                <c:pt idx="80">
                  <c:v>45562</c:v>
                </c:pt>
                <c:pt idx="81">
                  <c:v>45561</c:v>
                </c:pt>
                <c:pt idx="82">
                  <c:v>45560</c:v>
                </c:pt>
                <c:pt idx="83">
                  <c:v>45559</c:v>
                </c:pt>
                <c:pt idx="84">
                  <c:v>45558</c:v>
                </c:pt>
                <c:pt idx="85">
                  <c:v>45555</c:v>
                </c:pt>
                <c:pt idx="86">
                  <c:v>45554</c:v>
                </c:pt>
                <c:pt idx="87">
                  <c:v>45548</c:v>
                </c:pt>
                <c:pt idx="88">
                  <c:v>45547</c:v>
                </c:pt>
                <c:pt idx="89">
                  <c:v>45546</c:v>
                </c:pt>
                <c:pt idx="90">
                  <c:v>45545</c:v>
                </c:pt>
                <c:pt idx="91">
                  <c:v>45544</c:v>
                </c:pt>
                <c:pt idx="92">
                  <c:v>45541</c:v>
                </c:pt>
                <c:pt idx="93">
                  <c:v>45540</c:v>
                </c:pt>
                <c:pt idx="94">
                  <c:v>45539</c:v>
                </c:pt>
                <c:pt idx="95">
                  <c:v>45538</c:v>
                </c:pt>
                <c:pt idx="96">
                  <c:v>45537</c:v>
                </c:pt>
                <c:pt idx="97">
                  <c:v>45534</c:v>
                </c:pt>
                <c:pt idx="98">
                  <c:v>45533</c:v>
                </c:pt>
                <c:pt idx="99">
                  <c:v>45532</c:v>
                </c:pt>
                <c:pt idx="100">
                  <c:v>45531</c:v>
                </c:pt>
                <c:pt idx="101">
                  <c:v>45530</c:v>
                </c:pt>
                <c:pt idx="102">
                  <c:v>45527</c:v>
                </c:pt>
                <c:pt idx="103">
                  <c:v>45526</c:v>
                </c:pt>
                <c:pt idx="104">
                  <c:v>45525</c:v>
                </c:pt>
                <c:pt idx="105">
                  <c:v>45524</c:v>
                </c:pt>
                <c:pt idx="106">
                  <c:v>45523</c:v>
                </c:pt>
                <c:pt idx="107">
                  <c:v>45520</c:v>
                </c:pt>
                <c:pt idx="108">
                  <c:v>45518</c:v>
                </c:pt>
                <c:pt idx="109">
                  <c:v>45517</c:v>
                </c:pt>
                <c:pt idx="110">
                  <c:v>45516</c:v>
                </c:pt>
                <c:pt idx="111">
                  <c:v>45513</c:v>
                </c:pt>
                <c:pt idx="112">
                  <c:v>45512</c:v>
                </c:pt>
                <c:pt idx="113">
                  <c:v>45511</c:v>
                </c:pt>
                <c:pt idx="114">
                  <c:v>45510</c:v>
                </c:pt>
                <c:pt idx="115">
                  <c:v>45509</c:v>
                </c:pt>
                <c:pt idx="116">
                  <c:v>45506</c:v>
                </c:pt>
                <c:pt idx="117">
                  <c:v>45505</c:v>
                </c:pt>
                <c:pt idx="118">
                  <c:v>45504</c:v>
                </c:pt>
                <c:pt idx="119">
                  <c:v>45503</c:v>
                </c:pt>
                <c:pt idx="120">
                  <c:v>45502</c:v>
                </c:pt>
                <c:pt idx="121">
                  <c:v>45499</c:v>
                </c:pt>
                <c:pt idx="122">
                  <c:v>45498</c:v>
                </c:pt>
                <c:pt idx="123">
                  <c:v>45497</c:v>
                </c:pt>
                <c:pt idx="124">
                  <c:v>45496</c:v>
                </c:pt>
                <c:pt idx="125">
                  <c:v>45495</c:v>
                </c:pt>
                <c:pt idx="126">
                  <c:v>45492</c:v>
                </c:pt>
                <c:pt idx="127">
                  <c:v>45491</c:v>
                </c:pt>
                <c:pt idx="128">
                  <c:v>45490</c:v>
                </c:pt>
                <c:pt idx="129">
                  <c:v>45489</c:v>
                </c:pt>
                <c:pt idx="130">
                  <c:v>45488</c:v>
                </c:pt>
                <c:pt idx="131">
                  <c:v>45485</c:v>
                </c:pt>
                <c:pt idx="132">
                  <c:v>45484</c:v>
                </c:pt>
                <c:pt idx="133">
                  <c:v>45483</c:v>
                </c:pt>
                <c:pt idx="134">
                  <c:v>45482</c:v>
                </c:pt>
                <c:pt idx="135">
                  <c:v>45481</c:v>
                </c:pt>
                <c:pt idx="136">
                  <c:v>45478</c:v>
                </c:pt>
                <c:pt idx="137">
                  <c:v>45477</c:v>
                </c:pt>
                <c:pt idx="138">
                  <c:v>45476</c:v>
                </c:pt>
                <c:pt idx="139">
                  <c:v>45475</c:v>
                </c:pt>
                <c:pt idx="140">
                  <c:v>45474</c:v>
                </c:pt>
                <c:pt idx="141">
                  <c:v>45471</c:v>
                </c:pt>
                <c:pt idx="142">
                  <c:v>45470</c:v>
                </c:pt>
                <c:pt idx="143">
                  <c:v>45469</c:v>
                </c:pt>
                <c:pt idx="144">
                  <c:v>45468</c:v>
                </c:pt>
                <c:pt idx="145">
                  <c:v>45467</c:v>
                </c:pt>
                <c:pt idx="146">
                  <c:v>45464</c:v>
                </c:pt>
                <c:pt idx="147">
                  <c:v>45463</c:v>
                </c:pt>
                <c:pt idx="148">
                  <c:v>45462</c:v>
                </c:pt>
                <c:pt idx="149">
                  <c:v>45461</c:v>
                </c:pt>
                <c:pt idx="150">
                  <c:v>45460</c:v>
                </c:pt>
                <c:pt idx="151">
                  <c:v>45457</c:v>
                </c:pt>
                <c:pt idx="152">
                  <c:v>45456</c:v>
                </c:pt>
                <c:pt idx="153">
                  <c:v>45455</c:v>
                </c:pt>
                <c:pt idx="154">
                  <c:v>45454</c:v>
                </c:pt>
                <c:pt idx="155">
                  <c:v>45453</c:v>
                </c:pt>
                <c:pt idx="156">
                  <c:v>45450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45426</c:v>
                </c:pt>
                <c:pt idx="173">
                  <c:v>45425</c:v>
                </c:pt>
                <c:pt idx="174">
                  <c:v>45422</c:v>
                </c:pt>
                <c:pt idx="175">
                  <c:v>45421</c:v>
                </c:pt>
                <c:pt idx="176">
                  <c:v>45420</c:v>
                </c:pt>
                <c:pt idx="177">
                  <c:v>45419</c:v>
                </c:pt>
                <c:pt idx="178">
                  <c:v>45415</c:v>
                </c:pt>
                <c:pt idx="179">
                  <c:v>45414</c:v>
                </c:pt>
                <c:pt idx="180">
                  <c:v>45412</c:v>
                </c:pt>
                <c:pt idx="181">
                  <c:v>45411</c:v>
                </c:pt>
                <c:pt idx="182">
                  <c:v>45408</c:v>
                </c:pt>
                <c:pt idx="183">
                  <c:v>45407</c:v>
                </c:pt>
                <c:pt idx="184">
                  <c:v>45406</c:v>
                </c:pt>
                <c:pt idx="185">
                  <c:v>45405</c:v>
                </c:pt>
                <c:pt idx="186">
                  <c:v>45404</c:v>
                </c:pt>
                <c:pt idx="187">
                  <c:v>45401</c:v>
                </c:pt>
                <c:pt idx="188">
                  <c:v>45400</c:v>
                </c:pt>
                <c:pt idx="189">
                  <c:v>45399</c:v>
                </c:pt>
                <c:pt idx="190">
                  <c:v>45398</c:v>
                </c:pt>
                <c:pt idx="191">
                  <c:v>45397</c:v>
                </c:pt>
                <c:pt idx="192">
                  <c:v>45394</c:v>
                </c:pt>
                <c:pt idx="193">
                  <c:v>45393</c:v>
                </c:pt>
                <c:pt idx="194">
                  <c:v>45391</c:v>
                </c:pt>
                <c:pt idx="195">
                  <c:v>45390</c:v>
                </c:pt>
                <c:pt idx="196">
                  <c:v>45387</c:v>
                </c:pt>
                <c:pt idx="197">
                  <c:v>45386</c:v>
                </c:pt>
                <c:pt idx="198">
                  <c:v>45385</c:v>
                </c:pt>
                <c:pt idx="199">
                  <c:v>45384</c:v>
                </c:pt>
                <c:pt idx="200">
                  <c:v>45383</c:v>
                </c:pt>
                <c:pt idx="201">
                  <c:v>45380</c:v>
                </c:pt>
                <c:pt idx="202">
                  <c:v>45379</c:v>
                </c:pt>
                <c:pt idx="203">
                  <c:v>45378</c:v>
                </c:pt>
                <c:pt idx="204">
                  <c:v>45377</c:v>
                </c:pt>
                <c:pt idx="205">
                  <c:v>45376</c:v>
                </c:pt>
                <c:pt idx="206">
                  <c:v>45373</c:v>
                </c:pt>
                <c:pt idx="207">
                  <c:v>45372</c:v>
                </c:pt>
                <c:pt idx="208">
                  <c:v>45371</c:v>
                </c:pt>
                <c:pt idx="209">
                  <c:v>45370</c:v>
                </c:pt>
                <c:pt idx="210">
                  <c:v>45369</c:v>
                </c:pt>
                <c:pt idx="211">
                  <c:v>45366</c:v>
                </c:pt>
                <c:pt idx="212">
                  <c:v>45365</c:v>
                </c:pt>
                <c:pt idx="213">
                  <c:v>45364</c:v>
                </c:pt>
                <c:pt idx="214">
                  <c:v>45363</c:v>
                </c:pt>
                <c:pt idx="215">
                  <c:v>45362</c:v>
                </c:pt>
                <c:pt idx="216">
                  <c:v>45359</c:v>
                </c:pt>
                <c:pt idx="217">
                  <c:v>45358</c:v>
                </c:pt>
                <c:pt idx="218">
                  <c:v>45357</c:v>
                </c:pt>
                <c:pt idx="219">
                  <c:v>45356</c:v>
                </c:pt>
                <c:pt idx="220">
                  <c:v>45355</c:v>
                </c:pt>
                <c:pt idx="221">
                  <c:v>45351</c:v>
                </c:pt>
                <c:pt idx="222">
                  <c:v>45350</c:v>
                </c:pt>
                <c:pt idx="223">
                  <c:v>45349</c:v>
                </c:pt>
                <c:pt idx="224">
                  <c:v>45348</c:v>
                </c:pt>
                <c:pt idx="225">
                  <c:v>45345</c:v>
                </c:pt>
                <c:pt idx="226">
                  <c:v>45344</c:v>
                </c:pt>
                <c:pt idx="227">
                  <c:v>45343</c:v>
                </c:pt>
                <c:pt idx="228">
                  <c:v>45342</c:v>
                </c:pt>
                <c:pt idx="229">
                  <c:v>45341</c:v>
                </c:pt>
                <c:pt idx="230">
                  <c:v>45338</c:v>
                </c:pt>
                <c:pt idx="231">
                  <c:v>45337</c:v>
                </c:pt>
                <c:pt idx="232">
                  <c:v>45336</c:v>
                </c:pt>
                <c:pt idx="233">
                  <c:v>45335</c:v>
                </c:pt>
                <c:pt idx="234">
                  <c:v>45330</c:v>
                </c:pt>
                <c:pt idx="235">
                  <c:v>45329</c:v>
                </c:pt>
                <c:pt idx="236">
                  <c:v>45328</c:v>
                </c:pt>
                <c:pt idx="237">
                  <c:v>45327</c:v>
                </c:pt>
                <c:pt idx="238">
                  <c:v>45324</c:v>
                </c:pt>
                <c:pt idx="239">
                  <c:v>45323</c:v>
                </c:pt>
              </c:numCache>
            </c:numRef>
          </c:cat>
          <c:val>
            <c:numRef>
              <c:f>'daily monitor'!$N$101:$N$349</c:f>
              <c:numCache>
                <c:formatCode>General</c:formatCode>
                <c:ptCount val="249"/>
                <c:pt idx="0">
                  <c:v>454403</c:v>
                </c:pt>
                <c:pt idx="1">
                  <c:v>602014</c:v>
                </c:pt>
                <c:pt idx="2">
                  <c:v>609742</c:v>
                </c:pt>
                <c:pt idx="3">
                  <c:v>583737</c:v>
                </c:pt>
                <c:pt idx="4">
                  <c:v>572011</c:v>
                </c:pt>
                <c:pt idx="5">
                  <c:v>437546</c:v>
                </c:pt>
                <c:pt idx="6">
                  <c:v>445884</c:v>
                </c:pt>
                <c:pt idx="7">
                  <c:v>451062</c:v>
                </c:pt>
                <c:pt idx="8">
                  <c:v>538534</c:v>
                </c:pt>
                <c:pt idx="9">
                  <c:v>414487</c:v>
                </c:pt>
                <c:pt idx="10">
                  <c:v>578565</c:v>
                </c:pt>
                <c:pt idx="11">
                  <c:v>377586</c:v>
                </c:pt>
                <c:pt idx="12">
                  <c:v>404290</c:v>
                </c:pt>
                <c:pt idx="13">
                  <c:v>362908</c:v>
                </c:pt>
                <c:pt idx="14">
                  <c:v>407692</c:v>
                </c:pt>
                <c:pt idx="15">
                  <c:v>302761</c:v>
                </c:pt>
                <c:pt idx="16">
                  <c:v>407536</c:v>
                </c:pt>
                <c:pt idx="17">
                  <c:v>350691</c:v>
                </c:pt>
                <c:pt idx="18">
                  <c:v>303963</c:v>
                </c:pt>
                <c:pt idx="19">
                  <c:v>311291</c:v>
                </c:pt>
                <c:pt idx="20">
                  <c:v>322800</c:v>
                </c:pt>
                <c:pt idx="21">
                  <c:v>386777</c:v>
                </c:pt>
                <c:pt idx="22">
                  <c:v>428166</c:v>
                </c:pt>
                <c:pt idx="23">
                  <c:v>617782</c:v>
                </c:pt>
                <c:pt idx="24">
                  <c:v>504467</c:v>
                </c:pt>
                <c:pt idx="25">
                  <c:v>441677</c:v>
                </c:pt>
                <c:pt idx="26">
                  <c:v>559039</c:v>
                </c:pt>
                <c:pt idx="27">
                  <c:v>526708</c:v>
                </c:pt>
                <c:pt idx="28">
                  <c:v>577737</c:v>
                </c:pt>
                <c:pt idx="29">
                  <c:v>664187</c:v>
                </c:pt>
                <c:pt idx="30">
                  <c:v>617716</c:v>
                </c:pt>
                <c:pt idx="31">
                  <c:v>598770</c:v>
                </c:pt>
                <c:pt idx="32">
                  <c:v>591644</c:v>
                </c:pt>
                <c:pt idx="33">
                  <c:v>630408</c:v>
                </c:pt>
                <c:pt idx="34">
                  <c:v>519351</c:v>
                </c:pt>
                <c:pt idx="35">
                  <c:v>670284</c:v>
                </c:pt>
                <c:pt idx="36">
                  <c:v>324137</c:v>
                </c:pt>
                <c:pt idx="37">
                  <c:v>328109</c:v>
                </c:pt>
                <c:pt idx="38">
                  <c:v>384278</c:v>
                </c:pt>
                <c:pt idx="39">
                  <c:v>342571</c:v>
                </c:pt>
                <c:pt idx="40">
                  <c:v>414339</c:v>
                </c:pt>
                <c:pt idx="41">
                  <c:v>441708</c:v>
                </c:pt>
                <c:pt idx="42">
                  <c:v>564692</c:v>
                </c:pt>
                <c:pt idx="43">
                  <c:v>543517</c:v>
                </c:pt>
                <c:pt idx="44">
                  <c:v>451118</c:v>
                </c:pt>
                <c:pt idx="45">
                  <c:v>408789</c:v>
                </c:pt>
                <c:pt idx="46">
                  <c:v>410856</c:v>
                </c:pt>
                <c:pt idx="47">
                  <c:v>443925</c:v>
                </c:pt>
                <c:pt idx="48">
                  <c:v>623327</c:v>
                </c:pt>
                <c:pt idx="49">
                  <c:v>639990</c:v>
                </c:pt>
                <c:pt idx="50">
                  <c:v>619176</c:v>
                </c:pt>
                <c:pt idx="51">
                  <c:v>735812</c:v>
                </c:pt>
                <c:pt idx="52">
                  <c:v>572196</c:v>
                </c:pt>
                <c:pt idx="53">
                  <c:v>448734</c:v>
                </c:pt>
                <c:pt idx="54">
                  <c:v>465146</c:v>
                </c:pt>
                <c:pt idx="55">
                  <c:v>548506</c:v>
                </c:pt>
                <c:pt idx="56">
                  <c:v>310875</c:v>
                </c:pt>
                <c:pt idx="57">
                  <c:v>373943</c:v>
                </c:pt>
                <c:pt idx="58">
                  <c:v>319848</c:v>
                </c:pt>
                <c:pt idx="59">
                  <c:v>406613</c:v>
                </c:pt>
                <c:pt idx="60">
                  <c:v>487359</c:v>
                </c:pt>
                <c:pt idx="61">
                  <c:v>363290</c:v>
                </c:pt>
                <c:pt idx="62">
                  <c:v>333736</c:v>
                </c:pt>
                <c:pt idx="63">
                  <c:v>462898</c:v>
                </c:pt>
                <c:pt idx="64">
                  <c:v>343098</c:v>
                </c:pt>
                <c:pt idx="65">
                  <c:v>352421</c:v>
                </c:pt>
                <c:pt idx="66">
                  <c:v>343318</c:v>
                </c:pt>
                <c:pt idx="67">
                  <c:v>240675</c:v>
                </c:pt>
                <c:pt idx="68">
                  <c:v>265201</c:v>
                </c:pt>
                <c:pt idx="69">
                  <c:v>331265</c:v>
                </c:pt>
                <c:pt idx="70">
                  <c:v>437552</c:v>
                </c:pt>
                <c:pt idx="71">
                  <c:v>438292</c:v>
                </c:pt>
                <c:pt idx="72">
                  <c:v>401705</c:v>
                </c:pt>
                <c:pt idx="73">
                  <c:v>491276</c:v>
                </c:pt>
                <c:pt idx="74">
                  <c:v>618560</c:v>
                </c:pt>
                <c:pt idx="75">
                  <c:v>318240</c:v>
                </c:pt>
                <c:pt idx="76">
                  <c:v>343671</c:v>
                </c:pt>
                <c:pt idx="77">
                  <c:v>414328</c:v>
                </c:pt>
                <c:pt idx="78">
                  <c:v>351004</c:v>
                </c:pt>
                <c:pt idx="79">
                  <c:v>358915</c:v>
                </c:pt>
                <c:pt idx="80">
                  <c:v>413004</c:v>
                </c:pt>
                <c:pt idx="81">
                  <c:v>324889</c:v>
                </c:pt>
                <c:pt idx="82">
                  <c:v>454471</c:v>
                </c:pt>
                <c:pt idx="83">
                  <c:v>355097</c:v>
                </c:pt>
                <c:pt idx="84">
                  <c:v>339140</c:v>
                </c:pt>
                <c:pt idx="85">
                  <c:v>495964</c:v>
                </c:pt>
                <c:pt idx="86">
                  <c:v>385081</c:v>
                </c:pt>
                <c:pt idx="87">
                  <c:v>358262</c:v>
                </c:pt>
                <c:pt idx="88">
                  <c:v>340478</c:v>
                </c:pt>
                <c:pt idx="89">
                  <c:v>302560</c:v>
                </c:pt>
                <c:pt idx="90">
                  <c:v>347650</c:v>
                </c:pt>
                <c:pt idx="91">
                  <c:v>270231</c:v>
                </c:pt>
                <c:pt idx="92">
                  <c:v>374782</c:v>
                </c:pt>
                <c:pt idx="93">
                  <c:v>379002</c:v>
                </c:pt>
                <c:pt idx="94">
                  <c:v>455469</c:v>
                </c:pt>
                <c:pt idx="95">
                  <c:v>303460</c:v>
                </c:pt>
                <c:pt idx="96">
                  <c:v>266992</c:v>
                </c:pt>
                <c:pt idx="97">
                  <c:v>278845</c:v>
                </c:pt>
                <c:pt idx="98">
                  <c:v>288835</c:v>
                </c:pt>
                <c:pt idx="99">
                  <c:v>280773</c:v>
                </c:pt>
                <c:pt idx="100">
                  <c:v>264056</c:v>
                </c:pt>
                <c:pt idx="101">
                  <c:v>333687</c:v>
                </c:pt>
                <c:pt idx="102">
                  <c:v>330591</c:v>
                </c:pt>
                <c:pt idx="103">
                  <c:v>441756</c:v>
                </c:pt>
                <c:pt idx="104">
                  <c:v>417329</c:v>
                </c:pt>
                <c:pt idx="105">
                  <c:v>484188</c:v>
                </c:pt>
                <c:pt idx="106">
                  <c:v>395636</c:v>
                </c:pt>
                <c:pt idx="107">
                  <c:v>385851</c:v>
                </c:pt>
                <c:pt idx="108">
                  <c:v>328748</c:v>
                </c:pt>
                <c:pt idx="109">
                  <c:v>378532</c:v>
                </c:pt>
                <c:pt idx="110">
                  <c:v>293083</c:v>
                </c:pt>
                <c:pt idx="111">
                  <c:v>475012</c:v>
                </c:pt>
                <c:pt idx="112">
                  <c:v>495299</c:v>
                </c:pt>
                <c:pt idx="113">
                  <c:v>476990</c:v>
                </c:pt>
                <c:pt idx="114">
                  <c:v>567266</c:v>
                </c:pt>
                <c:pt idx="115">
                  <c:v>763777</c:v>
                </c:pt>
                <c:pt idx="116">
                  <c:v>531785</c:v>
                </c:pt>
                <c:pt idx="117">
                  <c:v>480834</c:v>
                </c:pt>
                <c:pt idx="118">
                  <c:v>557090</c:v>
                </c:pt>
                <c:pt idx="119">
                  <c:v>392868</c:v>
                </c:pt>
                <c:pt idx="120">
                  <c:v>456515</c:v>
                </c:pt>
                <c:pt idx="121">
                  <c:v>516467</c:v>
                </c:pt>
                <c:pt idx="122">
                  <c:v>440318</c:v>
                </c:pt>
                <c:pt idx="123">
                  <c:v>469221</c:v>
                </c:pt>
                <c:pt idx="124">
                  <c:v>423403</c:v>
                </c:pt>
                <c:pt idx="125">
                  <c:v>463878</c:v>
                </c:pt>
                <c:pt idx="126">
                  <c:v>426208</c:v>
                </c:pt>
                <c:pt idx="127">
                  <c:v>658374</c:v>
                </c:pt>
                <c:pt idx="128">
                  <c:v>549094</c:v>
                </c:pt>
                <c:pt idx="129">
                  <c:v>677904</c:v>
                </c:pt>
                <c:pt idx="130">
                  <c:v>424457</c:v>
                </c:pt>
                <c:pt idx="131">
                  <c:v>408178</c:v>
                </c:pt>
                <c:pt idx="132">
                  <c:v>462216</c:v>
                </c:pt>
                <c:pt idx="133">
                  <c:v>472472</c:v>
                </c:pt>
                <c:pt idx="134">
                  <c:v>456429</c:v>
                </c:pt>
                <c:pt idx="135">
                  <c:v>425055</c:v>
                </c:pt>
                <c:pt idx="136">
                  <c:v>378159</c:v>
                </c:pt>
                <c:pt idx="137">
                  <c:v>393738</c:v>
                </c:pt>
                <c:pt idx="138">
                  <c:v>340338</c:v>
                </c:pt>
                <c:pt idx="139">
                  <c:v>538842</c:v>
                </c:pt>
                <c:pt idx="140">
                  <c:v>459218</c:v>
                </c:pt>
                <c:pt idx="141">
                  <c:v>610550</c:v>
                </c:pt>
                <c:pt idx="142">
                  <c:v>397169</c:v>
                </c:pt>
                <c:pt idx="143">
                  <c:v>535034</c:v>
                </c:pt>
                <c:pt idx="144">
                  <c:v>714242</c:v>
                </c:pt>
                <c:pt idx="145">
                  <c:v>594166</c:v>
                </c:pt>
                <c:pt idx="146">
                  <c:v>631143</c:v>
                </c:pt>
                <c:pt idx="147">
                  <c:v>758165</c:v>
                </c:pt>
                <c:pt idx="148">
                  <c:v>646706</c:v>
                </c:pt>
                <c:pt idx="149">
                  <c:v>561975</c:v>
                </c:pt>
                <c:pt idx="150">
                  <c:v>593985</c:v>
                </c:pt>
                <c:pt idx="151">
                  <c:v>644979</c:v>
                </c:pt>
                <c:pt idx="152">
                  <c:v>700027</c:v>
                </c:pt>
                <c:pt idx="153">
                  <c:v>511008</c:v>
                </c:pt>
                <c:pt idx="154">
                  <c:v>558893</c:v>
                </c:pt>
                <c:pt idx="155">
                  <c:v>506891</c:v>
                </c:pt>
                <c:pt idx="156">
                  <c:v>783870</c:v>
                </c:pt>
                <c:pt idx="157">
                  <c:v>881481</c:v>
                </c:pt>
                <c:pt idx="158">
                  <c:v>773459</c:v>
                </c:pt>
                <c:pt idx="159">
                  <c:v>782329</c:v>
                </c:pt>
                <c:pt idx="160">
                  <c:v>613717</c:v>
                </c:pt>
                <c:pt idx="161">
                  <c:v>372742</c:v>
                </c:pt>
                <c:pt idx="162">
                  <c:v>438980</c:v>
                </c:pt>
                <c:pt idx="163">
                  <c:v>440956</c:v>
                </c:pt>
                <c:pt idx="164">
                  <c:v>556709</c:v>
                </c:pt>
                <c:pt idx="165">
                  <c:v>501638</c:v>
                </c:pt>
                <c:pt idx="166">
                  <c:v>428079</c:v>
                </c:pt>
                <c:pt idx="167">
                  <c:v>484723</c:v>
                </c:pt>
                <c:pt idx="168">
                  <c:v>560819</c:v>
                </c:pt>
                <c:pt idx="169">
                  <c:v>582071</c:v>
                </c:pt>
                <c:pt idx="170">
                  <c:v>575936</c:v>
                </c:pt>
                <c:pt idx="171">
                  <c:v>521841</c:v>
                </c:pt>
                <c:pt idx="172">
                  <c:v>443295</c:v>
                </c:pt>
                <c:pt idx="173">
                  <c:v>625277</c:v>
                </c:pt>
                <c:pt idx="174">
                  <c:v>586133</c:v>
                </c:pt>
                <c:pt idx="175">
                  <c:v>423810</c:v>
                </c:pt>
                <c:pt idx="176">
                  <c:v>436315</c:v>
                </c:pt>
                <c:pt idx="177">
                  <c:v>532203</c:v>
                </c:pt>
                <c:pt idx="178">
                  <c:v>338612</c:v>
                </c:pt>
                <c:pt idx="179">
                  <c:v>351087</c:v>
                </c:pt>
                <c:pt idx="180">
                  <c:v>460083</c:v>
                </c:pt>
                <c:pt idx="181">
                  <c:v>470546</c:v>
                </c:pt>
                <c:pt idx="182">
                  <c:v>450520</c:v>
                </c:pt>
                <c:pt idx="183">
                  <c:v>334062</c:v>
                </c:pt>
                <c:pt idx="184">
                  <c:v>325739</c:v>
                </c:pt>
                <c:pt idx="185">
                  <c:v>430275</c:v>
                </c:pt>
                <c:pt idx="186">
                  <c:v>401892</c:v>
                </c:pt>
                <c:pt idx="187">
                  <c:v>809473</c:v>
                </c:pt>
                <c:pt idx="188">
                  <c:v>478786</c:v>
                </c:pt>
                <c:pt idx="189">
                  <c:v>414348</c:v>
                </c:pt>
                <c:pt idx="190">
                  <c:v>570212</c:v>
                </c:pt>
                <c:pt idx="191">
                  <c:v>561950</c:v>
                </c:pt>
                <c:pt idx="192">
                  <c:v>514575</c:v>
                </c:pt>
                <c:pt idx="193">
                  <c:v>561333</c:v>
                </c:pt>
                <c:pt idx="194">
                  <c:v>470183</c:v>
                </c:pt>
                <c:pt idx="195">
                  <c:v>620652</c:v>
                </c:pt>
                <c:pt idx="196">
                  <c:v>621030</c:v>
                </c:pt>
                <c:pt idx="197">
                  <c:v>477952</c:v>
                </c:pt>
                <c:pt idx="198">
                  <c:v>640806</c:v>
                </c:pt>
                <c:pt idx="199">
                  <c:v>630392</c:v>
                </c:pt>
                <c:pt idx="200">
                  <c:v>397600</c:v>
                </c:pt>
                <c:pt idx="201">
                  <c:v>495495</c:v>
                </c:pt>
                <c:pt idx="202">
                  <c:v>419277</c:v>
                </c:pt>
                <c:pt idx="203">
                  <c:v>510644</c:v>
                </c:pt>
                <c:pt idx="204">
                  <c:v>448300</c:v>
                </c:pt>
                <c:pt idx="205">
                  <c:v>489620</c:v>
                </c:pt>
                <c:pt idx="206">
                  <c:v>509545</c:v>
                </c:pt>
                <c:pt idx="207">
                  <c:v>825226</c:v>
                </c:pt>
                <c:pt idx="208">
                  <c:v>720451</c:v>
                </c:pt>
                <c:pt idx="209">
                  <c:v>695865</c:v>
                </c:pt>
                <c:pt idx="210">
                  <c:v>408182</c:v>
                </c:pt>
                <c:pt idx="211">
                  <c:v>584947</c:v>
                </c:pt>
                <c:pt idx="212">
                  <c:v>609288</c:v>
                </c:pt>
                <c:pt idx="213">
                  <c:v>498759</c:v>
                </c:pt>
                <c:pt idx="214">
                  <c:v>403969</c:v>
                </c:pt>
                <c:pt idx="215">
                  <c:v>391384</c:v>
                </c:pt>
                <c:pt idx="216">
                  <c:v>454259</c:v>
                </c:pt>
                <c:pt idx="217">
                  <c:v>462910</c:v>
                </c:pt>
                <c:pt idx="218">
                  <c:v>378994</c:v>
                </c:pt>
                <c:pt idx="219">
                  <c:v>457237</c:v>
                </c:pt>
                <c:pt idx="220">
                  <c:v>404014</c:v>
                </c:pt>
                <c:pt idx="221">
                  <c:v>496064</c:v>
                </c:pt>
                <c:pt idx="222">
                  <c:v>421552</c:v>
                </c:pt>
                <c:pt idx="223">
                  <c:v>574301</c:v>
                </c:pt>
                <c:pt idx="224">
                  <c:v>531661</c:v>
                </c:pt>
                <c:pt idx="225">
                  <c:v>415376</c:v>
                </c:pt>
                <c:pt idx="226">
                  <c:v>456396</c:v>
                </c:pt>
                <c:pt idx="227">
                  <c:v>562144</c:v>
                </c:pt>
                <c:pt idx="228">
                  <c:v>612668</c:v>
                </c:pt>
                <c:pt idx="229">
                  <c:v>422699</c:v>
                </c:pt>
                <c:pt idx="230">
                  <c:v>593841</c:v>
                </c:pt>
                <c:pt idx="231">
                  <c:v>621363</c:v>
                </c:pt>
                <c:pt idx="232">
                  <c:v>543525</c:v>
                </c:pt>
                <c:pt idx="233">
                  <c:v>559385</c:v>
                </c:pt>
                <c:pt idx="234">
                  <c:v>430009</c:v>
                </c:pt>
                <c:pt idx="235">
                  <c:v>518182</c:v>
                </c:pt>
                <c:pt idx="236">
                  <c:v>411617</c:v>
                </c:pt>
                <c:pt idx="237">
                  <c:v>511677</c:v>
                </c:pt>
                <c:pt idx="238">
                  <c:v>596121</c:v>
                </c:pt>
                <c:pt idx="239">
                  <c:v>751074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FA1-4BA3-90DA-76512866858A}"/>
            </c:ext>
          </c:extLst>
        </c:ser>
        <c:dLbls/>
        <c:axId val="204288768"/>
        <c:axId val="204282880"/>
      </c:areaChart>
      <c:lineChart>
        <c:grouping val="standard"/>
        <c:ser>
          <c:idx val="0"/>
          <c:order val="0"/>
          <c:tx>
            <c:strRef>
              <c:f>'daily monitor'!$K$99</c:f>
              <c:strCache>
                <c:ptCount val="1"/>
                <c:pt idx="0">
                  <c:v>KOSPI</c:v>
                </c:pt>
              </c:strCache>
            </c:strRef>
          </c:tx>
          <c:spPr>
            <a:ln w="19050">
              <a:solidFill>
                <a:srgbClr val="FF6699"/>
              </a:solidFill>
            </a:ln>
            <a:effectLst/>
          </c:spPr>
          <c:marker>
            <c:symbol val="none"/>
          </c:marker>
          <c:cat>
            <c:numRef>
              <c:f>'daily monitor'!$K$101:$K$349</c:f>
              <c:numCache>
                <c:formatCode>yyyy/mm/dd</c:formatCode>
                <c:ptCount val="249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45656</c:v>
                </c:pt>
                <c:pt idx="19">
                  <c:v>45653</c:v>
                </c:pt>
                <c:pt idx="20">
                  <c:v>45652</c:v>
                </c:pt>
                <c:pt idx="21">
                  <c:v>45650</c:v>
                </c:pt>
                <c:pt idx="22">
                  <c:v>45649</c:v>
                </c:pt>
                <c:pt idx="23">
                  <c:v>45646</c:v>
                </c:pt>
                <c:pt idx="24">
                  <c:v>45645</c:v>
                </c:pt>
                <c:pt idx="25">
                  <c:v>45644</c:v>
                </c:pt>
                <c:pt idx="26">
                  <c:v>45643</c:v>
                </c:pt>
                <c:pt idx="27">
                  <c:v>45642</c:v>
                </c:pt>
                <c:pt idx="28">
                  <c:v>45639</c:v>
                </c:pt>
                <c:pt idx="29">
                  <c:v>45638</c:v>
                </c:pt>
                <c:pt idx="30">
                  <c:v>45637</c:v>
                </c:pt>
                <c:pt idx="31">
                  <c:v>45636</c:v>
                </c:pt>
                <c:pt idx="32">
                  <c:v>45635</c:v>
                </c:pt>
                <c:pt idx="33">
                  <c:v>45632</c:v>
                </c:pt>
                <c:pt idx="34">
                  <c:v>45631</c:v>
                </c:pt>
                <c:pt idx="35">
                  <c:v>45630</c:v>
                </c:pt>
                <c:pt idx="36">
                  <c:v>45629</c:v>
                </c:pt>
                <c:pt idx="37">
                  <c:v>45628</c:v>
                </c:pt>
                <c:pt idx="38">
                  <c:v>45625</c:v>
                </c:pt>
                <c:pt idx="39">
                  <c:v>45624</c:v>
                </c:pt>
                <c:pt idx="40">
                  <c:v>45623</c:v>
                </c:pt>
                <c:pt idx="41">
                  <c:v>45622</c:v>
                </c:pt>
                <c:pt idx="42">
                  <c:v>45621</c:v>
                </c:pt>
                <c:pt idx="43">
                  <c:v>45618</c:v>
                </c:pt>
                <c:pt idx="44">
                  <c:v>45617</c:v>
                </c:pt>
                <c:pt idx="45">
                  <c:v>45616</c:v>
                </c:pt>
                <c:pt idx="46">
                  <c:v>45615</c:v>
                </c:pt>
                <c:pt idx="47">
                  <c:v>45614</c:v>
                </c:pt>
                <c:pt idx="48">
                  <c:v>45611</c:v>
                </c:pt>
                <c:pt idx="49">
                  <c:v>45610</c:v>
                </c:pt>
                <c:pt idx="50">
                  <c:v>45609</c:v>
                </c:pt>
                <c:pt idx="51">
                  <c:v>45608</c:v>
                </c:pt>
                <c:pt idx="52">
                  <c:v>45607</c:v>
                </c:pt>
                <c:pt idx="53">
                  <c:v>45604</c:v>
                </c:pt>
                <c:pt idx="54">
                  <c:v>45603</c:v>
                </c:pt>
                <c:pt idx="55">
                  <c:v>45602</c:v>
                </c:pt>
                <c:pt idx="56">
                  <c:v>45601</c:v>
                </c:pt>
                <c:pt idx="57">
                  <c:v>45600</c:v>
                </c:pt>
                <c:pt idx="58">
                  <c:v>45597</c:v>
                </c:pt>
                <c:pt idx="59">
                  <c:v>45596</c:v>
                </c:pt>
                <c:pt idx="60">
                  <c:v>45595</c:v>
                </c:pt>
                <c:pt idx="61">
                  <c:v>45594</c:v>
                </c:pt>
                <c:pt idx="62">
                  <c:v>45593</c:v>
                </c:pt>
                <c:pt idx="63">
                  <c:v>45590</c:v>
                </c:pt>
                <c:pt idx="64">
                  <c:v>45589</c:v>
                </c:pt>
                <c:pt idx="65">
                  <c:v>45588</c:v>
                </c:pt>
                <c:pt idx="66">
                  <c:v>45587</c:v>
                </c:pt>
                <c:pt idx="67">
                  <c:v>45586</c:v>
                </c:pt>
                <c:pt idx="68">
                  <c:v>45583</c:v>
                </c:pt>
                <c:pt idx="69">
                  <c:v>45582</c:v>
                </c:pt>
                <c:pt idx="70">
                  <c:v>45581</c:v>
                </c:pt>
                <c:pt idx="71">
                  <c:v>45580</c:v>
                </c:pt>
                <c:pt idx="72">
                  <c:v>45579</c:v>
                </c:pt>
                <c:pt idx="73">
                  <c:v>45576</c:v>
                </c:pt>
                <c:pt idx="74">
                  <c:v>45575</c:v>
                </c:pt>
                <c:pt idx="75">
                  <c:v>45573</c:v>
                </c:pt>
                <c:pt idx="76">
                  <c:v>45572</c:v>
                </c:pt>
                <c:pt idx="77">
                  <c:v>45569</c:v>
                </c:pt>
                <c:pt idx="78">
                  <c:v>45567</c:v>
                </c:pt>
                <c:pt idx="79">
                  <c:v>45565</c:v>
                </c:pt>
                <c:pt idx="80">
                  <c:v>45562</c:v>
                </c:pt>
                <c:pt idx="81">
                  <c:v>45561</c:v>
                </c:pt>
                <c:pt idx="82">
                  <c:v>45560</c:v>
                </c:pt>
                <c:pt idx="83">
                  <c:v>45559</c:v>
                </c:pt>
                <c:pt idx="84">
                  <c:v>45558</c:v>
                </c:pt>
                <c:pt idx="85">
                  <c:v>45555</c:v>
                </c:pt>
                <c:pt idx="86">
                  <c:v>45554</c:v>
                </c:pt>
                <c:pt idx="87">
                  <c:v>45548</c:v>
                </c:pt>
                <c:pt idx="88">
                  <c:v>45547</c:v>
                </c:pt>
                <c:pt idx="89">
                  <c:v>45546</c:v>
                </c:pt>
                <c:pt idx="90">
                  <c:v>45545</c:v>
                </c:pt>
                <c:pt idx="91">
                  <c:v>45544</c:v>
                </c:pt>
                <c:pt idx="92">
                  <c:v>45541</c:v>
                </c:pt>
                <c:pt idx="93">
                  <c:v>45540</c:v>
                </c:pt>
                <c:pt idx="94">
                  <c:v>45539</c:v>
                </c:pt>
                <c:pt idx="95">
                  <c:v>45538</c:v>
                </c:pt>
                <c:pt idx="96">
                  <c:v>45537</c:v>
                </c:pt>
                <c:pt idx="97">
                  <c:v>45534</c:v>
                </c:pt>
                <c:pt idx="98">
                  <c:v>45533</c:v>
                </c:pt>
                <c:pt idx="99">
                  <c:v>45532</c:v>
                </c:pt>
                <c:pt idx="100">
                  <c:v>45531</c:v>
                </c:pt>
                <c:pt idx="101">
                  <c:v>45530</c:v>
                </c:pt>
                <c:pt idx="102">
                  <c:v>45527</c:v>
                </c:pt>
                <c:pt idx="103">
                  <c:v>45526</c:v>
                </c:pt>
                <c:pt idx="104">
                  <c:v>45525</c:v>
                </c:pt>
                <c:pt idx="105">
                  <c:v>45524</c:v>
                </c:pt>
                <c:pt idx="106">
                  <c:v>45523</c:v>
                </c:pt>
                <c:pt idx="107">
                  <c:v>45520</c:v>
                </c:pt>
                <c:pt idx="108">
                  <c:v>45518</c:v>
                </c:pt>
                <c:pt idx="109">
                  <c:v>45517</c:v>
                </c:pt>
                <c:pt idx="110">
                  <c:v>45516</c:v>
                </c:pt>
                <c:pt idx="111">
                  <c:v>45513</c:v>
                </c:pt>
                <c:pt idx="112">
                  <c:v>45512</c:v>
                </c:pt>
                <c:pt idx="113">
                  <c:v>45511</c:v>
                </c:pt>
                <c:pt idx="114">
                  <c:v>45510</c:v>
                </c:pt>
                <c:pt idx="115">
                  <c:v>45509</c:v>
                </c:pt>
                <c:pt idx="116">
                  <c:v>45506</c:v>
                </c:pt>
                <c:pt idx="117">
                  <c:v>45505</c:v>
                </c:pt>
                <c:pt idx="118">
                  <c:v>45504</c:v>
                </c:pt>
                <c:pt idx="119">
                  <c:v>45503</c:v>
                </c:pt>
                <c:pt idx="120">
                  <c:v>45502</c:v>
                </c:pt>
                <c:pt idx="121">
                  <c:v>45499</c:v>
                </c:pt>
                <c:pt idx="122">
                  <c:v>45498</c:v>
                </c:pt>
                <c:pt idx="123">
                  <c:v>45497</c:v>
                </c:pt>
                <c:pt idx="124">
                  <c:v>45496</c:v>
                </c:pt>
                <c:pt idx="125">
                  <c:v>45495</c:v>
                </c:pt>
                <c:pt idx="126">
                  <c:v>45492</c:v>
                </c:pt>
                <c:pt idx="127">
                  <c:v>45491</c:v>
                </c:pt>
                <c:pt idx="128">
                  <c:v>45490</c:v>
                </c:pt>
                <c:pt idx="129">
                  <c:v>45489</c:v>
                </c:pt>
                <c:pt idx="130">
                  <c:v>45488</c:v>
                </c:pt>
                <c:pt idx="131">
                  <c:v>45485</c:v>
                </c:pt>
                <c:pt idx="132">
                  <c:v>45484</c:v>
                </c:pt>
                <c:pt idx="133">
                  <c:v>45483</c:v>
                </c:pt>
                <c:pt idx="134">
                  <c:v>45482</c:v>
                </c:pt>
                <c:pt idx="135">
                  <c:v>45481</c:v>
                </c:pt>
                <c:pt idx="136">
                  <c:v>45478</c:v>
                </c:pt>
                <c:pt idx="137">
                  <c:v>45477</c:v>
                </c:pt>
                <c:pt idx="138">
                  <c:v>45476</c:v>
                </c:pt>
                <c:pt idx="139">
                  <c:v>45475</c:v>
                </c:pt>
                <c:pt idx="140">
                  <c:v>45474</c:v>
                </c:pt>
                <c:pt idx="141">
                  <c:v>45471</c:v>
                </c:pt>
                <c:pt idx="142">
                  <c:v>45470</c:v>
                </c:pt>
                <c:pt idx="143">
                  <c:v>45469</c:v>
                </c:pt>
                <c:pt idx="144">
                  <c:v>45468</c:v>
                </c:pt>
                <c:pt idx="145">
                  <c:v>45467</c:v>
                </c:pt>
                <c:pt idx="146">
                  <c:v>45464</c:v>
                </c:pt>
                <c:pt idx="147">
                  <c:v>45463</c:v>
                </c:pt>
                <c:pt idx="148">
                  <c:v>45462</c:v>
                </c:pt>
                <c:pt idx="149">
                  <c:v>45461</c:v>
                </c:pt>
                <c:pt idx="150">
                  <c:v>45460</c:v>
                </c:pt>
                <c:pt idx="151">
                  <c:v>45457</c:v>
                </c:pt>
                <c:pt idx="152">
                  <c:v>45456</c:v>
                </c:pt>
                <c:pt idx="153">
                  <c:v>45455</c:v>
                </c:pt>
                <c:pt idx="154">
                  <c:v>45454</c:v>
                </c:pt>
                <c:pt idx="155">
                  <c:v>45453</c:v>
                </c:pt>
                <c:pt idx="156">
                  <c:v>45450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45426</c:v>
                </c:pt>
                <c:pt idx="173">
                  <c:v>45425</c:v>
                </c:pt>
                <c:pt idx="174">
                  <c:v>45422</c:v>
                </c:pt>
                <c:pt idx="175">
                  <c:v>45421</c:v>
                </c:pt>
                <c:pt idx="176">
                  <c:v>45420</c:v>
                </c:pt>
                <c:pt idx="177">
                  <c:v>45419</c:v>
                </c:pt>
                <c:pt idx="178">
                  <c:v>45415</c:v>
                </c:pt>
                <c:pt idx="179">
                  <c:v>45414</c:v>
                </c:pt>
                <c:pt idx="180">
                  <c:v>45412</c:v>
                </c:pt>
                <c:pt idx="181">
                  <c:v>45411</c:v>
                </c:pt>
                <c:pt idx="182">
                  <c:v>45408</c:v>
                </c:pt>
                <c:pt idx="183">
                  <c:v>45407</c:v>
                </c:pt>
                <c:pt idx="184">
                  <c:v>45406</c:v>
                </c:pt>
                <c:pt idx="185">
                  <c:v>45405</c:v>
                </c:pt>
                <c:pt idx="186">
                  <c:v>45404</c:v>
                </c:pt>
                <c:pt idx="187">
                  <c:v>45401</c:v>
                </c:pt>
                <c:pt idx="188">
                  <c:v>45400</c:v>
                </c:pt>
                <c:pt idx="189">
                  <c:v>45399</c:v>
                </c:pt>
                <c:pt idx="190">
                  <c:v>45398</c:v>
                </c:pt>
                <c:pt idx="191">
                  <c:v>45397</c:v>
                </c:pt>
                <c:pt idx="192">
                  <c:v>45394</c:v>
                </c:pt>
                <c:pt idx="193">
                  <c:v>45393</c:v>
                </c:pt>
                <c:pt idx="194">
                  <c:v>45391</c:v>
                </c:pt>
                <c:pt idx="195">
                  <c:v>45390</c:v>
                </c:pt>
                <c:pt idx="196">
                  <c:v>45387</c:v>
                </c:pt>
                <c:pt idx="197">
                  <c:v>45386</c:v>
                </c:pt>
                <c:pt idx="198">
                  <c:v>45385</c:v>
                </c:pt>
                <c:pt idx="199">
                  <c:v>45384</c:v>
                </c:pt>
                <c:pt idx="200">
                  <c:v>45383</c:v>
                </c:pt>
                <c:pt idx="201">
                  <c:v>45380</c:v>
                </c:pt>
                <c:pt idx="202">
                  <c:v>45379</c:v>
                </c:pt>
                <c:pt idx="203">
                  <c:v>45378</c:v>
                </c:pt>
                <c:pt idx="204">
                  <c:v>45377</c:v>
                </c:pt>
                <c:pt idx="205">
                  <c:v>45376</c:v>
                </c:pt>
                <c:pt idx="206">
                  <c:v>45373</c:v>
                </c:pt>
                <c:pt idx="207">
                  <c:v>45372</c:v>
                </c:pt>
                <c:pt idx="208">
                  <c:v>45371</c:v>
                </c:pt>
                <c:pt idx="209">
                  <c:v>45370</c:v>
                </c:pt>
                <c:pt idx="210">
                  <c:v>45369</c:v>
                </c:pt>
                <c:pt idx="211">
                  <c:v>45366</c:v>
                </c:pt>
                <c:pt idx="212">
                  <c:v>45365</c:v>
                </c:pt>
                <c:pt idx="213">
                  <c:v>45364</c:v>
                </c:pt>
                <c:pt idx="214">
                  <c:v>45363</c:v>
                </c:pt>
                <c:pt idx="215">
                  <c:v>45362</c:v>
                </c:pt>
                <c:pt idx="216">
                  <c:v>45359</c:v>
                </c:pt>
                <c:pt idx="217">
                  <c:v>45358</c:v>
                </c:pt>
                <c:pt idx="218">
                  <c:v>45357</c:v>
                </c:pt>
                <c:pt idx="219">
                  <c:v>45356</c:v>
                </c:pt>
                <c:pt idx="220">
                  <c:v>45355</c:v>
                </c:pt>
                <c:pt idx="221">
                  <c:v>45351</c:v>
                </c:pt>
                <c:pt idx="222">
                  <c:v>45350</c:v>
                </c:pt>
                <c:pt idx="223">
                  <c:v>45349</c:v>
                </c:pt>
                <c:pt idx="224">
                  <c:v>45348</c:v>
                </c:pt>
                <c:pt idx="225">
                  <c:v>45345</c:v>
                </c:pt>
                <c:pt idx="226">
                  <c:v>45344</c:v>
                </c:pt>
                <c:pt idx="227">
                  <c:v>45343</c:v>
                </c:pt>
                <c:pt idx="228">
                  <c:v>45342</c:v>
                </c:pt>
                <c:pt idx="229">
                  <c:v>45341</c:v>
                </c:pt>
                <c:pt idx="230">
                  <c:v>45338</c:v>
                </c:pt>
                <c:pt idx="231">
                  <c:v>45337</c:v>
                </c:pt>
                <c:pt idx="232">
                  <c:v>45336</c:v>
                </c:pt>
                <c:pt idx="233">
                  <c:v>45335</c:v>
                </c:pt>
                <c:pt idx="234">
                  <c:v>45330</c:v>
                </c:pt>
                <c:pt idx="235">
                  <c:v>45329</c:v>
                </c:pt>
                <c:pt idx="236">
                  <c:v>45328</c:v>
                </c:pt>
                <c:pt idx="237">
                  <c:v>45327</c:v>
                </c:pt>
                <c:pt idx="238">
                  <c:v>45324</c:v>
                </c:pt>
                <c:pt idx="239">
                  <c:v>45323</c:v>
                </c:pt>
              </c:numCache>
            </c:numRef>
          </c:cat>
          <c:val>
            <c:numRef>
              <c:f>'daily monitor'!$L$101:$L$349</c:f>
              <c:numCache>
                <c:formatCode>General</c:formatCode>
                <c:ptCount val="249"/>
                <c:pt idx="0">
                  <c:v>2517.37</c:v>
                </c:pt>
                <c:pt idx="1">
                  <c:v>2536.8000000000002</c:v>
                </c:pt>
                <c:pt idx="2">
                  <c:v>2515.4899999999998</c:v>
                </c:pt>
                <c:pt idx="3">
                  <c:v>2547.06</c:v>
                </c:pt>
                <c:pt idx="4">
                  <c:v>2518.0300000000002</c:v>
                </c:pt>
                <c:pt idx="5">
                  <c:v>2520.0500000000002</c:v>
                </c:pt>
                <c:pt idx="6">
                  <c:v>2523.5500000000002</c:v>
                </c:pt>
                <c:pt idx="7">
                  <c:v>2527.4899999999998</c:v>
                </c:pt>
                <c:pt idx="8">
                  <c:v>2496.81</c:v>
                </c:pt>
                <c:pt idx="9">
                  <c:v>2497.4</c:v>
                </c:pt>
                <c:pt idx="10">
                  <c:v>2489.56</c:v>
                </c:pt>
                <c:pt idx="11">
                  <c:v>2515.7800000000002</c:v>
                </c:pt>
                <c:pt idx="12">
                  <c:v>2521.9</c:v>
                </c:pt>
                <c:pt idx="13">
                  <c:v>2521.0500000000002</c:v>
                </c:pt>
                <c:pt idx="14">
                  <c:v>2492.1</c:v>
                </c:pt>
                <c:pt idx="15">
                  <c:v>2488.64</c:v>
                </c:pt>
                <c:pt idx="16">
                  <c:v>2441.92</c:v>
                </c:pt>
                <c:pt idx="17">
                  <c:v>2398.94</c:v>
                </c:pt>
                <c:pt idx="18">
                  <c:v>2399.4899999999998</c:v>
                </c:pt>
                <c:pt idx="19">
                  <c:v>2404.77</c:v>
                </c:pt>
                <c:pt idx="20">
                  <c:v>2429.67</c:v>
                </c:pt>
                <c:pt idx="21">
                  <c:v>2440.52</c:v>
                </c:pt>
                <c:pt idx="22">
                  <c:v>2442.0100000000002</c:v>
                </c:pt>
                <c:pt idx="23">
                  <c:v>2404.15</c:v>
                </c:pt>
                <c:pt idx="24">
                  <c:v>2435.9299999999998</c:v>
                </c:pt>
                <c:pt idx="25">
                  <c:v>2484.4299999999998</c:v>
                </c:pt>
                <c:pt idx="26">
                  <c:v>2456.81</c:v>
                </c:pt>
                <c:pt idx="27">
                  <c:v>2488.9699999999998</c:v>
                </c:pt>
                <c:pt idx="28">
                  <c:v>2494.46</c:v>
                </c:pt>
                <c:pt idx="29">
                  <c:v>2482.12</c:v>
                </c:pt>
                <c:pt idx="30">
                  <c:v>2442.5100000000002</c:v>
                </c:pt>
                <c:pt idx="31">
                  <c:v>2417.84</c:v>
                </c:pt>
                <c:pt idx="32">
                  <c:v>2360.58</c:v>
                </c:pt>
                <c:pt idx="33">
                  <c:v>2428.16</c:v>
                </c:pt>
                <c:pt idx="34">
                  <c:v>2441.85</c:v>
                </c:pt>
                <c:pt idx="35">
                  <c:v>2464</c:v>
                </c:pt>
                <c:pt idx="36">
                  <c:v>2500.1</c:v>
                </c:pt>
                <c:pt idx="37">
                  <c:v>2454.48</c:v>
                </c:pt>
                <c:pt idx="38">
                  <c:v>2455.91</c:v>
                </c:pt>
                <c:pt idx="39">
                  <c:v>2504.67</c:v>
                </c:pt>
                <c:pt idx="40">
                  <c:v>2503.06</c:v>
                </c:pt>
                <c:pt idx="41">
                  <c:v>2520.36</c:v>
                </c:pt>
                <c:pt idx="42">
                  <c:v>2534.34</c:v>
                </c:pt>
                <c:pt idx="43">
                  <c:v>2501.2399999999998</c:v>
                </c:pt>
                <c:pt idx="44">
                  <c:v>2480.63</c:v>
                </c:pt>
                <c:pt idx="45">
                  <c:v>2482.29</c:v>
                </c:pt>
                <c:pt idx="46">
                  <c:v>2471.9499999999998</c:v>
                </c:pt>
                <c:pt idx="47">
                  <c:v>2469.0700000000002</c:v>
                </c:pt>
                <c:pt idx="48">
                  <c:v>2416.86</c:v>
                </c:pt>
                <c:pt idx="49">
                  <c:v>2418.86</c:v>
                </c:pt>
                <c:pt idx="50">
                  <c:v>2417.08</c:v>
                </c:pt>
                <c:pt idx="51">
                  <c:v>2482.5700000000002</c:v>
                </c:pt>
                <c:pt idx="52">
                  <c:v>2531.66</c:v>
                </c:pt>
                <c:pt idx="53">
                  <c:v>2561.15</c:v>
                </c:pt>
                <c:pt idx="54">
                  <c:v>2564.63</c:v>
                </c:pt>
                <c:pt idx="55">
                  <c:v>2563.5100000000002</c:v>
                </c:pt>
                <c:pt idx="56">
                  <c:v>2576.88</c:v>
                </c:pt>
                <c:pt idx="57">
                  <c:v>2588.9699999999998</c:v>
                </c:pt>
                <c:pt idx="58">
                  <c:v>2542.36</c:v>
                </c:pt>
                <c:pt idx="59">
                  <c:v>2556.15</c:v>
                </c:pt>
                <c:pt idx="60">
                  <c:v>2593.79</c:v>
                </c:pt>
                <c:pt idx="61">
                  <c:v>2617.8000000000002</c:v>
                </c:pt>
                <c:pt idx="62">
                  <c:v>2612.4299999999998</c:v>
                </c:pt>
                <c:pt idx="63">
                  <c:v>2583.27</c:v>
                </c:pt>
                <c:pt idx="64">
                  <c:v>2581.0300000000002</c:v>
                </c:pt>
                <c:pt idx="65">
                  <c:v>2599.62</c:v>
                </c:pt>
                <c:pt idx="66">
                  <c:v>2570.6999999999998</c:v>
                </c:pt>
                <c:pt idx="67">
                  <c:v>2604.92</c:v>
                </c:pt>
                <c:pt idx="68">
                  <c:v>2593.8200000000002</c:v>
                </c:pt>
                <c:pt idx="69">
                  <c:v>2609.3000000000002</c:v>
                </c:pt>
                <c:pt idx="70">
                  <c:v>2610.36</c:v>
                </c:pt>
                <c:pt idx="71">
                  <c:v>2633.45</c:v>
                </c:pt>
                <c:pt idx="72">
                  <c:v>2623.29</c:v>
                </c:pt>
                <c:pt idx="73">
                  <c:v>2596.91</c:v>
                </c:pt>
                <c:pt idx="74">
                  <c:v>2599.16</c:v>
                </c:pt>
                <c:pt idx="75">
                  <c:v>2594.36</c:v>
                </c:pt>
                <c:pt idx="76">
                  <c:v>2610.38</c:v>
                </c:pt>
                <c:pt idx="77">
                  <c:v>2569.71</c:v>
                </c:pt>
                <c:pt idx="78">
                  <c:v>2561.69</c:v>
                </c:pt>
                <c:pt idx="79">
                  <c:v>2593.27</c:v>
                </c:pt>
                <c:pt idx="80">
                  <c:v>2649.78</c:v>
                </c:pt>
                <c:pt idx="81">
                  <c:v>2671.57</c:v>
                </c:pt>
                <c:pt idx="82">
                  <c:v>2596.3200000000002</c:v>
                </c:pt>
                <c:pt idx="83">
                  <c:v>2631.68</c:v>
                </c:pt>
                <c:pt idx="84">
                  <c:v>2602.0100000000002</c:v>
                </c:pt>
                <c:pt idx="85">
                  <c:v>2593.37</c:v>
                </c:pt>
                <c:pt idx="86">
                  <c:v>2580.8000000000002</c:v>
                </c:pt>
                <c:pt idx="87">
                  <c:v>2575.41</c:v>
                </c:pt>
                <c:pt idx="88">
                  <c:v>2572.09</c:v>
                </c:pt>
                <c:pt idx="89">
                  <c:v>2513.37</c:v>
                </c:pt>
                <c:pt idx="90">
                  <c:v>2523.4299999999998</c:v>
                </c:pt>
                <c:pt idx="91">
                  <c:v>2535.9299999999998</c:v>
                </c:pt>
                <c:pt idx="92">
                  <c:v>2544.2800000000002</c:v>
                </c:pt>
                <c:pt idx="93">
                  <c:v>2575.5</c:v>
                </c:pt>
                <c:pt idx="94">
                  <c:v>2580.8000000000002</c:v>
                </c:pt>
                <c:pt idx="95">
                  <c:v>2664.63</c:v>
                </c:pt>
                <c:pt idx="96">
                  <c:v>2681</c:v>
                </c:pt>
                <c:pt idx="97">
                  <c:v>2674.31</c:v>
                </c:pt>
                <c:pt idx="98">
                  <c:v>2662.28</c:v>
                </c:pt>
                <c:pt idx="99">
                  <c:v>2689.83</c:v>
                </c:pt>
                <c:pt idx="100">
                  <c:v>2689.25</c:v>
                </c:pt>
                <c:pt idx="101">
                  <c:v>2698.01</c:v>
                </c:pt>
                <c:pt idx="102">
                  <c:v>2701.69</c:v>
                </c:pt>
                <c:pt idx="103">
                  <c:v>2707.67</c:v>
                </c:pt>
                <c:pt idx="104">
                  <c:v>2701.13</c:v>
                </c:pt>
                <c:pt idx="105">
                  <c:v>2696.63</c:v>
                </c:pt>
                <c:pt idx="106">
                  <c:v>2674.36</c:v>
                </c:pt>
                <c:pt idx="107">
                  <c:v>2697.23</c:v>
                </c:pt>
                <c:pt idx="108">
                  <c:v>2644.5</c:v>
                </c:pt>
                <c:pt idx="109">
                  <c:v>2621.5</c:v>
                </c:pt>
                <c:pt idx="110">
                  <c:v>2618.3000000000002</c:v>
                </c:pt>
                <c:pt idx="111">
                  <c:v>2588.4299999999998</c:v>
                </c:pt>
                <c:pt idx="112">
                  <c:v>2556.73</c:v>
                </c:pt>
                <c:pt idx="113">
                  <c:v>2568.41</c:v>
                </c:pt>
                <c:pt idx="114">
                  <c:v>2522.15</c:v>
                </c:pt>
                <c:pt idx="115">
                  <c:v>2441.5500000000002</c:v>
                </c:pt>
                <c:pt idx="116">
                  <c:v>2676.19</c:v>
                </c:pt>
                <c:pt idx="117">
                  <c:v>2777.68</c:v>
                </c:pt>
                <c:pt idx="118">
                  <c:v>2770.69</c:v>
                </c:pt>
                <c:pt idx="119">
                  <c:v>2738.19</c:v>
                </c:pt>
                <c:pt idx="120">
                  <c:v>2765.53</c:v>
                </c:pt>
                <c:pt idx="121">
                  <c:v>2731.9</c:v>
                </c:pt>
                <c:pt idx="122">
                  <c:v>2710.65</c:v>
                </c:pt>
                <c:pt idx="123">
                  <c:v>2758.71</c:v>
                </c:pt>
                <c:pt idx="124">
                  <c:v>2774.29</c:v>
                </c:pt>
                <c:pt idx="125">
                  <c:v>2763.51</c:v>
                </c:pt>
                <c:pt idx="126">
                  <c:v>2795.46</c:v>
                </c:pt>
                <c:pt idx="127">
                  <c:v>2824.35</c:v>
                </c:pt>
                <c:pt idx="128">
                  <c:v>2843.29</c:v>
                </c:pt>
                <c:pt idx="129">
                  <c:v>2866.09</c:v>
                </c:pt>
                <c:pt idx="130">
                  <c:v>2860.92</c:v>
                </c:pt>
                <c:pt idx="131">
                  <c:v>2857</c:v>
                </c:pt>
                <c:pt idx="132">
                  <c:v>2891.35</c:v>
                </c:pt>
                <c:pt idx="133">
                  <c:v>2867.99</c:v>
                </c:pt>
                <c:pt idx="134">
                  <c:v>2867.38</c:v>
                </c:pt>
                <c:pt idx="135">
                  <c:v>2857.76</c:v>
                </c:pt>
                <c:pt idx="136">
                  <c:v>2862.23</c:v>
                </c:pt>
                <c:pt idx="137">
                  <c:v>2824.94</c:v>
                </c:pt>
                <c:pt idx="138">
                  <c:v>2794.01</c:v>
                </c:pt>
                <c:pt idx="139">
                  <c:v>2780.86</c:v>
                </c:pt>
                <c:pt idx="140">
                  <c:v>2804.31</c:v>
                </c:pt>
                <c:pt idx="141">
                  <c:v>2797.82</c:v>
                </c:pt>
                <c:pt idx="142">
                  <c:v>2784.06</c:v>
                </c:pt>
                <c:pt idx="143">
                  <c:v>2792.05</c:v>
                </c:pt>
                <c:pt idx="144">
                  <c:v>2774.39</c:v>
                </c:pt>
                <c:pt idx="145">
                  <c:v>2764.73</c:v>
                </c:pt>
                <c:pt idx="146">
                  <c:v>2784.26</c:v>
                </c:pt>
                <c:pt idx="147">
                  <c:v>2807.63</c:v>
                </c:pt>
                <c:pt idx="148">
                  <c:v>2797.33</c:v>
                </c:pt>
                <c:pt idx="149">
                  <c:v>2763.92</c:v>
                </c:pt>
                <c:pt idx="150">
                  <c:v>2744.1</c:v>
                </c:pt>
                <c:pt idx="151">
                  <c:v>2758.42</c:v>
                </c:pt>
                <c:pt idx="152">
                  <c:v>2754.89</c:v>
                </c:pt>
                <c:pt idx="153">
                  <c:v>2728.17</c:v>
                </c:pt>
                <c:pt idx="154">
                  <c:v>2705.32</c:v>
                </c:pt>
                <c:pt idx="155">
                  <c:v>2701.17</c:v>
                </c:pt>
                <c:pt idx="156">
                  <c:v>2722.67</c:v>
                </c:pt>
                <c:pt idx="157">
                  <c:v>2689.5</c:v>
                </c:pt>
                <c:pt idx="158">
                  <c:v>2662.1</c:v>
                </c:pt>
                <c:pt idx="159">
                  <c:v>2682.52</c:v>
                </c:pt>
                <c:pt idx="160">
                  <c:v>2636.52</c:v>
                </c:pt>
                <c:pt idx="161">
                  <c:v>2635.44</c:v>
                </c:pt>
                <c:pt idx="162">
                  <c:v>2677.3</c:v>
                </c:pt>
                <c:pt idx="163">
                  <c:v>2722.85</c:v>
                </c:pt>
                <c:pt idx="164">
                  <c:v>2722.99</c:v>
                </c:pt>
                <c:pt idx="165">
                  <c:v>2687.6</c:v>
                </c:pt>
                <c:pt idx="166">
                  <c:v>2721.81</c:v>
                </c:pt>
                <c:pt idx="167">
                  <c:v>2723.46</c:v>
                </c:pt>
                <c:pt idx="168">
                  <c:v>2724.18</c:v>
                </c:pt>
                <c:pt idx="169">
                  <c:v>2742.14</c:v>
                </c:pt>
                <c:pt idx="170">
                  <c:v>2724.62</c:v>
                </c:pt>
                <c:pt idx="171">
                  <c:v>2753</c:v>
                </c:pt>
                <c:pt idx="172">
                  <c:v>2730.34</c:v>
                </c:pt>
                <c:pt idx="173">
                  <c:v>2727.21</c:v>
                </c:pt>
                <c:pt idx="174">
                  <c:v>2727.63</c:v>
                </c:pt>
                <c:pt idx="175">
                  <c:v>2712.14</c:v>
                </c:pt>
                <c:pt idx="176">
                  <c:v>2745.05</c:v>
                </c:pt>
                <c:pt idx="177">
                  <c:v>2734.36</c:v>
                </c:pt>
                <c:pt idx="178">
                  <c:v>2676.63</c:v>
                </c:pt>
                <c:pt idx="179">
                  <c:v>2683.65</c:v>
                </c:pt>
                <c:pt idx="180">
                  <c:v>2692.06</c:v>
                </c:pt>
                <c:pt idx="181">
                  <c:v>2687.44</c:v>
                </c:pt>
                <c:pt idx="182">
                  <c:v>2656.33</c:v>
                </c:pt>
                <c:pt idx="183">
                  <c:v>2628.62</c:v>
                </c:pt>
                <c:pt idx="184">
                  <c:v>2675.75</c:v>
                </c:pt>
                <c:pt idx="185">
                  <c:v>2623.02</c:v>
                </c:pt>
                <c:pt idx="186">
                  <c:v>2629.44</c:v>
                </c:pt>
                <c:pt idx="187">
                  <c:v>2591.86</c:v>
                </c:pt>
                <c:pt idx="188">
                  <c:v>2634.7</c:v>
                </c:pt>
                <c:pt idx="189">
                  <c:v>2584.1799999999998</c:v>
                </c:pt>
                <c:pt idx="190">
                  <c:v>2609.63</c:v>
                </c:pt>
                <c:pt idx="191">
                  <c:v>2670.43</c:v>
                </c:pt>
                <c:pt idx="192">
                  <c:v>2681.82</c:v>
                </c:pt>
                <c:pt idx="193">
                  <c:v>2706.96</c:v>
                </c:pt>
                <c:pt idx="194">
                  <c:v>2705.16</c:v>
                </c:pt>
                <c:pt idx="195">
                  <c:v>2717.65</c:v>
                </c:pt>
                <c:pt idx="196">
                  <c:v>2714.21</c:v>
                </c:pt>
                <c:pt idx="197">
                  <c:v>2742</c:v>
                </c:pt>
                <c:pt idx="198">
                  <c:v>2706.97</c:v>
                </c:pt>
                <c:pt idx="199">
                  <c:v>2753.16</c:v>
                </c:pt>
                <c:pt idx="200">
                  <c:v>2747.86</c:v>
                </c:pt>
                <c:pt idx="201">
                  <c:v>2746.63</c:v>
                </c:pt>
                <c:pt idx="202">
                  <c:v>2745.82</c:v>
                </c:pt>
                <c:pt idx="203">
                  <c:v>2755.11</c:v>
                </c:pt>
                <c:pt idx="204">
                  <c:v>2757.09</c:v>
                </c:pt>
                <c:pt idx="205">
                  <c:v>2737.57</c:v>
                </c:pt>
                <c:pt idx="206">
                  <c:v>2748.56</c:v>
                </c:pt>
                <c:pt idx="207">
                  <c:v>2754.86</c:v>
                </c:pt>
                <c:pt idx="208">
                  <c:v>2690.14</c:v>
                </c:pt>
                <c:pt idx="209">
                  <c:v>2656.17</c:v>
                </c:pt>
                <c:pt idx="210">
                  <c:v>2685.84</c:v>
                </c:pt>
                <c:pt idx="211">
                  <c:v>2666.84</c:v>
                </c:pt>
                <c:pt idx="212">
                  <c:v>2718.76</c:v>
                </c:pt>
                <c:pt idx="213">
                  <c:v>2693.57</c:v>
                </c:pt>
                <c:pt idx="214">
                  <c:v>2681.81</c:v>
                </c:pt>
                <c:pt idx="215">
                  <c:v>2659.84</c:v>
                </c:pt>
                <c:pt idx="216">
                  <c:v>2680.35</c:v>
                </c:pt>
                <c:pt idx="217">
                  <c:v>2647.62</c:v>
                </c:pt>
                <c:pt idx="218">
                  <c:v>2641.49</c:v>
                </c:pt>
                <c:pt idx="219">
                  <c:v>2649.4</c:v>
                </c:pt>
                <c:pt idx="220">
                  <c:v>2674.27</c:v>
                </c:pt>
                <c:pt idx="221">
                  <c:v>2642.36</c:v>
                </c:pt>
                <c:pt idx="222">
                  <c:v>2652.29</c:v>
                </c:pt>
                <c:pt idx="223">
                  <c:v>2625.05</c:v>
                </c:pt>
                <c:pt idx="224">
                  <c:v>2647.08</c:v>
                </c:pt>
                <c:pt idx="225">
                  <c:v>2667.7</c:v>
                </c:pt>
                <c:pt idx="226">
                  <c:v>2664.27</c:v>
                </c:pt>
                <c:pt idx="227">
                  <c:v>2653.31</c:v>
                </c:pt>
                <c:pt idx="228">
                  <c:v>2657.79</c:v>
                </c:pt>
                <c:pt idx="229">
                  <c:v>2680.26</c:v>
                </c:pt>
                <c:pt idx="230">
                  <c:v>2648.76</c:v>
                </c:pt>
                <c:pt idx="231">
                  <c:v>2613.8000000000002</c:v>
                </c:pt>
                <c:pt idx="232">
                  <c:v>2620.42</c:v>
                </c:pt>
                <c:pt idx="233">
                  <c:v>2649.64</c:v>
                </c:pt>
                <c:pt idx="234">
                  <c:v>2620.3200000000002</c:v>
                </c:pt>
                <c:pt idx="235">
                  <c:v>2609.58</c:v>
                </c:pt>
                <c:pt idx="236">
                  <c:v>2576.1999999999998</c:v>
                </c:pt>
                <c:pt idx="237">
                  <c:v>2591.31</c:v>
                </c:pt>
                <c:pt idx="238">
                  <c:v>2615.31</c:v>
                </c:pt>
                <c:pt idx="239">
                  <c:v>2542.46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FA1-4BA3-90DA-76512866858A}"/>
            </c:ext>
          </c:extLst>
        </c:ser>
        <c:ser>
          <c:idx val="1"/>
          <c:order val="1"/>
          <c:tx>
            <c:strRef>
              <c:f>'daily monitor'!$M$99</c:f>
              <c:strCache>
                <c:ptCount val="1"/>
                <c:pt idx="0">
                  <c:v>KOSDAQ</c:v>
                </c:pt>
              </c:strCache>
            </c:strRef>
          </c:tx>
          <c:spPr>
            <a:ln w="19050">
              <a:solidFill>
                <a:srgbClr val="6666FF"/>
              </a:solidFill>
            </a:ln>
            <a:effectLst/>
          </c:spPr>
          <c:marker>
            <c:symbol val="none"/>
          </c:marker>
          <c:cat>
            <c:numRef>
              <c:f>'daily monitor'!$K$101:$K$349</c:f>
              <c:numCache>
                <c:formatCode>yyyy/mm/dd</c:formatCode>
                <c:ptCount val="249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45656</c:v>
                </c:pt>
                <c:pt idx="19">
                  <c:v>45653</c:v>
                </c:pt>
                <c:pt idx="20">
                  <c:v>45652</c:v>
                </c:pt>
                <c:pt idx="21">
                  <c:v>45650</c:v>
                </c:pt>
                <c:pt idx="22">
                  <c:v>45649</c:v>
                </c:pt>
                <c:pt idx="23">
                  <c:v>45646</c:v>
                </c:pt>
                <c:pt idx="24">
                  <c:v>45645</c:v>
                </c:pt>
                <c:pt idx="25">
                  <c:v>45644</c:v>
                </c:pt>
                <c:pt idx="26">
                  <c:v>45643</c:v>
                </c:pt>
                <c:pt idx="27">
                  <c:v>45642</c:v>
                </c:pt>
                <c:pt idx="28">
                  <c:v>45639</c:v>
                </c:pt>
                <c:pt idx="29">
                  <c:v>45638</c:v>
                </c:pt>
                <c:pt idx="30">
                  <c:v>45637</c:v>
                </c:pt>
                <c:pt idx="31">
                  <c:v>45636</c:v>
                </c:pt>
                <c:pt idx="32">
                  <c:v>45635</c:v>
                </c:pt>
                <c:pt idx="33">
                  <c:v>45632</c:v>
                </c:pt>
                <c:pt idx="34">
                  <c:v>45631</c:v>
                </c:pt>
                <c:pt idx="35">
                  <c:v>45630</c:v>
                </c:pt>
                <c:pt idx="36">
                  <c:v>45629</c:v>
                </c:pt>
                <c:pt idx="37">
                  <c:v>45628</c:v>
                </c:pt>
                <c:pt idx="38">
                  <c:v>45625</c:v>
                </c:pt>
                <c:pt idx="39">
                  <c:v>45624</c:v>
                </c:pt>
                <c:pt idx="40">
                  <c:v>45623</c:v>
                </c:pt>
                <c:pt idx="41">
                  <c:v>45622</c:v>
                </c:pt>
                <c:pt idx="42">
                  <c:v>45621</c:v>
                </c:pt>
                <c:pt idx="43">
                  <c:v>45618</c:v>
                </c:pt>
                <c:pt idx="44">
                  <c:v>45617</c:v>
                </c:pt>
                <c:pt idx="45">
                  <c:v>45616</c:v>
                </c:pt>
                <c:pt idx="46">
                  <c:v>45615</c:v>
                </c:pt>
                <c:pt idx="47">
                  <c:v>45614</c:v>
                </c:pt>
                <c:pt idx="48">
                  <c:v>45611</c:v>
                </c:pt>
                <c:pt idx="49">
                  <c:v>45610</c:v>
                </c:pt>
                <c:pt idx="50">
                  <c:v>45609</c:v>
                </c:pt>
                <c:pt idx="51">
                  <c:v>45608</c:v>
                </c:pt>
                <c:pt idx="52">
                  <c:v>45607</c:v>
                </c:pt>
                <c:pt idx="53">
                  <c:v>45604</c:v>
                </c:pt>
                <c:pt idx="54">
                  <c:v>45603</c:v>
                </c:pt>
                <c:pt idx="55">
                  <c:v>45602</c:v>
                </c:pt>
                <c:pt idx="56">
                  <c:v>45601</c:v>
                </c:pt>
                <c:pt idx="57">
                  <c:v>45600</c:v>
                </c:pt>
                <c:pt idx="58">
                  <c:v>45597</c:v>
                </c:pt>
                <c:pt idx="59">
                  <c:v>45596</c:v>
                </c:pt>
                <c:pt idx="60">
                  <c:v>45595</c:v>
                </c:pt>
                <c:pt idx="61">
                  <c:v>45594</c:v>
                </c:pt>
                <c:pt idx="62">
                  <c:v>45593</c:v>
                </c:pt>
                <c:pt idx="63">
                  <c:v>45590</c:v>
                </c:pt>
                <c:pt idx="64">
                  <c:v>45589</c:v>
                </c:pt>
                <c:pt idx="65">
                  <c:v>45588</c:v>
                </c:pt>
                <c:pt idx="66">
                  <c:v>45587</c:v>
                </c:pt>
                <c:pt idx="67">
                  <c:v>45586</c:v>
                </c:pt>
                <c:pt idx="68">
                  <c:v>45583</c:v>
                </c:pt>
                <c:pt idx="69">
                  <c:v>45582</c:v>
                </c:pt>
                <c:pt idx="70">
                  <c:v>45581</c:v>
                </c:pt>
                <c:pt idx="71">
                  <c:v>45580</c:v>
                </c:pt>
                <c:pt idx="72">
                  <c:v>45579</c:v>
                </c:pt>
                <c:pt idx="73">
                  <c:v>45576</c:v>
                </c:pt>
                <c:pt idx="74">
                  <c:v>45575</c:v>
                </c:pt>
                <c:pt idx="75">
                  <c:v>45573</c:v>
                </c:pt>
                <c:pt idx="76">
                  <c:v>45572</c:v>
                </c:pt>
                <c:pt idx="77">
                  <c:v>45569</c:v>
                </c:pt>
                <c:pt idx="78">
                  <c:v>45567</c:v>
                </c:pt>
                <c:pt idx="79">
                  <c:v>45565</c:v>
                </c:pt>
                <c:pt idx="80">
                  <c:v>45562</c:v>
                </c:pt>
                <c:pt idx="81">
                  <c:v>45561</c:v>
                </c:pt>
                <c:pt idx="82">
                  <c:v>45560</c:v>
                </c:pt>
                <c:pt idx="83">
                  <c:v>45559</c:v>
                </c:pt>
                <c:pt idx="84">
                  <c:v>45558</c:v>
                </c:pt>
                <c:pt idx="85">
                  <c:v>45555</c:v>
                </c:pt>
                <c:pt idx="86">
                  <c:v>45554</c:v>
                </c:pt>
                <c:pt idx="87">
                  <c:v>45548</c:v>
                </c:pt>
                <c:pt idx="88">
                  <c:v>45547</c:v>
                </c:pt>
                <c:pt idx="89">
                  <c:v>45546</c:v>
                </c:pt>
                <c:pt idx="90">
                  <c:v>45545</c:v>
                </c:pt>
                <c:pt idx="91">
                  <c:v>45544</c:v>
                </c:pt>
                <c:pt idx="92">
                  <c:v>45541</c:v>
                </c:pt>
                <c:pt idx="93">
                  <c:v>45540</c:v>
                </c:pt>
                <c:pt idx="94">
                  <c:v>45539</c:v>
                </c:pt>
                <c:pt idx="95">
                  <c:v>45538</c:v>
                </c:pt>
                <c:pt idx="96">
                  <c:v>45537</c:v>
                </c:pt>
                <c:pt idx="97">
                  <c:v>45534</c:v>
                </c:pt>
                <c:pt idx="98">
                  <c:v>45533</c:v>
                </c:pt>
                <c:pt idx="99">
                  <c:v>45532</c:v>
                </c:pt>
                <c:pt idx="100">
                  <c:v>45531</c:v>
                </c:pt>
                <c:pt idx="101">
                  <c:v>45530</c:v>
                </c:pt>
                <c:pt idx="102">
                  <c:v>45527</c:v>
                </c:pt>
                <c:pt idx="103">
                  <c:v>45526</c:v>
                </c:pt>
                <c:pt idx="104">
                  <c:v>45525</c:v>
                </c:pt>
                <c:pt idx="105">
                  <c:v>45524</c:v>
                </c:pt>
                <c:pt idx="106">
                  <c:v>45523</c:v>
                </c:pt>
                <c:pt idx="107">
                  <c:v>45520</c:v>
                </c:pt>
                <c:pt idx="108">
                  <c:v>45518</c:v>
                </c:pt>
                <c:pt idx="109">
                  <c:v>45517</c:v>
                </c:pt>
                <c:pt idx="110">
                  <c:v>45516</c:v>
                </c:pt>
                <c:pt idx="111">
                  <c:v>45513</c:v>
                </c:pt>
                <c:pt idx="112">
                  <c:v>45512</c:v>
                </c:pt>
                <c:pt idx="113">
                  <c:v>45511</c:v>
                </c:pt>
                <c:pt idx="114">
                  <c:v>45510</c:v>
                </c:pt>
                <c:pt idx="115">
                  <c:v>45509</c:v>
                </c:pt>
                <c:pt idx="116">
                  <c:v>45506</c:v>
                </c:pt>
                <c:pt idx="117">
                  <c:v>45505</c:v>
                </c:pt>
                <c:pt idx="118">
                  <c:v>45504</c:v>
                </c:pt>
                <c:pt idx="119">
                  <c:v>45503</c:v>
                </c:pt>
                <c:pt idx="120">
                  <c:v>45502</c:v>
                </c:pt>
                <c:pt idx="121">
                  <c:v>45499</c:v>
                </c:pt>
                <c:pt idx="122">
                  <c:v>45498</c:v>
                </c:pt>
                <c:pt idx="123">
                  <c:v>45497</c:v>
                </c:pt>
                <c:pt idx="124">
                  <c:v>45496</c:v>
                </c:pt>
                <c:pt idx="125">
                  <c:v>45495</c:v>
                </c:pt>
                <c:pt idx="126">
                  <c:v>45492</c:v>
                </c:pt>
                <c:pt idx="127">
                  <c:v>45491</c:v>
                </c:pt>
                <c:pt idx="128">
                  <c:v>45490</c:v>
                </c:pt>
                <c:pt idx="129">
                  <c:v>45489</c:v>
                </c:pt>
                <c:pt idx="130">
                  <c:v>45488</c:v>
                </c:pt>
                <c:pt idx="131">
                  <c:v>45485</c:v>
                </c:pt>
                <c:pt idx="132">
                  <c:v>45484</c:v>
                </c:pt>
                <c:pt idx="133">
                  <c:v>45483</c:v>
                </c:pt>
                <c:pt idx="134">
                  <c:v>45482</c:v>
                </c:pt>
                <c:pt idx="135">
                  <c:v>45481</c:v>
                </c:pt>
                <c:pt idx="136">
                  <c:v>45478</c:v>
                </c:pt>
                <c:pt idx="137">
                  <c:v>45477</c:v>
                </c:pt>
                <c:pt idx="138">
                  <c:v>45476</c:v>
                </c:pt>
                <c:pt idx="139">
                  <c:v>45475</c:v>
                </c:pt>
                <c:pt idx="140">
                  <c:v>45474</c:v>
                </c:pt>
                <c:pt idx="141">
                  <c:v>45471</c:v>
                </c:pt>
                <c:pt idx="142">
                  <c:v>45470</c:v>
                </c:pt>
                <c:pt idx="143">
                  <c:v>45469</c:v>
                </c:pt>
                <c:pt idx="144">
                  <c:v>45468</c:v>
                </c:pt>
                <c:pt idx="145">
                  <c:v>45467</c:v>
                </c:pt>
                <c:pt idx="146">
                  <c:v>45464</c:v>
                </c:pt>
                <c:pt idx="147">
                  <c:v>45463</c:v>
                </c:pt>
                <c:pt idx="148">
                  <c:v>45462</c:v>
                </c:pt>
                <c:pt idx="149">
                  <c:v>45461</c:v>
                </c:pt>
                <c:pt idx="150">
                  <c:v>45460</c:v>
                </c:pt>
                <c:pt idx="151">
                  <c:v>45457</c:v>
                </c:pt>
                <c:pt idx="152">
                  <c:v>45456</c:v>
                </c:pt>
                <c:pt idx="153">
                  <c:v>45455</c:v>
                </c:pt>
                <c:pt idx="154">
                  <c:v>45454</c:v>
                </c:pt>
                <c:pt idx="155">
                  <c:v>45453</c:v>
                </c:pt>
                <c:pt idx="156">
                  <c:v>45450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45426</c:v>
                </c:pt>
                <c:pt idx="173">
                  <c:v>45425</c:v>
                </c:pt>
                <c:pt idx="174">
                  <c:v>45422</c:v>
                </c:pt>
                <c:pt idx="175">
                  <c:v>45421</c:v>
                </c:pt>
                <c:pt idx="176">
                  <c:v>45420</c:v>
                </c:pt>
                <c:pt idx="177">
                  <c:v>45419</c:v>
                </c:pt>
                <c:pt idx="178">
                  <c:v>45415</c:v>
                </c:pt>
                <c:pt idx="179">
                  <c:v>45414</c:v>
                </c:pt>
                <c:pt idx="180">
                  <c:v>45412</c:v>
                </c:pt>
                <c:pt idx="181">
                  <c:v>45411</c:v>
                </c:pt>
                <c:pt idx="182">
                  <c:v>45408</c:v>
                </c:pt>
                <c:pt idx="183">
                  <c:v>45407</c:v>
                </c:pt>
                <c:pt idx="184">
                  <c:v>45406</c:v>
                </c:pt>
                <c:pt idx="185">
                  <c:v>45405</c:v>
                </c:pt>
                <c:pt idx="186">
                  <c:v>45404</c:v>
                </c:pt>
                <c:pt idx="187">
                  <c:v>45401</c:v>
                </c:pt>
                <c:pt idx="188">
                  <c:v>45400</c:v>
                </c:pt>
                <c:pt idx="189">
                  <c:v>45399</c:v>
                </c:pt>
                <c:pt idx="190">
                  <c:v>45398</c:v>
                </c:pt>
                <c:pt idx="191">
                  <c:v>45397</c:v>
                </c:pt>
                <c:pt idx="192">
                  <c:v>45394</c:v>
                </c:pt>
                <c:pt idx="193">
                  <c:v>45393</c:v>
                </c:pt>
                <c:pt idx="194">
                  <c:v>45391</c:v>
                </c:pt>
                <c:pt idx="195">
                  <c:v>45390</c:v>
                </c:pt>
                <c:pt idx="196">
                  <c:v>45387</c:v>
                </c:pt>
                <c:pt idx="197">
                  <c:v>45386</c:v>
                </c:pt>
                <c:pt idx="198">
                  <c:v>45385</c:v>
                </c:pt>
                <c:pt idx="199">
                  <c:v>45384</c:v>
                </c:pt>
                <c:pt idx="200">
                  <c:v>45383</c:v>
                </c:pt>
                <c:pt idx="201">
                  <c:v>45380</c:v>
                </c:pt>
                <c:pt idx="202">
                  <c:v>45379</c:v>
                </c:pt>
                <c:pt idx="203">
                  <c:v>45378</c:v>
                </c:pt>
                <c:pt idx="204">
                  <c:v>45377</c:v>
                </c:pt>
                <c:pt idx="205">
                  <c:v>45376</c:v>
                </c:pt>
                <c:pt idx="206">
                  <c:v>45373</c:v>
                </c:pt>
                <c:pt idx="207">
                  <c:v>45372</c:v>
                </c:pt>
                <c:pt idx="208">
                  <c:v>45371</c:v>
                </c:pt>
                <c:pt idx="209">
                  <c:v>45370</c:v>
                </c:pt>
                <c:pt idx="210">
                  <c:v>45369</c:v>
                </c:pt>
                <c:pt idx="211">
                  <c:v>45366</c:v>
                </c:pt>
                <c:pt idx="212">
                  <c:v>45365</c:v>
                </c:pt>
                <c:pt idx="213">
                  <c:v>45364</c:v>
                </c:pt>
                <c:pt idx="214">
                  <c:v>45363</c:v>
                </c:pt>
                <c:pt idx="215">
                  <c:v>45362</c:v>
                </c:pt>
                <c:pt idx="216">
                  <c:v>45359</c:v>
                </c:pt>
                <c:pt idx="217">
                  <c:v>45358</c:v>
                </c:pt>
                <c:pt idx="218">
                  <c:v>45357</c:v>
                </c:pt>
                <c:pt idx="219">
                  <c:v>45356</c:v>
                </c:pt>
                <c:pt idx="220">
                  <c:v>45355</c:v>
                </c:pt>
                <c:pt idx="221">
                  <c:v>45351</c:v>
                </c:pt>
                <c:pt idx="222">
                  <c:v>45350</c:v>
                </c:pt>
                <c:pt idx="223">
                  <c:v>45349</c:v>
                </c:pt>
                <c:pt idx="224">
                  <c:v>45348</c:v>
                </c:pt>
                <c:pt idx="225">
                  <c:v>45345</c:v>
                </c:pt>
                <c:pt idx="226">
                  <c:v>45344</c:v>
                </c:pt>
                <c:pt idx="227">
                  <c:v>45343</c:v>
                </c:pt>
                <c:pt idx="228">
                  <c:v>45342</c:v>
                </c:pt>
                <c:pt idx="229">
                  <c:v>45341</c:v>
                </c:pt>
                <c:pt idx="230">
                  <c:v>45338</c:v>
                </c:pt>
                <c:pt idx="231">
                  <c:v>45337</c:v>
                </c:pt>
                <c:pt idx="232">
                  <c:v>45336</c:v>
                </c:pt>
                <c:pt idx="233">
                  <c:v>45335</c:v>
                </c:pt>
                <c:pt idx="234">
                  <c:v>45330</c:v>
                </c:pt>
                <c:pt idx="235">
                  <c:v>45329</c:v>
                </c:pt>
                <c:pt idx="236">
                  <c:v>45328</c:v>
                </c:pt>
                <c:pt idx="237">
                  <c:v>45327</c:v>
                </c:pt>
                <c:pt idx="238">
                  <c:v>45324</c:v>
                </c:pt>
                <c:pt idx="239">
                  <c:v>45323</c:v>
                </c:pt>
              </c:numCache>
            </c:numRef>
          </c:cat>
          <c:val>
            <c:numRef>
              <c:f>'daily monitor'!$M$101:$M$349</c:f>
              <c:numCache>
                <c:formatCode>General</c:formatCode>
                <c:ptCount val="249"/>
                <c:pt idx="0">
                  <c:v>728.29</c:v>
                </c:pt>
                <c:pt idx="1">
                  <c:v>728.74</c:v>
                </c:pt>
                <c:pt idx="2">
                  <c:v>724.01</c:v>
                </c:pt>
                <c:pt idx="3">
                  <c:v>732.31</c:v>
                </c:pt>
                <c:pt idx="4">
                  <c:v>726.07</c:v>
                </c:pt>
                <c:pt idx="5">
                  <c:v>727.66</c:v>
                </c:pt>
                <c:pt idx="6">
                  <c:v>724.69</c:v>
                </c:pt>
                <c:pt idx="7">
                  <c:v>724.24</c:v>
                </c:pt>
                <c:pt idx="8">
                  <c:v>711.61</c:v>
                </c:pt>
                <c:pt idx="9">
                  <c:v>718.04</c:v>
                </c:pt>
                <c:pt idx="10">
                  <c:v>708.21</c:v>
                </c:pt>
                <c:pt idx="11">
                  <c:v>717.89</c:v>
                </c:pt>
                <c:pt idx="12">
                  <c:v>723.52</c:v>
                </c:pt>
                <c:pt idx="13">
                  <c:v>719.63</c:v>
                </c:pt>
                <c:pt idx="14">
                  <c:v>718.29</c:v>
                </c:pt>
                <c:pt idx="15">
                  <c:v>717.96</c:v>
                </c:pt>
                <c:pt idx="16">
                  <c:v>705.76</c:v>
                </c:pt>
                <c:pt idx="17">
                  <c:v>686.63</c:v>
                </c:pt>
                <c:pt idx="18">
                  <c:v>678.19</c:v>
                </c:pt>
                <c:pt idx="19">
                  <c:v>665.97</c:v>
                </c:pt>
                <c:pt idx="20">
                  <c:v>675.64</c:v>
                </c:pt>
                <c:pt idx="21">
                  <c:v>680.11</c:v>
                </c:pt>
                <c:pt idx="22">
                  <c:v>679.24</c:v>
                </c:pt>
                <c:pt idx="23">
                  <c:v>668.31</c:v>
                </c:pt>
                <c:pt idx="24">
                  <c:v>684.36</c:v>
                </c:pt>
                <c:pt idx="25">
                  <c:v>697.57</c:v>
                </c:pt>
                <c:pt idx="26">
                  <c:v>694.47</c:v>
                </c:pt>
                <c:pt idx="27">
                  <c:v>698.53</c:v>
                </c:pt>
                <c:pt idx="28">
                  <c:v>693.73</c:v>
                </c:pt>
                <c:pt idx="29">
                  <c:v>683.35</c:v>
                </c:pt>
                <c:pt idx="30">
                  <c:v>675.92</c:v>
                </c:pt>
                <c:pt idx="31">
                  <c:v>661.59</c:v>
                </c:pt>
                <c:pt idx="32">
                  <c:v>627.01</c:v>
                </c:pt>
                <c:pt idx="33">
                  <c:v>661.33</c:v>
                </c:pt>
                <c:pt idx="34">
                  <c:v>670.94</c:v>
                </c:pt>
                <c:pt idx="35">
                  <c:v>677.15</c:v>
                </c:pt>
                <c:pt idx="36">
                  <c:v>690.8</c:v>
                </c:pt>
                <c:pt idx="37">
                  <c:v>675.84</c:v>
                </c:pt>
                <c:pt idx="38">
                  <c:v>678.19</c:v>
                </c:pt>
                <c:pt idx="39">
                  <c:v>694.39</c:v>
                </c:pt>
                <c:pt idx="40">
                  <c:v>692</c:v>
                </c:pt>
                <c:pt idx="41">
                  <c:v>693.15</c:v>
                </c:pt>
                <c:pt idx="42">
                  <c:v>696.83</c:v>
                </c:pt>
                <c:pt idx="43">
                  <c:v>677.01</c:v>
                </c:pt>
                <c:pt idx="44">
                  <c:v>680.67</c:v>
                </c:pt>
                <c:pt idx="45">
                  <c:v>682.91</c:v>
                </c:pt>
                <c:pt idx="46">
                  <c:v>686.12</c:v>
                </c:pt>
                <c:pt idx="47">
                  <c:v>689.55</c:v>
                </c:pt>
                <c:pt idx="48">
                  <c:v>685.42</c:v>
                </c:pt>
                <c:pt idx="49">
                  <c:v>681.56</c:v>
                </c:pt>
                <c:pt idx="50">
                  <c:v>689.65</c:v>
                </c:pt>
                <c:pt idx="51">
                  <c:v>710.52</c:v>
                </c:pt>
                <c:pt idx="52">
                  <c:v>728.84</c:v>
                </c:pt>
                <c:pt idx="53">
                  <c:v>743.38</c:v>
                </c:pt>
                <c:pt idx="54">
                  <c:v>733.52</c:v>
                </c:pt>
                <c:pt idx="55">
                  <c:v>743.31</c:v>
                </c:pt>
                <c:pt idx="56">
                  <c:v>751.81</c:v>
                </c:pt>
                <c:pt idx="57">
                  <c:v>754.08</c:v>
                </c:pt>
                <c:pt idx="58">
                  <c:v>729.05</c:v>
                </c:pt>
                <c:pt idx="59">
                  <c:v>743.06</c:v>
                </c:pt>
                <c:pt idx="60">
                  <c:v>738.19</c:v>
                </c:pt>
                <c:pt idx="61">
                  <c:v>744.18</c:v>
                </c:pt>
                <c:pt idx="62">
                  <c:v>740.48</c:v>
                </c:pt>
                <c:pt idx="63">
                  <c:v>727.41</c:v>
                </c:pt>
                <c:pt idx="64">
                  <c:v>734.59</c:v>
                </c:pt>
                <c:pt idx="65">
                  <c:v>745.19</c:v>
                </c:pt>
                <c:pt idx="66">
                  <c:v>738.34</c:v>
                </c:pt>
                <c:pt idx="67">
                  <c:v>759.95</c:v>
                </c:pt>
                <c:pt idx="68">
                  <c:v>753.22</c:v>
                </c:pt>
                <c:pt idx="69">
                  <c:v>765.06</c:v>
                </c:pt>
                <c:pt idx="70">
                  <c:v>765.79</c:v>
                </c:pt>
                <c:pt idx="71">
                  <c:v>773.81</c:v>
                </c:pt>
                <c:pt idx="72">
                  <c:v>770.26</c:v>
                </c:pt>
                <c:pt idx="73">
                  <c:v>770.98</c:v>
                </c:pt>
                <c:pt idx="74">
                  <c:v>775.48</c:v>
                </c:pt>
                <c:pt idx="75">
                  <c:v>778.24</c:v>
                </c:pt>
                <c:pt idx="76">
                  <c:v>781.01</c:v>
                </c:pt>
                <c:pt idx="77">
                  <c:v>768.98</c:v>
                </c:pt>
                <c:pt idx="78">
                  <c:v>762.13</c:v>
                </c:pt>
                <c:pt idx="79">
                  <c:v>763.88</c:v>
                </c:pt>
                <c:pt idx="80">
                  <c:v>774.49</c:v>
                </c:pt>
                <c:pt idx="81">
                  <c:v>779.18</c:v>
                </c:pt>
                <c:pt idx="82">
                  <c:v>759.3</c:v>
                </c:pt>
                <c:pt idx="83">
                  <c:v>767.35</c:v>
                </c:pt>
                <c:pt idx="84">
                  <c:v>755.12</c:v>
                </c:pt>
                <c:pt idx="85">
                  <c:v>748.33</c:v>
                </c:pt>
                <c:pt idx="86">
                  <c:v>739.51</c:v>
                </c:pt>
                <c:pt idx="87">
                  <c:v>733.2</c:v>
                </c:pt>
                <c:pt idx="88">
                  <c:v>731.03</c:v>
                </c:pt>
                <c:pt idx="89">
                  <c:v>709.42</c:v>
                </c:pt>
                <c:pt idx="90">
                  <c:v>706.2</c:v>
                </c:pt>
                <c:pt idx="91">
                  <c:v>714.46</c:v>
                </c:pt>
                <c:pt idx="92">
                  <c:v>706.59</c:v>
                </c:pt>
                <c:pt idx="93">
                  <c:v>725.28</c:v>
                </c:pt>
                <c:pt idx="94">
                  <c:v>731.75</c:v>
                </c:pt>
                <c:pt idx="95">
                  <c:v>760.37</c:v>
                </c:pt>
                <c:pt idx="96">
                  <c:v>769.21</c:v>
                </c:pt>
                <c:pt idx="97">
                  <c:v>767.66</c:v>
                </c:pt>
                <c:pt idx="98">
                  <c:v>756.04</c:v>
                </c:pt>
                <c:pt idx="99">
                  <c:v>762.5</c:v>
                </c:pt>
                <c:pt idx="100">
                  <c:v>764.95</c:v>
                </c:pt>
                <c:pt idx="101">
                  <c:v>766.79</c:v>
                </c:pt>
                <c:pt idx="102">
                  <c:v>773.26</c:v>
                </c:pt>
                <c:pt idx="103">
                  <c:v>773.47</c:v>
                </c:pt>
                <c:pt idx="104">
                  <c:v>779.87</c:v>
                </c:pt>
                <c:pt idx="105">
                  <c:v>787.44</c:v>
                </c:pt>
                <c:pt idx="106">
                  <c:v>777.47</c:v>
                </c:pt>
                <c:pt idx="107">
                  <c:v>786.33</c:v>
                </c:pt>
                <c:pt idx="108">
                  <c:v>776.83</c:v>
                </c:pt>
                <c:pt idx="109">
                  <c:v>764.86</c:v>
                </c:pt>
                <c:pt idx="110">
                  <c:v>772.72</c:v>
                </c:pt>
                <c:pt idx="111">
                  <c:v>764.43</c:v>
                </c:pt>
                <c:pt idx="112">
                  <c:v>745.28</c:v>
                </c:pt>
                <c:pt idx="113">
                  <c:v>748.54</c:v>
                </c:pt>
                <c:pt idx="114">
                  <c:v>732.87</c:v>
                </c:pt>
                <c:pt idx="115">
                  <c:v>691.28</c:v>
                </c:pt>
                <c:pt idx="116">
                  <c:v>779.33</c:v>
                </c:pt>
                <c:pt idx="117">
                  <c:v>813.53</c:v>
                </c:pt>
                <c:pt idx="118">
                  <c:v>803.15</c:v>
                </c:pt>
                <c:pt idx="119">
                  <c:v>803.78</c:v>
                </c:pt>
                <c:pt idx="120">
                  <c:v>807.99</c:v>
                </c:pt>
                <c:pt idx="121">
                  <c:v>797.56</c:v>
                </c:pt>
                <c:pt idx="122">
                  <c:v>797.29</c:v>
                </c:pt>
                <c:pt idx="123">
                  <c:v>814.25</c:v>
                </c:pt>
                <c:pt idx="124">
                  <c:v>812.12</c:v>
                </c:pt>
                <c:pt idx="125">
                  <c:v>809.96</c:v>
                </c:pt>
                <c:pt idx="126">
                  <c:v>828.72</c:v>
                </c:pt>
                <c:pt idx="127">
                  <c:v>822.48</c:v>
                </c:pt>
                <c:pt idx="128">
                  <c:v>829.41</c:v>
                </c:pt>
                <c:pt idx="129">
                  <c:v>839.61</c:v>
                </c:pt>
                <c:pt idx="130">
                  <c:v>852.88</c:v>
                </c:pt>
                <c:pt idx="131">
                  <c:v>850.37</c:v>
                </c:pt>
                <c:pt idx="132">
                  <c:v>852.42</c:v>
                </c:pt>
                <c:pt idx="133">
                  <c:v>858.55</c:v>
                </c:pt>
                <c:pt idx="134">
                  <c:v>860.42</c:v>
                </c:pt>
                <c:pt idx="135">
                  <c:v>859.27</c:v>
                </c:pt>
                <c:pt idx="136">
                  <c:v>847.49</c:v>
                </c:pt>
                <c:pt idx="137">
                  <c:v>840.81</c:v>
                </c:pt>
                <c:pt idx="138">
                  <c:v>836.1</c:v>
                </c:pt>
                <c:pt idx="139">
                  <c:v>829.91</c:v>
                </c:pt>
                <c:pt idx="140">
                  <c:v>847.15</c:v>
                </c:pt>
                <c:pt idx="141">
                  <c:v>840.44</c:v>
                </c:pt>
                <c:pt idx="142">
                  <c:v>838.65</c:v>
                </c:pt>
                <c:pt idx="143">
                  <c:v>842.12</c:v>
                </c:pt>
                <c:pt idx="144">
                  <c:v>841.99</c:v>
                </c:pt>
                <c:pt idx="145">
                  <c:v>841.52</c:v>
                </c:pt>
                <c:pt idx="146">
                  <c:v>852.67</c:v>
                </c:pt>
                <c:pt idx="147">
                  <c:v>857.51</c:v>
                </c:pt>
                <c:pt idx="148">
                  <c:v>861.17</c:v>
                </c:pt>
                <c:pt idx="149">
                  <c:v>858.95</c:v>
                </c:pt>
                <c:pt idx="150">
                  <c:v>858.96</c:v>
                </c:pt>
                <c:pt idx="151">
                  <c:v>862.19</c:v>
                </c:pt>
                <c:pt idx="152">
                  <c:v>871.33</c:v>
                </c:pt>
                <c:pt idx="153">
                  <c:v>870.67</c:v>
                </c:pt>
                <c:pt idx="154">
                  <c:v>868.36</c:v>
                </c:pt>
                <c:pt idx="155">
                  <c:v>864.71</c:v>
                </c:pt>
                <c:pt idx="156">
                  <c:v>866.18</c:v>
                </c:pt>
                <c:pt idx="157">
                  <c:v>850.75</c:v>
                </c:pt>
                <c:pt idx="158">
                  <c:v>845.84</c:v>
                </c:pt>
                <c:pt idx="159">
                  <c:v>844.72</c:v>
                </c:pt>
                <c:pt idx="160">
                  <c:v>839.98</c:v>
                </c:pt>
                <c:pt idx="161">
                  <c:v>831.99</c:v>
                </c:pt>
                <c:pt idx="162">
                  <c:v>838.45</c:v>
                </c:pt>
                <c:pt idx="163">
                  <c:v>851.01</c:v>
                </c:pt>
                <c:pt idx="164">
                  <c:v>847.99</c:v>
                </c:pt>
                <c:pt idx="165">
                  <c:v>839.41</c:v>
                </c:pt>
                <c:pt idx="166">
                  <c:v>846.58</c:v>
                </c:pt>
                <c:pt idx="167">
                  <c:v>845.72</c:v>
                </c:pt>
                <c:pt idx="168">
                  <c:v>846.51</c:v>
                </c:pt>
                <c:pt idx="169">
                  <c:v>847.08</c:v>
                </c:pt>
                <c:pt idx="170">
                  <c:v>855.06</c:v>
                </c:pt>
                <c:pt idx="171">
                  <c:v>870.37</c:v>
                </c:pt>
                <c:pt idx="172">
                  <c:v>862.15</c:v>
                </c:pt>
                <c:pt idx="173">
                  <c:v>854.43</c:v>
                </c:pt>
                <c:pt idx="174">
                  <c:v>864.16</c:v>
                </c:pt>
                <c:pt idx="175">
                  <c:v>870.15</c:v>
                </c:pt>
                <c:pt idx="176">
                  <c:v>872.42</c:v>
                </c:pt>
                <c:pt idx="177">
                  <c:v>871.26</c:v>
                </c:pt>
                <c:pt idx="178">
                  <c:v>865.59</c:v>
                </c:pt>
                <c:pt idx="179">
                  <c:v>867.48</c:v>
                </c:pt>
                <c:pt idx="180">
                  <c:v>868.93</c:v>
                </c:pt>
                <c:pt idx="181">
                  <c:v>869.72</c:v>
                </c:pt>
                <c:pt idx="182">
                  <c:v>856.82</c:v>
                </c:pt>
                <c:pt idx="183">
                  <c:v>853.26</c:v>
                </c:pt>
                <c:pt idx="184">
                  <c:v>862.23</c:v>
                </c:pt>
                <c:pt idx="185">
                  <c:v>845.44</c:v>
                </c:pt>
                <c:pt idx="186">
                  <c:v>845.82</c:v>
                </c:pt>
                <c:pt idx="187">
                  <c:v>841.91</c:v>
                </c:pt>
                <c:pt idx="188">
                  <c:v>855.65</c:v>
                </c:pt>
                <c:pt idx="189">
                  <c:v>833.03</c:v>
                </c:pt>
                <c:pt idx="190">
                  <c:v>832.81</c:v>
                </c:pt>
                <c:pt idx="191">
                  <c:v>852.42</c:v>
                </c:pt>
                <c:pt idx="192">
                  <c:v>860.47</c:v>
                </c:pt>
                <c:pt idx="193">
                  <c:v>858.1</c:v>
                </c:pt>
                <c:pt idx="194">
                  <c:v>859.33</c:v>
                </c:pt>
                <c:pt idx="195">
                  <c:v>860.57</c:v>
                </c:pt>
                <c:pt idx="196">
                  <c:v>872.29</c:v>
                </c:pt>
                <c:pt idx="197">
                  <c:v>882.9</c:v>
                </c:pt>
                <c:pt idx="198">
                  <c:v>879.96</c:v>
                </c:pt>
                <c:pt idx="199">
                  <c:v>891.59</c:v>
                </c:pt>
                <c:pt idx="200">
                  <c:v>912.45</c:v>
                </c:pt>
                <c:pt idx="201">
                  <c:v>905.5</c:v>
                </c:pt>
                <c:pt idx="202">
                  <c:v>910.05</c:v>
                </c:pt>
                <c:pt idx="203">
                  <c:v>911.25</c:v>
                </c:pt>
                <c:pt idx="204">
                  <c:v>916.09</c:v>
                </c:pt>
                <c:pt idx="205">
                  <c:v>913.69</c:v>
                </c:pt>
                <c:pt idx="206">
                  <c:v>903.98</c:v>
                </c:pt>
                <c:pt idx="207">
                  <c:v>904.29</c:v>
                </c:pt>
                <c:pt idx="208">
                  <c:v>891.45</c:v>
                </c:pt>
                <c:pt idx="209">
                  <c:v>891.91</c:v>
                </c:pt>
                <c:pt idx="210">
                  <c:v>894.48</c:v>
                </c:pt>
                <c:pt idx="211">
                  <c:v>880.46</c:v>
                </c:pt>
                <c:pt idx="212">
                  <c:v>887.52</c:v>
                </c:pt>
                <c:pt idx="213">
                  <c:v>889.93</c:v>
                </c:pt>
                <c:pt idx="214">
                  <c:v>889.71</c:v>
                </c:pt>
                <c:pt idx="215">
                  <c:v>875.93</c:v>
                </c:pt>
                <c:pt idx="216">
                  <c:v>873.18</c:v>
                </c:pt>
                <c:pt idx="217">
                  <c:v>863.37</c:v>
                </c:pt>
                <c:pt idx="218">
                  <c:v>870.67</c:v>
                </c:pt>
                <c:pt idx="219">
                  <c:v>866.37</c:v>
                </c:pt>
                <c:pt idx="220">
                  <c:v>872.97</c:v>
                </c:pt>
                <c:pt idx="221">
                  <c:v>862.96</c:v>
                </c:pt>
                <c:pt idx="222">
                  <c:v>863.39</c:v>
                </c:pt>
                <c:pt idx="223">
                  <c:v>853.75</c:v>
                </c:pt>
                <c:pt idx="224">
                  <c:v>867.4</c:v>
                </c:pt>
                <c:pt idx="225">
                  <c:v>868.57</c:v>
                </c:pt>
                <c:pt idx="226">
                  <c:v>870.11</c:v>
                </c:pt>
                <c:pt idx="227">
                  <c:v>864.07</c:v>
                </c:pt>
                <c:pt idx="228">
                  <c:v>866.17</c:v>
                </c:pt>
                <c:pt idx="229">
                  <c:v>858.47</c:v>
                </c:pt>
                <c:pt idx="230">
                  <c:v>857.6</c:v>
                </c:pt>
                <c:pt idx="231">
                  <c:v>859.21</c:v>
                </c:pt>
                <c:pt idx="232">
                  <c:v>853.3</c:v>
                </c:pt>
                <c:pt idx="233">
                  <c:v>845.15</c:v>
                </c:pt>
                <c:pt idx="234">
                  <c:v>826.58</c:v>
                </c:pt>
                <c:pt idx="235">
                  <c:v>811.92</c:v>
                </c:pt>
                <c:pt idx="236">
                  <c:v>807.03</c:v>
                </c:pt>
                <c:pt idx="237">
                  <c:v>807.99</c:v>
                </c:pt>
                <c:pt idx="238">
                  <c:v>814.77</c:v>
                </c:pt>
                <c:pt idx="239">
                  <c:v>798.73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FA1-4BA3-90DA-76512866858A}"/>
            </c:ext>
          </c:extLst>
        </c:ser>
        <c:dLbls/>
        <c:marker val="1"/>
        <c:axId val="204279808"/>
        <c:axId val="204281344"/>
      </c:lineChart>
      <c:dateAx>
        <c:axId val="204279808"/>
        <c:scaling>
          <c:orientation val="minMax"/>
        </c:scaling>
        <c:axPos val="b"/>
        <c:numFmt formatCode="m/d/yyyy" sourceLinked="0"/>
        <c:tickLblPos val="nextTo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4281344"/>
        <c:crosses val="autoZero"/>
        <c:lblOffset val="100"/>
        <c:baseTimeUnit val="days"/>
        <c:minorUnit val="30"/>
      </c:dateAx>
      <c:valAx>
        <c:axId val="204281344"/>
        <c:scaling>
          <c:orientation val="minMax"/>
        </c:scaling>
        <c:axPos val="l"/>
        <c:numFmt formatCode="#,##0_ ;\-#,##0\ " sourceLinked="0"/>
        <c:tickLblPos val="nextTo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4279808"/>
        <c:crosses val="autoZero"/>
        <c:crossBetween val="between"/>
      </c:valAx>
      <c:valAx>
        <c:axId val="204282880"/>
        <c:scaling>
          <c:orientation val="minMax"/>
        </c:scaling>
        <c:axPos val="r"/>
        <c:numFmt formatCode="#,##0_ ;\-#,##0\ " sourceLinked="0"/>
        <c:tickLblPos val="nextTo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4288768"/>
        <c:crosses val="max"/>
        <c:crossBetween val="between"/>
      </c:valAx>
      <c:dateAx>
        <c:axId val="204288768"/>
        <c:scaling>
          <c:orientation val="minMax"/>
        </c:scaling>
        <c:delete val="1"/>
        <c:axPos val="b"/>
        <c:numFmt formatCode="yyyy/mm/dd" sourceLinked="1"/>
        <c:tickLblPos val="none"/>
        <c:crossAx val="204282880"/>
        <c:crosses val="autoZero"/>
        <c:auto val="1"/>
        <c:lblOffset val="100"/>
        <c:noMultiLvlLbl val="1"/>
      </c:dateAx>
    </c:plotArea>
    <c:legend>
      <c:legendPos val="b"/>
      <c:layout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  <a:latin typeface="HY강M" panose="02030600000101010101" pitchFamily="18" charset="-127"/>
              <a:ea typeface="HY강M" panose="02030600000101010101" pitchFamily="18" charset="-127"/>
            </a:defRPr>
          </a:pPr>
          <a:endParaRPr lang="ko-KR"/>
        </a:p>
      </c:txPr>
    </c:legend>
    <c:dispBlanksAs val="gap"/>
  </c:chart>
  <c:spPr>
    <a:ln>
      <a:solidFill>
        <a:schemeClr val="bg1">
          <a:lumMod val="7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/>
          <a:lstStyle/>
          <a:p>
            <a:pPr>
              <a:defRPr sz="10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ko-KR" altLang="en-US" sz="1000">
                <a:solidFill>
                  <a:schemeClr val="tx1">
                    <a:lumMod val="75000"/>
                    <a:lumOff val="25000"/>
                  </a:schemeClr>
                </a:solidFill>
              </a:rPr>
              <a:t>국내 금리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5.8624902234569856E-2"/>
          <c:y val="4.1904761904761903E-2"/>
          <c:w val="0.9194372549866362"/>
          <c:h val="0.79425121859767589"/>
        </c:manualLayout>
      </c:layout>
      <c:lineChart>
        <c:grouping val="standard"/>
        <c:ser>
          <c:idx val="0"/>
          <c:order val="0"/>
          <c:tx>
            <c:strRef>
              <c:f>'daily monitor'!$Q$99</c:f>
              <c:strCache>
                <c:ptCount val="1"/>
                <c:pt idx="0">
                  <c:v>국고3Y</c:v>
                </c:pt>
              </c:strCache>
            </c:strRef>
          </c:tx>
          <c:spPr>
            <a:ln w="19050">
              <a:solidFill>
                <a:srgbClr val="FF3399"/>
              </a:solidFill>
            </a:ln>
          </c:spPr>
          <c:marker>
            <c:symbol val="none"/>
          </c:marker>
          <c:cat>
            <c:numRef>
              <c:f>'daily monitor'!$Q$101:$Q$350</c:f>
              <c:numCache>
                <c:formatCode>yyyy/mm/dd</c:formatCode>
                <c:ptCount val="250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45657</c:v>
                </c:pt>
                <c:pt idx="19">
                  <c:v>45656</c:v>
                </c:pt>
                <c:pt idx="20">
                  <c:v>45653</c:v>
                </c:pt>
                <c:pt idx="21">
                  <c:v>45652</c:v>
                </c:pt>
                <c:pt idx="22">
                  <c:v>45650</c:v>
                </c:pt>
                <c:pt idx="23">
                  <c:v>45649</c:v>
                </c:pt>
                <c:pt idx="24">
                  <c:v>45646</c:v>
                </c:pt>
                <c:pt idx="25">
                  <c:v>45645</c:v>
                </c:pt>
                <c:pt idx="26">
                  <c:v>45644</c:v>
                </c:pt>
                <c:pt idx="27">
                  <c:v>45643</c:v>
                </c:pt>
                <c:pt idx="28">
                  <c:v>45642</c:v>
                </c:pt>
                <c:pt idx="29">
                  <c:v>45639</c:v>
                </c:pt>
                <c:pt idx="30">
                  <c:v>45638</c:v>
                </c:pt>
                <c:pt idx="31">
                  <c:v>45637</c:v>
                </c:pt>
                <c:pt idx="32">
                  <c:v>45636</c:v>
                </c:pt>
                <c:pt idx="33">
                  <c:v>45635</c:v>
                </c:pt>
                <c:pt idx="34">
                  <c:v>45632</c:v>
                </c:pt>
                <c:pt idx="35">
                  <c:v>45631</c:v>
                </c:pt>
                <c:pt idx="36">
                  <c:v>45630</c:v>
                </c:pt>
                <c:pt idx="37">
                  <c:v>45629</c:v>
                </c:pt>
                <c:pt idx="38">
                  <c:v>45628</c:v>
                </c:pt>
                <c:pt idx="39">
                  <c:v>45625</c:v>
                </c:pt>
                <c:pt idx="40">
                  <c:v>45624</c:v>
                </c:pt>
                <c:pt idx="41">
                  <c:v>45623</c:v>
                </c:pt>
                <c:pt idx="42">
                  <c:v>45622</c:v>
                </c:pt>
                <c:pt idx="43">
                  <c:v>45621</c:v>
                </c:pt>
                <c:pt idx="44">
                  <c:v>45618</c:v>
                </c:pt>
                <c:pt idx="45">
                  <c:v>45617</c:v>
                </c:pt>
                <c:pt idx="46">
                  <c:v>45616</c:v>
                </c:pt>
                <c:pt idx="47">
                  <c:v>45615</c:v>
                </c:pt>
                <c:pt idx="48">
                  <c:v>45614</c:v>
                </c:pt>
                <c:pt idx="49">
                  <c:v>45611</c:v>
                </c:pt>
                <c:pt idx="50">
                  <c:v>45610</c:v>
                </c:pt>
                <c:pt idx="51">
                  <c:v>45609</c:v>
                </c:pt>
                <c:pt idx="52">
                  <c:v>45608</c:v>
                </c:pt>
                <c:pt idx="53">
                  <c:v>45607</c:v>
                </c:pt>
                <c:pt idx="54">
                  <c:v>45604</c:v>
                </c:pt>
                <c:pt idx="55">
                  <c:v>45603</c:v>
                </c:pt>
                <c:pt idx="56">
                  <c:v>45602</c:v>
                </c:pt>
                <c:pt idx="57">
                  <c:v>45601</c:v>
                </c:pt>
                <c:pt idx="58">
                  <c:v>45600</c:v>
                </c:pt>
                <c:pt idx="59">
                  <c:v>45597</c:v>
                </c:pt>
                <c:pt idx="60">
                  <c:v>45596</c:v>
                </c:pt>
                <c:pt idx="61">
                  <c:v>45595</c:v>
                </c:pt>
                <c:pt idx="62">
                  <c:v>45594</c:v>
                </c:pt>
                <c:pt idx="63">
                  <c:v>45593</c:v>
                </c:pt>
                <c:pt idx="64">
                  <c:v>45590</c:v>
                </c:pt>
                <c:pt idx="65">
                  <c:v>45589</c:v>
                </c:pt>
                <c:pt idx="66">
                  <c:v>45588</c:v>
                </c:pt>
                <c:pt idx="67">
                  <c:v>45587</c:v>
                </c:pt>
                <c:pt idx="68">
                  <c:v>45586</c:v>
                </c:pt>
                <c:pt idx="69">
                  <c:v>45583</c:v>
                </c:pt>
                <c:pt idx="70">
                  <c:v>45582</c:v>
                </c:pt>
                <c:pt idx="71">
                  <c:v>45581</c:v>
                </c:pt>
                <c:pt idx="72">
                  <c:v>45580</c:v>
                </c:pt>
                <c:pt idx="73">
                  <c:v>45579</c:v>
                </c:pt>
                <c:pt idx="74">
                  <c:v>45576</c:v>
                </c:pt>
                <c:pt idx="75">
                  <c:v>45575</c:v>
                </c:pt>
                <c:pt idx="76">
                  <c:v>45573</c:v>
                </c:pt>
                <c:pt idx="77">
                  <c:v>45572</c:v>
                </c:pt>
                <c:pt idx="78">
                  <c:v>45569</c:v>
                </c:pt>
                <c:pt idx="79">
                  <c:v>45567</c:v>
                </c:pt>
                <c:pt idx="80">
                  <c:v>45565</c:v>
                </c:pt>
                <c:pt idx="81">
                  <c:v>45562</c:v>
                </c:pt>
                <c:pt idx="82">
                  <c:v>45561</c:v>
                </c:pt>
                <c:pt idx="83">
                  <c:v>45560</c:v>
                </c:pt>
                <c:pt idx="84">
                  <c:v>45559</c:v>
                </c:pt>
                <c:pt idx="85">
                  <c:v>45558</c:v>
                </c:pt>
                <c:pt idx="86">
                  <c:v>45555</c:v>
                </c:pt>
                <c:pt idx="87">
                  <c:v>45554</c:v>
                </c:pt>
                <c:pt idx="88">
                  <c:v>45548</c:v>
                </c:pt>
                <c:pt idx="89">
                  <c:v>45547</c:v>
                </c:pt>
                <c:pt idx="90">
                  <c:v>45546</c:v>
                </c:pt>
                <c:pt idx="91">
                  <c:v>45545</c:v>
                </c:pt>
                <c:pt idx="92">
                  <c:v>45544</c:v>
                </c:pt>
                <c:pt idx="93">
                  <c:v>45541</c:v>
                </c:pt>
                <c:pt idx="94">
                  <c:v>45540</c:v>
                </c:pt>
                <c:pt idx="95">
                  <c:v>45539</c:v>
                </c:pt>
                <c:pt idx="96">
                  <c:v>45538</c:v>
                </c:pt>
                <c:pt idx="97">
                  <c:v>45537</c:v>
                </c:pt>
                <c:pt idx="98">
                  <c:v>45534</c:v>
                </c:pt>
                <c:pt idx="99">
                  <c:v>45533</c:v>
                </c:pt>
                <c:pt idx="100">
                  <c:v>45532</c:v>
                </c:pt>
                <c:pt idx="101">
                  <c:v>45531</c:v>
                </c:pt>
                <c:pt idx="102">
                  <c:v>45530</c:v>
                </c:pt>
                <c:pt idx="103">
                  <c:v>45527</c:v>
                </c:pt>
                <c:pt idx="104">
                  <c:v>45526</c:v>
                </c:pt>
                <c:pt idx="105">
                  <c:v>45525</c:v>
                </c:pt>
                <c:pt idx="106">
                  <c:v>45524</c:v>
                </c:pt>
                <c:pt idx="107">
                  <c:v>45523</c:v>
                </c:pt>
                <c:pt idx="108">
                  <c:v>45520</c:v>
                </c:pt>
                <c:pt idx="109">
                  <c:v>45518</c:v>
                </c:pt>
                <c:pt idx="110">
                  <c:v>45517</c:v>
                </c:pt>
                <c:pt idx="111">
                  <c:v>45516</c:v>
                </c:pt>
                <c:pt idx="112">
                  <c:v>45513</c:v>
                </c:pt>
                <c:pt idx="113">
                  <c:v>45512</c:v>
                </c:pt>
                <c:pt idx="114">
                  <c:v>45511</c:v>
                </c:pt>
                <c:pt idx="115">
                  <c:v>45510</c:v>
                </c:pt>
                <c:pt idx="116">
                  <c:v>45509</c:v>
                </c:pt>
                <c:pt idx="117">
                  <c:v>45506</c:v>
                </c:pt>
                <c:pt idx="118">
                  <c:v>45505</c:v>
                </c:pt>
                <c:pt idx="119">
                  <c:v>45504</c:v>
                </c:pt>
                <c:pt idx="120">
                  <c:v>45503</c:v>
                </c:pt>
                <c:pt idx="121">
                  <c:v>45502</c:v>
                </c:pt>
                <c:pt idx="122">
                  <c:v>45499</c:v>
                </c:pt>
                <c:pt idx="123">
                  <c:v>45498</c:v>
                </c:pt>
                <c:pt idx="124">
                  <c:v>45497</c:v>
                </c:pt>
                <c:pt idx="125">
                  <c:v>45496</c:v>
                </c:pt>
                <c:pt idx="126">
                  <c:v>45495</c:v>
                </c:pt>
                <c:pt idx="127">
                  <c:v>45492</c:v>
                </c:pt>
                <c:pt idx="128">
                  <c:v>45491</c:v>
                </c:pt>
                <c:pt idx="129">
                  <c:v>45490</c:v>
                </c:pt>
                <c:pt idx="130">
                  <c:v>45489</c:v>
                </c:pt>
                <c:pt idx="131">
                  <c:v>45488</c:v>
                </c:pt>
                <c:pt idx="132">
                  <c:v>45485</c:v>
                </c:pt>
                <c:pt idx="133">
                  <c:v>45484</c:v>
                </c:pt>
                <c:pt idx="134">
                  <c:v>45483</c:v>
                </c:pt>
                <c:pt idx="135">
                  <c:v>45482</c:v>
                </c:pt>
                <c:pt idx="136">
                  <c:v>45481</c:v>
                </c:pt>
                <c:pt idx="137">
                  <c:v>45478</c:v>
                </c:pt>
                <c:pt idx="138">
                  <c:v>45477</c:v>
                </c:pt>
                <c:pt idx="139">
                  <c:v>45476</c:v>
                </c:pt>
                <c:pt idx="140">
                  <c:v>45475</c:v>
                </c:pt>
                <c:pt idx="141">
                  <c:v>45474</c:v>
                </c:pt>
                <c:pt idx="142">
                  <c:v>45471</c:v>
                </c:pt>
                <c:pt idx="143">
                  <c:v>45470</c:v>
                </c:pt>
                <c:pt idx="144">
                  <c:v>45469</c:v>
                </c:pt>
                <c:pt idx="145">
                  <c:v>45468</c:v>
                </c:pt>
                <c:pt idx="146">
                  <c:v>45467</c:v>
                </c:pt>
                <c:pt idx="147">
                  <c:v>45464</c:v>
                </c:pt>
                <c:pt idx="148">
                  <c:v>45463</c:v>
                </c:pt>
                <c:pt idx="149">
                  <c:v>45462</c:v>
                </c:pt>
                <c:pt idx="150">
                  <c:v>45461</c:v>
                </c:pt>
                <c:pt idx="151">
                  <c:v>45460</c:v>
                </c:pt>
                <c:pt idx="152">
                  <c:v>45457</c:v>
                </c:pt>
                <c:pt idx="153">
                  <c:v>45456</c:v>
                </c:pt>
                <c:pt idx="154">
                  <c:v>45455</c:v>
                </c:pt>
                <c:pt idx="155">
                  <c:v>45454</c:v>
                </c:pt>
                <c:pt idx="156">
                  <c:v>45453</c:v>
                </c:pt>
                <c:pt idx="157">
                  <c:v>45450</c:v>
                </c:pt>
                <c:pt idx="158">
                  <c:v>45448</c:v>
                </c:pt>
                <c:pt idx="159">
                  <c:v>45447</c:v>
                </c:pt>
                <c:pt idx="160">
                  <c:v>45446</c:v>
                </c:pt>
                <c:pt idx="161">
                  <c:v>45443</c:v>
                </c:pt>
                <c:pt idx="162">
                  <c:v>45442</c:v>
                </c:pt>
                <c:pt idx="163">
                  <c:v>45441</c:v>
                </c:pt>
                <c:pt idx="164">
                  <c:v>45440</c:v>
                </c:pt>
                <c:pt idx="165">
                  <c:v>45439</c:v>
                </c:pt>
                <c:pt idx="166">
                  <c:v>45436</c:v>
                </c:pt>
                <c:pt idx="167">
                  <c:v>45435</c:v>
                </c:pt>
                <c:pt idx="168">
                  <c:v>45434</c:v>
                </c:pt>
                <c:pt idx="169">
                  <c:v>45433</c:v>
                </c:pt>
                <c:pt idx="170">
                  <c:v>45432</c:v>
                </c:pt>
                <c:pt idx="171">
                  <c:v>45429</c:v>
                </c:pt>
                <c:pt idx="172">
                  <c:v>45428</c:v>
                </c:pt>
                <c:pt idx="173">
                  <c:v>45426</c:v>
                </c:pt>
                <c:pt idx="174">
                  <c:v>45425</c:v>
                </c:pt>
                <c:pt idx="175">
                  <c:v>45422</c:v>
                </c:pt>
                <c:pt idx="176">
                  <c:v>45421</c:v>
                </c:pt>
                <c:pt idx="177">
                  <c:v>45420</c:v>
                </c:pt>
                <c:pt idx="178">
                  <c:v>45419</c:v>
                </c:pt>
                <c:pt idx="179">
                  <c:v>45415</c:v>
                </c:pt>
                <c:pt idx="180">
                  <c:v>45414</c:v>
                </c:pt>
                <c:pt idx="181">
                  <c:v>45412</c:v>
                </c:pt>
                <c:pt idx="182">
                  <c:v>45411</c:v>
                </c:pt>
                <c:pt idx="183">
                  <c:v>45408</c:v>
                </c:pt>
                <c:pt idx="184">
                  <c:v>45407</c:v>
                </c:pt>
                <c:pt idx="185">
                  <c:v>45406</c:v>
                </c:pt>
                <c:pt idx="186">
                  <c:v>45405</c:v>
                </c:pt>
                <c:pt idx="187">
                  <c:v>45404</c:v>
                </c:pt>
                <c:pt idx="188">
                  <c:v>45401</c:v>
                </c:pt>
                <c:pt idx="189">
                  <c:v>45400</c:v>
                </c:pt>
                <c:pt idx="190">
                  <c:v>45399</c:v>
                </c:pt>
                <c:pt idx="191">
                  <c:v>45398</c:v>
                </c:pt>
                <c:pt idx="192">
                  <c:v>45397</c:v>
                </c:pt>
                <c:pt idx="193">
                  <c:v>45394</c:v>
                </c:pt>
                <c:pt idx="194">
                  <c:v>45393</c:v>
                </c:pt>
                <c:pt idx="195">
                  <c:v>45391</c:v>
                </c:pt>
                <c:pt idx="196">
                  <c:v>45390</c:v>
                </c:pt>
                <c:pt idx="197">
                  <c:v>45387</c:v>
                </c:pt>
                <c:pt idx="198">
                  <c:v>45386</c:v>
                </c:pt>
                <c:pt idx="199">
                  <c:v>45385</c:v>
                </c:pt>
                <c:pt idx="200">
                  <c:v>45384</c:v>
                </c:pt>
                <c:pt idx="201">
                  <c:v>45383</c:v>
                </c:pt>
                <c:pt idx="202">
                  <c:v>45380</c:v>
                </c:pt>
                <c:pt idx="203">
                  <c:v>45379</c:v>
                </c:pt>
                <c:pt idx="204">
                  <c:v>45378</c:v>
                </c:pt>
                <c:pt idx="205">
                  <c:v>45377</c:v>
                </c:pt>
                <c:pt idx="206">
                  <c:v>45376</c:v>
                </c:pt>
                <c:pt idx="207">
                  <c:v>45373</c:v>
                </c:pt>
                <c:pt idx="208">
                  <c:v>45372</c:v>
                </c:pt>
                <c:pt idx="209">
                  <c:v>45371</c:v>
                </c:pt>
                <c:pt idx="210">
                  <c:v>45370</c:v>
                </c:pt>
                <c:pt idx="211">
                  <c:v>45369</c:v>
                </c:pt>
                <c:pt idx="212">
                  <c:v>45366</c:v>
                </c:pt>
                <c:pt idx="213">
                  <c:v>45365</c:v>
                </c:pt>
                <c:pt idx="214">
                  <c:v>45364</c:v>
                </c:pt>
                <c:pt idx="215">
                  <c:v>45363</c:v>
                </c:pt>
                <c:pt idx="216">
                  <c:v>45362</c:v>
                </c:pt>
                <c:pt idx="217">
                  <c:v>45359</c:v>
                </c:pt>
                <c:pt idx="218">
                  <c:v>45358</c:v>
                </c:pt>
                <c:pt idx="219">
                  <c:v>45357</c:v>
                </c:pt>
                <c:pt idx="220">
                  <c:v>45356</c:v>
                </c:pt>
                <c:pt idx="221">
                  <c:v>45355</c:v>
                </c:pt>
                <c:pt idx="222">
                  <c:v>45351</c:v>
                </c:pt>
                <c:pt idx="223">
                  <c:v>45350</c:v>
                </c:pt>
                <c:pt idx="224">
                  <c:v>45349</c:v>
                </c:pt>
                <c:pt idx="225">
                  <c:v>45348</c:v>
                </c:pt>
                <c:pt idx="226">
                  <c:v>45345</c:v>
                </c:pt>
                <c:pt idx="227">
                  <c:v>45344</c:v>
                </c:pt>
                <c:pt idx="228">
                  <c:v>45343</c:v>
                </c:pt>
                <c:pt idx="229">
                  <c:v>45342</c:v>
                </c:pt>
                <c:pt idx="230">
                  <c:v>45341</c:v>
                </c:pt>
                <c:pt idx="231">
                  <c:v>45338</c:v>
                </c:pt>
                <c:pt idx="232">
                  <c:v>45337</c:v>
                </c:pt>
                <c:pt idx="233">
                  <c:v>45336</c:v>
                </c:pt>
                <c:pt idx="234">
                  <c:v>45335</c:v>
                </c:pt>
                <c:pt idx="235">
                  <c:v>45330</c:v>
                </c:pt>
                <c:pt idx="236">
                  <c:v>45329</c:v>
                </c:pt>
                <c:pt idx="237">
                  <c:v>45328</c:v>
                </c:pt>
                <c:pt idx="238">
                  <c:v>45327</c:v>
                </c:pt>
                <c:pt idx="239">
                  <c:v>45324</c:v>
                </c:pt>
                <c:pt idx="240">
                  <c:v>45323</c:v>
                </c:pt>
              </c:numCache>
            </c:numRef>
          </c:cat>
          <c:val>
            <c:numRef>
              <c:f>'daily monitor'!$R$101:$R$350</c:f>
              <c:numCache>
                <c:formatCode>General</c:formatCode>
                <c:ptCount val="250"/>
                <c:pt idx="0">
                  <c:v>2.573</c:v>
                </c:pt>
                <c:pt idx="1">
                  <c:v>2.57</c:v>
                </c:pt>
                <c:pt idx="2">
                  <c:v>2.5779999999999998</c:v>
                </c:pt>
                <c:pt idx="3">
                  <c:v>2.577</c:v>
                </c:pt>
                <c:pt idx="4">
                  <c:v>2.5790000000000002</c:v>
                </c:pt>
                <c:pt idx="5">
                  <c:v>2.6230000000000002</c:v>
                </c:pt>
                <c:pt idx="6">
                  <c:v>2.5880000000000001</c:v>
                </c:pt>
                <c:pt idx="7">
                  <c:v>2.6259999999999999</c:v>
                </c:pt>
                <c:pt idx="8">
                  <c:v>2.6749999999999998</c:v>
                </c:pt>
                <c:pt idx="9">
                  <c:v>2.6459999999999999</c:v>
                </c:pt>
                <c:pt idx="10">
                  <c:v>2.6640000000000001</c:v>
                </c:pt>
                <c:pt idx="11">
                  <c:v>2.5609999999999999</c:v>
                </c:pt>
                <c:pt idx="12">
                  <c:v>2.5</c:v>
                </c:pt>
                <c:pt idx="13">
                  <c:v>2.5049999999999999</c:v>
                </c:pt>
                <c:pt idx="14">
                  <c:v>2.508</c:v>
                </c:pt>
                <c:pt idx="15">
                  <c:v>2.524</c:v>
                </c:pt>
                <c:pt idx="16">
                  <c:v>2.4820000000000002</c:v>
                </c:pt>
                <c:pt idx="17">
                  <c:v>2.5070000000000001</c:v>
                </c:pt>
                <c:pt idx="18">
                  <c:v>2.5960000000000001</c:v>
                </c:pt>
                <c:pt idx="19">
                  <c:v>2.597</c:v>
                </c:pt>
                <c:pt idx="20">
                  <c:v>2.6339999999999999</c:v>
                </c:pt>
                <c:pt idx="21">
                  <c:v>2.6480000000000001</c:v>
                </c:pt>
                <c:pt idx="22">
                  <c:v>2.6259999999999999</c:v>
                </c:pt>
                <c:pt idx="23">
                  <c:v>2.6160000000000001</c:v>
                </c:pt>
                <c:pt idx="24">
                  <c:v>2.629</c:v>
                </c:pt>
                <c:pt idx="25">
                  <c:v>2.6030000000000002</c:v>
                </c:pt>
                <c:pt idx="26">
                  <c:v>2.536</c:v>
                </c:pt>
                <c:pt idx="27">
                  <c:v>2.621</c:v>
                </c:pt>
                <c:pt idx="28">
                  <c:v>2.5529999999999999</c:v>
                </c:pt>
                <c:pt idx="29">
                  <c:v>2.5409999999999999</c:v>
                </c:pt>
                <c:pt idx="30">
                  <c:v>2.5489999999999999</c:v>
                </c:pt>
                <c:pt idx="31">
                  <c:v>2.536</c:v>
                </c:pt>
                <c:pt idx="32">
                  <c:v>2.524</c:v>
                </c:pt>
                <c:pt idx="33">
                  <c:v>2.5790000000000002</c:v>
                </c:pt>
                <c:pt idx="34">
                  <c:v>2.62</c:v>
                </c:pt>
                <c:pt idx="35">
                  <c:v>2.6030000000000002</c:v>
                </c:pt>
                <c:pt idx="36">
                  <c:v>2.6259999999999999</c:v>
                </c:pt>
                <c:pt idx="37">
                  <c:v>2.585</c:v>
                </c:pt>
                <c:pt idx="38">
                  <c:v>2.5670000000000002</c:v>
                </c:pt>
                <c:pt idx="39">
                  <c:v>2.6070000000000002</c:v>
                </c:pt>
                <c:pt idx="40">
                  <c:v>2.6379999999999999</c:v>
                </c:pt>
                <c:pt idx="41">
                  <c:v>2.7410000000000001</c:v>
                </c:pt>
                <c:pt idx="42">
                  <c:v>2.7730000000000001</c:v>
                </c:pt>
                <c:pt idx="43">
                  <c:v>2.7730000000000001</c:v>
                </c:pt>
                <c:pt idx="44">
                  <c:v>2.8159999999999998</c:v>
                </c:pt>
                <c:pt idx="45">
                  <c:v>2.8290000000000002</c:v>
                </c:pt>
                <c:pt idx="46">
                  <c:v>2.8730000000000002</c:v>
                </c:pt>
                <c:pt idx="47">
                  <c:v>2.8889999999999998</c:v>
                </c:pt>
                <c:pt idx="48">
                  <c:v>2.915</c:v>
                </c:pt>
                <c:pt idx="49">
                  <c:v>2.9409999999999998</c:v>
                </c:pt>
                <c:pt idx="50">
                  <c:v>2.9289999999999998</c:v>
                </c:pt>
                <c:pt idx="51">
                  <c:v>2.9390000000000001</c:v>
                </c:pt>
                <c:pt idx="52">
                  <c:v>2.9</c:v>
                </c:pt>
                <c:pt idx="53">
                  <c:v>2.9009999999999998</c:v>
                </c:pt>
                <c:pt idx="54">
                  <c:v>2.8889999999999998</c:v>
                </c:pt>
                <c:pt idx="55">
                  <c:v>2.9220000000000002</c:v>
                </c:pt>
                <c:pt idx="56">
                  <c:v>2.96</c:v>
                </c:pt>
                <c:pt idx="57">
                  <c:v>2.9180000000000001</c:v>
                </c:pt>
                <c:pt idx="58">
                  <c:v>2.9350000000000001</c:v>
                </c:pt>
                <c:pt idx="59">
                  <c:v>2.9390000000000001</c:v>
                </c:pt>
                <c:pt idx="60">
                  <c:v>2.9359999999999999</c:v>
                </c:pt>
                <c:pt idx="61">
                  <c:v>2.9369999999999998</c:v>
                </c:pt>
                <c:pt idx="62">
                  <c:v>2.9359999999999999</c:v>
                </c:pt>
                <c:pt idx="63">
                  <c:v>2.9319999999999999</c:v>
                </c:pt>
                <c:pt idx="64">
                  <c:v>2.8820000000000001</c:v>
                </c:pt>
                <c:pt idx="65">
                  <c:v>2.891</c:v>
                </c:pt>
                <c:pt idx="66">
                  <c:v>2.9359999999999999</c:v>
                </c:pt>
                <c:pt idx="67">
                  <c:v>2.9430000000000001</c:v>
                </c:pt>
                <c:pt idx="68">
                  <c:v>2.9020000000000001</c:v>
                </c:pt>
                <c:pt idx="69">
                  <c:v>2.9079999999999999</c:v>
                </c:pt>
                <c:pt idx="70">
                  <c:v>2.8969999999999998</c:v>
                </c:pt>
                <c:pt idx="71">
                  <c:v>2.88</c:v>
                </c:pt>
                <c:pt idx="72">
                  <c:v>2.9060000000000001</c:v>
                </c:pt>
                <c:pt idx="73">
                  <c:v>2.9380000000000002</c:v>
                </c:pt>
                <c:pt idx="74">
                  <c:v>2.9470000000000001</c:v>
                </c:pt>
                <c:pt idx="75">
                  <c:v>2.9620000000000002</c:v>
                </c:pt>
                <c:pt idx="76">
                  <c:v>2.9319999999999999</c:v>
                </c:pt>
                <c:pt idx="77">
                  <c:v>2.96</c:v>
                </c:pt>
                <c:pt idx="78">
                  <c:v>2.8239999999999998</c:v>
                </c:pt>
                <c:pt idx="79">
                  <c:v>2.78</c:v>
                </c:pt>
                <c:pt idx="80">
                  <c:v>2.8109999999999999</c:v>
                </c:pt>
                <c:pt idx="81">
                  <c:v>2.8260000000000001</c:v>
                </c:pt>
                <c:pt idx="82">
                  <c:v>2.8069999999999999</c:v>
                </c:pt>
                <c:pt idx="83">
                  <c:v>2.8119999999999998</c:v>
                </c:pt>
                <c:pt idx="84">
                  <c:v>2.8540000000000001</c:v>
                </c:pt>
                <c:pt idx="85">
                  <c:v>2.8639999999999999</c:v>
                </c:pt>
                <c:pt idx="86">
                  <c:v>2.8380000000000001</c:v>
                </c:pt>
                <c:pt idx="87">
                  <c:v>2.843</c:v>
                </c:pt>
                <c:pt idx="88">
                  <c:v>2.8220000000000001</c:v>
                </c:pt>
                <c:pt idx="89">
                  <c:v>2.8660000000000001</c:v>
                </c:pt>
                <c:pt idx="90">
                  <c:v>2.82</c:v>
                </c:pt>
                <c:pt idx="91">
                  <c:v>2.8769999999999998</c:v>
                </c:pt>
                <c:pt idx="92">
                  <c:v>2.8969999999999998</c:v>
                </c:pt>
                <c:pt idx="93">
                  <c:v>2.8809999999999998</c:v>
                </c:pt>
                <c:pt idx="94">
                  <c:v>2.9049999999999998</c:v>
                </c:pt>
                <c:pt idx="95">
                  <c:v>2.931</c:v>
                </c:pt>
                <c:pt idx="96">
                  <c:v>2.9809999999999999</c:v>
                </c:pt>
                <c:pt idx="97">
                  <c:v>2.9889999999999999</c:v>
                </c:pt>
                <c:pt idx="98">
                  <c:v>2.9529999999999998</c:v>
                </c:pt>
                <c:pt idx="99">
                  <c:v>2.9390000000000001</c:v>
                </c:pt>
                <c:pt idx="100">
                  <c:v>2.919</c:v>
                </c:pt>
                <c:pt idx="101">
                  <c:v>2.94</c:v>
                </c:pt>
                <c:pt idx="102">
                  <c:v>2.89</c:v>
                </c:pt>
                <c:pt idx="103">
                  <c:v>2.92</c:v>
                </c:pt>
                <c:pt idx="104">
                  <c:v>2.907</c:v>
                </c:pt>
                <c:pt idx="105">
                  <c:v>2.94</c:v>
                </c:pt>
                <c:pt idx="106">
                  <c:v>2.944</c:v>
                </c:pt>
                <c:pt idx="107">
                  <c:v>2.927</c:v>
                </c:pt>
                <c:pt idx="108">
                  <c:v>2.9279999999999999</c:v>
                </c:pt>
                <c:pt idx="109">
                  <c:v>2.8879999999999999</c:v>
                </c:pt>
                <c:pt idx="110">
                  <c:v>2.9180000000000001</c:v>
                </c:pt>
                <c:pt idx="111">
                  <c:v>2.9460000000000002</c:v>
                </c:pt>
                <c:pt idx="112">
                  <c:v>2.9409999999999998</c:v>
                </c:pt>
                <c:pt idx="113">
                  <c:v>2.911</c:v>
                </c:pt>
                <c:pt idx="114">
                  <c:v>2.9289999999999998</c:v>
                </c:pt>
                <c:pt idx="115">
                  <c:v>2.9350000000000001</c:v>
                </c:pt>
                <c:pt idx="116">
                  <c:v>2.806</c:v>
                </c:pt>
                <c:pt idx="117">
                  <c:v>2.9390000000000001</c:v>
                </c:pt>
                <c:pt idx="118">
                  <c:v>2.976</c:v>
                </c:pt>
                <c:pt idx="119">
                  <c:v>3.004</c:v>
                </c:pt>
                <c:pt idx="120">
                  <c:v>2.9940000000000002</c:v>
                </c:pt>
                <c:pt idx="121">
                  <c:v>2.9780000000000002</c:v>
                </c:pt>
                <c:pt idx="122">
                  <c:v>3.024</c:v>
                </c:pt>
                <c:pt idx="123">
                  <c:v>3.024</c:v>
                </c:pt>
                <c:pt idx="124">
                  <c:v>3.0459999999999998</c:v>
                </c:pt>
                <c:pt idx="125">
                  <c:v>3.0840000000000001</c:v>
                </c:pt>
                <c:pt idx="126">
                  <c:v>3.0710000000000002</c:v>
                </c:pt>
                <c:pt idx="127">
                  <c:v>3.0739999999999998</c:v>
                </c:pt>
                <c:pt idx="128">
                  <c:v>3.0579999999999998</c:v>
                </c:pt>
                <c:pt idx="129">
                  <c:v>3.05</c:v>
                </c:pt>
                <c:pt idx="130">
                  <c:v>3.0350000000000001</c:v>
                </c:pt>
                <c:pt idx="131">
                  <c:v>3.0760000000000001</c:v>
                </c:pt>
                <c:pt idx="132">
                  <c:v>3.101</c:v>
                </c:pt>
                <c:pt idx="133">
                  <c:v>3.1629999999999998</c:v>
                </c:pt>
                <c:pt idx="134">
                  <c:v>3.12</c:v>
                </c:pt>
                <c:pt idx="135">
                  <c:v>3.1139999999999999</c:v>
                </c:pt>
                <c:pt idx="136">
                  <c:v>3.1190000000000002</c:v>
                </c:pt>
                <c:pt idx="137">
                  <c:v>3.1150000000000002</c:v>
                </c:pt>
                <c:pt idx="138">
                  <c:v>3.1280000000000001</c:v>
                </c:pt>
                <c:pt idx="139">
                  <c:v>3.16</c:v>
                </c:pt>
                <c:pt idx="140">
                  <c:v>3.169</c:v>
                </c:pt>
                <c:pt idx="141">
                  <c:v>3.21</c:v>
                </c:pt>
                <c:pt idx="142">
                  <c:v>3.1819999999999999</c:v>
                </c:pt>
                <c:pt idx="143">
                  <c:v>3.22</c:v>
                </c:pt>
                <c:pt idx="144">
                  <c:v>3.2149999999999999</c:v>
                </c:pt>
                <c:pt idx="145">
                  <c:v>3.2010000000000001</c:v>
                </c:pt>
                <c:pt idx="146">
                  <c:v>3.194</c:v>
                </c:pt>
                <c:pt idx="147">
                  <c:v>3.1760000000000002</c:v>
                </c:pt>
                <c:pt idx="148">
                  <c:v>3.1960000000000002</c:v>
                </c:pt>
                <c:pt idx="149">
                  <c:v>3.1619999999999999</c:v>
                </c:pt>
                <c:pt idx="150">
                  <c:v>3.214</c:v>
                </c:pt>
                <c:pt idx="151">
                  <c:v>3.2120000000000002</c:v>
                </c:pt>
                <c:pt idx="152">
                  <c:v>3.2519999999999998</c:v>
                </c:pt>
                <c:pt idx="153">
                  <c:v>3.2770000000000001</c:v>
                </c:pt>
                <c:pt idx="154">
                  <c:v>3.3069999999999999</c:v>
                </c:pt>
                <c:pt idx="155">
                  <c:v>3.3410000000000002</c:v>
                </c:pt>
                <c:pt idx="156">
                  <c:v>3.3530000000000002</c:v>
                </c:pt>
                <c:pt idx="157">
                  <c:v>3.3079999999999998</c:v>
                </c:pt>
                <c:pt idx="158">
                  <c:v>3.3450000000000002</c:v>
                </c:pt>
                <c:pt idx="159">
                  <c:v>3.39</c:v>
                </c:pt>
                <c:pt idx="160">
                  <c:v>3.4340000000000002</c:v>
                </c:pt>
                <c:pt idx="161">
                  <c:v>3.452</c:v>
                </c:pt>
                <c:pt idx="162">
                  <c:v>3.44</c:v>
                </c:pt>
                <c:pt idx="163">
                  <c:v>3.4249999999999998</c:v>
                </c:pt>
                <c:pt idx="164">
                  <c:v>3.3940000000000001</c:v>
                </c:pt>
                <c:pt idx="165">
                  <c:v>3.4129999999999998</c:v>
                </c:pt>
                <c:pt idx="166">
                  <c:v>3.423</c:v>
                </c:pt>
                <c:pt idx="167">
                  <c:v>3.4020000000000001</c:v>
                </c:pt>
                <c:pt idx="168">
                  <c:v>3.4089999999999998</c:v>
                </c:pt>
                <c:pt idx="169">
                  <c:v>3.411</c:v>
                </c:pt>
                <c:pt idx="170">
                  <c:v>3.4119999999999999</c:v>
                </c:pt>
                <c:pt idx="171">
                  <c:v>3.379</c:v>
                </c:pt>
                <c:pt idx="172">
                  <c:v>3.375</c:v>
                </c:pt>
                <c:pt idx="173">
                  <c:v>3.4540000000000002</c:v>
                </c:pt>
                <c:pt idx="174">
                  <c:v>3.452</c:v>
                </c:pt>
                <c:pt idx="175">
                  <c:v>3.44</c:v>
                </c:pt>
                <c:pt idx="176">
                  <c:v>3.4529999999999998</c:v>
                </c:pt>
                <c:pt idx="177">
                  <c:v>3.4390000000000001</c:v>
                </c:pt>
                <c:pt idx="178">
                  <c:v>3.448</c:v>
                </c:pt>
                <c:pt idx="179">
                  <c:v>3.5</c:v>
                </c:pt>
                <c:pt idx="180">
                  <c:v>3.5089999999999999</c:v>
                </c:pt>
                <c:pt idx="181">
                  <c:v>3.5289999999999999</c:v>
                </c:pt>
                <c:pt idx="182">
                  <c:v>3.552</c:v>
                </c:pt>
                <c:pt idx="183">
                  <c:v>3.5310000000000001</c:v>
                </c:pt>
                <c:pt idx="184">
                  <c:v>3.5430000000000001</c:v>
                </c:pt>
                <c:pt idx="185">
                  <c:v>3.5089999999999999</c:v>
                </c:pt>
                <c:pt idx="186">
                  <c:v>3.4889999999999999</c:v>
                </c:pt>
                <c:pt idx="187">
                  <c:v>3.512</c:v>
                </c:pt>
                <c:pt idx="188">
                  <c:v>3.468</c:v>
                </c:pt>
                <c:pt idx="189">
                  <c:v>3.427</c:v>
                </c:pt>
                <c:pt idx="190">
                  <c:v>3.4750000000000001</c:v>
                </c:pt>
                <c:pt idx="191">
                  <c:v>3.4689999999999999</c:v>
                </c:pt>
                <c:pt idx="192">
                  <c:v>3.44</c:v>
                </c:pt>
                <c:pt idx="193">
                  <c:v>3.403</c:v>
                </c:pt>
                <c:pt idx="194">
                  <c:v>3.4660000000000002</c:v>
                </c:pt>
                <c:pt idx="195">
                  <c:v>3.391</c:v>
                </c:pt>
                <c:pt idx="196">
                  <c:v>3.383</c:v>
                </c:pt>
                <c:pt idx="197">
                  <c:v>3.3290000000000002</c:v>
                </c:pt>
                <c:pt idx="198">
                  <c:v>3.3380000000000001</c:v>
                </c:pt>
                <c:pt idx="199">
                  <c:v>3.3410000000000002</c:v>
                </c:pt>
                <c:pt idx="200">
                  <c:v>3.3330000000000002</c:v>
                </c:pt>
                <c:pt idx="201">
                  <c:v>3.2909999999999999</c:v>
                </c:pt>
                <c:pt idx="202">
                  <c:v>3.3220000000000001</c:v>
                </c:pt>
                <c:pt idx="203">
                  <c:v>3.2930000000000001</c:v>
                </c:pt>
                <c:pt idx="204">
                  <c:v>3.2879999999999998</c:v>
                </c:pt>
                <c:pt idx="205">
                  <c:v>3.3010000000000002</c:v>
                </c:pt>
                <c:pt idx="206">
                  <c:v>3.29</c:v>
                </c:pt>
                <c:pt idx="207">
                  <c:v>3.2839999999999998</c:v>
                </c:pt>
                <c:pt idx="208">
                  <c:v>3.306</c:v>
                </c:pt>
                <c:pt idx="209">
                  <c:v>3.371</c:v>
                </c:pt>
                <c:pt idx="210">
                  <c:v>3.383</c:v>
                </c:pt>
                <c:pt idx="211">
                  <c:v>3.3479999999999999</c:v>
                </c:pt>
                <c:pt idx="212">
                  <c:v>3.3079999999999998</c:v>
                </c:pt>
                <c:pt idx="213">
                  <c:v>3.2730000000000001</c:v>
                </c:pt>
                <c:pt idx="214">
                  <c:v>3.2509999999999999</c:v>
                </c:pt>
                <c:pt idx="215">
                  <c:v>3.2730000000000001</c:v>
                </c:pt>
                <c:pt idx="216">
                  <c:v>3.2749999999999999</c:v>
                </c:pt>
                <c:pt idx="217">
                  <c:v>3.2709999999999999</c:v>
                </c:pt>
                <c:pt idx="218">
                  <c:v>3.3210000000000002</c:v>
                </c:pt>
                <c:pt idx="219">
                  <c:v>3.3250000000000002</c:v>
                </c:pt>
                <c:pt idx="220">
                  <c:v>3.3490000000000002</c:v>
                </c:pt>
                <c:pt idx="221">
                  <c:v>3.36</c:v>
                </c:pt>
                <c:pt idx="222">
                  <c:v>3.3849999999999998</c:v>
                </c:pt>
                <c:pt idx="223">
                  <c:v>3.359</c:v>
                </c:pt>
                <c:pt idx="224">
                  <c:v>3.3639999999999999</c:v>
                </c:pt>
                <c:pt idx="225">
                  <c:v>3.34</c:v>
                </c:pt>
                <c:pt idx="226">
                  <c:v>3.3740000000000001</c:v>
                </c:pt>
                <c:pt idx="227">
                  <c:v>3.3420000000000001</c:v>
                </c:pt>
                <c:pt idx="228">
                  <c:v>3.4020000000000001</c:v>
                </c:pt>
                <c:pt idx="229">
                  <c:v>3.4049999999999998</c:v>
                </c:pt>
                <c:pt idx="230">
                  <c:v>3.3969999999999998</c:v>
                </c:pt>
                <c:pt idx="231">
                  <c:v>3.4049999999999998</c:v>
                </c:pt>
                <c:pt idx="232">
                  <c:v>3.4049999999999998</c:v>
                </c:pt>
                <c:pt idx="233">
                  <c:v>3.4249999999999998</c:v>
                </c:pt>
                <c:pt idx="234">
                  <c:v>3.3530000000000002</c:v>
                </c:pt>
                <c:pt idx="235">
                  <c:v>3.3050000000000002</c:v>
                </c:pt>
                <c:pt idx="236">
                  <c:v>3.286</c:v>
                </c:pt>
                <c:pt idx="237">
                  <c:v>3.2919999999999998</c:v>
                </c:pt>
                <c:pt idx="238">
                  <c:v>3.3119999999999998</c:v>
                </c:pt>
                <c:pt idx="239">
                  <c:v>3.2480000000000002</c:v>
                </c:pt>
                <c:pt idx="240">
                  <c:v>3.2669999999999999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74-407E-A8D2-092DD1FBED3C}"/>
            </c:ext>
          </c:extLst>
        </c:ser>
        <c:ser>
          <c:idx val="1"/>
          <c:order val="1"/>
          <c:tx>
            <c:strRef>
              <c:f>'daily monitor'!$S$99</c:f>
              <c:strCache>
                <c:ptCount val="1"/>
                <c:pt idx="0">
                  <c:v>국고5Y</c:v>
                </c:pt>
              </c:strCache>
            </c:strRef>
          </c:tx>
          <c:spPr>
            <a:ln w="19050">
              <a:solidFill>
                <a:srgbClr val="6666FF"/>
              </a:solidFill>
            </a:ln>
          </c:spPr>
          <c:marker>
            <c:symbol val="none"/>
          </c:marker>
          <c:cat>
            <c:numRef>
              <c:f>'daily monitor'!$Q$101:$Q$350</c:f>
              <c:numCache>
                <c:formatCode>yyyy/mm/dd</c:formatCode>
                <c:ptCount val="250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45657</c:v>
                </c:pt>
                <c:pt idx="19">
                  <c:v>45656</c:v>
                </c:pt>
                <c:pt idx="20">
                  <c:v>45653</c:v>
                </c:pt>
                <c:pt idx="21">
                  <c:v>45652</c:v>
                </c:pt>
                <c:pt idx="22">
                  <c:v>45650</c:v>
                </c:pt>
                <c:pt idx="23">
                  <c:v>45649</c:v>
                </c:pt>
                <c:pt idx="24">
                  <c:v>45646</c:v>
                </c:pt>
                <c:pt idx="25">
                  <c:v>45645</c:v>
                </c:pt>
                <c:pt idx="26">
                  <c:v>45644</c:v>
                </c:pt>
                <c:pt idx="27">
                  <c:v>45643</c:v>
                </c:pt>
                <c:pt idx="28">
                  <c:v>45642</c:v>
                </c:pt>
                <c:pt idx="29">
                  <c:v>45639</c:v>
                </c:pt>
                <c:pt idx="30">
                  <c:v>45638</c:v>
                </c:pt>
                <c:pt idx="31">
                  <c:v>45637</c:v>
                </c:pt>
                <c:pt idx="32">
                  <c:v>45636</c:v>
                </c:pt>
                <c:pt idx="33">
                  <c:v>45635</c:v>
                </c:pt>
                <c:pt idx="34">
                  <c:v>45632</c:v>
                </c:pt>
                <c:pt idx="35">
                  <c:v>45631</c:v>
                </c:pt>
                <c:pt idx="36">
                  <c:v>45630</c:v>
                </c:pt>
                <c:pt idx="37">
                  <c:v>45629</c:v>
                </c:pt>
                <c:pt idx="38">
                  <c:v>45628</c:v>
                </c:pt>
                <c:pt idx="39">
                  <c:v>45625</c:v>
                </c:pt>
                <c:pt idx="40">
                  <c:v>45624</c:v>
                </c:pt>
                <c:pt idx="41">
                  <c:v>45623</c:v>
                </c:pt>
                <c:pt idx="42">
                  <c:v>45622</c:v>
                </c:pt>
                <c:pt idx="43">
                  <c:v>45621</c:v>
                </c:pt>
                <c:pt idx="44">
                  <c:v>45618</c:v>
                </c:pt>
                <c:pt idx="45">
                  <c:v>45617</c:v>
                </c:pt>
                <c:pt idx="46">
                  <c:v>45616</c:v>
                </c:pt>
                <c:pt idx="47">
                  <c:v>45615</c:v>
                </c:pt>
                <c:pt idx="48">
                  <c:v>45614</c:v>
                </c:pt>
                <c:pt idx="49">
                  <c:v>45611</c:v>
                </c:pt>
                <c:pt idx="50">
                  <c:v>45610</c:v>
                </c:pt>
                <c:pt idx="51">
                  <c:v>45609</c:v>
                </c:pt>
                <c:pt idx="52">
                  <c:v>45608</c:v>
                </c:pt>
                <c:pt idx="53">
                  <c:v>45607</c:v>
                </c:pt>
                <c:pt idx="54">
                  <c:v>45604</c:v>
                </c:pt>
                <c:pt idx="55">
                  <c:v>45603</c:v>
                </c:pt>
                <c:pt idx="56">
                  <c:v>45602</c:v>
                </c:pt>
                <c:pt idx="57">
                  <c:v>45601</c:v>
                </c:pt>
                <c:pt idx="58">
                  <c:v>45600</c:v>
                </c:pt>
                <c:pt idx="59">
                  <c:v>45597</c:v>
                </c:pt>
                <c:pt idx="60">
                  <c:v>45596</c:v>
                </c:pt>
                <c:pt idx="61">
                  <c:v>45595</c:v>
                </c:pt>
                <c:pt idx="62">
                  <c:v>45594</c:v>
                </c:pt>
                <c:pt idx="63">
                  <c:v>45593</c:v>
                </c:pt>
                <c:pt idx="64">
                  <c:v>45590</c:v>
                </c:pt>
                <c:pt idx="65">
                  <c:v>45589</c:v>
                </c:pt>
                <c:pt idx="66">
                  <c:v>45588</c:v>
                </c:pt>
                <c:pt idx="67">
                  <c:v>45587</c:v>
                </c:pt>
                <c:pt idx="68">
                  <c:v>45586</c:v>
                </c:pt>
                <c:pt idx="69">
                  <c:v>45583</c:v>
                </c:pt>
                <c:pt idx="70">
                  <c:v>45582</c:v>
                </c:pt>
                <c:pt idx="71">
                  <c:v>45581</c:v>
                </c:pt>
                <c:pt idx="72">
                  <c:v>45580</c:v>
                </c:pt>
                <c:pt idx="73">
                  <c:v>45579</c:v>
                </c:pt>
                <c:pt idx="74">
                  <c:v>45576</c:v>
                </c:pt>
                <c:pt idx="75">
                  <c:v>45575</c:v>
                </c:pt>
                <c:pt idx="76">
                  <c:v>45573</c:v>
                </c:pt>
                <c:pt idx="77">
                  <c:v>45572</c:v>
                </c:pt>
                <c:pt idx="78">
                  <c:v>45569</c:v>
                </c:pt>
                <c:pt idx="79">
                  <c:v>45567</c:v>
                </c:pt>
                <c:pt idx="80">
                  <c:v>45565</c:v>
                </c:pt>
                <c:pt idx="81">
                  <c:v>45562</c:v>
                </c:pt>
                <c:pt idx="82">
                  <c:v>45561</c:v>
                </c:pt>
                <c:pt idx="83">
                  <c:v>45560</c:v>
                </c:pt>
                <c:pt idx="84">
                  <c:v>45559</c:v>
                </c:pt>
                <c:pt idx="85">
                  <c:v>45558</c:v>
                </c:pt>
                <c:pt idx="86">
                  <c:v>45555</c:v>
                </c:pt>
                <c:pt idx="87">
                  <c:v>45554</c:v>
                </c:pt>
                <c:pt idx="88">
                  <c:v>45548</c:v>
                </c:pt>
                <c:pt idx="89">
                  <c:v>45547</c:v>
                </c:pt>
                <c:pt idx="90">
                  <c:v>45546</c:v>
                </c:pt>
                <c:pt idx="91">
                  <c:v>45545</c:v>
                </c:pt>
                <c:pt idx="92">
                  <c:v>45544</c:v>
                </c:pt>
                <c:pt idx="93">
                  <c:v>45541</c:v>
                </c:pt>
                <c:pt idx="94">
                  <c:v>45540</c:v>
                </c:pt>
                <c:pt idx="95">
                  <c:v>45539</c:v>
                </c:pt>
                <c:pt idx="96">
                  <c:v>45538</c:v>
                </c:pt>
                <c:pt idx="97">
                  <c:v>45537</c:v>
                </c:pt>
                <c:pt idx="98">
                  <c:v>45534</c:v>
                </c:pt>
                <c:pt idx="99">
                  <c:v>45533</c:v>
                </c:pt>
                <c:pt idx="100">
                  <c:v>45532</c:v>
                </c:pt>
                <c:pt idx="101">
                  <c:v>45531</c:v>
                </c:pt>
                <c:pt idx="102">
                  <c:v>45530</c:v>
                </c:pt>
                <c:pt idx="103">
                  <c:v>45527</c:v>
                </c:pt>
                <c:pt idx="104">
                  <c:v>45526</c:v>
                </c:pt>
                <c:pt idx="105">
                  <c:v>45525</c:v>
                </c:pt>
                <c:pt idx="106">
                  <c:v>45524</c:v>
                </c:pt>
                <c:pt idx="107">
                  <c:v>45523</c:v>
                </c:pt>
                <c:pt idx="108">
                  <c:v>45520</c:v>
                </c:pt>
                <c:pt idx="109">
                  <c:v>45518</c:v>
                </c:pt>
                <c:pt idx="110">
                  <c:v>45517</c:v>
                </c:pt>
                <c:pt idx="111">
                  <c:v>45516</c:v>
                </c:pt>
                <c:pt idx="112">
                  <c:v>45513</c:v>
                </c:pt>
                <c:pt idx="113">
                  <c:v>45512</c:v>
                </c:pt>
                <c:pt idx="114">
                  <c:v>45511</c:v>
                </c:pt>
                <c:pt idx="115">
                  <c:v>45510</c:v>
                </c:pt>
                <c:pt idx="116">
                  <c:v>45509</c:v>
                </c:pt>
                <c:pt idx="117">
                  <c:v>45506</c:v>
                </c:pt>
                <c:pt idx="118">
                  <c:v>45505</c:v>
                </c:pt>
                <c:pt idx="119">
                  <c:v>45504</c:v>
                </c:pt>
                <c:pt idx="120">
                  <c:v>45503</c:v>
                </c:pt>
                <c:pt idx="121">
                  <c:v>45502</c:v>
                </c:pt>
                <c:pt idx="122">
                  <c:v>45499</c:v>
                </c:pt>
                <c:pt idx="123">
                  <c:v>45498</c:v>
                </c:pt>
                <c:pt idx="124">
                  <c:v>45497</c:v>
                </c:pt>
                <c:pt idx="125">
                  <c:v>45496</c:v>
                </c:pt>
                <c:pt idx="126">
                  <c:v>45495</c:v>
                </c:pt>
                <c:pt idx="127">
                  <c:v>45492</c:v>
                </c:pt>
                <c:pt idx="128">
                  <c:v>45491</c:v>
                </c:pt>
                <c:pt idx="129">
                  <c:v>45490</c:v>
                </c:pt>
                <c:pt idx="130">
                  <c:v>45489</c:v>
                </c:pt>
                <c:pt idx="131">
                  <c:v>45488</c:v>
                </c:pt>
                <c:pt idx="132">
                  <c:v>45485</c:v>
                </c:pt>
                <c:pt idx="133">
                  <c:v>45484</c:v>
                </c:pt>
                <c:pt idx="134">
                  <c:v>45483</c:v>
                </c:pt>
                <c:pt idx="135">
                  <c:v>45482</c:v>
                </c:pt>
                <c:pt idx="136">
                  <c:v>45481</c:v>
                </c:pt>
                <c:pt idx="137">
                  <c:v>45478</c:v>
                </c:pt>
                <c:pt idx="138">
                  <c:v>45477</c:v>
                </c:pt>
                <c:pt idx="139">
                  <c:v>45476</c:v>
                </c:pt>
                <c:pt idx="140">
                  <c:v>45475</c:v>
                </c:pt>
                <c:pt idx="141">
                  <c:v>45474</c:v>
                </c:pt>
                <c:pt idx="142">
                  <c:v>45471</c:v>
                </c:pt>
                <c:pt idx="143">
                  <c:v>45470</c:v>
                </c:pt>
                <c:pt idx="144">
                  <c:v>45469</c:v>
                </c:pt>
                <c:pt idx="145">
                  <c:v>45468</c:v>
                </c:pt>
                <c:pt idx="146">
                  <c:v>45467</c:v>
                </c:pt>
                <c:pt idx="147">
                  <c:v>45464</c:v>
                </c:pt>
                <c:pt idx="148">
                  <c:v>45463</c:v>
                </c:pt>
                <c:pt idx="149">
                  <c:v>45462</c:v>
                </c:pt>
                <c:pt idx="150">
                  <c:v>45461</c:v>
                </c:pt>
                <c:pt idx="151">
                  <c:v>45460</c:v>
                </c:pt>
                <c:pt idx="152">
                  <c:v>45457</c:v>
                </c:pt>
                <c:pt idx="153">
                  <c:v>45456</c:v>
                </c:pt>
                <c:pt idx="154">
                  <c:v>45455</c:v>
                </c:pt>
                <c:pt idx="155">
                  <c:v>45454</c:v>
                </c:pt>
                <c:pt idx="156">
                  <c:v>45453</c:v>
                </c:pt>
                <c:pt idx="157">
                  <c:v>45450</c:v>
                </c:pt>
                <c:pt idx="158">
                  <c:v>45448</c:v>
                </c:pt>
                <c:pt idx="159">
                  <c:v>45447</c:v>
                </c:pt>
                <c:pt idx="160">
                  <c:v>45446</c:v>
                </c:pt>
                <c:pt idx="161">
                  <c:v>45443</c:v>
                </c:pt>
                <c:pt idx="162">
                  <c:v>45442</c:v>
                </c:pt>
                <c:pt idx="163">
                  <c:v>45441</c:v>
                </c:pt>
                <c:pt idx="164">
                  <c:v>45440</c:v>
                </c:pt>
                <c:pt idx="165">
                  <c:v>45439</c:v>
                </c:pt>
                <c:pt idx="166">
                  <c:v>45436</c:v>
                </c:pt>
                <c:pt idx="167">
                  <c:v>45435</c:v>
                </c:pt>
                <c:pt idx="168">
                  <c:v>45434</c:v>
                </c:pt>
                <c:pt idx="169">
                  <c:v>45433</c:v>
                </c:pt>
                <c:pt idx="170">
                  <c:v>45432</c:v>
                </c:pt>
                <c:pt idx="171">
                  <c:v>45429</c:v>
                </c:pt>
                <c:pt idx="172">
                  <c:v>45428</c:v>
                </c:pt>
                <c:pt idx="173">
                  <c:v>45426</c:v>
                </c:pt>
                <c:pt idx="174">
                  <c:v>45425</c:v>
                </c:pt>
                <c:pt idx="175">
                  <c:v>45422</c:v>
                </c:pt>
                <c:pt idx="176">
                  <c:v>45421</c:v>
                </c:pt>
                <c:pt idx="177">
                  <c:v>45420</c:v>
                </c:pt>
                <c:pt idx="178">
                  <c:v>45419</c:v>
                </c:pt>
                <c:pt idx="179">
                  <c:v>45415</c:v>
                </c:pt>
                <c:pt idx="180">
                  <c:v>45414</c:v>
                </c:pt>
                <c:pt idx="181">
                  <c:v>45412</c:v>
                </c:pt>
                <c:pt idx="182">
                  <c:v>45411</c:v>
                </c:pt>
                <c:pt idx="183">
                  <c:v>45408</c:v>
                </c:pt>
                <c:pt idx="184">
                  <c:v>45407</c:v>
                </c:pt>
                <c:pt idx="185">
                  <c:v>45406</c:v>
                </c:pt>
                <c:pt idx="186">
                  <c:v>45405</c:v>
                </c:pt>
                <c:pt idx="187">
                  <c:v>45404</c:v>
                </c:pt>
                <c:pt idx="188">
                  <c:v>45401</c:v>
                </c:pt>
                <c:pt idx="189">
                  <c:v>45400</c:v>
                </c:pt>
                <c:pt idx="190">
                  <c:v>45399</c:v>
                </c:pt>
                <c:pt idx="191">
                  <c:v>45398</c:v>
                </c:pt>
                <c:pt idx="192">
                  <c:v>45397</c:v>
                </c:pt>
                <c:pt idx="193">
                  <c:v>45394</c:v>
                </c:pt>
                <c:pt idx="194">
                  <c:v>45393</c:v>
                </c:pt>
                <c:pt idx="195">
                  <c:v>45391</c:v>
                </c:pt>
                <c:pt idx="196">
                  <c:v>45390</c:v>
                </c:pt>
                <c:pt idx="197">
                  <c:v>45387</c:v>
                </c:pt>
                <c:pt idx="198">
                  <c:v>45386</c:v>
                </c:pt>
                <c:pt idx="199">
                  <c:v>45385</c:v>
                </c:pt>
                <c:pt idx="200">
                  <c:v>45384</c:v>
                </c:pt>
                <c:pt idx="201">
                  <c:v>45383</c:v>
                </c:pt>
                <c:pt idx="202">
                  <c:v>45380</c:v>
                </c:pt>
                <c:pt idx="203">
                  <c:v>45379</c:v>
                </c:pt>
                <c:pt idx="204">
                  <c:v>45378</c:v>
                </c:pt>
                <c:pt idx="205">
                  <c:v>45377</c:v>
                </c:pt>
                <c:pt idx="206">
                  <c:v>45376</c:v>
                </c:pt>
                <c:pt idx="207">
                  <c:v>45373</c:v>
                </c:pt>
                <c:pt idx="208">
                  <c:v>45372</c:v>
                </c:pt>
                <c:pt idx="209">
                  <c:v>45371</c:v>
                </c:pt>
                <c:pt idx="210">
                  <c:v>45370</c:v>
                </c:pt>
                <c:pt idx="211">
                  <c:v>45369</c:v>
                </c:pt>
                <c:pt idx="212">
                  <c:v>45366</c:v>
                </c:pt>
                <c:pt idx="213">
                  <c:v>45365</c:v>
                </c:pt>
                <c:pt idx="214">
                  <c:v>45364</c:v>
                </c:pt>
                <c:pt idx="215">
                  <c:v>45363</c:v>
                </c:pt>
                <c:pt idx="216">
                  <c:v>45362</c:v>
                </c:pt>
                <c:pt idx="217">
                  <c:v>45359</c:v>
                </c:pt>
                <c:pt idx="218">
                  <c:v>45358</c:v>
                </c:pt>
                <c:pt idx="219">
                  <c:v>45357</c:v>
                </c:pt>
                <c:pt idx="220">
                  <c:v>45356</c:v>
                </c:pt>
                <c:pt idx="221">
                  <c:v>45355</c:v>
                </c:pt>
                <c:pt idx="222">
                  <c:v>45351</c:v>
                </c:pt>
                <c:pt idx="223">
                  <c:v>45350</c:v>
                </c:pt>
                <c:pt idx="224">
                  <c:v>45349</c:v>
                </c:pt>
                <c:pt idx="225">
                  <c:v>45348</c:v>
                </c:pt>
                <c:pt idx="226">
                  <c:v>45345</c:v>
                </c:pt>
                <c:pt idx="227">
                  <c:v>45344</c:v>
                </c:pt>
                <c:pt idx="228">
                  <c:v>45343</c:v>
                </c:pt>
                <c:pt idx="229">
                  <c:v>45342</c:v>
                </c:pt>
                <c:pt idx="230">
                  <c:v>45341</c:v>
                </c:pt>
                <c:pt idx="231">
                  <c:v>45338</c:v>
                </c:pt>
                <c:pt idx="232">
                  <c:v>45337</c:v>
                </c:pt>
                <c:pt idx="233">
                  <c:v>45336</c:v>
                </c:pt>
                <c:pt idx="234">
                  <c:v>45335</c:v>
                </c:pt>
                <c:pt idx="235">
                  <c:v>45330</c:v>
                </c:pt>
                <c:pt idx="236">
                  <c:v>45329</c:v>
                </c:pt>
                <c:pt idx="237">
                  <c:v>45328</c:v>
                </c:pt>
                <c:pt idx="238">
                  <c:v>45327</c:v>
                </c:pt>
                <c:pt idx="239">
                  <c:v>45324</c:v>
                </c:pt>
                <c:pt idx="240">
                  <c:v>45323</c:v>
                </c:pt>
              </c:numCache>
            </c:numRef>
          </c:cat>
          <c:val>
            <c:numRef>
              <c:f>'daily monitor'!$S$101:$S$350</c:f>
              <c:numCache>
                <c:formatCode>General</c:formatCode>
                <c:ptCount val="250"/>
                <c:pt idx="0">
                  <c:v>2.7010000000000001</c:v>
                </c:pt>
                <c:pt idx="1">
                  <c:v>2.7040000000000002</c:v>
                </c:pt>
                <c:pt idx="2">
                  <c:v>2.6949999999999998</c:v>
                </c:pt>
                <c:pt idx="3">
                  <c:v>2.69</c:v>
                </c:pt>
                <c:pt idx="4">
                  <c:v>2.6779999999999999</c:v>
                </c:pt>
                <c:pt idx="5">
                  <c:v>2.7149999999999999</c:v>
                </c:pt>
                <c:pt idx="6">
                  <c:v>2.6880000000000002</c:v>
                </c:pt>
                <c:pt idx="7">
                  <c:v>2.7229999999999999</c:v>
                </c:pt>
                <c:pt idx="8">
                  <c:v>2.774</c:v>
                </c:pt>
                <c:pt idx="9">
                  <c:v>2.7360000000000002</c:v>
                </c:pt>
                <c:pt idx="10">
                  <c:v>2.746</c:v>
                </c:pt>
                <c:pt idx="11">
                  <c:v>2.6840000000000002</c:v>
                </c:pt>
                <c:pt idx="12">
                  <c:v>2.6269999999999998</c:v>
                </c:pt>
                <c:pt idx="13">
                  <c:v>2.6520000000000001</c:v>
                </c:pt>
                <c:pt idx="14">
                  <c:v>2.661</c:v>
                </c:pt>
                <c:pt idx="15">
                  <c:v>2.6850000000000001</c:v>
                </c:pt>
                <c:pt idx="16">
                  <c:v>2.6429999999999998</c:v>
                </c:pt>
                <c:pt idx="17">
                  <c:v>2.681</c:v>
                </c:pt>
                <c:pt idx="18">
                  <c:v>2.762</c:v>
                </c:pt>
                <c:pt idx="19">
                  <c:v>2.7629999999999999</c:v>
                </c:pt>
                <c:pt idx="20">
                  <c:v>2.7839999999999998</c:v>
                </c:pt>
                <c:pt idx="21">
                  <c:v>2.8090000000000002</c:v>
                </c:pt>
                <c:pt idx="22">
                  <c:v>2.8010000000000002</c:v>
                </c:pt>
                <c:pt idx="23">
                  <c:v>2.7570000000000001</c:v>
                </c:pt>
                <c:pt idx="24">
                  <c:v>2.7749999999999999</c:v>
                </c:pt>
                <c:pt idx="25">
                  <c:v>2.7360000000000002</c:v>
                </c:pt>
                <c:pt idx="26">
                  <c:v>2.65</c:v>
                </c:pt>
                <c:pt idx="27">
                  <c:v>2.7309999999999999</c:v>
                </c:pt>
                <c:pt idx="28">
                  <c:v>2.6549999999999998</c:v>
                </c:pt>
                <c:pt idx="29">
                  <c:v>2.6230000000000002</c:v>
                </c:pt>
                <c:pt idx="30">
                  <c:v>2.6280000000000001</c:v>
                </c:pt>
                <c:pt idx="31">
                  <c:v>2.617</c:v>
                </c:pt>
                <c:pt idx="32">
                  <c:v>2.5859999999999999</c:v>
                </c:pt>
                <c:pt idx="33">
                  <c:v>2.5790000000000002</c:v>
                </c:pt>
                <c:pt idx="34">
                  <c:v>2.633</c:v>
                </c:pt>
                <c:pt idx="35">
                  <c:v>2.62</c:v>
                </c:pt>
                <c:pt idx="36">
                  <c:v>2.64</c:v>
                </c:pt>
                <c:pt idx="37">
                  <c:v>2.6059999999999999</c:v>
                </c:pt>
                <c:pt idx="38">
                  <c:v>2.5960000000000001</c:v>
                </c:pt>
                <c:pt idx="39">
                  <c:v>2.65</c:v>
                </c:pt>
                <c:pt idx="40">
                  <c:v>2.6859999999999999</c:v>
                </c:pt>
                <c:pt idx="41">
                  <c:v>2.7829999999999999</c:v>
                </c:pt>
                <c:pt idx="42">
                  <c:v>2.8130000000000002</c:v>
                </c:pt>
                <c:pt idx="43">
                  <c:v>2.8239999999999998</c:v>
                </c:pt>
                <c:pt idx="44">
                  <c:v>2.8719999999999999</c:v>
                </c:pt>
                <c:pt idx="45">
                  <c:v>2.883</c:v>
                </c:pt>
                <c:pt idx="46">
                  <c:v>2.92</c:v>
                </c:pt>
                <c:pt idx="47">
                  <c:v>2.9369999999999998</c:v>
                </c:pt>
                <c:pt idx="48">
                  <c:v>2.9670000000000001</c:v>
                </c:pt>
                <c:pt idx="49">
                  <c:v>2.9910000000000001</c:v>
                </c:pt>
                <c:pt idx="50">
                  <c:v>2.9860000000000002</c:v>
                </c:pt>
                <c:pt idx="51">
                  <c:v>2.984</c:v>
                </c:pt>
                <c:pt idx="52">
                  <c:v>2.9390000000000001</c:v>
                </c:pt>
                <c:pt idx="53">
                  <c:v>2.948</c:v>
                </c:pt>
                <c:pt idx="54">
                  <c:v>2.9420000000000002</c:v>
                </c:pt>
                <c:pt idx="55">
                  <c:v>2.9780000000000002</c:v>
                </c:pt>
                <c:pt idx="56">
                  <c:v>3.0230000000000001</c:v>
                </c:pt>
                <c:pt idx="57">
                  <c:v>2.9710000000000001</c:v>
                </c:pt>
                <c:pt idx="58">
                  <c:v>2.9940000000000002</c:v>
                </c:pt>
                <c:pt idx="59">
                  <c:v>2.9950000000000001</c:v>
                </c:pt>
                <c:pt idx="60">
                  <c:v>2.9980000000000002</c:v>
                </c:pt>
                <c:pt idx="61">
                  <c:v>3.0019999999999998</c:v>
                </c:pt>
                <c:pt idx="62">
                  <c:v>3.0089999999999999</c:v>
                </c:pt>
                <c:pt idx="63">
                  <c:v>3.008</c:v>
                </c:pt>
                <c:pt idx="64">
                  <c:v>2.9409999999999998</c:v>
                </c:pt>
                <c:pt idx="65">
                  <c:v>2.956</c:v>
                </c:pt>
                <c:pt idx="66">
                  <c:v>3.0110000000000001</c:v>
                </c:pt>
                <c:pt idx="67">
                  <c:v>3.0139999999999998</c:v>
                </c:pt>
                <c:pt idx="68">
                  <c:v>2.9630000000000001</c:v>
                </c:pt>
                <c:pt idx="69">
                  <c:v>2.9710000000000001</c:v>
                </c:pt>
                <c:pt idx="70">
                  <c:v>2.9460000000000002</c:v>
                </c:pt>
                <c:pt idx="71">
                  <c:v>2.9239999999999999</c:v>
                </c:pt>
                <c:pt idx="72">
                  <c:v>2.9630000000000001</c:v>
                </c:pt>
                <c:pt idx="73">
                  <c:v>2.9969999999999999</c:v>
                </c:pt>
                <c:pt idx="74">
                  <c:v>2.9980000000000002</c:v>
                </c:pt>
                <c:pt idx="75">
                  <c:v>3.0139999999999998</c:v>
                </c:pt>
                <c:pt idx="76">
                  <c:v>2.9980000000000002</c:v>
                </c:pt>
                <c:pt idx="77">
                  <c:v>3.0179999999999998</c:v>
                </c:pt>
                <c:pt idx="78">
                  <c:v>2.899</c:v>
                </c:pt>
                <c:pt idx="79">
                  <c:v>2.843</c:v>
                </c:pt>
                <c:pt idx="80">
                  <c:v>2.887</c:v>
                </c:pt>
                <c:pt idx="81">
                  <c:v>2.8889999999999998</c:v>
                </c:pt>
                <c:pt idx="82">
                  <c:v>2.875</c:v>
                </c:pt>
                <c:pt idx="83">
                  <c:v>2.8730000000000002</c:v>
                </c:pt>
                <c:pt idx="84">
                  <c:v>2.903</c:v>
                </c:pt>
                <c:pt idx="85">
                  <c:v>2.9039999999999999</c:v>
                </c:pt>
                <c:pt idx="86">
                  <c:v>2.8679999999999999</c:v>
                </c:pt>
                <c:pt idx="87">
                  <c:v>2.867</c:v>
                </c:pt>
                <c:pt idx="88">
                  <c:v>2.8319999999999999</c:v>
                </c:pt>
                <c:pt idx="89">
                  <c:v>2.8969999999999998</c:v>
                </c:pt>
                <c:pt idx="90">
                  <c:v>2.855</c:v>
                </c:pt>
                <c:pt idx="91">
                  <c:v>2.9060000000000001</c:v>
                </c:pt>
                <c:pt idx="92">
                  <c:v>2.9620000000000002</c:v>
                </c:pt>
                <c:pt idx="93">
                  <c:v>2.9319999999999999</c:v>
                </c:pt>
                <c:pt idx="94">
                  <c:v>2.9710000000000001</c:v>
                </c:pt>
                <c:pt idx="95">
                  <c:v>2.996</c:v>
                </c:pt>
                <c:pt idx="96">
                  <c:v>3.0510000000000002</c:v>
                </c:pt>
                <c:pt idx="97">
                  <c:v>3.0489999999999999</c:v>
                </c:pt>
                <c:pt idx="98">
                  <c:v>3.01</c:v>
                </c:pt>
                <c:pt idx="99">
                  <c:v>3</c:v>
                </c:pt>
                <c:pt idx="100">
                  <c:v>2.9769999999999999</c:v>
                </c:pt>
                <c:pt idx="101">
                  <c:v>2.9950000000000001</c:v>
                </c:pt>
                <c:pt idx="102">
                  <c:v>2.9249999999999998</c:v>
                </c:pt>
                <c:pt idx="103">
                  <c:v>2.9529999999999998</c:v>
                </c:pt>
                <c:pt idx="104">
                  <c:v>2.9329999999999998</c:v>
                </c:pt>
                <c:pt idx="105">
                  <c:v>2.96</c:v>
                </c:pt>
                <c:pt idx="106">
                  <c:v>2.9590000000000001</c:v>
                </c:pt>
                <c:pt idx="107">
                  <c:v>2.9420000000000002</c:v>
                </c:pt>
                <c:pt idx="108">
                  <c:v>2.9329999999999998</c:v>
                </c:pt>
                <c:pt idx="109">
                  <c:v>2.899</c:v>
                </c:pt>
                <c:pt idx="110">
                  <c:v>2.93</c:v>
                </c:pt>
                <c:pt idx="111">
                  <c:v>2.9540000000000002</c:v>
                </c:pt>
                <c:pt idx="112">
                  <c:v>2.9580000000000002</c:v>
                </c:pt>
                <c:pt idx="113">
                  <c:v>2.9340000000000002</c:v>
                </c:pt>
                <c:pt idx="114">
                  <c:v>2.9510000000000001</c:v>
                </c:pt>
                <c:pt idx="115">
                  <c:v>2.9529999999999998</c:v>
                </c:pt>
                <c:pt idx="116">
                  <c:v>2.8170000000000002</c:v>
                </c:pt>
                <c:pt idx="117">
                  <c:v>2.948</c:v>
                </c:pt>
                <c:pt idx="118">
                  <c:v>2.9870000000000001</c:v>
                </c:pt>
                <c:pt idx="119">
                  <c:v>3.0230000000000001</c:v>
                </c:pt>
                <c:pt idx="120">
                  <c:v>3.0049999999999999</c:v>
                </c:pt>
                <c:pt idx="121">
                  <c:v>2.99</c:v>
                </c:pt>
                <c:pt idx="122">
                  <c:v>3.0449999999999999</c:v>
                </c:pt>
                <c:pt idx="123">
                  <c:v>3.0590000000000002</c:v>
                </c:pt>
                <c:pt idx="124">
                  <c:v>3.073</c:v>
                </c:pt>
                <c:pt idx="125">
                  <c:v>3.11</c:v>
                </c:pt>
                <c:pt idx="126">
                  <c:v>3.0910000000000002</c:v>
                </c:pt>
                <c:pt idx="127">
                  <c:v>3.0990000000000002</c:v>
                </c:pt>
                <c:pt idx="128">
                  <c:v>3.081</c:v>
                </c:pt>
                <c:pt idx="129">
                  <c:v>3.0720000000000001</c:v>
                </c:pt>
                <c:pt idx="130">
                  <c:v>3.0609999999999999</c:v>
                </c:pt>
                <c:pt idx="131">
                  <c:v>3.1030000000000002</c:v>
                </c:pt>
                <c:pt idx="132">
                  <c:v>3.117</c:v>
                </c:pt>
                <c:pt idx="133">
                  <c:v>3.1779999999999999</c:v>
                </c:pt>
                <c:pt idx="134">
                  <c:v>3.1309999999999998</c:v>
                </c:pt>
                <c:pt idx="135">
                  <c:v>3.1320000000000001</c:v>
                </c:pt>
                <c:pt idx="136">
                  <c:v>3.14</c:v>
                </c:pt>
                <c:pt idx="137">
                  <c:v>3.1589999999999998</c:v>
                </c:pt>
                <c:pt idx="138">
                  <c:v>3.161</c:v>
                </c:pt>
                <c:pt idx="139">
                  <c:v>3.1880000000000002</c:v>
                </c:pt>
                <c:pt idx="140">
                  <c:v>3.2040000000000002</c:v>
                </c:pt>
                <c:pt idx="141">
                  <c:v>3.24</c:v>
                </c:pt>
                <c:pt idx="142">
                  <c:v>3.2040000000000002</c:v>
                </c:pt>
                <c:pt idx="143">
                  <c:v>3.2410000000000001</c:v>
                </c:pt>
                <c:pt idx="144">
                  <c:v>3.23</c:v>
                </c:pt>
                <c:pt idx="145">
                  <c:v>3.2170000000000001</c:v>
                </c:pt>
                <c:pt idx="146">
                  <c:v>3.2149999999999999</c:v>
                </c:pt>
                <c:pt idx="147">
                  <c:v>3.1989999999999998</c:v>
                </c:pt>
                <c:pt idx="148">
                  <c:v>3.22</c:v>
                </c:pt>
                <c:pt idx="149">
                  <c:v>3.1880000000000002</c:v>
                </c:pt>
                <c:pt idx="150">
                  <c:v>3.2370000000000001</c:v>
                </c:pt>
                <c:pt idx="151">
                  <c:v>3.23</c:v>
                </c:pt>
                <c:pt idx="152">
                  <c:v>3.266</c:v>
                </c:pt>
                <c:pt idx="153">
                  <c:v>3.2959999999999998</c:v>
                </c:pt>
                <c:pt idx="154">
                  <c:v>3.3319999999999999</c:v>
                </c:pt>
                <c:pt idx="155">
                  <c:v>3.3690000000000002</c:v>
                </c:pt>
                <c:pt idx="156">
                  <c:v>3.3860000000000001</c:v>
                </c:pt>
                <c:pt idx="157">
                  <c:v>3.3290000000000002</c:v>
                </c:pt>
                <c:pt idx="158">
                  <c:v>3.3679999999999999</c:v>
                </c:pt>
                <c:pt idx="159">
                  <c:v>3.4119999999999999</c:v>
                </c:pt>
                <c:pt idx="160">
                  <c:v>3.4660000000000002</c:v>
                </c:pt>
                <c:pt idx="161">
                  <c:v>3.5019999999999998</c:v>
                </c:pt>
                <c:pt idx="162">
                  <c:v>3.488</c:v>
                </c:pt>
                <c:pt idx="163">
                  <c:v>3.4649999999999999</c:v>
                </c:pt>
                <c:pt idx="164">
                  <c:v>3.4209999999999998</c:v>
                </c:pt>
                <c:pt idx="165">
                  <c:v>3.4390000000000001</c:v>
                </c:pt>
                <c:pt idx="166">
                  <c:v>3.4510000000000001</c:v>
                </c:pt>
                <c:pt idx="167">
                  <c:v>3.4209999999999998</c:v>
                </c:pt>
                <c:pt idx="168">
                  <c:v>3.4359999999999999</c:v>
                </c:pt>
                <c:pt idx="169">
                  <c:v>3.4409999999999998</c:v>
                </c:pt>
                <c:pt idx="170">
                  <c:v>3.444</c:v>
                </c:pt>
                <c:pt idx="171">
                  <c:v>3.4129999999999998</c:v>
                </c:pt>
                <c:pt idx="172">
                  <c:v>3.4079999999999999</c:v>
                </c:pt>
                <c:pt idx="173">
                  <c:v>3.4889999999999999</c:v>
                </c:pt>
                <c:pt idx="174">
                  <c:v>3.4929999999999999</c:v>
                </c:pt>
                <c:pt idx="175">
                  <c:v>3.4780000000000002</c:v>
                </c:pt>
                <c:pt idx="176">
                  <c:v>3.49</c:v>
                </c:pt>
                <c:pt idx="177">
                  <c:v>3.4729999999999999</c:v>
                </c:pt>
                <c:pt idx="178">
                  <c:v>3.4820000000000002</c:v>
                </c:pt>
                <c:pt idx="179">
                  <c:v>3.5489999999999999</c:v>
                </c:pt>
                <c:pt idx="180">
                  <c:v>3.5630000000000002</c:v>
                </c:pt>
                <c:pt idx="181">
                  <c:v>3.5859999999999999</c:v>
                </c:pt>
                <c:pt idx="182">
                  <c:v>3.62</c:v>
                </c:pt>
                <c:pt idx="183">
                  <c:v>3.6019999999999999</c:v>
                </c:pt>
                <c:pt idx="184">
                  <c:v>3.625</c:v>
                </c:pt>
                <c:pt idx="185">
                  <c:v>3.5790000000000002</c:v>
                </c:pt>
                <c:pt idx="186">
                  <c:v>3.556</c:v>
                </c:pt>
                <c:pt idx="187">
                  <c:v>3.585</c:v>
                </c:pt>
                <c:pt idx="188">
                  <c:v>3.536</c:v>
                </c:pt>
                <c:pt idx="189">
                  <c:v>3.4910000000000001</c:v>
                </c:pt>
                <c:pt idx="190">
                  <c:v>3.5409999999999999</c:v>
                </c:pt>
                <c:pt idx="191">
                  <c:v>3.532</c:v>
                </c:pt>
                <c:pt idx="192">
                  <c:v>3.4940000000000002</c:v>
                </c:pt>
                <c:pt idx="193">
                  <c:v>3.4540000000000002</c:v>
                </c:pt>
                <c:pt idx="194">
                  <c:v>3.5110000000000001</c:v>
                </c:pt>
                <c:pt idx="195">
                  <c:v>3.4359999999999999</c:v>
                </c:pt>
                <c:pt idx="196">
                  <c:v>3.423</c:v>
                </c:pt>
                <c:pt idx="197">
                  <c:v>3.3679999999999999</c:v>
                </c:pt>
                <c:pt idx="198">
                  <c:v>3.3780000000000001</c:v>
                </c:pt>
                <c:pt idx="199">
                  <c:v>3.3809999999999998</c:v>
                </c:pt>
                <c:pt idx="200">
                  <c:v>3.3679999999999999</c:v>
                </c:pt>
                <c:pt idx="201">
                  <c:v>3.3260000000000001</c:v>
                </c:pt>
                <c:pt idx="202">
                  <c:v>3.3540000000000001</c:v>
                </c:pt>
                <c:pt idx="203">
                  <c:v>3.3239999999999998</c:v>
                </c:pt>
                <c:pt idx="204">
                  <c:v>3.3220000000000001</c:v>
                </c:pt>
                <c:pt idx="205">
                  <c:v>3.34</c:v>
                </c:pt>
                <c:pt idx="206">
                  <c:v>3.331</c:v>
                </c:pt>
                <c:pt idx="207">
                  <c:v>3.3170000000000002</c:v>
                </c:pt>
                <c:pt idx="208">
                  <c:v>3.3490000000000002</c:v>
                </c:pt>
                <c:pt idx="209">
                  <c:v>3.399</c:v>
                </c:pt>
                <c:pt idx="210">
                  <c:v>3.419</c:v>
                </c:pt>
                <c:pt idx="211">
                  <c:v>3.3820000000000001</c:v>
                </c:pt>
                <c:pt idx="212">
                  <c:v>3.3439999999999999</c:v>
                </c:pt>
                <c:pt idx="213">
                  <c:v>3.302</c:v>
                </c:pt>
                <c:pt idx="214">
                  <c:v>3.2719999999999998</c:v>
                </c:pt>
                <c:pt idx="215">
                  <c:v>3.2839999999999998</c:v>
                </c:pt>
                <c:pt idx="216">
                  <c:v>3.2839999999999998</c:v>
                </c:pt>
                <c:pt idx="217">
                  <c:v>3.306</c:v>
                </c:pt>
                <c:pt idx="218">
                  <c:v>3.3639999999999999</c:v>
                </c:pt>
                <c:pt idx="219">
                  <c:v>3.3620000000000001</c:v>
                </c:pt>
                <c:pt idx="220">
                  <c:v>3.387</c:v>
                </c:pt>
                <c:pt idx="221">
                  <c:v>3.403</c:v>
                </c:pt>
                <c:pt idx="222">
                  <c:v>3.4319999999999999</c:v>
                </c:pt>
                <c:pt idx="223">
                  <c:v>3.4</c:v>
                </c:pt>
                <c:pt idx="224">
                  <c:v>3.4</c:v>
                </c:pt>
                <c:pt idx="225">
                  <c:v>3.379</c:v>
                </c:pt>
                <c:pt idx="226">
                  <c:v>3.43</c:v>
                </c:pt>
                <c:pt idx="227">
                  <c:v>3.391</c:v>
                </c:pt>
                <c:pt idx="228">
                  <c:v>3.4430000000000001</c:v>
                </c:pt>
                <c:pt idx="229">
                  <c:v>3.452</c:v>
                </c:pt>
                <c:pt idx="230">
                  <c:v>3.4369999999999998</c:v>
                </c:pt>
                <c:pt idx="231">
                  <c:v>3.4470000000000001</c:v>
                </c:pt>
                <c:pt idx="232">
                  <c:v>3.4409999999999998</c:v>
                </c:pt>
                <c:pt idx="233">
                  <c:v>3.4569999999999999</c:v>
                </c:pt>
                <c:pt idx="234">
                  <c:v>3.391</c:v>
                </c:pt>
                <c:pt idx="235">
                  <c:v>3.3370000000000002</c:v>
                </c:pt>
                <c:pt idx="236">
                  <c:v>3.3180000000000001</c:v>
                </c:pt>
                <c:pt idx="237">
                  <c:v>3.3220000000000001</c:v>
                </c:pt>
                <c:pt idx="238">
                  <c:v>3.339</c:v>
                </c:pt>
                <c:pt idx="239">
                  <c:v>3.26</c:v>
                </c:pt>
                <c:pt idx="240">
                  <c:v>3.2930000000000001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274-407E-A8D2-092DD1FBED3C}"/>
            </c:ext>
          </c:extLst>
        </c:ser>
        <c:ser>
          <c:idx val="2"/>
          <c:order val="2"/>
          <c:tx>
            <c:strRef>
              <c:f>'daily monitor'!$T$99</c:f>
              <c:strCache>
                <c:ptCount val="1"/>
                <c:pt idx="0">
                  <c:v>국고10Y</c:v>
                </c:pt>
              </c:strCache>
            </c:strRef>
          </c:tx>
          <c:spPr>
            <a:ln w="19050"/>
            <a:effectLst/>
          </c:spPr>
          <c:marker>
            <c:symbol val="none"/>
          </c:marker>
          <c:cat>
            <c:numRef>
              <c:f>'daily monitor'!$Q$101:$Q$350</c:f>
              <c:numCache>
                <c:formatCode>yyyy/mm/dd</c:formatCode>
                <c:ptCount val="250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45657</c:v>
                </c:pt>
                <c:pt idx="19">
                  <c:v>45656</c:v>
                </c:pt>
                <c:pt idx="20">
                  <c:v>45653</c:v>
                </c:pt>
                <c:pt idx="21">
                  <c:v>45652</c:v>
                </c:pt>
                <c:pt idx="22">
                  <c:v>45650</c:v>
                </c:pt>
                <c:pt idx="23">
                  <c:v>45649</c:v>
                </c:pt>
                <c:pt idx="24">
                  <c:v>45646</c:v>
                </c:pt>
                <c:pt idx="25">
                  <c:v>45645</c:v>
                </c:pt>
                <c:pt idx="26">
                  <c:v>45644</c:v>
                </c:pt>
                <c:pt idx="27">
                  <c:v>45643</c:v>
                </c:pt>
                <c:pt idx="28">
                  <c:v>45642</c:v>
                </c:pt>
                <c:pt idx="29">
                  <c:v>45639</c:v>
                </c:pt>
                <c:pt idx="30">
                  <c:v>45638</c:v>
                </c:pt>
                <c:pt idx="31">
                  <c:v>45637</c:v>
                </c:pt>
                <c:pt idx="32">
                  <c:v>45636</c:v>
                </c:pt>
                <c:pt idx="33">
                  <c:v>45635</c:v>
                </c:pt>
                <c:pt idx="34">
                  <c:v>45632</c:v>
                </c:pt>
                <c:pt idx="35">
                  <c:v>45631</c:v>
                </c:pt>
                <c:pt idx="36">
                  <c:v>45630</c:v>
                </c:pt>
                <c:pt idx="37">
                  <c:v>45629</c:v>
                </c:pt>
                <c:pt idx="38">
                  <c:v>45628</c:v>
                </c:pt>
                <c:pt idx="39">
                  <c:v>45625</c:v>
                </c:pt>
                <c:pt idx="40">
                  <c:v>45624</c:v>
                </c:pt>
                <c:pt idx="41">
                  <c:v>45623</c:v>
                </c:pt>
                <c:pt idx="42">
                  <c:v>45622</c:v>
                </c:pt>
                <c:pt idx="43">
                  <c:v>45621</c:v>
                </c:pt>
                <c:pt idx="44">
                  <c:v>45618</c:v>
                </c:pt>
                <c:pt idx="45">
                  <c:v>45617</c:v>
                </c:pt>
                <c:pt idx="46">
                  <c:v>45616</c:v>
                </c:pt>
                <c:pt idx="47">
                  <c:v>45615</c:v>
                </c:pt>
                <c:pt idx="48">
                  <c:v>45614</c:v>
                </c:pt>
                <c:pt idx="49">
                  <c:v>45611</c:v>
                </c:pt>
                <c:pt idx="50">
                  <c:v>45610</c:v>
                </c:pt>
                <c:pt idx="51">
                  <c:v>45609</c:v>
                </c:pt>
                <c:pt idx="52">
                  <c:v>45608</c:v>
                </c:pt>
                <c:pt idx="53">
                  <c:v>45607</c:v>
                </c:pt>
                <c:pt idx="54">
                  <c:v>45604</c:v>
                </c:pt>
                <c:pt idx="55">
                  <c:v>45603</c:v>
                </c:pt>
                <c:pt idx="56">
                  <c:v>45602</c:v>
                </c:pt>
                <c:pt idx="57">
                  <c:v>45601</c:v>
                </c:pt>
                <c:pt idx="58">
                  <c:v>45600</c:v>
                </c:pt>
                <c:pt idx="59">
                  <c:v>45597</c:v>
                </c:pt>
                <c:pt idx="60">
                  <c:v>45596</c:v>
                </c:pt>
                <c:pt idx="61">
                  <c:v>45595</c:v>
                </c:pt>
                <c:pt idx="62">
                  <c:v>45594</c:v>
                </c:pt>
                <c:pt idx="63">
                  <c:v>45593</c:v>
                </c:pt>
                <c:pt idx="64">
                  <c:v>45590</c:v>
                </c:pt>
                <c:pt idx="65">
                  <c:v>45589</c:v>
                </c:pt>
                <c:pt idx="66">
                  <c:v>45588</c:v>
                </c:pt>
                <c:pt idx="67">
                  <c:v>45587</c:v>
                </c:pt>
                <c:pt idx="68">
                  <c:v>45586</c:v>
                </c:pt>
                <c:pt idx="69">
                  <c:v>45583</c:v>
                </c:pt>
                <c:pt idx="70">
                  <c:v>45582</c:v>
                </c:pt>
                <c:pt idx="71">
                  <c:v>45581</c:v>
                </c:pt>
                <c:pt idx="72">
                  <c:v>45580</c:v>
                </c:pt>
                <c:pt idx="73">
                  <c:v>45579</c:v>
                </c:pt>
                <c:pt idx="74">
                  <c:v>45576</c:v>
                </c:pt>
                <c:pt idx="75">
                  <c:v>45575</c:v>
                </c:pt>
                <c:pt idx="76">
                  <c:v>45573</c:v>
                </c:pt>
                <c:pt idx="77">
                  <c:v>45572</c:v>
                </c:pt>
                <c:pt idx="78">
                  <c:v>45569</c:v>
                </c:pt>
                <c:pt idx="79">
                  <c:v>45567</c:v>
                </c:pt>
                <c:pt idx="80">
                  <c:v>45565</c:v>
                </c:pt>
                <c:pt idx="81">
                  <c:v>45562</c:v>
                </c:pt>
                <c:pt idx="82">
                  <c:v>45561</c:v>
                </c:pt>
                <c:pt idx="83">
                  <c:v>45560</c:v>
                </c:pt>
                <c:pt idx="84">
                  <c:v>45559</c:v>
                </c:pt>
                <c:pt idx="85">
                  <c:v>45558</c:v>
                </c:pt>
                <c:pt idx="86">
                  <c:v>45555</c:v>
                </c:pt>
                <c:pt idx="87">
                  <c:v>45554</c:v>
                </c:pt>
                <c:pt idx="88">
                  <c:v>45548</c:v>
                </c:pt>
                <c:pt idx="89">
                  <c:v>45547</c:v>
                </c:pt>
                <c:pt idx="90">
                  <c:v>45546</c:v>
                </c:pt>
                <c:pt idx="91">
                  <c:v>45545</c:v>
                </c:pt>
                <c:pt idx="92">
                  <c:v>45544</c:v>
                </c:pt>
                <c:pt idx="93">
                  <c:v>45541</c:v>
                </c:pt>
                <c:pt idx="94">
                  <c:v>45540</c:v>
                </c:pt>
                <c:pt idx="95">
                  <c:v>45539</c:v>
                </c:pt>
                <c:pt idx="96">
                  <c:v>45538</c:v>
                </c:pt>
                <c:pt idx="97">
                  <c:v>45537</c:v>
                </c:pt>
                <c:pt idx="98">
                  <c:v>45534</c:v>
                </c:pt>
                <c:pt idx="99">
                  <c:v>45533</c:v>
                </c:pt>
                <c:pt idx="100">
                  <c:v>45532</c:v>
                </c:pt>
                <c:pt idx="101">
                  <c:v>45531</c:v>
                </c:pt>
                <c:pt idx="102">
                  <c:v>45530</c:v>
                </c:pt>
                <c:pt idx="103">
                  <c:v>45527</c:v>
                </c:pt>
                <c:pt idx="104">
                  <c:v>45526</c:v>
                </c:pt>
                <c:pt idx="105">
                  <c:v>45525</c:v>
                </c:pt>
                <c:pt idx="106">
                  <c:v>45524</c:v>
                </c:pt>
                <c:pt idx="107">
                  <c:v>45523</c:v>
                </c:pt>
                <c:pt idx="108">
                  <c:v>45520</c:v>
                </c:pt>
                <c:pt idx="109">
                  <c:v>45518</c:v>
                </c:pt>
                <c:pt idx="110">
                  <c:v>45517</c:v>
                </c:pt>
                <c:pt idx="111">
                  <c:v>45516</c:v>
                </c:pt>
                <c:pt idx="112">
                  <c:v>45513</c:v>
                </c:pt>
                <c:pt idx="113">
                  <c:v>45512</c:v>
                </c:pt>
                <c:pt idx="114">
                  <c:v>45511</c:v>
                </c:pt>
                <c:pt idx="115">
                  <c:v>45510</c:v>
                </c:pt>
                <c:pt idx="116">
                  <c:v>45509</c:v>
                </c:pt>
                <c:pt idx="117">
                  <c:v>45506</c:v>
                </c:pt>
                <c:pt idx="118">
                  <c:v>45505</c:v>
                </c:pt>
                <c:pt idx="119">
                  <c:v>45504</c:v>
                </c:pt>
                <c:pt idx="120">
                  <c:v>45503</c:v>
                </c:pt>
                <c:pt idx="121">
                  <c:v>45502</c:v>
                </c:pt>
                <c:pt idx="122">
                  <c:v>45499</c:v>
                </c:pt>
                <c:pt idx="123">
                  <c:v>45498</c:v>
                </c:pt>
                <c:pt idx="124">
                  <c:v>45497</c:v>
                </c:pt>
                <c:pt idx="125">
                  <c:v>45496</c:v>
                </c:pt>
                <c:pt idx="126">
                  <c:v>45495</c:v>
                </c:pt>
                <c:pt idx="127">
                  <c:v>45492</c:v>
                </c:pt>
                <c:pt idx="128">
                  <c:v>45491</c:v>
                </c:pt>
                <c:pt idx="129">
                  <c:v>45490</c:v>
                </c:pt>
                <c:pt idx="130">
                  <c:v>45489</c:v>
                </c:pt>
                <c:pt idx="131">
                  <c:v>45488</c:v>
                </c:pt>
                <c:pt idx="132">
                  <c:v>45485</c:v>
                </c:pt>
                <c:pt idx="133">
                  <c:v>45484</c:v>
                </c:pt>
                <c:pt idx="134">
                  <c:v>45483</c:v>
                </c:pt>
                <c:pt idx="135">
                  <c:v>45482</c:v>
                </c:pt>
                <c:pt idx="136">
                  <c:v>45481</c:v>
                </c:pt>
                <c:pt idx="137">
                  <c:v>45478</c:v>
                </c:pt>
                <c:pt idx="138">
                  <c:v>45477</c:v>
                </c:pt>
                <c:pt idx="139">
                  <c:v>45476</c:v>
                </c:pt>
                <c:pt idx="140">
                  <c:v>45475</c:v>
                </c:pt>
                <c:pt idx="141">
                  <c:v>45474</c:v>
                </c:pt>
                <c:pt idx="142">
                  <c:v>45471</c:v>
                </c:pt>
                <c:pt idx="143">
                  <c:v>45470</c:v>
                </c:pt>
                <c:pt idx="144">
                  <c:v>45469</c:v>
                </c:pt>
                <c:pt idx="145">
                  <c:v>45468</c:v>
                </c:pt>
                <c:pt idx="146">
                  <c:v>45467</c:v>
                </c:pt>
                <c:pt idx="147">
                  <c:v>45464</c:v>
                </c:pt>
                <c:pt idx="148">
                  <c:v>45463</c:v>
                </c:pt>
                <c:pt idx="149">
                  <c:v>45462</c:v>
                </c:pt>
                <c:pt idx="150">
                  <c:v>45461</c:v>
                </c:pt>
                <c:pt idx="151">
                  <c:v>45460</c:v>
                </c:pt>
                <c:pt idx="152">
                  <c:v>45457</c:v>
                </c:pt>
                <c:pt idx="153">
                  <c:v>45456</c:v>
                </c:pt>
                <c:pt idx="154">
                  <c:v>45455</c:v>
                </c:pt>
                <c:pt idx="155">
                  <c:v>45454</c:v>
                </c:pt>
                <c:pt idx="156">
                  <c:v>45453</c:v>
                </c:pt>
                <c:pt idx="157">
                  <c:v>45450</c:v>
                </c:pt>
                <c:pt idx="158">
                  <c:v>45448</c:v>
                </c:pt>
                <c:pt idx="159">
                  <c:v>45447</c:v>
                </c:pt>
                <c:pt idx="160">
                  <c:v>45446</c:v>
                </c:pt>
                <c:pt idx="161">
                  <c:v>45443</c:v>
                </c:pt>
                <c:pt idx="162">
                  <c:v>45442</c:v>
                </c:pt>
                <c:pt idx="163">
                  <c:v>45441</c:v>
                </c:pt>
                <c:pt idx="164">
                  <c:v>45440</c:v>
                </c:pt>
                <c:pt idx="165">
                  <c:v>45439</c:v>
                </c:pt>
                <c:pt idx="166">
                  <c:v>45436</c:v>
                </c:pt>
                <c:pt idx="167">
                  <c:v>45435</c:v>
                </c:pt>
                <c:pt idx="168">
                  <c:v>45434</c:v>
                </c:pt>
                <c:pt idx="169">
                  <c:v>45433</c:v>
                </c:pt>
                <c:pt idx="170">
                  <c:v>45432</c:v>
                </c:pt>
                <c:pt idx="171">
                  <c:v>45429</c:v>
                </c:pt>
                <c:pt idx="172">
                  <c:v>45428</c:v>
                </c:pt>
                <c:pt idx="173">
                  <c:v>45426</c:v>
                </c:pt>
                <c:pt idx="174">
                  <c:v>45425</c:v>
                </c:pt>
                <c:pt idx="175">
                  <c:v>45422</c:v>
                </c:pt>
                <c:pt idx="176">
                  <c:v>45421</c:v>
                </c:pt>
                <c:pt idx="177">
                  <c:v>45420</c:v>
                </c:pt>
                <c:pt idx="178">
                  <c:v>45419</c:v>
                </c:pt>
                <c:pt idx="179">
                  <c:v>45415</c:v>
                </c:pt>
                <c:pt idx="180">
                  <c:v>45414</c:v>
                </c:pt>
                <c:pt idx="181">
                  <c:v>45412</c:v>
                </c:pt>
                <c:pt idx="182">
                  <c:v>45411</c:v>
                </c:pt>
                <c:pt idx="183">
                  <c:v>45408</c:v>
                </c:pt>
                <c:pt idx="184">
                  <c:v>45407</c:v>
                </c:pt>
                <c:pt idx="185">
                  <c:v>45406</c:v>
                </c:pt>
                <c:pt idx="186">
                  <c:v>45405</c:v>
                </c:pt>
                <c:pt idx="187">
                  <c:v>45404</c:v>
                </c:pt>
                <c:pt idx="188">
                  <c:v>45401</c:v>
                </c:pt>
                <c:pt idx="189">
                  <c:v>45400</c:v>
                </c:pt>
                <c:pt idx="190">
                  <c:v>45399</c:v>
                </c:pt>
                <c:pt idx="191">
                  <c:v>45398</c:v>
                </c:pt>
                <c:pt idx="192">
                  <c:v>45397</c:v>
                </c:pt>
                <c:pt idx="193">
                  <c:v>45394</c:v>
                </c:pt>
                <c:pt idx="194">
                  <c:v>45393</c:v>
                </c:pt>
                <c:pt idx="195">
                  <c:v>45391</c:v>
                </c:pt>
                <c:pt idx="196">
                  <c:v>45390</c:v>
                </c:pt>
                <c:pt idx="197">
                  <c:v>45387</c:v>
                </c:pt>
                <c:pt idx="198">
                  <c:v>45386</c:v>
                </c:pt>
                <c:pt idx="199">
                  <c:v>45385</c:v>
                </c:pt>
                <c:pt idx="200">
                  <c:v>45384</c:v>
                </c:pt>
                <c:pt idx="201">
                  <c:v>45383</c:v>
                </c:pt>
                <c:pt idx="202">
                  <c:v>45380</c:v>
                </c:pt>
                <c:pt idx="203">
                  <c:v>45379</c:v>
                </c:pt>
                <c:pt idx="204">
                  <c:v>45378</c:v>
                </c:pt>
                <c:pt idx="205">
                  <c:v>45377</c:v>
                </c:pt>
                <c:pt idx="206">
                  <c:v>45376</c:v>
                </c:pt>
                <c:pt idx="207">
                  <c:v>45373</c:v>
                </c:pt>
                <c:pt idx="208">
                  <c:v>45372</c:v>
                </c:pt>
                <c:pt idx="209">
                  <c:v>45371</c:v>
                </c:pt>
                <c:pt idx="210">
                  <c:v>45370</c:v>
                </c:pt>
                <c:pt idx="211">
                  <c:v>45369</c:v>
                </c:pt>
                <c:pt idx="212">
                  <c:v>45366</c:v>
                </c:pt>
                <c:pt idx="213">
                  <c:v>45365</c:v>
                </c:pt>
                <c:pt idx="214">
                  <c:v>45364</c:v>
                </c:pt>
                <c:pt idx="215">
                  <c:v>45363</c:v>
                </c:pt>
                <c:pt idx="216">
                  <c:v>45362</c:v>
                </c:pt>
                <c:pt idx="217">
                  <c:v>45359</c:v>
                </c:pt>
                <c:pt idx="218">
                  <c:v>45358</c:v>
                </c:pt>
                <c:pt idx="219">
                  <c:v>45357</c:v>
                </c:pt>
                <c:pt idx="220">
                  <c:v>45356</c:v>
                </c:pt>
                <c:pt idx="221">
                  <c:v>45355</c:v>
                </c:pt>
                <c:pt idx="222">
                  <c:v>45351</c:v>
                </c:pt>
                <c:pt idx="223">
                  <c:v>45350</c:v>
                </c:pt>
                <c:pt idx="224">
                  <c:v>45349</c:v>
                </c:pt>
                <c:pt idx="225">
                  <c:v>45348</c:v>
                </c:pt>
                <c:pt idx="226">
                  <c:v>45345</c:v>
                </c:pt>
                <c:pt idx="227">
                  <c:v>45344</c:v>
                </c:pt>
                <c:pt idx="228">
                  <c:v>45343</c:v>
                </c:pt>
                <c:pt idx="229">
                  <c:v>45342</c:v>
                </c:pt>
                <c:pt idx="230">
                  <c:v>45341</c:v>
                </c:pt>
                <c:pt idx="231">
                  <c:v>45338</c:v>
                </c:pt>
                <c:pt idx="232">
                  <c:v>45337</c:v>
                </c:pt>
                <c:pt idx="233">
                  <c:v>45336</c:v>
                </c:pt>
                <c:pt idx="234">
                  <c:v>45335</c:v>
                </c:pt>
                <c:pt idx="235">
                  <c:v>45330</c:v>
                </c:pt>
                <c:pt idx="236">
                  <c:v>45329</c:v>
                </c:pt>
                <c:pt idx="237">
                  <c:v>45328</c:v>
                </c:pt>
                <c:pt idx="238">
                  <c:v>45327</c:v>
                </c:pt>
                <c:pt idx="239">
                  <c:v>45324</c:v>
                </c:pt>
                <c:pt idx="240">
                  <c:v>45323</c:v>
                </c:pt>
              </c:numCache>
            </c:numRef>
          </c:cat>
          <c:val>
            <c:numRef>
              <c:f>'daily monitor'!$T$101:$T$350</c:f>
              <c:numCache>
                <c:formatCode>General</c:formatCode>
                <c:ptCount val="250"/>
                <c:pt idx="0">
                  <c:v>2.859</c:v>
                </c:pt>
                <c:pt idx="1">
                  <c:v>2.859</c:v>
                </c:pt>
                <c:pt idx="2">
                  <c:v>2.8370000000000002</c:v>
                </c:pt>
                <c:pt idx="3">
                  <c:v>2.827</c:v>
                </c:pt>
                <c:pt idx="4">
                  <c:v>2.8180000000000001</c:v>
                </c:pt>
                <c:pt idx="5">
                  <c:v>2.8679999999999999</c:v>
                </c:pt>
                <c:pt idx="6">
                  <c:v>2.8130000000000002</c:v>
                </c:pt>
                <c:pt idx="7">
                  <c:v>2.802</c:v>
                </c:pt>
                <c:pt idx="8">
                  <c:v>2.86</c:v>
                </c:pt>
                <c:pt idx="9">
                  <c:v>2.8410000000000002</c:v>
                </c:pt>
                <c:pt idx="10">
                  <c:v>2.871</c:v>
                </c:pt>
                <c:pt idx="11">
                  <c:v>2.8370000000000002</c:v>
                </c:pt>
                <c:pt idx="12">
                  <c:v>2.778</c:v>
                </c:pt>
                <c:pt idx="13">
                  <c:v>2.7959999999999998</c:v>
                </c:pt>
                <c:pt idx="14">
                  <c:v>2.794</c:v>
                </c:pt>
                <c:pt idx="15">
                  <c:v>2.8170000000000002</c:v>
                </c:pt>
                <c:pt idx="16">
                  <c:v>2.754</c:v>
                </c:pt>
                <c:pt idx="17">
                  <c:v>2.7490000000000001</c:v>
                </c:pt>
                <c:pt idx="18">
                  <c:v>2.855</c:v>
                </c:pt>
                <c:pt idx="19">
                  <c:v>2.855</c:v>
                </c:pt>
                <c:pt idx="20">
                  <c:v>2.8759999999999999</c:v>
                </c:pt>
                <c:pt idx="21">
                  <c:v>2.9039999999999999</c:v>
                </c:pt>
                <c:pt idx="22">
                  <c:v>2.8759999999999999</c:v>
                </c:pt>
                <c:pt idx="23">
                  <c:v>2.8439999999999999</c:v>
                </c:pt>
                <c:pt idx="24">
                  <c:v>2.8730000000000002</c:v>
                </c:pt>
                <c:pt idx="25">
                  <c:v>2.8140000000000001</c:v>
                </c:pt>
                <c:pt idx="26">
                  <c:v>2.738</c:v>
                </c:pt>
                <c:pt idx="27">
                  <c:v>2.79</c:v>
                </c:pt>
                <c:pt idx="28">
                  <c:v>2.7210000000000001</c:v>
                </c:pt>
                <c:pt idx="29">
                  <c:v>2.6760000000000002</c:v>
                </c:pt>
                <c:pt idx="30">
                  <c:v>2.7</c:v>
                </c:pt>
                <c:pt idx="31">
                  <c:v>2.6920000000000002</c:v>
                </c:pt>
                <c:pt idx="32">
                  <c:v>2.645</c:v>
                </c:pt>
                <c:pt idx="33">
                  <c:v>2.677</c:v>
                </c:pt>
                <c:pt idx="34">
                  <c:v>2.7440000000000002</c:v>
                </c:pt>
                <c:pt idx="35">
                  <c:v>2.738</c:v>
                </c:pt>
                <c:pt idx="36">
                  <c:v>2.7650000000000001</c:v>
                </c:pt>
                <c:pt idx="37">
                  <c:v>2.7130000000000001</c:v>
                </c:pt>
                <c:pt idx="38">
                  <c:v>2.6970000000000001</c:v>
                </c:pt>
                <c:pt idx="39">
                  <c:v>2.7509999999999999</c:v>
                </c:pt>
                <c:pt idx="40">
                  <c:v>2.7879999999999998</c:v>
                </c:pt>
                <c:pt idx="41">
                  <c:v>2.88</c:v>
                </c:pt>
                <c:pt idx="42">
                  <c:v>2.903</c:v>
                </c:pt>
                <c:pt idx="43">
                  <c:v>2.92</c:v>
                </c:pt>
                <c:pt idx="44">
                  <c:v>2.976</c:v>
                </c:pt>
                <c:pt idx="45">
                  <c:v>2.9780000000000002</c:v>
                </c:pt>
                <c:pt idx="46">
                  <c:v>3.0169999999999999</c:v>
                </c:pt>
                <c:pt idx="47">
                  <c:v>3.036</c:v>
                </c:pt>
                <c:pt idx="48">
                  <c:v>3.0630000000000002</c:v>
                </c:pt>
                <c:pt idx="49">
                  <c:v>3.0840000000000001</c:v>
                </c:pt>
                <c:pt idx="50">
                  <c:v>3.0739999999999998</c:v>
                </c:pt>
                <c:pt idx="51">
                  <c:v>3.0670000000000002</c:v>
                </c:pt>
                <c:pt idx="52">
                  <c:v>3.0139999999999998</c:v>
                </c:pt>
                <c:pt idx="53">
                  <c:v>3.0379999999999998</c:v>
                </c:pt>
                <c:pt idx="54">
                  <c:v>3.0489999999999999</c:v>
                </c:pt>
                <c:pt idx="55">
                  <c:v>3.0979999999999999</c:v>
                </c:pt>
                <c:pt idx="56">
                  <c:v>3.1339999999999999</c:v>
                </c:pt>
                <c:pt idx="57">
                  <c:v>3.073</c:v>
                </c:pt>
                <c:pt idx="58">
                  <c:v>3.0960000000000001</c:v>
                </c:pt>
                <c:pt idx="59">
                  <c:v>3.09</c:v>
                </c:pt>
                <c:pt idx="60">
                  <c:v>3.1</c:v>
                </c:pt>
                <c:pt idx="61">
                  <c:v>3.105</c:v>
                </c:pt>
                <c:pt idx="62">
                  <c:v>3.1179999999999999</c:v>
                </c:pt>
                <c:pt idx="63">
                  <c:v>3.117</c:v>
                </c:pt>
                <c:pt idx="64">
                  <c:v>3.0539999999999998</c:v>
                </c:pt>
                <c:pt idx="65">
                  <c:v>3.0739999999999998</c:v>
                </c:pt>
                <c:pt idx="66">
                  <c:v>3.1280000000000001</c:v>
                </c:pt>
                <c:pt idx="67">
                  <c:v>3.13</c:v>
                </c:pt>
                <c:pt idx="68">
                  <c:v>3.0539999999999998</c:v>
                </c:pt>
                <c:pt idx="69">
                  <c:v>3.0720000000000001</c:v>
                </c:pt>
                <c:pt idx="70">
                  <c:v>3.028</c:v>
                </c:pt>
                <c:pt idx="71">
                  <c:v>3.008</c:v>
                </c:pt>
                <c:pt idx="72">
                  <c:v>3.05</c:v>
                </c:pt>
                <c:pt idx="73">
                  <c:v>3.0870000000000002</c:v>
                </c:pt>
                <c:pt idx="74">
                  <c:v>3.085</c:v>
                </c:pt>
                <c:pt idx="75">
                  <c:v>3.0880000000000001</c:v>
                </c:pt>
                <c:pt idx="76">
                  <c:v>3.077</c:v>
                </c:pt>
                <c:pt idx="77">
                  <c:v>3.101</c:v>
                </c:pt>
                <c:pt idx="78">
                  <c:v>2.996</c:v>
                </c:pt>
                <c:pt idx="79">
                  <c:v>2.9319999999999999</c:v>
                </c:pt>
                <c:pt idx="80">
                  <c:v>2.992</c:v>
                </c:pt>
                <c:pt idx="81">
                  <c:v>3</c:v>
                </c:pt>
                <c:pt idx="82">
                  <c:v>3.0009999999999999</c:v>
                </c:pt>
                <c:pt idx="83">
                  <c:v>2.9969999999999999</c:v>
                </c:pt>
                <c:pt idx="84">
                  <c:v>3.0259999999999998</c:v>
                </c:pt>
                <c:pt idx="85">
                  <c:v>3.0219999999999998</c:v>
                </c:pt>
                <c:pt idx="86">
                  <c:v>2.9889999999999999</c:v>
                </c:pt>
                <c:pt idx="87">
                  <c:v>2.9790000000000001</c:v>
                </c:pt>
                <c:pt idx="88">
                  <c:v>2.9279999999999999</c:v>
                </c:pt>
                <c:pt idx="89">
                  <c:v>2.97</c:v>
                </c:pt>
                <c:pt idx="90">
                  <c:v>2.9430000000000001</c:v>
                </c:pt>
                <c:pt idx="91">
                  <c:v>3.01</c:v>
                </c:pt>
                <c:pt idx="92">
                  <c:v>3.032</c:v>
                </c:pt>
                <c:pt idx="93">
                  <c:v>2.99</c:v>
                </c:pt>
                <c:pt idx="94">
                  <c:v>3.03</c:v>
                </c:pt>
                <c:pt idx="95">
                  <c:v>3.052</c:v>
                </c:pt>
                <c:pt idx="96">
                  <c:v>3.12</c:v>
                </c:pt>
                <c:pt idx="97">
                  <c:v>3.121</c:v>
                </c:pt>
                <c:pt idx="98">
                  <c:v>3.0880000000000001</c:v>
                </c:pt>
                <c:pt idx="99">
                  <c:v>3.0750000000000002</c:v>
                </c:pt>
                <c:pt idx="100">
                  <c:v>3.0539999999999998</c:v>
                </c:pt>
                <c:pt idx="101">
                  <c:v>3.073</c:v>
                </c:pt>
                <c:pt idx="102">
                  <c:v>2.9740000000000002</c:v>
                </c:pt>
                <c:pt idx="103">
                  <c:v>3.0049999999999999</c:v>
                </c:pt>
                <c:pt idx="104">
                  <c:v>2.98</c:v>
                </c:pt>
                <c:pt idx="105">
                  <c:v>2.9969999999999999</c:v>
                </c:pt>
                <c:pt idx="106">
                  <c:v>2.9990000000000001</c:v>
                </c:pt>
                <c:pt idx="107">
                  <c:v>2.9849999999999999</c:v>
                </c:pt>
                <c:pt idx="108">
                  <c:v>2.9729999999999999</c:v>
                </c:pt>
                <c:pt idx="109">
                  <c:v>2.9449999999999998</c:v>
                </c:pt>
                <c:pt idx="110">
                  <c:v>2.9740000000000002</c:v>
                </c:pt>
                <c:pt idx="111">
                  <c:v>3</c:v>
                </c:pt>
                <c:pt idx="112">
                  <c:v>3.012</c:v>
                </c:pt>
                <c:pt idx="113">
                  <c:v>2.9969999999999999</c:v>
                </c:pt>
                <c:pt idx="114">
                  <c:v>3.0009999999999999</c:v>
                </c:pt>
                <c:pt idx="115">
                  <c:v>2.9929999999999999</c:v>
                </c:pt>
                <c:pt idx="116">
                  <c:v>2.8780000000000001</c:v>
                </c:pt>
                <c:pt idx="117">
                  <c:v>2.976</c:v>
                </c:pt>
                <c:pt idx="118">
                  <c:v>3.01</c:v>
                </c:pt>
                <c:pt idx="119">
                  <c:v>3.0640000000000001</c:v>
                </c:pt>
                <c:pt idx="120">
                  <c:v>3.052</c:v>
                </c:pt>
                <c:pt idx="121">
                  <c:v>3.0459999999999998</c:v>
                </c:pt>
                <c:pt idx="122">
                  <c:v>3.1080000000000001</c:v>
                </c:pt>
                <c:pt idx="123">
                  <c:v>3.1280000000000001</c:v>
                </c:pt>
                <c:pt idx="124">
                  <c:v>3.1309999999999998</c:v>
                </c:pt>
                <c:pt idx="125">
                  <c:v>3.1709999999999998</c:v>
                </c:pt>
                <c:pt idx="126">
                  <c:v>3.145</c:v>
                </c:pt>
                <c:pt idx="127">
                  <c:v>3.1560000000000001</c:v>
                </c:pt>
                <c:pt idx="128">
                  <c:v>3.1379999999999999</c:v>
                </c:pt>
                <c:pt idx="129">
                  <c:v>3.1389999999999998</c:v>
                </c:pt>
                <c:pt idx="130">
                  <c:v>3.137</c:v>
                </c:pt>
                <c:pt idx="131">
                  <c:v>3.177</c:v>
                </c:pt>
                <c:pt idx="132">
                  <c:v>3.177</c:v>
                </c:pt>
                <c:pt idx="133">
                  <c:v>3.234</c:v>
                </c:pt>
                <c:pt idx="134">
                  <c:v>3.198</c:v>
                </c:pt>
                <c:pt idx="135">
                  <c:v>3.1909999999999998</c:v>
                </c:pt>
                <c:pt idx="136">
                  <c:v>3.2120000000000002</c:v>
                </c:pt>
                <c:pt idx="137">
                  <c:v>3.2269999999999999</c:v>
                </c:pt>
                <c:pt idx="138">
                  <c:v>3.234</c:v>
                </c:pt>
                <c:pt idx="139">
                  <c:v>3.274</c:v>
                </c:pt>
                <c:pt idx="140">
                  <c:v>3.2890000000000001</c:v>
                </c:pt>
                <c:pt idx="141">
                  <c:v>3.3119999999999998</c:v>
                </c:pt>
                <c:pt idx="142">
                  <c:v>3.266</c:v>
                </c:pt>
                <c:pt idx="143">
                  <c:v>3.3</c:v>
                </c:pt>
                <c:pt idx="144">
                  <c:v>3.278</c:v>
                </c:pt>
                <c:pt idx="145">
                  <c:v>3.2709999999999999</c:v>
                </c:pt>
                <c:pt idx="146">
                  <c:v>3.2639999999999998</c:v>
                </c:pt>
                <c:pt idx="147">
                  <c:v>3.2549999999999999</c:v>
                </c:pt>
                <c:pt idx="148">
                  <c:v>3.2690000000000001</c:v>
                </c:pt>
                <c:pt idx="149">
                  <c:v>3.2309999999999999</c:v>
                </c:pt>
                <c:pt idx="150">
                  <c:v>3.2789999999999999</c:v>
                </c:pt>
                <c:pt idx="151">
                  <c:v>3.2829999999999999</c:v>
                </c:pt>
                <c:pt idx="152">
                  <c:v>3.302</c:v>
                </c:pt>
                <c:pt idx="153">
                  <c:v>3.3450000000000002</c:v>
                </c:pt>
                <c:pt idx="154">
                  <c:v>3.3820000000000001</c:v>
                </c:pt>
                <c:pt idx="155">
                  <c:v>3.4249999999999998</c:v>
                </c:pt>
                <c:pt idx="156">
                  <c:v>3.4329999999999998</c:v>
                </c:pt>
                <c:pt idx="157">
                  <c:v>3.3849999999999998</c:v>
                </c:pt>
                <c:pt idx="158">
                  <c:v>3.43</c:v>
                </c:pt>
                <c:pt idx="159">
                  <c:v>3.47</c:v>
                </c:pt>
                <c:pt idx="160">
                  <c:v>3.532</c:v>
                </c:pt>
                <c:pt idx="161">
                  <c:v>3.5779999999999998</c:v>
                </c:pt>
                <c:pt idx="162">
                  <c:v>3.5640000000000001</c:v>
                </c:pt>
                <c:pt idx="163">
                  <c:v>3.536</c:v>
                </c:pt>
                <c:pt idx="164">
                  <c:v>3.4809999999999999</c:v>
                </c:pt>
                <c:pt idx="165">
                  <c:v>3.4980000000000002</c:v>
                </c:pt>
                <c:pt idx="166">
                  <c:v>3.5150000000000001</c:v>
                </c:pt>
                <c:pt idx="167">
                  <c:v>3.472</c:v>
                </c:pt>
                <c:pt idx="168">
                  <c:v>3.4780000000000002</c:v>
                </c:pt>
                <c:pt idx="169">
                  <c:v>3.4910000000000001</c:v>
                </c:pt>
                <c:pt idx="170">
                  <c:v>3.4969999999999999</c:v>
                </c:pt>
                <c:pt idx="171">
                  <c:v>3.4540000000000002</c:v>
                </c:pt>
                <c:pt idx="172">
                  <c:v>3.4580000000000002</c:v>
                </c:pt>
                <c:pt idx="173">
                  <c:v>3.5459999999999998</c:v>
                </c:pt>
                <c:pt idx="174">
                  <c:v>3.5539999999999998</c:v>
                </c:pt>
                <c:pt idx="175">
                  <c:v>3.5379999999999998</c:v>
                </c:pt>
                <c:pt idx="176">
                  <c:v>3.556</c:v>
                </c:pt>
                <c:pt idx="177">
                  <c:v>3.53</c:v>
                </c:pt>
                <c:pt idx="178">
                  <c:v>3.536</c:v>
                </c:pt>
                <c:pt idx="179">
                  <c:v>3.6139999999999999</c:v>
                </c:pt>
                <c:pt idx="180">
                  <c:v>3.6379999999999999</c:v>
                </c:pt>
                <c:pt idx="181">
                  <c:v>3.6560000000000001</c:v>
                </c:pt>
                <c:pt idx="182">
                  <c:v>3.7040000000000002</c:v>
                </c:pt>
                <c:pt idx="183">
                  <c:v>3.694</c:v>
                </c:pt>
                <c:pt idx="184">
                  <c:v>3.7069999999999999</c:v>
                </c:pt>
                <c:pt idx="185">
                  <c:v>3.645</c:v>
                </c:pt>
                <c:pt idx="186">
                  <c:v>3.625</c:v>
                </c:pt>
                <c:pt idx="187">
                  <c:v>3.65</c:v>
                </c:pt>
                <c:pt idx="188">
                  <c:v>3.5830000000000002</c:v>
                </c:pt>
                <c:pt idx="189">
                  <c:v>3.5619999999999998</c:v>
                </c:pt>
                <c:pt idx="190">
                  <c:v>3.6320000000000001</c:v>
                </c:pt>
                <c:pt idx="191">
                  <c:v>3.6179999999999999</c:v>
                </c:pt>
                <c:pt idx="192">
                  <c:v>3.5609999999999999</c:v>
                </c:pt>
                <c:pt idx="193">
                  <c:v>3.5379999999999998</c:v>
                </c:pt>
                <c:pt idx="194">
                  <c:v>3.585</c:v>
                </c:pt>
                <c:pt idx="195">
                  <c:v>3.5030000000000001</c:v>
                </c:pt>
                <c:pt idx="196">
                  <c:v>3.488</c:v>
                </c:pt>
                <c:pt idx="197">
                  <c:v>3.4329999999999998</c:v>
                </c:pt>
                <c:pt idx="198">
                  <c:v>3.4569999999999999</c:v>
                </c:pt>
                <c:pt idx="199">
                  <c:v>3.452</c:v>
                </c:pt>
                <c:pt idx="200">
                  <c:v>3.4249999999999998</c:v>
                </c:pt>
                <c:pt idx="201">
                  <c:v>3.3809999999999998</c:v>
                </c:pt>
                <c:pt idx="202">
                  <c:v>3.4129999999999998</c:v>
                </c:pt>
                <c:pt idx="203">
                  <c:v>3.3769999999999998</c:v>
                </c:pt>
                <c:pt idx="204">
                  <c:v>3.3730000000000002</c:v>
                </c:pt>
                <c:pt idx="205">
                  <c:v>3.3969999999999998</c:v>
                </c:pt>
                <c:pt idx="206">
                  <c:v>3.37</c:v>
                </c:pt>
                <c:pt idx="207">
                  <c:v>3.3620000000000001</c:v>
                </c:pt>
                <c:pt idx="208">
                  <c:v>3.411</c:v>
                </c:pt>
                <c:pt idx="209">
                  <c:v>3.4510000000000001</c:v>
                </c:pt>
                <c:pt idx="210">
                  <c:v>3.472</c:v>
                </c:pt>
                <c:pt idx="211">
                  <c:v>3.4350000000000001</c:v>
                </c:pt>
                <c:pt idx="212">
                  <c:v>3.41</c:v>
                </c:pt>
                <c:pt idx="213">
                  <c:v>3.3540000000000001</c:v>
                </c:pt>
                <c:pt idx="214">
                  <c:v>3.331</c:v>
                </c:pt>
                <c:pt idx="215">
                  <c:v>3.335</c:v>
                </c:pt>
                <c:pt idx="216">
                  <c:v>3.3420000000000001</c:v>
                </c:pt>
                <c:pt idx="217">
                  <c:v>3.3340000000000001</c:v>
                </c:pt>
                <c:pt idx="218">
                  <c:v>3.399</c:v>
                </c:pt>
                <c:pt idx="219">
                  <c:v>3.3809999999999998</c:v>
                </c:pt>
                <c:pt idx="220">
                  <c:v>3.4089999999999998</c:v>
                </c:pt>
                <c:pt idx="221">
                  <c:v>3.4340000000000002</c:v>
                </c:pt>
                <c:pt idx="222">
                  <c:v>3.4750000000000001</c:v>
                </c:pt>
                <c:pt idx="223">
                  <c:v>3.4420000000000002</c:v>
                </c:pt>
                <c:pt idx="224">
                  <c:v>3.43</c:v>
                </c:pt>
                <c:pt idx="225">
                  <c:v>3.4020000000000001</c:v>
                </c:pt>
                <c:pt idx="226">
                  <c:v>3.468</c:v>
                </c:pt>
                <c:pt idx="227">
                  <c:v>3.4239999999999999</c:v>
                </c:pt>
                <c:pt idx="228">
                  <c:v>3.4740000000000002</c:v>
                </c:pt>
                <c:pt idx="229">
                  <c:v>3.4889999999999999</c:v>
                </c:pt>
                <c:pt idx="230">
                  <c:v>3.4670000000000001</c:v>
                </c:pt>
                <c:pt idx="231">
                  <c:v>3.4820000000000002</c:v>
                </c:pt>
                <c:pt idx="232">
                  <c:v>3.4769999999999999</c:v>
                </c:pt>
                <c:pt idx="233">
                  <c:v>3.5019999999999998</c:v>
                </c:pt>
                <c:pt idx="234">
                  <c:v>3.4529999999999998</c:v>
                </c:pt>
                <c:pt idx="235">
                  <c:v>3.4</c:v>
                </c:pt>
                <c:pt idx="236">
                  <c:v>3.3780000000000001</c:v>
                </c:pt>
                <c:pt idx="237">
                  <c:v>3.3820000000000001</c:v>
                </c:pt>
                <c:pt idx="238">
                  <c:v>3.3740000000000001</c:v>
                </c:pt>
                <c:pt idx="239">
                  <c:v>3.2869999999999999</c:v>
                </c:pt>
                <c:pt idx="240">
                  <c:v>3.339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74-407E-A8D2-092DD1FBED3C}"/>
            </c:ext>
          </c:extLst>
        </c:ser>
        <c:ser>
          <c:idx val="3"/>
          <c:order val="3"/>
          <c:tx>
            <c:strRef>
              <c:f>'daily monitor'!$U$99</c:f>
              <c:strCache>
                <c:ptCount val="1"/>
                <c:pt idx="0">
                  <c:v>회사채AA-</c:v>
                </c:pt>
              </c:strCache>
            </c:strRef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'daily monitor'!$Q$101:$Q$350</c:f>
              <c:numCache>
                <c:formatCode>yyyy/mm/dd</c:formatCode>
                <c:ptCount val="250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45657</c:v>
                </c:pt>
                <c:pt idx="19">
                  <c:v>45656</c:v>
                </c:pt>
                <c:pt idx="20">
                  <c:v>45653</c:v>
                </c:pt>
                <c:pt idx="21">
                  <c:v>45652</c:v>
                </c:pt>
                <c:pt idx="22">
                  <c:v>45650</c:v>
                </c:pt>
                <c:pt idx="23">
                  <c:v>45649</c:v>
                </c:pt>
                <c:pt idx="24">
                  <c:v>45646</c:v>
                </c:pt>
                <c:pt idx="25">
                  <c:v>45645</c:v>
                </c:pt>
                <c:pt idx="26">
                  <c:v>45644</c:v>
                </c:pt>
                <c:pt idx="27">
                  <c:v>45643</c:v>
                </c:pt>
                <c:pt idx="28">
                  <c:v>45642</c:v>
                </c:pt>
                <c:pt idx="29">
                  <c:v>45639</c:v>
                </c:pt>
                <c:pt idx="30">
                  <c:v>45638</c:v>
                </c:pt>
                <c:pt idx="31">
                  <c:v>45637</c:v>
                </c:pt>
                <c:pt idx="32">
                  <c:v>45636</c:v>
                </c:pt>
                <c:pt idx="33">
                  <c:v>45635</c:v>
                </c:pt>
                <c:pt idx="34">
                  <c:v>45632</c:v>
                </c:pt>
                <c:pt idx="35">
                  <c:v>45631</c:v>
                </c:pt>
                <c:pt idx="36">
                  <c:v>45630</c:v>
                </c:pt>
                <c:pt idx="37">
                  <c:v>45629</c:v>
                </c:pt>
                <c:pt idx="38">
                  <c:v>45628</c:v>
                </c:pt>
                <c:pt idx="39">
                  <c:v>45625</c:v>
                </c:pt>
                <c:pt idx="40">
                  <c:v>45624</c:v>
                </c:pt>
                <c:pt idx="41">
                  <c:v>45623</c:v>
                </c:pt>
                <c:pt idx="42">
                  <c:v>45622</c:v>
                </c:pt>
                <c:pt idx="43">
                  <c:v>45621</c:v>
                </c:pt>
                <c:pt idx="44">
                  <c:v>45618</c:v>
                </c:pt>
                <c:pt idx="45">
                  <c:v>45617</c:v>
                </c:pt>
                <c:pt idx="46">
                  <c:v>45616</c:v>
                </c:pt>
                <c:pt idx="47">
                  <c:v>45615</c:v>
                </c:pt>
                <c:pt idx="48">
                  <c:v>45614</c:v>
                </c:pt>
                <c:pt idx="49">
                  <c:v>45611</c:v>
                </c:pt>
                <c:pt idx="50">
                  <c:v>45610</c:v>
                </c:pt>
                <c:pt idx="51">
                  <c:v>45609</c:v>
                </c:pt>
                <c:pt idx="52">
                  <c:v>45608</c:v>
                </c:pt>
                <c:pt idx="53">
                  <c:v>45607</c:v>
                </c:pt>
                <c:pt idx="54">
                  <c:v>45604</c:v>
                </c:pt>
                <c:pt idx="55">
                  <c:v>45603</c:v>
                </c:pt>
                <c:pt idx="56">
                  <c:v>45602</c:v>
                </c:pt>
                <c:pt idx="57">
                  <c:v>45601</c:v>
                </c:pt>
                <c:pt idx="58">
                  <c:v>45600</c:v>
                </c:pt>
                <c:pt idx="59">
                  <c:v>45597</c:v>
                </c:pt>
                <c:pt idx="60">
                  <c:v>45596</c:v>
                </c:pt>
                <c:pt idx="61">
                  <c:v>45595</c:v>
                </c:pt>
                <c:pt idx="62">
                  <c:v>45594</c:v>
                </c:pt>
                <c:pt idx="63">
                  <c:v>45593</c:v>
                </c:pt>
                <c:pt idx="64">
                  <c:v>45590</c:v>
                </c:pt>
                <c:pt idx="65">
                  <c:v>45589</c:v>
                </c:pt>
                <c:pt idx="66">
                  <c:v>45588</c:v>
                </c:pt>
                <c:pt idx="67">
                  <c:v>45587</c:v>
                </c:pt>
                <c:pt idx="68">
                  <c:v>45586</c:v>
                </c:pt>
                <c:pt idx="69">
                  <c:v>45583</c:v>
                </c:pt>
                <c:pt idx="70">
                  <c:v>45582</c:v>
                </c:pt>
                <c:pt idx="71">
                  <c:v>45581</c:v>
                </c:pt>
                <c:pt idx="72">
                  <c:v>45580</c:v>
                </c:pt>
                <c:pt idx="73">
                  <c:v>45579</c:v>
                </c:pt>
                <c:pt idx="74">
                  <c:v>45576</c:v>
                </c:pt>
                <c:pt idx="75">
                  <c:v>45575</c:v>
                </c:pt>
                <c:pt idx="76">
                  <c:v>45573</c:v>
                </c:pt>
                <c:pt idx="77">
                  <c:v>45572</c:v>
                </c:pt>
                <c:pt idx="78">
                  <c:v>45569</c:v>
                </c:pt>
                <c:pt idx="79">
                  <c:v>45567</c:v>
                </c:pt>
                <c:pt idx="80">
                  <c:v>45565</c:v>
                </c:pt>
                <c:pt idx="81">
                  <c:v>45562</c:v>
                </c:pt>
                <c:pt idx="82">
                  <c:v>45561</c:v>
                </c:pt>
                <c:pt idx="83">
                  <c:v>45560</c:v>
                </c:pt>
                <c:pt idx="84">
                  <c:v>45559</c:v>
                </c:pt>
                <c:pt idx="85">
                  <c:v>45558</c:v>
                </c:pt>
                <c:pt idx="86">
                  <c:v>45555</c:v>
                </c:pt>
                <c:pt idx="87">
                  <c:v>45554</c:v>
                </c:pt>
                <c:pt idx="88">
                  <c:v>45548</c:v>
                </c:pt>
                <c:pt idx="89">
                  <c:v>45547</c:v>
                </c:pt>
                <c:pt idx="90">
                  <c:v>45546</c:v>
                </c:pt>
                <c:pt idx="91">
                  <c:v>45545</c:v>
                </c:pt>
                <c:pt idx="92">
                  <c:v>45544</c:v>
                </c:pt>
                <c:pt idx="93">
                  <c:v>45541</c:v>
                </c:pt>
                <c:pt idx="94">
                  <c:v>45540</c:v>
                </c:pt>
                <c:pt idx="95">
                  <c:v>45539</c:v>
                </c:pt>
                <c:pt idx="96">
                  <c:v>45538</c:v>
                </c:pt>
                <c:pt idx="97">
                  <c:v>45537</c:v>
                </c:pt>
                <c:pt idx="98">
                  <c:v>45534</c:v>
                </c:pt>
                <c:pt idx="99">
                  <c:v>45533</c:v>
                </c:pt>
                <c:pt idx="100">
                  <c:v>45532</c:v>
                </c:pt>
                <c:pt idx="101">
                  <c:v>45531</c:v>
                </c:pt>
                <c:pt idx="102">
                  <c:v>45530</c:v>
                </c:pt>
                <c:pt idx="103">
                  <c:v>45527</c:v>
                </c:pt>
                <c:pt idx="104">
                  <c:v>45526</c:v>
                </c:pt>
                <c:pt idx="105">
                  <c:v>45525</c:v>
                </c:pt>
                <c:pt idx="106">
                  <c:v>45524</c:v>
                </c:pt>
                <c:pt idx="107">
                  <c:v>45523</c:v>
                </c:pt>
                <c:pt idx="108">
                  <c:v>45520</c:v>
                </c:pt>
                <c:pt idx="109">
                  <c:v>45518</c:v>
                </c:pt>
                <c:pt idx="110">
                  <c:v>45517</c:v>
                </c:pt>
                <c:pt idx="111">
                  <c:v>45516</c:v>
                </c:pt>
                <c:pt idx="112">
                  <c:v>45513</c:v>
                </c:pt>
                <c:pt idx="113">
                  <c:v>45512</c:v>
                </c:pt>
                <c:pt idx="114">
                  <c:v>45511</c:v>
                </c:pt>
                <c:pt idx="115">
                  <c:v>45510</c:v>
                </c:pt>
                <c:pt idx="116">
                  <c:v>45509</c:v>
                </c:pt>
                <c:pt idx="117">
                  <c:v>45506</c:v>
                </c:pt>
                <c:pt idx="118">
                  <c:v>45505</c:v>
                </c:pt>
                <c:pt idx="119">
                  <c:v>45504</c:v>
                </c:pt>
                <c:pt idx="120">
                  <c:v>45503</c:v>
                </c:pt>
                <c:pt idx="121">
                  <c:v>45502</c:v>
                </c:pt>
                <c:pt idx="122">
                  <c:v>45499</c:v>
                </c:pt>
                <c:pt idx="123">
                  <c:v>45498</c:v>
                </c:pt>
                <c:pt idx="124">
                  <c:v>45497</c:v>
                </c:pt>
                <c:pt idx="125">
                  <c:v>45496</c:v>
                </c:pt>
                <c:pt idx="126">
                  <c:v>45495</c:v>
                </c:pt>
                <c:pt idx="127">
                  <c:v>45492</c:v>
                </c:pt>
                <c:pt idx="128">
                  <c:v>45491</c:v>
                </c:pt>
                <c:pt idx="129">
                  <c:v>45490</c:v>
                </c:pt>
                <c:pt idx="130">
                  <c:v>45489</c:v>
                </c:pt>
                <c:pt idx="131">
                  <c:v>45488</c:v>
                </c:pt>
                <c:pt idx="132">
                  <c:v>45485</c:v>
                </c:pt>
                <c:pt idx="133">
                  <c:v>45484</c:v>
                </c:pt>
                <c:pt idx="134">
                  <c:v>45483</c:v>
                </c:pt>
                <c:pt idx="135">
                  <c:v>45482</c:v>
                </c:pt>
                <c:pt idx="136">
                  <c:v>45481</c:v>
                </c:pt>
                <c:pt idx="137">
                  <c:v>45478</c:v>
                </c:pt>
                <c:pt idx="138">
                  <c:v>45477</c:v>
                </c:pt>
                <c:pt idx="139">
                  <c:v>45476</c:v>
                </c:pt>
                <c:pt idx="140">
                  <c:v>45475</c:v>
                </c:pt>
                <c:pt idx="141">
                  <c:v>45474</c:v>
                </c:pt>
                <c:pt idx="142">
                  <c:v>45471</c:v>
                </c:pt>
                <c:pt idx="143">
                  <c:v>45470</c:v>
                </c:pt>
                <c:pt idx="144">
                  <c:v>45469</c:v>
                </c:pt>
                <c:pt idx="145">
                  <c:v>45468</c:v>
                </c:pt>
                <c:pt idx="146">
                  <c:v>45467</c:v>
                </c:pt>
                <c:pt idx="147">
                  <c:v>45464</c:v>
                </c:pt>
                <c:pt idx="148">
                  <c:v>45463</c:v>
                </c:pt>
                <c:pt idx="149">
                  <c:v>45462</c:v>
                </c:pt>
                <c:pt idx="150">
                  <c:v>45461</c:v>
                </c:pt>
                <c:pt idx="151">
                  <c:v>45460</c:v>
                </c:pt>
                <c:pt idx="152">
                  <c:v>45457</c:v>
                </c:pt>
                <c:pt idx="153">
                  <c:v>45456</c:v>
                </c:pt>
                <c:pt idx="154">
                  <c:v>45455</c:v>
                </c:pt>
                <c:pt idx="155">
                  <c:v>45454</c:v>
                </c:pt>
                <c:pt idx="156">
                  <c:v>45453</c:v>
                </c:pt>
                <c:pt idx="157">
                  <c:v>45450</c:v>
                </c:pt>
                <c:pt idx="158">
                  <c:v>45448</c:v>
                </c:pt>
                <c:pt idx="159">
                  <c:v>45447</c:v>
                </c:pt>
                <c:pt idx="160">
                  <c:v>45446</c:v>
                </c:pt>
                <c:pt idx="161">
                  <c:v>45443</c:v>
                </c:pt>
                <c:pt idx="162">
                  <c:v>45442</c:v>
                </c:pt>
                <c:pt idx="163">
                  <c:v>45441</c:v>
                </c:pt>
                <c:pt idx="164">
                  <c:v>45440</c:v>
                </c:pt>
                <c:pt idx="165">
                  <c:v>45439</c:v>
                </c:pt>
                <c:pt idx="166">
                  <c:v>45436</c:v>
                </c:pt>
                <c:pt idx="167">
                  <c:v>45435</c:v>
                </c:pt>
                <c:pt idx="168">
                  <c:v>45434</c:v>
                </c:pt>
                <c:pt idx="169">
                  <c:v>45433</c:v>
                </c:pt>
                <c:pt idx="170">
                  <c:v>45432</c:v>
                </c:pt>
                <c:pt idx="171">
                  <c:v>45429</c:v>
                </c:pt>
                <c:pt idx="172">
                  <c:v>45428</c:v>
                </c:pt>
                <c:pt idx="173">
                  <c:v>45426</c:v>
                </c:pt>
                <c:pt idx="174">
                  <c:v>45425</c:v>
                </c:pt>
                <c:pt idx="175">
                  <c:v>45422</c:v>
                </c:pt>
                <c:pt idx="176">
                  <c:v>45421</c:v>
                </c:pt>
                <c:pt idx="177">
                  <c:v>45420</c:v>
                </c:pt>
                <c:pt idx="178">
                  <c:v>45419</c:v>
                </c:pt>
                <c:pt idx="179">
                  <c:v>45415</c:v>
                </c:pt>
                <c:pt idx="180">
                  <c:v>45414</c:v>
                </c:pt>
                <c:pt idx="181">
                  <c:v>45412</c:v>
                </c:pt>
                <c:pt idx="182">
                  <c:v>45411</c:v>
                </c:pt>
                <c:pt idx="183">
                  <c:v>45408</c:v>
                </c:pt>
                <c:pt idx="184">
                  <c:v>45407</c:v>
                </c:pt>
                <c:pt idx="185">
                  <c:v>45406</c:v>
                </c:pt>
                <c:pt idx="186">
                  <c:v>45405</c:v>
                </c:pt>
                <c:pt idx="187">
                  <c:v>45404</c:v>
                </c:pt>
                <c:pt idx="188">
                  <c:v>45401</c:v>
                </c:pt>
                <c:pt idx="189">
                  <c:v>45400</c:v>
                </c:pt>
                <c:pt idx="190">
                  <c:v>45399</c:v>
                </c:pt>
                <c:pt idx="191">
                  <c:v>45398</c:v>
                </c:pt>
                <c:pt idx="192">
                  <c:v>45397</c:v>
                </c:pt>
                <c:pt idx="193">
                  <c:v>45394</c:v>
                </c:pt>
                <c:pt idx="194">
                  <c:v>45393</c:v>
                </c:pt>
                <c:pt idx="195">
                  <c:v>45391</c:v>
                </c:pt>
                <c:pt idx="196">
                  <c:v>45390</c:v>
                </c:pt>
                <c:pt idx="197">
                  <c:v>45387</c:v>
                </c:pt>
                <c:pt idx="198">
                  <c:v>45386</c:v>
                </c:pt>
                <c:pt idx="199">
                  <c:v>45385</c:v>
                </c:pt>
                <c:pt idx="200">
                  <c:v>45384</c:v>
                </c:pt>
                <c:pt idx="201">
                  <c:v>45383</c:v>
                </c:pt>
                <c:pt idx="202">
                  <c:v>45380</c:v>
                </c:pt>
                <c:pt idx="203">
                  <c:v>45379</c:v>
                </c:pt>
                <c:pt idx="204">
                  <c:v>45378</c:v>
                </c:pt>
                <c:pt idx="205">
                  <c:v>45377</c:v>
                </c:pt>
                <c:pt idx="206">
                  <c:v>45376</c:v>
                </c:pt>
                <c:pt idx="207">
                  <c:v>45373</c:v>
                </c:pt>
                <c:pt idx="208">
                  <c:v>45372</c:v>
                </c:pt>
                <c:pt idx="209">
                  <c:v>45371</c:v>
                </c:pt>
                <c:pt idx="210">
                  <c:v>45370</c:v>
                </c:pt>
                <c:pt idx="211">
                  <c:v>45369</c:v>
                </c:pt>
                <c:pt idx="212">
                  <c:v>45366</c:v>
                </c:pt>
                <c:pt idx="213">
                  <c:v>45365</c:v>
                </c:pt>
                <c:pt idx="214">
                  <c:v>45364</c:v>
                </c:pt>
                <c:pt idx="215">
                  <c:v>45363</c:v>
                </c:pt>
                <c:pt idx="216">
                  <c:v>45362</c:v>
                </c:pt>
                <c:pt idx="217">
                  <c:v>45359</c:v>
                </c:pt>
                <c:pt idx="218">
                  <c:v>45358</c:v>
                </c:pt>
                <c:pt idx="219">
                  <c:v>45357</c:v>
                </c:pt>
                <c:pt idx="220">
                  <c:v>45356</c:v>
                </c:pt>
                <c:pt idx="221">
                  <c:v>45355</c:v>
                </c:pt>
                <c:pt idx="222">
                  <c:v>45351</c:v>
                </c:pt>
                <c:pt idx="223">
                  <c:v>45350</c:v>
                </c:pt>
                <c:pt idx="224">
                  <c:v>45349</c:v>
                </c:pt>
                <c:pt idx="225">
                  <c:v>45348</c:v>
                </c:pt>
                <c:pt idx="226">
                  <c:v>45345</c:v>
                </c:pt>
                <c:pt idx="227">
                  <c:v>45344</c:v>
                </c:pt>
                <c:pt idx="228">
                  <c:v>45343</c:v>
                </c:pt>
                <c:pt idx="229">
                  <c:v>45342</c:v>
                </c:pt>
                <c:pt idx="230">
                  <c:v>45341</c:v>
                </c:pt>
                <c:pt idx="231">
                  <c:v>45338</c:v>
                </c:pt>
                <c:pt idx="232">
                  <c:v>45337</c:v>
                </c:pt>
                <c:pt idx="233">
                  <c:v>45336</c:v>
                </c:pt>
                <c:pt idx="234">
                  <c:v>45335</c:v>
                </c:pt>
                <c:pt idx="235">
                  <c:v>45330</c:v>
                </c:pt>
                <c:pt idx="236">
                  <c:v>45329</c:v>
                </c:pt>
                <c:pt idx="237">
                  <c:v>45328</c:v>
                </c:pt>
                <c:pt idx="238">
                  <c:v>45327</c:v>
                </c:pt>
                <c:pt idx="239">
                  <c:v>45324</c:v>
                </c:pt>
                <c:pt idx="240">
                  <c:v>45323</c:v>
                </c:pt>
              </c:numCache>
            </c:numRef>
          </c:cat>
          <c:val>
            <c:numRef>
              <c:f>'daily monitor'!$U$101:$U$350</c:f>
              <c:numCache>
                <c:formatCode>General</c:formatCode>
                <c:ptCount val="250"/>
                <c:pt idx="0">
                  <c:v>3.2040000000000002</c:v>
                </c:pt>
                <c:pt idx="1">
                  <c:v>3.21</c:v>
                </c:pt>
                <c:pt idx="2">
                  <c:v>3.218</c:v>
                </c:pt>
                <c:pt idx="3">
                  <c:v>3.2269999999999999</c:v>
                </c:pt>
                <c:pt idx="4">
                  <c:v>3.2269999999999999</c:v>
                </c:pt>
                <c:pt idx="5">
                  <c:v>3.2679999999999998</c:v>
                </c:pt>
                <c:pt idx="6">
                  <c:v>3.2410000000000001</c:v>
                </c:pt>
                <c:pt idx="7">
                  <c:v>3.2759999999999998</c:v>
                </c:pt>
                <c:pt idx="8">
                  <c:v>3.3149999999999999</c:v>
                </c:pt>
                <c:pt idx="9">
                  <c:v>3.2919999999999998</c:v>
                </c:pt>
                <c:pt idx="10">
                  <c:v>3.306</c:v>
                </c:pt>
                <c:pt idx="11">
                  <c:v>3.22</c:v>
                </c:pt>
                <c:pt idx="12">
                  <c:v>3.1739999999999999</c:v>
                </c:pt>
                <c:pt idx="13">
                  <c:v>3.1819999999999999</c:v>
                </c:pt>
                <c:pt idx="14">
                  <c:v>3.1869999999999998</c:v>
                </c:pt>
                <c:pt idx="15">
                  <c:v>3.202</c:v>
                </c:pt>
                <c:pt idx="16">
                  <c:v>3.17</c:v>
                </c:pt>
                <c:pt idx="17">
                  <c:v>3.1970000000000001</c:v>
                </c:pt>
                <c:pt idx="18">
                  <c:v>3.2839999999999998</c:v>
                </c:pt>
                <c:pt idx="19">
                  <c:v>3.2850000000000001</c:v>
                </c:pt>
                <c:pt idx="20">
                  <c:v>3.3210000000000002</c:v>
                </c:pt>
                <c:pt idx="21">
                  <c:v>3.33</c:v>
                </c:pt>
                <c:pt idx="22">
                  <c:v>3.3079999999999998</c:v>
                </c:pt>
                <c:pt idx="23">
                  <c:v>3.2919999999999998</c:v>
                </c:pt>
                <c:pt idx="24">
                  <c:v>3.3</c:v>
                </c:pt>
                <c:pt idx="25">
                  <c:v>3.2749999999999999</c:v>
                </c:pt>
                <c:pt idx="26">
                  <c:v>3.2029999999999998</c:v>
                </c:pt>
                <c:pt idx="27">
                  <c:v>3.2789999999999999</c:v>
                </c:pt>
                <c:pt idx="28">
                  <c:v>3.2120000000000002</c:v>
                </c:pt>
                <c:pt idx="29">
                  <c:v>3.1970000000000001</c:v>
                </c:pt>
                <c:pt idx="30">
                  <c:v>3.2</c:v>
                </c:pt>
                <c:pt idx="31">
                  <c:v>3.1880000000000002</c:v>
                </c:pt>
                <c:pt idx="32">
                  <c:v>3.1749999999999998</c:v>
                </c:pt>
                <c:pt idx="33">
                  <c:v>3.173</c:v>
                </c:pt>
                <c:pt idx="34">
                  <c:v>3.2120000000000002</c:v>
                </c:pt>
                <c:pt idx="35">
                  <c:v>3.194</c:v>
                </c:pt>
                <c:pt idx="36">
                  <c:v>3.21</c:v>
                </c:pt>
                <c:pt idx="37">
                  <c:v>3.169</c:v>
                </c:pt>
                <c:pt idx="38">
                  <c:v>3.1560000000000001</c:v>
                </c:pt>
                <c:pt idx="39">
                  <c:v>3.194</c:v>
                </c:pt>
                <c:pt idx="40">
                  <c:v>3.22</c:v>
                </c:pt>
                <c:pt idx="41">
                  <c:v>3.3159999999999998</c:v>
                </c:pt>
                <c:pt idx="42">
                  <c:v>3.343</c:v>
                </c:pt>
                <c:pt idx="43">
                  <c:v>3.3420000000000001</c:v>
                </c:pt>
                <c:pt idx="44">
                  <c:v>3.3849999999999998</c:v>
                </c:pt>
                <c:pt idx="45">
                  <c:v>3.3959999999999999</c:v>
                </c:pt>
                <c:pt idx="46">
                  <c:v>3.4380000000000002</c:v>
                </c:pt>
                <c:pt idx="47">
                  <c:v>3.4569999999999999</c:v>
                </c:pt>
                <c:pt idx="48">
                  <c:v>3.4820000000000002</c:v>
                </c:pt>
                <c:pt idx="49">
                  <c:v>3.5059999999999998</c:v>
                </c:pt>
                <c:pt idx="50">
                  <c:v>3.492</c:v>
                </c:pt>
                <c:pt idx="51">
                  <c:v>3.5009999999999999</c:v>
                </c:pt>
                <c:pt idx="52">
                  <c:v>3.4670000000000001</c:v>
                </c:pt>
                <c:pt idx="53">
                  <c:v>3.4710000000000001</c:v>
                </c:pt>
                <c:pt idx="54">
                  <c:v>3.4609999999999999</c:v>
                </c:pt>
                <c:pt idx="55">
                  <c:v>3.492</c:v>
                </c:pt>
                <c:pt idx="56">
                  <c:v>3.5289999999999999</c:v>
                </c:pt>
                <c:pt idx="57">
                  <c:v>3.4910000000000001</c:v>
                </c:pt>
                <c:pt idx="58">
                  <c:v>3.5070000000000001</c:v>
                </c:pt>
                <c:pt idx="59">
                  <c:v>3.5070000000000001</c:v>
                </c:pt>
                <c:pt idx="60">
                  <c:v>3.5030000000000001</c:v>
                </c:pt>
                <c:pt idx="61">
                  <c:v>3.5019999999999998</c:v>
                </c:pt>
                <c:pt idx="62">
                  <c:v>3.504</c:v>
                </c:pt>
                <c:pt idx="63">
                  <c:v>3.5030000000000001</c:v>
                </c:pt>
                <c:pt idx="64">
                  <c:v>3.4510000000000001</c:v>
                </c:pt>
                <c:pt idx="65">
                  <c:v>3.46</c:v>
                </c:pt>
                <c:pt idx="66">
                  <c:v>3.508</c:v>
                </c:pt>
                <c:pt idx="67">
                  <c:v>3.512</c:v>
                </c:pt>
                <c:pt idx="68">
                  <c:v>3.4710000000000001</c:v>
                </c:pt>
                <c:pt idx="69">
                  <c:v>3.48</c:v>
                </c:pt>
                <c:pt idx="70">
                  <c:v>3.4670000000000001</c:v>
                </c:pt>
                <c:pt idx="71">
                  <c:v>3.452</c:v>
                </c:pt>
                <c:pt idx="72">
                  <c:v>3.4750000000000001</c:v>
                </c:pt>
                <c:pt idx="73">
                  <c:v>3.5089999999999999</c:v>
                </c:pt>
                <c:pt idx="74">
                  <c:v>3.5230000000000001</c:v>
                </c:pt>
                <c:pt idx="75">
                  <c:v>3.5419999999999998</c:v>
                </c:pt>
                <c:pt idx="76">
                  <c:v>3.5169999999999999</c:v>
                </c:pt>
                <c:pt idx="77">
                  <c:v>3.5459999999999998</c:v>
                </c:pt>
                <c:pt idx="78">
                  <c:v>3.415</c:v>
                </c:pt>
                <c:pt idx="79">
                  <c:v>3.37</c:v>
                </c:pt>
                <c:pt idx="80">
                  <c:v>3.3969999999999998</c:v>
                </c:pt>
                <c:pt idx="81">
                  <c:v>3.4089999999999998</c:v>
                </c:pt>
                <c:pt idx="82">
                  <c:v>3.395</c:v>
                </c:pt>
                <c:pt idx="83">
                  <c:v>3.4009999999999998</c:v>
                </c:pt>
                <c:pt idx="84">
                  <c:v>3.4390000000000001</c:v>
                </c:pt>
                <c:pt idx="85">
                  <c:v>3.4489999999999998</c:v>
                </c:pt>
                <c:pt idx="86">
                  <c:v>3.4260000000000002</c:v>
                </c:pt>
                <c:pt idx="87">
                  <c:v>3.4319999999999999</c:v>
                </c:pt>
                <c:pt idx="88">
                  <c:v>3.41</c:v>
                </c:pt>
                <c:pt idx="89">
                  <c:v>3.4489999999999998</c:v>
                </c:pt>
                <c:pt idx="90">
                  <c:v>3.4060000000000001</c:v>
                </c:pt>
                <c:pt idx="91">
                  <c:v>3.4510000000000001</c:v>
                </c:pt>
                <c:pt idx="92">
                  <c:v>3.4710000000000001</c:v>
                </c:pt>
                <c:pt idx="93">
                  <c:v>3.46</c:v>
                </c:pt>
                <c:pt idx="94">
                  <c:v>3.48</c:v>
                </c:pt>
                <c:pt idx="95">
                  <c:v>3.4969999999999999</c:v>
                </c:pt>
                <c:pt idx="96">
                  <c:v>3.5449999999999999</c:v>
                </c:pt>
                <c:pt idx="97">
                  <c:v>3.5419999999999998</c:v>
                </c:pt>
                <c:pt idx="98">
                  <c:v>3.5030000000000001</c:v>
                </c:pt>
                <c:pt idx="99">
                  <c:v>3.484</c:v>
                </c:pt>
                <c:pt idx="100">
                  <c:v>3.456</c:v>
                </c:pt>
                <c:pt idx="101">
                  <c:v>3.4649999999999999</c:v>
                </c:pt>
                <c:pt idx="102">
                  <c:v>3.4140000000000001</c:v>
                </c:pt>
                <c:pt idx="103">
                  <c:v>3.4390000000000001</c:v>
                </c:pt>
                <c:pt idx="104">
                  <c:v>3.4220000000000002</c:v>
                </c:pt>
                <c:pt idx="105">
                  <c:v>3.4390000000000001</c:v>
                </c:pt>
                <c:pt idx="106">
                  <c:v>3.4420000000000002</c:v>
                </c:pt>
                <c:pt idx="107">
                  <c:v>3.4239999999999999</c:v>
                </c:pt>
                <c:pt idx="108">
                  <c:v>3.415</c:v>
                </c:pt>
                <c:pt idx="109">
                  <c:v>3.37</c:v>
                </c:pt>
                <c:pt idx="110">
                  <c:v>3.395</c:v>
                </c:pt>
                <c:pt idx="111">
                  <c:v>3.4209999999999998</c:v>
                </c:pt>
                <c:pt idx="112">
                  <c:v>3.4089999999999998</c:v>
                </c:pt>
                <c:pt idx="113">
                  <c:v>3.38</c:v>
                </c:pt>
                <c:pt idx="114">
                  <c:v>3.3969999999999998</c:v>
                </c:pt>
                <c:pt idx="115">
                  <c:v>3.3980000000000001</c:v>
                </c:pt>
                <c:pt idx="116">
                  <c:v>3.2709999999999999</c:v>
                </c:pt>
                <c:pt idx="117">
                  <c:v>3.3940000000000001</c:v>
                </c:pt>
                <c:pt idx="118">
                  <c:v>3.431</c:v>
                </c:pt>
                <c:pt idx="119">
                  <c:v>3.4590000000000001</c:v>
                </c:pt>
                <c:pt idx="120">
                  <c:v>3.4510000000000001</c:v>
                </c:pt>
                <c:pt idx="121">
                  <c:v>3.4340000000000002</c:v>
                </c:pt>
                <c:pt idx="122">
                  <c:v>3.4820000000000002</c:v>
                </c:pt>
                <c:pt idx="123">
                  <c:v>3.484</c:v>
                </c:pt>
                <c:pt idx="124">
                  <c:v>3.5089999999999999</c:v>
                </c:pt>
                <c:pt idx="125">
                  <c:v>3.5329999999999999</c:v>
                </c:pt>
                <c:pt idx="126">
                  <c:v>3.5219999999999998</c:v>
                </c:pt>
                <c:pt idx="127">
                  <c:v>3.5249999999999999</c:v>
                </c:pt>
                <c:pt idx="128">
                  <c:v>3.5129999999999999</c:v>
                </c:pt>
                <c:pt idx="129">
                  <c:v>3.5089999999999999</c:v>
                </c:pt>
                <c:pt idx="130">
                  <c:v>3.496</c:v>
                </c:pt>
                <c:pt idx="131">
                  <c:v>3.5379999999999998</c:v>
                </c:pt>
                <c:pt idx="132">
                  <c:v>3.552</c:v>
                </c:pt>
                <c:pt idx="133">
                  <c:v>3.6139999999999999</c:v>
                </c:pt>
                <c:pt idx="134">
                  <c:v>3.5760000000000001</c:v>
                </c:pt>
                <c:pt idx="135">
                  <c:v>3.5720000000000001</c:v>
                </c:pt>
                <c:pt idx="136">
                  <c:v>3.58</c:v>
                </c:pt>
                <c:pt idx="137">
                  <c:v>3.5819999999999999</c:v>
                </c:pt>
                <c:pt idx="138">
                  <c:v>3.5910000000000002</c:v>
                </c:pt>
                <c:pt idx="139">
                  <c:v>3.6240000000000001</c:v>
                </c:pt>
                <c:pt idx="140">
                  <c:v>3.6339999999999999</c:v>
                </c:pt>
                <c:pt idx="141">
                  <c:v>3.681</c:v>
                </c:pt>
                <c:pt idx="142">
                  <c:v>3.6579999999999999</c:v>
                </c:pt>
                <c:pt idx="143">
                  <c:v>3.6840000000000002</c:v>
                </c:pt>
                <c:pt idx="144">
                  <c:v>3.6760000000000002</c:v>
                </c:pt>
                <c:pt idx="145">
                  <c:v>3.6619999999999999</c:v>
                </c:pt>
                <c:pt idx="146">
                  <c:v>3.6560000000000001</c:v>
                </c:pt>
                <c:pt idx="147">
                  <c:v>3.637</c:v>
                </c:pt>
                <c:pt idx="148">
                  <c:v>3.6480000000000001</c:v>
                </c:pt>
                <c:pt idx="149">
                  <c:v>3.62</c:v>
                </c:pt>
                <c:pt idx="150">
                  <c:v>3.6659999999999999</c:v>
                </c:pt>
                <c:pt idx="151">
                  <c:v>3.6619999999999999</c:v>
                </c:pt>
                <c:pt idx="152">
                  <c:v>3.694</c:v>
                </c:pt>
                <c:pt idx="153">
                  <c:v>3.718</c:v>
                </c:pt>
                <c:pt idx="154">
                  <c:v>3.7450000000000001</c:v>
                </c:pt>
                <c:pt idx="155">
                  <c:v>3.7749999999999999</c:v>
                </c:pt>
                <c:pt idx="156">
                  <c:v>3.782</c:v>
                </c:pt>
                <c:pt idx="157">
                  <c:v>3.7360000000000002</c:v>
                </c:pt>
                <c:pt idx="158">
                  <c:v>3.7709999999999999</c:v>
                </c:pt>
                <c:pt idx="159">
                  <c:v>3.81</c:v>
                </c:pt>
                <c:pt idx="160">
                  <c:v>3.8530000000000002</c:v>
                </c:pt>
                <c:pt idx="161">
                  <c:v>3.871</c:v>
                </c:pt>
                <c:pt idx="162">
                  <c:v>3.867</c:v>
                </c:pt>
                <c:pt idx="163">
                  <c:v>3.855</c:v>
                </c:pt>
                <c:pt idx="164">
                  <c:v>3.8279999999999998</c:v>
                </c:pt>
                <c:pt idx="165">
                  <c:v>3.851</c:v>
                </c:pt>
                <c:pt idx="166">
                  <c:v>3.8610000000000002</c:v>
                </c:pt>
                <c:pt idx="167">
                  <c:v>3.84</c:v>
                </c:pt>
                <c:pt idx="168">
                  <c:v>3.8479999999999999</c:v>
                </c:pt>
                <c:pt idx="169">
                  <c:v>3.8530000000000002</c:v>
                </c:pt>
                <c:pt idx="170">
                  <c:v>3.8530000000000002</c:v>
                </c:pt>
                <c:pt idx="171">
                  <c:v>3.8250000000000002</c:v>
                </c:pt>
                <c:pt idx="172">
                  <c:v>3.82</c:v>
                </c:pt>
                <c:pt idx="173">
                  <c:v>3.9</c:v>
                </c:pt>
                <c:pt idx="174">
                  <c:v>3.9039999999999999</c:v>
                </c:pt>
                <c:pt idx="175">
                  <c:v>3.8940000000000001</c:v>
                </c:pt>
                <c:pt idx="176">
                  <c:v>3.9129999999999998</c:v>
                </c:pt>
                <c:pt idx="177">
                  <c:v>3.9009999999999998</c:v>
                </c:pt>
                <c:pt idx="178">
                  <c:v>3.9119999999999999</c:v>
                </c:pt>
                <c:pt idx="179">
                  <c:v>3.9580000000000002</c:v>
                </c:pt>
                <c:pt idx="180">
                  <c:v>3.972</c:v>
                </c:pt>
                <c:pt idx="181">
                  <c:v>3.9950000000000001</c:v>
                </c:pt>
                <c:pt idx="182">
                  <c:v>4.024</c:v>
                </c:pt>
                <c:pt idx="183">
                  <c:v>4.0119999999999996</c:v>
                </c:pt>
                <c:pt idx="184">
                  <c:v>4.0289999999999999</c:v>
                </c:pt>
                <c:pt idx="185">
                  <c:v>4.0039999999999996</c:v>
                </c:pt>
                <c:pt idx="186">
                  <c:v>3.992</c:v>
                </c:pt>
                <c:pt idx="187">
                  <c:v>4.0190000000000001</c:v>
                </c:pt>
                <c:pt idx="188">
                  <c:v>3.9820000000000002</c:v>
                </c:pt>
                <c:pt idx="189">
                  <c:v>3.96</c:v>
                </c:pt>
                <c:pt idx="190">
                  <c:v>4.0069999999999997</c:v>
                </c:pt>
                <c:pt idx="191">
                  <c:v>4.01</c:v>
                </c:pt>
                <c:pt idx="192">
                  <c:v>3.9830000000000001</c:v>
                </c:pt>
                <c:pt idx="193">
                  <c:v>3.9609999999999999</c:v>
                </c:pt>
                <c:pt idx="194">
                  <c:v>4.016</c:v>
                </c:pt>
                <c:pt idx="195">
                  <c:v>3.9529999999999998</c:v>
                </c:pt>
                <c:pt idx="196">
                  <c:v>3.9449999999999998</c:v>
                </c:pt>
                <c:pt idx="197">
                  <c:v>3.9020000000000001</c:v>
                </c:pt>
                <c:pt idx="198">
                  <c:v>3.919</c:v>
                </c:pt>
                <c:pt idx="199">
                  <c:v>3.927</c:v>
                </c:pt>
                <c:pt idx="200">
                  <c:v>3.9260000000000002</c:v>
                </c:pt>
                <c:pt idx="201">
                  <c:v>3.8959999999999999</c:v>
                </c:pt>
                <c:pt idx="202">
                  <c:v>3.9260000000000002</c:v>
                </c:pt>
                <c:pt idx="203">
                  <c:v>3.903</c:v>
                </c:pt>
                <c:pt idx="204">
                  <c:v>3.903</c:v>
                </c:pt>
                <c:pt idx="205">
                  <c:v>3.923</c:v>
                </c:pt>
                <c:pt idx="206">
                  <c:v>3.915</c:v>
                </c:pt>
                <c:pt idx="207">
                  <c:v>3.9180000000000001</c:v>
                </c:pt>
                <c:pt idx="208">
                  <c:v>3.9420000000000002</c:v>
                </c:pt>
                <c:pt idx="209">
                  <c:v>4.0060000000000002</c:v>
                </c:pt>
                <c:pt idx="210">
                  <c:v>4.0220000000000002</c:v>
                </c:pt>
                <c:pt idx="211">
                  <c:v>3.9929999999999999</c:v>
                </c:pt>
                <c:pt idx="212">
                  <c:v>3.9529999999999998</c:v>
                </c:pt>
                <c:pt idx="213">
                  <c:v>3.9220000000000002</c:v>
                </c:pt>
                <c:pt idx="214">
                  <c:v>3.899</c:v>
                </c:pt>
                <c:pt idx="215">
                  <c:v>3.9169999999999998</c:v>
                </c:pt>
                <c:pt idx="216">
                  <c:v>3.9140000000000001</c:v>
                </c:pt>
                <c:pt idx="217">
                  <c:v>3.91</c:v>
                </c:pt>
                <c:pt idx="218">
                  <c:v>3.9590000000000001</c:v>
                </c:pt>
                <c:pt idx="219">
                  <c:v>3.9620000000000002</c:v>
                </c:pt>
                <c:pt idx="220">
                  <c:v>3.992</c:v>
                </c:pt>
                <c:pt idx="221">
                  <c:v>4.008</c:v>
                </c:pt>
                <c:pt idx="222">
                  <c:v>4.0369999999999999</c:v>
                </c:pt>
                <c:pt idx="223">
                  <c:v>4.0149999999999997</c:v>
                </c:pt>
                <c:pt idx="224">
                  <c:v>4.0250000000000004</c:v>
                </c:pt>
                <c:pt idx="225">
                  <c:v>4.0049999999999999</c:v>
                </c:pt>
                <c:pt idx="226">
                  <c:v>4.0449999999999999</c:v>
                </c:pt>
                <c:pt idx="227">
                  <c:v>4.0229999999999997</c:v>
                </c:pt>
                <c:pt idx="228">
                  <c:v>4.09</c:v>
                </c:pt>
                <c:pt idx="229">
                  <c:v>4.1050000000000004</c:v>
                </c:pt>
                <c:pt idx="230">
                  <c:v>4.1020000000000003</c:v>
                </c:pt>
                <c:pt idx="231">
                  <c:v>4.1150000000000002</c:v>
                </c:pt>
                <c:pt idx="232">
                  <c:v>4.117</c:v>
                </c:pt>
                <c:pt idx="233">
                  <c:v>4.141</c:v>
                </c:pt>
                <c:pt idx="234">
                  <c:v>4.0739999999999998</c:v>
                </c:pt>
                <c:pt idx="235">
                  <c:v>4.0339999999999998</c:v>
                </c:pt>
                <c:pt idx="236">
                  <c:v>4.0190000000000001</c:v>
                </c:pt>
                <c:pt idx="237">
                  <c:v>4.0279999999999996</c:v>
                </c:pt>
                <c:pt idx="238">
                  <c:v>4.0469999999999997</c:v>
                </c:pt>
                <c:pt idx="239">
                  <c:v>3.9820000000000002</c:v>
                </c:pt>
                <c:pt idx="240">
                  <c:v>4.0010000000000003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274-407E-A8D2-092DD1FBED3C}"/>
            </c:ext>
          </c:extLst>
        </c:ser>
        <c:ser>
          <c:idx val="4"/>
          <c:order val="4"/>
          <c:tx>
            <c:strRef>
              <c:f>'daily monitor'!$V$99</c:f>
              <c:strCache>
                <c:ptCount val="1"/>
                <c:pt idx="0">
                  <c:v>CD91</c:v>
                </c:pt>
              </c:strCache>
            </c:strRef>
          </c:tx>
          <c:spPr>
            <a:ln w="190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'daily monitor'!$Q$101:$Q$350</c:f>
              <c:numCache>
                <c:formatCode>yyyy/mm/dd</c:formatCode>
                <c:ptCount val="250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45657</c:v>
                </c:pt>
                <c:pt idx="19">
                  <c:v>45656</c:v>
                </c:pt>
                <c:pt idx="20">
                  <c:v>45653</c:v>
                </c:pt>
                <c:pt idx="21">
                  <c:v>45652</c:v>
                </c:pt>
                <c:pt idx="22">
                  <c:v>45650</c:v>
                </c:pt>
                <c:pt idx="23">
                  <c:v>45649</c:v>
                </c:pt>
                <c:pt idx="24">
                  <c:v>45646</c:v>
                </c:pt>
                <c:pt idx="25">
                  <c:v>45645</c:v>
                </c:pt>
                <c:pt idx="26">
                  <c:v>45644</c:v>
                </c:pt>
                <c:pt idx="27">
                  <c:v>45643</c:v>
                </c:pt>
                <c:pt idx="28">
                  <c:v>45642</c:v>
                </c:pt>
                <c:pt idx="29">
                  <c:v>45639</c:v>
                </c:pt>
                <c:pt idx="30">
                  <c:v>45638</c:v>
                </c:pt>
                <c:pt idx="31">
                  <c:v>45637</c:v>
                </c:pt>
                <c:pt idx="32">
                  <c:v>45636</c:v>
                </c:pt>
                <c:pt idx="33">
                  <c:v>45635</c:v>
                </c:pt>
                <c:pt idx="34">
                  <c:v>45632</c:v>
                </c:pt>
                <c:pt idx="35">
                  <c:v>45631</c:v>
                </c:pt>
                <c:pt idx="36">
                  <c:v>45630</c:v>
                </c:pt>
                <c:pt idx="37">
                  <c:v>45629</c:v>
                </c:pt>
                <c:pt idx="38">
                  <c:v>45628</c:v>
                </c:pt>
                <c:pt idx="39">
                  <c:v>45625</c:v>
                </c:pt>
                <c:pt idx="40">
                  <c:v>45624</c:v>
                </c:pt>
                <c:pt idx="41">
                  <c:v>45623</c:v>
                </c:pt>
                <c:pt idx="42">
                  <c:v>45622</c:v>
                </c:pt>
                <c:pt idx="43">
                  <c:v>45621</c:v>
                </c:pt>
                <c:pt idx="44">
                  <c:v>45618</c:v>
                </c:pt>
                <c:pt idx="45">
                  <c:v>45617</c:v>
                </c:pt>
                <c:pt idx="46">
                  <c:v>45616</c:v>
                </c:pt>
                <c:pt idx="47">
                  <c:v>45615</c:v>
                </c:pt>
                <c:pt idx="48">
                  <c:v>45614</c:v>
                </c:pt>
                <c:pt idx="49">
                  <c:v>45611</c:v>
                </c:pt>
                <c:pt idx="50">
                  <c:v>45610</c:v>
                </c:pt>
                <c:pt idx="51">
                  <c:v>45609</c:v>
                </c:pt>
                <c:pt idx="52">
                  <c:v>45608</c:v>
                </c:pt>
                <c:pt idx="53">
                  <c:v>45607</c:v>
                </c:pt>
                <c:pt idx="54">
                  <c:v>45604</c:v>
                </c:pt>
                <c:pt idx="55">
                  <c:v>45603</c:v>
                </c:pt>
                <c:pt idx="56">
                  <c:v>45602</c:v>
                </c:pt>
                <c:pt idx="57">
                  <c:v>45601</c:v>
                </c:pt>
                <c:pt idx="58">
                  <c:v>45600</c:v>
                </c:pt>
                <c:pt idx="59">
                  <c:v>45597</c:v>
                </c:pt>
                <c:pt idx="60">
                  <c:v>45596</c:v>
                </c:pt>
                <c:pt idx="61">
                  <c:v>45595</c:v>
                </c:pt>
                <c:pt idx="62">
                  <c:v>45594</c:v>
                </c:pt>
                <c:pt idx="63">
                  <c:v>45593</c:v>
                </c:pt>
                <c:pt idx="64">
                  <c:v>45590</c:v>
                </c:pt>
                <c:pt idx="65">
                  <c:v>45589</c:v>
                </c:pt>
                <c:pt idx="66">
                  <c:v>45588</c:v>
                </c:pt>
                <c:pt idx="67">
                  <c:v>45587</c:v>
                </c:pt>
                <c:pt idx="68">
                  <c:v>45586</c:v>
                </c:pt>
                <c:pt idx="69">
                  <c:v>45583</c:v>
                </c:pt>
                <c:pt idx="70">
                  <c:v>45582</c:v>
                </c:pt>
                <c:pt idx="71">
                  <c:v>45581</c:v>
                </c:pt>
                <c:pt idx="72">
                  <c:v>45580</c:v>
                </c:pt>
                <c:pt idx="73">
                  <c:v>45579</c:v>
                </c:pt>
                <c:pt idx="74">
                  <c:v>45576</c:v>
                </c:pt>
                <c:pt idx="75">
                  <c:v>45575</c:v>
                </c:pt>
                <c:pt idx="76">
                  <c:v>45573</c:v>
                </c:pt>
                <c:pt idx="77">
                  <c:v>45572</c:v>
                </c:pt>
                <c:pt idx="78">
                  <c:v>45569</c:v>
                </c:pt>
                <c:pt idx="79">
                  <c:v>45567</c:v>
                </c:pt>
                <c:pt idx="80">
                  <c:v>45565</c:v>
                </c:pt>
                <c:pt idx="81">
                  <c:v>45562</c:v>
                </c:pt>
                <c:pt idx="82">
                  <c:v>45561</c:v>
                </c:pt>
                <c:pt idx="83">
                  <c:v>45560</c:v>
                </c:pt>
                <c:pt idx="84">
                  <c:v>45559</c:v>
                </c:pt>
                <c:pt idx="85">
                  <c:v>45558</c:v>
                </c:pt>
                <c:pt idx="86">
                  <c:v>45555</c:v>
                </c:pt>
                <c:pt idx="87">
                  <c:v>45554</c:v>
                </c:pt>
                <c:pt idx="88">
                  <c:v>45548</c:v>
                </c:pt>
                <c:pt idx="89">
                  <c:v>45547</c:v>
                </c:pt>
                <c:pt idx="90">
                  <c:v>45546</c:v>
                </c:pt>
                <c:pt idx="91">
                  <c:v>45545</c:v>
                </c:pt>
                <c:pt idx="92">
                  <c:v>45544</c:v>
                </c:pt>
                <c:pt idx="93">
                  <c:v>45541</c:v>
                </c:pt>
                <c:pt idx="94">
                  <c:v>45540</c:v>
                </c:pt>
                <c:pt idx="95">
                  <c:v>45539</c:v>
                </c:pt>
                <c:pt idx="96">
                  <c:v>45538</c:v>
                </c:pt>
                <c:pt idx="97">
                  <c:v>45537</c:v>
                </c:pt>
                <c:pt idx="98">
                  <c:v>45534</c:v>
                </c:pt>
                <c:pt idx="99">
                  <c:v>45533</c:v>
                </c:pt>
                <c:pt idx="100">
                  <c:v>45532</c:v>
                </c:pt>
                <c:pt idx="101">
                  <c:v>45531</c:v>
                </c:pt>
                <c:pt idx="102">
                  <c:v>45530</c:v>
                </c:pt>
                <c:pt idx="103">
                  <c:v>45527</c:v>
                </c:pt>
                <c:pt idx="104">
                  <c:v>45526</c:v>
                </c:pt>
                <c:pt idx="105">
                  <c:v>45525</c:v>
                </c:pt>
                <c:pt idx="106">
                  <c:v>45524</c:v>
                </c:pt>
                <c:pt idx="107">
                  <c:v>45523</c:v>
                </c:pt>
                <c:pt idx="108">
                  <c:v>45520</c:v>
                </c:pt>
                <c:pt idx="109">
                  <c:v>45518</c:v>
                </c:pt>
                <c:pt idx="110">
                  <c:v>45517</c:v>
                </c:pt>
                <c:pt idx="111">
                  <c:v>45516</c:v>
                </c:pt>
                <c:pt idx="112">
                  <c:v>45513</c:v>
                </c:pt>
                <c:pt idx="113">
                  <c:v>45512</c:v>
                </c:pt>
                <c:pt idx="114">
                  <c:v>45511</c:v>
                </c:pt>
                <c:pt idx="115">
                  <c:v>45510</c:v>
                </c:pt>
                <c:pt idx="116">
                  <c:v>45509</c:v>
                </c:pt>
                <c:pt idx="117">
                  <c:v>45506</c:v>
                </c:pt>
                <c:pt idx="118">
                  <c:v>45505</c:v>
                </c:pt>
                <c:pt idx="119">
                  <c:v>45504</c:v>
                </c:pt>
                <c:pt idx="120">
                  <c:v>45503</c:v>
                </c:pt>
                <c:pt idx="121">
                  <c:v>45502</c:v>
                </c:pt>
                <c:pt idx="122">
                  <c:v>45499</c:v>
                </c:pt>
                <c:pt idx="123">
                  <c:v>45498</c:v>
                </c:pt>
                <c:pt idx="124">
                  <c:v>45497</c:v>
                </c:pt>
                <c:pt idx="125">
                  <c:v>45496</c:v>
                </c:pt>
                <c:pt idx="126">
                  <c:v>45495</c:v>
                </c:pt>
                <c:pt idx="127">
                  <c:v>45492</c:v>
                </c:pt>
                <c:pt idx="128">
                  <c:v>45491</c:v>
                </c:pt>
                <c:pt idx="129">
                  <c:v>45490</c:v>
                </c:pt>
                <c:pt idx="130">
                  <c:v>45489</c:v>
                </c:pt>
                <c:pt idx="131">
                  <c:v>45488</c:v>
                </c:pt>
                <c:pt idx="132">
                  <c:v>45485</c:v>
                </c:pt>
                <c:pt idx="133">
                  <c:v>45484</c:v>
                </c:pt>
                <c:pt idx="134">
                  <c:v>45483</c:v>
                </c:pt>
                <c:pt idx="135">
                  <c:v>45482</c:v>
                </c:pt>
                <c:pt idx="136">
                  <c:v>45481</c:v>
                </c:pt>
                <c:pt idx="137">
                  <c:v>45478</c:v>
                </c:pt>
                <c:pt idx="138">
                  <c:v>45477</c:v>
                </c:pt>
                <c:pt idx="139">
                  <c:v>45476</c:v>
                </c:pt>
                <c:pt idx="140">
                  <c:v>45475</c:v>
                </c:pt>
                <c:pt idx="141">
                  <c:v>45474</c:v>
                </c:pt>
                <c:pt idx="142">
                  <c:v>45471</c:v>
                </c:pt>
                <c:pt idx="143">
                  <c:v>45470</c:v>
                </c:pt>
                <c:pt idx="144">
                  <c:v>45469</c:v>
                </c:pt>
                <c:pt idx="145">
                  <c:v>45468</c:v>
                </c:pt>
                <c:pt idx="146">
                  <c:v>45467</c:v>
                </c:pt>
                <c:pt idx="147">
                  <c:v>45464</c:v>
                </c:pt>
                <c:pt idx="148">
                  <c:v>45463</c:v>
                </c:pt>
                <c:pt idx="149">
                  <c:v>45462</c:v>
                </c:pt>
                <c:pt idx="150">
                  <c:v>45461</c:v>
                </c:pt>
                <c:pt idx="151">
                  <c:v>45460</c:v>
                </c:pt>
                <c:pt idx="152">
                  <c:v>45457</c:v>
                </c:pt>
                <c:pt idx="153">
                  <c:v>45456</c:v>
                </c:pt>
                <c:pt idx="154">
                  <c:v>45455</c:v>
                </c:pt>
                <c:pt idx="155">
                  <c:v>45454</c:v>
                </c:pt>
                <c:pt idx="156">
                  <c:v>45453</c:v>
                </c:pt>
                <c:pt idx="157">
                  <c:v>45450</c:v>
                </c:pt>
                <c:pt idx="158">
                  <c:v>45448</c:v>
                </c:pt>
                <c:pt idx="159">
                  <c:v>45447</c:v>
                </c:pt>
                <c:pt idx="160">
                  <c:v>45446</c:v>
                </c:pt>
                <c:pt idx="161">
                  <c:v>45443</c:v>
                </c:pt>
                <c:pt idx="162">
                  <c:v>45442</c:v>
                </c:pt>
                <c:pt idx="163">
                  <c:v>45441</c:v>
                </c:pt>
                <c:pt idx="164">
                  <c:v>45440</c:v>
                </c:pt>
                <c:pt idx="165">
                  <c:v>45439</c:v>
                </c:pt>
                <c:pt idx="166">
                  <c:v>45436</c:v>
                </c:pt>
                <c:pt idx="167">
                  <c:v>45435</c:v>
                </c:pt>
                <c:pt idx="168">
                  <c:v>45434</c:v>
                </c:pt>
                <c:pt idx="169">
                  <c:v>45433</c:v>
                </c:pt>
                <c:pt idx="170">
                  <c:v>45432</c:v>
                </c:pt>
                <c:pt idx="171">
                  <c:v>45429</c:v>
                </c:pt>
                <c:pt idx="172">
                  <c:v>45428</c:v>
                </c:pt>
                <c:pt idx="173">
                  <c:v>45426</c:v>
                </c:pt>
                <c:pt idx="174">
                  <c:v>45425</c:v>
                </c:pt>
                <c:pt idx="175">
                  <c:v>45422</c:v>
                </c:pt>
                <c:pt idx="176">
                  <c:v>45421</c:v>
                </c:pt>
                <c:pt idx="177">
                  <c:v>45420</c:v>
                </c:pt>
                <c:pt idx="178">
                  <c:v>45419</c:v>
                </c:pt>
                <c:pt idx="179">
                  <c:v>45415</c:v>
                </c:pt>
                <c:pt idx="180">
                  <c:v>45414</c:v>
                </c:pt>
                <c:pt idx="181">
                  <c:v>45412</c:v>
                </c:pt>
                <c:pt idx="182">
                  <c:v>45411</c:v>
                </c:pt>
                <c:pt idx="183">
                  <c:v>45408</c:v>
                </c:pt>
                <c:pt idx="184">
                  <c:v>45407</c:v>
                </c:pt>
                <c:pt idx="185">
                  <c:v>45406</c:v>
                </c:pt>
                <c:pt idx="186">
                  <c:v>45405</c:v>
                </c:pt>
                <c:pt idx="187">
                  <c:v>45404</c:v>
                </c:pt>
                <c:pt idx="188">
                  <c:v>45401</c:v>
                </c:pt>
                <c:pt idx="189">
                  <c:v>45400</c:v>
                </c:pt>
                <c:pt idx="190">
                  <c:v>45399</c:v>
                </c:pt>
                <c:pt idx="191">
                  <c:v>45398</c:v>
                </c:pt>
                <c:pt idx="192">
                  <c:v>45397</c:v>
                </c:pt>
                <c:pt idx="193">
                  <c:v>45394</c:v>
                </c:pt>
                <c:pt idx="194">
                  <c:v>45393</c:v>
                </c:pt>
                <c:pt idx="195">
                  <c:v>45391</c:v>
                </c:pt>
                <c:pt idx="196">
                  <c:v>45390</c:v>
                </c:pt>
                <c:pt idx="197">
                  <c:v>45387</c:v>
                </c:pt>
                <c:pt idx="198">
                  <c:v>45386</c:v>
                </c:pt>
                <c:pt idx="199">
                  <c:v>45385</c:v>
                </c:pt>
                <c:pt idx="200">
                  <c:v>45384</c:v>
                </c:pt>
                <c:pt idx="201">
                  <c:v>45383</c:v>
                </c:pt>
                <c:pt idx="202">
                  <c:v>45380</c:v>
                </c:pt>
                <c:pt idx="203">
                  <c:v>45379</c:v>
                </c:pt>
                <c:pt idx="204">
                  <c:v>45378</c:v>
                </c:pt>
                <c:pt idx="205">
                  <c:v>45377</c:v>
                </c:pt>
                <c:pt idx="206">
                  <c:v>45376</c:v>
                </c:pt>
                <c:pt idx="207">
                  <c:v>45373</c:v>
                </c:pt>
                <c:pt idx="208">
                  <c:v>45372</c:v>
                </c:pt>
                <c:pt idx="209">
                  <c:v>45371</c:v>
                </c:pt>
                <c:pt idx="210">
                  <c:v>45370</c:v>
                </c:pt>
                <c:pt idx="211">
                  <c:v>45369</c:v>
                </c:pt>
                <c:pt idx="212">
                  <c:v>45366</c:v>
                </c:pt>
                <c:pt idx="213">
                  <c:v>45365</c:v>
                </c:pt>
                <c:pt idx="214">
                  <c:v>45364</c:v>
                </c:pt>
                <c:pt idx="215">
                  <c:v>45363</c:v>
                </c:pt>
                <c:pt idx="216">
                  <c:v>45362</c:v>
                </c:pt>
                <c:pt idx="217">
                  <c:v>45359</c:v>
                </c:pt>
                <c:pt idx="218">
                  <c:v>45358</c:v>
                </c:pt>
                <c:pt idx="219">
                  <c:v>45357</c:v>
                </c:pt>
                <c:pt idx="220">
                  <c:v>45356</c:v>
                </c:pt>
                <c:pt idx="221">
                  <c:v>45355</c:v>
                </c:pt>
                <c:pt idx="222">
                  <c:v>45351</c:v>
                </c:pt>
                <c:pt idx="223">
                  <c:v>45350</c:v>
                </c:pt>
                <c:pt idx="224">
                  <c:v>45349</c:v>
                </c:pt>
                <c:pt idx="225">
                  <c:v>45348</c:v>
                </c:pt>
                <c:pt idx="226">
                  <c:v>45345</c:v>
                </c:pt>
                <c:pt idx="227">
                  <c:v>45344</c:v>
                </c:pt>
                <c:pt idx="228">
                  <c:v>45343</c:v>
                </c:pt>
                <c:pt idx="229">
                  <c:v>45342</c:v>
                </c:pt>
                <c:pt idx="230">
                  <c:v>45341</c:v>
                </c:pt>
                <c:pt idx="231">
                  <c:v>45338</c:v>
                </c:pt>
                <c:pt idx="232">
                  <c:v>45337</c:v>
                </c:pt>
                <c:pt idx="233">
                  <c:v>45336</c:v>
                </c:pt>
                <c:pt idx="234">
                  <c:v>45335</c:v>
                </c:pt>
                <c:pt idx="235">
                  <c:v>45330</c:v>
                </c:pt>
                <c:pt idx="236">
                  <c:v>45329</c:v>
                </c:pt>
                <c:pt idx="237">
                  <c:v>45328</c:v>
                </c:pt>
                <c:pt idx="238">
                  <c:v>45327</c:v>
                </c:pt>
                <c:pt idx="239">
                  <c:v>45324</c:v>
                </c:pt>
                <c:pt idx="240">
                  <c:v>45323</c:v>
                </c:pt>
              </c:numCache>
            </c:numRef>
          </c:cat>
          <c:val>
            <c:numRef>
              <c:f>'daily monitor'!$V$101:$V$350</c:f>
              <c:numCache>
                <c:formatCode>General</c:formatCode>
                <c:ptCount val="250"/>
                <c:pt idx="0">
                  <c:v>3.03</c:v>
                </c:pt>
                <c:pt idx="1">
                  <c:v>3.03</c:v>
                </c:pt>
                <c:pt idx="2">
                  <c:v>3.03</c:v>
                </c:pt>
                <c:pt idx="3">
                  <c:v>3.03</c:v>
                </c:pt>
                <c:pt idx="4">
                  <c:v>2.98</c:v>
                </c:pt>
                <c:pt idx="5">
                  <c:v>2.99</c:v>
                </c:pt>
                <c:pt idx="6">
                  <c:v>2.99</c:v>
                </c:pt>
                <c:pt idx="7">
                  <c:v>2.99</c:v>
                </c:pt>
                <c:pt idx="8">
                  <c:v>2.99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3.04</c:v>
                </c:pt>
                <c:pt idx="14">
                  <c:v>3.05</c:v>
                </c:pt>
                <c:pt idx="15">
                  <c:v>3.1</c:v>
                </c:pt>
                <c:pt idx="16">
                  <c:v>3.15</c:v>
                </c:pt>
                <c:pt idx="17">
                  <c:v>3.26</c:v>
                </c:pt>
                <c:pt idx="18">
                  <c:v>3.39</c:v>
                </c:pt>
                <c:pt idx="19">
                  <c:v>3.44</c:v>
                </c:pt>
                <c:pt idx="20">
                  <c:v>3.44</c:v>
                </c:pt>
                <c:pt idx="21">
                  <c:v>3.4</c:v>
                </c:pt>
                <c:pt idx="22">
                  <c:v>3.4</c:v>
                </c:pt>
                <c:pt idx="23">
                  <c:v>3.39</c:v>
                </c:pt>
                <c:pt idx="24">
                  <c:v>3.39</c:v>
                </c:pt>
                <c:pt idx="25">
                  <c:v>3.39</c:v>
                </c:pt>
                <c:pt idx="26">
                  <c:v>3.38</c:v>
                </c:pt>
                <c:pt idx="27">
                  <c:v>3.38</c:v>
                </c:pt>
                <c:pt idx="28">
                  <c:v>3.38</c:v>
                </c:pt>
                <c:pt idx="29">
                  <c:v>3.32</c:v>
                </c:pt>
                <c:pt idx="30">
                  <c:v>3.31</c:v>
                </c:pt>
                <c:pt idx="31">
                  <c:v>3.33</c:v>
                </c:pt>
                <c:pt idx="32">
                  <c:v>3.3</c:v>
                </c:pt>
                <c:pt idx="33">
                  <c:v>3.28</c:v>
                </c:pt>
                <c:pt idx="34">
                  <c:v>3.28</c:v>
                </c:pt>
                <c:pt idx="35">
                  <c:v>3.28</c:v>
                </c:pt>
                <c:pt idx="36">
                  <c:v>3.28</c:v>
                </c:pt>
                <c:pt idx="37">
                  <c:v>3.28</c:v>
                </c:pt>
                <c:pt idx="38">
                  <c:v>3.28</c:v>
                </c:pt>
                <c:pt idx="39">
                  <c:v>3.29</c:v>
                </c:pt>
                <c:pt idx="40">
                  <c:v>3.29</c:v>
                </c:pt>
                <c:pt idx="41">
                  <c:v>3.44</c:v>
                </c:pt>
                <c:pt idx="42">
                  <c:v>3.44</c:v>
                </c:pt>
                <c:pt idx="43">
                  <c:v>3.44</c:v>
                </c:pt>
                <c:pt idx="44">
                  <c:v>3.44</c:v>
                </c:pt>
                <c:pt idx="45">
                  <c:v>3.44</c:v>
                </c:pt>
                <c:pt idx="46">
                  <c:v>3.44</c:v>
                </c:pt>
                <c:pt idx="47">
                  <c:v>3.44</c:v>
                </c:pt>
                <c:pt idx="48">
                  <c:v>3.44</c:v>
                </c:pt>
                <c:pt idx="49">
                  <c:v>3.44</c:v>
                </c:pt>
                <c:pt idx="50">
                  <c:v>3.44</c:v>
                </c:pt>
                <c:pt idx="51">
                  <c:v>3.44</c:v>
                </c:pt>
                <c:pt idx="52">
                  <c:v>3.44</c:v>
                </c:pt>
                <c:pt idx="53">
                  <c:v>3.43</c:v>
                </c:pt>
                <c:pt idx="54">
                  <c:v>3.43</c:v>
                </c:pt>
                <c:pt idx="55">
                  <c:v>3.43</c:v>
                </c:pt>
                <c:pt idx="56">
                  <c:v>3.44</c:v>
                </c:pt>
                <c:pt idx="57">
                  <c:v>3.44</c:v>
                </c:pt>
                <c:pt idx="58">
                  <c:v>3.43</c:v>
                </c:pt>
                <c:pt idx="59">
                  <c:v>3.43</c:v>
                </c:pt>
                <c:pt idx="60">
                  <c:v>3.43</c:v>
                </c:pt>
                <c:pt idx="61">
                  <c:v>3.43</c:v>
                </c:pt>
                <c:pt idx="62">
                  <c:v>3.41</c:v>
                </c:pt>
                <c:pt idx="63">
                  <c:v>3.41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3.39</c:v>
                </c:pt>
                <c:pt idx="69">
                  <c:v>3.39</c:v>
                </c:pt>
                <c:pt idx="70">
                  <c:v>3.39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3.4</c:v>
                </c:pt>
                <c:pt idx="75">
                  <c:v>3.5</c:v>
                </c:pt>
                <c:pt idx="76">
                  <c:v>3.51</c:v>
                </c:pt>
                <c:pt idx="77">
                  <c:v>3.51</c:v>
                </c:pt>
                <c:pt idx="78">
                  <c:v>3.52</c:v>
                </c:pt>
                <c:pt idx="79">
                  <c:v>3.52</c:v>
                </c:pt>
                <c:pt idx="80">
                  <c:v>3.53</c:v>
                </c:pt>
                <c:pt idx="81">
                  <c:v>3.53</c:v>
                </c:pt>
                <c:pt idx="82">
                  <c:v>3.53</c:v>
                </c:pt>
                <c:pt idx="83">
                  <c:v>3.53</c:v>
                </c:pt>
                <c:pt idx="84">
                  <c:v>3.53</c:v>
                </c:pt>
                <c:pt idx="85">
                  <c:v>3.53</c:v>
                </c:pt>
                <c:pt idx="86">
                  <c:v>3.53</c:v>
                </c:pt>
                <c:pt idx="87">
                  <c:v>3.53</c:v>
                </c:pt>
                <c:pt idx="88">
                  <c:v>3.53</c:v>
                </c:pt>
                <c:pt idx="89">
                  <c:v>3.51</c:v>
                </c:pt>
                <c:pt idx="90">
                  <c:v>3.51</c:v>
                </c:pt>
                <c:pt idx="91">
                  <c:v>3.51</c:v>
                </c:pt>
                <c:pt idx="92">
                  <c:v>3.51</c:v>
                </c:pt>
                <c:pt idx="93">
                  <c:v>3.51</c:v>
                </c:pt>
                <c:pt idx="94">
                  <c:v>3.51</c:v>
                </c:pt>
                <c:pt idx="95">
                  <c:v>3.51</c:v>
                </c:pt>
                <c:pt idx="96">
                  <c:v>3.51</c:v>
                </c:pt>
                <c:pt idx="97">
                  <c:v>3.52</c:v>
                </c:pt>
                <c:pt idx="98">
                  <c:v>3.52</c:v>
                </c:pt>
                <c:pt idx="99">
                  <c:v>3.52</c:v>
                </c:pt>
                <c:pt idx="100">
                  <c:v>3.52</c:v>
                </c:pt>
                <c:pt idx="101">
                  <c:v>3.52</c:v>
                </c:pt>
                <c:pt idx="102">
                  <c:v>3.51</c:v>
                </c:pt>
                <c:pt idx="103">
                  <c:v>3.51</c:v>
                </c:pt>
                <c:pt idx="104">
                  <c:v>3.51</c:v>
                </c:pt>
                <c:pt idx="105">
                  <c:v>3.52</c:v>
                </c:pt>
                <c:pt idx="106">
                  <c:v>3.51</c:v>
                </c:pt>
                <c:pt idx="107">
                  <c:v>3.51</c:v>
                </c:pt>
                <c:pt idx="108">
                  <c:v>3.51</c:v>
                </c:pt>
                <c:pt idx="109">
                  <c:v>3.49</c:v>
                </c:pt>
                <c:pt idx="110">
                  <c:v>3.49</c:v>
                </c:pt>
                <c:pt idx="111">
                  <c:v>3.46</c:v>
                </c:pt>
                <c:pt idx="112">
                  <c:v>3.47</c:v>
                </c:pt>
                <c:pt idx="113">
                  <c:v>3.47</c:v>
                </c:pt>
                <c:pt idx="114">
                  <c:v>3.48</c:v>
                </c:pt>
                <c:pt idx="115">
                  <c:v>3.47</c:v>
                </c:pt>
                <c:pt idx="116">
                  <c:v>3.48</c:v>
                </c:pt>
                <c:pt idx="117">
                  <c:v>3.48</c:v>
                </c:pt>
                <c:pt idx="118">
                  <c:v>3.49</c:v>
                </c:pt>
                <c:pt idx="119">
                  <c:v>3.5</c:v>
                </c:pt>
                <c:pt idx="120">
                  <c:v>3.5</c:v>
                </c:pt>
                <c:pt idx="121">
                  <c:v>3.5</c:v>
                </c:pt>
                <c:pt idx="122">
                  <c:v>3.5</c:v>
                </c:pt>
                <c:pt idx="123">
                  <c:v>3.51</c:v>
                </c:pt>
                <c:pt idx="124">
                  <c:v>3.51</c:v>
                </c:pt>
                <c:pt idx="125">
                  <c:v>3.52</c:v>
                </c:pt>
                <c:pt idx="126">
                  <c:v>3.52</c:v>
                </c:pt>
                <c:pt idx="127">
                  <c:v>3.52</c:v>
                </c:pt>
                <c:pt idx="128">
                  <c:v>3.52</c:v>
                </c:pt>
                <c:pt idx="129">
                  <c:v>3.54</c:v>
                </c:pt>
                <c:pt idx="130">
                  <c:v>3.55</c:v>
                </c:pt>
                <c:pt idx="131">
                  <c:v>3.54</c:v>
                </c:pt>
                <c:pt idx="132">
                  <c:v>3.55</c:v>
                </c:pt>
                <c:pt idx="133">
                  <c:v>3.55</c:v>
                </c:pt>
                <c:pt idx="134">
                  <c:v>3.55</c:v>
                </c:pt>
                <c:pt idx="135">
                  <c:v>3.56</c:v>
                </c:pt>
                <c:pt idx="136">
                  <c:v>3.57</c:v>
                </c:pt>
                <c:pt idx="137">
                  <c:v>3.57</c:v>
                </c:pt>
                <c:pt idx="138">
                  <c:v>3.58</c:v>
                </c:pt>
                <c:pt idx="139">
                  <c:v>3.58</c:v>
                </c:pt>
                <c:pt idx="140">
                  <c:v>3.6</c:v>
                </c:pt>
                <c:pt idx="141">
                  <c:v>3.6</c:v>
                </c:pt>
                <c:pt idx="142">
                  <c:v>3.6</c:v>
                </c:pt>
                <c:pt idx="143">
                  <c:v>3.6</c:v>
                </c:pt>
                <c:pt idx="144">
                  <c:v>3.6</c:v>
                </c:pt>
                <c:pt idx="145">
                  <c:v>3.6</c:v>
                </c:pt>
                <c:pt idx="146">
                  <c:v>3.6</c:v>
                </c:pt>
                <c:pt idx="147">
                  <c:v>3.6</c:v>
                </c:pt>
                <c:pt idx="148">
                  <c:v>3.6</c:v>
                </c:pt>
                <c:pt idx="149">
                  <c:v>3.6</c:v>
                </c:pt>
                <c:pt idx="150">
                  <c:v>3.6</c:v>
                </c:pt>
                <c:pt idx="151">
                  <c:v>3.6</c:v>
                </c:pt>
                <c:pt idx="152">
                  <c:v>3.6</c:v>
                </c:pt>
                <c:pt idx="153">
                  <c:v>3.6</c:v>
                </c:pt>
                <c:pt idx="154">
                  <c:v>3.6</c:v>
                </c:pt>
                <c:pt idx="155">
                  <c:v>3.6</c:v>
                </c:pt>
                <c:pt idx="156">
                  <c:v>3.6</c:v>
                </c:pt>
                <c:pt idx="157">
                  <c:v>3.6</c:v>
                </c:pt>
                <c:pt idx="158">
                  <c:v>3.6</c:v>
                </c:pt>
                <c:pt idx="159">
                  <c:v>3.6</c:v>
                </c:pt>
                <c:pt idx="160">
                  <c:v>3.61</c:v>
                </c:pt>
                <c:pt idx="161">
                  <c:v>3.61</c:v>
                </c:pt>
                <c:pt idx="162">
                  <c:v>3.6</c:v>
                </c:pt>
                <c:pt idx="163">
                  <c:v>3.61</c:v>
                </c:pt>
                <c:pt idx="164">
                  <c:v>3.62</c:v>
                </c:pt>
                <c:pt idx="165">
                  <c:v>3.61</c:v>
                </c:pt>
                <c:pt idx="166">
                  <c:v>3.6</c:v>
                </c:pt>
                <c:pt idx="167">
                  <c:v>3.6</c:v>
                </c:pt>
                <c:pt idx="168">
                  <c:v>3.6</c:v>
                </c:pt>
                <c:pt idx="169">
                  <c:v>3.6</c:v>
                </c:pt>
                <c:pt idx="170">
                  <c:v>3.6</c:v>
                </c:pt>
                <c:pt idx="171">
                  <c:v>3.6</c:v>
                </c:pt>
                <c:pt idx="172">
                  <c:v>3.6</c:v>
                </c:pt>
                <c:pt idx="173">
                  <c:v>3.6</c:v>
                </c:pt>
                <c:pt idx="174">
                  <c:v>3.59</c:v>
                </c:pt>
                <c:pt idx="175">
                  <c:v>3.58</c:v>
                </c:pt>
                <c:pt idx="176">
                  <c:v>3.58</c:v>
                </c:pt>
                <c:pt idx="177">
                  <c:v>3.58</c:v>
                </c:pt>
                <c:pt idx="178">
                  <c:v>3.58</c:v>
                </c:pt>
                <c:pt idx="179">
                  <c:v>3.58</c:v>
                </c:pt>
                <c:pt idx="180">
                  <c:v>3.57</c:v>
                </c:pt>
                <c:pt idx="181">
                  <c:v>3.57</c:v>
                </c:pt>
                <c:pt idx="182">
                  <c:v>3.57</c:v>
                </c:pt>
                <c:pt idx="183">
                  <c:v>3.57</c:v>
                </c:pt>
                <c:pt idx="184">
                  <c:v>3.57</c:v>
                </c:pt>
                <c:pt idx="185">
                  <c:v>3.56</c:v>
                </c:pt>
                <c:pt idx="186">
                  <c:v>3.56</c:v>
                </c:pt>
                <c:pt idx="187">
                  <c:v>3.56</c:v>
                </c:pt>
                <c:pt idx="188">
                  <c:v>3.55</c:v>
                </c:pt>
                <c:pt idx="189">
                  <c:v>3.55</c:v>
                </c:pt>
                <c:pt idx="190">
                  <c:v>3.55</c:v>
                </c:pt>
                <c:pt idx="191">
                  <c:v>3.56</c:v>
                </c:pt>
                <c:pt idx="192">
                  <c:v>3.56</c:v>
                </c:pt>
                <c:pt idx="193">
                  <c:v>3.56</c:v>
                </c:pt>
                <c:pt idx="194">
                  <c:v>3.57</c:v>
                </c:pt>
                <c:pt idx="195">
                  <c:v>3.57</c:v>
                </c:pt>
                <c:pt idx="196">
                  <c:v>3.56</c:v>
                </c:pt>
                <c:pt idx="197">
                  <c:v>3.58</c:v>
                </c:pt>
                <c:pt idx="198">
                  <c:v>3.62</c:v>
                </c:pt>
                <c:pt idx="199">
                  <c:v>3.62</c:v>
                </c:pt>
                <c:pt idx="200">
                  <c:v>3.63</c:v>
                </c:pt>
                <c:pt idx="201">
                  <c:v>3.63</c:v>
                </c:pt>
                <c:pt idx="202">
                  <c:v>3.64</c:v>
                </c:pt>
                <c:pt idx="203">
                  <c:v>3.64</c:v>
                </c:pt>
                <c:pt idx="204">
                  <c:v>3.63</c:v>
                </c:pt>
                <c:pt idx="205">
                  <c:v>3.64</c:v>
                </c:pt>
                <c:pt idx="206">
                  <c:v>3.65</c:v>
                </c:pt>
                <c:pt idx="207">
                  <c:v>3.65</c:v>
                </c:pt>
                <c:pt idx="208">
                  <c:v>3.65</c:v>
                </c:pt>
                <c:pt idx="209">
                  <c:v>3.64</c:v>
                </c:pt>
                <c:pt idx="210">
                  <c:v>3.64</c:v>
                </c:pt>
                <c:pt idx="211">
                  <c:v>3.64</c:v>
                </c:pt>
                <c:pt idx="212">
                  <c:v>3.64</c:v>
                </c:pt>
                <c:pt idx="213">
                  <c:v>3.64</c:v>
                </c:pt>
                <c:pt idx="214">
                  <c:v>3.65</c:v>
                </c:pt>
                <c:pt idx="215">
                  <c:v>3.66</c:v>
                </c:pt>
                <c:pt idx="216">
                  <c:v>3.67</c:v>
                </c:pt>
                <c:pt idx="217">
                  <c:v>3.68</c:v>
                </c:pt>
                <c:pt idx="218">
                  <c:v>3.68</c:v>
                </c:pt>
                <c:pt idx="219">
                  <c:v>3.68</c:v>
                </c:pt>
                <c:pt idx="220">
                  <c:v>3.68</c:v>
                </c:pt>
                <c:pt idx="221">
                  <c:v>3.68</c:v>
                </c:pt>
                <c:pt idx="222">
                  <c:v>3.69</c:v>
                </c:pt>
                <c:pt idx="223">
                  <c:v>3.7</c:v>
                </c:pt>
                <c:pt idx="224">
                  <c:v>3.7</c:v>
                </c:pt>
                <c:pt idx="225">
                  <c:v>3.7</c:v>
                </c:pt>
                <c:pt idx="226">
                  <c:v>3.7</c:v>
                </c:pt>
                <c:pt idx="227">
                  <c:v>3.7</c:v>
                </c:pt>
                <c:pt idx="228">
                  <c:v>3.7</c:v>
                </c:pt>
                <c:pt idx="229">
                  <c:v>3.69</c:v>
                </c:pt>
                <c:pt idx="230">
                  <c:v>3.69</c:v>
                </c:pt>
                <c:pt idx="231">
                  <c:v>3.68</c:v>
                </c:pt>
                <c:pt idx="232">
                  <c:v>3.68</c:v>
                </c:pt>
                <c:pt idx="233">
                  <c:v>3.68</c:v>
                </c:pt>
                <c:pt idx="234">
                  <c:v>3.67</c:v>
                </c:pt>
                <c:pt idx="235">
                  <c:v>3.67</c:v>
                </c:pt>
                <c:pt idx="236">
                  <c:v>3.67</c:v>
                </c:pt>
                <c:pt idx="237">
                  <c:v>3.67</c:v>
                </c:pt>
                <c:pt idx="238">
                  <c:v>3.67</c:v>
                </c:pt>
                <c:pt idx="239">
                  <c:v>3.68</c:v>
                </c:pt>
                <c:pt idx="240">
                  <c:v>3.68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274-407E-A8D2-092DD1FBED3C}"/>
            </c:ext>
          </c:extLst>
        </c:ser>
        <c:dLbls/>
        <c:marker val="1"/>
        <c:axId val="204962816"/>
        <c:axId val="204985088"/>
      </c:lineChart>
      <c:dateAx>
        <c:axId val="204962816"/>
        <c:scaling>
          <c:orientation val="minMax"/>
        </c:scaling>
        <c:axPos val="b"/>
        <c:numFmt formatCode="m/d/yyyy" sourceLinked="0"/>
        <c:tickLblPos val="nextTo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4985088"/>
        <c:crosses val="autoZero"/>
        <c:lblOffset val="100"/>
        <c:baseTimeUnit val="days"/>
      </c:dateAx>
      <c:valAx>
        <c:axId val="204985088"/>
        <c:scaling>
          <c:orientation val="minMax"/>
        </c:scaling>
        <c:axPos val="l"/>
        <c:numFmt formatCode="#,##0.000_ ;\-#,##0.000\ " sourceLinked="0"/>
        <c:tickLblPos val="nextTo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49628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0644239860620555"/>
          <c:y val="0.9138639646788338"/>
          <c:w val="0.78711499530360007"/>
          <c:h val="8.0968076664835506E-2"/>
        </c:manualLayout>
      </c:layout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dispBlanksAs val="gap"/>
  </c:chart>
  <c:spPr>
    <a:ln>
      <a:solidFill>
        <a:schemeClr val="bg1">
          <a:lumMod val="7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/>
          <a:lstStyle/>
          <a:p>
            <a:pPr>
              <a:defRPr sz="10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ko-KR" altLang="en-US" sz="1000">
                <a:solidFill>
                  <a:schemeClr val="tx1">
                    <a:lumMod val="75000"/>
                    <a:lumOff val="25000"/>
                  </a:schemeClr>
                </a:solidFill>
              </a:rPr>
              <a:t>외국인 누적 순매수</a:t>
            </a:r>
          </a:p>
        </c:rich>
      </c:tx>
      <c:layout/>
      <c:overlay val="1"/>
    </c:title>
    <c:plotArea>
      <c:layout/>
      <c:lineChart>
        <c:grouping val="standard"/>
        <c:ser>
          <c:idx val="0"/>
          <c:order val="0"/>
          <c:tx>
            <c:strRef>
              <c:f>'daily monitor'!$X$100</c:f>
              <c:strCache>
                <c:ptCount val="1"/>
                <c:pt idx="0">
                  <c:v>KOSPI</c:v>
                </c:pt>
              </c:strCache>
            </c:strRef>
          </c:tx>
          <c:spPr>
            <a:ln w="19050">
              <a:solidFill>
                <a:srgbClr val="6666FF"/>
              </a:solidFill>
            </a:ln>
          </c:spPr>
          <c:marker>
            <c:symbol val="none"/>
          </c:marker>
          <c:cat>
            <c:numRef>
              <c:f>'daily monitor'!$W$101:$W$344</c:f>
              <c:numCache>
                <c:formatCode>General</c:formatCode>
                <c:ptCount val="244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45656</c:v>
                </c:pt>
                <c:pt idx="19">
                  <c:v>45653</c:v>
                </c:pt>
                <c:pt idx="20">
                  <c:v>45652</c:v>
                </c:pt>
                <c:pt idx="21">
                  <c:v>45650</c:v>
                </c:pt>
                <c:pt idx="22">
                  <c:v>45649</c:v>
                </c:pt>
                <c:pt idx="23">
                  <c:v>45646</c:v>
                </c:pt>
                <c:pt idx="24">
                  <c:v>45645</c:v>
                </c:pt>
                <c:pt idx="25">
                  <c:v>45644</c:v>
                </c:pt>
                <c:pt idx="26">
                  <c:v>45643</c:v>
                </c:pt>
                <c:pt idx="27">
                  <c:v>45642</c:v>
                </c:pt>
                <c:pt idx="28">
                  <c:v>45639</c:v>
                </c:pt>
                <c:pt idx="29">
                  <c:v>45638</c:v>
                </c:pt>
                <c:pt idx="30">
                  <c:v>45637</c:v>
                </c:pt>
                <c:pt idx="31">
                  <c:v>45636</c:v>
                </c:pt>
                <c:pt idx="32">
                  <c:v>45635</c:v>
                </c:pt>
                <c:pt idx="33">
                  <c:v>45632</c:v>
                </c:pt>
                <c:pt idx="34">
                  <c:v>45631</c:v>
                </c:pt>
                <c:pt idx="35">
                  <c:v>45630</c:v>
                </c:pt>
                <c:pt idx="36">
                  <c:v>45629</c:v>
                </c:pt>
                <c:pt idx="37">
                  <c:v>45628</c:v>
                </c:pt>
                <c:pt idx="38">
                  <c:v>45625</c:v>
                </c:pt>
                <c:pt idx="39">
                  <c:v>45624</c:v>
                </c:pt>
                <c:pt idx="40">
                  <c:v>45623</c:v>
                </c:pt>
                <c:pt idx="41">
                  <c:v>45622</c:v>
                </c:pt>
                <c:pt idx="42">
                  <c:v>45621</c:v>
                </c:pt>
                <c:pt idx="43">
                  <c:v>45618</c:v>
                </c:pt>
                <c:pt idx="44">
                  <c:v>45617</c:v>
                </c:pt>
                <c:pt idx="45">
                  <c:v>45616</c:v>
                </c:pt>
                <c:pt idx="46">
                  <c:v>45615</c:v>
                </c:pt>
                <c:pt idx="47">
                  <c:v>45614</c:v>
                </c:pt>
                <c:pt idx="48">
                  <c:v>45611</c:v>
                </c:pt>
                <c:pt idx="49">
                  <c:v>45610</c:v>
                </c:pt>
                <c:pt idx="50">
                  <c:v>45609</c:v>
                </c:pt>
                <c:pt idx="51">
                  <c:v>45608</c:v>
                </c:pt>
                <c:pt idx="52">
                  <c:v>45607</c:v>
                </c:pt>
                <c:pt idx="53">
                  <c:v>45604</c:v>
                </c:pt>
                <c:pt idx="54">
                  <c:v>45603</c:v>
                </c:pt>
                <c:pt idx="55">
                  <c:v>45602</c:v>
                </c:pt>
                <c:pt idx="56">
                  <c:v>45601</c:v>
                </c:pt>
                <c:pt idx="57">
                  <c:v>45600</c:v>
                </c:pt>
                <c:pt idx="58">
                  <c:v>45597</c:v>
                </c:pt>
                <c:pt idx="59">
                  <c:v>45596</c:v>
                </c:pt>
                <c:pt idx="60">
                  <c:v>45595</c:v>
                </c:pt>
                <c:pt idx="61">
                  <c:v>45594</c:v>
                </c:pt>
                <c:pt idx="62">
                  <c:v>45593</c:v>
                </c:pt>
                <c:pt idx="63">
                  <c:v>45590</c:v>
                </c:pt>
                <c:pt idx="64">
                  <c:v>45589</c:v>
                </c:pt>
                <c:pt idx="65">
                  <c:v>45588</c:v>
                </c:pt>
                <c:pt idx="66">
                  <c:v>45587</c:v>
                </c:pt>
                <c:pt idx="67">
                  <c:v>45586</c:v>
                </c:pt>
                <c:pt idx="68">
                  <c:v>45583</c:v>
                </c:pt>
                <c:pt idx="69">
                  <c:v>45582</c:v>
                </c:pt>
                <c:pt idx="70">
                  <c:v>45581</c:v>
                </c:pt>
                <c:pt idx="71">
                  <c:v>45580</c:v>
                </c:pt>
                <c:pt idx="72">
                  <c:v>45579</c:v>
                </c:pt>
                <c:pt idx="73">
                  <c:v>45576</c:v>
                </c:pt>
                <c:pt idx="74">
                  <c:v>45575</c:v>
                </c:pt>
                <c:pt idx="75">
                  <c:v>45573</c:v>
                </c:pt>
                <c:pt idx="76">
                  <c:v>45572</c:v>
                </c:pt>
                <c:pt idx="77">
                  <c:v>45569</c:v>
                </c:pt>
                <c:pt idx="78">
                  <c:v>45567</c:v>
                </c:pt>
                <c:pt idx="79">
                  <c:v>45565</c:v>
                </c:pt>
                <c:pt idx="80">
                  <c:v>45562</c:v>
                </c:pt>
                <c:pt idx="81">
                  <c:v>45561</c:v>
                </c:pt>
                <c:pt idx="82">
                  <c:v>45560</c:v>
                </c:pt>
                <c:pt idx="83">
                  <c:v>45559</c:v>
                </c:pt>
                <c:pt idx="84">
                  <c:v>45558</c:v>
                </c:pt>
                <c:pt idx="85">
                  <c:v>45555</c:v>
                </c:pt>
                <c:pt idx="86">
                  <c:v>45554</c:v>
                </c:pt>
                <c:pt idx="87">
                  <c:v>45548</c:v>
                </c:pt>
                <c:pt idx="88">
                  <c:v>45547</c:v>
                </c:pt>
                <c:pt idx="89">
                  <c:v>45546</c:v>
                </c:pt>
                <c:pt idx="90">
                  <c:v>45545</c:v>
                </c:pt>
                <c:pt idx="91">
                  <c:v>45544</c:v>
                </c:pt>
                <c:pt idx="92">
                  <c:v>45541</c:v>
                </c:pt>
                <c:pt idx="93">
                  <c:v>45540</c:v>
                </c:pt>
                <c:pt idx="94">
                  <c:v>45539</c:v>
                </c:pt>
                <c:pt idx="95">
                  <c:v>45538</c:v>
                </c:pt>
                <c:pt idx="96">
                  <c:v>45537</c:v>
                </c:pt>
                <c:pt idx="97">
                  <c:v>45534</c:v>
                </c:pt>
                <c:pt idx="98">
                  <c:v>45533</c:v>
                </c:pt>
                <c:pt idx="99">
                  <c:v>45532</c:v>
                </c:pt>
                <c:pt idx="100">
                  <c:v>45531</c:v>
                </c:pt>
                <c:pt idx="101">
                  <c:v>45530</c:v>
                </c:pt>
                <c:pt idx="102">
                  <c:v>45527</c:v>
                </c:pt>
                <c:pt idx="103">
                  <c:v>45526</c:v>
                </c:pt>
                <c:pt idx="104">
                  <c:v>45525</c:v>
                </c:pt>
                <c:pt idx="105">
                  <c:v>45524</c:v>
                </c:pt>
                <c:pt idx="106">
                  <c:v>45523</c:v>
                </c:pt>
                <c:pt idx="107">
                  <c:v>45520</c:v>
                </c:pt>
                <c:pt idx="108">
                  <c:v>45518</c:v>
                </c:pt>
                <c:pt idx="109">
                  <c:v>45517</c:v>
                </c:pt>
                <c:pt idx="110">
                  <c:v>45516</c:v>
                </c:pt>
                <c:pt idx="111">
                  <c:v>45513</c:v>
                </c:pt>
                <c:pt idx="112">
                  <c:v>45512</c:v>
                </c:pt>
                <c:pt idx="113">
                  <c:v>45511</c:v>
                </c:pt>
                <c:pt idx="114">
                  <c:v>45510</c:v>
                </c:pt>
                <c:pt idx="115">
                  <c:v>45509</c:v>
                </c:pt>
                <c:pt idx="116">
                  <c:v>45506</c:v>
                </c:pt>
                <c:pt idx="117">
                  <c:v>45505</c:v>
                </c:pt>
                <c:pt idx="118">
                  <c:v>45504</c:v>
                </c:pt>
                <c:pt idx="119">
                  <c:v>45503</c:v>
                </c:pt>
                <c:pt idx="120">
                  <c:v>45502</c:v>
                </c:pt>
                <c:pt idx="121">
                  <c:v>45499</c:v>
                </c:pt>
                <c:pt idx="122">
                  <c:v>45498</c:v>
                </c:pt>
                <c:pt idx="123">
                  <c:v>45497</c:v>
                </c:pt>
                <c:pt idx="124">
                  <c:v>45496</c:v>
                </c:pt>
                <c:pt idx="125">
                  <c:v>45495</c:v>
                </c:pt>
                <c:pt idx="126">
                  <c:v>45492</c:v>
                </c:pt>
                <c:pt idx="127">
                  <c:v>45491</c:v>
                </c:pt>
                <c:pt idx="128">
                  <c:v>45490</c:v>
                </c:pt>
                <c:pt idx="129">
                  <c:v>45489</c:v>
                </c:pt>
                <c:pt idx="130">
                  <c:v>45488</c:v>
                </c:pt>
                <c:pt idx="131">
                  <c:v>45485</c:v>
                </c:pt>
                <c:pt idx="132">
                  <c:v>45484</c:v>
                </c:pt>
                <c:pt idx="133">
                  <c:v>45483</c:v>
                </c:pt>
                <c:pt idx="134">
                  <c:v>45482</c:v>
                </c:pt>
                <c:pt idx="135">
                  <c:v>45481</c:v>
                </c:pt>
                <c:pt idx="136">
                  <c:v>45478</c:v>
                </c:pt>
                <c:pt idx="137">
                  <c:v>45477</c:v>
                </c:pt>
                <c:pt idx="138">
                  <c:v>45476</c:v>
                </c:pt>
                <c:pt idx="139">
                  <c:v>45475</c:v>
                </c:pt>
                <c:pt idx="140">
                  <c:v>45474</c:v>
                </c:pt>
                <c:pt idx="141">
                  <c:v>45471</c:v>
                </c:pt>
                <c:pt idx="142">
                  <c:v>45470</c:v>
                </c:pt>
                <c:pt idx="143">
                  <c:v>45469</c:v>
                </c:pt>
                <c:pt idx="144">
                  <c:v>45468</c:v>
                </c:pt>
                <c:pt idx="145">
                  <c:v>45467</c:v>
                </c:pt>
                <c:pt idx="146">
                  <c:v>45464</c:v>
                </c:pt>
                <c:pt idx="147">
                  <c:v>45463</c:v>
                </c:pt>
                <c:pt idx="148">
                  <c:v>45462</c:v>
                </c:pt>
                <c:pt idx="149">
                  <c:v>45461</c:v>
                </c:pt>
                <c:pt idx="150">
                  <c:v>45460</c:v>
                </c:pt>
                <c:pt idx="151">
                  <c:v>45457</c:v>
                </c:pt>
                <c:pt idx="152">
                  <c:v>45456</c:v>
                </c:pt>
                <c:pt idx="153">
                  <c:v>45455</c:v>
                </c:pt>
                <c:pt idx="154">
                  <c:v>45454</c:v>
                </c:pt>
                <c:pt idx="155">
                  <c:v>45453</c:v>
                </c:pt>
                <c:pt idx="156">
                  <c:v>45450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45426</c:v>
                </c:pt>
                <c:pt idx="173">
                  <c:v>45425</c:v>
                </c:pt>
                <c:pt idx="174">
                  <c:v>45422</c:v>
                </c:pt>
                <c:pt idx="175">
                  <c:v>45421</c:v>
                </c:pt>
                <c:pt idx="176">
                  <c:v>45420</c:v>
                </c:pt>
                <c:pt idx="177">
                  <c:v>45419</c:v>
                </c:pt>
                <c:pt idx="178">
                  <c:v>45415</c:v>
                </c:pt>
                <c:pt idx="179">
                  <c:v>45414</c:v>
                </c:pt>
                <c:pt idx="180">
                  <c:v>45412</c:v>
                </c:pt>
                <c:pt idx="181">
                  <c:v>45411</c:v>
                </c:pt>
                <c:pt idx="182">
                  <c:v>45408</c:v>
                </c:pt>
                <c:pt idx="183">
                  <c:v>45407</c:v>
                </c:pt>
                <c:pt idx="184">
                  <c:v>45406</c:v>
                </c:pt>
                <c:pt idx="185">
                  <c:v>45405</c:v>
                </c:pt>
                <c:pt idx="186">
                  <c:v>45404</c:v>
                </c:pt>
                <c:pt idx="187">
                  <c:v>45401</c:v>
                </c:pt>
                <c:pt idx="188">
                  <c:v>45400</c:v>
                </c:pt>
                <c:pt idx="189">
                  <c:v>45399</c:v>
                </c:pt>
                <c:pt idx="190">
                  <c:v>45398</c:v>
                </c:pt>
                <c:pt idx="191">
                  <c:v>45397</c:v>
                </c:pt>
                <c:pt idx="192">
                  <c:v>45394</c:v>
                </c:pt>
                <c:pt idx="193">
                  <c:v>45393</c:v>
                </c:pt>
                <c:pt idx="194">
                  <c:v>45391</c:v>
                </c:pt>
                <c:pt idx="195">
                  <c:v>45390</c:v>
                </c:pt>
                <c:pt idx="196">
                  <c:v>45387</c:v>
                </c:pt>
                <c:pt idx="197">
                  <c:v>45386</c:v>
                </c:pt>
                <c:pt idx="198">
                  <c:v>45385</c:v>
                </c:pt>
                <c:pt idx="199">
                  <c:v>45384</c:v>
                </c:pt>
                <c:pt idx="200">
                  <c:v>45383</c:v>
                </c:pt>
                <c:pt idx="201">
                  <c:v>45380</c:v>
                </c:pt>
                <c:pt idx="202">
                  <c:v>45379</c:v>
                </c:pt>
                <c:pt idx="203">
                  <c:v>45378</c:v>
                </c:pt>
                <c:pt idx="204">
                  <c:v>45377</c:v>
                </c:pt>
                <c:pt idx="205">
                  <c:v>45376</c:v>
                </c:pt>
                <c:pt idx="206">
                  <c:v>45373</c:v>
                </c:pt>
                <c:pt idx="207">
                  <c:v>45372</c:v>
                </c:pt>
                <c:pt idx="208">
                  <c:v>45371</c:v>
                </c:pt>
                <c:pt idx="209">
                  <c:v>45370</c:v>
                </c:pt>
                <c:pt idx="210">
                  <c:v>45369</c:v>
                </c:pt>
                <c:pt idx="211">
                  <c:v>45366</c:v>
                </c:pt>
                <c:pt idx="212">
                  <c:v>45365</c:v>
                </c:pt>
                <c:pt idx="213">
                  <c:v>45364</c:v>
                </c:pt>
                <c:pt idx="214">
                  <c:v>45363</c:v>
                </c:pt>
                <c:pt idx="215">
                  <c:v>45362</c:v>
                </c:pt>
                <c:pt idx="216">
                  <c:v>45359</c:v>
                </c:pt>
                <c:pt idx="217">
                  <c:v>45358</c:v>
                </c:pt>
                <c:pt idx="218">
                  <c:v>45357</c:v>
                </c:pt>
                <c:pt idx="219">
                  <c:v>45356</c:v>
                </c:pt>
                <c:pt idx="220">
                  <c:v>45355</c:v>
                </c:pt>
                <c:pt idx="221">
                  <c:v>45351</c:v>
                </c:pt>
                <c:pt idx="222">
                  <c:v>45350</c:v>
                </c:pt>
                <c:pt idx="223">
                  <c:v>45349</c:v>
                </c:pt>
                <c:pt idx="224">
                  <c:v>45348</c:v>
                </c:pt>
                <c:pt idx="225">
                  <c:v>45345</c:v>
                </c:pt>
                <c:pt idx="226">
                  <c:v>45344</c:v>
                </c:pt>
                <c:pt idx="227">
                  <c:v>45343</c:v>
                </c:pt>
                <c:pt idx="228">
                  <c:v>45342</c:v>
                </c:pt>
                <c:pt idx="229">
                  <c:v>45341</c:v>
                </c:pt>
                <c:pt idx="230">
                  <c:v>45338</c:v>
                </c:pt>
                <c:pt idx="231">
                  <c:v>45337</c:v>
                </c:pt>
                <c:pt idx="232">
                  <c:v>45336</c:v>
                </c:pt>
                <c:pt idx="233">
                  <c:v>45335</c:v>
                </c:pt>
                <c:pt idx="234">
                  <c:v>45330</c:v>
                </c:pt>
                <c:pt idx="235">
                  <c:v>45329</c:v>
                </c:pt>
                <c:pt idx="236">
                  <c:v>45328</c:v>
                </c:pt>
                <c:pt idx="237">
                  <c:v>45327</c:v>
                </c:pt>
                <c:pt idx="238">
                  <c:v>45324</c:v>
                </c:pt>
                <c:pt idx="239">
                  <c:v>45323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cat>
          <c:val>
            <c:numRef>
              <c:f>'daily monitor'!$X$101:$X$344</c:f>
              <c:numCache>
                <c:formatCode>General</c:formatCode>
                <c:ptCount val="244"/>
                <c:pt idx="0">
                  <c:v>-3117375</c:v>
                </c:pt>
                <c:pt idx="1">
                  <c:v>-1949475</c:v>
                </c:pt>
                <c:pt idx="2">
                  <c:v>-2224623</c:v>
                </c:pt>
                <c:pt idx="3">
                  <c:v>-1607257</c:v>
                </c:pt>
                <c:pt idx="4">
                  <c:v>-1957258</c:v>
                </c:pt>
                <c:pt idx="5">
                  <c:v>-1784134</c:v>
                </c:pt>
                <c:pt idx="6">
                  <c:v>-1367926</c:v>
                </c:pt>
                <c:pt idx="7">
                  <c:v>-1134861</c:v>
                </c:pt>
                <c:pt idx="8">
                  <c:v>-1759296</c:v>
                </c:pt>
                <c:pt idx="9">
                  <c:v>-1815435</c:v>
                </c:pt>
                <c:pt idx="10">
                  <c:v>-1520791</c:v>
                </c:pt>
                <c:pt idx="11">
                  <c:v>-649047</c:v>
                </c:pt>
                <c:pt idx="12">
                  <c:v>-647487</c:v>
                </c:pt>
                <c:pt idx="13">
                  <c:v>-1395687</c:v>
                </c:pt>
                <c:pt idx="14">
                  <c:v>-1616587</c:v>
                </c:pt>
                <c:pt idx="15">
                  <c:v>-1775243</c:v>
                </c:pt>
                <c:pt idx="16">
                  <c:v>-2141484</c:v>
                </c:pt>
                <c:pt idx="17">
                  <c:v>-2421595</c:v>
                </c:pt>
                <c:pt idx="18">
                  <c:v>-2182787</c:v>
                </c:pt>
                <c:pt idx="19">
                  <c:v>-2062307</c:v>
                </c:pt>
                <c:pt idx="20">
                  <c:v>-1890738</c:v>
                </c:pt>
                <c:pt idx="21">
                  <c:v>-1910601</c:v>
                </c:pt>
                <c:pt idx="22">
                  <c:v>-1903978</c:v>
                </c:pt>
                <c:pt idx="23">
                  <c:v>-2048839</c:v>
                </c:pt>
                <c:pt idx="24">
                  <c:v>-1230761</c:v>
                </c:pt>
                <c:pt idx="25">
                  <c:v>-801986</c:v>
                </c:pt>
                <c:pt idx="26">
                  <c:v>-1194171</c:v>
                </c:pt>
                <c:pt idx="27">
                  <c:v>-492928</c:v>
                </c:pt>
                <c:pt idx="28">
                  <c:v>-60782</c:v>
                </c:pt>
                <c:pt idx="29">
                  <c:v>113774</c:v>
                </c:pt>
                <c:pt idx="30">
                  <c:v>136462</c:v>
                </c:pt>
                <c:pt idx="31">
                  <c:v>277756</c:v>
                </c:pt>
                <c:pt idx="32">
                  <c:v>384431</c:v>
                </c:pt>
                <c:pt idx="33">
                  <c:v>279554</c:v>
                </c:pt>
                <c:pt idx="34">
                  <c:v>563812</c:v>
                </c:pt>
                <c:pt idx="35">
                  <c:v>880255</c:v>
                </c:pt>
                <c:pt idx="36">
                  <c:v>1288219</c:v>
                </c:pt>
                <c:pt idx="37">
                  <c:v>723708</c:v>
                </c:pt>
                <c:pt idx="38">
                  <c:v>853849</c:v>
                </c:pt>
                <c:pt idx="39">
                  <c:v>1602139</c:v>
                </c:pt>
                <c:pt idx="40">
                  <c:v>2093530</c:v>
                </c:pt>
                <c:pt idx="41">
                  <c:v>2427926</c:v>
                </c:pt>
                <c:pt idx="42">
                  <c:v>2495526</c:v>
                </c:pt>
                <c:pt idx="43">
                  <c:v>2572300</c:v>
                </c:pt>
                <c:pt idx="44">
                  <c:v>2456148</c:v>
                </c:pt>
                <c:pt idx="45">
                  <c:v>2716110</c:v>
                </c:pt>
                <c:pt idx="46">
                  <c:v>2899776</c:v>
                </c:pt>
                <c:pt idx="47">
                  <c:v>3230112</c:v>
                </c:pt>
                <c:pt idx="48">
                  <c:v>3280444</c:v>
                </c:pt>
                <c:pt idx="49">
                  <c:v>3341788</c:v>
                </c:pt>
                <c:pt idx="50">
                  <c:v>3573849</c:v>
                </c:pt>
                <c:pt idx="51">
                  <c:v>4201975</c:v>
                </c:pt>
                <c:pt idx="52">
                  <c:v>4511674</c:v>
                </c:pt>
                <c:pt idx="53">
                  <c:v>4993789</c:v>
                </c:pt>
                <c:pt idx="54">
                  <c:v>5006868</c:v>
                </c:pt>
                <c:pt idx="55">
                  <c:v>4899305</c:v>
                </c:pt>
                <c:pt idx="56">
                  <c:v>5002013</c:v>
                </c:pt>
                <c:pt idx="57">
                  <c:v>5145475</c:v>
                </c:pt>
                <c:pt idx="58">
                  <c:v>5117051</c:v>
                </c:pt>
                <c:pt idx="59">
                  <c:v>5154679</c:v>
                </c:pt>
                <c:pt idx="60">
                  <c:v>6012953</c:v>
                </c:pt>
                <c:pt idx="61">
                  <c:v>6348758</c:v>
                </c:pt>
                <c:pt idx="62">
                  <c:v>6467832</c:v>
                </c:pt>
                <c:pt idx="63">
                  <c:v>6606982</c:v>
                </c:pt>
                <c:pt idx="64">
                  <c:v>6994169</c:v>
                </c:pt>
                <c:pt idx="65">
                  <c:v>7598363</c:v>
                </c:pt>
                <c:pt idx="66">
                  <c:v>7386776</c:v>
                </c:pt>
                <c:pt idx="67">
                  <c:v>7667551</c:v>
                </c:pt>
                <c:pt idx="68">
                  <c:v>7648861</c:v>
                </c:pt>
                <c:pt idx="69">
                  <c:v>8126645</c:v>
                </c:pt>
                <c:pt idx="70">
                  <c:v>8531095</c:v>
                </c:pt>
                <c:pt idx="71">
                  <c:v>9188534</c:v>
                </c:pt>
                <c:pt idx="72">
                  <c:v>8900725</c:v>
                </c:pt>
                <c:pt idx="73">
                  <c:v>8810283</c:v>
                </c:pt>
                <c:pt idx="74">
                  <c:v>9406593</c:v>
                </c:pt>
                <c:pt idx="75">
                  <c:v>9245930</c:v>
                </c:pt>
                <c:pt idx="76">
                  <c:v>9622534</c:v>
                </c:pt>
                <c:pt idx="77">
                  <c:v>9593500</c:v>
                </c:pt>
                <c:pt idx="78">
                  <c:v>9550663</c:v>
                </c:pt>
                <c:pt idx="79">
                  <c:v>9855439</c:v>
                </c:pt>
                <c:pt idx="80">
                  <c:v>10855495</c:v>
                </c:pt>
                <c:pt idx="81">
                  <c:v>10590090</c:v>
                </c:pt>
                <c:pt idx="82">
                  <c:v>10099661</c:v>
                </c:pt>
                <c:pt idx="83">
                  <c:v>10671487</c:v>
                </c:pt>
                <c:pt idx="84">
                  <c:v>11050437</c:v>
                </c:pt>
                <c:pt idx="85">
                  <c:v>11752301</c:v>
                </c:pt>
                <c:pt idx="86">
                  <c:v>11784951</c:v>
                </c:pt>
                <c:pt idx="87">
                  <c:v>12956278</c:v>
                </c:pt>
                <c:pt idx="88">
                  <c:v>13915912</c:v>
                </c:pt>
                <c:pt idx="89">
                  <c:v>13637386</c:v>
                </c:pt>
                <c:pt idx="90">
                  <c:v>14665748</c:v>
                </c:pt>
                <c:pt idx="91">
                  <c:v>15331135</c:v>
                </c:pt>
                <c:pt idx="92">
                  <c:v>15871311</c:v>
                </c:pt>
                <c:pt idx="93">
                  <c:v>16136233</c:v>
                </c:pt>
                <c:pt idx="94">
                  <c:v>16726135</c:v>
                </c:pt>
                <c:pt idx="95">
                  <c:v>17714713</c:v>
                </c:pt>
                <c:pt idx="96">
                  <c:v>18001828</c:v>
                </c:pt>
                <c:pt idx="97">
                  <c:v>17762671</c:v>
                </c:pt>
                <c:pt idx="98">
                  <c:v>18143331</c:v>
                </c:pt>
                <c:pt idx="99">
                  <c:v>18561116</c:v>
                </c:pt>
                <c:pt idx="100">
                  <c:v>18900753</c:v>
                </c:pt>
                <c:pt idx="101">
                  <c:v>19307307</c:v>
                </c:pt>
                <c:pt idx="102">
                  <c:v>19772120</c:v>
                </c:pt>
                <c:pt idx="103">
                  <c:v>20013919</c:v>
                </c:pt>
                <c:pt idx="104">
                  <c:v>19947771</c:v>
                </c:pt>
                <c:pt idx="105">
                  <c:v>19916388</c:v>
                </c:pt>
                <c:pt idx="106">
                  <c:v>19627376</c:v>
                </c:pt>
                <c:pt idx="107">
                  <c:v>19744927</c:v>
                </c:pt>
                <c:pt idx="108">
                  <c:v>18539472</c:v>
                </c:pt>
                <c:pt idx="109">
                  <c:v>18149362</c:v>
                </c:pt>
                <c:pt idx="110">
                  <c:v>18017533</c:v>
                </c:pt>
                <c:pt idx="111">
                  <c:v>17939437</c:v>
                </c:pt>
                <c:pt idx="112">
                  <c:v>17937717</c:v>
                </c:pt>
                <c:pt idx="113">
                  <c:v>18454451</c:v>
                </c:pt>
                <c:pt idx="114">
                  <c:v>18471943</c:v>
                </c:pt>
                <c:pt idx="115">
                  <c:v>18639652</c:v>
                </c:pt>
                <c:pt idx="116">
                  <c:v>20159453</c:v>
                </c:pt>
                <c:pt idx="117">
                  <c:v>21004338</c:v>
                </c:pt>
                <c:pt idx="118">
                  <c:v>20563149</c:v>
                </c:pt>
                <c:pt idx="119">
                  <c:v>20412842</c:v>
                </c:pt>
                <c:pt idx="120">
                  <c:v>20653569</c:v>
                </c:pt>
                <c:pt idx="121">
                  <c:v>20209202</c:v>
                </c:pt>
                <c:pt idx="122">
                  <c:v>20256674</c:v>
                </c:pt>
                <c:pt idx="123">
                  <c:v>20935196</c:v>
                </c:pt>
                <c:pt idx="124">
                  <c:v>21200575</c:v>
                </c:pt>
                <c:pt idx="125">
                  <c:v>20950403</c:v>
                </c:pt>
                <c:pt idx="126">
                  <c:v>21034862</c:v>
                </c:pt>
                <c:pt idx="127">
                  <c:v>21457755</c:v>
                </c:pt>
                <c:pt idx="128">
                  <c:v>21806826</c:v>
                </c:pt>
                <c:pt idx="129">
                  <c:v>22061061</c:v>
                </c:pt>
                <c:pt idx="130">
                  <c:v>21871457</c:v>
                </c:pt>
                <c:pt idx="131">
                  <c:v>21948878</c:v>
                </c:pt>
                <c:pt idx="132">
                  <c:v>22499931</c:v>
                </c:pt>
                <c:pt idx="133">
                  <c:v>21890074</c:v>
                </c:pt>
                <c:pt idx="134">
                  <c:v>21362579</c:v>
                </c:pt>
                <c:pt idx="135">
                  <c:v>21035537</c:v>
                </c:pt>
                <c:pt idx="136">
                  <c:v>20505749</c:v>
                </c:pt>
                <c:pt idx="137">
                  <c:v>19197112</c:v>
                </c:pt>
                <c:pt idx="138">
                  <c:v>18875101</c:v>
                </c:pt>
                <c:pt idx="139">
                  <c:v>18774374</c:v>
                </c:pt>
                <c:pt idx="140">
                  <c:v>18804490</c:v>
                </c:pt>
                <c:pt idx="141">
                  <c:v>18868665</c:v>
                </c:pt>
                <c:pt idx="142">
                  <c:v>18839154</c:v>
                </c:pt>
                <c:pt idx="143">
                  <c:v>18323589</c:v>
                </c:pt>
                <c:pt idx="144">
                  <c:v>17890092</c:v>
                </c:pt>
                <c:pt idx="145">
                  <c:v>17831093</c:v>
                </c:pt>
                <c:pt idx="146">
                  <c:v>18359981</c:v>
                </c:pt>
                <c:pt idx="147">
                  <c:v>18700304</c:v>
                </c:pt>
                <c:pt idx="148">
                  <c:v>18206241</c:v>
                </c:pt>
                <c:pt idx="149">
                  <c:v>17932645</c:v>
                </c:pt>
                <c:pt idx="150">
                  <c:v>17281562</c:v>
                </c:pt>
                <c:pt idx="151">
                  <c:v>17418922</c:v>
                </c:pt>
                <c:pt idx="152">
                  <c:v>16689401</c:v>
                </c:pt>
                <c:pt idx="153">
                  <c:v>15150686</c:v>
                </c:pt>
                <c:pt idx="154">
                  <c:v>14914738</c:v>
                </c:pt>
                <c:pt idx="155">
                  <c:v>15138190</c:v>
                </c:pt>
                <c:pt idx="156">
                  <c:v>15120275</c:v>
                </c:pt>
                <c:pt idx="157">
                  <c:v>14832986</c:v>
                </c:pt>
                <c:pt idx="158">
                  <c:v>14242900</c:v>
                </c:pt>
                <c:pt idx="159">
                  <c:v>14446655</c:v>
                </c:pt>
                <c:pt idx="160">
                  <c:v>14263830</c:v>
                </c:pt>
                <c:pt idx="161">
                  <c:v>15603757</c:v>
                </c:pt>
                <c:pt idx="162">
                  <c:v>16381370</c:v>
                </c:pt>
                <c:pt idx="163">
                  <c:v>17403394</c:v>
                </c:pt>
                <c:pt idx="164">
                  <c:v>17358073</c:v>
                </c:pt>
                <c:pt idx="165">
                  <c:v>17499103</c:v>
                </c:pt>
                <c:pt idx="166">
                  <c:v>17807118</c:v>
                </c:pt>
                <c:pt idx="167">
                  <c:v>17450387</c:v>
                </c:pt>
                <c:pt idx="168">
                  <c:v>17153593</c:v>
                </c:pt>
                <c:pt idx="169">
                  <c:v>17259379</c:v>
                </c:pt>
                <c:pt idx="170">
                  <c:v>17276239</c:v>
                </c:pt>
                <c:pt idx="171">
                  <c:v>17517186</c:v>
                </c:pt>
                <c:pt idx="172">
                  <c:v>17091317</c:v>
                </c:pt>
                <c:pt idx="173">
                  <c:v>17011208</c:v>
                </c:pt>
                <c:pt idx="174">
                  <c:v>16993712</c:v>
                </c:pt>
                <c:pt idx="175">
                  <c:v>16845510</c:v>
                </c:pt>
                <c:pt idx="176">
                  <c:v>17200146</c:v>
                </c:pt>
                <c:pt idx="177">
                  <c:v>16800566</c:v>
                </c:pt>
                <c:pt idx="178">
                  <c:v>15693283</c:v>
                </c:pt>
                <c:pt idx="179">
                  <c:v>15603466</c:v>
                </c:pt>
                <c:pt idx="180">
                  <c:v>15597117</c:v>
                </c:pt>
                <c:pt idx="181">
                  <c:v>15355912</c:v>
                </c:pt>
                <c:pt idx="182">
                  <c:v>15013664</c:v>
                </c:pt>
                <c:pt idx="183">
                  <c:v>14543217</c:v>
                </c:pt>
                <c:pt idx="184">
                  <c:v>14827669</c:v>
                </c:pt>
                <c:pt idx="185">
                  <c:v>14338621</c:v>
                </c:pt>
                <c:pt idx="186">
                  <c:v>14363341</c:v>
                </c:pt>
                <c:pt idx="187">
                  <c:v>15112842</c:v>
                </c:pt>
                <c:pt idx="188">
                  <c:v>15456465</c:v>
                </c:pt>
                <c:pt idx="189">
                  <c:v>14882234</c:v>
                </c:pt>
                <c:pt idx="190">
                  <c:v>15047304</c:v>
                </c:pt>
                <c:pt idx="191">
                  <c:v>15315079</c:v>
                </c:pt>
                <c:pt idx="192">
                  <c:v>15553816</c:v>
                </c:pt>
                <c:pt idx="193">
                  <c:v>15537174</c:v>
                </c:pt>
                <c:pt idx="194">
                  <c:v>14474364</c:v>
                </c:pt>
                <c:pt idx="195">
                  <c:v>14167449</c:v>
                </c:pt>
                <c:pt idx="196">
                  <c:v>13961047</c:v>
                </c:pt>
                <c:pt idx="197">
                  <c:v>14076408</c:v>
                </c:pt>
                <c:pt idx="198">
                  <c:v>13488883</c:v>
                </c:pt>
                <c:pt idx="199">
                  <c:v>13485470</c:v>
                </c:pt>
                <c:pt idx="200">
                  <c:v>12479026</c:v>
                </c:pt>
                <c:pt idx="201">
                  <c:v>12210740</c:v>
                </c:pt>
                <c:pt idx="202">
                  <c:v>11427759</c:v>
                </c:pt>
                <c:pt idx="203">
                  <c:v>11353371</c:v>
                </c:pt>
                <c:pt idx="204">
                  <c:v>11061350</c:v>
                </c:pt>
                <c:pt idx="205">
                  <c:v>10440555</c:v>
                </c:pt>
                <c:pt idx="206">
                  <c:v>10483392</c:v>
                </c:pt>
                <c:pt idx="207">
                  <c:v>9817471</c:v>
                </c:pt>
                <c:pt idx="208">
                  <c:v>7946825</c:v>
                </c:pt>
                <c:pt idx="209">
                  <c:v>7095208</c:v>
                </c:pt>
                <c:pt idx="210">
                  <c:v>7334002</c:v>
                </c:pt>
                <c:pt idx="211">
                  <c:v>7418702</c:v>
                </c:pt>
                <c:pt idx="212">
                  <c:v>8451021</c:v>
                </c:pt>
                <c:pt idx="213">
                  <c:v>7978773</c:v>
                </c:pt>
                <c:pt idx="214">
                  <c:v>7644926</c:v>
                </c:pt>
                <c:pt idx="215">
                  <c:v>8016839</c:v>
                </c:pt>
                <c:pt idx="216">
                  <c:v>8122126</c:v>
                </c:pt>
                <c:pt idx="217">
                  <c:v>7943335</c:v>
                </c:pt>
                <c:pt idx="218">
                  <c:v>8268915</c:v>
                </c:pt>
                <c:pt idx="219">
                  <c:v>8643790</c:v>
                </c:pt>
                <c:pt idx="220">
                  <c:v>8558272</c:v>
                </c:pt>
                <c:pt idx="221">
                  <c:v>7791166</c:v>
                </c:pt>
                <c:pt idx="222">
                  <c:v>7615144</c:v>
                </c:pt>
                <c:pt idx="223">
                  <c:v>7137688</c:v>
                </c:pt>
                <c:pt idx="224">
                  <c:v>7102939</c:v>
                </c:pt>
                <c:pt idx="225">
                  <c:v>6988212</c:v>
                </c:pt>
                <c:pt idx="226">
                  <c:v>6838838</c:v>
                </c:pt>
                <c:pt idx="227">
                  <c:v>6673119</c:v>
                </c:pt>
                <c:pt idx="228">
                  <c:v>6738325</c:v>
                </c:pt>
                <c:pt idx="229">
                  <c:v>6629897</c:v>
                </c:pt>
                <c:pt idx="230">
                  <c:v>6016021</c:v>
                </c:pt>
                <c:pt idx="231">
                  <c:v>5457821</c:v>
                </c:pt>
                <c:pt idx="232">
                  <c:v>5474022</c:v>
                </c:pt>
                <c:pt idx="233">
                  <c:v>5365265</c:v>
                </c:pt>
                <c:pt idx="234">
                  <c:v>4416472</c:v>
                </c:pt>
                <c:pt idx="235">
                  <c:v>4010978</c:v>
                </c:pt>
                <c:pt idx="236">
                  <c:v>3475015</c:v>
                </c:pt>
                <c:pt idx="237">
                  <c:v>3143007</c:v>
                </c:pt>
                <c:pt idx="238">
                  <c:v>2963703</c:v>
                </c:pt>
                <c:pt idx="239">
                  <c:v>1039043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541-4101-BA91-32B5375B7CE1}"/>
            </c:ext>
          </c:extLst>
        </c:ser>
        <c:ser>
          <c:idx val="1"/>
          <c:order val="1"/>
          <c:tx>
            <c:strRef>
              <c:f>'daily monitor'!$Y$100</c:f>
              <c:strCache>
                <c:ptCount val="1"/>
                <c:pt idx="0">
                  <c:v>KOSDAQ</c:v>
                </c:pt>
              </c:strCache>
            </c:strRef>
          </c:tx>
          <c:spPr>
            <a:ln w="19050">
              <a:solidFill>
                <a:srgbClr val="FF6699"/>
              </a:solidFill>
            </a:ln>
          </c:spPr>
          <c:marker>
            <c:symbol val="none"/>
          </c:marker>
          <c:cat>
            <c:numRef>
              <c:f>'daily monitor'!$W$101:$W$344</c:f>
              <c:numCache>
                <c:formatCode>General</c:formatCode>
                <c:ptCount val="244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45656</c:v>
                </c:pt>
                <c:pt idx="19">
                  <c:v>45653</c:v>
                </c:pt>
                <c:pt idx="20">
                  <c:v>45652</c:v>
                </c:pt>
                <c:pt idx="21">
                  <c:v>45650</c:v>
                </c:pt>
                <c:pt idx="22">
                  <c:v>45649</c:v>
                </c:pt>
                <c:pt idx="23">
                  <c:v>45646</c:v>
                </c:pt>
                <c:pt idx="24">
                  <c:v>45645</c:v>
                </c:pt>
                <c:pt idx="25">
                  <c:v>45644</c:v>
                </c:pt>
                <c:pt idx="26">
                  <c:v>45643</c:v>
                </c:pt>
                <c:pt idx="27">
                  <c:v>45642</c:v>
                </c:pt>
                <c:pt idx="28">
                  <c:v>45639</c:v>
                </c:pt>
                <c:pt idx="29">
                  <c:v>45638</c:v>
                </c:pt>
                <c:pt idx="30">
                  <c:v>45637</c:v>
                </c:pt>
                <c:pt idx="31">
                  <c:v>45636</c:v>
                </c:pt>
                <c:pt idx="32">
                  <c:v>45635</c:v>
                </c:pt>
                <c:pt idx="33">
                  <c:v>45632</c:v>
                </c:pt>
                <c:pt idx="34">
                  <c:v>45631</c:v>
                </c:pt>
                <c:pt idx="35">
                  <c:v>45630</c:v>
                </c:pt>
                <c:pt idx="36">
                  <c:v>45629</c:v>
                </c:pt>
                <c:pt idx="37">
                  <c:v>45628</c:v>
                </c:pt>
                <c:pt idx="38">
                  <c:v>45625</c:v>
                </c:pt>
                <c:pt idx="39">
                  <c:v>45624</c:v>
                </c:pt>
                <c:pt idx="40">
                  <c:v>45623</c:v>
                </c:pt>
                <c:pt idx="41">
                  <c:v>45622</c:v>
                </c:pt>
                <c:pt idx="42">
                  <c:v>45621</c:v>
                </c:pt>
                <c:pt idx="43">
                  <c:v>45618</c:v>
                </c:pt>
                <c:pt idx="44">
                  <c:v>45617</c:v>
                </c:pt>
                <c:pt idx="45">
                  <c:v>45616</c:v>
                </c:pt>
                <c:pt idx="46">
                  <c:v>45615</c:v>
                </c:pt>
                <c:pt idx="47">
                  <c:v>45614</c:v>
                </c:pt>
                <c:pt idx="48">
                  <c:v>45611</c:v>
                </c:pt>
                <c:pt idx="49">
                  <c:v>45610</c:v>
                </c:pt>
                <c:pt idx="50">
                  <c:v>45609</c:v>
                </c:pt>
                <c:pt idx="51">
                  <c:v>45608</c:v>
                </c:pt>
                <c:pt idx="52">
                  <c:v>45607</c:v>
                </c:pt>
                <c:pt idx="53">
                  <c:v>45604</c:v>
                </c:pt>
                <c:pt idx="54">
                  <c:v>45603</c:v>
                </c:pt>
                <c:pt idx="55">
                  <c:v>45602</c:v>
                </c:pt>
                <c:pt idx="56">
                  <c:v>45601</c:v>
                </c:pt>
                <c:pt idx="57">
                  <c:v>45600</c:v>
                </c:pt>
                <c:pt idx="58">
                  <c:v>45597</c:v>
                </c:pt>
                <c:pt idx="59">
                  <c:v>45596</c:v>
                </c:pt>
                <c:pt idx="60">
                  <c:v>45595</c:v>
                </c:pt>
                <c:pt idx="61">
                  <c:v>45594</c:v>
                </c:pt>
                <c:pt idx="62">
                  <c:v>45593</c:v>
                </c:pt>
                <c:pt idx="63">
                  <c:v>45590</c:v>
                </c:pt>
                <c:pt idx="64">
                  <c:v>45589</c:v>
                </c:pt>
                <c:pt idx="65">
                  <c:v>45588</c:v>
                </c:pt>
                <c:pt idx="66">
                  <c:v>45587</c:v>
                </c:pt>
                <c:pt idx="67">
                  <c:v>45586</c:v>
                </c:pt>
                <c:pt idx="68">
                  <c:v>45583</c:v>
                </c:pt>
                <c:pt idx="69">
                  <c:v>45582</c:v>
                </c:pt>
                <c:pt idx="70">
                  <c:v>45581</c:v>
                </c:pt>
                <c:pt idx="71">
                  <c:v>45580</c:v>
                </c:pt>
                <c:pt idx="72">
                  <c:v>45579</c:v>
                </c:pt>
                <c:pt idx="73">
                  <c:v>45576</c:v>
                </c:pt>
                <c:pt idx="74">
                  <c:v>45575</c:v>
                </c:pt>
                <c:pt idx="75">
                  <c:v>45573</c:v>
                </c:pt>
                <c:pt idx="76">
                  <c:v>45572</c:v>
                </c:pt>
                <c:pt idx="77">
                  <c:v>45569</c:v>
                </c:pt>
                <c:pt idx="78">
                  <c:v>45567</c:v>
                </c:pt>
                <c:pt idx="79">
                  <c:v>45565</c:v>
                </c:pt>
                <c:pt idx="80">
                  <c:v>45562</c:v>
                </c:pt>
                <c:pt idx="81">
                  <c:v>45561</c:v>
                </c:pt>
                <c:pt idx="82">
                  <c:v>45560</c:v>
                </c:pt>
                <c:pt idx="83">
                  <c:v>45559</c:v>
                </c:pt>
                <c:pt idx="84">
                  <c:v>45558</c:v>
                </c:pt>
                <c:pt idx="85">
                  <c:v>45555</c:v>
                </c:pt>
                <c:pt idx="86">
                  <c:v>45554</c:v>
                </c:pt>
                <c:pt idx="87">
                  <c:v>45548</c:v>
                </c:pt>
                <c:pt idx="88">
                  <c:v>45547</c:v>
                </c:pt>
                <c:pt idx="89">
                  <c:v>45546</c:v>
                </c:pt>
                <c:pt idx="90">
                  <c:v>45545</c:v>
                </c:pt>
                <c:pt idx="91">
                  <c:v>45544</c:v>
                </c:pt>
                <c:pt idx="92">
                  <c:v>45541</c:v>
                </c:pt>
                <c:pt idx="93">
                  <c:v>45540</c:v>
                </c:pt>
                <c:pt idx="94">
                  <c:v>45539</c:v>
                </c:pt>
                <c:pt idx="95">
                  <c:v>45538</c:v>
                </c:pt>
                <c:pt idx="96">
                  <c:v>45537</c:v>
                </c:pt>
                <c:pt idx="97">
                  <c:v>45534</c:v>
                </c:pt>
                <c:pt idx="98">
                  <c:v>45533</c:v>
                </c:pt>
                <c:pt idx="99">
                  <c:v>45532</c:v>
                </c:pt>
                <c:pt idx="100">
                  <c:v>45531</c:v>
                </c:pt>
                <c:pt idx="101">
                  <c:v>45530</c:v>
                </c:pt>
                <c:pt idx="102">
                  <c:v>45527</c:v>
                </c:pt>
                <c:pt idx="103">
                  <c:v>45526</c:v>
                </c:pt>
                <c:pt idx="104">
                  <c:v>45525</c:v>
                </c:pt>
                <c:pt idx="105">
                  <c:v>45524</c:v>
                </c:pt>
                <c:pt idx="106">
                  <c:v>45523</c:v>
                </c:pt>
                <c:pt idx="107">
                  <c:v>45520</c:v>
                </c:pt>
                <c:pt idx="108">
                  <c:v>45518</c:v>
                </c:pt>
                <c:pt idx="109">
                  <c:v>45517</c:v>
                </c:pt>
                <c:pt idx="110">
                  <c:v>45516</c:v>
                </c:pt>
                <c:pt idx="111">
                  <c:v>45513</c:v>
                </c:pt>
                <c:pt idx="112">
                  <c:v>45512</c:v>
                </c:pt>
                <c:pt idx="113">
                  <c:v>45511</c:v>
                </c:pt>
                <c:pt idx="114">
                  <c:v>45510</c:v>
                </c:pt>
                <c:pt idx="115">
                  <c:v>45509</c:v>
                </c:pt>
                <c:pt idx="116">
                  <c:v>45506</c:v>
                </c:pt>
                <c:pt idx="117">
                  <c:v>45505</c:v>
                </c:pt>
                <c:pt idx="118">
                  <c:v>45504</c:v>
                </c:pt>
                <c:pt idx="119">
                  <c:v>45503</c:v>
                </c:pt>
                <c:pt idx="120">
                  <c:v>45502</c:v>
                </c:pt>
                <c:pt idx="121">
                  <c:v>45499</c:v>
                </c:pt>
                <c:pt idx="122">
                  <c:v>45498</c:v>
                </c:pt>
                <c:pt idx="123">
                  <c:v>45497</c:v>
                </c:pt>
                <c:pt idx="124">
                  <c:v>45496</c:v>
                </c:pt>
                <c:pt idx="125">
                  <c:v>45495</c:v>
                </c:pt>
                <c:pt idx="126">
                  <c:v>45492</c:v>
                </c:pt>
                <c:pt idx="127">
                  <c:v>45491</c:v>
                </c:pt>
                <c:pt idx="128">
                  <c:v>45490</c:v>
                </c:pt>
                <c:pt idx="129">
                  <c:v>45489</c:v>
                </c:pt>
                <c:pt idx="130">
                  <c:v>45488</c:v>
                </c:pt>
                <c:pt idx="131">
                  <c:v>45485</c:v>
                </c:pt>
                <c:pt idx="132">
                  <c:v>45484</c:v>
                </c:pt>
                <c:pt idx="133">
                  <c:v>45483</c:v>
                </c:pt>
                <c:pt idx="134">
                  <c:v>45482</c:v>
                </c:pt>
                <c:pt idx="135">
                  <c:v>45481</c:v>
                </c:pt>
                <c:pt idx="136">
                  <c:v>45478</c:v>
                </c:pt>
                <c:pt idx="137">
                  <c:v>45477</c:v>
                </c:pt>
                <c:pt idx="138">
                  <c:v>45476</c:v>
                </c:pt>
                <c:pt idx="139">
                  <c:v>45475</c:v>
                </c:pt>
                <c:pt idx="140">
                  <c:v>45474</c:v>
                </c:pt>
                <c:pt idx="141">
                  <c:v>45471</c:v>
                </c:pt>
                <c:pt idx="142">
                  <c:v>45470</c:v>
                </c:pt>
                <c:pt idx="143">
                  <c:v>45469</c:v>
                </c:pt>
                <c:pt idx="144">
                  <c:v>45468</c:v>
                </c:pt>
                <c:pt idx="145">
                  <c:v>45467</c:v>
                </c:pt>
                <c:pt idx="146">
                  <c:v>45464</c:v>
                </c:pt>
                <c:pt idx="147">
                  <c:v>45463</c:v>
                </c:pt>
                <c:pt idx="148">
                  <c:v>45462</c:v>
                </c:pt>
                <c:pt idx="149">
                  <c:v>45461</c:v>
                </c:pt>
                <c:pt idx="150">
                  <c:v>45460</c:v>
                </c:pt>
                <c:pt idx="151">
                  <c:v>45457</c:v>
                </c:pt>
                <c:pt idx="152">
                  <c:v>45456</c:v>
                </c:pt>
                <c:pt idx="153">
                  <c:v>45455</c:v>
                </c:pt>
                <c:pt idx="154">
                  <c:v>45454</c:v>
                </c:pt>
                <c:pt idx="155">
                  <c:v>45453</c:v>
                </c:pt>
                <c:pt idx="156">
                  <c:v>45450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45426</c:v>
                </c:pt>
                <c:pt idx="173">
                  <c:v>45425</c:v>
                </c:pt>
                <c:pt idx="174">
                  <c:v>45422</c:v>
                </c:pt>
                <c:pt idx="175">
                  <c:v>45421</c:v>
                </c:pt>
                <c:pt idx="176">
                  <c:v>45420</c:v>
                </c:pt>
                <c:pt idx="177">
                  <c:v>45419</c:v>
                </c:pt>
                <c:pt idx="178">
                  <c:v>45415</c:v>
                </c:pt>
                <c:pt idx="179">
                  <c:v>45414</c:v>
                </c:pt>
                <c:pt idx="180">
                  <c:v>45412</c:v>
                </c:pt>
                <c:pt idx="181">
                  <c:v>45411</c:v>
                </c:pt>
                <c:pt idx="182">
                  <c:v>45408</c:v>
                </c:pt>
                <c:pt idx="183">
                  <c:v>45407</c:v>
                </c:pt>
                <c:pt idx="184">
                  <c:v>45406</c:v>
                </c:pt>
                <c:pt idx="185">
                  <c:v>45405</c:v>
                </c:pt>
                <c:pt idx="186">
                  <c:v>45404</c:v>
                </c:pt>
                <c:pt idx="187">
                  <c:v>45401</c:v>
                </c:pt>
                <c:pt idx="188">
                  <c:v>45400</c:v>
                </c:pt>
                <c:pt idx="189">
                  <c:v>45399</c:v>
                </c:pt>
                <c:pt idx="190">
                  <c:v>45398</c:v>
                </c:pt>
                <c:pt idx="191">
                  <c:v>45397</c:v>
                </c:pt>
                <c:pt idx="192">
                  <c:v>45394</c:v>
                </c:pt>
                <c:pt idx="193">
                  <c:v>45393</c:v>
                </c:pt>
                <c:pt idx="194">
                  <c:v>45391</c:v>
                </c:pt>
                <c:pt idx="195">
                  <c:v>45390</c:v>
                </c:pt>
                <c:pt idx="196">
                  <c:v>45387</c:v>
                </c:pt>
                <c:pt idx="197">
                  <c:v>45386</c:v>
                </c:pt>
                <c:pt idx="198">
                  <c:v>45385</c:v>
                </c:pt>
                <c:pt idx="199">
                  <c:v>45384</c:v>
                </c:pt>
                <c:pt idx="200">
                  <c:v>45383</c:v>
                </c:pt>
                <c:pt idx="201">
                  <c:v>45380</c:v>
                </c:pt>
                <c:pt idx="202">
                  <c:v>45379</c:v>
                </c:pt>
                <c:pt idx="203">
                  <c:v>45378</c:v>
                </c:pt>
                <c:pt idx="204">
                  <c:v>45377</c:v>
                </c:pt>
                <c:pt idx="205">
                  <c:v>45376</c:v>
                </c:pt>
                <c:pt idx="206">
                  <c:v>45373</c:v>
                </c:pt>
                <c:pt idx="207">
                  <c:v>45372</c:v>
                </c:pt>
                <c:pt idx="208">
                  <c:v>45371</c:v>
                </c:pt>
                <c:pt idx="209">
                  <c:v>45370</c:v>
                </c:pt>
                <c:pt idx="210">
                  <c:v>45369</c:v>
                </c:pt>
                <c:pt idx="211">
                  <c:v>45366</c:v>
                </c:pt>
                <c:pt idx="212">
                  <c:v>45365</c:v>
                </c:pt>
                <c:pt idx="213">
                  <c:v>45364</c:v>
                </c:pt>
                <c:pt idx="214">
                  <c:v>45363</c:v>
                </c:pt>
                <c:pt idx="215">
                  <c:v>45362</c:v>
                </c:pt>
                <c:pt idx="216">
                  <c:v>45359</c:v>
                </c:pt>
                <c:pt idx="217">
                  <c:v>45358</c:v>
                </c:pt>
                <c:pt idx="218">
                  <c:v>45357</c:v>
                </c:pt>
                <c:pt idx="219">
                  <c:v>45356</c:v>
                </c:pt>
                <c:pt idx="220">
                  <c:v>45355</c:v>
                </c:pt>
                <c:pt idx="221">
                  <c:v>45351</c:v>
                </c:pt>
                <c:pt idx="222">
                  <c:v>45350</c:v>
                </c:pt>
                <c:pt idx="223">
                  <c:v>45349</c:v>
                </c:pt>
                <c:pt idx="224">
                  <c:v>45348</c:v>
                </c:pt>
                <c:pt idx="225">
                  <c:v>45345</c:v>
                </c:pt>
                <c:pt idx="226">
                  <c:v>45344</c:v>
                </c:pt>
                <c:pt idx="227">
                  <c:v>45343</c:v>
                </c:pt>
                <c:pt idx="228">
                  <c:v>45342</c:v>
                </c:pt>
                <c:pt idx="229">
                  <c:v>45341</c:v>
                </c:pt>
                <c:pt idx="230">
                  <c:v>45338</c:v>
                </c:pt>
                <c:pt idx="231">
                  <c:v>45337</c:v>
                </c:pt>
                <c:pt idx="232">
                  <c:v>45336</c:v>
                </c:pt>
                <c:pt idx="233">
                  <c:v>45335</c:v>
                </c:pt>
                <c:pt idx="234">
                  <c:v>45330</c:v>
                </c:pt>
                <c:pt idx="235">
                  <c:v>45329</c:v>
                </c:pt>
                <c:pt idx="236">
                  <c:v>45328</c:v>
                </c:pt>
                <c:pt idx="237">
                  <c:v>45327</c:v>
                </c:pt>
                <c:pt idx="238">
                  <c:v>45324</c:v>
                </c:pt>
                <c:pt idx="239">
                  <c:v>45323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cat>
          <c:val>
            <c:numRef>
              <c:f>'daily monitor'!$Y$101:$Y$344</c:f>
              <c:numCache>
                <c:formatCode>General</c:formatCode>
                <c:ptCount val="244"/>
                <c:pt idx="0">
                  <c:v>1488467</c:v>
                </c:pt>
                <c:pt idx="1">
                  <c:v>1459001</c:v>
                </c:pt>
                <c:pt idx="2">
                  <c:v>1391249</c:v>
                </c:pt>
                <c:pt idx="3">
                  <c:v>1489265</c:v>
                </c:pt>
                <c:pt idx="4">
                  <c:v>1469671</c:v>
                </c:pt>
                <c:pt idx="5">
                  <c:v>1524506</c:v>
                </c:pt>
                <c:pt idx="6">
                  <c:v>1605138</c:v>
                </c:pt>
                <c:pt idx="7">
                  <c:v>1682168</c:v>
                </c:pt>
                <c:pt idx="8">
                  <c:v>1455179</c:v>
                </c:pt>
                <c:pt idx="9">
                  <c:v>1633199</c:v>
                </c:pt>
                <c:pt idx="10">
                  <c:v>1555223</c:v>
                </c:pt>
                <c:pt idx="11">
                  <c:v>1591879</c:v>
                </c:pt>
                <c:pt idx="12">
                  <c:v>1714110</c:v>
                </c:pt>
                <c:pt idx="13">
                  <c:v>1735439</c:v>
                </c:pt>
                <c:pt idx="14">
                  <c:v>1859376</c:v>
                </c:pt>
                <c:pt idx="15">
                  <c:v>1865093</c:v>
                </c:pt>
                <c:pt idx="16">
                  <c:v>2020432</c:v>
                </c:pt>
                <c:pt idx="17">
                  <c:v>1877118</c:v>
                </c:pt>
                <c:pt idx="18">
                  <c:v>2007687</c:v>
                </c:pt>
                <c:pt idx="19">
                  <c:v>1768848</c:v>
                </c:pt>
                <c:pt idx="20">
                  <c:v>1796254</c:v>
                </c:pt>
                <c:pt idx="21">
                  <c:v>1815665</c:v>
                </c:pt>
                <c:pt idx="22">
                  <c:v>1821683</c:v>
                </c:pt>
                <c:pt idx="23">
                  <c:v>1691018</c:v>
                </c:pt>
                <c:pt idx="24">
                  <c:v>1776529</c:v>
                </c:pt>
                <c:pt idx="25">
                  <c:v>1792330</c:v>
                </c:pt>
                <c:pt idx="26">
                  <c:v>1783661</c:v>
                </c:pt>
                <c:pt idx="27">
                  <c:v>1906901</c:v>
                </c:pt>
                <c:pt idx="28">
                  <c:v>2021596</c:v>
                </c:pt>
                <c:pt idx="29">
                  <c:v>2015416</c:v>
                </c:pt>
                <c:pt idx="30">
                  <c:v>2070912</c:v>
                </c:pt>
                <c:pt idx="31">
                  <c:v>2138710</c:v>
                </c:pt>
                <c:pt idx="32">
                  <c:v>1847131</c:v>
                </c:pt>
                <c:pt idx="33">
                  <c:v>1640757</c:v>
                </c:pt>
                <c:pt idx="34">
                  <c:v>1605714</c:v>
                </c:pt>
                <c:pt idx="35">
                  <c:v>1627805</c:v>
                </c:pt>
                <c:pt idx="36">
                  <c:v>1643237</c:v>
                </c:pt>
                <c:pt idx="37">
                  <c:v>1410865</c:v>
                </c:pt>
                <c:pt idx="38">
                  <c:v>1287860</c:v>
                </c:pt>
                <c:pt idx="39">
                  <c:v>1396662</c:v>
                </c:pt>
                <c:pt idx="40">
                  <c:v>1479000</c:v>
                </c:pt>
                <c:pt idx="41">
                  <c:v>1472599</c:v>
                </c:pt>
                <c:pt idx="42">
                  <c:v>1679289</c:v>
                </c:pt>
                <c:pt idx="43">
                  <c:v>1615927</c:v>
                </c:pt>
                <c:pt idx="44">
                  <c:v>1524005</c:v>
                </c:pt>
                <c:pt idx="45">
                  <c:v>1600997</c:v>
                </c:pt>
                <c:pt idx="46">
                  <c:v>1656731</c:v>
                </c:pt>
                <c:pt idx="47">
                  <c:v>1687706</c:v>
                </c:pt>
                <c:pt idx="48">
                  <c:v>1717986</c:v>
                </c:pt>
                <c:pt idx="49">
                  <c:v>1635449</c:v>
                </c:pt>
                <c:pt idx="50">
                  <c:v>1638185</c:v>
                </c:pt>
                <c:pt idx="51">
                  <c:v>1645048</c:v>
                </c:pt>
                <c:pt idx="52">
                  <c:v>1648735</c:v>
                </c:pt>
                <c:pt idx="53">
                  <c:v>1733465</c:v>
                </c:pt>
                <c:pt idx="54">
                  <c:v>1507016</c:v>
                </c:pt>
                <c:pt idx="55">
                  <c:v>1595121</c:v>
                </c:pt>
                <c:pt idx="56">
                  <c:v>1656095</c:v>
                </c:pt>
                <c:pt idx="57">
                  <c:v>1762782</c:v>
                </c:pt>
                <c:pt idx="58">
                  <c:v>1432399</c:v>
                </c:pt>
                <c:pt idx="59">
                  <c:v>1469374</c:v>
                </c:pt>
                <c:pt idx="60">
                  <c:v>1313627</c:v>
                </c:pt>
                <c:pt idx="61">
                  <c:v>1381360</c:v>
                </c:pt>
                <c:pt idx="62">
                  <c:v>1391136</c:v>
                </c:pt>
                <c:pt idx="63">
                  <c:v>1212595</c:v>
                </c:pt>
                <c:pt idx="64">
                  <c:v>1185916</c:v>
                </c:pt>
                <c:pt idx="65">
                  <c:v>1260470</c:v>
                </c:pt>
                <c:pt idx="66">
                  <c:v>1212382</c:v>
                </c:pt>
                <c:pt idx="67">
                  <c:v>1357443</c:v>
                </c:pt>
                <c:pt idx="68">
                  <c:v>1199955</c:v>
                </c:pt>
                <c:pt idx="69">
                  <c:v>1230648</c:v>
                </c:pt>
                <c:pt idx="70">
                  <c:v>1227399</c:v>
                </c:pt>
                <c:pt idx="71">
                  <c:v>1364264</c:v>
                </c:pt>
                <c:pt idx="72">
                  <c:v>1389222</c:v>
                </c:pt>
                <c:pt idx="73">
                  <c:v>1439814</c:v>
                </c:pt>
                <c:pt idx="74">
                  <c:v>1377429</c:v>
                </c:pt>
                <c:pt idx="75">
                  <c:v>1469391</c:v>
                </c:pt>
                <c:pt idx="76">
                  <c:v>1561184</c:v>
                </c:pt>
                <c:pt idx="77">
                  <c:v>1483003</c:v>
                </c:pt>
                <c:pt idx="78">
                  <c:v>1403901</c:v>
                </c:pt>
                <c:pt idx="79">
                  <c:v>1425440</c:v>
                </c:pt>
                <c:pt idx="80">
                  <c:v>1475585</c:v>
                </c:pt>
                <c:pt idx="81">
                  <c:v>1552208</c:v>
                </c:pt>
                <c:pt idx="82">
                  <c:v>1368373</c:v>
                </c:pt>
                <c:pt idx="83">
                  <c:v>1356625</c:v>
                </c:pt>
                <c:pt idx="84">
                  <c:v>1260553</c:v>
                </c:pt>
                <c:pt idx="85">
                  <c:v>1295840</c:v>
                </c:pt>
                <c:pt idx="86">
                  <c:v>1163688</c:v>
                </c:pt>
                <c:pt idx="87">
                  <c:v>990870</c:v>
                </c:pt>
                <c:pt idx="88">
                  <c:v>1120592</c:v>
                </c:pt>
                <c:pt idx="89">
                  <c:v>908014</c:v>
                </c:pt>
                <c:pt idx="90">
                  <c:v>873802</c:v>
                </c:pt>
                <c:pt idx="91">
                  <c:v>1065008</c:v>
                </c:pt>
                <c:pt idx="92">
                  <c:v>977585</c:v>
                </c:pt>
                <c:pt idx="93">
                  <c:v>1062745</c:v>
                </c:pt>
                <c:pt idx="94">
                  <c:v>1079268</c:v>
                </c:pt>
                <c:pt idx="95">
                  <c:v>1049713</c:v>
                </c:pt>
                <c:pt idx="96">
                  <c:v>1107809</c:v>
                </c:pt>
                <c:pt idx="97">
                  <c:v>1162273</c:v>
                </c:pt>
                <c:pt idx="98">
                  <c:v>967958</c:v>
                </c:pt>
                <c:pt idx="99">
                  <c:v>990634</c:v>
                </c:pt>
                <c:pt idx="100">
                  <c:v>1073898</c:v>
                </c:pt>
                <c:pt idx="101">
                  <c:v>1074994</c:v>
                </c:pt>
                <c:pt idx="102">
                  <c:v>1181728</c:v>
                </c:pt>
                <c:pt idx="103">
                  <c:v>1069121</c:v>
                </c:pt>
                <c:pt idx="104">
                  <c:v>1150776</c:v>
                </c:pt>
                <c:pt idx="105">
                  <c:v>1485057</c:v>
                </c:pt>
                <c:pt idx="106">
                  <c:v>1384524</c:v>
                </c:pt>
                <c:pt idx="107">
                  <c:v>1497475</c:v>
                </c:pt>
                <c:pt idx="108">
                  <c:v>1396458</c:v>
                </c:pt>
                <c:pt idx="109">
                  <c:v>1313650</c:v>
                </c:pt>
                <c:pt idx="110">
                  <c:v>1487816</c:v>
                </c:pt>
                <c:pt idx="111">
                  <c:v>1642782</c:v>
                </c:pt>
                <c:pt idx="112">
                  <c:v>1592005</c:v>
                </c:pt>
                <c:pt idx="113">
                  <c:v>1790791</c:v>
                </c:pt>
                <c:pt idx="114">
                  <c:v>1949065</c:v>
                </c:pt>
                <c:pt idx="115">
                  <c:v>1591374</c:v>
                </c:pt>
                <c:pt idx="116">
                  <c:v>1045710</c:v>
                </c:pt>
                <c:pt idx="117">
                  <c:v>1196242</c:v>
                </c:pt>
                <c:pt idx="118">
                  <c:v>1163415</c:v>
                </c:pt>
                <c:pt idx="119">
                  <c:v>1223831</c:v>
                </c:pt>
                <c:pt idx="120">
                  <c:v>1326455</c:v>
                </c:pt>
                <c:pt idx="121">
                  <c:v>1222119</c:v>
                </c:pt>
                <c:pt idx="122">
                  <c:v>1180019</c:v>
                </c:pt>
                <c:pt idx="123">
                  <c:v>1319541</c:v>
                </c:pt>
                <c:pt idx="124">
                  <c:v>1351587</c:v>
                </c:pt>
                <c:pt idx="125">
                  <c:v>1229352</c:v>
                </c:pt>
                <c:pt idx="126">
                  <c:v>1410230</c:v>
                </c:pt>
                <c:pt idx="127">
                  <c:v>1441407</c:v>
                </c:pt>
                <c:pt idx="128">
                  <c:v>1359116</c:v>
                </c:pt>
                <c:pt idx="129">
                  <c:v>1381237</c:v>
                </c:pt>
                <c:pt idx="130">
                  <c:v>1471305</c:v>
                </c:pt>
                <c:pt idx="131">
                  <c:v>1363036</c:v>
                </c:pt>
                <c:pt idx="132">
                  <c:v>1277944</c:v>
                </c:pt>
                <c:pt idx="133">
                  <c:v>1282619</c:v>
                </c:pt>
                <c:pt idx="134">
                  <c:v>1333998</c:v>
                </c:pt>
                <c:pt idx="135">
                  <c:v>1395601</c:v>
                </c:pt>
                <c:pt idx="136">
                  <c:v>1316424</c:v>
                </c:pt>
                <c:pt idx="137">
                  <c:v>1265120</c:v>
                </c:pt>
                <c:pt idx="138">
                  <c:v>1243217</c:v>
                </c:pt>
                <c:pt idx="139">
                  <c:v>1056650</c:v>
                </c:pt>
                <c:pt idx="140">
                  <c:v>1161531</c:v>
                </c:pt>
                <c:pt idx="141">
                  <c:v>1151166</c:v>
                </c:pt>
                <c:pt idx="142">
                  <c:v>1094714</c:v>
                </c:pt>
                <c:pt idx="143">
                  <c:v>1145815</c:v>
                </c:pt>
                <c:pt idx="144">
                  <c:v>1257585</c:v>
                </c:pt>
                <c:pt idx="145">
                  <c:v>1175712</c:v>
                </c:pt>
                <c:pt idx="146">
                  <c:v>1170070</c:v>
                </c:pt>
                <c:pt idx="147">
                  <c:v>1074238</c:v>
                </c:pt>
                <c:pt idx="148">
                  <c:v>1131682</c:v>
                </c:pt>
                <c:pt idx="149">
                  <c:v>1027173</c:v>
                </c:pt>
                <c:pt idx="150">
                  <c:v>1035196</c:v>
                </c:pt>
                <c:pt idx="151">
                  <c:v>1034850</c:v>
                </c:pt>
                <c:pt idx="152">
                  <c:v>1199229</c:v>
                </c:pt>
                <c:pt idx="153">
                  <c:v>1007424</c:v>
                </c:pt>
                <c:pt idx="154">
                  <c:v>976008</c:v>
                </c:pt>
                <c:pt idx="155">
                  <c:v>960855</c:v>
                </c:pt>
                <c:pt idx="156">
                  <c:v>1101690</c:v>
                </c:pt>
                <c:pt idx="157">
                  <c:v>776141</c:v>
                </c:pt>
                <c:pt idx="158">
                  <c:v>722242</c:v>
                </c:pt>
                <c:pt idx="159">
                  <c:v>618968</c:v>
                </c:pt>
                <c:pt idx="160">
                  <c:v>485611</c:v>
                </c:pt>
                <c:pt idx="161">
                  <c:v>228116</c:v>
                </c:pt>
                <c:pt idx="162">
                  <c:v>189089</c:v>
                </c:pt>
                <c:pt idx="163">
                  <c:v>259712</c:v>
                </c:pt>
                <c:pt idx="164">
                  <c:v>162602</c:v>
                </c:pt>
                <c:pt idx="165">
                  <c:v>98413</c:v>
                </c:pt>
                <c:pt idx="166">
                  <c:v>106140</c:v>
                </c:pt>
                <c:pt idx="167">
                  <c:v>45388</c:v>
                </c:pt>
                <c:pt idx="168">
                  <c:v>60528</c:v>
                </c:pt>
                <c:pt idx="169">
                  <c:v>65505</c:v>
                </c:pt>
                <c:pt idx="170">
                  <c:v>113168</c:v>
                </c:pt>
                <c:pt idx="171">
                  <c:v>245904</c:v>
                </c:pt>
                <c:pt idx="172">
                  <c:v>208000</c:v>
                </c:pt>
                <c:pt idx="173">
                  <c:v>-6201</c:v>
                </c:pt>
                <c:pt idx="174">
                  <c:v>80691</c:v>
                </c:pt>
                <c:pt idx="175">
                  <c:v>100628</c:v>
                </c:pt>
                <c:pt idx="176">
                  <c:v>124237</c:v>
                </c:pt>
                <c:pt idx="177">
                  <c:v>122760</c:v>
                </c:pt>
                <c:pt idx="178">
                  <c:v>2369</c:v>
                </c:pt>
                <c:pt idx="179">
                  <c:v>39430</c:v>
                </c:pt>
                <c:pt idx="180">
                  <c:v>108365</c:v>
                </c:pt>
                <c:pt idx="181">
                  <c:v>168835</c:v>
                </c:pt>
                <c:pt idx="182">
                  <c:v>29182</c:v>
                </c:pt>
                <c:pt idx="183">
                  <c:v>103800</c:v>
                </c:pt>
                <c:pt idx="184">
                  <c:v>348116</c:v>
                </c:pt>
                <c:pt idx="185">
                  <c:v>165487</c:v>
                </c:pt>
                <c:pt idx="186">
                  <c:v>213535</c:v>
                </c:pt>
                <c:pt idx="187">
                  <c:v>288156</c:v>
                </c:pt>
                <c:pt idx="188">
                  <c:v>646479</c:v>
                </c:pt>
                <c:pt idx="189">
                  <c:v>386780</c:v>
                </c:pt>
                <c:pt idx="190">
                  <c:v>417437</c:v>
                </c:pt>
                <c:pt idx="191">
                  <c:v>575455</c:v>
                </c:pt>
                <c:pt idx="192">
                  <c:v>643890</c:v>
                </c:pt>
                <c:pt idx="193">
                  <c:v>669646</c:v>
                </c:pt>
                <c:pt idx="194">
                  <c:v>694435</c:v>
                </c:pt>
                <c:pt idx="195">
                  <c:v>715076</c:v>
                </c:pt>
                <c:pt idx="196">
                  <c:v>863984</c:v>
                </c:pt>
                <c:pt idx="197">
                  <c:v>974871</c:v>
                </c:pt>
                <c:pt idx="198">
                  <c:v>871975</c:v>
                </c:pt>
                <c:pt idx="199">
                  <c:v>913793</c:v>
                </c:pt>
                <c:pt idx="200">
                  <c:v>1142207</c:v>
                </c:pt>
                <c:pt idx="201">
                  <c:v>1074711</c:v>
                </c:pt>
                <c:pt idx="202">
                  <c:v>1046353</c:v>
                </c:pt>
                <c:pt idx="203">
                  <c:v>1053006</c:v>
                </c:pt>
                <c:pt idx="204">
                  <c:v>998383</c:v>
                </c:pt>
                <c:pt idx="205">
                  <c:v>925042</c:v>
                </c:pt>
                <c:pt idx="206">
                  <c:v>729185</c:v>
                </c:pt>
                <c:pt idx="207">
                  <c:v>778780</c:v>
                </c:pt>
                <c:pt idx="208">
                  <c:v>410535</c:v>
                </c:pt>
                <c:pt idx="209">
                  <c:v>405408</c:v>
                </c:pt>
                <c:pt idx="210">
                  <c:v>489605</c:v>
                </c:pt>
                <c:pt idx="211">
                  <c:v>301436</c:v>
                </c:pt>
                <c:pt idx="212">
                  <c:v>377577</c:v>
                </c:pt>
                <c:pt idx="213">
                  <c:v>539577</c:v>
                </c:pt>
                <c:pt idx="214">
                  <c:v>662240</c:v>
                </c:pt>
                <c:pt idx="215">
                  <c:v>543304</c:v>
                </c:pt>
                <c:pt idx="216">
                  <c:v>624114</c:v>
                </c:pt>
                <c:pt idx="217">
                  <c:v>331089</c:v>
                </c:pt>
                <c:pt idx="218">
                  <c:v>528299</c:v>
                </c:pt>
                <c:pt idx="219">
                  <c:v>532517</c:v>
                </c:pt>
                <c:pt idx="220">
                  <c:v>602006</c:v>
                </c:pt>
                <c:pt idx="221">
                  <c:v>379454</c:v>
                </c:pt>
                <c:pt idx="222">
                  <c:v>309161</c:v>
                </c:pt>
                <c:pt idx="223">
                  <c:v>154113</c:v>
                </c:pt>
                <c:pt idx="224">
                  <c:v>170090</c:v>
                </c:pt>
                <c:pt idx="225">
                  <c:v>172285</c:v>
                </c:pt>
                <c:pt idx="226">
                  <c:v>263027</c:v>
                </c:pt>
                <c:pt idx="227">
                  <c:v>179840</c:v>
                </c:pt>
                <c:pt idx="228">
                  <c:v>292757</c:v>
                </c:pt>
                <c:pt idx="229">
                  <c:v>210325</c:v>
                </c:pt>
                <c:pt idx="230">
                  <c:v>157461</c:v>
                </c:pt>
                <c:pt idx="231">
                  <c:v>374081</c:v>
                </c:pt>
                <c:pt idx="232">
                  <c:v>461481</c:v>
                </c:pt>
                <c:pt idx="233">
                  <c:v>519955</c:v>
                </c:pt>
                <c:pt idx="234">
                  <c:v>262486</c:v>
                </c:pt>
                <c:pt idx="235">
                  <c:v>116257</c:v>
                </c:pt>
                <c:pt idx="236">
                  <c:v>64141</c:v>
                </c:pt>
                <c:pt idx="237">
                  <c:v>91649</c:v>
                </c:pt>
                <c:pt idx="238">
                  <c:v>209751</c:v>
                </c:pt>
                <c:pt idx="239">
                  <c:v>139427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541-4101-BA91-32B5375B7CE1}"/>
            </c:ext>
          </c:extLst>
        </c:ser>
        <c:ser>
          <c:idx val="2"/>
          <c:order val="2"/>
          <c:tx>
            <c:strRef>
              <c:f>'daily monitor'!$Z$100</c:f>
              <c:strCache>
                <c:ptCount val="1"/>
                <c:pt idx="0">
                  <c:v>K200F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cat>
            <c:numRef>
              <c:f>'daily monitor'!$W$101:$W$344</c:f>
              <c:numCache>
                <c:formatCode>General</c:formatCode>
                <c:ptCount val="244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45656</c:v>
                </c:pt>
                <c:pt idx="19">
                  <c:v>45653</c:v>
                </c:pt>
                <c:pt idx="20">
                  <c:v>45652</c:v>
                </c:pt>
                <c:pt idx="21">
                  <c:v>45650</c:v>
                </c:pt>
                <c:pt idx="22">
                  <c:v>45649</c:v>
                </c:pt>
                <c:pt idx="23">
                  <c:v>45646</c:v>
                </c:pt>
                <c:pt idx="24">
                  <c:v>45645</c:v>
                </c:pt>
                <c:pt idx="25">
                  <c:v>45644</c:v>
                </c:pt>
                <c:pt idx="26">
                  <c:v>45643</c:v>
                </c:pt>
                <c:pt idx="27">
                  <c:v>45642</c:v>
                </c:pt>
                <c:pt idx="28">
                  <c:v>45639</c:v>
                </c:pt>
                <c:pt idx="29">
                  <c:v>45638</c:v>
                </c:pt>
                <c:pt idx="30">
                  <c:v>45637</c:v>
                </c:pt>
                <c:pt idx="31">
                  <c:v>45636</c:v>
                </c:pt>
                <c:pt idx="32">
                  <c:v>45635</c:v>
                </c:pt>
                <c:pt idx="33">
                  <c:v>45632</c:v>
                </c:pt>
                <c:pt idx="34">
                  <c:v>45631</c:v>
                </c:pt>
                <c:pt idx="35">
                  <c:v>45630</c:v>
                </c:pt>
                <c:pt idx="36">
                  <c:v>45629</c:v>
                </c:pt>
                <c:pt idx="37">
                  <c:v>45628</c:v>
                </c:pt>
                <c:pt idx="38">
                  <c:v>45625</c:v>
                </c:pt>
                <c:pt idx="39">
                  <c:v>45624</c:v>
                </c:pt>
                <c:pt idx="40">
                  <c:v>45623</c:v>
                </c:pt>
                <c:pt idx="41">
                  <c:v>45622</c:v>
                </c:pt>
                <c:pt idx="42">
                  <c:v>45621</c:v>
                </c:pt>
                <c:pt idx="43">
                  <c:v>45618</c:v>
                </c:pt>
                <c:pt idx="44">
                  <c:v>45617</c:v>
                </c:pt>
                <c:pt idx="45">
                  <c:v>45616</c:v>
                </c:pt>
                <c:pt idx="46">
                  <c:v>45615</c:v>
                </c:pt>
                <c:pt idx="47">
                  <c:v>45614</c:v>
                </c:pt>
                <c:pt idx="48">
                  <c:v>45611</c:v>
                </c:pt>
                <c:pt idx="49">
                  <c:v>45610</c:v>
                </c:pt>
                <c:pt idx="50">
                  <c:v>45609</c:v>
                </c:pt>
                <c:pt idx="51">
                  <c:v>45608</c:v>
                </c:pt>
                <c:pt idx="52">
                  <c:v>45607</c:v>
                </c:pt>
                <c:pt idx="53">
                  <c:v>45604</c:v>
                </c:pt>
                <c:pt idx="54">
                  <c:v>45603</c:v>
                </c:pt>
                <c:pt idx="55">
                  <c:v>45602</c:v>
                </c:pt>
                <c:pt idx="56">
                  <c:v>45601</c:v>
                </c:pt>
                <c:pt idx="57">
                  <c:v>45600</c:v>
                </c:pt>
                <c:pt idx="58">
                  <c:v>45597</c:v>
                </c:pt>
                <c:pt idx="59">
                  <c:v>45596</c:v>
                </c:pt>
                <c:pt idx="60">
                  <c:v>45595</c:v>
                </c:pt>
                <c:pt idx="61">
                  <c:v>45594</c:v>
                </c:pt>
                <c:pt idx="62">
                  <c:v>45593</c:v>
                </c:pt>
                <c:pt idx="63">
                  <c:v>45590</c:v>
                </c:pt>
                <c:pt idx="64">
                  <c:v>45589</c:v>
                </c:pt>
                <c:pt idx="65">
                  <c:v>45588</c:v>
                </c:pt>
                <c:pt idx="66">
                  <c:v>45587</c:v>
                </c:pt>
                <c:pt idx="67">
                  <c:v>45586</c:v>
                </c:pt>
                <c:pt idx="68">
                  <c:v>45583</c:v>
                </c:pt>
                <c:pt idx="69">
                  <c:v>45582</c:v>
                </c:pt>
                <c:pt idx="70">
                  <c:v>45581</c:v>
                </c:pt>
                <c:pt idx="71">
                  <c:v>45580</c:v>
                </c:pt>
                <c:pt idx="72">
                  <c:v>45579</c:v>
                </c:pt>
                <c:pt idx="73">
                  <c:v>45576</c:v>
                </c:pt>
                <c:pt idx="74">
                  <c:v>45575</c:v>
                </c:pt>
                <c:pt idx="75">
                  <c:v>45573</c:v>
                </c:pt>
                <c:pt idx="76">
                  <c:v>45572</c:v>
                </c:pt>
                <c:pt idx="77">
                  <c:v>45569</c:v>
                </c:pt>
                <c:pt idx="78">
                  <c:v>45567</c:v>
                </c:pt>
                <c:pt idx="79">
                  <c:v>45565</c:v>
                </c:pt>
                <c:pt idx="80">
                  <c:v>45562</c:v>
                </c:pt>
                <c:pt idx="81">
                  <c:v>45561</c:v>
                </c:pt>
                <c:pt idx="82">
                  <c:v>45560</c:v>
                </c:pt>
                <c:pt idx="83">
                  <c:v>45559</c:v>
                </c:pt>
                <c:pt idx="84">
                  <c:v>45558</c:v>
                </c:pt>
                <c:pt idx="85">
                  <c:v>45555</c:v>
                </c:pt>
                <c:pt idx="86">
                  <c:v>45554</c:v>
                </c:pt>
                <c:pt idx="87">
                  <c:v>45548</c:v>
                </c:pt>
                <c:pt idx="88">
                  <c:v>45547</c:v>
                </c:pt>
                <c:pt idx="89">
                  <c:v>45546</c:v>
                </c:pt>
                <c:pt idx="90">
                  <c:v>45545</c:v>
                </c:pt>
                <c:pt idx="91">
                  <c:v>45544</c:v>
                </c:pt>
                <c:pt idx="92">
                  <c:v>45541</c:v>
                </c:pt>
                <c:pt idx="93">
                  <c:v>45540</c:v>
                </c:pt>
                <c:pt idx="94">
                  <c:v>45539</c:v>
                </c:pt>
                <c:pt idx="95">
                  <c:v>45538</c:v>
                </c:pt>
                <c:pt idx="96">
                  <c:v>45537</c:v>
                </c:pt>
                <c:pt idx="97">
                  <c:v>45534</c:v>
                </c:pt>
                <c:pt idx="98">
                  <c:v>45533</c:v>
                </c:pt>
                <c:pt idx="99">
                  <c:v>45532</c:v>
                </c:pt>
                <c:pt idx="100">
                  <c:v>45531</c:v>
                </c:pt>
                <c:pt idx="101">
                  <c:v>45530</c:v>
                </c:pt>
                <c:pt idx="102">
                  <c:v>45527</c:v>
                </c:pt>
                <c:pt idx="103">
                  <c:v>45526</c:v>
                </c:pt>
                <c:pt idx="104">
                  <c:v>45525</c:v>
                </c:pt>
                <c:pt idx="105">
                  <c:v>45524</c:v>
                </c:pt>
                <c:pt idx="106">
                  <c:v>45523</c:v>
                </c:pt>
                <c:pt idx="107">
                  <c:v>45520</c:v>
                </c:pt>
                <c:pt idx="108">
                  <c:v>45518</c:v>
                </c:pt>
                <c:pt idx="109">
                  <c:v>45517</c:v>
                </c:pt>
                <c:pt idx="110">
                  <c:v>45516</c:v>
                </c:pt>
                <c:pt idx="111">
                  <c:v>45513</c:v>
                </c:pt>
                <c:pt idx="112">
                  <c:v>45512</c:v>
                </c:pt>
                <c:pt idx="113">
                  <c:v>45511</c:v>
                </c:pt>
                <c:pt idx="114">
                  <c:v>45510</c:v>
                </c:pt>
                <c:pt idx="115">
                  <c:v>45509</c:v>
                </c:pt>
                <c:pt idx="116">
                  <c:v>45506</c:v>
                </c:pt>
                <c:pt idx="117">
                  <c:v>45505</c:v>
                </c:pt>
                <c:pt idx="118">
                  <c:v>45504</c:v>
                </c:pt>
                <c:pt idx="119">
                  <c:v>45503</c:v>
                </c:pt>
                <c:pt idx="120">
                  <c:v>45502</c:v>
                </c:pt>
                <c:pt idx="121">
                  <c:v>45499</c:v>
                </c:pt>
                <c:pt idx="122">
                  <c:v>45498</c:v>
                </c:pt>
                <c:pt idx="123">
                  <c:v>45497</c:v>
                </c:pt>
                <c:pt idx="124">
                  <c:v>45496</c:v>
                </c:pt>
                <c:pt idx="125">
                  <c:v>45495</c:v>
                </c:pt>
                <c:pt idx="126">
                  <c:v>45492</c:v>
                </c:pt>
                <c:pt idx="127">
                  <c:v>45491</c:v>
                </c:pt>
                <c:pt idx="128">
                  <c:v>45490</c:v>
                </c:pt>
                <c:pt idx="129">
                  <c:v>45489</c:v>
                </c:pt>
                <c:pt idx="130">
                  <c:v>45488</c:v>
                </c:pt>
                <c:pt idx="131">
                  <c:v>45485</c:v>
                </c:pt>
                <c:pt idx="132">
                  <c:v>45484</c:v>
                </c:pt>
                <c:pt idx="133">
                  <c:v>45483</c:v>
                </c:pt>
                <c:pt idx="134">
                  <c:v>45482</c:v>
                </c:pt>
                <c:pt idx="135">
                  <c:v>45481</c:v>
                </c:pt>
                <c:pt idx="136">
                  <c:v>45478</c:v>
                </c:pt>
                <c:pt idx="137">
                  <c:v>45477</c:v>
                </c:pt>
                <c:pt idx="138">
                  <c:v>45476</c:v>
                </c:pt>
                <c:pt idx="139">
                  <c:v>45475</c:v>
                </c:pt>
                <c:pt idx="140">
                  <c:v>45474</c:v>
                </c:pt>
                <c:pt idx="141">
                  <c:v>45471</c:v>
                </c:pt>
                <c:pt idx="142">
                  <c:v>45470</c:v>
                </c:pt>
                <c:pt idx="143">
                  <c:v>45469</c:v>
                </c:pt>
                <c:pt idx="144">
                  <c:v>45468</c:v>
                </c:pt>
                <c:pt idx="145">
                  <c:v>45467</c:v>
                </c:pt>
                <c:pt idx="146">
                  <c:v>45464</c:v>
                </c:pt>
                <c:pt idx="147">
                  <c:v>45463</c:v>
                </c:pt>
                <c:pt idx="148">
                  <c:v>45462</c:v>
                </c:pt>
                <c:pt idx="149">
                  <c:v>45461</c:v>
                </c:pt>
                <c:pt idx="150">
                  <c:v>45460</c:v>
                </c:pt>
                <c:pt idx="151">
                  <c:v>45457</c:v>
                </c:pt>
                <c:pt idx="152">
                  <c:v>45456</c:v>
                </c:pt>
                <c:pt idx="153">
                  <c:v>45455</c:v>
                </c:pt>
                <c:pt idx="154">
                  <c:v>45454</c:v>
                </c:pt>
                <c:pt idx="155">
                  <c:v>45453</c:v>
                </c:pt>
                <c:pt idx="156">
                  <c:v>45450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45426</c:v>
                </c:pt>
                <c:pt idx="173">
                  <c:v>45425</c:v>
                </c:pt>
                <c:pt idx="174">
                  <c:v>45422</c:v>
                </c:pt>
                <c:pt idx="175">
                  <c:v>45421</c:v>
                </c:pt>
                <c:pt idx="176">
                  <c:v>45420</c:v>
                </c:pt>
                <c:pt idx="177">
                  <c:v>45419</c:v>
                </c:pt>
                <c:pt idx="178">
                  <c:v>45415</c:v>
                </c:pt>
                <c:pt idx="179">
                  <c:v>45414</c:v>
                </c:pt>
                <c:pt idx="180">
                  <c:v>45412</c:v>
                </c:pt>
                <c:pt idx="181">
                  <c:v>45411</c:v>
                </c:pt>
                <c:pt idx="182">
                  <c:v>45408</c:v>
                </c:pt>
                <c:pt idx="183">
                  <c:v>45407</c:v>
                </c:pt>
                <c:pt idx="184">
                  <c:v>45406</c:v>
                </c:pt>
                <c:pt idx="185">
                  <c:v>45405</c:v>
                </c:pt>
                <c:pt idx="186">
                  <c:v>45404</c:v>
                </c:pt>
                <c:pt idx="187">
                  <c:v>45401</c:v>
                </c:pt>
                <c:pt idx="188">
                  <c:v>45400</c:v>
                </c:pt>
                <c:pt idx="189">
                  <c:v>45399</c:v>
                </c:pt>
                <c:pt idx="190">
                  <c:v>45398</c:v>
                </c:pt>
                <c:pt idx="191">
                  <c:v>45397</c:v>
                </c:pt>
                <c:pt idx="192">
                  <c:v>45394</c:v>
                </c:pt>
                <c:pt idx="193">
                  <c:v>45393</c:v>
                </c:pt>
                <c:pt idx="194">
                  <c:v>45391</c:v>
                </c:pt>
                <c:pt idx="195">
                  <c:v>45390</c:v>
                </c:pt>
                <c:pt idx="196">
                  <c:v>45387</c:v>
                </c:pt>
                <c:pt idx="197">
                  <c:v>45386</c:v>
                </c:pt>
                <c:pt idx="198">
                  <c:v>45385</c:v>
                </c:pt>
                <c:pt idx="199">
                  <c:v>45384</c:v>
                </c:pt>
                <c:pt idx="200">
                  <c:v>45383</c:v>
                </c:pt>
                <c:pt idx="201">
                  <c:v>45380</c:v>
                </c:pt>
                <c:pt idx="202">
                  <c:v>45379</c:v>
                </c:pt>
                <c:pt idx="203">
                  <c:v>45378</c:v>
                </c:pt>
                <c:pt idx="204">
                  <c:v>45377</c:v>
                </c:pt>
                <c:pt idx="205">
                  <c:v>45376</c:v>
                </c:pt>
                <c:pt idx="206">
                  <c:v>45373</c:v>
                </c:pt>
                <c:pt idx="207">
                  <c:v>45372</c:v>
                </c:pt>
                <c:pt idx="208">
                  <c:v>45371</c:v>
                </c:pt>
                <c:pt idx="209">
                  <c:v>45370</c:v>
                </c:pt>
                <c:pt idx="210">
                  <c:v>45369</c:v>
                </c:pt>
                <c:pt idx="211">
                  <c:v>45366</c:v>
                </c:pt>
                <c:pt idx="212">
                  <c:v>45365</c:v>
                </c:pt>
                <c:pt idx="213">
                  <c:v>45364</c:v>
                </c:pt>
                <c:pt idx="214">
                  <c:v>45363</c:v>
                </c:pt>
                <c:pt idx="215">
                  <c:v>45362</c:v>
                </c:pt>
                <c:pt idx="216">
                  <c:v>45359</c:v>
                </c:pt>
                <c:pt idx="217">
                  <c:v>45358</c:v>
                </c:pt>
                <c:pt idx="218">
                  <c:v>45357</c:v>
                </c:pt>
                <c:pt idx="219">
                  <c:v>45356</c:v>
                </c:pt>
                <c:pt idx="220">
                  <c:v>45355</c:v>
                </c:pt>
                <c:pt idx="221">
                  <c:v>45351</c:v>
                </c:pt>
                <c:pt idx="222">
                  <c:v>45350</c:v>
                </c:pt>
                <c:pt idx="223">
                  <c:v>45349</c:v>
                </c:pt>
                <c:pt idx="224">
                  <c:v>45348</c:v>
                </c:pt>
                <c:pt idx="225">
                  <c:v>45345</c:v>
                </c:pt>
                <c:pt idx="226">
                  <c:v>45344</c:v>
                </c:pt>
                <c:pt idx="227">
                  <c:v>45343</c:v>
                </c:pt>
                <c:pt idx="228">
                  <c:v>45342</c:v>
                </c:pt>
                <c:pt idx="229">
                  <c:v>45341</c:v>
                </c:pt>
                <c:pt idx="230">
                  <c:v>45338</c:v>
                </c:pt>
                <c:pt idx="231">
                  <c:v>45337</c:v>
                </c:pt>
                <c:pt idx="232">
                  <c:v>45336</c:v>
                </c:pt>
                <c:pt idx="233">
                  <c:v>45335</c:v>
                </c:pt>
                <c:pt idx="234">
                  <c:v>45330</c:v>
                </c:pt>
                <c:pt idx="235">
                  <c:v>45329</c:v>
                </c:pt>
                <c:pt idx="236">
                  <c:v>45328</c:v>
                </c:pt>
                <c:pt idx="237">
                  <c:v>45327</c:v>
                </c:pt>
                <c:pt idx="238">
                  <c:v>45324</c:v>
                </c:pt>
                <c:pt idx="239">
                  <c:v>45323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cat>
          <c:val>
            <c:numRef>
              <c:f>'daily monitor'!$Z$101:$Z$344</c:f>
              <c:numCache>
                <c:formatCode>General</c:formatCode>
                <c:ptCount val="244"/>
                <c:pt idx="0">
                  <c:v>2509788.4325000001</c:v>
                </c:pt>
                <c:pt idx="1">
                  <c:v>2907650.9325000001</c:v>
                </c:pt>
                <c:pt idx="2">
                  <c:v>2559191.9075000002</c:v>
                </c:pt>
                <c:pt idx="3">
                  <c:v>3104529.7450000001</c:v>
                </c:pt>
                <c:pt idx="4">
                  <c:v>2757275.145</c:v>
                </c:pt>
                <c:pt idx="5">
                  <c:v>2766048.22</c:v>
                </c:pt>
                <c:pt idx="6">
                  <c:v>2869561.6074999999</c:v>
                </c:pt>
                <c:pt idx="7">
                  <c:v>3005104.32</c:v>
                </c:pt>
                <c:pt idx="8">
                  <c:v>2855920.4824999999</c:v>
                </c:pt>
                <c:pt idx="9">
                  <c:v>3209076.6074999999</c:v>
                </c:pt>
                <c:pt idx="10">
                  <c:v>3441951.7825000002</c:v>
                </c:pt>
                <c:pt idx="11">
                  <c:v>3877099.37</c:v>
                </c:pt>
                <c:pt idx="12">
                  <c:v>4019202.82</c:v>
                </c:pt>
                <c:pt idx="13">
                  <c:v>4244614.0324999997</c:v>
                </c:pt>
                <c:pt idx="14">
                  <c:v>4420998.5824999996</c:v>
                </c:pt>
                <c:pt idx="15">
                  <c:v>4409654.5075000003</c:v>
                </c:pt>
                <c:pt idx="16">
                  <c:v>4451072.9450000003</c:v>
                </c:pt>
                <c:pt idx="17">
                  <c:v>3730549.32</c:v>
                </c:pt>
                <c:pt idx="18">
                  <c:v>4232742.2699999996</c:v>
                </c:pt>
                <c:pt idx="19">
                  <c:v>4399241.0199999996</c:v>
                </c:pt>
                <c:pt idx="20">
                  <c:v>4150957.2949999999</c:v>
                </c:pt>
                <c:pt idx="21">
                  <c:v>4382820.4574999996</c:v>
                </c:pt>
                <c:pt idx="22">
                  <c:v>4415928.92</c:v>
                </c:pt>
                <c:pt idx="23">
                  <c:v>4302354.5199999996</c:v>
                </c:pt>
                <c:pt idx="24">
                  <c:v>4584022.82</c:v>
                </c:pt>
                <c:pt idx="25">
                  <c:v>4917219.07</c:v>
                </c:pt>
                <c:pt idx="26">
                  <c:v>4578288.4450000003</c:v>
                </c:pt>
                <c:pt idx="27">
                  <c:v>4518357.42</c:v>
                </c:pt>
                <c:pt idx="28">
                  <c:v>4589456.8075000001</c:v>
                </c:pt>
                <c:pt idx="29">
                  <c:v>4669726.0324999997</c:v>
                </c:pt>
                <c:pt idx="30">
                  <c:v>4210588.7074999996</c:v>
                </c:pt>
                <c:pt idx="31">
                  <c:v>4332418.5199999996</c:v>
                </c:pt>
                <c:pt idx="32">
                  <c:v>3780947.67</c:v>
                </c:pt>
                <c:pt idx="33">
                  <c:v>3576693.3075000001</c:v>
                </c:pt>
                <c:pt idx="34">
                  <c:v>3248725.82</c:v>
                </c:pt>
                <c:pt idx="35">
                  <c:v>3257122.62</c:v>
                </c:pt>
                <c:pt idx="36">
                  <c:v>3477255.0825</c:v>
                </c:pt>
                <c:pt idx="37">
                  <c:v>2973388.4325000001</c:v>
                </c:pt>
                <c:pt idx="38">
                  <c:v>2604651.12</c:v>
                </c:pt>
                <c:pt idx="39">
                  <c:v>2447887.5325000002</c:v>
                </c:pt>
                <c:pt idx="40">
                  <c:v>2444164.8574999999</c:v>
                </c:pt>
                <c:pt idx="41">
                  <c:v>2518559.0699999998</c:v>
                </c:pt>
                <c:pt idx="42">
                  <c:v>2868793.92</c:v>
                </c:pt>
                <c:pt idx="43">
                  <c:v>2678910.5449999999</c:v>
                </c:pt>
                <c:pt idx="44">
                  <c:v>2337136.0449999999</c:v>
                </c:pt>
                <c:pt idx="45">
                  <c:v>2527499.7949999999</c:v>
                </c:pt>
                <c:pt idx="46">
                  <c:v>2606731.5825</c:v>
                </c:pt>
                <c:pt idx="47">
                  <c:v>2566893.7075</c:v>
                </c:pt>
                <c:pt idx="48">
                  <c:v>2384964.145</c:v>
                </c:pt>
                <c:pt idx="49">
                  <c:v>2571989.3075000001</c:v>
                </c:pt>
                <c:pt idx="50">
                  <c:v>2376004.3450000002</c:v>
                </c:pt>
                <c:pt idx="51">
                  <c:v>2093459.42</c:v>
                </c:pt>
                <c:pt idx="52">
                  <c:v>2406551.1575000002</c:v>
                </c:pt>
                <c:pt idx="53">
                  <c:v>2599881.8325</c:v>
                </c:pt>
                <c:pt idx="54">
                  <c:v>2863542.47</c:v>
                </c:pt>
                <c:pt idx="55">
                  <c:v>2784250.9575</c:v>
                </c:pt>
                <c:pt idx="56">
                  <c:v>3389842.62</c:v>
                </c:pt>
                <c:pt idx="57">
                  <c:v>3607416.2075</c:v>
                </c:pt>
                <c:pt idx="58">
                  <c:v>3229948.4950000001</c:v>
                </c:pt>
                <c:pt idx="59">
                  <c:v>3043295.8075000001</c:v>
                </c:pt>
                <c:pt idx="60">
                  <c:v>3005551.8075000001</c:v>
                </c:pt>
                <c:pt idx="61">
                  <c:v>3762807.8574999999</c:v>
                </c:pt>
                <c:pt idx="62">
                  <c:v>3778699.3075000001</c:v>
                </c:pt>
                <c:pt idx="63">
                  <c:v>3628558.57</c:v>
                </c:pt>
                <c:pt idx="64">
                  <c:v>3389242.8450000002</c:v>
                </c:pt>
                <c:pt idx="65">
                  <c:v>3832571.0950000002</c:v>
                </c:pt>
                <c:pt idx="66">
                  <c:v>3352201.0074999998</c:v>
                </c:pt>
                <c:pt idx="67">
                  <c:v>3568834.5449999999</c:v>
                </c:pt>
                <c:pt idx="68">
                  <c:v>3389129.4950000001</c:v>
                </c:pt>
                <c:pt idx="69">
                  <c:v>3338493.4075000002</c:v>
                </c:pt>
                <c:pt idx="70">
                  <c:v>3383525.3824999998</c:v>
                </c:pt>
                <c:pt idx="71">
                  <c:v>3656299.2949999999</c:v>
                </c:pt>
                <c:pt idx="72">
                  <c:v>3682820.47</c:v>
                </c:pt>
                <c:pt idx="73">
                  <c:v>3302527.6074999999</c:v>
                </c:pt>
                <c:pt idx="74">
                  <c:v>3218776.2949999999</c:v>
                </c:pt>
                <c:pt idx="75">
                  <c:v>3068895.7949999999</c:v>
                </c:pt>
                <c:pt idx="76">
                  <c:v>3446665.9950000001</c:v>
                </c:pt>
                <c:pt idx="77">
                  <c:v>3187667.4824999999</c:v>
                </c:pt>
                <c:pt idx="78">
                  <c:v>3499855.3075000001</c:v>
                </c:pt>
                <c:pt idx="79">
                  <c:v>3735511.1324999998</c:v>
                </c:pt>
                <c:pt idx="80">
                  <c:v>3786283.9449999998</c:v>
                </c:pt>
                <c:pt idx="81">
                  <c:v>4207312.6375000002</c:v>
                </c:pt>
                <c:pt idx="82">
                  <c:v>3261138.6375000002</c:v>
                </c:pt>
                <c:pt idx="83">
                  <c:v>3137319.1749999998</c:v>
                </c:pt>
                <c:pt idx="84">
                  <c:v>2986985.3875000002</c:v>
                </c:pt>
                <c:pt idx="85">
                  <c:v>2886149.8</c:v>
                </c:pt>
                <c:pt idx="86">
                  <c:v>2719723.2174999998</c:v>
                </c:pt>
                <c:pt idx="87">
                  <c:v>2406475.48</c:v>
                </c:pt>
                <c:pt idx="88">
                  <c:v>2456942.4674999998</c:v>
                </c:pt>
                <c:pt idx="89">
                  <c:v>2636158.9424999999</c:v>
                </c:pt>
                <c:pt idx="90">
                  <c:v>2834689.2374999998</c:v>
                </c:pt>
                <c:pt idx="91">
                  <c:v>3253516.7625000002</c:v>
                </c:pt>
                <c:pt idx="92">
                  <c:v>3288699.375</c:v>
                </c:pt>
                <c:pt idx="93">
                  <c:v>3264408.125</c:v>
                </c:pt>
                <c:pt idx="94">
                  <c:v>3051290.8250000002</c:v>
                </c:pt>
                <c:pt idx="95">
                  <c:v>3185935.0874999999</c:v>
                </c:pt>
                <c:pt idx="96">
                  <c:v>3375171.7250000001</c:v>
                </c:pt>
                <c:pt idx="97">
                  <c:v>3378378.2374999998</c:v>
                </c:pt>
                <c:pt idx="98">
                  <c:v>3468629.3</c:v>
                </c:pt>
                <c:pt idx="99">
                  <c:v>3583965.75</c:v>
                </c:pt>
                <c:pt idx="100">
                  <c:v>3397303.9750000001</c:v>
                </c:pt>
                <c:pt idx="101">
                  <c:v>3252401.2625000002</c:v>
                </c:pt>
                <c:pt idx="102">
                  <c:v>3249071.3250000002</c:v>
                </c:pt>
                <c:pt idx="103">
                  <c:v>2939396</c:v>
                </c:pt>
                <c:pt idx="104">
                  <c:v>2899549.7124999999</c:v>
                </c:pt>
                <c:pt idx="105">
                  <c:v>2571873.0249999999</c:v>
                </c:pt>
                <c:pt idx="106">
                  <c:v>2209588.1124999998</c:v>
                </c:pt>
                <c:pt idx="107">
                  <c:v>1560966.425</c:v>
                </c:pt>
                <c:pt idx="108">
                  <c:v>1293144.0125</c:v>
                </c:pt>
                <c:pt idx="109">
                  <c:v>1565541.9624999999</c:v>
                </c:pt>
                <c:pt idx="110">
                  <c:v>1301456.05</c:v>
                </c:pt>
                <c:pt idx="111">
                  <c:v>1397689.3625</c:v>
                </c:pt>
                <c:pt idx="112">
                  <c:v>1669417.0125</c:v>
                </c:pt>
                <c:pt idx="113">
                  <c:v>2175954.375</c:v>
                </c:pt>
                <c:pt idx="114">
                  <c:v>2427908.2625000002</c:v>
                </c:pt>
                <c:pt idx="115">
                  <c:v>2643058.5</c:v>
                </c:pt>
                <c:pt idx="116">
                  <c:v>1698972.1</c:v>
                </c:pt>
                <c:pt idx="117">
                  <c:v>3591259.0625</c:v>
                </c:pt>
                <c:pt idx="118">
                  <c:v>3881622.45</c:v>
                </c:pt>
                <c:pt idx="119">
                  <c:v>3735394.8125</c:v>
                </c:pt>
                <c:pt idx="120">
                  <c:v>4256801.3250000002</c:v>
                </c:pt>
                <c:pt idx="121">
                  <c:v>4480850.3499999996</c:v>
                </c:pt>
                <c:pt idx="122">
                  <c:v>4485267.7625000002</c:v>
                </c:pt>
                <c:pt idx="123">
                  <c:v>5388572.1124999998</c:v>
                </c:pt>
                <c:pt idx="124">
                  <c:v>5250408.7750000004</c:v>
                </c:pt>
                <c:pt idx="125">
                  <c:v>5510881.3499999996</c:v>
                </c:pt>
                <c:pt idx="126">
                  <c:v>5721801.2625000002</c:v>
                </c:pt>
                <c:pt idx="127">
                  <c:v>6772240.75</c:v>
                </c:pt>
                <c:pt idx="128">
                  <c:v>7497064.9749999996</c:v>
                </c:pt>
                <c:pt idx="129">
                  <c:v>7446473.3375000004</c:v>
                </c:pt>
                <c:pt idx="130">
                  <c:v>7361754.5125000002</c:v>
                </c:pt>
                <c:pt idx="131">
                  <c:v>7411891.125</c:v>
                </c:pt>
                <c:pt idx="132">
                  <c:v>7342582.4749999996</c:v>
                </c:pt>
                <c:pt idx="133">
                  <c:v>7519666.0625</c:v>
                </c:pt>
                <c:pt idx="134">
                  <c:v>7648121.0750000002</c:v>
                </c:pt>
                <c:pt idx="135">
                  <c:v>6979484.5</c:v>
                </c:pt>
                <c:pt idx="136">
                  <c:v>6658567.7625000002</c:v>
                </c:pt>
                <c:pt idx="137">
                  <c:v>5701421.4625000004</c:v>
                </c:pt>
                <c:pt idx="138">
                  <c:v>3904937.8125</c:v>
                </c:pt>
                <c:pt idx="139">
                  <c:v>3747632.25</c:v>
                </c:pt>
                <c:pt idx="140">
                  <c:v>4525359.55</c:v>
                </c:pt>
                <c:pt idx="141">
                  <c:v>4337526.8125</c:v>
                </c:pt>
                <c:pt idx="142">
                  <c:v>4401411.8375000004</c:v>
                </c:pt>
                <c:pt idx="143">
                  <c:v>4782927.0750000002</c:v>
                </c:pt>
                <c:pt idx="144">
                  <c:v>4967393.5250000004</c:v>
                </c:pt>
                <c:pt idx="145">
                  <c:v>4689473.1875</c:v>
                </c:pt>
                <c:pt idx="146">
                  <c:v>5348917.875</c:v>
                </c:pt>
                <c:pt idx="147">
                  <c:v>5448424.0125000002</c:v>
                </c:pt>
                <c:pt idx="148">
                  <c:v>5269794.9749999996</c:v>
                </c:pt>
                <c:pt idx="149">
                  <c:v>3867556.2124999999</c:v>
                </c:pt>
                <c:pt idx="150">
                  <c:v>3090123.1875</c:v>
                </c:pt>
                <c:pt idx="151">
                  <c:v>3568632.7625000002</c:v>
                </c:pt>
                <c:pt idx="152">
                  <c:v>3427581.7</c:v>
                </c:pt>
                <c:pt idx="153">
                  <c:v>2683659.7000000002</c:v>
                </c:pt>
                <c:pt idx="154">
                  <c:v>2144256.2999999998</c:v>
                </c:pt>
                <c:pt idx="155">
                  <c:v>2175797.2250000001</c:v>
                </c:pt>
                <c:pt idx="156">
                  <c:v>3281589.5550000002</c:v>
                </c:pt>
                <c:pt idx="157">
                  <c:v>2748533.1175000002</c:v>
                </c:pt>
                <c:pt idx="158">
                  <c:v>2571362.98</c:v>
                </c:pt>
                <c:pt idx="159">
                  <c:v>3328508.0674999999</c:v>
                </c:pt>
                <c:pt idx="160">
                  <c:v>2523184.7174999998</c:v>
                </c:pt>
                <c:pt idx="161">
                  <c:v>1942601.0575000001</c:v>
                </c:pt>
                <c:pt idx="162">
                  <c:v>2491632.5950000002</c:v>
                </c:pt>
                <c:pt idx="163">
                  <c:v>3997248.9950000001</c:v>
                </c:pt>
                <c:pt idx="164">
                  <c:v>3889176.3450000002</c:v>
                </c:pt>
                <c:pt idx="165">
                  <c:v>3378408.3450000002</c:v>
                </c:pt>
                <c:pt idx="166">
                  <c:v>4411625.9450000003</c:v>
                </c:pt>
                <c:pt idx="167">
                  <c:v>4674954.97</c:v>
                </c:pt>
                <c:pt idx="168">
                  <c:v>4706338.0075000003</c:v>
                </c:pt>
                <c:pt idx="169">
                  <c:v>4981240.67</c:v>
                </c:pt>
                <c:pt idx="170">
                  <c:v>4236927.4824999999</c:v>
                </c:pt>
                <c:pt idx="171">
                  <c:v>4609422.7575000003</c:v>
                </c:pt>
                <c:pt idx="172">
                  <c:v>4475976.4074999997</c:v>
                </c:pt>
                <c:pt idx="173">
                  <c:v>4357347.0449999999</c:v>
                </c:pt>
                <c:pt idx="174">
                  <c:v>4366187.1825000001</c:v>
                </c:pt>
                <c:pt idx="175">
                  <c:v>4203482.4325000001</c:v>
                </c:pt>
                <c:pt idx="176">
                  <c:v>4806688.4574999996</c:v>
                </c:pt>
                <c:pt idx="177">
                  <c:v>4023864.0575000001</c:v>
                </c:pt>
                <c:pt idx="178">
                  <c:v>1679130.47</c:v>
                </c:pt>
                <c:pt idx="179">
                  <c:v>2226310.5699999998</c:v>
                </c:pt>
                <c:pt idx="180">
                  <c:v>2760861.0449999999</c:v>
                </c:pt>
                <c:pt idx="181">
                  <c:v>2245110.02</c:v>
                </c:pt>
                <c:pt idx="182">
                  <c:v>1667192.0075000001</c:v>
                </c:pt>
                <c:pt idx="183">
                  <c:v>1243536.9824999999</c:v>
                </c:pt>
                <c:pt idx="184">
                  <c:v>1845304.1825000001</c:v>
                </c:pt>
                <c:pt idx="185">
                  <c:v>1356128.9075</c:v>
                </c:pt>
                <c:pt idx="186">
                  <c:v>1678957.0449999999</c:v>
                </c:pt>
                <c:pt idx="187">
                  <c:v>1395020.2324999999</c:v>
                </c:pt>
                <c:pt idx="188">
                  <c:v>2896749.3574999999</c:v>
                </c:pt>
                <c:pt idx="189">
                  <c:v>2404684.0575000001</c:v>
                </c:pt>
                <c:pt idx="190">
                  <c:v>2760894.9575</c:v>
                </c:pt>
                <c:pt idx="191">
                  <c:v>3900578.8824999998</c:v>
                </c:pt>
                <c:pt idx="192">
                  <c:v>4334524.2699999996</c:v>
                </c:pt>
                <c:pt idx="193">
                  <c:v>5581423.0250000004</c:v>
                </c:pt>
                <c:pt idx="194">
                  <c:v>5864098.5</c:v>
                </c:pt>
                <c:pt idx="195">
                  <c:v>6115106.0999999996</c:v>
                </c:pt>
                <c:pt idx="196">
                  <c:v>5960290.2874999996</c:v>
                </c:pt>
                <c:pt idx="197">
                  <c:v>6595422.2000000002</c:v>
                </c:pt>
                <c:pt idx="198">
                  <c:v>6216813.25</c:v>
                </c:pt>
                <c:pt idx="199">
                  <c:v>7439601.9500000002</c:v>
                </c:pt>
                <c:pt idx="200">
                  <c:v>6954473.3499999996</c:v>
                </c:pt>
                <c:pt idx="201">
                  <c:v>7044586.4625000004</c:v>
                </c:pt>
                <c:pt idx="202">
                  <c:v>6923564.5750000002</c:v>
                </c:pt>
                <c:pt idx="203">
                  <c:v>6750964.2000000002</c:v>
                </c:pt>
                <c:pt idx="204">
                  <c:v>6563653.3125</c:v>
                </c:pt>
                <c:pt idx="205">
                  <c:v>6220921.3250000002</c:v>
                </c:pt>
                <c:pt idx="206">
                  <c:v>6572251.9749999996</c:v>
                </c:pt>
                <c:pt idx="207">
                  <c:v>6652953.7999999998</c:v>
                </c:pt>
                <c:pt idx="208">
                  <c:v>5149654.95</c:v>
                </c:pt>
                <c:pt idx="209">
                  <c:v>4046306.15</c:v>
                </c:pt>
                <c:pt idx="210">
                  <c:v>4511170.2750000004</c:v>
                </c:pt>
                <c:pt idx="211">
                  <c:v>4517987.875</c:v>
                </c:pt>
                <c:pt idx="212">
                  <c:v>5541106.375</c:v>
                </c:pt>
                <c:pt idx="213">
                  <c:v>5102319.95</c:v>
                </c:pt>
                <c:pt idx="214">
                  <c:v>5321183.2625000002</c:v>
                </c:pt>
                <c:pt idx="215">
                  <c:v>4799965.6500000004</c:v>
                </c:pt>
                <c:pt idx="216">
                  <c:v>4938850.7125000004</c:v>
                </c:pt>
                <c:pt idx="217">
                  <c:v>4588727.125</c:v>
                </c:pt>
                <c:pt idx="218">
                  <c:v>4287257.0250000004</c:v>
                </c:pt>
                <c:pt idx="219">
                  <c:v>4146252.7250000001</c:v>
                </c:pt>
                <c:pt idx="220">
                  <c:v>4618858.9375</c:v>
                </c:pt>
                <c:pt idx="221">
                  <c:v>4876245.4625000004</c:v>
                </c:pt>
                <c:pt idx="222">
                  <c:v>5420683.1749999998</c:v>
                </c:pt>
                <c:pt idx="223">
                  <c:v>4946270.2</c:v>
                </c:pt>
                <c:pt idx="224">
                  <c:v>4734694.0374999996</c:v>
                </c:pt>
                <c:pt idx="225">
                  <c:v>4500217.1749999998</c:v>
                </c:pt>
                <c:pt idx="226">
                  <c:v>4343662.3875000002</c:v>
                </c:pt>
                <c:pt idx="227">
                  <c:v>4476645.5750000002</c:v>
                </c:pt>
                <c:pt idx="228">
                  <c:v>4180297.7</c:v>
                </c:pt>
                <c:pt idx="229">
                  <c:v>4842488.2874999996</c:v>
                </c:pt>
                <c:pt idx="230">
                  <c:v>3956518.2</c:v>
                </c:pt>
                <c:pt idx="231">
                  <c:v>3358021.0874999999</c:v>
                </c:pt>
                <c:pt idx="232">
                  <c:v>3304855.7749999999</c:v>
                </c:pt>
                <c:pt idx="233">
                  <c:v>3571111.0249999999</c:v>
                </c:pt>
                <c:pt idx="234">
                  <c:v>2621220.1749999998</c:v>
                </c:pt>
                <c:pt idx="235">
                  <c:v>2056824.0625</c:v>
                </c:pt>
                <c:pt idx="236">
                  <c:v>921189.21250000002</c:v>
                </c:pt>
                <c:pt idx="237">
                  <c:v>1207241.8374999999</c:v>
                </c:pt>
                <c:pt idx="238">
                  <c:v>1947269.05</c:v>
                </c:pt>
                <c:pt idx="239">
                  <c:v>567775.73750000005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541-4101-BA91-32B5375B7CE1}"/>
            </c:ext>
          </c:extLst>
        </c:ser>
        <c:ser>
          <c:idx val="3"/>
          <c:order val="3"/>
          <c:tx>
            <c:strRef>
              <c:f>'daily monitor'!$AA$100</c:f>
              <c:strCache>
                <c:ptCount val="1"/>
                <c:pt idx="0">
                  <c:v>KTB</c:v>
                </c:pt>
              </c:strCache>
            </c:strRef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'daily monitor'!$W$101:$W$344</c:f>
              <c:numCache>
                <c:formatCode>General</c:formatCode>
                <c:ptCount val="244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45656</c:v>
                </c:pt>
                <c:pt idx="19">
                  <c:v>45653</c:v>
                </c:pt>
                <c:pt idx="20">
                  <c:v>45652</c:v>
                </c:pt>
                <c:pt idx="21">
                  <c:v>45650</c:v>
                </c:pt>
                <c:pt idx="22">
                  <c:v>45649</c:v>
                </c:pt>
                <c:pt idx="23">
                  <c:v>45646</c:v>
                </c:pt>
                <c:pt idx="24">
                  <c:v>45645</c:v>
                </c:pt>
                <c:pt idx="25">
                  <c:v>45644</c:v>
                </c:pt>
                <c:pt idx="26">
                  <c:v>45643</c:v>
                </c:pt>
                <c:pt idx="27">
                  <c:v>45642</c:v>
                </c:pt>
                <c:pt idx="28">
                  <c:v>45639</c:v>
                </c:pt>
                <c:pt idx="29">
                  <c:v>45638</c:v>
                </c:pt>
                <c:pt idx="30">
                  <c:v>45637</c:v>
                </c:pt>
                <c:pt idx="31">
                  <c:v>45636</c:v>
                </c:pt>
                <c:pt idx="32">
                  <c:v>45635</c:v>
                </c:pt>
                <c:pt idx="33">
                  <c:v>45632</c:v>
                </c:pt>
                <c:pt idx="34">
                  <c:v>45631</c:v>
                </c:pt>
                <c:pt idx="35">
                  <c:v>45630</c:v>
                </c:pt>
                <c:pt idx="36">
                  <c:v>45629</c:v>
                </c:pt>
                <c:pt idx="37">
                  <c:v>45628</c:v>
                </c:pt>
                <c:pt idx="38">
                  <c:v>45625</c:v>
                </c:pt>
                <c:pt idx="39">
                  <c:v>45624</c:v>
                </c:pt>
                <c:pt idx="40">
                  <c:v>45623</c:v>
                </c:pt>
                <c:pt idx="41">
                  <c:v>45622</c:v>
                </c:pt>
                <c:pt idx="42">
                  <c:v>45621</c:v>
                </c:pt>
                <c:pt idx="43">
                  <c:v>45618</c:v>
                </c:pt>
                <c:pt idx="44">
                  <c:v>45617</c:v>
                </c:pt>
                <c:pt idx="45">
                  <c:v>45616</c:v>
                </c:pt>
                <c:pt idx="46">
                  <c:v>45615</c:v>
                </c:pt>
                <c:pt idx="47">
                  <c:v>45614</c:v>
                </c:pt>
                <c:pt idx="48">
                  <c:v>45611</c:v>
                </c:pt>
                <c:pt idx="49">
                  <c:v>45610</c:v>
                </c:pt>
                <c:pt idx="50">
                  <c:v>45609</c:v>
                </c:pt>
                <c:pt idx="51">
                  <c:v>45608</c:v>
                </c:pt>
                <c:pt idx="52">
                  <c:v>45607</c:v>
                </c:pt>
                <c:pt idx="53">
                  <c:v>45604</c:v>
                </c:pt>
                <c:pt idx="54">
                  <c:v>45603</c:v>
                </c:pt>
                <c:pt idx="55">
                  <c:v>45602</c:v>
                </c:pt>
                <c:pt idx="56">
                  <c:v>45601</c:v>
                </c:pt>
                <c:pt idx="57">
                  <c:v>45600</c:v>
                </c:pt>
                <c:pt idx="58">
                  <c:v>45597</c:v>
                </c:pt>
                <c:pt idx="59">
                  <c:v>45596</c:v>
                </c:pt>
                <c:pt idx="60">
                  <c:v>45595</c:v>
                </c:pt>
                <c:pt idx="61">
                  <c:v>45594</c:v>
                </c:pt>
                <c:pt idx="62">
                  <c:v>45593</c:v>
                </c:pt>
                <c:pt idx="63">
                  <c:v>45590</c:v>
                </c:pt>
                <c:pt idx="64">
                  <c:v>45589</c:v>
                </c:pt>
                <c:pt idx="65">
                  <c:v>45588</c:v>
                </c:pt>
                <c:pt idx="66">
                  <c:v>45587</c:v>
                </c:pt>
                <c:pt idx="67">
                  <c:v>45586</c:v>
                </c:pt>
                <c:pt idx="68">
                  <c:v>45583</c:v>
                </c:pt>
                <c:pt idx="69">
                  <c:v>45582</c:v>
                </c:pt>
                <c:pt idx="70">
                  <c:v>45581</c:v>
                </c:pt>
                <c:pt idx="71">
                  <c:v>45580</c:v>
                </c:pt>
                <c:pt idx="72">
                  <c:v>45579</c:v>
                </c:pt>
                <c:pt idx="73">
                  <c:v>45576</c:v>
                </c:pt>
                <c:pt idx="74">
                  <c:v>45575</c:v>
                </c:pt>
                <c:pt idx="75">
                  <c:v>45573</c:v>
                </c:pt>
                <c:pt idx="76">
                  <c:v>45572</c:v>
                </c:pt>
                <c:pt idx="77">
                  <c:v>45569</c:v>
                </c:pt>
                <c:pt idx="78">
                  <c:v>45567</c:v>
                </c:pt>
                <c:pt idx="79">
                  <c:v>45565</c:v>
                </c:pt>
                <c:pt idx="80">
                  <c:v>45562</c:v>
                </c:pt>
                <c:pt idx="81">
                  <c:v>45561</c:v>
                </c:pt>
                <c:pt idx="82">
                  <c:v>45560</c:v>
                </c:pt>
                <c:pt idx="83">
                  <c:v>45559</c:v>
                </c:pt>
                <c:pt idx="84">
                  <c:v>45558</c:v>
                </c:pt>
                <c:pt idx="85">
                  <c:v>45555</c:v>
                </c:pt>
                <c:pt idx="86">
                  <c:v>45554</c:v>
                </c:pt>
                <c:pt idx="87">
                  <c:v>45548</c:v>
                </c:pt>
                <c:pt idx="88">
                  <c:v>45547</c:v>
                </c:pt>
                <c:pt idx="89">
                  <c:v>45546</c:v>
                </c:pt>
                <c:pt idx="90">
                  <c:v>45545</c:v>
                </c:pt>
                <c:pt idx="91">
                  <c:v>45544</c:v>
                </c:pt>
                <c:pt idx="92">
                  <c:v>45541</c:v>
                </c:pt>
                <c:pt idx="93">
                  <c:v>45540</c:v>
                </c:pt>
                <c:pt idx="94">
                  <c:v>45539</c:v>
                </c:pt>
                <c:pt idx="95">
                  <c:v>45538</c:v>
                </c:pt>
                <c:pt idx="96">
                  <c:v>45537</c:v>
                </c:pt>
                <c:pt idx="97">
                  <c:v>45534</c:v>
                </c:pt>
                <c:pt idx="98">
                  <c:v>45533</c:v>
                </c:pt>
                <c:pt idx="99">
                  <c:v>45532</c:v>
                </c:pt>
                <c:pt idx="100">
                  <c:v>45531</c:v>
                </c:pt>
                <c:pt idx="101">
                  <c:v>45530</c:v>
                </c:pt>
                <c:pt idx="102">
                  <c:v>45527</c:v>
                </c:pt>
                <c:pt idx="103">
                  <c:v>45526</c:v>
                </c:pt>
                <c:pt idx="104">
                  <c:v>45525</c:v>
                </c:pt>
                <c:pt idx="105">
                  <c:v>45524</c:v>
                </c:pt>
                <c:pt idx="106">
                  <c:v>45523</c:v>
                </c:pt>
                <c:pt idx="107">
                  <c:v>45520</c:v>
                </c:pt>
                <c:pt idx="108">
                  <c:v>45518</c:v>
                </c:pt>
                <c:pt idx="109">
                  <c:v>45517</c:v>
                </c:pt>
                <c:pt idx="110">
                  <c:v>45516</c:v>
                </c:pt>
                <c:pt idx="111">
                  <c:v>45513</c:v>
                </c:pt>
                <c:pt idx="112">
                  <c:v>45512</c:v>
                </c:pt>
                <c:pt idx="113">
                  <c:v>45511</c:v>
                </c:pt>
                <c:pt idx="114">
                  <c:v>45510</c:v>
                </c:pt>
                <c:pt idx="115">
                  <c:v>45509</c:v>
                </c:pt>
                <c:pt idx="116">
                  <c:v>45506</c:v>
                </c:pt>
                <c:pt idx="117">
                  <c:v>45505</c:v>
                </c:pt>
                <c:pt idx="118">
                  <c:v>45504</c:v>
                </c:pt>
                <c:pt idx="119">
                  <c:v>45503</c:v>
                </c:pt>
                <c:pt idx="120">
                  <c:v>45502</c:v>
                </c:pt>
                <c:pt idx="121">
                  <c:v>45499</c:v>
                </c:pt>
                <c:pt idx="122">
                  <c:v>45498</c:v>
                </c:pt>
                <c:pt idx="123">
                  <c:v>45497</c:v>
                </c:pt>
                <c:pt idx="124">
                  <c:v>45496</c:v>
                </c:pt>
                <c:pt idx="125">
                  <c:v>45495</c:v>
                </c:pt>
                <c:pt idx="126">
                  <c:v>45492</c:v>
                </c:pt>
                <c:pt idx="127">
                  <c:v>45491</c:v>
                </c:pt>
                <c:pt idx="128">
                  <c:v>45490</c:v>
                </c:pt>
                <c:pt idx="129">
                  <c:v>45489</c:v>
                </c:pt>
                <c:pt idx="130">
                  <c:v>45488</c:v>
                </c:pt>
                <c:pt idx="131">
                  <c:v>45485</c:v>
                </c:pt>
                <c:pt idx="132">
                  <c:v>45484</c:v>
                </c:pt>
                <c:pt idx="133">
                  <c:v>45483</c:v>
                </c:pt>
                <c:pt idx="134">
                  <c:v>45482</c:v>
                </c:pt>
                <c:pt idx="135">
                  <c:v>45481</c:v>
                </c:pt>
                <c:pt idx="136">
                  <c:v>45478</c:v>
                </c:pt>
                <c:pt idx="137">
                  <c:v>45477</c:v>
                </c:pt>
                <c:pt idx="138">
                  <c:v>45476</c:v>
                </c:pt>
                <c:pt idx="139">
                  <c:v>45475</c:v>
                </c:pt>
                <c:pt idx="140">
                  <c:v>45474</c:v>
                </c:pt>
                <c:pt idx="141">
                  <c:v>45471</c:v>
                </c:pt>
                <c:pt idx="142">
                  <c:v>45470</c:v>
                </c:pt>
                <c:pt idx="143">
                  <c:v>45469</c:v>
                </c:pt>
                <c:pt idx="144">
                  <c:v>45468</c:v>
                </c:pt>
                <c:pt idx="145">
                  <c:v>45467</c:v>
                </c:pt>
                <c:pt idx="146">
                  <c:v>45464</c:v>
                </c:pt>
                <c:pt idx="147">
                  <c:v>45463</c:v>
                </c:pt>
                <c:pt idx="148">
                  <c:v>45462</c:v>
                </c:pt>
                <c:pt idx="149">
                  <c:v>45461</c:v>
                </c:pt>
                <c:pt idx="150">
                  <c:v>45460</c:v>
                </c:pt>
                <c:pt idx="151">
                  <c:v>45457</c:v>
                </c:pt>
                <c:pt idx="152">
                  <c:v>45456</c:v>
                </c:pt>
                <c:pt idx="153">
                  <c:v>45455</c:v>
                </c:pt>
                <c:pt idx="154">
                  <c:v>45454</c:v>
                </c:pt>
                <c:pt idx="155">
                  <c:v>45453</c:v>
                </c:pt>
                <c:pt idx="156">
                  <c:v>45450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45426</c:v>
                </c:pt>
                <c:pt idx="173">
                  <c:v>45425</c:v>
                </c:pt>
                <c:pt idx="174">
                  <c:v>45422</c:v>
                </c:pt>
                <c:pt idx="175">
                  <c:v>45421</c:v>
                </c:pt>
                <c:pt idx="176">
                  <c:v>45420</c:v>
                </c:pt>
                <c:pt idx="177">
                  <c:v>45419</c:v>
                </c:pt>
                <c:pt idx="178">
                  <c:v>45415</c:v>
                </c:pt>
                <c:pt idx="179">
                  <c:v>45414</c:v>
                </c:pt>
                <c:pt idx="180">
                  <c:v>45412</c:v>
                </c:pt>
                <c:pt idx="181">
                  <c:v>45411</c:v>
                </c:pt>
                <c:pt idx="182">
                  <c:v>45408</c:v>
                </c:pt>
                <c:pt idx="183">
                  <c:v>45407</c:v>
                </c:pt>
                <c:pt idx="184">
                  <c:v>45406</c:v>
                </c:pt>
                <c:pt idx="185">
                  <c:v>45405</c:v>
                </c:pt>
                <c:pt idx="186">
                  <c:v>45404</c:v>
                </c:pt>
                <c:pt idx="187">
                  <c:v>45401</c:v>
                </c:pt>
                <c:pt idx="188">
                  <c:v>45400</c:v>
                </c:pt>
                <c:pt idx="189">
                  <c:v>45399</c:v>
                </c:pt>
                <c:pt idx="190">
                  <c:v>45398</c:v>
                </c:pt>
                <c:pt idx="191">
                  <c:v>45397</c:v>
                </c:pt>
                <c:pt idx="192">
                  <c:v>45394</c:v>
                </c:pt>
                <c:pt idx="193">
                  <c:v>45393</c:v>
                </c:pt>
                <c:pt idx="194">
                  <c:v>45391</c:v>
                </c:pt>
                <c:pt idx="195">
                  <c:v>45390</c:v>
                </c:pt>
                <c:pt idx="196">
                  <c:v>45387</c:v>
                </c:pt>
                <c:pt idx="197">
                  <c:v>45386</c:v>
                </c:pt>
                <c:pt idx="198">
                  <c:v>45385</c:v>
                </c:pt>
                <c:pt idx="199">
                  <c:v>45384</c:v>
                </c:pt>
                <c:pt idx="200">
                  <c:v>45383</c:v>
                </c:pt>
                <c:pt idx="201">
                  <c:v>45380</c:v>
                </c:pt>
                <c:pt idx="202">
                  <c:v>45379</c:v>
                </c:pt>
                <c:pt idx="203">
                  <c:v>45378</c:v>
                </c:pt>
                <c:pt idx="204">
                  <c:v>45377</c:v>
                </c:pt>
                <c:pt idx="205">
                  <c:v>45376</c:v>
                </c:pt>
                <c:pt idx="206">
                  <c:v>45373</c:v>
                </c:pt>
                <c:pt idx="207">
                  <c:v>45372</c:v>
                </c:pt>
                <c:pt idx="208">
                  <c:v>45371</c:v>
                </c:pt>
                <c:pt idx="209">
                  <c:v>45370</c:v>
                </c:pt>
                <c:pt idx="210">
                  <c:v>45369</c:v>
                </c:pt>
                <c:pt idx="211">
                  <c:v>45366</c:v>
                </c:pt>
                <c:pt idx="212">
                  <c:v>45365</c:v>
                </c:pt>
                <c:pt idx="213">
                  <c:v>45364</c:v>
                </c:pt>
                <c:pt idx="214">
                  <c:v>45363</c:v>
                </c:pt>
                <c:pt idx="215">
                  <c:v>45362</c:v>
                </c:pt>
                <c:pt idx="216">
                  <c:v>45359</c:v>
                </c:pt>
                <c:pt idx="217">
                  <c:v>45358</c:v>
                </c:pt>
                <c:pt idx="218">
                  <c:v>45357</c:v>
                </c:pt>
                <c:pt idx="219">
                  <c:v>45356</c:v>
                </c:pt>
                <c:pt idx="220">
                  <c:v>45355</c:v>
                </c:pt>
                <c:pt idx="221">
                  <c:v>45351</c:v>
                </c:pt>
                <c:pt idx="222">
                  <c:v>45350</c:v>
                </c:pt>
                <c:pt idx="223">
                  <c:v>45349</c:v>
                </c:pt>
                <c:pt idx="224">
                  <c:v>45348</c:v>
                </c:pt>
                <c:pt idx="225">
                  <c:v>45345</c:v>
                </c:pt>
                <c:pt idx="226">
                  <c:v>45344</c:v>
                </c:pt>
                <c:pt idx="227">
                  <c:v>45343</c:v>
                </c:pt>
                <c:pt idx="228">
                  <c:v>45342</c:v>
                </c:pt>
                <c:pt idx="229">
                  <c:v>45341</c:v>
                </c:pt>
                <c:pt idx="230">
                  <c:v>45338</c:v>
                </c:pt>
                <c:pt idx="231">
                  <c:v>45337</c:v>
                </c:pt>
                <c:pt idx="232">
                  <c:v>45336</c:v>
                </c:pt>
                <c:pt idx="233">
                  <c:v>45335</c:v>
                </c:pt>
                <c:pt idx="234">
                  <c:v>45330</c:v>
                </c:pt>
                <c:pt idx="235">
                  <c:v>45329</c:v>
                </c:pt>
                <c:pt idx="236">
                  <c:v>45328</c:v>
                </c:pt>
                <c:pt idx="237">
                  <c:v>45327</c:v>
                </c:pt>
                <c:pt idx="238">
                  <c:v>45324</c:v>
                </c:pt>
                <c:pt idx="239">
                  <c:v>45323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cat>
          <c:val>
            <c:numRef>
              <c:f>'daily monitor'!$AA$101:$AA$344</c:f>
              <c:numCache>
                <c:formatCode>General</c:formatCode>
                <c:ptCount val="244"/>
                <c:pt idx="0">
                  <c:v>13976993.560000001</c:v>
                </c:pt>
                <c:pt idx="1">
                  <c:v>13464908.58</c:v>
                </c:pt>
                <c:pt idx="2">
                  <c:v>14637673.85</c:v>
                </c:pt>
                <c:pt idx="3">
                  <c:v>12832464.289999999</c:v>
                </c:pt>
                <c:pt idx="4">
                  <c:v>12430943.98</c:v>
                </c:pt>
                <c:pt idx="5">
                  <c:v>11333263.4</c:v>
                </c:pt>
                <c:pt idx="6">
                  <c:v>11081932.130000001</c:v>
                </c:pt>
                <c:pt idx="7">
                  <c:v>9288729.4900000002</c:v>
                </c:pt>
                <c:pt idx="8">
                  <c:v>9867405.1600000001</c:v>
                </c:pt>
                <c:pt idx="9">
                  <c:v>10135089.609999999</c:v>
                </c:pt>
                <c:pt idx="10">
                  <c:v>10012954.99</c:v>
                </c:pt>
                <c:pt idx="11">
                  <c:v>10549959.08</c:v>
                </c:pt>
                <c:pt idx="12">
                  <c:v>10647093.029999999</c:v>
                </c:pt>
                <c:pt idx="13">
                  <c:v>10593168.35</c:v>
                </c:pt>
                <c:pt idx="14">
                  <c:v>10309002.560000001</c:v>
                </c:pt>
                <c:pt idx="15">
                  <c:v>8993929.9000000004</c:v>
                </c:pt>
                <c:pt idx="16">
                  <c:v>9056962.1300000008</c:v>
                </c:pt>
                <c:pt idx="17">
                  <c:v>9239410.7200000007</c:v>
                </c:pt>
                <c:pt idx="18">
                  <c:v>8899586.2100000009</c:v>
                </c:pt>
                <c:pt idx="19">
                  <c:v>9370169</c:v>
                </c:pt>
                <c:pt idx="20">
                  <c:v>9834783.4199999999</c:v>
                </c:pt>
                <c:pt idx="21">
                  <c:v>10189467.300000001</c:v>
                </c:pt>
                <c:pt idx="22">
                  <c:v>10560219.109999999</c:v>
                </c:pt>
                <c:pt idx="23">
                  <c:v>10015842.390000001</c:v>
                </c:pt>
                <c:pt idx="24">
                  <c:v>10307549.48</c:v>
                </c:pt>
                <c:pt idx="25">
                  <c:v>12521152.98</c:v>
                </c:pt>
                <c:pt idx="26">
                  <c:v>13174946.07</c:v>
                </c:pt>
                <c:pt idx="27">
                  <c:v>15969347.199999999</c:v>
                </c:pt>
                <c:pt idx="28">
                  <c:v>16532567.68</c:v>
                </c:pt>
                <c:pt idx="29">
                  <c:v>16586347.890000001</c:v>
                </c:pt>
                <c:pt idx="30">
                  <c:v>16766212.23</c:v>
                </c:pt>
                <c:pt idx="31">
                  <c:v>17720839.289999999</c:v>
                </c:pt>
                <c:pt idx="32">
                  <c:v>17558650.57</c:v>
                </c:pt>
                <c:pt idx="33">
                  <c:v>17119690.699999999</c:v>
                </c:pt>
                <c:pt idx="34">
                  <c:v>17358867.559999999</c:v>
                </c:pt>
                <c:pt idx="35">
                  <c:v>18370734.73</c:v>
                </c:pt>
                <c:pt idx="36">
                  <c:v>17664474.260000002</c:v>
                </c:pt>
                <c:pt idx="37">
                  <c:v>17929995.629999999</c:v>
                </c:pt>
                <c:pt idx="38">
                  <c:v>17153542.510000002</c:v>
                </c:pt>
                <c:pt idx="39">
                  <c:v>16240462.220000001</c:v>
                </c:pt>
                <c:pt idx="40">
                  <c:v>14369899.35</c:v>
                </c:pt>
                <c:pt idx="41">
                  <c:v>13555303.460000001</c:v>
                </c:pt>
                <c:pt idx="42">
                  <c:v>12358708.23</c:v>
                </c:pt>
                <c:pt idx="43">
                  <c:v>11367198.41</c:v>
                </c:pt>
                <c:pt idx="44">
                  <c:v>10716997.68</c:v>
                </c:pt>
                <c:pt idx="45">
                  <c:v>8445906.1699999999</c:v>
                </c:pt>
                <c:pt idx="46">
                  <c:v>7632686.1100000003</c:v>
                </c:pt>
                <c:pt idx="47">
                  <c:v>6791403.2999999998</c:v>
                </c:pt>
                <c:pt idx="48">
                  <c:v>6134759.3300000001</c:v>
                </c:pt>
                <c:pt idx="49">
                  <c:v>6717769.0499999998</c:v>
                </c:pt>
                <c:pt idx="50">
                  <c:v>6732855.9100000001</c:v>
                </c:pt>
                <c:pt idx="51">
                  <c:v>7452787.1900000004</c:v>
                </c:pt>
                <c:pt idx="52">
                  <c:v>7045296.1900000004</c:v>
                </c:pt>
                <c:pt idx="53">
                  <c:v>6978461.7599999998</c:v>
                </c:pt>
                <c:pt idx="54">
                  <c:v>6059320.2999999998</c:v>
                </c:pt>
                <c:pt idx="55">
                  <c:v>5199708.45</c:v>
                </c:pt>
                <c:pt idx="56">
                  <c:v>7336328.4900000002</c:v>
                </c:pt>
                <c:pt idx="57">
                  <c:v>8047694.2400000002</c:v>
                </c:pt>
                <c:pt idx="58">
                  <c:v>8116395.9199999999</c:v>
                </c:pt>
                <c:pt idx="59">
                  <c:v>8804335.4100000001</c:v>
                </c:pt>
                <c:pt idx="60">
                  <c:v>9032783.2100000009</c:v>
                </c:pt>
                <c:pt idx="61">
                  <c:v>8993382.2200000007</c:v>
                </c:pt>
                <c:pt idx="62">
                  <c:v>8995325.2899999991</c:v>
                </c:pt>
                <c:pt idx="63">
                  <c:v>8720868.2899999991</c:v>
                </c:pt>
                <c:pt idx="64">
                  <c:v>8128153.6699999999</c:v>
                </c:pt>
                <c:pt idx="65">
                  <c:v>6970659.8600000003</c:v>
                </c:pt>
                <c:pt idx="66">
                  <c:v>8044709.7400000002</c:v>
                </c:pt>
                <c:pt idx="67">
                  <c:v>7484068.8200000003</c:v>
                </c:pt>
                <c:pt idx="68">
                  <c:v>7010056.6799999997</c:v>
                </c:pt>
                <c:pt idx="69">
                  <c:v>6871825.7300000004</c:v>
                </c:pt>
                <c:pt idx="70">
                  <c:v>6730026.6699999999</c:v>
                </c:pt>
                <c:pt idx="71">
                  <c:v>6276964.5899999999</c:v>
                </c:pt>
                <c:pt idx="72">
                  <c:v>5991251.8899999997</c:v>
                </c:pt>
                <c:pt idx="73">
                  <c:v>5463060.0099999998</c:v>
                </c:pt>
                <c:pt idx="74">
                  <c:v>4993363.7300000004</c:v>
                </c:pt>
                <c:pt idx="75">
                  <c:v>6357918.1299999999</c:v>
                </c:pt>
                <c:pt idx="76">
                  <c:v>7877269.79</c:v>
                </c:pt>
                <c:pt idx="77">
                  <c:v>12651045.880000001</c:v>
                </c:pt>
                <c:pt idx="78">
                  <c:v>13795724.65</c:v>
                </c:pt>
                <c:pt idx="79">
                  <c:v>13017010.800000001</c:v>
                </c:pt>
                <c:pt idx="80">
                  <c:v>12912339.859999999</c:v>
                </c:pt>
                <c:pt idx="81">
                  <c:v>13115668.35</c:v>
                </c:pt>
                <c:pt idx="82">
                  <c:v>12607781.76</c:v>
                </c:pt>
                <c:pt idx="83">
                  <c:v>12360690.57</c:v>
                </c:pt>
                <c:pt idx="84">
                  <c:v>11779702.18</c:v>
                </c:pt>
                <c:pt idx="85">
                  <c:v>11762673.34</c:v>
                </c:pt>
                <c:pt idx="86">
                  <c:v>11641006.08</c:v>
                </c:pt>
                <c:pt idx="87">
                  <c:v>11396333.1</c:v>
                </c:pt>
                <c:pt idx="88">
                  <c:v>10812398.890000001</c:v>
                </c:pt>
                <c:pt idx="89">
                  <c:v>11211033.93</c:v>
                </c:pt>
                <c:pt idx="90">
                  <c:v>10548083.01</c:v>
                </c:pt>
                <c:pt idx="91">
                  <c:v>10303897.1</c:v>
                </c:pt>
                <c:pt idx="92">
                  <c:v>9767838.8900000006</c:v>
                </c:pt>
                <c:pt idx="93">
                  <c:v>9077760.0199999996</c:v>
                </c:pt>
                <c:pt idx="94">
                  <c:v>8895087.4499999993</c:v>
                </c:pt>
                <c:pt idx="95">
                  <c:v>9242504.0299999993</c:v>
                </c:pt>
                <c:pt idx="96">
                  <c:v>8712609.3900000006</c:v>
                </c:pt>
                <c:pt idx="97">
                  <c:v>8488151.3900000006</c:v>
                </c:pt>
                <c:pt idx="98">
                  <c:v>8024400.4900000002</c:v>
                </c:pt>
                <c:pt idx="99">
                  <c:v>9212370.0099999998</c:v>
                </c:pt>
                <c:pt idx="100">
                  <c:v>9329808</c:v>
                </c:pt>
                <c:pt idx="101">
                  <c:v>10443801.08</c:v>
                </c:pt>
                <c:pt idx="102">
                  <c:v>9693769.4800000004</c:v>
                </c:pt>
                <c:pt idx="103">
                  <c:v>9326232.8100000005</c:v>
                </c:pt>
                <c:pt idx="104">
                  <c:v>8105375.0700000003</c:v>
                </c:pt>
                <c:pt idx="105">
                  <c:v>7898547.8700000001</c:v>
                </c:pt>
                <c:pt idx="106">
                  <c:v>8297675.8899999997</c:v>
                </c:pt>
                <c:pt idx="107">
                  <c:v>8041325.5899999999</c:v>
                </c:pt>
                <c:pt idx="108">
                  <c:v>8921028.0899999999</c:v>
                </c:pt>
                <c:pt idx="109">
                  <c:v>9249326.9600000009</c:v>
                </c:pt>
                <c:pt idx="110">
                  <c:v>8934740.6199999992</c:v>
                </c:pt>
                <c:pt idx="111">
                  <c:v>8827819.1099999994</c:v>
                </c:pt>
                <c:pt idx="112">
                  <c:v>8777488.8900000006</c:v>
                </c:pt>
                <c:pt idx="113">
                  <c:v>7940018.8700000001</c:v>
                </c:pt>
                <c:pt idx="114">
                  <c:v>7783524</c:v>
                </c:pt>
                <c:pt idx="115">
                  <c:v>8921687.0399999991</c:v>
                </c:pt>
                <c:pt idx="116">
                  <c:v>7082728.0499999998</c:v>
                </c:pt>
                <c:pt idx="117">
                  <c:v>7463857.54</c:v>
                </c:pt>
                <c:pt idx="118">
                  <c:v>6736554.9800000004</c:v>
                </c:pt>
                <c:pt idx="119">
                  <c:v>7223104.0800000001</c:v>
                </c:pt>
                <c:pt idx="120">
                  <c:v>7701895.7199999997</c:v>
                </c:pt>
                <c:pt idx="121">
                  <c:v>7812042.1900000004</c:v>
                </c:pt>
                <c:pt idx="122">
                  <c:v>7809528.3499999996</c:v>
                </c:pt>
                <c:pt idx="123">
                  <c:v>7327959.4000000004</c:v>
                </c:pt>
                <c:pt idx="124">
                  <c:v>6766292.96</c:v>
                </c:pt>
                <c:pt idx="125">
                  <c:v>7206564.5499999998</c:v>
                </c:pt>
                <c:pt idx="126">
                  <c:v>6632578.7400000002</c:v>
                </c:pt>
                <c:pt idx="127">
                  <c:v>6405759.04</c:v>
                </c:pt>
                <c:pt idx="128">
                  <c:v>5980913.5199999996</c:v>
                </c:pt>
                <c:pt idx="129">
                  <c:v>4931802.8099999996</c:v>
                </c:pt>
                <c:pt idx="130">
                  <c:v>4509608.6100000003</c:v>
                </c:pt>
                <c:pt idx="131">
                  <c:v>2984396.75</c:v>
                </c:pt>
                <c:pt idx="132">
                  <c:v>2310864.0299999998</c:v>
                </c:pt>
                <c:pt idx="133">
                  <c:v>1970311.66</c:v>
                </c:pt>
                <c:pt idx="134">
                  <c:v>579813.89</c:v>
                </c:pt>
                <c:pt idx="135">
                  <c:v>-153171.43</c:v>
                </c:pt>
                <c:pt idx="136">
                  <c:v>-1383504.38</c:v>
                </c:pt>
                <c:pt idx="137">
                  <c:v>-1773540.52</c:v>
                </c:pt>
                <c:pt idx="138">
                  <c:v>-2074708.25</c:v>
                </c:pt>
                <c:pt idx="139">
                  <c:v>-2281181.7000000002</c:v>
                </c:pt>
                <c:pt idx="140">
                  <c:v>-2475272.25</c:v>
                </c:pt>
                <c:pt idx="141">
                  <c:v>-2620895.2999999998</c:v>
                </c:pt>
                <c:pt idx="142">
                  <c:v>-2638013.86</c:v>
                </c:pt>
                <c:pt idx="143">
                  <c:v>-2366060.59</c:v>
                </c:pt>
                <c:pt idx="144">
                  <c:v>-2539965.91</c:v>
                </c:pt>
                <c:pt idx="145">
                  <c:v>-3366335.74</c:v>
                </c:pt>
                <c:pt idx="146">
                  <c:v>-3937605.54</c:v>
                </c:pt>
                <c:pt idx="147">
                  <c:v>-5292270.49</c:v>
                </c:pt>
                <c:pt idx="148">
                  <c:v>-5270583.72</c:v>
                </c:pt>
                <c:pt idx="149">
                  <c:v>-7262788.46</c:v>
                </c:pt>
                <c:pt idx="150">
                  <c:v>-9096808.9800000004</c:v>
                </c:pt>
                <c:pt idx="151">
                  <c:v>-11409692.23</c:v>
                </c:pt>
                <c:pt idx="152">
                  <c:v>-13105628.51</c:v>
                </c:pt>
                <c:pt idx="153">
                  <c:v>-14865118.300000001</c:v>
                </c:pt>
                <c:pt idx="154">
                  <c:v>-14801318.01</c:v>
                </c:pt>
                <c:pt idx="155">
                  <c:v>-14207259.1</c:v>
                </c:pt>
                <c:pt idx="156">
                  <c:v>-14784718.27</c:v>
                </c:pt>
                <c:pt idx="157">
                  <c:v>-15628795.460000001</c:v>
                </c:pt>
                <c:pt idx="158">
                  <c:v>-17000562.079999998</c:v>
                </c:pt>
                <c:pt idx="159">
                  <c:v>-17343981.079999998</c:v>
                </c:pt>
                <c:pt idx="160">
                  <c:v>-18027158.870000001</c:v>
                </c:pt>
                <c:pt idx="161">
                  <c:v>-18300474.149999999</c:v>
                </c:pt>
                <c:pt idx="162">
                  <c:v>-17499898.77</c:v>
                </c:pt>
                <c:pt idx="163">
                  <c:v>-16239270.630000001</c:v>
                </c:pt>
                <c:pt idx="164">
                  <c:v>-16007735.99</c:v>
                </c:pt>
                <c:pt idx="165">
                  <c:v>-15590875.73</c:v>
                </c:pt>
                <c:pt idx="166">
                  <c:v>-15259379.73</c:v>
                </c:pt>
                <c:pt idx="167">
                  <c:v>-16228154.859999999</c:v>
                </c:pt>
                <c:pt idx="168">
                  <c:v>-15652705.1</c:v>
                </c:pt>
                <c:pt idx="169">
                  <c:v>-15122604.08</c:v>
                </c:pt>
                <c:pt idx="170">
                  <c:v>-15118300.23</c:v>
                </c:pt>
                <c:pt idx="171">
                  <c:v>-14973184.42</c:v>
                </c:pt>
                <c:pt idx="172">
                  <c:v>-13569607.35</c:v>
                </c:pt>
                <c:pt idx="173">
                  <c:v>-13505083.699999999</c:v>
                </c:pt>
                <c:pt idx="174">
                  <c:v>-13724523.359999999</c:v>
                </c:pt>
                <c:pt idx="175">
                  <c:v>-15405980.49</c:v>
                </c:pt>
                <c:pt idx="176">
                  <c:v>-14418177.439999999</c:v>
                </c:pt>
                <c:pt idx="177">
                  <c:v>-14228949.109999999</c:v>
                </c:pt>
                <c:pt idx="178">
                  <c:v>-12719506.93</c:v>
                </c:pt>
                <c:pt idx="179">
                  <c:v>-13436046.960000001</c:v>
                </c:pt>
                <c:pt idx="180">
                  <c:v>-12956106.23</c:v>
                </c:pt>
                <c:pt idx="181">
                  <c:v>-12297989.779999999</c:v>
                </c:pt>
                <c:pt idx="182">
                  <c:v>-12267575.550000001</c:v>
                </c:pt>
                <c:pt idx="183">
                  <c:v>-12190255.970000001</c:v>
                </c:pt>
                <c:pt idx="184">
                  <c:v>-12794442.220000001</c:v>
                </c:pt>
                <c:pt idx="185">
                  <c:v>-12405594.74</c:v>
                </c:pt>
                <c:pt idx="186">
                  <c:v>-12257729.76</c:v>
                </c:pt>
                <c:pt idx="187">
                  <c:v>-12408919.970000001</c:v>
                </c:pt>
                <c:pt idx="188">
                  <c:v>-13693117.23</c:v>
                </c:pt>
                <c:pt idx="189">
                  <c:v>-13973326.699999999</c:v>
                </c:pt>
                <c:pt idx="190">
                  <c:v>-13567690.300000001</c:v>
                </c:pt>
                <c:pt idx="191">
                  <c:v>-12734152.199999999</c:v>
                </c:pt>
                <c:pt idx="192">
                  <c:v>-13710714.58</c:v>
                </c:pt>
                <c:pt idx="193">
                  <c:v>-13927980.699999999</c:v>
                </c:pt>
                <c:pt idx="194">
                  <c:v>-12014537.43</c:v>
                </c:pt>
                <c:pt idx="195">
                  <c:v>-11128332.6</c:v>
                </c:pt>
                <c:pt idx="196">
                  <c:v>-9149534.1300000008</c:v>
                </c:pt>
                <c:pt idx="197">
                  <c:v>-9166953.2300000004</c:v>
                </c:pt>
                <c:pt idx="198">
                  <c:v>-9246593.8800000008</c:v>
                </c:pt>
                <c:pt idx="199">
                  <c:v>-7832219.4100000001</c:v>
                </c:pt>
                <c:pt idx="200">
                  <c:v>-6887992.5499999998</c:v>
                </c:pt>
                <c:pt idx="201">
                  <c:v>-7121228.2999999998</c:v>
                </c:pt>
                <c:pt idx="202">
                  <c:v>-6421046.5800000001</c:v>
                </c:pt>
                <c:pt idx="203">
                  <c:v>-6636411.6100000003</c:v>
                </c:pt>
                <c:pt idx="204">
                  <c:v>-6727197.7999999998</c:v>
                </c:pt>
                <c:pt idx="205">
                  <c:v>-6776858.9500000002</c:v>
                </c:pt>
                <c:pt idx="206">
                  <c:v>-7149357.3700000001</c:v>
                </c:pt>
                <c:pt idx="207">
                  <c:v>-5944004.7599999998</c:v>
                </c:pt>
                <c:pt idx="208">
                  <c:v>-5999341.4199999999</c:v>
                </c:pt>
                <c:pt idx="209">
                  <c:v>-5139527.3499999996</c:v>
                </c:pt>
                <c:pt idx="210">
                  <c:v>-3233503.57</c:v>
                </c:pt>
                <c:pt idx="211">
                  <c:v>-856820.03</c:v>
                </c:pt>
                <c:pt idx="212">
                  <c:v>437169.07</c:v>
                </c:pt>
                <c:pt idx="213">
                  <c:v>1373524.06</c:v>
                </c:pt>
                <c:pt idx="214">
                  <c:v>2016176.87</c:v>
                </c:pt>
                <c:pt idx="215">
                  <c:v>1521111.31</c:v>
                </c:pt>
                <c:pt idx="216">
                  <c:v>1269485.3</c:v>
                </c:pt>
                <c:pt idx="217">
                  <c:v>1470264.19</c:v>
                </c:pt>
                <c:pt idx="218">
                  <c:v>747845.13</c:v>
                </c:pt>
                <c:pt idx="219">
                  <c:v>496450.54</c:v>
                </c:pt>
                <c:pt idx="220">
                  <c:v>-181113.94</c:v>
                </c:pt>
                <c:pt idx="221">
                  <c:v>-374875.91</c:v>
                </c:pt>
                <c:pt idx="222">
                  <c:v>-972964.95</c:v>
                </c:pt>
                <c:pt idx="223">
                  <c:v>-736659.01</c:v>
                </c:pt>
                <c:pt idx="224">
                  <c:v>29699.84</c:v>
                </c:pt>
                <c:pt idx="225">
                  <c:v>-197232.85</c:v>
                </c:pt>
                <c:pt idx="226">
                  <c:v>175110.76</c:v>
                </c:pt>
                <c:pt idx="227">
                  <c:v>-1218370.54</c:v>
                </c:pt>
                <c:pt idx="228">
                  <c:v>-1599478.04</c:v>
                </c:pt>
                <c:pt idx="229">
                  <c:v>-1327856.8899999999</c:v>
                </c:pt>
                <c:pt idx="230">
                  <c:v>-2871636.65</c:v>
                </c:pt>
                <c:pt idx="231">
                  <c:v>-3438529.62</c:v>
                </c:pt>
                <c:pt idx="232">
                  <c:v>-3610131.51</c:v>
                </c:pt>
                <c:pt idx="233">
                  <c:v>-1764700.97</c:v>
                </c:pt>
                <c:pt idx="234">
                  <c:v>-299615.09000000003</c:v>
                </c:pt>
                <c:pt idx="235">
                  <c:v>-385647.84</c:v>
                </c:pt>
                <c:pt idx="236">
                  <c:v>-26953.5</c:v>
                </c:pt>
                <c:pt idx="237">
                  <c:v>209613.86</c:v>
                </c:pt>
                <c:pt idx="238">
                  <c:v>1358268.71</c:v>
                </c:pt>
                <c:pt idx="239">
                  <c:v>481685.11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541-4101-BA91-32B5375B7CE1}"/>
            </c:ext>
          </c:extLst>
        </c:ser>
        <c:ser>
          <c:idx val="4"/>
          <c:order val="4"/>
          <c:tx>
            <c:strRef>
              <c:f>'daily monitor'!$AB$100</c:f>
              <c:strCache>
                <c:ptCount val="1"/>
                <c:pt idx="0">
                  <c:v>장외채권</c:v>
                </c:pt>
              </c:strCache>
            </c:strRef>
          </c:tx>
          <c:spPr>
            <a:ln w="190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'daily monitor'!$W$101:$W$344</c:f>
              <c:numCache>
                <c:formatCode>General</c:formatCode>
                <c:ptCount val="244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45656</c:v>
                </c:pt>
                <c:pt idx="19">
                  <c:v>45653</c:v>
                </c:pt>
                <c:pt idx="20">
                  <c:v>45652</c:v>
                </c:pt>
                <c:pt idx="21">
                  <c:v>45650</c:v>
                </c:pt>
                <c:pt idx="22">
                  <c:v>45649</c:v>
                </c:pt>
                <c:pt idx="23">
                  <c:v>45646</c:v>
                </c:pt>
                <c:pt idx="24">
                  <c:v>45645</c:v>
                </c:pt>
                <c:pt idx="25">
                  <c:v>45644</c:v>
                </c:pt>
                <c:pt idx="26">
                  <c:v>45643</c:v>
                </c:pt>
                <c:pt idx="27">
                  <c:v>45642</c:v>
                </c:pt>
                <c:pt idx="28">
                  <c:v>45639</c:v>
                </c:pt>
                <c:pt idx="29">
                  <c:v>45638</c:v>
                </c:pt>
                <c:pt idx="30">
                  <c:v>45637</c:v>
                </c:pt>
                <c:pt idx="31">
                  <c:v>45636</c:v>
                </c:pt>
                <c:pt idx="32">
                  <c:v>45635</c:v>
                </c:pt>
                <c:pt idx="33">
                  <c:v>45632</c:v>
                </c:pt>
                <c:pt idx="34">
                  <c:v>45631</c:v>
                </c:pt>
                <c:pt idx="35">
                  <c:v>45630</c:v>
                </c:pt>
                <c:pt idx="36">
                  <c:v>45629</c:v>
                </c:pt>
                <c:pt idx="37">
                  <c:v>45628</c:v>
                </c:pt>
                <c:pt idx="38">
                  <c:v>45625</c:v>
                </c:pt>
                <c:pt idx="39">
                  <c:v>45624</c:v>
                </c:pt>
                <c:pt idx="40">
                  <c:v>45623</c:v>
                </c:pt>
                <c:pt idx="41">
                  <c:v>45622</c:v>
                </c:pt>
                <c:pt idx="42">
                  <c:v>45621</c:v>
                </c:pt>
                <c:pt idx="43">
                  <c:v>45618</c:v>
                </c:pt>
                <c:pt idx="44">
                  <c:v>45617</c:v>
                </c:pt>
                <c:pt idx="45">
                  <c:v>45616</c:v>
                </c:pt>
                <c:pt idx="46">
                  <c:v>45615</c:v>
                </c:pt>
                <c:pt idx="47">
                  <c:v>45614</c:v>
                </c:pt>
                <c:pt idx="48">
                  <c:v>45611</c:v>
                </c:pt>
                <c:pt idx="49">
                  <c:v>45610</c:v>
                </c:pt>
                <c:pt idx="50">
                  <c:v>45609</c:v>
                </c:pt>
                <c:pt idx="51">
                  <c:v>45608</c:v>
                </c:pt>
                <c:pt idx="52">
                  <c:v>45607</c:v>
                </c:pt>
                <c:pt idx="53">
                  <c:v>45604</c:v>
                </c:pt>
                <c:pt idx="54">
                  <c:v>45603</c:v>
                </c:pt>
                <c:pt idx="55">
                  <c:v>45602</c:v>
                </c:pt>
                <c:pt idx="56">
                  <c:v>45601</c:v>
                </c:pt>
                <c:pt idx="57">
                  <c:v>45600</c:v>
                </c:pt>
                <c:pt idx="58">
                  <c:v>45597</c:v>
                </c:pt>
                <c:pt idx="59">
                  <c:v>45596</c:v>
                </c:pt>
                <c:pt idx="60">
                  <c:v>45595</c:v>
                </c:pt>
                <c:pt idx="61">
                  <c:v>45594</c:v>
                </c:pt>
                <c:pt idx="62">
                  <c:v>45593</c:v>
                </c:pt>
                <c:pt idx="63">
                  <c:v>45590</c:v>
                </c:pt>
                <c:pt idx="64">
                  <c:v>45589</c:v>
                </c:pt>
                <c:pt idx="65">
                  <c:v>45588</c:v>
                </c:pt>
                <c:pt idx="66">
                  <c:v>45587</c:v>
                </c:pt>
                <c:pt idx="67">
                  <c:v>45586</c:v>
                </c:pt>
                <c:pt idx="68">
                  <c:v>45583</c:v>
                </c:pt>
                <c:pt idx="69">
                  <c:v>45582</c:v>
                </c:pt>
                <c:pt idx="70">
                  <c:v>45581</c:v>
                </c:pt>
                <c:pt idx="71">
                  <c:v>45580</c:v>
                </c:pt>
                <c:pt idx="72">
                  <c:v>45579</c:v>
                </c:pt>
                <c:pt idx="73">
                  <c:v>45576</c:v>
                </c:pt>
                <c:pt idx="74">
                  <c:v>45575</c:v>
                </c:pt>
                <c:pt idx="75">
                  <c:v>45573</c:v>
                </c:pt>
                <c:pt idx="76">
                  <c:v>45572</c:v>
                </c:pt>
                <c:pt idx="77">
                  <c:v>45569</c:v>
                </c:pt>
                <c:pt idx="78">
                  <c:v>45567</c:v>
                </c:pt>
                <c:pt idx="79">
                  <c:v>45565</c:v>
                </c:pt>
                <c:pt idx="80">
                  <c:v>45562</c:v>
                </c:pt>
                <c:pt idx="81">
                  <c:v>45561</c:v>
                </c:pt>
                <c:pt idx="82">
                  <c:v>45560</c:v>
                </c:pt>
                <c:pt idx="83">
                  <c:v>45559</c:v>
                </c:pt>
                <c:pt idx="84">
                  <c:v>45558</c:v>
                </c:pt>
                <c:pt idx="85">
                  <c:v>45555</c:v>
                </c:pt>
                <c:pt idx="86">
                  <c:v>45554</c:v>
                </c:pt>
                <c:pt idx="87">
                  <c:v>45548</c:v>
                </c:pt>
                <c:pt idx="88">
                  <c:v>45547</c:v>
                </c:pt>
                <c:pt idx="89">
                  <c:v>45546</c:v>
                </c:pt>
                <c:pt idx="90">
                  <c:v>45545</c:v>
                </c:pt>
                <c:pt idx="91">
                  <c:v>45544</c:v>
                </c:pt>
                <c:pt idx="92">
                  <c:v>45541</c:v>
                </c:pt>
                <c:pt idx="93">
                  <c:v>45540</c:v>
                </c:pt>
                <c:pt idx="94">
                  <c:v>45539</c:v>
                </c:pt>
                <c:pt idx="95">
                  <c:v>45538</c:v>
                </c:pt>
                <c:pt idx="96">
                  <c:v>45537</c:v>
                </c:pt>
                <c:pt idx="97">
                  <c:v>45534</c:v>
                </c:pt>
                <c:pt idx="98">
                  <c:v>45533</c:v>
                </c:pt>
                <c:pt idx="99">
                  <c:v>45532</c:v>
                </c:pt>
                <c:pt idx="100">
                  <c:v>45531</c:v>
                </c:pt>
                <c:pt idx="101">
                  <c:v>45530</c:v>
                </c:pt>
                <c:pt idx="102">
                  <c:v>45527</c:v>
                </c:pt>
                <c:pt idx="103">
                  <c:v>45526</c:v>
                </c:pt>
                <c:pt idx="104">
                  <c:v>45525</c:v>
                </c:pt>
                <c:pt idx="105">
                  <c:v>45524</c:v>
                </c:pt>
                <c:pt idx="106">
                  <c:v>45523</c:v>
                </c:pt>
                <c:pt idx="107">
                  <c:v>45520</c:v>
                </c:pt>
                <c:pt idx="108">
                  <c:v>45518</c:v>
                </c:pt>
                <c:pt idx="109">
                  <c:v>45517</c:v>
                </c:pt>
                <c:pt idx="110">
                  <c:v>45516</c:v>
                </c:pt>
                <c:pt idx="111">
                  <c:v>45513</c:v>
                </c:pt>
                <c:pt idx="112">
                  <c:v>45512</c:v>
                </c:pt>
                <c:pt idx="113">
                  <c:v>45511</c:v>
                </c:pt>
                <c:pt idx="114">
                  <c:v>45510</c:v>
                </c:pt>
                <c:pt idx="115">
                  <c:v>45509</c:v>
                </c:pt>
                <c:pt idx="116">
                  <c:v>45506</c:v>
                </c:pt>
                <c:pt idx="117">
                  <c:v>45505</c:v>
                </c:pt>
                <c:pt idx="118">
                  <c:v>45504</c:v>
                </c:pt>
                <c:pt idx="119">
                  <c:v>45503</c:v>
                </c:pt>
                <c:pt idx="120">
                  <c:v>45502</c:v>
                </c:pt>
                <c:pt idx="121">
                  <c:v>45499</c:v>
                </c:pt>
                <c:pt idx="122">
                  <c:v>45498</c:v>
                </c:pt>
                <c:pt idx="123">
                  <c:v>45497</c:v>
                </c:pt>
                <c:pt idx="124">
                  <c:v>45496</c:v>
                </c:pt>
                <c:pt idx="125">
                  <c:v>45495</c:v>
                </c:pt>
                <c:pt idx="126">
                  <c:v>45492</c:v>
                </c:pt>
                <c:pt idx="127">
                  <c:v>45491</c:v>
                </c:pt>
                <c:pt idx="128">
                  <c:v>45490</c:v>
                </c:pt>
                <c:pt idx="129">
                  <c:v>45489</c:v>
                </c:pt>
                <c:pt idx="130">
                  <c:v>45488</c:v>
                </c:pt>
                <c:pt idx="131">
                  <c:v>45485</c:v>
                </c:pt>
                <c:pt idx="132">
                  <c:v>45484</c:v>
                </c:pt>
                <c:pt idx="133">
                  <c:v>45483</c:v>
                </c:pt>
                <c:pt idx="134">
                  <c:v>45482</c:v>
                </c:pt>
                <c:pt idx="135">
                  <c:v>45481</c:v>
                </c:pt>
                <c:pt idx="136">
                  <c:v>45478</c:v>
                </c:pt>
                <c:pt idx="137">
                  <c:v>45477</c:v>
                </c:pt>
                <c:pt idx="138">
                  <c:v>45476</c:v>
                </c:pt>
                <c:pt idx="139">
                  <c:v>45475</c:v>
                </c:pt>
                <c:pt idx="140">
                  <c:v>45474</c:v>
                </c:pt>
                <c:pt idx="141">
                  <c:v>45471</c:v>
                </c:pt>
                <c:pt idx="142">
                  <c:v>45470</c:v>
                </c:pt>
                <c:pt idx="143">
                  <c:v>45469</c:v>
                </c:pt>
                <c:pt idx="144">
                  <c:v>45468</c:v>
                </c:pt>
                <c:pt idx="145">
                  <c:v>45467</c:v>
                </c:pt>
                <c:pt idx="146">
                  <c:v>45464</c:v>
                </c:pt>
                <c:pt idx="147">
                  <c:v>45463</c:v>
                </c:pt>
                <c:pt idx="148">
                  <c:v>45462</c:v>
                </c:pt>
                <c:pt idx="149">
                  <c:v>45461</c:v>
                </c:pt>
                <c:pt idx="150">
                  <c:v>45460</c:v>
                </c:pt>
                <c:pt idx="151">
                  <c:v>45457</c:v>
                </c:pt>
                <c:pt idx="152">
                  <c:v>45456</c:v>
                </c:pt>
                <c:pt idx="153">
                  <c:v>45455</c:v>
                </c:pt>
                <c:pt idx="154">
                  <c:v>45454</c:v>
                </c:pt>
                <c:pt idx="155">
                  <c:v>45453</c:v>
                </c:pt>
                <c:pt idx="156">
                  <c:v>45450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45426</c:v>
                </c:pt>
                <c:pt idx="173">
                  <c:v>45425</c:v>
                </c:pt>
                <c:pt idx="174">
                  <c:v>45422</c:v>
                </c:pt>
                <c:pt idx="175">
                  <c:v>45421</c:v>
                </c:pt>
                <c:pt idx="176">
                  <c:v>45420</c:v>
                </c:pt>
                <c:pt idx="177">
                  <c:v>45419</c:v>
                </c:pt>
                <c:pt idx="178">
                  <c:v>45415</c:v>
                </c:pt>
                <c:pt idx="179">
                  <c:v>45414</c:v>
                </c:pt>
                <c:pt idx="180">
                  <c:v>45412</c:v>
                </c:pt>
                <c:pt idx="181">
                  <c:v>45411</c:v>
                </c:pt>
                <c:pt idx="182">
                  <c:v>45408</c:v>
                </c:pt>
                <c:pt idx="183">
                  <c:v>45407</c:v>
                </c:pt>
                <c:pt idx="184">
                  <c:v>45406</c:v>
                </c:pt>
                <c:pt idx="185">
                  <c:v>45405</c:v>
                </c:pt>
                <c:pt idx="186">
                  <c:v>45404</c:v>
                </c:pt>
                <c:pt idx="187">
                  <c:v>45401</c:v>
                </c:pt>
                <c:pt idx="188">
                  <c:v>45400</c:v>
                </c:pt>
                <c:pt idx="189">
                  <c:v>45399</c:v>
                </c:pt>
                <c:pt idx="190">
                  <c:v>45398</c:v>
                </c:pt>
                <c:pt idx="191">
                  <c:v>45397</c:v>
                </c:pt>
                <c:pt idx="192">
                  <c:v>45394</c:v>
                </c:pt>
                <c:pt idx="193">
                  <c:v>45393</c:v>
                </c:pt>
                <c:pt idx="194">
                  <c:v>45391</c:v>
                </c:pt>
                <c:pt idx="195">
                  <c:v>45390</c:v>
                </c:pt>
                <c:pt idx="196">
                  <c:v>45387</c:v>
                </c:pt>
                <c:pt idx="197">
                  <c:v>45386</c:v>
                </c:pt>
                <c:pt idx="198">
                  <c:v>45385</c:v>
                </c:pt>
                <c:pt idx="199">
                  <c:v>45384</c:v>
                </c:pt>
                <c:pt idx="200">
                  <c:v>45383</c:v>
                </c:pt>
                <c:pt idx="201">
                  <c:v>45380</c:v>
                </c:pt>
                <c:pt idx="202">
                  <c:v>45379</c:v>
                </c:pt>
                <c:pt idx="203">
                  <c:v>45378</c:v>
                </c:pt>
                <c:pt idx="204">
                  <c:v>45377</c:v>
                </c:pt>
                <c:pt idx="205">
                  <c:v>45376</c:v>
                </c:pt>
                <c:pt idx="206">
                  <c:v>45373</c:v>
                </c:pt>
                <c:pt idx="207">
                  <c:v>45372</c:v>
                </c:pt>
                <c:pt idx="208">
                  <c:v>45371</c:v>
                </c:pt>
                <c:pt idx="209">
                  <c:v>45370</c:v>
                </c:pt>
                <c:pt idx="210">
                  <c:v>45369</c:v>
                </c:pt>
                <c:pt idx="211">
                  <c:v>45366</c:v>
                </c:pt>
                <c:pt idx="212">
                  <c:v>45365</c:v>
                </c:pt>
                <c:pt idx="213">
                  <c:v>45364</c:v>
                </c:pt>
                <c:pt idx="214">
                  <c:v>45363</c:v>
                </c:pt>
                <c:pt idx="215">
                  <c:v>45362</c:v>
                </c:pt>
                <c:pt idx="216">
                  <c:v>45359</c:v>
                </c:pt>
                <c:pt idx="217">
                  <c:v>45358</c:v>
                </c:pt>
                <c:pt idx="218">
                  <c:v>45357</c:v>
                </c:pt>
                <c:pt idx="219">
                  <c:v>45356</c:v>
                </c:pt>
                <c:pt idx="220">
                  <c:v>45355</c:v>
                </c:pt>
                <c:pt idx="221">
                  <c:v>45351</c:v>
                </c:pt>
                <c:pt idx="222">
                  <c:v>45350</c:v>
                </c:pt>
                <c:pt idx="223">
                  <c:v>45349</c:v>
                </c:pt>
                <c:pt idx="224">
                  <c:v>45348</c:v>
                </c:pt>
                <c:pt idx="225">
                  <c:v>45345</c:v>
                </c:pt>
                <c:pt idx="226">
                  <c:v>45344</c:v>
                </c:pt>
                <c:pt idx="227">
                  <c:v>45343</c:v>
                </c:pt>
                <c:pt idx="228">
                  <c:v>45342</c:v>
                </c:pt>
                <c:pt idx="229">
                  <c:v>45341</c:v>
                </c:pt>
                <c:pt idx="230">
                  <c:v>45338</c:v>
                </c:pt>
                <c:pt idx="231">
                  <c:v>45337</c:v>
                </c:pt>
                <c:pt idx="232">
                  <c:v>45336</c:v>
                </c:pt>
                <c:pt idx="233">
                  <c:v>45335</c:v>
                </c:pt>
                <c:pt idx="234">
                  <c:v>45330</c:v>
                </c:pt>
                <c:pt idx="235">
                  <c:v>45329</c:v>
                </c:pt>
                <c:pt idx="236">
                  <c:v>45328</c:v>
                </c:pt>
                <c:pt idx="237">
                  <c:v>45327</c:v>
                </c:pt>
                <c:pt idx="238">
                  <c:v>45324</c:v>
                </c:pt>
                <c:pt idx="239">
                  <c:v>45323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cat>
          <c:val>
            <c:numRef>
              <c:f>'daily monitor'!$AB$101:$AB$344</c:f>
              <c:numCache>
                <c:formatCode>General</c:formatCode>
                <c:ptCount val="244"/>
                <c:pt idx="0">
                  <c:v>72610983.482999995</c:v>
                </c:pt>
                <c:pt idx="1">
                  <c:v>72779583.474999994</c:v>
                </c:pt>
                <c:pt idx="2">
                  <c:v>72662844.585999995</c:v>
                </c:pt>
                <c:pt idx="3">
                  <c:v>72166255.620000005</c:v>
                </c:pt>
                <c:pt idx="4">
                  <c:v>72096285.643000007</c:v>
                </c:pt>
                <c:pt idx="5">
                  <c:v>71669452.657000005</c:v>
                </c:pt>
                <c:pt idx="6">
                  <c:v>71423061.844999999</c:v>
                </c:pt>
                <c:pt idx="7">
                  <c:v>71250950.581</c:v>
                </c:pt>
                <c:pt idx="8">
                  <c:v>72053040.963</c:v>
                </c:pt>
                <c:pt idx="9">
                  <c:v>71946367.358999997</c:v>
                </c:pt>
                <c:pt idx="10">
                  <c:v>71731126.093999997</c:v>
                </c:pt>
                <c:pt idx="11">
                  <c:v>71723122.924999997</c:v>
                </c:pt>
                <c:pt idx="12">
                  <c:v>71303357.929000005</c:v>
                </c:pt>
                <c:pt idx="13">
                  <c:v>71507890.464000002</c:v>
                </c:pt>
                <c:pt idx="14">
                  <c:v>71108150.219999999</c:v>
                </c:pt>
                <c:pt idx="15">
                  <c:v>71068191.135000005</c:v>
                </c:pt>
                <c:pt idx="16">
                  <c:v>70884858.729000002</c:v>
                </c:pt>
                <c:pt idx="17">
                  <c:v>70671450.511000007</c:v>
                </c:pt>
                <c:pt idx="18">
                  <c:v>70287220.054000005</c:v>
                </c:pt>
                <c:pt idx="19">
                  <c:v>70280384.302000001</c:v>
                </c:pt>
                <c:pt idx="20">
                  <c:v>69896500.123999998</c:v>
                </c:pt>
                <c:pt idx="21">
                  <c:v>69563837.498999998</c:v>
                </c:pt>
                <c:pt idx="22">
                  <c:v>69436642.783999994</c:v>
                </c:pt>
                <c:pt idx="23">
                  <c:v>69429781.910999998</c:v>
                </c:pt>
                <c:pt idx="24">
                  <c:v>69617420.478</c:v>
                </c:pt>
                <c:pt idx="25">
                  <c:v>69509461.513999999</c:v>
                </c:pt>
                <c:pt idx="26">
                  <c:v>69366908.022</c:v>
                </c:pt>
                <c:pt idx="27">
                  <c:v>69740660.254999995</c:v>
                </c:pt>
                <c:pt idx="28">
                  <c:v>69740945.384000003</c:v>
                </c:pt>
                <c:pt idx="29">
                  <c:v>69795805.821999997</c:v>
                </c:pt>
                <c:pt idx="30">
                  <c:v>69448565.835999995</c:v>
                </c:pt>
                <c:pt idx="31">
                  <c:v>68472815.518999994</c:v>
                </c:pt>
                <c:pt idx="32">
                  <c:v>68082318.582000002</c:v>
                </c:pt>
                <c:pt idx="33">
                  <c:v>67637831.513999999</c:v>
                </c:pt>
                <c:pt idx="34">
                  <c:v>67489091.864999995</c:v>
                </c:pt>
                <c:pt idx="35">
                  <c:v>67591015.628999993</c:v>
                </c:pt>
                <c:pt idx="36">
                  <c:v>67922111.928000003</c:v>
                </c:pt>
                <c:pt idx="37">
                  <c:v>67424437.936000004</c:v>
                </c:pt>
                <c:pt idx="38">
                  <c:v>67087073.880999997</c:v>
                </c:pt>
                <c:pt idx="39">
                  <c:v>67030669.336999997</c:v>
                </c:pt>
                <c:pt idx="40">
                  <c:v>67260430.357999995</c:v>
                </c:pt>
                <c:pt idx="41">
                  <c:v>67206377.421000004</c:v>
                </c:pt>
                <c:pt idx="42">
                  <c:v>67103309.627999999</c:v>
                </c:pt>
                <c:pt idx="43">
                  <c:v>66566028.501999997</c:v>
                </c:pt>
                <c:pt idx="44">
                  <c:v>66392729.358000003</c:v>
                </c:pt>
                <c:pt idx="45">
                  <c:v>66848559.108000003</c:v>
                </c:pt>
                <c:pt idx="46">
                  <c:v>67117327.239999995</c:v>
                </c:pt>
                <c:pt idx="47">
                  <c:v>67512751.341000006</c:v>
                </c:pt>
                <c:pt idx="48">
                  <c:v>67626980.981999993</c:v>
                </c:pt>
                <c:pt idx="49">
                  <c:v>67389806.636000007</c:v>
                </c:pt>
                <c:pt idx="50">
                  <c:v>67395245.660999998</c:v>
                </c:pt>
                <c:pt idx="51">
                  <c:v>67621486.093999997</c:v>
                </c:pt>
                <c:pt idx="52">
                  <c:v>67163969.729000002</c:v>
                </c:pt>
                <c:pt idx="53">
                  <c:v>67028628.986000001</c:v>
                </c:pt>
                <c:pt idx="54">
                  <c:v>67145483.158999994</c:v>
                </c:pt>
                <c:pt idx="55">
                  <c:v>66865007.196000002</c:v>
                </c:pt>
                <c:pt idx="56">
                  <c:v>66619513.512000002</c:v>
                </c:pt>
                <c:pt idx="57">
                  <c:v>66751029.598999999</c:v>
                </c:pt>
                <c:pt idx="58">
                  <c:v>66716499.887000002</c:v>
                </c:pt>
                <c:pt idx="59">
                  <c:v>65933345.840000004</c:v>
                </c:pt>
                <c:pt idx="60">
                  <c:v>65607366.704000004</c:v>
                </c:pt>
                <c:pt idx="61">
                  <c:v>65041464.214000002</c:v>
                </c:pt>
                <c:pt idx="62">
                  <c:v>64190746.961000003</c:v>
                </c:pt>
                <c:pt idx="63">
                  <c:v>63643492.085000001</c:v>
                </c:pt>
                <c:pt idx="64">
                  <c:v>61997822.902999997</c:v>
                </c:pt>
                <c:pt idx="65">
                  <c:v>61882321.564999998</c:v>
                </c:pt>
                <c:pt idx="66">
                  <c:v>60912291.340999998</c:v>
                </c:pt>
                <c:pt idx="67">
                  <c:v>60096264.626000002</c:v>
                </c:pt>
                <c:pt idx="68">
                  <c:v>58563410.776000001</c:v>
                </c:pt>
                <c:pt idx="69">
                  <c:v>57364252.189000003</c:v>
                </c:pt>
                <c:pt idx="70">
                  <c:v>57054112.199000001</c:v>
                </c:pt>
                <c:pt idx="71">
                  <c:v>56660857.272</c:v>
                </c:pt>
                <c:pt idx="72">
                  <c:v>56078725.685999997</c:v>
                </c:pt>
                <c:pt idx="73">
                  <c:v>56070561.916000001</c:v>
                </c:pt>
                <c:pt idx="74">
                  <c:v>54904131.725000001</c:v>
                </c:pt>
                <c:pt idx="75">
                  <c:v>54798273.572999999</c:v>
                </c:pt>
                <c:pt idx="76">
                  <c:v>53569897.211000003</c:v>
                </c:pt>
                <c:pt idx="77">
                  <c:v>53106591.020999998</c:v>
                </c:pt>
                <c:pt idx="78">
                  <c:v>52056829.405000001</c:v>
                </c:pt>
                <c:pt idx="79">
                  <c:v>52520686.287</c:v>
                </c:pt>
                <c:pt idx="80">
                  <c:v>51965139.726000004</c:v>
                </c:pt>
                <c:pt idx="81">
                  <c:v>49744616.614</c:v>
                </c:pt>
                <c:pt idx="82">
                  <c:v>49601126.089000002</c:v>
                </c:pt>
                <c:pt idx="83">
                  <c:v>48878275.788999997</c:v>
                </c:pt>
                <c:pt idx="84">
                  <c:v>48602791.858999997</c:v>
                </c:pt>
                <c:pt idx="85">
                  <c:v>47591648.278999999</c:v>
                </c:pt>
                <c:pt idx="86">
                  <c:v>46961006.355999999</c:v>
                </c:pt>
                <c:pt idx="87">
                  <c:v>46553896.677000001</c:v>
                </c:pt>
                <c:pt idx="88">
                  <c:v>46426812.972999997</c:v>
                </c:pt>
                <c:pt idx="89">
                  <c:v>45747037.752999999</c:v>
                </c:pt>
                <c:pt idx="90">
                  <c:v>45001982.692000002</c:v>
                </c:pt>
                <c:pt idx="91">
                  <c:v>43909740.461999997</c:v>
                </c:pt>
                <c:pt idx="92">
                  <c:v>42804528.405000001</c:v>
                </c:pt>
                <c:pt idx="93">
                  <c:v>41770999.263999999</c:v>
                </c:pt>
                <c:pt idx="94">
                  <c:v>40393638.027999997</c:v>
                </c:pt>
                <c:pt idx="95">
                  <c:v>39354315.483999997</c:v>
                </c:pt>
                <c:pt idx="96">
                  <c:v>38426339.398000002</c:v>
                </c:pt>
                <c:pt idx="97">
                  <c:v>38100695.097999997</c:v>
                </c:pt>
                <c:pt idx="98">
                  <c:v>37012439.134999998</c:v>
                </c:pt>
                <c:pt idx="99">
                  <c:v>36597327.170999996</c:v>
                </c:pt>
                <c:pt idx="100">
                  <c:v>35224711.450000003</c:v>
                </c:pt>
                <c:pt idx="101">
                  <c:v>33979735.237000003</c:v>
                </c:pt>
                <c:pt idx="102">
                  <c:v>32683594.756999999</c:v>
                </c:pt>
                <c:pt idx="103">
                  <c:v>31629171.550000001</c:v>
                </c:pt>
                <c:pt idx="104">
                  <c:v>31148281.449000001</c:v>
                </c:pt>
                <c:pt idx="105">
                  <c:v>31309187.649999999</c:v>
                </c:pt>
                <c:pt idx="106">
                  <c:v>29865295.541999999</c:v>
                </c:pt>
                <c:pt idx="107">
                  <c:v>28990469.228999998</c:v>
                </c:pt>
                <c:pt idx="108">
                  <c:v>28297892.009</c:v>
                </c:pt>
                <c:pt idx="109">
                  <c:v>27980799.274</c:v>
                </c:pt>
                <c:pt idx="110">
                  <c:v>26896811.550999999</c:v>
                </c:pt>
                <c:pt idx="111">
                  <c:v>26327552.741</c:v>
                </c:pt>
                <c:pt idx="112">
                  <c:v>25521922.629999999</c:v>
                </c:pt>
                <c:pt idx="113">
                  <c:v>26079743.418000001</c:v>
                </c:pt>
                <c:pt idx="114">
                  <c:v>25572259.272</c:v>
                </c:pt>
                <c:pt idx="115">
                  <c:v>24579097.710000001</c:v>
                </c:pt>
                <c:pt idx="116">
                  <c:v>23900523.789000001</c:v>
                </c:pt>
                <c:pt idx="117">
                  <c:v>23460334.772</c:v>
                </c:pt>
                <c:pt idx="118">
                  <c:v>25172598.844000001</c:v>
                </c:pt>
                <c:pt idx="119">
                  <c:v>25366078.249000002</c:v>
                </c:pt>
                <c:pt idx="120">
                  <c:v>25440476.149</c:v>
                </c:pt>
                <c:pt idx="121">
                  <c:v>25671731.221999999</c:v>
                </c:pt>
                <c:pt idx="122">
                  <c:v>25520501.164000001</c:v>
                </c:pt>
                <c:pt idx="123">
                  <c:v>25020732.638999999</c:v>
                </c:pt>
                <c:pt idx="124">
                  <c:v>24721697.026000001</c:v>
                </c:pt>
                <c:pt idx="125">
                  <c:v>24377862.91</c:v>
                </c:pt>
                <c:pt idx="126">
                  <c:v>24246079.949999999</c:v>
                </c:pt>
                <c:pt idx="127">
                  <c:v>23938313.327</c:v>
                </c:pt>
                <c:pt idx="128">
                  <c:v>23779030.868000001</c:v>
                </c:pt>
                <c:pt idx="129">
                  <c:v>23814207.903999999</c:v>
                </c:pt>
                <c:pt idx="130">
                  <c:v>23641217.254000001</c:v>
                </c:pt>
                <c:pt idx="131">
                  <c:v>23769920.186000001</c:v>
                </c:pt>
                <c:pt idx="132">
                  <c:v>23518381.460999999</c:v>
                </c:pt>
                <c:pt idx="133">
                  <c:v>24353895.471999999</c:v>
                </c:pt>
                <c:pt idx="134">
                  <c:v>24456836.208999999</c:v>
                </c:pt>
                <c:pt idx="135">
                  <c:v>24506360.760000002</c:v>
                </c:pt>
                <c:pt idx="136">
                  <c:v>24337268.625999998</c:v>
                </c:pt>
                <c:pt idx="137">
                  <c:v>24073872.822999999</c:v>
                </c:pt>
                <c:pt idx="138">
                  <c:v>23905896.111000001</c:v>
                </c:pt>
                <c:pt idx="139">
                  <c:v>23849228.853999998</c:v>
                </c:pt>
                <c:pt idx="140">
                  <c:v>23634271.203000002</c:v>
                </c:pt>
                <c:pt idx="141">
                  <c:v>23641363.741999999</c:v>
                </c:pt>
                <c:pt idx="142">
                  <c:v>22889298.920000002</c:v>
                </c:pt>
                <c:pt idx="143">
                  <c:v>22620492.798</c:v>
                </c:pt>
                <c:pt idx="144">
                  <c:v>22497452.881999999</c:v>
                </c:pt>
                <c:pt idx="145">
                  <c:v>22063760.083999999</c:v>
                </c:pt>
                <c:pt idx="146">
                  <c:v>21877612.607000001</c:v>
                </c:pt>
                <c:pt idx="147">
                  <c:v>22070578.396000002</c:v>
                </c:pt>
                <c:pt idx="148">
                  <c:v>21792395.954999998</c:v>
                </c:pt>
                <c:pt idx="149">
                  <c:v>21734444.021000002</c:v>
                </c:pt>
                <c:pt idx="150">
                  <c:v>21395194.614999998</c:v>
                </c:pt>
                <c:pt idx="151">
                  <c:v>20401751.862</c:v>
                </c:pt>
                <c:pt idx="152">
                  <c:v>20314477.458999999</c:v>
                </c:pt>
                <c:pt idx="153">
                  <c:v>20289320.543000001</c:v>
                </c:pt>
                <c:pt idx="154">
                  <c:v>19982120.329</c:v>
                </c:pt>
                <c:pt idx="155">
                  <c:v>19758326.748</c:v>
                </c:pt>
                <c:pt idx="156">
                  <c:v>19396021.537</c:v>
                </c:pt>
                <c:pt idx="157">
                  <c:v>19097609.791000001</c:v>
                </c:pt>
                <c:pt idx="158">
                  <c:v>19202044.958999999</c:v>
                </c:pt>
                <c:pt idx="159">
                  <c:v>18458331.149999999</c:v>
                </c:pt>
                <c:pt idx="160">
                  <c:v>18168347.982000001</c:v>
                </c:pt>
                <c:pt idx="161">
                  <c:v>17889233.614</c:v>
                </c:pt>
                <c:pt idx="162">
                  <c:v>17657584.002</c:v>
                </c:pt>
                <c:pt idx="163">
                  <c:v>17433177.017000001</c:v>
                </c:pt>
                <c:pt idx="164">
                  <c:v>17578195.532000002</c:v>
                </c:pt>
                <c:pt idx="165">
                  <c:v>17530502.070999999</c:v>
                </c:pt>
                <c:pt idx="166">
                  <c:v>17484525.458999999</c:v>
                </c:pt>
                <c:pt idx="167">
                  <c:v>16879551.522999998</c:v>
                </c:pt>
                <c:pt idx="168">
                  <c:v>16725341.450999999</c:v>
                </c:pt>
                <c:pt idx="169">
                  <c:v>16543971.213</c:v>
                </c:pt>
                <c:pt idx="170">
                  <c:v>16267031.463</c:v>
                </c:pt>
                <c:pt idx="171">
                  <c:v>16281205.788000001</c:v>
                </c:pt>
                <c:pt idx="172">
                  <c:v>16377459.546</c:v>
                </c:pt>
                <c:pt idx="173">
                  <c:v>16381523.054</c:v>
                </c:pt>
                <c:pt idx="174">
                  <c:v>16130802.966</c:v>
                </c:pt>
                <c:pt idx="175">
                  <c:v>16019177.857000001</c:v>
                </c:pt>
                <c:pt idx="176">
                  <c:v>15955317.706</c:v>
                </c:pt>
                <c:pt idx="177">
                  <c:v>15768392.541999999</c:v>
                </c:pt>
                <c:pt idx="178">
                  <c:v>15216952.93</c:v>
                </c:pt>
                <c:pt idx="179">
                  <c:v>14912921.450999999</c:v>
                </c:pt>
                <c:pt idx="180">
                  <c:v>14797672.558</c:v>
                </c:pt>
                <c:pt idx="181">
                  <c:v>14399631.976</c:v>
                </c:pt>
                <c:pt idx="182">
                  <c:v>14031463.312999999</c:v>
                </c:pt>
                <c:pt idx="183">
                  <c:v>13551904.329</c:v>
                </c:pt>
                <c:pt idx="184">
                  <c:v>13348993.343</c:v>
                </c:pt>
                <c:pt idx="185">
                  <c:v>13064992.288000001</c:v>
                </c:pt>
                <c:pt idx="186">
                  <c:v>12666118.492000001</c:v>
                </c:pt>
                <c:pt idx="187">
                  <c:v>12244458.015000001</c:v>
                </c:pt>
                <c:pt idx="188">
                  <c:v>12010374.313999999</c:v>
                </c:pt>
                <c:pt idx="189">
                  <c:v>11829847.41</c:v>
                </c:pt>
                <c:pt idx="190">
                  <c:v>11538730.442</c:v>
                </c:pt>
                <c:pt idx="191">
                  <c:v>11275072.892000001</c:v>
                </c:pt>
                <c:pt idx="192">
                  <c:v>11273431.402000001</c:v>
                </c:pt>
                <c:pt idx="193">
                  <c:v>10888725.437000001</c:v>
                </c:pt>
                <c:pt idx="194">
                  <c:v>10728973.051999999</c:v>
                </c:pt>
                <c:pt idx="195">
                  <c:v>10620715.805</c:v>
                </c:pt>
                <c:pt idx="196">
                  <c:v>10220330.947000001</c:v>
                </c:pt>
                <c:pt idx="197">
                  <c:v>9981064.2530000005</c:v>
                </c:pt>
                <c:pt idx="198">
                  <c:v>9902312.3350000009</c:v>
                </c:pt>
                <c:pt idx="199">
                  <c:v>9918399.4890000001</c:v>
                </c:pt>
                <c:pt idx="200">
                  <c:v>9388714.6280000005</c:v>
                </c:pt>
                <c:pt idx="201">
                  <c:v>9084143.8920000009</c:v>
                </c:pt>
                <c:pt idx="202">
                  <c:v>8829010.8660000004</c:v>
                </c:pt>
                <c:pt idx="203">
                  <c:v>7977746.2989999996</c:v>
                </c:pt>
                <c:pt idx="204">
                  <c:v>7500852.608</c:v>
                </c:pt>
                <c:pt idx="205">
                  <c:v>7080757.0070000002</c:v>
                </c:pt>
                <c:pt idx="206">
                  <c:v>7175830.8899999997</c:v>
                </c:pt>
                <c:pt idx="207">
                  <c:v>7977228.2010000004</c:v>
                </c:pt>
                <c:pt idx="208">
                  <c:v>6876847.2920000004</c:v>
                </c:pt>
                <c:pt idx="209">
                  <c:v>6894838.6059999997</c:v>
                </c:pt>
                <c:pt idx="210">
                  <c:v>6928021.0420000004</c:v>
                </c:pt>
                <c:pt idx="211">
                  <c:v>7207603.8760000002</c:v>
                </c:pt>
                <c:pt idx="212">
                  <c:v>7012879.8899999997</c:v>
                </c:pt>
                <c:pt idx="213">
                  <c:v>7145373.3650000002</c:v>
                </c:pt>
                <c:pt idx="214">
                  <c:v>7162676.5429999996</c:v>
                </c:pt>
                <c:pt idx="215">
                  <c:v>6472146.2290000003</c:v>
                </c:pt>
                <c:pt idx="216">
                  <c:v>6080573.915</c:v>
                </c:pt>
                <c:pt idx="217">
                  <c:v>6006390.1799999997</c:v>
                </c:pt>
                <c:pt idx="218">
                  <c:v>6211841.4639999997</c:v>
                </c:pt>
                <c:pt idx="219">
                  <c:v>6192819.8619999997</c:v>
                </c:pt>
                <c:pt idx="220">
                  <c:v>5748723.96</c:v>
                </c:pt>
                <c:pt idx="221">
                  <c:v>5659342.0209999997</c:v>
                </c:pt>
                <c:pt idx="222">
                  <c:v>5457457.8640000001</c:v>
                </c:pt>
                <c:pt idx="223">
                  <c:v>5009673.0279999999</c:v>
                </c:pt>
                <c:pt idx="224">
                  <c:v>4550394.1239999998</c:v>
                </c:pt>
                <c:pt idx="225">
                  <c:v>4481466.25</c:v>
                </c:pt>
                <c:pt idx="226">
                  <c:v>4300774.2180000003</c:v>
                </c:pt>
                <c:pt idx="227">
                  <c:v>3866528.4939999999</c:v>
                </c:pt>
                <c:pt idx="228">
                  <c:v>3823828.2230000002</c:v>
                </c:pt>
                <c:pt idx="229">
                  <c:v>3400552.841</c:v>
                </c:pt>
                <c:pt idx="230">
                  <c:v>3292131.3629999999</c:v>
                </c:pt>
                <c:pt idx="231">
                  <c:v>3203721.0249999999</c:v>
                </c:pt>
                <c:pt idx="232">
                  <c:v>3012085.875</c:v>
                </c:pt>
                <c:pt idx="233">
                  <c:v>2903391.2859999998</c:v>
                </c:pt>
                <c:pt idx="234">
                  <c:v>2435474.0210000002</c:v>
                </c:pt>
                <c:pt idx="235">
                  <c:v>2350604.1239999998</c:v>
                </c:pt>
                <c:pt idx="236">
                  <c:v>2263758.2450000001</c:v>
                </c:pt>
                <c:pt idx="237">
                  <c:v>1748307.091</c:v>
                </c:pt>
                <c:pt idx="238">
                  <c:v>662138.37300000002</c:v>
                </c:pt>
                <c:pt idx="239">
                  <c:v>382751.55200000003</c:v>
                </c:pt>
                <c:pt idx="240">
                  <c:v>217100.22099999999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541-4101-BA91-32B5375B7CE1}"/>
            </c:ext>
          </c:extLst>
        </c:ser>
        <c:dLbls/>
        <c:marker val="1"/>
        <c:axId val="205098368"/>
        <c:axId val="205116544"/>
      </c:lineChart>
      <c:dateAx>
        <c:axId val="205098368"/>
        <c:scaling>
          <c:orientation val="minMax"/>
        </c:scaling>
        <c:axPos val="b"/>
        <c:numFmt formatCode="General" sourceLinked="1"/>
        <c:tickLblPos val="low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 rot="-2700000" vert="horz"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5116544"/>
        <c:crosses val="autoZero"/>
        <c:lblOffset val="100"/>
        <c:baseTimeUnit val="days"/>
        <c:majorUnit val="1"/>
        <c:majorTimeUnit val="months"/>
      </c:dateAx>
      <c:valAx>
        <c:axId val="205116544"/>
        <c:scaling>
          <c:orientation val="minMax"/>
        </c:scaling>
        <c:axPos val="l"/>
        <c:numFmt formatCode="#,##0_ ;[Red]\-#,##0\ " sourceLinked="0"/>
        <c:tickLblPos val="nextTo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5098368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dispBlanksAs val="gap"/>
  </c:chart>
  <c:spPr>
    <a:ln>
      <a:solidFill>
        <a:sysClr val="window" lastClr="FFFFFF">
          <a:lumMod val="75000"/>
        </a:sys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/>
          <a:lstStyle/>
          <a:p>
            <a:pPr>
              <a:defRPr sz="105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altLang="ko-KR" sz="1050">
                <a:solidFill>
                  <a:schemeClr val="tx1">
                    <a:lumMod val="75000"/>
                    <a:lumOff val="25000"/>
                  </a:schemeClr>
                </a:solidFill>
              </a:rPr>
              <a:t>Treasury</a:t>
            </a:r>
            <a:r>
              <a:rPr lang="en-US" altLang="ko-KR" sz="105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Bond </a:t>
            </a:r>
            <a:r>
              <a:rPr lang="en-US" altLang="ko-KR" sz="1050">
                <a:solidFill>
                  <a:schemeClr val="tx1">
                    <a:lumMod val="75000"/>
                    <a:lumOff val="25000"/>
                  </a:schemeClr>
                </a:solidFill>
              </a:rPr>
              <a:t>Yield</a:t>
            </a:r>
            <a:r>
              <a:rPr lang="en-US" altLang="ko-KR" sz="105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Curve</a:t>
            </a:r>
            <a:endParaRPr lang="ko-KR" altLang="en-US" sz="1050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5.8167303344507704E-2"/>
          <c:y val="7.1625344352617068E-2"/>
          <c:w val="0.91278979236506363"/>
          <c:h val="0.7024294483850676"/>
        </c:manualLayout>
      </c:layout>
      <c:lineChart>
        <c:grouping val="standard"/>
        <c:ser>
          <c:idx val="0"/>
          <c:order val="0"/>
          <c:tx>
            <c:strRef>
              <c:f>'daily monitor'!$E$47</c:f>
              <c:strCache>
                <c:ptCount val="1"/>
                <c:pt idx="0">
                  <c:v>미국</c:v>
                </c:pt>
              </c:strCache>
            </c:strRef>
          </c:tx>
          <c:spPr>
            <a:ln w="25400">
              <a:solidFill>
                <a:srgbClr val="3366FF"/>
              </a:solidFill>
            </a:ln>
          </c:spPr>
          <c:cat>
            <c:strRef>
              <c:f>'daily monitor'!$D$53:$D$56</c:f>
              <c:strCache>
                <c:ptCount val="4"/>
                <c:pt idx="0">
                  <c:v>1Y</c:v>
                </c:pt>
                <c:pt idx="1">
                  <c:v>3Y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'daily monitor'!$E$53:$E$56</c:f>
              <c:numCache>
                <c:formatCode>#,##0.0000_ </c:formatCode>
                <c:ptCount val="4"/>
                <c:pt idx="0">
                  <c:v>4.1509999999999998</c:v>
                </c:pt>
                <c:pt idx="1">
                  <c:v>4.2480000000000002</c:v>
                </c:pt>
                <c:pt idx="2">
                  <c:v>4.3330000000000002</c:v>
                </c:pt>
                <c:pt idx="3">
                  <c:v>4.5430000000000001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5D-402F-935C-4D22214EA349}"/>
            </c:ext>
          </c:extLst>
        </c:ser>
        <c:ser>
          <c:idx val="1"/>
          <c:order val="1"/>
          <c:tx>
            <c:strRef>
              <c:f>'daily monitor'!$F$47</c:f>
              <c:strCache>
                <c:ptCount val="1"/>
                <c:pt idx="0">
                  <c:v>중국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cat>
            <c:strRef>
              <c:f>'daily monitor'!$D$53:$D$56</c:f>
              <c:strCache>
                <c:ptCount val="4"/>
                <c:pt idx="0">
                  <c:v>1Y</c:v>
                </c:pt>
                <c:pt idx="1">
                  <c:v>3Y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'daily monitor'!$F$53:$F$56</c:f>
              <c:numCache>
                <c:formatCode>#,##0.0000_ </c:formatCode>
                <c:ptCount val="4"/>
                <c:pt idx="0">
                  <c:v>1.2386999999999999</c:v>
                </c:pt>
                <c:pt idx="1">
                  <c:v>1.3049999999999999</c:v>
                </c:pt>
                <c:pt idx="2">
                  <c:v>1.417</c:v>
                </c:pt>
                <c:pt idx="3">
                  <c:v>1.6458999999999999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A5D-402F-935C-4D22214EA349}"/>
            </c:ext>
          </c:extLst>
        </c:ser>
        <c:ser>
          <c:idx val="2"/>
          <c:order val="2"/>
          <c:tx>
            <c:strRef>
              <c:f>'daily monitor'!$G$47</c:f>
              <c:strCache>
                <c:ptCount val="1"/>
                <c:pt idx="0">
                  <c:v>일본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cat>
            <c:strRef>
              <c:f>'daily monitor'!$D$53:$D$56</c:f>
              <c:strCache>
                <c:ptCount val="4"/>
                <c:pt idx="0">
                  <c:v>1Y</c:v>
                </c:pt>
                <c:pt idx="1">
                  <c:v>3Y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'daily monitor'!$G$53:$G$56</c:f>
              <c:numCache>
                <c:formatCode>#,##0.0000_ </c:formatCode>
                <c:ptCount val="4"/>
                <c:pt idx="0">
                  <c:v>0.54400000000000004</c:v>
                </c:pt>
                <c:pt idx="1">
                  <c:v>0.74</c:v>
                </c:pt>
                <c:pt idx="2">
                  <c:v>0.90739999999999998</c:v>
                </c:pt>
                <c:pt idx="3">
                  <c:v>1.2419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A5D-402F-935C-4D22214EA349}"/>
            </c:ext>
          </c:extLst>
        </c:ser>
        <c:ser>
          <c:idx val="3"/>
          <c:order val="3"/>
          <c:tx>
            <c:strRef>
              <c:f>'daily monitor'!$H$47</c:f>
              <c:strCache>
                <c:ptCount val="1"/>
                <c:pt idx="0">
                  <c:v>영국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plus"/>
            <c:size val="7"/>
          </c:marker>
          <c:cat>
            <c:strRef>
              <c:f>'daily monitor'!$D$53:$D$56</c:f>
              <c:strCache>
                <c:ptCount val="4"/>
                <c:pt idx="0">
                  <c:v>1Y</c:v>
                </c:pt>
                <c:pt idx="1">
                  <c:v>3Y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'daily monitor'!$H$53:$H$56</c:f>
              <c:numCache>
                <c:formatCode>#,##0.0000_ </c:formatCode>
                <c:ptCount val="4"/>
                <c:pt idx="0">
                  <c:v>4.4137000000000004</c:v>
                </c:pt>
                <c:pt idx="1">
                  <c:v>4.0426000000000002</c:v>
                </c:pt>
                <c:pt idx="2">
                  <c:v>4.2427000000000001</c:v>
                </c:pt>
                <c:pt idx="3">
                  <c:v>4.5434999999999999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A5D-402F-935C-4D22214EA349}"/>
            </c:ext>
          </c:extLst>
        </c:ser>
        <c:ser>
          <c:idx val="4"/>
          <c:order val="4"/>
          <c:tx>
            <c:strRef>
              <c:f>'daily monitor'!$I$47</c:f>
              <c:strCache>
                <c:ptCount val="1"/>
                <c:pt idx="0">
                  <c:v>인도</c:v>
                </c:pt>
              </c:strCache>
            </c:strRef>
          </c:tx>
          <c:spPr>
            <a:ln w="25400">
              <a:solidFill>
                <a:srgbClr val="FF9900"/>
              </a:solidFill>
            </a:ln>
          </c:spPr>
          <c:marker>
            <c:symbol val="circle"/>
            <c:size val="7"/>
          </c:marker>
          <c:cat>
            <c:strRef>
              <c:f>'daily monitor'!$D$53:$D$56</c:f>
              <c:strCache>
                <c:ptCount val="4"/>
                <c:pt idx="0">
                  <c:v>1Y</c:v>
                </c:pt>
                <c:pt idx="1">
                  <c:v>3Y</c:v>
                </c:pt>
                <c:pt idx="2">
                  <c:v>5Y</c:v>
                </c:pt>
                <c:pt idx="3">
                  <c:v>10Y</c:v>
                </c:pt>
              </c:strCache>
            </c:strRef>
          </c:cat>
          <c:val>
            <c:numRef>
              <c:f>'daily monitor'!$I$53:$I$56</c:f>
              <c:numCache>
                <c:formatCode>#,##0.0000_ </c:formatCode>
                <c:ptCount val="4"/>
                <c:pt idx="0">
                  <c:v>6.649</c:v>
                </c:pt>
                <c:pt idx="1">
                  <c:v>#N/A</c:v>
                </c:pt>
                <c:pt idx="2">
                  <c:v>6.6890000000000001</c:v>
                </c:pt>
                <c:pt idx="3">
                  <c:v>6.7380000000000004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A5D-402F-935C-4D22214EA349}"/>
            </c:ext>
          </c:extLst>
        </c:ser>
        <c:dLbls/>
        <c:marker val="1"/>
        <c:axId val="204902400"/>
        <c:axId val="204903936"/>
      </c:lineChart>
      <c:catAx>
        <c:axId val="204902400"/>
        <c:scaling>
          <c:orientation val="minMax"/>
        </c:scaling>
        <c:axPos val="b"/>
        <c:numFmt formatCode="General" sourceLinked="0"/>
        <c:tickLblPos val="low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4903936"/>
        <c:crosses val="autoZero"/>
        <c:auto val="1"/>
        <c:lblAlgn val="ctr"/>
        <c:lblOffset val="100"/>
      </c:catAx>
      <c:valAx>
        <c:axId val="204903936"/>
        <c:scaling>
          <c:orientation val="minMax"/>
        </c:scaling>
        <c:axPos val="l"/>
        <c:numFmt formatCode="#,##0.0000_ " sourceLinked="1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4902400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dispBlanksAs val="gap"/>
  </c:chart>
  <c:spPr>
    <a:ln>
      <a:solidFill>
        <a:sysClr val="window" lastClr="FFFFFF">
          <a:lumMod val="75000"/>
        </a:sys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/>
          <a:lstStyle/>
          <a:p>
            <a:pPr>
              <a:defRPr sz="11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altLang="ko-KR" sz="1100">
                <a:solidFill>
                  <a:schemeClr val="tx1">
                    <a:lumMod val="75000"/>
                    <a:lumOff val="25000"/>
                  </a:schemeClr>
                </a:solidFill>
              </a:rPr>
              <a:t>MSCI</a:t>
            </a:r>
            <a:r>
              <a:rPr lang="en-US" altLang="ko-KR" sz="110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Index</a:t>
            </a:r>
            <a:endParaRPr lang="ko-KR" altLang="en-US" sz="1100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/>
      <c:overlay val="1"/>
    </c:title>
    <c:plotArea>
      <c:layout/>
      <c:lineChart>
        <c:grouping val="standard"/>
        <c:ser>
          <c:idx val="0"/>
          <c:order val="0"/>
          <c:tx>
            <c:strRef>
              <c:f>'daily monitor'!$AI$99</c:f>
              <c:strCache>
                <c:ptCount val="1"/>
                <c:pt idx="0">
                  <c:v>미국</c:v>
                </c:pt>
              </c:strCache>
            </c:strRef>
          </c:tx>
          <c:spPr>
            <a:ln w="19050">
              <a:solidFill>
                <a:srgbClr val="3366FF"/>
              </a:solidFill>
            </a:ln>
          </c:spPr>
          <c:marker>
            <c:symbol val="none"/>
          </c:marker>
          <c:cat>
            <c:numRef>
              <c:f>'daily monitor'!$AI$101:$AI$467</c:f>
              <c:numCache>
                <c:formatCode>yyyy/mm/dd</c:formatCode>
                <c:ptCount val="367"/>
                <c:pt idx="0">
                  <c:v>45688</c:v>
                </c:pt>
                <c:pt idx="1">
                  <c:v>45687</c:v>
                </c:pt>
                <c:pt idx="2">
                  <c:v>45686</c:v>
                </c:pt>
                <c:pt idx="3">
                  <c:v>45685</c:v>
                </c:pt>
                <c:pt idx="4">
                  <c:v>45684</c:v>
                </c:pt>
                <c:pt idx="5">
                  <c:v>45683</c:v>
                </c:pt>
                <c:pt idx="6">
                  <c:v>45682</c:v>
                </c:pt>
                <c:pt idx="7">
                  <c:v>45681</c:v>
                </c:pt>
                <c:pt idx="8">
                  <c:v>45680</c:v>
                </c:pt>
                <c:pt idx="9">
                  <c:v>45679</c:v>
                </c:pt>
                <c:pt idx="10">
                  <c:v>45678</c:v>
                </c:pt>
                <c:pt idx="11">
                  <c:v>45677</c:v>
                </c:pt>
                <c:pt idx="12">
                  <c:v>45676</c:v>
                </c:pt>
                <c:pt idx="13">
                  <c:v>45675</c:v>
                </c:pt>
                <c:pt idx="14">
                  <c:v>45674</c:v>
                </c:pt>
                <c:pt idx="15">
                  <c:v>45673</c:v>
                </c:pt>
                <c:pt idx="16">
                  <c:v>45672</c:v>
                </c:pt>
                <c:pt idx="17">
                  <c:v>45671</c:v>
                </c:pt>
                <c:pt idx="18">
                  <c:v>45670</c:v>
                </c:pt>
                <c:pt idx="19">
                  <c:v>45669</c:v>
                </c:pt>
                <c:pt idx="20">
                  <c:v>45668</c:v>
                </c:pt>
                <c:pt idx="21">
                  <c:v>45667</c:v>
                </c:pt>
                <c:pt idx="22">
                  <c:v>45666</c:v>
                </c:pt>
                <c:pt idx="23">
                  <c:v>45665</c:v>
                </c:pt>
                <c:pt idx="24">
                  <c:v>45664</c:v>
                </c:pt>
                <c:pt idx="25">
                  <c:v>45663</c:v>
                </c:pt>
                <c:pt idx="26">
                  <c:v>45662</c:v>
                </c:pt>
                <c:pt idx="27">
                  <c:v>45661</c:v>
                </c:pt>
                <c:pt idx="28">
                  <c:v>45660</c:v>
                </c:pt>
                <c:pt idx="29">
                  <c:v>45659</c:v>
                </c:pt>
                <c:pt idx="30">
                  <c:v>45658</c:v>
                </c:pt>
                <c:pt idx="31">
                  <c:v>45657</c:v>
                </c:pt>
                <c:pt idx="32">
                  <c:v>45656</c:v>
                </c:pt>
                <c:pt idx="33">
                  <c:v>45655</c:v>
                </c:pt>
                <c:pt idx="34">
                  <c:v>45654</c:v>
                </c:pt>
                <c:pt idx="35">
                  <c:v>45653</c:v>
                </c:pt>
                <c:pt idx="36">
                  <c:v>45652</c:v>
                </c:pt>
                <c:pt idx="37">
                  <c:v>45651</c:v>
                </c:pt>
                <c:pt idx="38">
                  <c:v>45650</c:v>
                </c:pt>
                <c:pt idx="39">
                  <c:v>45649</c:v>
                </c:pt>
                <c:pt idx="40">
                  <c:v>45648</c:v>
                </c:pt>
                <c:pt idx="41">
                  <c:v>45647</c:v>
                </c:pt>
                <c:pt idx="42">
                  <c:v>45646</c:v>
                </c:pt>
                <c:pt idx="43">
                  <c:v>45645</c:v>
                </c:pt>
                <c:pt idx="44">
                  <c:v>45644</c:v>
                </c:pt>
                <c:pt idx="45">
                  <c:v>45643</c:v>
                </c:pt>
                <c:pt idx="46">
                  <c:v>45642</c:v>
                </c:pt>
                <c:pt idx="47">
                  <c:v>45641</c:v>
                </c:pt>
                <c:pt idx="48">
                  <c:v>45640</c:v>
                </c:pt>
                <c:pt idx="49">
                  <c:v>45639</c:v>
                </c:pt>
                <c:pt idx="50">
                  <c:v>45638</c:v>
                </c:pt>
                <c:pt idx="51">
                  <c:v>45637</c:v>
                </c:pt>
                <c:pt idx="52">
                  <c:v>45636</c:v>
                </c:pt>
                <c:pt idx="53">
                  <c:v>45635</c:v>
                </c:pt>
                <c:pt idx="54">
                  <c:v>45634</c:v>
                </c:pt>
                <c:pt idx="55">
                  <c:v>45633</c:v>
                </c:pt>
                <c:pt idx="56">
                  <c:v>45632</c:v>
                </c:pt>
                <c:pt idx="57">
                  <c:v>45631</c:v>
                </c:pt>
                <c:pt idx="58">
                  <c:v>45630</c:v>
                </c:pt>
                <c:pt idx="59">
                  <c:v>45629</c:v>
                </c:pt>
                <c:pt idx="60">
                  <c:v>45628</c:v>
                </c:pt>
                <c:pt idx="61">
                  <c:v>45627</c:v>
                </c:pt>
                <c:pt idx="62">
                  <c:v>45626</c:v>
                </c:pt>
                <c:pt idx="63">
                  <c:v>45625</c:v>
                </c:pt>
                <c:pt idx="64">
                  <c:v>45624</c:v>
                </c:pt>
                <c:pt idx="65">
                  <c:v>45623</c:v>
                </c:pt>
                <c:pt idx="66">
                  <c:v>45622</c:v>
                </c:pt>
                <c:pt idx="67">
                  <c:v>45621</c:v>
                </c:pt>
                <c:pt idx="68">
                  <c:v>45620</c:v>
                </c:pt>
                <c:pt idx="69">
                  <c:v>45619</c:v>
                </c:pt>
                <c:pt idx="70">
                  <c:v>45618</c:v>
                </c:pt>
                <c:pt idx="71">
                  <c:v>45617</c:v>
                </c:pt>
                <c:pt idx="72">
                  <c:v>45616</c:v>
                </c:pt>
                <c:pt idx="73">
                  <c:v>45615</c:v>
                </c:pt>
                <c:pt idx="74">
                  <c:v>45614</c:v>
                </c:pt>
                <c:pt idx="75">
                  <c:v>45613</c:v>
                </c:pt>
                <c:pt idx="76">
                  <c:v>45612</c:v>
                </c:pt>
                <c:pt idx="77">
                  <c:v>45611</c:v>
                </c:pt>
                <c:pt idx="78">
                  <c:v>45610</c:v>
                </c:pt>
                <c:pt idx="79">
                  <c:v>45609</c:v>
                </c:pt>
                <c:pt idx="80">
                  <c:v>45608</c:v>
                </c:pt>
                <c:pt idx="81">
                  <c:v>45607</c:v>
                </c:pt>
                <c:pt idx="82">
                  <c:v>45606</c:v>
                </c:pt>
                <c:pt idx="83">
                  <c:v>45605</c:v>
                </c:pt>
                <c:pt idx="84">
                  <c:v>45604</c:v>
                </c:pt>
                <c:pt idx="85">
                  <c:v>45603</c:v>
                </c:pt>
                <c:pt idx="86">
                  <c:v>45602</c:v>
                </c:pt>
                <c:pt idx="87">
                  <c:v>45601</c:v>
                </c:pt>
                <c:pt idx="88">
                  <c:v>45600</c:v>
                </c:pt>
                <c:pt idx="89">
                  <c:v>45599</c:v>
                </c:pt>
                <c:pt idx="90">
                  <c:v>45598</c:v>
                </c:pt>
                <c:pt idx="91">
                  <c:v>45597</c:v>
                </c:pt>
                <c:pt idx="92">
                  <c:v>45596</c:v>
                </c:pt>
                <c:pt idx="93">
                  <c:v>45595</c:v>
                </c:pt>
                <c:pt idx="94">
                  <c:v>45594</c:v>
                </c:pt>
                <c:pt idx="95">
                  <c:v>45593</c:v>
                </c:pt>
                <c:pt idx="96">
                  <c:v>45592</c:v>
                </c:pt>
                <c:pt idx="97">
                  <c:v>45591</c:v>
                </c:pt>
                <c:pt idx="98">
                  <c:v>45590</c:v>
                </c:pt>
                <c:pt idx="99">
                  <c:v>45589</c:v>
                </c:pt>
                <c:pt idx="100">
                  <c:v>45588</c:v>
                </c:pt>
                <c:pt idx="101">
                  <c:v>45587</c:v>
                </c:pt>
                <c:pt idx="102">
                  <c:v>45586</c:v>
                </c:pt>
                <c:pt idx="103">
                  <c:v>45585</c:v>
                </c:pt>
                <c:pt idx="104">
                  <c:v>45584</c:v>
                </c:pt>
                <c:pt idx="105">
                  <c:v>45583</c:v>
                </c:pt>
                <c:pt idx="106">
                  <c:v>45582</c:v>
                </c:pt>
                <c:pt idx="107">
                  <c:v>45581</c:v>
                </c:pt>
                <c:pt idx="108">
                  <c:v>45580</c:v>
                </c:pt>
                <c:pt idx="109">
                  <c:v>45579</c:v>
                </c:pt>
                <c:pt idx="110">
                  <c:v>45578</c:v>
                </c:pt>
                <c:pt idx="111">
                  <c:v>45577</c:v>
                </c:pt>
                <c:pt idx="112">
                  <c:v>45576</c:v>
                </c:pt>
                <c:pt idx="113">
                  <c:v>45575</c:v>
                </c:pt>
                <c:pt idx="114">
                  <c:v>45574</c:v>
                </c:pt>
                <c:pt idx="115">
                  <c:v>45573</c:v>
                </c:pt>
                <c:pt idx="116">
                  <c:v>45572</c:v>
                </c:pt>
                <c:pt idx="117">
                  <c:v>45571</c:v>
                </c:pt>
                <c:pt idx="118">
                  <c:v>45570</c:v>
                </c:pt>
                <c:pt idx="119">
                  <c:v>45569</c:v>
                </c:pt>
                <c:pt idx="120">
                  <c:v>45568</c:v>
                </c:pt>
                <c:pt idx="121">
                  <c:v>45567</c:v>
                </c:pt>
                <c:pt idx="122">
                  <c:v>45566</c:v>
                </c:pt>
                <c:pt idx="123">
                  <c:v>45565</c:v>
                </c:pt>
                <c:pt idx="124">
                  <c:v>45564</c:v>
                </c:pt>
                <c:pt idx="125">
                  <c:v>45563</c:v>
                </c:pt>
                <c:pt idx="126">
                  <c:v>45562</c:v>
                </c:pt>
                <c:pt idx="127">
                  <c:v>45561</c:v>
                </c:pt>
                <c:pt idx="128">
                  <c:v>45560</c:v>
                </c:pt>
                <c:pt idx="129">
                  <c:v>45559</c:v>
                </c:pt>
                <c:pt idx="130">
                  <c:v>45558</c:v>
                </c:pt>
                <c:pt idx="131">
                  <c:v>45557</c:v>
                </c:pt>
                <c:pt idx="132">
                  <c:v>45556</c:v>
                </c:pt>
                <c:pt idx="133">
                  <c:v>45555</c:v>
                </c:pt>
                <c:pt idx="134">
                  <c:v>45554</c:v>
                </c:pt>
                <c:pt idx="135">
                  <c:v>45553</c:v>
                </c:pt>
                <c:pt idx="136">
                  <c:v>45552</c:v>
                </c:pt>
                <c:pt idx="137">
                  <c:v>45551</c:v>
                </c:pt>
                <c:pt idx="138">
                  <c:v>45550</c:v>
                </c:pt>
                <c:pt idx="139">
                  <c:v>45549</c:v>
                </c:pt>
                <c:pt idx="140">
                  <c:v>45548</c:v>
                </c:pt>
                <c:pt idx="141">
                  <c:v>45547</c:v>
                </c:pt>
                <c:pt idx="142">
                  <c:v>45546</c:v>
                </c:pt>
                <c:pt idx="143">
                  <c:v>45545</c:v>
                </c:pt>
                <c:pt idx="144">
                  <c:v>45544</c:v>
                </c:pt>
                <c:pt idx="145">
                  <c:v>45543</c:v>
                </c:pt>
                <c:pt idx="146">
                  <c:v>45542</c:v>
                </c:pt>
                <c:pt idx="147">
                  <c:v>45541</c:v>
                </c:pt>
                <c:pt idx="148">
                  <c:v>45540</c:v>
                </c:pt>
                <c:pt idx="149">
                  <c:v>45539</c:v>
                </c:pt>
                <c:pt idx="150">
                  <c:v>45538</c:v>
                </c:pt>
                <c:pt idx="151">
                  <c:v>45537</c:v>
                </c:pt>
                <c:pt idx="152">
                  <c:v>45536</c:v>
                </c:pt>
                <c:pt idx="153">
                  <c:v>45535</c:v>
                </c:pt>
                <c:pt idx="154">
                  <c:v>45534</c:v>
                </c:pt>
                <c:pt idx="155">
                  <c:v>45533</c:v>
                </c:pt>
                <c:pt idx="156">
                  <c:v>45532</c:v>
                </c:pt>
                <c:pt idx="157">
                  <c:v>45531</c:v>
                </c:pt>
                <c:pt idx="158">
                  <c:v>45530</c:v>
                </c:pt>
                <c:pt idx="159">
                  <c:v>45529</c:v>
                </c:pt>
                <c:pt idx="160">
                  <c:v>45528</c:v>
                </c:pt>
                <c:pt idx="161">
                  <c:v>45527</c:v>
                </c:pt>
                <c:pt idx="162">
                  <c:v>45526</c:v>
                </c:pt>
                <c:pt idx="163">
                  <c:v>45525</c:v>
                </c:pt>
                <c:pt idx="164">
                  <c:v>45524</c:v>
                </c:pt>
                <c:pt idx="165">
                  <c:v>45523</c:v>
                </c:pt>
                <c:pt idx="166">
                  <c:v>45522</c:v>
                </c:pt>
                <c:pt idx="167">
                  <c:v>45521</c:v>
                </c:pt>
                <c:pt idx="168">
                  <c:v>45520</c:v>
                </c:pt>
                <c:pt idx="169">
                  <c:v>45519</c:v>
                </c:pt>
                <c:pt idx="170">
                  <c:v>45518</c:v>
                </c:pt>
                <c:pt idx="171">
                  <c:v>45517</c:v>
                </c:pt>
                <c:pt idx="172">
                  <c:v>45516</c:v>
                </c:pt>
                <c:pt idx="173">
                  <c:v>45515</c:v>
                </c:pt>
                <c:pt idx="174">
                  <c:v>45514</c:v>
                </c:pt>
                <c:pt idx="175">
                  <c:v>45513</c:v>
                </c:pt>
                <c:pt idx="176">
                  <c:v>45512</c:v>
                </c:pt>
                <c:pt idx="177">
                  <c:v>45511</c:v>
                </c:pt>
                <c:pt idx="178">
                  <c:v>45510</c:v>
                </c:pt>
                <c:pt idx="179">
                  <c:v>45509</c:v>
                </c:pt>
                <c:pt idx="180">
                  <c:v>45508</c:v>
                </c:pt>
                <c:pt idx="181">
                  <c:v>45507</c:v>
                </c:pt>
                <c:pt idx="182">
                  <c:v>45506</c:v>
                </c:pt>
                <c:pt idx="183">
                  <c:v>45505</c:v>
                </c:pt>
                <c:pt idx="184">
                  <c:v>45504</c:v>
                </c:pt>
                <c:pt idx="185">
                  <c:v>45503</c:v>
                </c:pt>
                <c:pt idx="186">
                  <c:v>45502</c:v>
                </c:pt>
                <c:pt idx="187">
                  <c:v>45501</c:v>
                </c:pt>
                <c:pt idx="188">
                  <c:v>45500</c:v>
                </c:pt>
                <c:pt idx="189">
                  <c:v>45499</c:v>
                </c:pt>
                <c:pt idx="190">
                  <c:v>45498</c:v>
                </c:pt>
                <c:pt idx="191">
                  <c:v>45497</c:v>
                </c:pt>
                <c:pt idx="192">
                  <c:v>45496</c:v>
                </c:pt>
                <c:pt idx="193">
                  <c:v>45495</c:v>
                </c:pt>
                <c:pt idx="194">
                  <c:v>45494</c:v>
                </c:pt>
                <c:pt idx="195">
                  <c:v>45493</c:v>
                </c:pt>
                <c:pt idx="196">
                  <c:v>45492</c:v>
                </c:pt>
                <c:pt idx="197">
                  <c:v>45491</c:v>
                </c:pt>
                <c:pt idx="198">
                  <c:v>45490</c:v>
                </c:pt>
                <c:pt idx="199">
                  <c:v>45489</c:v>
                </c:pt>
                <c:pt idx="200">
                  <c:v>45488</c:v>
                </c:pt>
                <c:pt idx="201">
                  <c:v>45487</c:v>
                </c:pt>
                <c:pt idx="202">
                  <c:v>45486</c:v>
                </c:pt>
                <c:pt idx="203">
                  <c:v>45485</c:v>
                </c:pt>
                <c:pt idx="204">
                  <c:v>45484</c:v>
                </c:pt>
                <c:pt idx="205">
                  <c:v>45483</c:v>
                </c:pt>
                <c:pt idx="206">
                  <c:v>45482</c:v>
                </c:pt>
                <c:pt idx="207">
                  <c:v>45481</c:v>
                </c:pt>
                <c:pt idx="208">
                  <c:v>45480</c:v>
                </c:pt>
                <c:pt idx="209">
                  <c:v>45479</c:v>
                </c:pt>
                <c:pt idx="210">
                  <c:v>45478</c:v>
                </c:pt>
                <c:pt idx="211">
                  <c:v>45477</c:v>
                </c:pt>
                <c:pt idx="212">
                  <c:v>45476</c:v>
                </c:pt>
                <c:pt idx="213">
                  <c:v>45475</c:v>
                </c:pt>
                <c:pt idx="214">
                  <c:v>45474</c:v>
                </c:pt>
                <c:pt idx="215">
                  <c:v>45473</c:v>
                </c:pt>
                <c:pt idx="216">
                  <c:v>45472</c:v>
                </c:pt>
                <c:pt idx="217">
                  <c:v>45471</c:v>
                </c:pt>
                <c:pt idx="218">
                  <c:v>45470</c:v>
                </c:pt>
                <c:pt idx="219">
                  <c:v>45469</c:v>
                </c:pt>
                <c:pt idx="220">
                  <c:v>45468</c:v>
                </c:pt>
                <c:pt idx="221">
                  <c:v>45467</c:v>
                </c:pt>
                <c:pt idx="222">
                  <c:v>45466</c:v>
                </c:pt>
                <c:pt idx="223">
                  <c:v>45465</c:v>
                </c:pt>
                <c:pt idx="224">
                  <c:v>45464</c:v>
                </c:pt>
                <c:pt idx="225">
                  <c:v>45463</c:v>
                </c:pt>
                <c:pt idx="226">
                  <c:v>45462</c:v>
                </c:pt>
                <c:pt idx="227">
                  <c:v>45461</c:v>
                </c:pt>
                <c:pt idx="228">
                  <c:v>45460</c:v>
                </c:pt>
                <c:pt idx="229">
                  <c:v>45459</c:v>
                </c:pt>
                <c:pt idx="230">
                  <c:v>45458</c:v>
                </c:pt>
                <c:pt idx="231">
                  <c:v>45457</c:v>
                </c:pt>
                <c:pt idx="232">
                  <c:v>45456</c:v>
                </c:pt>
                <c:pt idx="233">
                  <c:v>45455</c:v>
                </c:pt>
                <c:pt idx="234">
                  <c:v>45454</c:v>
                </c:pt>
                <c:pt idx="235">
                  <c:v>45453</c:v>
                </c:pt>
                <c:pt idx="236">
                  <c:v>45452</c:v>
                </c:pt>
                <c:pt idx="237">
                  <c:v>45451</c:v>
                </c:pt>
                <c:pt idx="238">
                  <c:v>45450</c:v>
                </c:pt>
                <c:pt idx="239">
                  <c:v>45449</c:v>
                </c:pt>
                <c:pt idx="240">
                  <c:v>45448</c:v>
                </c:pt>
                <c:pt idx="241">
                  <c:v>45447</c:v>
                </c:pt>
                <c:pt idx="242">
                  <c:v>45446</c:v>
                </c:pt>
                <c:pt idx="243">
                  <c:v>45445</c:v>
                </c:pt>
                <c:pt idx="244">
                  <c:v>45444</c:v>
                </c:pt>
                <c:pt idx="245">
                  <c:v>45443</c:v>
                </c:pt>
                <c:pt idx="246">
                  <c:v>45442</c:v>
                </c:pt>
                <c:pt idx="247">
                  <c:v>45441</c:v>
                </c:pt>
                <c:pt idx="248">
                  <c:v>45440</c:v>
                </c:pt>
                <c:pt idx="249">
                  <c:v>45439</c:v>
                </c:pt>
                <c:pt idx="250">
                  <c:v>45438</c:v>
                </c:pt>
                <c:pt idx="251">
                  <c:v>45437</c:v>
                </c:pt>
                <c:pt idx="252">
                  <c:v>45436</c:v>
                </c:pt>
                <c:pt idx="253">
                  <c:v>45435</c:v>
                </c:pt>
                <c:pt idx="254">
                  <c:v>45434</c:v>
                </c:pt>
                <c:pt idx="255">
                  <c:v>45433</c:v>
                </c:pt>
                <c:pt idx="256">
                  <c:v>45432</c:v>
                </c:pt>
                <c:pt idx="257">
                  <c:v>45431</c:v>
                </c:pt>
                <c:pt idx="258">
                  <c:v>45430</c:v>
                </c:pt>
                <c:pt idx="259">
                  <c:v>45429</c:v>
                </c:pt>
                <c:pt idx="260">
                  <c:v>45428</c:v>
                </c:pt>
                <c:pt idx="261">
                  <c:v>45427</c:v>
                </c:pt>
                <c:pt idx="262">
                  <c:v>45426</c:v>
                </c:pt>
                <c:pt idx="263">
                  <c:v>45425</c:v>
                </c:pt>
                <c:pt idx="264">
                  <c:v>45424</c:v>
                </c:pt>
                <c:pt idx="265">
                  <c:v>45423</c:v>
                </c:pt>
                <c:pt idx="266">
                  <c:v>45422</c:v>
                </c:pt>
                <c:pt idx="267">
                  <c:v>45421</c:v>
                </c:pt>
                <c:pt idx="268">
                  <c:v>45420</c:v>
                </c:pt>
                <c:pt idx="269">
                  <c:v>45419</c:v>
                </c:pt>
                <c:pt idx="270">
                  <c:v>45418</c:v>
                </c:pt>
                <c:pt idx="271">
                  <c:v>45417</c:v>
                </c:pt>
                <c:pt idx="272">
                  <c:v>45416</c:v>
                </c:pt>
                <c:pt idx="273">
                  <c:v>45415</c:v>
                </c:pt>
                <c:pt idx="274">
                  <c:v>45414</c:v>
                </c:pt>
                <c:pt idx="275">
                  <c:v>45413</c:v>
                </c:pt>
                <c:pt idx="276">
                  <c:v>45412</c:v>
                </c:pt>
                <c:pt idx="277">
                  <c:v>45411</c:v>
                </c:pt>
                <c:pt idx="278">
                  <c:v>45410</c:v>
                </c:pt>
                <c:pt idx="279">
                  <c:v>45409</c:v>
                </c:pt>
                <c:pt idx="280">
                  <c:v>45408</c:v>
                </c:pt>
                <c:pt idx="281">
                  <c:v>45407</c:v>
                </c:pt>
                <c:pt idx="282">
                  <c:v>45406</c:v>
                </c:pt>
                <c:pt idx="283">
                  <c:v>45405</c:v>
                </c:pt>
                <c:pt idx="284">
                  <c:v>45404</c:v>
                </c:pt>
                <c:pt idx="285">
                  <c:v>45403</c:v>
                </c:pt>
                <c:pt idx="286">
                  <c:v>45402</c:v>
                </c:pt>
                <c:pt idx="287">
                  <c:v>45401</c:v>
                </c:pt>
                <c:pt idx="288">
                  <c:v>45400</c:v>
                </c:pt>
                <c:pt idx="289">
                  <c:v>45399</c:v>
                </c:pt>
                <c:pt idx="290">
                  <c:v>45398</c:v>
                </c:pt>
                <c:pt idx="291">
                  <c:v>45397</c:v>
                </c:pt>
                <c:pt idx="292">
                  <c:v>45396</c:v>
                </c:pt>
                <c:pt idx="293">
                  <c:v>45395</c:v>
                </c:pt>
                <c:pt idx="294">
                  <c:v>45394</c:v>
                </c:pt>
                <c:pt idx="295">
                  <c:v>45393</c:v>
                </c:pt>
                <c:pt idx="296">
                  <c:v>45392</c:v>
                </c:pt>
                <c:pt idx="297">
                  <c:v>45391</c:v>
                </c:pt>
                <c:pt idx="298">
                  <c:v>45390</c:v>
                </c:pt>
                <c:pt idx="299">
                  <c:v>45389</c:v>
                </c:pt>
                <c:pt idx="300">
                  <c:v>45388</c:v>
                </c:pt>
                <c:pt idx="301">
                  <c:v>45387</c:v>
                </c:pt>
                <c:pt idx="302">
                  <c:v>45386</c:v>
                </c:pt>
                <c:pt idx="303">
                  <c:v>45385</c:v>
                </c:pt>
                <c:pt idx="304">
                  <c:v>45384</c:v>
                </c:pt>
                <c:pt idx="305">
                  <c:v>45383</c:v>
                </c:pt>
                <c:pt idx="306">
                  <c:v>45382</c:v>
                </c:pt>
                <c:pt idx="307">
                  <c:v>45381</c:v>
                </c:pt>
                <c:pt idx="308">
                  <c:v>45380</c:v>
                </c:pt>
                <c:pt idx="309">
                  <c:v>45379</c:v>
                </c:pt>
                <c:pt idx="310">
                  <c:v>45378</c:v>
                </c:pt>
                <c:pt idx="311">
                  <c:v>45377</c:v>
                </c:pt>
                <c:pt idx="312">
                  <c:v>45376</c:v>
                </c:pt>
                <c:pt idx="313">
                  <c:v>45375</c:v>
                </c:pt>
                <c:pt idx="314">
                  <c:v>45374</c:v>
                </c:pt>
                <c:pt idx="315">
                  <c:v>45373</c:v>
                </c:pt>
                <c:pt idx="316">
                  <c:v>45372</c:v>
                </c:pt>
                <c:pt idx="317">
                  <c:v>45371</c:v>
                </c:pt>
                <c:pt idx="318">
                  <c:v>45370</c:v>
                </c:pt>
                <c:pt idx="319">
                  <c:v>45369</c:v>
                </c:pt>
                <c:pt idx="320">
                  <c:v>45368</c:v>
                </c:pt>
                <c:pt idx="321">
                  <c:v>45367</c:v>
                </c:pt>
                <c:pt idx="322">
                  <c:v>45366</c:v>
                </c:pt>
                <c:pt idx="323">
                  <c:v>45365</c:v>
                </c:pt>
                <c:pt idx="324">
                  <c:v>45364</c:v>
                </c:pt>
                <c:pt idx="325">
                  <c:v>45363</c:v>
                </c:pt>
                <c:pt idx="326">
                  <c:v>45362</c:v>
                </c:pt>
                <c:pt idx="327">
                  <c:v>45361</c:v>
                </c:pt>
                <c:pt idx="328">
                  <c:v>45360</c:v>
                </c:pt>
                <c:pt idx="329">
                  <c:v>45359</c:v>
                </c:pt>
                <c:pt idx="330">
                  <c:v>45358</c:v>
                </c:pt>
                <c:pt idx="331">
                  <c:v>45357</c:v>
                </c:pt>
                <c:pt idx="332">
                  <c:v>45356</c:v>
                </c:pt>
                <c:pt idx="333">
                  <c:v>45355</c:v>
                </c:pt>
                <c:pt idx="334">
                  <c:v>45354</c:v>
                </c:pt>
                <c:pt idx="335">
                  <c:v>45353</c:v>
                </c:pt>
                <c:pt idx="336">
                  <c:v>45352</c:v>
                </c:pt>
                <c:pt idx="337">
                  <c:v>45351</c:v>
                </c:pt>
                <c:pt idx="338">
                  <c:v>45350</c:v>
                </c:pt>
                <c:pt idx="339">
                  <c:v>45349</c:v>
                </c:pt>
                <c:pt idx="340">
                  <c:v>45348</c:v>
                </c:pt>
                <c:pt idx="341">
                  <c:v>45347</c:v>
                </c:pt>
                <c:pt idx="342">
                  <c:v>45346</c:v>
                </c:pt>
                <c:pt idx="343">
                  <c:v>45345</c:v>
                </c:pt>
                <c:pt idx="344">
                  <c:v>45344</c:v>
                </c:pt>
                <c:pt idx="345">
                  <c:v>45343</c:v>
                </c:pt>
                <c:pt idx="346">
                  <c:v>45342</c:v>
                </c:pt>
                <c:pt idx="347">
                  <c:v>45341</c:v>
                </c:pt>
                <c:pt idx="348">
                  <c:v>45340</c:v>
                </c:pt>
                <c:pt idx="349">
                  <c:v>45339</c:v>
                </c:pt>
                <c:pt idx="350">
                  <c:v>45338</c:v>
                </c:pt>
                <c:pt idx="351">
                  <c:v>45337</c:v>
                </c:pt>
                <c:pt idx="352">
                  <c:v>45336</c:v>
                </c:pt>
                <c:pt idx="353">
                  <c:v>45335</c:v>
                </c:pt>
                <c:pt idx="354">
                  <c:v>45334</c:v>
                </c:pt>
                <c:pt idx="355">
                  <c:v>45333</c:v>
                </c:pt>
                <c:pt idx="356">
                  <c:v>45332</c:v>
                </c:pt>
                <c:pt idx="357">
                  <c:v>45331</c:v>
                </c:pt>
                <c:pt idx="358">
                  <c:v>45330</c:v>
                </c:pt>
                <c:pt idx="359">
                  <c:v>45329</c:v>
                </c:pt>
                <c:pt idx="360">
                  <c:v>45328</c:v>
                </c:pt>
                <c:pt idx="361">
                  <c:v>45327</c:v>
                </c:pt>
                <c:pt idx="362">
                  <c:v>45326</c:v>
                </c:pt>
                <c:pt idx="363">
                  <c:v>45325</c:v>
                </c:pt>
                <c:pt idx="364">
                  <c:v>45324</c:v>
                </c:pt>
                <c:pt idx="365">
                  <c:v>45323</c:v>
                </c:pt>
              </c:numCache>
            </c:numRef>
          </c:cat>
          <c:val>
            <c:numRef>
              <c:f>'daily monitor'!$AJ$101:$AJ$467</c:f>
              <c:numCache>
                <c:formatCode>General</c:formatCode>
                <c:ptCount val="367"/>
                <c:pt idx="0">
                  <c:v>5783.64</c:v>
                </c:pt>
                <c:pt idx="1">
                  <c:v>5812.04</c:v>
                </c:pt>
                <c:pt idx="2">
                  <c:v>5779.2169999999996</c:v>
                </c:pt>
                <c:pt idx="3">
                  <c:v>5805.9480000000003</c:v>
                </c:pt>
                <c:pt idx="4">
                  <c:v>5750.817</c:v>
                </c:pt>
                <c:pt idx="5">
                  <c:v>5838.1589999999997</c:v>
                </c:pt>
                <c:pt idx="6">
                  <c:v>5838.1589999999997</c:v>
                </c:pt>
                <c:pt idx="7">
                  <c:v>5838.1589999999997</c:v>
                </c:pt>
                <c:pt idx="8">
                  <c:v>5854.6629999999996</c:v>
                </c:pt>
                <c:pt idx="9">
                  <c:v>5823.7790000000005</c:v>
                </c:pt>
                <c:pt idx="10">
                  <c:v>5789.0010000000002</c:v>
                </c:pt>
                <c:pt idx="11">
                  <c:v>5737.3590000000004</c:v>
                </c:pt>
                <c:pt idx="12">
                  <c:v>5737.3590000000004</c:v>
                </c:pt>
                <c:pt idx="13">
                  <c:v>5737.3590000000004</c:v>
                </c:pt>
                <c:pt idx="14">
                  <c:v>5737.3590000000004</c:v>
                </c:pt>
                <c:pt idx="15">
                  <c:v>5680.1049999999996</c:v>
                </c:pt>
                <c:pt idx="16">
                  <c:v>5689.9780000000001</c:v>
                </c:pt>
                <c:pt idx="17">
                  <c:v>5586.8869999999997</c:v>
                </c:pt>
                <c:pt idx="18">
                  <c:v>5579.1869999999999</c:v>
                </c:pt>
                <c:pt idx="19">
                  <c:v>5570.3459999999995</c:v>
                </c:pt>
                <c:pt idx="20">
                  <c:v>5570.3459999999995</c:v>
                </c:pt>
                <c:pt idx="21">
                  <c:v>5570.3459999999995</c:v>
                </c:pt>
                <c:pt idx="22">
                  <c:v>5657.0309999999999</c:v>
                </c:pt>
                <c:pt idx="23">
                  <c:v>5657.0309999999999</c:v>
                </c:pt>
                <c:pt idx="24">
                  <c:v>5647.768</c:v>
                </c:pt>
                <c:pt idx="25">
                  <c:v>5713.8090000000002</c:v>
                </c:pt>
                <c:pt idx="26">
                  <c:v>5681.2780000000002</c:v>
                </c:pt>
                <c:pt idx="27">
                  <c:v>5681.2780000000002</c:v>
                </c:pt>
                <c:pt idx="28">
                  <c:v>5681.2780000000002</c:v>
                </c:pt>
                <c:pt idx="29">
                  <c:v>5607.5140000000001</c:v>
                </c:pt>
                <c:pt idx="30">
                  <c:v>5617.2020000000002</c:v>
                </c:pt>
                <c:pt idx="31">
                  <c:v>5617.2020000000002</c:v>
                </c:pt>
                <c:pt idx="32">
                  <c:v>5642.4979999999996</c:v>
                </c:pt>
                <c:pt idx="33">
                  <c:v>5703.8019999999997</c:v>
                </c:pt>
                <c:pt idx="34">
                  <c:v>5703.8019999999997</c:v>
                </c:pt>
                <c:pt idx="35">
                  <c:v>5703.8019999999997</c:v>
                </c:pt>
                <c:pt idx="36">
                  <c:v>5768.3869999999997</c:v>
                </c:pt>
                <c:pt idx="37">
                  <c:v>5771.1260000000002</c:v>
                </c:pt>
                <c:pt idx="38">
                  <c:v>5771.1260000000002</c:v>
                </c:pt>
                <c:pt idx="39">
                  <c:v>5708.1130000000003</c:v>
                </c:pt>
                <c:pt idx="40">
                  <c:v>5669.8280000000004</c:v>
                </c:pt>
                <c:pt idx="41">
                  <c:v>5669.8280000000004</c:v>
                </c:pt>
                <c:pt idx="42">
                  <c:v>5669.8280000000004</c:v>
                </c:pt>
                <c:pt idx="43">
                  <c:v>5606.5739999999996</c:v>
                </c:pt>
                <c:pt idx="44">
                  <c:v>5612.4480000000003</c:v>
                </c:pt>
                <c:pt idx="45">
                  <c:v>5788.4549999999999</c:v>
                </c:pt>
                <c:pt idx="46">
                  <c:v>5812.8249999999998</c:v>
                </c:pt>
                <c:pt idx="47">
                  <c:v>5789.6109999999999</c:v>
                </c:pt>
                <c:pt idx="48">
                  <c:v>5789.6109999999999</c:v>
                </c:pt>
                <c:pt idx="49">
                  <c:v>5789.6109999999999</c:v>
                </c:pt>
                <c:pt idx="50">
                  <c:v>5791.116</c:v>
                </c:pt>
                <c:pt idx="51">
                  <c:v>5822.9390000000003</c:v>
                </c:pt>
                <c:pt idx="52">
                  <c:v>5773.4049999999997</c:v>
                </c:pt>
                <c:pt idx="53">
                  <c:v>5793.3760000000002</c:v>
                </c:pt>
                <c:pt idx="54">
                  <c:v>5834.1729999999998</c:v>
                </c:pt>
                <c:pt idx="55">
                  <c:v>5834.1729999999998</c:v>
                </c:pt>
                <c:pt idx="56">
                  <c:v>5834.1729999999998</c:v>
                </c:pt>
                <c:pt idx="57">
                  <c:v>5816.5550000000003</c:v>
                </c:pt>
                <c:pt idx="58">
                  <c:v>5830.07</c:v>
                </c:pt>
                <c:pt idx="59">
                  <c:v>5788.9260000000004</c:v>
                </c:pt>
                <c:pt idx="60">
                  <c:v>5784.692</c:v>
                </c:pt>
                <c:pt idx="61">
                  <c:v>5770.6459999999997</c:v>
                </c:pt>
                <c:pt idx="62">
                  <c:v>5770.6459999999997</c:v>
                </c:pt>
                <c:pt idx="63">
                  <c:v>5770.6459999999997</c:v>
                </c:pt>
                <c:pt idx="64">
                  <c:v>5739.5129999999999</c:v>
                </c:pt>
                <c:pt idx="65">
                  <c:v>5739.5129999999999</c:v>
                </c:pt>
                <c:pt idx="66">
                  <c:v>5761.6040000000003</c:v>
                </c:pt>
                <c:pt idx="67">
                  <c:v>5731.9120000000003</c:v>
                </c:pt>
                <c:pt idx="68">
                  <c:v>5713.8180000000002</c:v>
                </c:pt>
                <c:pt idx="69">
                  <c:v>5713.8180000000002</c:v>
                </c:pt>
                <c:pt idx="70">
                  <c:v>5713.8180000000002</c:v>
                </c:pt>
                <c:pt idx="71">
                  <c:v>5691.018</c:v>
                </c:pt>
                <c:pt idx="72">
                  <c:v>5657.9709999999995</c:v>
                </c:pt>
                <c:pt idx="73">
                  <c:v>5655.9040000000005</c:v>
                </c:pt>
                <c:pt idx="74">
                  <c:v>5630.2030000000004</c:v>
                </c:pt>
                <c:pt idx="75">
                  <c:v>5606</c:v>
                </c:pt>
                <c:pt idx="76">
                  <c:v>5606</c:v>
                </c:pt>
                <c:pt idx="77">
                  <c:v>5606</c:v>
                </c:pt>
                <c:pt idx="78">
                  <c:v>5681.2749999999996</c:v>
                </c:pt>
                <c:pt idx="79">
                  <c:v>5717.875</c:v>
                </c:pt>
                <c:pt idx="80">
                  <c:v>5718.2460000000001</c:v>
                </c:pt>
                <c:pt idx="81">
                  <c:v>5734.9009999999998</c:v>
                </c:pt>
                <c:pt idx="82">
                  <c:v>5722.9610000000002</c:v>
                </c:pt>
                <c:pt idx="83">
                  <c:v>5722.9610000000002</c:v>
                </c:pt>
                <c:pt idx="84">
                  <c:v>5722.9610000000002</c:v>
                </c:pt>
                <c:pt idx="85">
                  <c:v>5699.9110000000001</c:v>
                </c:pt>
                <c:pt idx="86">
                  <c:v>5657.0709999999999</c:v>
                </c:pt>
                <c:pt idx="87">
                  <c:v>5514.3019999999997</c:v>
                </c:pt>
                <c:pt idx="88">
                  <c:v>5446.2939999999999</c:v>
                </c:pt>
                <c:pt idx="89">
                  <c:v>5460.6090000000004</c:v>
                </c:pt>
                <c:pt idx="90">
                  <c:v>5460.6090000000004</c:v>
                </c:pt>
                <c:pt idx="91">
                  <c:v>5460.6090000000004</c:v>
                </c:pt>
                <c:pt idx="92">
                  <c:v>5438.0290000000005</c:v>
                </c:pt>
                <c:pt idx="93">
                  <c:v>5539.1980000000003</c:v>
                </c:pt>
                <c:pt idx="94">
                  <c:v>5557.0720000000001</c:v>
                </c:pt>
                <c:pt idx="95">
                  <c:v>5547.8019999999997</c:v>
                </c:pt>
                <c:pt idx="96">
                  <c:v>5532.0789999999997</c:v>
                </c:pt>
                <c:pt idx="97">
                  <c:v>5532.0789999999997</c:v>
                </c:pt>
                <c:pt idx="98">
                  <c:v>5532.0789999999997</c:v>
                </c:pt>
                <c:pt idx="99">
                  <c:v>5534.7920000000004</c:v>
                </c:pt>
                <c:pt idx="100">
                  <c:v>5520.808</c:v>
                </c:pt>
                <c:pt idx="101">
                  <c:v>5572.2610000000004</c:v>
                </c:pt>
                <c:pt idx="102">
                  <c:v>5576.2250000000004</c:v>
                </c:pt>
                <c:pt idx="103">
                  <c:v>5587.326</c:v>
                </c:pt>
                <c:pt idx="104">
                  <c:v>5587.326</c:v>
                </c:pt>
                <c:pt idx="105">
                  <c:v>5587.326</c:v>
                </c:pt>
                <c:pt idx="106">
                  <c:v>5564.6480000000001</c:v>
                </c:pt>
                <c:pt idx="107">
                  <c:v>5565.2120000000004</c:v>
                </c:pt>
                <c:pt idx="108">
                  <c:v>5539.1689999999999</c:v>
                </c:pt>
                <c:pt idx="109">
                  <c:v>5581.6719999999996</c:v>
                </c:pt>
                <c:pt idx="110">
                  <c:v>5539.2950000000001</c:v>
                </c:pt>
                <c:pt idx="111">
                  <c:v>5539.2950000000001</c:v>
                </c:pt>
                <c:pt idx="112">
                  <c:v>5539.2950000000001</c:v>
                </c:pt>
                <c:pt idx="113">
                  <c:v>5504.32</c:v>
                </c:pt>
                <c:pt idx="114">
                  <c:v>5514.1729999999998</c:v>
                </c:pt>
                <c:pt idx="115">
                  <c:v>5474.8860000000004</c:v>
                </c:pt>
                <c:pt idx="116">
                  <c:v>5423.2489999999998</c:v>
                </c:pt>
                <c:pt idx="117">
                  <c:v>5474.6019999999999</c:v>
                </c:pt>
                <c:pt idx="118">
                  <c:v>5474.6019999999999</c:v>
                </c:pt>
                <c:pt idx="119">
                  <c:v>5474.6019999999999</c:v>
                </c:pt>
                <c:pt idx="120">
                  <c:v>5424.4229999999998</c:v>
                </c:pt>
                <c:pt idx="121">
                  <c:v>5433.125</c:v>
                </c:pt>
                <c:pt idx="122">
                  <c:v>5432.2759999999998</c:v>
                </c:pt>
                <c:pt idx="123">
                  <c:v>5482.5159999999996</c:v>
                </c:pt>
                <c:pt idx="124">
                  <c:v>5460.759</c:v>
                </c:pt>
                <c:pt idx="125">
                  <c:v>5460.759</c:v>
                </c:pt>
                <c:pt idx="126">
                  <c:v>5460.759</c:v>
                </c:pt>
                <c:pt idx="127">
                  <c:v>5467.4229999999998</c:v>
                </c:pt>
                <c:pt idx="128">
                  <c:v>5445.848</c:v>
                </c:pt>
                <c:pt idx="129">
                  <c:v>5456.3509999999997</c:v>
                </c:pt>
                <c:pt idx="130">
                  <c:v>5442.5730000000003</c:v>
                </c:pt>
                <c:pt idx="131">
                  <c:v>5427.2089999999998</c:v>
                </c:pt>
                <c:pt idx="132">
                  <c:v>5427.2089999999998</c:v>
                </c:pt>
                <c:pt idx="133">
                  <c:v>5427.2089999999998</c:v>
                </c:pt>
                <c:pt idx="134">
                  <c:v>5437.9089999999997</c:v>
                </c:pt>
                <c:pt idx="135">
                  <c:v>5345.817</c:v>
                </c:pt>
                <c:pt idx="136">
                  <c:v>5360.6760000000004</c:v>
                </c:pt>
                <c:pt idx="137">
                  <c:v>5359.4179999999997</c:v>
                </c:pt>
                <c:pt idx="138">
                  <c:v>5352.0209999999997</c:v>
                </c:pt>
                <c:pt idx="139">
                  <c:v>5352.0209999999997</c:v>
                </c:pt>
                <c:pt idx="140">
                  <c:v>5352.0209999999997</c:v>
                </c:pt>
                <c:pt idx="141">
                  <c:v>5322.2740000000003</c:v>
                </c:pt>
                <c:pt idx="142">
                  <c:v>5281.6419999999998</c:v>
                </c:pt>
                <c:pt idx="143">
                  <c:v>5224.8580000000002</c:v>
                </c:pt>
                <c:pt idx="144">
                  <c:v>5201.5789999999997</c:v>
                </c:pt>
                <c:pt idx="145">
                  <c:v>5141.5940000000001</c:v>
                </c:pt>
                <c:pt idx="146">
                  <c:v>5141.5940000000001</c:v>
                </c:pt>
                <c:pt idx="147">
                  <c:v>5141.5940000000001</c:v>
                </c:pt>
                <c:pt idx="148">
                  <c:v>5232.1279999999997</c:v>
                </c:pt>
                <c:pt idx="149">
                  <c:v>5247.0280000000002</c:v>
                </c:pt>
                <c:pt idx="150">
                  <c:v>5256.6890000000003</c:v>
                </c:pt>
                <c:pt idx="151">
                  <c:v>5373.1469999999999</c:v>
                </c:pt>
                <c:pt idx="152">
                  <c:v>5373.1469999999999</c:v>
                </c:pt>
                <c:pt idx="153">
                  <c:v>5373.1469999999999</c:v>
                </c:pt>
                <c:pt idx="154">
                  <c:v>5373.1469999999999</c:v>
                </c:pt>
                <c:pt idx="155">
                  <c:v>5319.15</c:v>
                </c:pt>
                <c:pt idx="156">
                  <c:v>5318.5829999999996</c:v>
                </c:pt>
                <c:pt idx="157">
                  <c:v>5352.3789999999999</c:v>
                </c:pt>
                <c:pt idx="158">
                  <c:v>5344.51</c:v>
                </c:pt>
                <c:pt idx="159">
                  <c:v>5361.7569999999996</c:v>
                </c:pt>
                <c:pt idx="160">
                  <c:v>5361.7569999999996</c:v>
                </c:pt>
                <c:pt idx="161">
                  <c:v>5361.7569999999996</c:v>
                </c:pt>
                <c:pt idx="162">
                  <c:v>5298.6610000000001</c:v>
                </c:pt>
                <c:pt idx="163">
                  <c:v>5347.8389999999999</c:v>
                </c:pt>
                <c:pt idx="164">
                  <c:v>5322.982</c:v>
                </c:pt>
                <c:pt idx="165">
                  <c:v>5335.1779999999999</c:v>
                </c:pt>
                <c:pt idx="166">
                  <c:v>5283.2849999999999</c:v>
                </c:pt>
                <c:pt idx="167">
                  <c:v>5283.2849999999999</c:v>
                </c:pt>
                <c:pt idx="168">
                  <c:v>5283.2849999999999</c:v>
                </c:pt>
                <c:pt idx="169">
                  <c:v>5272.9639999999999</c:v>
                </c:pt>
                <c:pt idx="170">
                  <c:v>5187.5190000000002</c:v>
                </c:pt>
                <c:pt idx="171">
                  <c:v>5168.0889999999999</c:v>
                </c:pt>
                <c:pt idx="172">
                  <c:v>5081.2179999999998</c:v>
                </c:pt>
                <c:pt idx="173">
                  <c:v>5081.8230000000003</c:v>
                </c:pt>
                <c:pt idx="174">
                  <c:v>5081.8230000000003</c:v>
                </c:pt>
                <c:pt idx="175">
                  <c:v>5081.8230000000003</c:v>
                </c:pt>
                <c:pt idx="176">
                  <c:v>5057.6949999999997</c:v>
                </c:pt>
                <c:pt idx="177">
                  <c:v>4941.6059999999998</c:v>
                </c:pt>
                <c:pt idx="178">
                  <c:v>4980.7340000000004</c:v>
                </c:pt>
                <c:pt idx="179">
                  <c:v>4929.7939999999999</c:v>
                </c:pt>
                <c:pt idx="180">
                  <c:v>5081.5140000000001</c:v>
                </c:pt>
                <c:pt idx="181">
                  <c:v>5081.5140000000001</c:v>
                </c:pt>
                <c:pt idx="182">
                  <c:v>5081.5140000000001</c:v>
                </c:pt>
                <c:pt idx="183">
                  <c:v>5178.9040000000005</c:v>
                </c:pt>
                <c:pt idx="184">
                  <c:v>5253.7790000000005</c:v>
                </c:pt>
                <c:pt idx="185">
                  <c:v>5171.3609999999999</c:v>
                </c:pt>
                <c:pt idx="186">
                  <c:v>5197.49</c:v>
                </c:pt>
                <c:pt idx="187">
                  <c:v>5193.7550000000001</c:v>
                </c:pt>
                <c:pt idx="188">
                  <c:v>5193.7550000000001</c:v>
                </c:pt>
                <c:pt idx="189">
                  <c:v>5193.7550000000001</c:v>
                </c:pt>
                <c:pt idx="190">
                  <c:v>5136.5630000000001</c:v>
                </c:pt>
                <c:pt idx="191">
                  <c:v>5160.6909999999998</c:v>
                </c:pt>
                <c:pt idx="192">
                  <c:v>5286.1880000000001</c:v>
                </c:pt>
                <c:pt idx="193">
                  <c:v>5293.5559999999996</c:v>
                </c:pt>
                <c:pt idx="194">
                  <c:v>5236.3090000000002</c:v>
                </c:pt>
                <c:pt idx="195">
                  <c:v>5236.3090000000002</c:v>
                </c:pt>
                <c:pt idx="196">
                  <c:v>5236.3090000000002</c:v>
                </c:pt>
                <c:pt idx="197">
                  <c:v>5271.7420000000002</c:v>
                </c:pt>
                <c:pt idx="198">
                  <c:v>5314.3059999999996</c:v>
                </c:pt>
                <c:pt idx="199">
                  <c:v>5393.2969999999996</c:v>
                </c:pt>
                <c:pt idx="200">
                  <c:v>5357.4620000000004</c:v>
                </c:pt>
                <c:pt idx="201">
                  <c:v>5341.3810000000003</c:v>
                </c:pt>
                <c:pt idx="202">
                  <c:v>5341.3810000000003</c:v>
                </c:pt>
                <c:pt idx="203">
                  <c:v>5341.3810000000003</c:v>
                </c:pt>
                <c:pt idx="204">
                  <c:v>5310.7340000000004</c:v>
                </c:pt>
                <c:pt idx="205">
                  <c:v>5355.0730000000003</c:v>
                </c:pt>
                <c:pt idx="206">
                  <c:v>5302.0370000000003</c:v>
                </c:pt>
                <c:pt idx="207">
                  <c:v>5299.1559999999999</c:v>
                </c:pt>
                <c:pt idx="208">
                  <c:v>5293.4870000000001</c:v>
                </c:pt>
                <c:pt idx="209">
                  <c:v>5293.4870000000001</c:v>
                </c:pt>
                <c:pt idx="210">
                  <c:v>5293.4870000000001</c:v>
                </c:pt>
                <c:pt idx="211">
                  <c:v>5265.143</c:v>
                </c:pt>
                <c:pt idx="212">
                  <c:v>5265.143</c:v>
                </c:pt>
                <c:pt idx="213">
                  <c:v>5238.2079999999996</c:v>
                </c:pt>
                <c:pt idx="214">
                  <c:v>5206.3620000000001</c:v>
                </c:pt>
                <c:pt idx="215">
                  <c:v>5192.9369999999999</c:v>
                </c:pt>
                <c:pt idx="216">
                  <c:v>5192.9369999999999</c:v>
                </c:pt>
                <c:pt idx="217">
                  <c:v>5192.9369999999999</c:v>
                </c:pt>
                <c:pt idx="218">
                  <c:v>5213.6639999999998</c:v>
                </c:pt>
                <c:pt idx="219">
                  <c:v>5206.8630000000003</c:v>
                </c:pt>
                <c:pt idx="220">
                  <c:v>5198.7470000000003</c:v>
                </c:pt>
                <c:pt idx="221">
                  <c:v>5177.6459999999997</c:v>
                </c:pt>
                <c:pt idx="222">
                  <c:v>5193.7619999999997</c:v>
                </c:pt>
                <c:pt idx="223">
                  <c:v>5193.7619999999997</c:v>
                </c:pt>
                <c:pt idx="224">
                  <c:v>5193.7619999999997</c:v>
                </c:pt>
                <c:pt idx="225">
                  <c:v>5201.8180000000002</c:v>
                </c:pt>
                <c:pt idx="226">
                  <c:v>5215.3770000000004</c:v>
                </c:pt>
                <c:pt idx="227">
                  <c:v>5215.3770000000004</c:v>
                </c:pt>
                <c:pt idx="228">
                  <c:v>5201.6409999999996</c:v>
                </c:pt>
                <c:pt idx="229">
                  <c:v>5162.1809999999996</c:v>
                </c:pt>
                <c:pt idx="230">
                  <c:v>5162.1809999999996</c:v>
                </c:pt>
                <c:pt idx="231">
                  <c:v>5162.1809999999996</c:v>
                </c:pt>
                <c:pt idx="232">
                  <c:v>5165.1040000000003</c:v>
                </c:pt>
                <c:pt idx="233">
                  <c:v>5155.3959999999997</c:v>
                </c:pt>
                <c:pt idx="234">
                  <c:v>5110.7939999999999</c:v>
                </c:pt>
                <c:pt idx="235">
                  <c:v>5097.3220000000001</c:v>
                </c:pt>
                <c:pt idx="236">
                  <c:v>5082.1629999999996</c:v>
                </c:pt>
                <c:pt idx="237">
                  <c:v>5082.1629999999996</c:v>
                </c:pt>
                <c:pt idx="238">
                  <c:v>5082.1629999999996</c:v>
                </c:pt>
                <c:pt idx="239">
                  <c:v>5089.3950000000004</c:v>
                </c:pt>
                <c:pt idx="240">
                  <c:v>5091.067</c:v>
                </c:pt>
                <c:pt idx="241">
                  <c:v>5030.1019999999999</c:v>
                </c:pt>
                <c:pt idx="242">
                  <c:v>5023.7039999999997</c:v>
                </c:pt>
                <c:pt idx="243">
                  <c:v>5019.4979999999996</c:v>
                </c:pt>
                <c:pt idx="244">
                  <c:v>5019.4979999999996</c:v>
                </c:pt>
                <c:pt idx="245">
                  <c:v>5019.4979999999996</c:v>
                </c:pt>
                <c:pt idx="246">
                  <c:v>4983.6390000000001</c:v>
                </c:pt>
                <c:pt idx="247">
                  <c:v>5014.1819999999998</c:v>
                </c:pt>
                <c:pt idx="248">
                  <c:v>5051.6390000000001</c:v>
                </c:pt>
                <c:pt idx="249">
                  <c:v>5051.8329999999996</c:v>
                </c:pt>
                <c:pt idx="250">
                  <c:v>5051.8329999999996</c:v>
                </c:pt>
                <c:pt idx="251">
                  <c:v>5051.8329999999996</c:v>
                </c:pt>
                <c:pt idx="252">
                  <c:v>5051.8329999999996</c:v>
                </c:pt>
                <c:pt idx="253">
                  <c:v>5016.8090000000002</c:v>
                </c:pt>
                <c:pt idx="254">
                  <c:v>5055.1580000000004</c:v>
                </c:pt>
                <c:pt idx="255">
                  <c:v>5070.0320000000002</c:v>
                </c:pt>
                <c:pt idx="256">
                  <c:v>5059.09</c:v>
                </c:pt>
                <c:pt idx="257">
                  <c:v>5053.4459999999999</c:v>
                </c:pt>
                <c:pt idx="258">
                  <c:v>5053.4459999999999</c:v>
                </c:pt>
                <c:pt idx="259">
                  <c:v>5053.4459999999999</c:v>
                </c:pt>
                <c:pt idx="260">
                  <c:v>5047.1710000000003</c:v>
                </c:pt>
                <c:pt idx="261">
                  <c:v>5058.3440000000001</c:v>
                </c:pt>
                <c:pt idx="262">
                  <c:v>4998.1869999999999</c:v>
                </c:pt>
                <c:pt idx="263">
                  <c:v>4973.393</c:v>
                </c:pt>
                <c:pt idx="264">
                  <c:v>4974.9769999999999</c:v>
                </c:pt>
                <c:pt idx="265">
                  <c:v>4974.9769999999999</c:v>
                </c:pt>
                <c:pt idx="266">
                  <c:v>4974.9769999999999</c:v>
                </c:pt>
                <c:pt idx="267">
                  <c:v>4967.82</c:v>
                </c:pt>
                <c:pt idx="268">
                  <c:v>4942.777</c:v>
                </c:pt>
                <c:pt idx="269">
                  <c:v>4943.7240000000002</c:v>
                </c:pt>
                <c:pt idx="270">
                  <c:v>4938.8249999999998</c:v>
                </c:pt>
                <c:pt idx="271">
                  <c:v>4887.1670000000004</c:v>
                </c:pt>
                <c:pt idx="272">
                  <c:v>4887.1670000000004</c:v>
                </c:pt>
                <c:pt idx="273">
                  <c:v>4887.1670000000004</c:v>
                </c:pt>
                <c:pt idx="274">
                  <c:v>4827.7719999999999</c:v>
                </c:pt>
                <c:pt idx="275">
                  <c:v>4782.1170000000002</c:v>
                </c:pt>
                <c:pt idx="276">
                  <c:v>4797.6819999999998</c:v>
                </c:pt>
                <c:pt idx="277">
                  <c:v>4875.6949999999997</c:v>
                </c:pt>
                <c:pt idx="278">
                  <c:v>4859.5820000000003</c:v>
                </c:pt>
                <c:pt idx="279">
                  <c:v>4859.5820000000003</c:v>
                </c:pt>
                <c:pt idx="280">
                  <c:v>4859.5820000000003</c:v>
                </c:pt>
                <c:pt idx="281">
                  <c:v>4809.7219999999998</c:v>
                </c:pt>
                <c:pt idx="282">
                  <c:v>4830.8959999999997</c:v>
                </c:pt>
                <c:pt idx="283">
                  <c:v>4830.0360000000001</c:v>
                </c:pt>
                <c:pt idx="284">
                  <c:v>4770.6019999999999</c:v>
                </c:pt>
                <c:pt idx="285">
                  <c:v>4729.076</c:v>
                </c:pt>
                <c:pt idx="286">
                  <c:v>4729.076</c:v>
                </c:pt>
                <c:pt idx="287">
                  <c:v>4729.076</c:v>
                </c:pt>
                <c:pt idx="288">
                  <c:v>4771.973</c:v>
                </c:pt>
                <c:pt idx="289">
                  <c:v>4782.7780000000002</c:v>
                </c:pt>
                <c:pt idx="290">
                  <c:v>4811.7719999999999</c:v>
                </c:pt>
                <c:pt idx="291">
                  <c:v>4821.6790000000001</c:v>
                </c:pt>
                <c:pt idx="292">
                  <c:v>4882.9089999999997</c:v>
                </c:pt>
                <c:pt idx="293">
                  <c:v>4882.9089999999997</c:v>
                </c:pt>
                <c:pt idx="294">
                  <c:v>4882.9089999999997</c:v>
                </c:pt>
                <c:pt idx="295">
                  <c:v>4956.4679999999998</c:v>
                </c:pt>
                <c:pt idx="296">
                  <c:v>4919.5879999999997</c:v>
                </c:pt>
                <c:pt idx="297">
                  <c:v>4966.4970000000003</c:v>
                </c:pt>
                <c:pt idx="298">
                  <c:v>4959.76</c:v>
                </c:pt>
                <c:pt idx="299">
                  <c:v>4960.8149999999996</c:v>
                </c:pt>
                <c:pt idx="300">
                  <c:v>4960.8149999999996</c:v>
                </c:pt>
                <c:pt idx="301">
                  <c:v>4960.8149999999996</c:v>
                </c:pt>
                <c:pt idx="302">
                  <c:v>4905.741</c:v>
                </c:pt>
                <c:pt idx="303">
                  <c:v>4966.8450000000003</c:v>
                </c:pt>
                <c:pt idx="304">
                  <c:v>4960.607</c:v>
                </c:pt>
                <c:pt idx="305">
                  <c:v>4997.3620000000001</c:v>
                </c:pt>
                <c:pt idx="306">
                  <c:v>5008.1750000000002</c:v>
                </c:pt>
                <c:pt idx="307">
                  <c:v>5008.1750000000002</c:v>
                </c:pt>
                <c:pt idx="308">
                  <c:v>5008.1750000000002</c:v>
                </c:pt>
                <c:pt idx="309">
                  <c:v>5008.1750000000002</c:v>
                </c:pt>
                <c:pt idx="310">
                  <c:v>5003.1459999999997</c:v>
                </c:pt>
                <c:pt idx="311">
                  <c:v>4962.1840000000002</c:v>
                </c:pt>
                <c:pt idx="312">
                  <c:v>4975.2759999999998</c:v>
                </c:pt>
                <c:pt idx="313">
                  <c:v>4989.1440000000002</c:v>
                </c:pt>
                <c:pt idx="314">
                  <c:v>4989.1440000000002</c:v>
                </c:pt>
                <c:pt idx="315">
                  <c:v>4989.1440000000002</c:v>
                </c:pt>
                <c:pt idx="316">
                  <c:v>4996.9809999999998</c:v>
                </c:pt>
                <c:pt idx="317">
                  <c:v>4979.5259999999998</c:v>
                </c:pt>
                <c:pt idx="318">
                  <c:v>4934.0569999999998</c:v>
                </c:pt>
                <c:pt idx="319">
                  <c:v>4906.9049999999997</c:v>
                </c:pt>
                <c:pt idx="320">
                  <c:v>4876.3469999999998</c:v>
                </c:pt>
                <c:pt idx="321">
                  <c:v>4876.3469999999998</c:v>
                </c:pt>
                <c:pt idx="322">
                  <c:v>4876.3469999999998</c:v>
                </c:pt>
                <c:pt idx="323">
                  <c:v>4908.9250000000002</c:v>
                </c:pt>
                <c:pt idx="324">
                  <c:v>4925.4009999999998</c:v>
                </c:pt>
                <c:pt idx="325">
                  <c:v>4934.2039999999997</c:v>
                </c:pt>
                <c:pt idx="326">
                  <c:v>4879.6790000000001</c:v>
                </c:pt>
                <c:pt idx="327">
                  <c:v>4886.0360000000001</c:v>
                </c:pt>
                <c:pt idx="328">
                  <c:v>4886.0360000000001</c:v>
                </c:pt>
                <c:pt idx="329">
                  <c:v>4886.0360000000001</c:v>
                </c:pt>
                <c:pt idx="330">
                  <c:v>4919.0069999999996</c:v>
                </c:pt>
                <c:pt idx="331">
                  <c:v>4868.1440000000002</c:v>
                </c:pt>
                <c:pt idx="332">
                  <c:v>4841.4219999999996</c:v>
                </c:pt>
                <c:pt idx="333">
                  <c:v>4893.491</c:v>
                </c:pt>
                <c:pt idx="334">
                  <c:v>4898.4769999999999</c:v>
                </c:pt>
                <c:pt idx="335">
                  <c:v>4898.4769999999999</c:v>
                </c:pt>
                <c:pt idx="336">
                  <c:v>4898.4769999999999</c:v>
                </c:pt>
                <c:pt idx="337">
                  <c:v>4859.2299999999996</c:v>
                </c:pt>
                <c:pt idx="338">
                  <c:v>4833.7290000000003</c:v>
                </c:pt>
                <c:pt idx="339">
                  <c:v>4842.2380000000003</c:v>
                </c:pt>
                <c:pt idx="340">
                  <c:v>4833.3609999999999</c:v>
                </c:pt>
                <c:pt idx="341">
                  <c:v>4849.5420000000004</c:v>
                </c:pt>
                <c:pt idx="342">
                  <c:v>4849.5420000000004</c:v>
                </c:pt>
                <c:pt idx="343">
                  <c:v>4849.5420000000004</c:v>
                </c:pt>
                <c:pt idx="344">
                  <c:v>4849.0219999999999</c:v>
                </c:pt>
                <c:pt idx="345">
                  <c:v>4747.7250000000004</c:v>
                </c:pt>
                <c:pt idx="346">
                  <c:v>4744.277</c:v>
                </c:pt>
                <c:pt idx="347">
                  <c:v>4775.0990000000002</c:v>
                </c:pt>
                <c:pt idx="348">
                  <c:v>4775.0990000000002</c:v>
                </c:pt>
                <c:pt idx="349">
                  <c:v>4775.0990000000002</c:v>
                </c:pt>
                <c:pt idx="350">
                  <c:v>4775.0990000000002</c:v>
                </c:pt>
                <c:pt idx="351">
                  <c:v>4799.8540000000003</c:v>
                </c:pt>
                <c:pt idx="352">
                  <c:v>4771.835</c:v>
                </c:pt>
                <c:pt idx="353">
                  <c:v>4723.732</c:v>
                </c:pt>
                <c:pt idx="354">
                  <c:v>4790.0860000000002</c:v>
                </c:pt>
                <c:pt idx="355">
                  <c:v>4794.4669999999996</c:v>
                </c:pt>
                <c:pt idx="356">
                  <c:v>4794.4669999999996</c:v>
                </c:pt>
                <c:pt idx="357">
                  <c:v>4794.4669999999996</c:v>
                </c:pt>
                <c:pt idx="358">
                  <c:v>4766.0659999999998</c:v>
                </c:pt>
                <c:pt idx="359">
                  <c:v>4761.2969999999996</c:v>
                </c:pt>
                <c:pt idx="360">
                  <c:v>4722.2910000000002</c:v>
                </c:pt>
                <c:pt idx="361">
                  <c:v>4710.0720000000001</c:v>
                </c:pt>
                <c:pt idx="362">
                  <c:v>4726.2860000000001</c:v>
                </c:pt>
                <c:pt idx="363">
                  <c:v>4726.2860000000001</c:v>
                </c:pt>
                <c:pt idx="364">
                  <c:v>4726.2860000000001</c:v>
                </c:pt>
                <c:pt idx="365">
                  <c:v>4676.8469999999998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FBC-4228-834C-76FE6FD7E750}"/>
            </c:ext>
          </c:extLst>
        </c:ser>
        <c:ser>
          <c:idx val="1"/>
          <c:order val="1"/>
          <c:tx>
            <c:strRef>
              <c:f>'daily monitor'!$AK$99</c:f>
              <c:strCache>
                <c:ptCount val="1"/>
                <c:pt idx="0">
                  <c:v>중국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'daily monitor'!$AI$101:$AI$467</c:f>
              <c:numCache>
                <c:formatCode>yyyy/mm/dd</c:formatCode>
                <c:ptCount val="367"/>
                <c:pt idx="0">
                  <c:v>45688</c:v>
                </c:pt>
                <c:pt idx="1">
                  <c:v>45687</c:v>
                </c:pt>
                <c:pt idx="2">
                  <c:v>45686</c:v>
                </c:pt>
                <c:pt idx="3">
                  <c:v>45685</c:v>
                </c:pt>
                <c:pt idx="4">
                  <c:v>45684</c:v>
                </c:pt>
                <c:pt idx="5">
                  <c:v>45683</c:v>
                </c:pt>
                <c:pt idx="6">
                  <c:v>45682</c:v>
                </c:pt>
                <c:pt idx="7">
                  <c:v>45681</c:v>
                </c:pt>
                <c:pt idx="8">
                  <c:v>45680</c:v>
                </c:pt>
                <c:pt idx="9">
                  <c:v>45679</c:v>
                </c:pt>
                <c:pt idx="10">
                  <c:v>45678</c:v>
                </c:pt>
                <c:pt idx="11">
                  <c:v>45677</c:v>
                </c:pt>
                <c:pt idx="12">
                  <c:v>45676</c:v>
                </c:pt>
                <c:pt idx="13">
                  <c:v>45675</c:v>
                </c:pt>
                <c:pt idx="14">
                  <c:v>45674</c:v>
                </c:pt>
                <c:pt idx="15">
                  <c:v>45673</c:v>
                </c:pt>
                <c:pt idx="16">
                  <c:v>45672</c:v>
                </c:pt>
                <c:pt idx="17">
                  <c:v>45671</c:v>
                </c:pt>
                <c:pt idx="18">
                  <c:v>45670</c:v>
                </c:pt>
                <c:pt idx="19">
                  <c:v>45669</c:v>
                </c:pt>
                <c:pt idx="20">
                  <c:v>45668</c:v>
                </c:pt>
                <c:pt idx="21">
                  <c:v>45667</c:v>
                </c:pt>
                <c:pt idx="22">
                  <c:v>45666</c:v>
                </c:pt>
                <c:pt idx="23">
                  <c:v>45665</c:v>
                </c:pt>
                <c:pt idx="24">
                  <c:v>45664</c:v>
                </c:pt>
                <c:pt idx="25">
                  <c:v>45663</c:v>
                </c:pt>
                <c:pt idx="26">
                  <c:v>45662</c:v>
                </c:pt>
                <c:pt idx="27">
                  <c:v>45661</c:v>
                </c:pt>
                <c:pt idx="28">
                  <c:v>45660</c:v>
                </c:pt>
                <c:pt idx="29">
                  <c:v>45659</c:v>
                </c:pt>
                <c:pt idx="30">
                  <c:v>45658</c:v>
                </c:pt>
                <c:pt idx="31">
                  <c:v>45657</c:v>
                </c:pt>
                <c:pt idx="32">
                  <c:v>45656</c:v>
                </c:pt>
                <c:pt idx="33">
                  <c:v>45655</c:v>
                </c:pt>
                <c:pt idx="34">
                  <c:v>45654</c:v>
                </c:pt>
                <c:pt idx="35">
                  <c:v>45653</c:v>
                </c:pt>
                <c:pt idx="36">
                  <c:v>45652</c:v>
                </c:pt>
                <c:pt idx="37">
                  <c:v>45651</c:v>
                </c:pt>
                <c:pt idx="38">
                  <c:v>45650</c:v>
                </c:pt>
                <c:pt idx="39">
                  <c:v>45649</c:v>
                </c:pt>
                <c:pt idx="40">
                  <c:v>45648</c:v>
                </c:pt>
                <c:pt idx="41">
                  <c:v>45647</c:v>
                </c:pt>
                <c:pt idx="42">
                  <c:v>45646</c:v>
                </c:pt>
                <c:pt idx="43">
                  <c:v>45645</c:v>
                </c:pt>
                <c:pt idx="44">
                  <c:v>45644</c:v>
                </c:pt>
                <c:pt idx="45">
                  <c:v>45643</c:v>
                </c:pt>
                <c:pt idx="46">
                  <c:v>45642</c:v>
                </c:pt>
                <c:pt idx="47">
                  <c:v>45641</c:v>
                </c:pt>
                <c:pt idx="48">
                  <c:v>45640</c:v>
                </c:pt>
                <c:pt idx="49">
                  <c:v>45639</c:v>
                </c:pt>
                <c:pt idx="50">
                  <c:v>45638</c:v>
                </c:pt>
                <c:pt idx="51">
                  <c:v>45637</c:v>
                </c:pt>
                <c:pt idx="52">
                  <c:v>45636</c:v>
                </c:pt>
                <c:pt idx="53">
                  <c:v>45635</c:v>
                </c:pt>
                <c:pt idx="54">
                  <c:v>45634</c:v>
                </c:pt>
                <c:pt idx="55">
                  <c:v>45633</c:v>
                </c:pt>
                <c:pt idx="56">
                  <c:v>45632</c:v>
                </c:pt>
                <c:pt idx="57">
                  <c:v>45631</c:v>
                </c:pt>
                <c:pt idx="58">
                  <c:v>45630</c:v>
                </c:pt>
                <c:pt idx="59">
                  <c:v>45629</c:v>
                </c:pt>
                <c:pt idx="60">
                  <c:v>45628</c:v>
                </c:pt>
                <c:pt idx="61">
                  <c:v>45627</c:v>
                </c:pt>
                <c:pt idx="62">
                  <c:v>45626</c:v>
                </c:pt>
                <c:pt idx="63">
                  <c:v>45625</c:v>
                </c:pt>
                <c:pt idx="64">
                  <c:v>45624</c:v>
                </c:pt>
                <c:pt idx="65">
                  <c:v>45623</c:v>
                </c:pt>
                <c:pt idx="66">
                  <c:v>45622</c:v>
                </c:pt>
                <c:pt idx="67">
                  <c:v>45621</c:v>
                </c:pt>
                <c:pt idx="68">
                  <c:v>45620</c:v>
                </c:pt>
                <c:pt idx="69">
                  <c:v>45619</c:v>
                </c:pt>
                <c:pt idx="70">
                  <c:v>45618</c:v>
                </c:pt>
                <c:pt idx="71">
                  <c:v>45617</c:v>
                </c:pt>
                <c:pt idx="72">
                  <c:v>45616</c:v>
                </c:pt>
                <c:pt idx="73">
                  <c:v>45615</c:v>
                </c:pt>
                <c:pt idx="74">
                  <c:v>45614</c:v>
                </c:pt>
                <c:pt idx="75">
                  <c:v>45613</c:v>
                </c:pt>
                <c:pt idx="76">
                  <c:v>45612</c:v>
                </c:pt>
                <c:pt idx="77">
                  <c:v>45611</c:v>
                </c:pt>
                <c:pt idx="78">
                  <c:v>45610</c:v>
                </c:pt>
                <c:pt idx="79">
                  <c:v>45609</c:v>
                </c:pt>
                <c:pt idx="80">
                  <c:v>45608</c:v>
                </c:pt>
                <c:pt idx="81">
                  <c:v>45607</c:v>
                </c:pt>
                <c:pt idx="82">
                  <c:v>45606</c:v>
                </c:pt>
                <c:pt idx="83">
                  <c:v>45605</c:v>
                </c:pt>
                <c:pt idx="84">
                  <c:v>45604</c:v>
                </c:pt>
                <c:pt idx="85">
                  <c:v>45603</c:v>
                </c:pt>
                <c:pt idx="86">
                  <c:v>45602</c:v>
                </c:pt>
                <c:pt idx="87">
                  <c:v>45601</c:v>
                </c:pt>
                <c:pt idx="88">
                  <c:v>45600</c:v>
                </c:pt>
                <c:pt idx="89">
                  <c:v>45599</c:v>
                </c:pt>
                <c:pt idx="90">
                  <c:v>45598</c:v>
                </c:pt>
                <c:pt idx="91">
                  <c:v>45597</c:v>
                </c:pt>
                <c:pt idx="92">
                  <c:v>45596</c:v>
                </c:pt>
                <c:pt idx="93">
                  <c:v>45595</c:v>
                </c:pt>
                <c:pt idx="94">
                  <c:v>45594</c:v>
                </c:pt>
                <c:pt idx="95">
                  <c:v>45593</c:v>
                </c:pt>
                <c:pt idx="96">
                  <c:v>45592</c:v>
                </c:pt>
                <c:pt idx="97">
                  <c:v>45591</c:v>
                </c:pt>
                <c:pt idx="98">
                  <c:v>45590</c:v>
                </c:pt>
                <c:pt idx="99">
                  <c:v>45589</c:v>
                </c:pt>
                <c:pt idx="100">
                  <c:v>45588</c:v>
                </c:pt>
                <c:pt idx="101">
                  <c:v>45587</c:v>
                </c:pt>
                <c:pt idx="102">
                  <c:v>45586</c:v>
                </c:pt>
                <c:pt idx="103">
                  <c:v>45585</c:v>
                </c:pt>
                <c:pt idx="104">
                  <c:v>45584</c:v>
                </c:pt>
                <c:pt idx="105">
                  <c:v>45583</c:v>
                </c:pt>
                <c:pt idx="106">
                  <c:v>45582</c:v>
                </c:pt>
                <c:pt idx="107">
                  <c:v>45581</c:v>
                </c:pt>
                <c:pt idx="108">
                  <c:v>45580</c:v>
                </c:pt>
                <c:pt idx="109">
                  <c:v>45579</c:v>
                </c:pt>
                <c:pt idx="110">
                  <c:v>45578</c:v>
                </c:pt>
                <c:pt idx="111">
                  <c:v>45577</c:v>
                </c:pt>
                <c:pt idx="112">
                  <c:v>45576</c:v>
                </c:pt>
                <c:pt idx="113">
                  <c:v>45575</c:v>
                </c:pt>
                <c:pt idx="114">
                  <c:v>45574</c:v>
                </c:pt>
                <c:pt idx="115">
                  <c:v>45573</c:v>
                </c:pt>
                <c:pt idx="116">
                  <c:v>45572</c:v>
                </c:pt>
                <c:pt idx="117">
                  <c:v>45571</c:v>
                </c:pt>
                <c:pt idx="118">
                  <c:v>45570</c:v>
                </c:pt>
                <c:pt idx="119">
                  <c:v>45569</c:v>
                </c:pt>
                <c:pt idx="120">
                  <c:v>45568</c:v>
                </c:pt>
                <c:pt idx="121">
                  <c:v>45567</c:v>
                </c:pt>
                <c:pt idx="122">
                  <c:v>45566</c:v>
                </c:pt>
                <c:pt idx="123">
                  <c:v>45565</c:v>
                </c:pt>
                <c:pt idx="124">
                  <c:v>45564</c:v>
                </c:pt>
                <c:pt idx="125">
                  <c:v>45563</c:v>
                </c:pt>
                <c:pt idx="126">
                  <c:v>45562</c:v>
                </c:pt>
                <c:pt idx="127">
                  <c:v>45561</c:v>
                </c:pt>
                <c:pt idx="128">
                  <c:v>45560</c:v>
                </c:pt>
                <c:pt idx="129">
                  <c:v>45559</c:v>
                </c:pt>
                <c:pt idx="130">
                  <c:v>45558</c:v>
                </c:pt>
                <c:pt idx="131">
                  <c:v>45557</c:v>
                </c:pt>
                <c:pt idx="132">
                  <c:v>45556</c:v>
                </c:pt>
                <c:pt idx="133">
                  <c:v>45555</c:v>
                </c:pt>
                <c:pt idx="134">
                  <c:v>45554</c:v>
                </c:pt>
                <c:pt idx="135">
                  <c:v>45553</c:v>
                </c:pt>
                <c:pt idx="136">
                  <c:v>45552</c:v>
                </c:pt>
                <c:pt idx="137">
                  <c:v>45551</c:v>
                </c:pt>
                <c:pt idx="138">
                  <c:v>45550</c:v>
                </c:pt>
                <c:pt idx="139">
                  <c:v>45549</c:v>
                </c:pt>
                <c:pt idx="140">
                  <c:v>45548</c:v>
                </c:pt>
                <c:pt idx="141">
                  <c:v>45547</c:v>
                </c:pt>
                <c:pt idx="142">
                  <c:v>45546</c:v>
                </c:pt>
                <c:pt idx="143">
                  <c:v>45545</c:v>
                </c:pt>
                <c:pt idx="144">
                  <c:v>45544</c:v>
                </c:pt>
                <c:pt idx="145">
                  <c:v>45543</c:v>
                </c:pt>
                <c:pt idx="146">
                  <c:v>45542</c:v>
                </c:pt>
                <c:pt idx="147">
                  <c:v>45541</c:v>
                </c:pt>
                <c:pt idx="148">
                  <c:v>45540</c:v>
                </c:pt>
                <c:pt idx="149">
                  <c:v>45539</c:v>
                </c:pt>
                <c:pt idx="150">
                  <c:v>45538</c:v>
                </c:pt>
                <c:pt idx="151">
                  <c:v>45537</c:v>
                </c:pt>
                <c:pt idx="152">
                  <c:v>45536</c:v>
                </c:pt>
                <c:pt idx="153">
                  <c:v>45535</c:v>
                </c:pt>
                <c:pt idx="154">
                  <c:v>45534</c:v>
                </c:pt>
                <c:pt idx="155">
                  <c:v>45533</c:v>
                </c:pt>
                <c:pt idx="156">
                  <c:v>45532</c:v>
                </c:pt>
                <c:pt idx="157">
                  <c:v>45531</c:v>
                </c:pt>
                <c:pt idx="158">
                  <c:v>45530</c:v>
                </c:pt>
                <c:pt idx="159">
                  <c:v>45529</c:v>
                </c:pt>
                <c:pt idx="160">
                  <c:v>45528</c:v>
                </c:pt>
                <c:pt idx="161">
                  <c:v>45527</c:v>
                </c:pt>
                <c:pt idx="162">
                  <c:v>45526</c:v>
                </c:pt>
                <c:pt idx="163">
                  <c:v>45525</c:v>
                </c:pt>
                <c:pt idx="164">
                  <c:v>45524</c:v>
                </c:pt>
                <c:pt idx="165">
                  <c:v>45523</c:v>
                </c:pt>
                <c:pt idx="166">
                  <c:v>45522</c:v>
                </c:pt>
                <c:pt idx="167">
                  <c:v>45521</c:v>
                </c:pt>
                <c:pt idx="168">
                  <c:v>45520</c:v>
                </c:pt>
                <c:pt idx="169">
                  <c:v>45519</c:v>
                </c:pt>
                <c:pt idx="170">
                  <c:v>45518</c:v>
                </c:pt>
                <c:pt idx="171">
                  <c:v>45517</c:v>
                </c:pt>
                <c:pt idx="172">
                  <c:v>45516</c:v>
                </c:pt>
                <c:pt idx="173">
                  <c:v>45515</c:v>
                </c:pt>
                <c:pt idx="174">
                  <c:v>45514</c:v>
                </c:pt>
                <c:pt idx="175">
                  <c:v>45513</c:v>
                </c:pt>
                <c:pt idx="176">
                  <c:v>45512</c:v>
                </c:pt>
                <c:pt idx="177">
                  <c:v>45511</c:v>
                </c:pt>
                <c:pt idx="178">
                  <c:v>45510</c:v>
                </c:pt>
                <c:pt idx="179">
                  <c:v>45509</c:v>
                </c:pt>
                <c:pt idx="180">
                  <c:v>45508</c:v>
                </c:pt>
                <c:pt idx="181">
                  <c:v>45507</c:v>
                </c:pt>
                <c:pt idx="182">
                  <c:v>45506</c:v>
                </c:pt>
                <c:pt idx="183">
                  <c:v>45505</c:v>
                </c:pt>
                <c:pt idx="184">
                  <c:v>45504</c:v>
                </c:pt>
                <c:pt idx="185">
                  <c:v>45503</c:v>
                </c:pt>
                <c:pt idx="186">
                  <c:v>45502</c:v>
                </c:pt>
                <c:pt idx="187">
                  <c:v>45501</c:v>
                </c:pt>
                <c:pt idx="188">
                  <c:v>45500</c:v>
                </c:pt>
                <c:pt idx="189">
                  <c:v>45499</c:v>
                </c:pt>
                <c:pt idx="190">
                  <c:v>45498</c:v>
                </c:pt>
                <c:pt idx="191">
                  <c:v>45497</c:v>
                </c:pt>
                <c:pt idx="192">
                  <c:v>45496</c:v>
                </c:pt>
                <c:pt idx="193">
                  <c:v>45495</c:v>
                </c:pt>
                <c:pt idx="194">
                  <c:v>45494</c:v>
                </c:pt>
                <c:pt idx="195">
                  <c:v>45493</c:v>
                </c:pt>
                <c:pt idx="196">
                  <c:v>45492</c:v>
                </c:pt>
                <c:pt idx="197">
                  <c:v>45491</c:v>
                </c:pt>
                <c:pt idx="198">
                  <c:v>45490</c:v>
                </c:pt>
                <c:pt idx="199">
                  <c:v>45489</c:v>
                </c:pt>
                <c:pt idx="200">
                  <c:v>45488</c:v>
                </c:pt>
                <c:pt idx="201">
                  <c:v>45487</c:v>
                </c:pt>
                <c:pt idx="202">
                  <c:v>45486</c:v>
                </c:pt>
                <c:pt idx="203">
                  <c:v>45485</c:v>
                </c:pt>
                <c:pt idx="204">
                  <c:v>45484</c:v>
                </c:pt>
                <c:pt idx="205">
                  <c:v>45483</c:v>
                </c:pt>
                <c:pt idx="206">
                  <c:v>45482</c:v>
                </c:pt>
                <c:pt idx="207">
                  <c:v>45481</c:v>
                </c:pt>
                <c:pt idx="208">
                  <c:v>45480</c:v>
                </c:pt>
                <c:pt idx="209">
                  <c:v>45479</c:v>
                </c:pt>
                <c:pt idx="210">
                  <c:v>45478</c:v>
                </c:pt>
                <c:pt idx="211">
                  <c:v>45477</c:v>
                </c:pt>
                <c:pt idx="212">
                  <c:v>45476</c:v>
                </c:pt>
                <c:pt idx="213">
                  <c:v>45475</c:v>
                </c:pt>
                <c:pt idx="214">
                  <c:v>45474</c:v>
                </c:pt>
                <c:pt idx="215">
                  <c:v>45473</c:v>
                </c:pt>
                <c:pt idx="216">
                  <c:v>45472</c:v>
                </c:pt>
                <c:pt idx="217">
                  <c:v>45471</c:v>
                </c:pt>
                <c:pt idx="218">
                  <c:v>45470</c:v>
                </c:pt>
                <c:pt idx="219">
                  <c:v>45469</c:v>
                </c:pt>
                <c:pt idx="220">
                  <c:v>45468</c:v>
                </c:pt>
                <c:pt idx="221">
                  <c:v>45467</c:v>
                </c:pt>
                <c:pt idx="222">
                  <c:v>45466</c:v>
                </c:pt>
                <c:pt idx="223">
                  <c:v>45465</c:v>
                </c:pt>
                <c:pt idx="224">
                  <c:v>45464</c:v>
                </c:pt>
                <c:pt idx="225">
                  <c:v>45463</c:v>
                </c:pt>
                <c:pt idx="226">
                  <c:v>45462</c:v>
                </c:pt>
                <c:pt idx="227">
                  <c:v>45461</c:v>
                </c:pt>
                <c:pt idx="228">
                  <c:v>45460</c:v>
                </c:pt>
                <c:pt idx="229">
                  <c:v>45459</c:v>
                </c:pt>
                <c:pt idx="230">
                  <c:v>45458</c:v>
                </c:pt>
                <c:pt idx="231">
                  <c:v>45457</c:v>
                </c:pt>
                <c:pt idx="232">
                  <c:v>45456</c:v>
                </c:pt>
                <c:pt idx="233">
                  <c:v>45455</c:v>
                </c:pt>
                <c:pt idx="234">
                  <c:v>45454</c:v>
                </c:pt>
                <c:pt idx="235">
                  <c:v>45453</c:v>
                </c:pt>
                <c:pt idx="236">
                  <c:v>45452</c:v>
                </c:pt>
                <c:pt idx="237">
                  <c:v>45451</c:v>
                </c:pt>
                <c:pt idx="238">
                  <c:v>45450</c:v>
                </c:pt>
                <c:pt idx="239">
                  <c:v>45449</c:v>
                </c:pt>
                <c:pt idx="240">
                  <c:v>45448</c:v>
                </c:pt>
                <c:pt idx="241">
                  <c:v>45447</c:v>
                </c:pt>
                <c:pt idx="242">
                  <c:v>45446</c:v>
                </c:pt>
                <c:pt idx="243">
                  <c:v>45445</c:v>
                </c:pt>
                <c:pt idx="244">
                  <c:v>45444</c:v>
                </c:pt>
                <c:pt idx="245">
                  <c:v>45443</c:v>
                </c:pt>
                <c:pt idx="246">
                  <c:v>45442</c:v>
                </c:pt>
                <c:pt idx="247">
                  <c:v>45441</c:v>
                </c:pt>
                <c:pt idx="248">
                  <c:v>45440</c:v>
                </c:pt>
                <c:pt idx="249">
                  <c:v>45439</c:v>
                </c:pt>
                <c:pt idx="250">
                  <c:v>45438</c:v>
                </c:pt>
                <c:pt idx="251">
                  <c:v>45437</c:v>
                </c:pt>
                <c:pt idx="252">
                  <c:v>45436</c:v>
                </c:pt>
                <c:pt idx="253">
                  <c:v>45435</c:v>
                </c:pt>
                <c:pt idx="254">
                  <c:v>45434</c:v>
                </c:pt>
                <c:pt idx="255">
                  <c:v>45433</c:v>
                </c:pt>
                <c:pt idx="256">
                  <c:v>45432</c:v>
                </c:pt>
                <c:pt idx="257">
                  <c:v>45431</c:v>
                </c:pt>
                <c:pt idx="258">
                  <c:v>45430</c:v>
                </c:pt>
                <c:pt idx="259">
                  <c:v>45429</c:v>
                </c:pt>
                <c:pt idx="260">
                  <c:v>45428</c:v>
                </c:pt>
                <c:pt idx="261">
                  <c:v>45427</c:v>
                </c:pt>
                <c:pt idx="262">
                  <c:v>45426</c:v>
                </c:pt>
                <c:pt idx="263">
                  <c:v>45425</c:v>
                </c:pt>
                <c:pt idx="264">
                  <c:v>45424</c:v>
                </c:pt>
                <c:pt idx="265">
                  <c:v>45423</c:v>
                </c:pt>
                <c:pt idx="266">
                  <c:v>45422</c:v>
                </c:pt>
                <c:pt idx="267">
                  <c:v>45421</c:v>
                </c:pt>
                <c:pt idx="268">
                  <c:v>45420</c:v>
                </c:pt>
                <c:pt idx="269">
                  <c:v>45419</c:v>
                </c:pt>
                <c:pt idx="270">
                  <c:v>45418</c:v>
                </c:pt>
                <c:pt idx="271">
                  <c:v>45417</c:v>
                </c:pt>
                <c:pt idx="272">
                  <c:v>45416</c:v>
                </c:pt>
                <c:pt idx="273">
                  <c:v>45415</c:v>
                </c:pt>
                <c:pt idx="274">
                  <c:v>45414</c:v>
                </c:pt>
                <c:pt idx="275">
                  <c:v>45413</c:v>
                </c:pt>
                <c:pt idx="276">
                  <c:v>45412</c:v>
                </c:pt>
                <c:pt idx="277">
                  <c:v>45411</c:v>
                </c:pt>
                <c:pt idx="278">
                  <c:v>45410</c:v>
                </c:pt>
                <c:pt idx="279">
                  <c:v>45409</c:v>
                </c:pt>
                <c:pt idx="280">
                  <c:v>45408</c:v>
                </c:pt>
                <c:pt idx="281">
                  <c:v>45407</c:v>
                </c:pt>
                <c:pt idx="282">
                  <c:v>45406</c:v>
                </c:pt>
                <c:pt idx="283">
                  <c:v>45405</c:v>
                </c:pt>
                <c:pt idx="284">
                  <c:v>45404</c:v>
                </c:pt>
                <c:pt idx="285">
                  <c:v>45403</c:v>
                </c:pt>
                <c:pt idx="286">
                  <c:v>45402</c:v>
                </c:pt>
                <c:pt idx="287">
                  <c:v>45401</c:v>
                </c:pt>
                <c:pt idx="288">
                  <c:v>45400</c:v>
                </c:pt>
                <c:pt idx="289">
                  <c:v>45399</c:v>
                </c:pt>
                <c:pt idx="290">
                  <c:v>45398</c:v>
                </c:pt>
                <c:pt idx="291">
                  <c:v>45397</c:v>
                </c:pt>
                <c:pt idx="292">
                  <c:v>45396</c:v>
                </c:pt>
                <c:pt idx="293">
                  <c:v>45395</c:v>
                </c:pt>
                <c:pt idx="294">
                  <c:v>45394</c:v>
                </c:pt>
                <c:pt idx="295">
                  <c:v>45393</c:v>
                </c:pt>
                <c:pt idx="296">
                  <c:v>45392</c:v>
                </c:pt>
                <c:pt idx="297">
                  <c:v>45391</c:v>
                </c:pt>
                <c:pt idx="298">
                  <c:v>45390</c:v>
                </c:pt>
                <c:pt idx="299">
                  <c:v>45389</c:v>
                </c:pt>
                <c:pt idx="300">
                  <c:v>45388</c:v>
                </c:pt>
                <c:pt idx="301">
                  <c:v>45387</c:v>
                </c:pt>
                <c:pt idx="302">
                  <c:v>45386</c:v>
                </c:pt>
                <c:pt idx="303">
                  <c:v>45385</c:v>
                </c:pt>
                <c:pt idx="304">
                  <c:v>45384</c:v>
                </c:pt>
                <c:pt idx="305">
                  <c:v>45383</c:v>
                </c:pt>
                <c:pt idx="306">
                  <c:v>45382</c:v>
                </c:pt>
                <c:pt idx="307">
                  <c:v>45381</c:v>
                </c:pt>
                <c:pt idx="308">
                  <c:v>45380</c:v>
                </c:pt>
                <c:pt idx="309">
                  <c:v>45379</c:v>
                </c:pt>
                <c:pt idx="310">
                  <c:v>45378</c:v>
                </c:pt>
                <c:pt idx="311">
                  <c:v>45377</c:v>
                </c:pt>
                <c:pt idx="312">
                  <c:v>45376</c:v>
                </c:pt>
                <c:pt idx="313">
                  <c:v>45375</c:v>
                </c:pt>
                <c:pt idx="314">
                  <c:v>45374</c:v>
                </c:pt>
                <c:pt idx="315">
                  <c:v>45373</c:v>
                </c:pt>
                <c:pt idx="316">
                  <c:v>45372</c:v>
                </c:pt>
                <c:pt idx="317">
                  <c:v>45371</c:v>
                </c:pt>
                <c:pt idx="318">
                  <c:v>45370</c:v>
                </c:pt>
                <c:pt idx="319">
                  <c:v>45369</c:v>
                </c:pt>
                <c:pt idx="320">
                  <c:v>45368</c:v>
                </c:pt>
                <c:pt idx="321">
                  <c:v>45367</c:v>
                </c:pt>
                <c:pt idx="322">
                  <c:v>45366</c:v>
                </c:pt>
                <c:pt idx="323">
                  <c:v>45365</c:v>
                </c:pt>
                <c:pt idx="324">
                  <c:v>45364</c:v>
                </c:pt>
                <c:pt idx="325">
                  <c:v>45363</c:v>
                </c:pt>
                <c:pt idx="326">
                  <c:v>45362</c:v>
                </c:pt>
                <c:pt idx="327">
                  <c:v>45361</c:v>
                </c:pt>
                <c:pt idx="328">
                  <c:v>45360</c:v>
                </c:pt>
                <c:pt idx="329">
                  <c:v>45359</c:v>
                </c:pt>
                <c:pt idx="330">
                  <c:v>45358</c:v>
                </c:pt>
                <c:pt idx="331">
                  <c:v>45357</c:v>
                </c:pt>
                <c:pt idx="332">
                  <c:v>45356</c:v>
                </c:pt>
                <c:pt idx="333">
                  <c:v>45355</c:v>
                </c:pt>
                <c:pt idx="334">
                  <c:v>45354</c:v>
                </c:pt>
                <c:pt idx="335">
                  <c:v>45353</c:v>
                </c:pt>
                <c:pt idx="336">
                  <c:v>45352</c:v>
                </c:pt>
                <c:pt idx="337">
                  <c:v>45351</c:v>
                </c:pt>
                <c:pt idx="338">
                  <c:v>45350</c:v>
                </c:pt>
                <c:pt idx="339">
                  <c:v>45349</c:v>
                </c:pt>
                <c:pt idx="340">
                  <c:v>45348</c:v>
                </c:pt>
                <c:pt idx="341">
                  <c:v>45347</c:v>
                </c:pt>
                <c:pt idx="342">
                  <c:v>45346</c:v>
                </c:pt>
                <c:pt idx="343">
                  <c:v>45345</c:v>
                </c:pt>
                <c:pt idx="344">
                  <c:v>45344</c:v>
                </c:pt>
                <c:pt idx="345">
                  <c:v>45343</c:v>
                </c:pt>
                <c:pt idx="346">
                  <c:v>45342</c:v>
                </c:pt>
                <c:pt idx="347">
                  <c:v>45341</c:v>
                </c:pt>
                <c:pt idx="348">
                  <c:v>45340</c:v>
                </c:pt>
                <c:pt idx="349">
                  <c:v>45339</c:v>
                </c:pt>
                <c:pt idx="350">
                  <c:v>45338</c:v>
                </c:pt>
                <c:pt idx="351">
                  <c:v>45337</c:v>
                </c:pt>
                <c:pt idx="352">
                  <c:v>45336</c:v>
                </c:pt>
                <c:pt idx="353">
                  <c:v>45335</c:v>
                </c:pt>
                <c:pt idx="354">
                  <c:v>45334</c:v>
                </c:pt>
                <c:pt idx="355">
                  <c:v>45333</c:v>
                </c:pt>
                <c:pt idx="356">
                  <c:v>45332</c:v>
                </c:pt>
                <c:pt idx="357">
                  <c:v>45331</c:v>
                </c:pt>
                <c:pt idx="358">
                  <c:v>45330</c:v>
                </c:pt>
                <c:pt idx="359">
                  <c:v>45329</c:v>
                </c:pt>
                <c:pt idx="360">
                  <c:v>45328</c:v>
                </c:pt>
                <c:pt idx="361">
                  <c:v>45327</c:v>
                </c:pt>
                <c:pt idx="362">
                  <c:v>45326</c:v>
                </c:pt>
                <c:pt idx="363">
                  <c:v>45325</c:v>
                </c:pt>
                <c:pt idx="364">
                  <c:v>45324</c:v>
                </c:pt>
                <c:pt idx="365">
                  <c:v>45323</c:v>
                </c:pt>
              </c:numCache>
            </c:numRef>
          </c:cat>
          <c:val>
            <c:numRef>
              <c:f>'daily monitor'!$AK$101:$AK$467</c:f>
              <c:numCache>
                <c:formatCode>General</c:formatCode>
                <c:ptCount val="367"/>
                <c:pt idx="0">
                  <c:v>64.897000000000006</c:v>
                </c:pt>
                <c:pt idx="1">
                  <c:v>65.076999999999998</c:v>
                </c:pt>
                <c:pt idx="2">
                  <c:v>64.924999999999997</c:v>
                </c:pt>
                <c:pt idx="3">
                  <c:v>64.933999999999997</c:v>
                </c:pt>
                <c:pt idx="4">
                  <c:v>64.754999999999995</c:v>
                </c:pt>
                <c:pt idx="5">
                  <c:v>64.198999999999998</c:v>
                </c:pt>
                <c:pt idx="6">
                  <c:v>64.198999999999998</c:v>
                </c:pt>
                <c:pt idx="7">
                  <c:v>64.198999999999998</c:v>
                </c:pt>
                <c:pt idx="8">
                  <c:v>62.795000000000002</c:v>
                </c:pt>
                <c:pt idx="9">
                  <c:v>62.823</c:v>
                </c:pt>
                <c:pt idx="10">
                  <c:v>63.941000000000003</c:v>
                </c:pt>
                <c:pt idx="11">
                  <c:v>63.56</c:v>
                </c:pt>
                <c:pt idx="12">
                  <c:v>62.338000000000001</c:v>
                </c:pt>
                <c:pt idx="13">
                  <c:v>62.338000000000001</c:v>
                </c:pt>
                <c:pt idx="14">
                  <c:v>62.338000000000001</c:v>
                </c:pt>
                <c:pt idx="15">
                  <c:v>62.04</c:v>
                </c:pt>
                <c:pt idx="16">
                  <c:v>61.530999999999999</c:v>
                </c:pt>
                <c:pt idx="17">
                  <c:v>61.36</c:v>
                </c:pt>
                <c:pt idx="18">
                  <c:v>59.95</c:v>
                </c:pt>
                <c:pt idx="19">
                  <c:v>60.356999999999999</c:v>
                </c:pt>
                <c:pt idx="20">
                  <c:v>60.356999999999999</c:v>
                </c:pt>
                <c:pt idx="21">
                  <c:v>60.356999999999999</c:v>
                </c:pt>
                <c:pt idx="22">
                  <c:v>61.295000000000002</c:v>
                </c:pt>
                <c:pt idx="23">
                  <c:v>61.319000000000003</c:v>
                </c:pt>
                <c:pt idx="24">
                  <c:v>61.933999999999997</c:v>
                </c:pt>
                <c:pt idx="25">
                  <c:v>62.895000000000003</c:v>
                </c:pt>
                <c:pt idx="26">
                  <c:v>63.119</c:v>
                </c:pt>
                <c:pt idx="27">
                  <c:v>63.119</c:v>
                </c:pt>
                <c:pt idx="28">
                  <c:v>63.119</c:v>
                </c:pt>
                <c:pt idx="29">
                  <c:v>62.993000000000002</c:v>
                </c:pt>
                <c:pt idx="30">
                  <c:v>64.489999999999995</c:v>
                </c:pt>
                <c:pt idx="31">
                  <c:v>64.489999999999995</c:v>
                </c:pt>
                <c:pt idx="32">
                  <c:v>64.646000000000001</c:v>
                </c:pt>
                <c:pt idx="33">
                  <c:v>64.924000000000007</c:v>
                </c:pt>
                <c:pt idx="34">
                  <c:v>64.924000000000007</c:v>
                </c:pt>
                <c:pt idx="35">
                  <c:v>64.924000000000007</c:v>
                </c:pt>
                <c:pt idx="36">
                  <c:v>65.054000000000002</c:v>
                </c:pt>
                <c:pt idx="37">
                  <c:v>65.08</c:v>
                </c:pt>
                <c:pt idx="38">
                  <c:v>65.081999999999994</c:v>
                </c:pt>
                <c:pt idx="39">
                  <c:v>64.414000000000001</c:v>
                </c:pt>
                <c:pt idx="40">
                  <c:v>64.158000000000001</c:v>
                </c:pt>
                <c:pt idx="41">
                  <c:v>64.158000000000001</c:v>
                </c:pt>
                <c:pt idx="42">
                  <c:v>64.158000000000001</c:v>
                </c:pt>
                <c:pt idx="43">
                  <c:v>64.268000000000001</c:v>
                </c:pt>
                <c:pt idx="44">
                  <c:v>64.430000000000007</c:v>
                </c:pt>
                <c:pt idx="45">
                  <c:v>63.908000000000001</c:v>
                </c:pt>
                <c:pt idx="46">
                  <c:v>64.081999999999994</c:v>
                </c:pt>
                <c:pt idx="47">
                  <c:v>64.772000000000006</c:v>
                </c:pt>
                <c:pt idx="48">
                  <c:v>64.772000000000006</c:v>
                </c:pt>
                <c:pt idx="49">
                  <c:v>64.772000000000006</c:v>
                </c:pt>
                <c:pt idx="50">
                  <c:v>66.244</c:v>
                </c:pt>
                <c:pt idx="51">
                  <c:v>65.36</c:v>
                </c:pt>
                <c:pt idx="52">
                  <c:v>65.786000000000001</c:v>
                </c:pt>
                <c:pt idx="53">
                  <c:v>66.528000000000006</c:v>
                </c:pt>
                <c:pt idx="54">
                  <c:v>64.486999999999995</c:v>
                </c:pt>
                <c:pt idx="55">
                  <c:v>64.486999999999995</c:v>
                </c:pt>
                <c:pt idx="56">
                  <c:v>64.486999999999995</c:v>
                </c:pt>
                <c:pt idx="57">
                  <c:v>63.405999999999999</c:v>
                </c:pt>
                <c:pt idx="58">
                  <c:v>63.811999999999998</c:v>
                </c:pt>
                <c:pt idx="59">
                  <c:v>63.889000000000003</c:v>
                </c:pt>
                <c:pt idx="60">
                  <c:v>63.41</c:v>
                </c:pt>
                <c:pt idx="61">
                  <c:v>62.828000000000003</c:v>
                </c:pt>
                <c:pt idx="62">
                  <c:v>62.828000000000003</c:v>
                </c:pt>
                <c:pt idx="63">
                  <c:v>62.828000000000003</c:v>
                </c:pt>
                <c:pt idx="64">
                  <c:v>62.628999999999998</c:v>
                </c:pt>
                <c:pt idx="65">
                  <c:v>63.445999999999998</c:v>
                </c:pt>
                <c:pt idx="66">
                  <c:v>62.017000000000003</c:v>
                </c:pt>
                <c:pt idx="67">
                  <c:v>62.162999999999997</c:v>
                </c:pt>
                <c:pt idx="68">
                  <c:v>62.404000000000003</c:v>
                </c:pt>
                <c:pt idx="69">
                  <c:v>62.404000000000003</c:v>
                </c:pt>
                <c:pt idx="70">
                  <c:v>62.404000000000003</c:v>
                </c:pt>
                <c:pt idx="71">
                  <c:v>63.988999999999997</c:v>
                </c:pt>
                <c:pt idx="72">
                  <c:v>64.563000000000002</c:v>
                </c:pt>
                <c:pt idx="73">
                  <c:v>64.353999999999999</c:v>
                </c:pt>
                <c:pt idx="74">
                  <c:v>64.067999999999998</c:v>
                </c:pt>
                <c:pt idx="75">
                  <c:v>63.569000000000003</c:v>
                </c:pt>
                <c:pt idx="76">
                  <c:v>63.569000000000003</c:v>
                </c:pt>
                <c:pt idx="77">
                  <c:v>63.569000000000003</c:v>
                </c:pt>
                <c:pt idx="78">
                  <c:v>63.76</c:v>
                </c:pt>
                <c:pt idx="79">
                  <c:v>65.058999999999997</c:v>
                </c:pt>
                <c:pt idx="80">
                  <c:v>65.11</c:v>
                </c:pt>
                <c:pt idx="81">
                  <c:v>66.957999999999998</c:v>
                </c:pt>
                <c:pt idx="82">
                  <c:v>67.694000000000003</c:v>
                </c:pt>
                <c:pt idx="83">
                  <c:v>67.694000000000003</c:v>
                </c:pt>
                <c:pt idx="84">
                  <c:v>67.694000000000003</c:v>
                </c:pt>
                <c:pt idx="85">
                  <c:v>68.852000000000004</c:v>
                </c:pt>
                <c:pt idx="86">
                  <c:v>67.096999999999994</c:v>
                </c:pt>
                <c:pt idx="87">
                  <c:v>68.628</c:v>
                </c:pt>
                <c:pt idx="88">
                  <c:v>67.046999999999997</c:v>
                </c:pt>
                <c:pt idx="89">
                  <c:v>66.474000000000004</c:v>
                </c:pt>
                <c:pt idx="90">
                  <c:v>66.474000000000004</c:v>
                </c:pt>
                <c:pt idx="91">
                  <c:v>66.474000000000004</c:v>
                </c:pt>
                <c:pt idx="92">
                  <c:v>65.783000000000001</c:v>
                </c:pt>
                <c:pt idx="93">
                  <c:v>66.182000000000002</c:v>
                </c:pt>
                <c:pt idx="94">
                  <c:v>67.343999999999994</c:v>
                </c:pt>
                <c:pt idx="95">
                  <c:v>67.272000000000006</c:v>
                </c:pt>
                <c:pt idx="96">
                  <c:v>67.078999999999994</c:v>
                </c:pt>
                <c:pt idx="97">
                  <c:v>67.078999999999994</c:v>
                </c:pt>
                <c:pt idx="98">
                  <c:v>67.078999999999994</c:v>
                </c:pt>
                <c:pt idx="99">
                  <c:v>66.757000000000005</c:v>
                </c:pt>
                <c:pt idx="100">
                  <c:v>67.83</c:v>
                </c:pt>
                <c:pt idx="101">
                  <c:v>67.126000000000005</c:v>
                </c:pt>
                <c:pt idx="102">
                  <c:v>66.8</c:v>
                </c:pt>
                <c:pt idx="103">
                  <c:v>67.844999999999999</c:v>
                </c:pt>
                <c:pt idx="104">
                  <c:v>67.844999999999999</c:v>
                </c:pt>
                <c:pt idx="105">
                  <c:v>67.844999999999999</c:v>
                </c:pt>
                <c:pt idx="106">
                  <c:v>65.234999999999999</c:v>
                </c:pt>
                <c:pt idx="107">
                  <c:v>66.185000000000002</c:v>
                </c:pt>
                <c:pt idx="108">
                  <c:v>66.349000000000004</c:v>
                </c:pt>
                <c:pt idx="109">
                  <c:v>69.331999999999994</c:v>
                </c:pt>
                <c:pt idx="110">
                  <c:v>69.802000000000007</c:v>
                </c:pt>
                <c:pt idx="111">
                  <c:v>69.802000000000007</c:v>
                </c:pt>
                <c:pt idx="112">
                  <c:v>69.802000000000007</c:v>
                </c:pt>
                <c:pt idx="113">
                  <c:v>69.983999999999995</c:v>
                </c:pt>
                <c:pt idx="114">
                  <c:v>68.197000000000003</c:v>
                </c:pt>
                <c:pt idx="115">
                  <c:v>70.045000000000002</c:v>
                </c:pt>
                <c:pt idx="116">
                  <c:v>76.064999999999998</c:v>
                </c:pt>
                <c:pt idx="117">
                  <c:v>75.058000000000007</c:v>
                </c:pt>
                <c:pt idx="118">
                  <c:v>75.058000000000007</c:v>
                </c:pt>
                <c:pt idx="119">
                  <c:v>75.058000000000007</c:v>
                </c:pt>
                <c:pt idx="120">
                  <c:v>73.171999999999997</c:v>
                </c:pt>
                <c:pt idx="121">
                  <c:v>74.338999999999999</c:v>
                </c:pt>
                <c:pt idx="122">
                  <c:v>70.225999999999999</c:v>
                </c:pt>
                <c:pt idx="123">
                  <c:v>69.965000000000003</c:v>
                </c:pt>
                <c:pt idx="124">
                  <c:v>67.299000000000007</c:v>
                </c:pt>
                <c:pt idx="125">
                  <c:v>67.299000000000007</c:v>
                </c:pt>
                <c:pt idx="126">
                  <c:v>67.299000000000007</c:v>
                </c:pt>
                <c:pt idx="127">
                  <c:v>64.777000000000001</c:v>
                </c:pt>
                <c:pt idx="128">
                  <c:v>60.945999999999998</c:v>
                </c:pt>
                <c:pt idx="129">
                  <c:v>60.566000000000003</c:v>
                </c:pt>
                <c:pt idx="130">
                  <c:v>57.555999999999997</c:v>
                </c:pt>
                <c:pt idx="131">
                  <c:v>57.438000000000002</c:v>
                </c:pt>
                <c:pt idx="132">
                  <c:v>57.438000000000002</c:v>
                </c:pt>
                <c:pt idx="133">
                  <c:v>57.438000000000002</c:v>
                </c:pt>
                <c:pt idx="134">
                  <c:v>56.895000000000003</c:v>
                </c:pt>
                <c:pt idx="135">
                  <c:v>55.688000000000002</c:v>
                </c:pt>
                <c:pt idx="136">
                  <c:v>55.637</c:v>
                </c:pt>
                <c:pt idx="137">
                  <c:v>55.176000000000002</c:v>
                </c:pt>
                <c:pt idx="138">
                  <c:v>54.936999999999998</c:v>
                </c:pt>
                <c:pt idx="139">
                  <c:v>54.936999999999998</c:v>
                </c:pt>
                <c:pt idx="140">
                  <c:v>54.936999999999998</c:v>
                </c:pt>
                <c:pt idx="141">
                  <c:v>54.679000000000002</c:v>
                </c:pt>
                <c:pt idx="142">
                  <c:v>54.406999999999996</c:v>
                </c:pt>
                <c:pt idx="143">
                  <c:v>54.512</c:v>
                </c:pt>
                <c:pt idx="144">
                  <c:v>54.405000000000001</c:v>
                </c:pt>
                <c:pt idx="145">
                  <c:v>55.210999999999999</c:v>
                </c:pt>
                <c:pt idx="146">
                  <c:v>55.210999999999999</c:v>
                </c:pt>
                <c:pt idx="147">
                  <c:v>55.210999999999999</c:v>
                </c:pt>
                <c:pt idx="148">
                  <c:v>55.274000000000001</c:v>
                </c:pt>
                <c:pt idx="149">
                  <c:v>55.31</c:v>
                </c:pt>
                <c:pt idx="150">
                  <c:v>55.798999999999999</c:v>
                </c:pt>
                <c:pt idx="151">
                  <c:v>55.851999999999997</c:v>
                </c:pt>
                <c:pt idx="152">
                  <c:v>56.610999999999997</c:v>
                </c:pt>
                <c:pt idx="153">
                  <c:v>56.610999999999997</c:v>
                </c:pt>
                <c:pt idx="154">
                  <c:v>56.610999999999997</c:v>
                </c:pt>
                <c:pt idx="155">
                  <c:v>55.848999999999997</c:v>
                </c:pt>
                <c:pt idx="156">
                  <c:v>55.494</c:v>
                </c:pt>
                <c:pt idx="157">
                  <c:v>56.335000000000001</c:v>
                </c:pt>
                <c:pt idx="158">
                  <c:v>56.500999999999998</c:v>
                </c:pt>
                <c:pt idx="159">
                  <c:v>56.765999999999998</c:v>
                </c:pt>
                <c:pt idx="160">
                  <c:v>56.765999999999998</c:v>
                </c:pt>
                <c:pt idx="161">
                  <c:v>56.765999999999998</c:v>
                </c:pt>
                <c:pt idx="162">
                  <c:v>57.072000000000003</c:v>
                </c:pt>
                <c:pt idx="163">
                  <c:v>56.533999999999999</c:v>
                </c:pt>
                <c:pt idx="164">
                  <c:v>56.779000000000003</c:v>
                </c:pt>
                <c:pt idx="165">
                  <c:v>57.284999999999997</c:v>
                </c:pt>
                <c:pt idx="166">
                  <c:v>56.728999999999999</c:v>
                </c:pt>
                <c:pt idx="167">
                  <c:v>56.728999999999999</c:v>
                </c:pt>
                <c:pt idx="168">
                  <c:v>56.728999999999999</c:v>
                </c:pt>
                <c:pt idx="169">
                  <c:v>55.841000000000001</c:v>
                </c:pt>
                <c:pt idx="170">
                  <c:v>55.831000000000003</c:v>
                </c:pt>
                <c:pt idx="171">
                  <c:v>56.331000000000003</c:v>
                </c:pt>
                <c:pt idx="172">
                  <c:v>56.122999999999998</c:v>
                </c:pt>
                <c:pt idx="173">
                  <c:v>55.79</c:v>
                </c:pt>
                <c:pt idx="174">
                  <c:v>55.79</c:v>
                </c:pt>
                <c:pt idx="175">
                  <c:v>55.79</c:v>
                </c:pt>
                <c:pt idx="176">
                  <c:v>55.35</c:v>
                </c:pt>
                <c:pt idx="177">
                  <c:v>55.142000000000003</c:v>
                </c:pt>
                <c:pt idx="178">
                  <c:v>54.506</c:v>
                </c:pt>
                <c:pt idx="179">
                  <c:v>54.45</c:v>
                </c:pt>
                <c:pt idx="180">
                  <c:v>54.878999999999998</c:v>
                </c:pt>
                <c:pt idx="181">
                  <c:v>54.878999999999998</c:v>
                </c:pt>
                <c:pt idx="182">
                  <c:v>54.878999999999998</c:v>
                </c:pt>
                <c:pt idx="183">
                  <c:v>55.718000000000004</c:v>
                </c:pt>
                <c:pt idx="184">
                  <c:v>56.091000000000001</c:v>
                </c:pt>
                <c:pt idx="185">
                  <c:v>54.75</c:v>
                </c:pt>
                <c:pt idx="186">
                  <c:v>55.491</c:v>
                </c:pt>
                <c:pt idx="187">
                  <c:v>55.210999999999999</c:v>
                </c:pt>
                <c:pt idx="188">
                  <c:v>55.210999999999999</c:v>
                </c:pt>
                <c:pt idx="189">
                  <c:v>55.210999999999999</c:v>
                </c:pt>
                <c:pt idx="190">
                  <c:v>55.052999999999997</c:v>
                </c:pt>
                <c:pt idx="191">
                  <c:v>56.031999999999996</c:v>
                </c:pt>
                <c:pt idx="192">
                  <c:v>56.44</c:v>
                </c:pt>
                <c:pt idx="193">
                  <c:v>57.281999999999996</c:v>
                </c:pt>
                <c:pt idx="194">
                  <c:v>56.515000000000001</c:v>
                </c:pt>
                <c:pt idx="195">
                  <c:v>56.515000000000001</c:v>
                </c:pt>
                <c:pt idx="196">
                  <c:v>56.515000000000001</c:v>
                </c:pt>
                <c:pt idx="197">
                  <c:v>57.423000000000002</c:v>
                </c:pt>
                <c:pt idx="198">
                  <c:v>57.445</c:v>
                </c:pt>
                <c:pt idx="199">
                  <c:v>57.656999999999996</c:v>
                </c:pt>
                <c:pt idx="200">
                  <c:v>58.463000000000001</c:v>
                </c:pt>
                <c:pt idx="201">
                  <c:v>59.405000000000001</c:v>
                </c:pt>
                <c:pt idx="202">
                  <c:v>59.405000000000001</c:v>
                </c:pt>
                <c:pt idx="203">
                  <c:v>59.405000000000001</c:v>
                </c:pt>
                <c:pt idx="204">
                  <c:v>58.218000000000004</c:v>
                </c:pt>
                <c:pt idx="205">
                  <c:v>57.186999999999998</c:v>
                </c:pt>
                <c:pt idx="206">
                  <c:v>57.347000000000001</c:v>
                </c:pt>
                <c:pt idx="207">
                  <c:v>57.057000000000002</c:v>
                </c:pt>
                <c:pt idx="208">
                  <c:v>57.795000000000002</c:v>
                </c:pt>
                <c:pt idx="209">
                  <c:v>57.795000000000002</c:v>
                </c:pt>
                <c:pt idx="210">
                  <c:v>57.795000000000002</c:v>
                </c:pt>
                <c:pt idx="211">
                  <c:v>58.374000000000002</c:v>
                </c:pt>
                <c:pt idx="212">
                  <c:v>58.206000000000003</c:v>
                </c:pt>
                <c:pt idx="213">
                  <c:v>57.43</c:v>
                </c:pt>
                <c:pt idx="214">
                  <c:v>57.445</c:v>
                </c:pt>
                <c:pt idx="215">
                  <c:v>57.386000000000003</c:v>
                </c:pt>
                <c:pt idx="216">
                  <c:v>57.386000000000003</c:v>
                </c:pt>
                <c:pt idx="217">
                  <c:v>57.386000000000003</c:v>
                </c:pt>
                <c:pt idx="218">
                  <c:v>57.465000000000003</c:v>
                </c:pt>
                <c:pt idx="219">
                  <c:v>58.741</c:v>
                </c:pt>
                <c:pt idx="220">
                  <c:v>58.637</c:v>
                </c:pt>
                <c:pt idx="221">
                  <c:v>58.555999999999997</c:v>
                </c:pt>
                <c:pt idx="222">
                  <c:v>58.651000000000003</c:v>
                </c:pt>
                <c:pt idx="223">
                  <c:v>58.651000000000003</c:v>
                </c:pt>
                <c:pt idx="224">
                  <c:v>58.651000000000003</c:v>
                </c:pt>
                <c:pt idx="225">
                  <c:v>59.518000000000001</c:v>
                </c:pt>
                <c:pt idx="226">
                  <c:v>59.972000000000001</c:v>
                </c:pt>
                <c:pt idx="227">
                  <c:v>58.701999999999998</c:v>
                </c:pt>
                <c:pt idx="228">
                  <c:v>58.929000000000002</c:v>
                </c:pt>
                <c:pt idx="229">
                  <c:v>59.026000000000003</c:v>
                </c:pt>
                <c:pt idx="230">
                  <c:v>59.026000000000003</c:v>
                </c:pt>
                <c:pt idx="231">
                  <c:v>59.026000000000003</c:v>
                </c:pt>
                <c:pt idx="232">
                  <c:v>59.298000000000002</c:v>
                </c:pt>
                <c:pt idx="233">
                  <c:v>58.793999999999997</c:v>
                </c:pt>
                <c:pt idx="234">
                  <c:v>59.258000000000003</c:v>
                </c:pt>
                <c:pt idx="235">
                  <c:v>59.915999999999997</c:v>
                </c:pt>
                <c:pt idx="236">
                  <c:v>59.851999999999997</c:v>
                </c:pt>
                <c:pt idx="237">
                  <c:v>59.851999999999997</c:v>
                </c:pt>
                <c:pt idx="238">
                  <c:v>59.851999999999997</c:v>
                </c:pt>
                <c:pt idx="239">
                  <c:v>60.274999999999999</c:v>
                </c:pt>
                <c:pt idx="240">
                  <c:v>60.151000000000003</c:v>
                </c:pt>
                <c:pt idx="241">
                  <c:v>60.238</c:v>
                </c:pt>
                <c:pt idx="242">
                  <c:v>59.948</c:v>
                </c:pt>
                <c:pt idx="243">
                  <c:v>58.94</c:v>
                </c:pt>
                <c:pt idx="244">
                  <c:v>58.94</c:v>
                </c:pt>
                <c:pt idx="245">
                  <c:v>58.94</c:v>
                </c:pt>
                <c:pt idx="246">
                  <c:v>59.81</c:v>
                </c:pt>
                <c:pt idx="247">
                  <c:v>60.316000000000003</c:v>
                </c:pt>
                <c:pt idx="248">
                  <c:v>61.3</c:v>
                </c:pt>
                <c:pt idx="249">
                  <c:v>61.448999999999998</c:v>
                </c:pt>
                <c:pt idx="250">
                  <c:v>60.83</c:v>
                </c:pt>
                <c:pt idx="251">
                  <c:v>60.83</c:v>
                </c:pt>
                <c:pt idx="252">
                  <c:v>60.83</c:v>
                </c:pt>
                <c:pt idx="253">
                  <c:v>61.601999999999997</c:v>
                </c:pt>
                <c:pt idx="254">
                  <c:v>62.732999999999997</c:v>
                </c:pt>
                <c:pt idx="255">
                  <c:v>62.838000000000001</c:v>
                </c:pt>
                <c:pt idx="256">
                  <c:v>64.122</c:v>
                </c:pt>
                <c:pt idx="257">
                  <c:v>63.935000000000002</c:v>
                </c:pt>
                <c:pt idx="258">
                  <c:v>63.935000000000002</c:v>
                </c:pt>
                <c:pt idx="259">
                  <c:v>63.935000000000002</c:v>
                </c:pt>
                <c:pt idx="260">
                  <c:v>63.222000000000001</c:v>
                </c:pt>
                <c:pt idx="261">
                  <c:v>62.226999999999997</c:v>
                </c:pt>
                <c:pt idx="262">
                  <c:v>62.234999999999999</c:v>
                </c:pt>
                <c:pt idx="263">
                  <c:v>62.158999999999999</c:v>
                </c:pt>
                <c:pt idx="264">
                  <c:v>61.414000000000001</c:v>
                </c:pt>
                <c:pt idx="265">
                  <c:v>61.414000000000001</c:v>
                </c:pt>
                <c:pt idx="266">
                  <c:v>61.414000000000001</c:v>
                </c:pt>
                <c:pt idx="267">
                  <c:v>60.564999999999998</c:v>
                </c:pt>
                <c:pt idx="268">
                  <c:v>59.613</c:v>
                </c:pt>
                <c:pt idx="269">
                  <c:v>60.232999999999997</c:v>
                </c:pt>
                <c:pt idx="270">
                  <c:v>60.725999999999999</c:v>
                </c:pt>
                <c:pt idx="271">
                  <c:v>60.261000000000003</c:v>
                </c:pt>
                <c:pt idx="272">
                  <c:v>60.261000000000003</c:v>
                </c:pt>
                <c:pt idx="273">
                  <c:v>60.261000000000003</c:v>
                </c:pt>
                <c:pt idx="274">
                  <c:v>59.264000000000003</c:v>
                </c:pt>
                <c:pt idx="275">
                  <c:v>57.744999999999997</c:v>
                </c:pt>
                <c:pt idx="276">
                  <c:v>57.744</c:v>
                </c:pt>
                <c:pt idx="277">
                  <c:v>58.024000000000001</c:v>
                </c:pt>
                <c:pt idx="278">
                  <c:v>57.856000000000002</c:v>
                </c:pt>
                <c:pt idx="279">
                  <c:v>57.856000000000002</c:v>
                </c:pt>
                <c:pt idx="280">
                  <c:v>57.856000000000002</c:v>
                </c:pt>
                <c:pt idx="281">
                  <c:v>56.499000000000002</c:v>
                </c:pt>
                <c:pt idx="282">
                  <c:v>56.470999999999997</c:v>
                </c:pt>
                <c:pt idx="283">
                  <c:v>55.295000000000002</c:v>
                </c:pt>
                <c:pt idx="284">
                  <c:v>54.414000000000001</c:v>
                </c:pt>
                <c:pt idx="285">
                  <c:v>53.45</c:v>
                </c:pt>
                <c:pt idx="286">
                  <c:v>53.45</c:v>
                </c:pt>
                <c:pt idx="287">
                  <c:v>53.45</c:v>
                </c:pt>
                <c:pt idx="288">
                  <c:v>53.942</c:v>
                </c:pt>
                <c:pt idx="289">
                  <c:v>53.545999999999999</c:v>
                </c:pt>
                <c:pt idx="290">
                  <c:v>53.338999999999999</c:v>
                </c:pt>
                <c:pt idx="291">
                  <c:v>54.319000000000003</c:v>
                </c:pt>
                <c:pt idx="292">
                  <c:v>54.475999999999999</c:v>
                </c:pt>
                <c:pt idx="293">
                  <c:v>54.475999999999999</c:v>
                </c:pt>
                <c:pt idx="294">
                  <c:v>54.475999999999999</c:v>
                </c:pt>
                <c:pt idx="295">
                  <c:v>55.572000000000003</c:v>
                </c:pt>
                <c:pt idx="296">
                  <c:v>55.622999999999998</c:v>
                </c:pt>
                <c:pt idx="297">
                  <c:v>54.878999999999998</c:v>
                </c:pt>
                <c:pt idx="298">
                  <c:v>54.545000000000002</c:v>
                </c:pt>
                <c:pt idx="299">
                  <c:v>54.57</c:v>
                </c:pt>
                <c:pt idx="300">
                  <c:v>54.57</c:v>
                </c:pt>
                <c:pt idx="301">
                  <c:v>54.57</c:v>
                </c:pt>
                <c:pt idx="302">
                  <c:v>54.787999999999997</c:v>
                </c:pt>
                <c:pt idx="303">
                  <c:v>54.841000000000001</c:v>
                </c:pt>
                <c:pt idx="304">
                  <c:v>55.258000000000003</c:v>
                </c:pt>
                <c:pt idx="305">
                  <c:v>54.494999999999997</c:v>
                </c:pt>
                <c:pt idx="306">
                  <c:v>54.222999999999999</c:v>
                </c:pt>
                <c:pt idx="307">
                  <c:v>54.222999999999999</c:v>
                </c:pt>
                <c:pt idx="308">
                  <c:v>54.222999999999999</c:v>
                </c:pt>
                <c:pt idx="309">
                  <c:v>54.167999999999999</c:v>
                </c:pt>
                <c:pt idx="310">
                  <c:v>53.676000000000002</c:v>
                </c:pt>
                <c:pt idx="311">
                  <c:v>54.337000000000003</c:v>
                </c:pt>
                <c:pt idx="312">
                  <c:v>53.904000000000003</c:v>
                </c:pt>
                <c:pt idx="313">
                  <c:v>54.064</c:v>
                </c:pt>
                <c:pt idx="314">
                  <c:v>54.064</c:v>
                </c:pt>
                <c:pt idx="315">
                  <c:v>54.064</c:v>
                </c:pt>
                <c:pt idx="316">
                  <c:v>55.183999999999997</c:v>
                </c:pt>
                <c:pt idx="317">
                  <c:v>54.787999999999997</c:v>
                </c:pt>
                <c:pt idx="318">
                  <c:v>54.447000000000003</c:v>
                </c:pt>
                <c:pt idx="319">
                  <c:v>55.212000000000003</c:v>
                </c:pt>
                <c:pt idx="320">
                  <c:v>54.764000000000003</c:v>
                </c:pt>
                <c:pt idx="321">
                  <c:v>54.764000000000003</c:v>
                </c:pt>
                <c:pt idx="322">
                  <c:v>54.764000000000003</c:v>
                </c:pt>
                <c:pt idx="323">
                  <c:v>55.332000000000001</c:v>
                </c:pt>
                <c:pt idx="324">
                  <c:v>55.579000000000001</c:v>
                </c:pt>
                <c:pt idx="325">
                  <c:v>55.604999999999997</c:v>
                </c:pt>
                <c:pt idx="326">
                  <c:v>54.052</c:v>
                </c:pt>
                <c:pt idx="327">
                  <c:v>53.072000000000003</c:v>
                </c:pt>
                <c:pt idx="328">
                  <c:v>53.072000000000003</c:v>
                </c:pt>
                <c:pt idx="329">
                  <c:v>53.072000000000003</c:v>
                </c:pt>
                <c:pt idx="330">
                  <c:v>52.853000000000002</c:v>
                </c:pt>
                <c:pt idx="331">
                  <c:v>53.372999999999998</c:v>
                </c:pt>
                <c:pt idx="332">
                  <c:v>52.658999999999999</c:v>
                </c:pt>
                <c:pt idx="333">
                  <c:v>53.8</c:v>
                </c:pt>
                <c:pt idx="334">
                  <c:v>54.05</c:v>
                </c:pt>
                <c:pt idx="335">
                  <c:v>54.05</c:v>
                </c:pt>
                <c:pt idx="336">
                  <c:v>54.05</c:v>
                </c:pt>
                <c:pt idx="337">
                  <c:v>53.734000000000002</c:v>
                </c:pt>
                <c:pt idx="338">
                  <c:v>53.567</c:v>
                </c:pt>
                <c:pt idx="339">
                  <c:v>54.57</c:v>
                </c:pt>
                <c:pt idx="340">
                  <c:v>54.01</c:v>
                </c:pt>
                <c:pt idx="341">
                  <c:v>54.427999999999997</c:v>
                </c:pt>
                <c:pt idx="342">
                  <c:v>54.427999999999997</c:v>
                </c:pt>
                <c:pt idx="343">
                  <c:v>54.427999999999997</c:v>
                </c:pt>
                <c:pt idx="344">
                  <c:v>54.396000000000001</c:v>
                </c:pt>
                <c:pt idx="345">
                  <c:v>53.542999999999999</c:v>
                </c:pt>
                <c:pt idx="346">
                  <c:v>52.673000000000002</c:v>
                </c:pt>
                <c:pt idx="347">
                  <c:v>52.472999999999999</c:v>
                </c:pt>
                <c:pt idx="348">
                  <c:v>52.973999999999997</c:v>
                </c:pt>
                <c:pt idx="349">
                  <c:v>52.973999999999997</c:v>
                </c:pt>
                <c:pt idx="350">
                  <c:v>52.973999999999997</c:v>
                </c:pt>
                <c:pt idx="351">
                  <c:v>51.832000000000001</c:v>
                </c:pt>
                <c:pt idx="352">
                  <c:v>51.664999999999999</c:v>
                </c:pt>
                <c:pt idx="353">
                  <c:v>51.073</c:v>
                </c:pt>
                <c:pt idx="354">
                  <c:v>51.201999999999998</c:v>
                </c:pt>
                <c:pt idx="355">
                  <c:v>51.061999999999998</c:v>
                </c:pt>
                <c:pt idx="356">
                  <c:v>51.061999999999998</c:v>
                </c:pt>
                <c:pt idx="357">
                  <c:v>51.061999999999998</c:v>
                </c:pt>
                <c:pt idx="358">
                  <c:v>51.399000000000001</c:v>
                </c:pt>
                <c:pt idx="359">
                  <c:v>51.917000000000002</c:v>
                </c:pt>
                <c:pt idx="360">
                  <c:v>51.954000000000001</c:v>
                </c:pt>
                <c:pt idx="361">
                  <c:v>49.539000000000001</c:v>
                </c:pt>
                <c:pt idx="362">
                  <c:v>49.640999999999998</c:v>
                </c:pt>
                <c:pt idx="363">
                  <c:v>49.640999999999998</c:v>
                </c:pt>
                <c:pt idx="364">
                  <c:v>49.640999999999998</c:v>
                </c:pt>
                <c:pt idx="365">
                  <c:v>49.912999999999997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FBC-4228-834C-76FE6FD7E750}"/>
            </c:ext>
          </c:extLst>
        </c:ser>
        <c:ser>
          <c:idx val="2"/>
          <c:order val="2"/>
          <c:tx>
            <c:strRef>
              <c:f>'daily monitor'!$AL$99</c:f>
              <c:strCache>
                <c:ptCount val="1"/>
                <c:pt idx="0">
                  <c:v>일본</c:v>
                </c:pt>
              </c:strCache>
            </c:strRef>
          </c:tx>
          <c:spPr>
            <a:ln w="190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'daily monitor'!$AI$101:$AI$467</c:f>
              <c:numCache>
                <c:formatCode>yyyy/mm/dd</c:formatCode>
                <c:ptCount val="367"/>
                <c:pt idx="0">
                  <c:v>45688</c:v>
                </c:pt>
                <c:pt idx="1">
                  <c:v>45687</c:v>
                </c:pt>
                <c:pt idx="2">
                  <c:v>45686</c:v>
                </c:pt>
                <c:pt idx="3">
                  <c:v>45685</c:v>
                </c:pt>
                <c:pt idx="4">
                  <c:v>45684</c:v>
                </c:pt>
                <c:pt idx="5">
                  <c:v>45683</c:v>
                </c:pt>
                <c:pt idx="6">
                  <c:v>45682</c:v>
                </c:pt>
                <c:pt idx="7">
                  <c:v>45681</c:v>
                </c:pt>
                <c:pt idx="8">
                  <c:v>45680</c:v>
                </c:pt>
                <c:pt idx="9">
                  <c:v>45679</c:v>
                </c:pt>
                <c:pt idx="10">
                  <c:v>45678</c:v>
                </c:pt>
                <c:pt idx="11">
                  <c:v>45677</c:v>
                </c:pt>
                <c:pt idx="12">
                  <c:v>45676</c:v>
                </c:pt>
                <c:pt idx="13">
                  <c:v>45675</c:v>
                </c:pt>
                <c:pt idx="14">
                  <c:v>45674</c:v>
                </c:pt>
                <c:pt idx="15">
                  <c:v>45673</c:v>
                </c:pt>
                <c:pt idx="16">
                  <c:v>45672</c:v>
                </c:pt>
                <c:pt idx="17">
                  <c:v>45671</c:v>
                </c:pt>
                <c:pt idx="18">
                  <c:v>45670</c:v>
                </c:pt>
                <c:pt idx="19">
                  <c:v>45669</c:v>
                </c:pt>
                <c:pt idx="20">
                  <c:v>45668</c:v>
                </c:pt>
                <c:pt idx="21">
                  <c:v>45667</c:v>
                </c:pt>
                <c:pt idx="22">
                  <c:v>45666</c:v>
                </c:pt>
                <c:pt idx="23">
                  <c:v>45665</c:v>
                </c:pt>
                <c:pt idx="24">
                  <c:v>45664</c:v>
                </c:pt>
                <c:pt idx="25">
                  <c:v>45663</c:v>
                </c:pt>
                <c:pt idx="26">
                  <c:v>45662</c:v>
                </c:pt>
                <c:pt idx="27">
                  <c:v>45661</c:v>
                </c:pt>
                <c:pt idx="28">
                  <c:v>45660</c:v>
                </c:pt>
                <c:pt idx="29">
                  <c:v>45659</c:v>
                </c:pt>
                <c:pt idx="30">
                  <c:v>45658</c:v>
                </c:pt>
                <c:pt idx="31">
                  <c:v>45657</c:v>
                </c:pt>
                <c:pt idx="32">
                  <c:v>45656</c:v>
                </c:pt>
                <c:pt idx="33">
                  <c:v>45655</c:v>
                </c:pt>
                <c:pt idx="34">
                  <c:v>45654</c:v>
                </c:pt>
                <c:pt idx="35">
                  <c:v>45653</c:v>
                </c:pt>
                <c:pt idx="36">
                  <c:v>45652</c:v>
                </c:pt>
                <c:pt idx="37">
                  <c:v>45651</c:v>
                </c:pt>
                <c:pt idx="38">
                  <c:v>45650</c:v>
                </c:pt>
                <c:pt idx="39">
                  <c:v>45649</c:v>
                </c:pt>
                <c:pt idx="40">
                  <c:v>45648</c:v>
                </c:pt>
                <c:pt idx="41">
                  <c:v>45647</c:v>
                </c:pt>
                <c:pt idx="42">
                  <c:v>45646</c:v>
                </c:pt>
                <c:pt idx="43">
                  <c:v>45645</c:v>
                </c:pt>
                <c:pt idx="44">
                  <c:v>45644</c:v>
                </c:pt>
                <c:pt idx="45">
                  <c:v>45643</c:v>
                </c:pt>
                <c:pt idx="46">
                  <c:v>45642</c:v>
                </c:pt>
                <c:pt idx="47">
                  <c:v>45641</c:v>
                </c:pt>
                <c:pt idx="48">
                  <c:v>45640</c:v>
                </c:pt>
                <c:pt idx="49">
                  <c:v>45639</c:v>
                </c:pt>
                <c:pt idx="50">
                  <c:v>45638</c:v>
                </c:pt>
                <c:pt idx="51">
                  <c:v>45637</c:v>
                </c:pt>
                <c:pt idx="52">
                  <c:v>45636</c:v>
                </c:pt>
                <c:pt idx="53">
                  <c:v>45635</c:v>
                </c:pt>
                <c:pt idx="54">
                  <c:v>45634</c:v>
                </c:pt>
                <c:pt idx="55">
                  <c:v>45633</c:v>
                </c:pt>
                <c:pt idx="56">
                  <c:v>45632</c:v>
                </c:pt>
                <c:pt idx="57">
                  <c:v>45631</c:v>
                </c:pt>
                <c:pt idx="58">
                  <c:v>45630</c:v>
                </c:pt>
                <c:pt idx="59">
                  <c:v>45629</c:v>
                </c:pt>
                <c:pt idx="60">
                  <c:v>45628</c:v>
                </c:pt>
                <c:pt idx="61">
                  <c:v>45627</c:v>
                </c:pt>
                <c:pt idx="62">
                  <c:v>45626</c:v>
                </c:pt>
                <c:pt idx="63">
                  <c:v>45625</c:v>
                </c:pt>
                <c:pt idx="64">
                  <c:v>45624</c:v>
                </c:pt>
                <c:pt idx="65">
                  <c:v>45623</c:v>
                </c:pt>
                <c:pt idx="66">
                  <c:v>45622</c:v>
                </c:pt>
                <c:pt idx="67">
                  <c:v>45621</c:v>
                </c:pt>
                <c:pt idx="68">
                  <c:v>45620</c:v>
                </c:pt>
                <c:pt idx="69">
                  <c:v>45619</c:v>
                </c:pt>
                <c:pt idx="70">
                  <c:v>45618</c:v>
                </c:pt>
                <c:pt idx="71">
                  <c:v>45617</c:v>
                </c:pt>
                <c:pt idx="72">
                  <c:v>45616</c:v>
                </c:pt>
                <c:pt idx="73">
                  <c:v>45615</c:v>
                </c:pt>
                <c:pt idx="74">
                  <c:v>45614</c:v>
                </c:pt>
                <c:pt idx="75">
                  <c:v>45613</c:v>
                </c:pt>
                <c:pt idx="76">
                  <c:v>45612</c:v>
                </c:pt>
                <c:pt idx="77">
                  <c:v>45611</c:v>
                </c:pt>
                <c:pt idx="78">
                  <c:v>45610</c:v>
                </c:pt>
                <c:pt idx="79">
                  <c:v>45609</c:v>
                </c:pt>
                <c:pt idx="80">
                  <c:v>45608</c:v>
                </c:pt>
                <c:pt idx="81">
                  <c:v>45607</c:v>
                </c:pt>
                <c:pt idx="82">
                  <c:v>45606</c:v>
                </c:pt>
                <c:pt idx="83">
                  <c:v>45605</c:v>
                </c:pt>
                <c:pt idx="84">
                  <c:v>45604</c:v>
                </c:pt>
                <c:pt idx="85">
                  <c:v>45603</c:v>
                </c:pt>
                <c:pt idx="86">
                  <c:v>45602</c:v>
                </c:pt>
                <c:pt idx="87">
                  <c:v>45601</c:v>
                </c:pt>
                <c:pt idx="88">
                  <c:v>45600</c:v>
                </c:pt>
                <c:pt idx="89">
                  <c:v>45599</c:v>
                </c:pt>
                <c:pt idx="90">
                  <c:v>45598</c:v>
                </c:pt>
                <c:pt idx="91">
                  <c:v>45597</c:v>
                </c:pt>
                <c:pt idx="92">
                  <c:v>45596</c:v>
                </c:pt>
                <c:pt idx="93">
                  <c:v>45595</c:v>
                </c:pt>
                <c:pt idx="94">
                  <c:v>45594</c:v>
                </c:pt>
                <c:pt idx="95">
                  <c:v>45593</c:v>
                </c:pt>
                <c:pt idx="96">
                  <c:v>45592</c:v>
                </c:pt>
                <c:pt idx="97">
                  <c:v>45591</c:v>
                </c:pt>
                <c:pt idx="98">
                  <c:v>45590</c:v>
                </c:pt>
                <c:pt idx="99">
                  <c:v>45589</c:v>
                </c:pt>
                <c:pt idx="100">
                  <c:v>45588</c:v>
                </c:pt>
                <c:pt idx="101">
                  <c:v>45587</c:v>
                </c:pt>
                <c:pt idx="102">
                  <c:v>45586</c:v>
                </c:pt>
                <c:pt idx="103">
                  <c:v>45585</c:v>
                </c:pt>
                <c:pt idx="104">
                  <c:v>45584</c:v>
                </c:pt>
                <c:pt idx="105">
                  <c:v>45583</c:v>
                </c:pt>
                <c:pt idx="106">
                  <c:v>45582</c:v>
                </c:pt>
                <c:pt idx="107">
                  <c:v>45581</c:v>
                </c:pt>
                <c:pt idx="108">
                  <c:v>45580</c:v>
                </c:pt>
                <c:pt idx="109">
                  <c:v>45579</c:v>
                </c:pt>
                <c:pt idx="110">
                  <c:v>45578</c:v>
                </c:pt>
                <c:pt idx="111">
                  <c:v>45577</c:v>
                </c:pt>
                <c:pt idx="112">
                  <c:v>45576</c:v>
                </c:pt>
                <c:pt idx="113">
                  <c:v>45575</c:v>
                </c:pt>
                <c:pt idx="114">
                  <c:v>45574</c:v>
                </c:pt>
                <c:pt idx="115">
                  <c:v>45573</c:v>
                </c:pt>
                <c:pt idx="116">
                  <c:v>45572</c:v>
                </c:pt>
                <c:pt idx="117">
                  <c:v>45571</c:v>
                </c:pt>
                <c:pt idx="118">
                  <c:v>45570</c:v>
                </c:pt>
                <c:pt idx="119">
                  <c:v>45569</c:v>
                </c:pt>
                <c:pt idx="120">
                  <c:v>45568</c:v>
                </c:pt>
                <c:pt idx="121">
                  <c:v>45567</c:v>
                </c:pt>
                <c:pt idx="122">
                  <c:v>45566</c:v>
                </c:pt>
                <c:pt idx="123">
                  <c:v>45565</c:v>
                </c:pt>
                <c:pt idx="124">
                  <c:v>45564</c:v>
                </c:pt>
                <c:pt idx="125">
                  <c:v>45563</c:v>
                </c:pt>
                <c:pt idx="126">
                  <c:v>45562</c:v>
                </c:pt>
                <c:pt idx="127">
                  <c:v>45561</c:v>
                </c:pt>
                <c:pt idx="128">
                  <c:v>45560</c:v>
                </c:pt>
                <c:pt idx="129">
                  <c:v>45559</c:v>
                </c:pt>
                <c:pt idx="130">
                  <c:v>45558</c:v>
                </c:pt>
                <c:pt idx="131">
                  <c:v>45557</c:v>
                </c:pt>
                <c:pt idx="132">
                  <c:v>45556</c:v>
                </c:pt>
                <c:pt idx="133">
                  <c:v>45555</c:v>
                </c:pt>
                <c:pt idx="134">
                  <c:v>45554</c:v>
                </c:pt>
                <c:pt idx="135">
                  <c:v>45553</c:v>
                </c:pt>
                <c:pt idx="136">
                  <c:v>45552</c:v>
                </c:pt>
                <c:pt idx="137">
                  <c:v>45551</c:v>
                </c:pt>
                <c:pt idx="138">
                  <c:v>45550</c:v>
                </c:pt>
                <c:pt idx="139">
                  <c:v>45549</c:v>
                </c:pt>
                <c:pt idx="140">
                  <c:v>45548</c:v>
                </c:pt>
                <c:pt idx="141">
                  <c:v>45547</c:v>
                </c:pt>
                <c:pt idx="142">
                  <c:v>45546</c:v>
                </c:pt>
                <c:pt idx="143">
                  <c:v>45545</c:v>
                </c:pt>
                <c:pt idx="144">
                  <c:v>45544</c:v>
                </c:pt>
                <c:pt idx="145">
                  <c:v>45543</c:v>
                </c:pt>
                <c:pt idx="146">
                  <c:v>45542</c:v>
                </c:pt>
                <c:pt idx="147">
                  <c:v>45541</c:v>
                </c:pt>
                <c:pt idx="148">
                  <c:v>45540</c:v>
                </c:pt>
                <c:pt idx="149">
                  <c:v>45539</c:v>
                </c:pt>
                <c:pt idx="150">
                  <c:v>45538</c:v>
                </c:pt>
                <c:pt idx="151">
                  <c:v>45537</c:v>
                </c:pt>
                <c:pt idx="152">
                  <c:v>45536</c:v>
                </c:pt>
                <c:pt idx="153">
                  <c:v>45535</c:v>
                </c:pt>
                <c:pt idx="154">
                  <c:v>45534</c:v>
                </c:pt>
                <c:pt idx="155">
                  <c:v>45533</c:v>
                </c:pt>
                <c:pt idx="156">
                  <c:v>45532</c:v>
                </c:pt>
                <c:pt idx="157">
                  <c:v>45531</c:v>
                </c:pt>
                <c:pt idx="158">
                  <c:v>45530</c:v>
                </c:pt>
                <c:pt idx="159">
                  <c:v>45529</c:v>
                </c:pt>
                <c:pt idx="160">
                  <c:v>45528</c:v>
                </c:pt>
                <c:pt idx="161">
                  <c:v>45527</c:v>
                </c:pt>
                <c:pt idx="162">
                  <c:v>45526</c:v>
                </c:pt>
                <c:pt idx="163">
                  <c:v>45525</c:v>
                </c:pt>
                <c:pt idx="164">
                  <c:v>45524</c:v>
                </c:pt>
                <c:pt idx="165">
                  <c:v>45523</c:v>
                </c:pt>
                <c:pt idx="166">
                  <c:v>45522</c:v>
                </c:pt>
                <c:pt idx="167">
                  <c:v>45521</c:v>
                </c:pt>
                <c:pt idx="168">
                  <c:v>45520</c:v>
                </c:pt>
                <c:pt idx="169">
                  <c:v>45519</c:v>
                </c:pt>
                <c:pt idx="170">
                  <c:v>45518</c:v>
                </c:pt>
                <c:pt idx="171">
                  <c:v>45517</c:v>
                </c:pt>
                <c:pt idx="172">
                  <c:v>45516</c:v>
                </c:pt>
                <c:pt idx="173">
                  <c:v>45515</c:v>
                </c:pt>
                <c:pt idx="174">
                  <c:v>45514</c:v>
                </c:pt>
                <c:pt idx="175">
                  <c:v>45513</c:v>
                </c:pt>
                <c:pt idx="176">
                  <c:v>45512</c:v>
                </c:pt>
                <c:pt idx="177">
                  <c:v>45511</c:v>
                </c:pt>
                <c:pt idx="178">
                  <c:v>45510</c:v>
                </c:pt>
                <c:pt idx="179">
                  <c:v>45509</c:v>
                </c:pt>
                <c:pt idx="180">
                  <c:v>45508</c:v>
                </c:pt>
                <c:pt idx="181">
                  <c:v>45507</c:v>
                </c:pt>
                <c:pt idx="182">
                  <c:v>45506</c:v>
                </c:pt>
                <c:pt idx="183">
                  <c:v>45505</c:v>
                </c:pt>
                <c:pt idx="184">
                  <c:v>45504</c:v>
                </c:pt>
                <c:pt idx="185">
                  <c:v>45503</c:v>
                </c:pt>
                <c:pt idx="186">
                  <c:v>45502</c:v>
                </c:pt>
                <c:pt idx="187">
                  <c:v>45501</c:v>
                </c:pt>
                <c:pt idx="188">
                  <c:v>45500</c:v>
                </c:pt>
                <c:pt idx="189">
                  <c:v>45499</c:v>
                </c:pt>
                <c:pt idx="190">
                  <c:v>45498</c:v>
                </c:pt>
                <c:pt idx="191">
                  <c:v>45497</c:v>
                </c:pt>
                <c:pt idx="192">
                  <c:v>45496</c:v>
                </c:pt>
                <c:pt idx="193">
                  <c:v>45495</c:v>
                </c:pt>
                <c:pt idx="194">
                  <c:v>45494</c:v>
                </c:pt>
                <c:pt idx="195">
                  <c:v>45493</c:v>
                </c:pt>
                <c:pt idx="196">
                  <c:v>45492</c:v>
                </c:pt>
                <c:pt idx="197">
                  <c:v>45491</c:v>
                </c:pt>
                <c:pt idx="198">
                  <c:v>45490</c:v>
                </c:pt>
                <c:pt idx="199">
                  <c:v>45489</c:v>
                </c:pt>
                <c:pt idx="200">
                  <c:v>45488</c:v>
                </c:pt>
                <c:pt idx="201">
                  <c:v>45487</c:v>
                </c:pt>
                <c:pt idx="202">
                  <c:v>45486</c:v>
                </c:pt>
                <c:pt idx="203">
                  <c:v>45485</c:v>
                </c:pt>
                <c:pt idx="204">
                  <c:v>45484</c:v>
                </c:pt>
                <c:pt idx="205">
                  <c:v>45483</c:v>
                </c:pt>
                <c:pt idx="206">
                  <c:v>45482</c:v>
                </c:pt>
                <c:pt idx="207">
                  <c:v>45481</c:v>
                </c:pt>
                <c:pt idx="208">
                  <c:v>45480</c:v>
                </c:pt>
                <c:pt idx="209">
                  <c:v>45479</c:v>
                </c:pt>
                <c:pt idx="210">
                  <c:v>45478</c:v>
                </c:pt>
                <c:pt idx="211">
                  <c:v>45477</c:v>
                </c:pt>
                <c:pt idx="212">
                  <c:v>45476</c:v>
                </c:pt>
                <c:pt idx="213">
                  <c:v>45475</c:v>
                </c:pt>
                <c:pt idx="214">
                  <c:v>45474</c:v>
                </c:pt>
                <c:pt idx="215">
                  <c:v>45473</c:v>
                </c:pt>
                <c:pt idx="216">
                  <c:v>45472</c:v>
                </c:pt>
                <c:pt idx="217">
                  <c:v>45471</c:v>
                </c:pt>
                <c:pt idx="218">
                  <c:v>45470</c:v>
                </c:pt>
                <c:pt idx="219">
                  <c:v>45469</c:v>
                </c:pt>
                <c:pt idx="220">
                  <c:v>45468</c:v>
                </c:pt>
                <c:pt idx="221">
                  <c:v>45467</c:v>
                </c:pt>
                <c:pt idx="222">
                  <c:v>45466</c:v>
                </c:pt>
                <c:pt idx="223">
                  <c:v>45465</c:v>
                </c:pt>
                <c:pt idx="224">
                  <c:v>45464</c:v>
                </c:pt>
                <c:pt idx="225">
                  <c:v>45463</c:v>
                </c:pt>
                <c:pt idx="226">
                  <c:v>45462</c:v>
                </c:pt>
                <c:pt idx="227">
                  <c:v>45461</c:v>
                </c:pt>
                <c:pt idx="228">
                  <c:v>45460</c:v>
                </c:pt>
                <c:pt idx="229">
                  <c:v>45459</c:v>
                </c:pt>
                <c:pt idx="230">
                  <c:v>45458</c:v>
                </c:pt>
                <c:pt idx="231">
                  <c:v>45457</c:v>
                </c:pt>
                <c:pt idx="232">
                  <c:v>45456</c:v>
                </c:pt>
                <c:pt idx="233">
                  <c:v>45455</c:v>
                </c:pt>
                <c:pt idx="234">
                  <c:v>45454</c:v>
                </c:pt>
                <c:pt idx="235">
                  <c:v>45453</c:v>
                </c:pt>
                <c:pt idx="236">
                  <c:v>45452</c:v>
                </c:pt>
                <c:pt idx="237">
                  <c:v>45451</c:v>
                </c:pt>
                <c:pt idx="238">
                  <c:v>45450</c:v>
                </c:pt>
                <c:pt idx="239">
                  <c:v>45449</c:v>
                </c:pt>
                <c:pt idx="240">
                  <c:v>45448</c:v>
                </c:pt>
                <c:pt idx="241">
                  <c:v>45447</c:v>
                </c:pt>
                <c:pt idx="242">
                  <c:v>45446</c:v>
                </c:pt>
                <c:pt idx="243">
                  <c:v>45445</c:v>
                </c:pt>
                <c:pt idx="244">
                  <c:v>45444</c:v>
                </c:pt>
                <c:pt idx="245">
                  <c:v>45443</c:v>
                </c:pt>
                <c:pt idx="246">
                  <c:v>45442</c:v>
                </c:pt>
                <c:pt idx="247">
                  <c:v>45441</c:v>
                </c:pt>
                <c:pt idx="248">
                  <c:v>45440</c:v>
                </c:pt>
                <c:pt idx="249">
                  <c:v>45439</c:v>
                </c:pt>
                <c:pt idx="250">
                  <c:v>45438</c:v>
                </c:pt>
                <c:pt idx="251">
                  <c:v>45437</c:v>
                </c:pt>
                <c:pt idx="252">
                  <c:v>45436</c:v>
                </c:pt>
                <c:pt idx="253">
                  <c:v>45435</c:v>
                </c:pt>
                <c:pt idx="254">
                  <c:v>45434</c:v>
                </c:pt>
                <c:pt idx="255">
                  <c:v>45433</c:v>
                </c:pt>
                <c:pt idx="256">
                  <c:v>45432</c:v>
                </c:pt>
                <c:pt idx="257">
                  <c:v>45431</c:v>
                </c:pt>
                <c:pt idx="258">
                  <c:v>45430</c:v>
                </c:pt>
                <c:pt idx="259">
                  <c:v>45429</c:v>
                </c:pt>
                <c:pt idx="260">
                  <c:v>45428</c:v>
                </c:pt>
                <c:pt idx="261">
                  <c:v>45427</c:v>
                </c:pt>
                <c:pt idx="262">
                  <c:v>45426</c:v>
                </c:pt>
                <c:pt idx="263">
                  <c:v>45425</c:v>
                </c:pt>
                <c:pt idx="264">
                  <c:v>45424</c:v>
                </c:pt>
                <c:pt idx="265">
                  <c:v>45423</c:v>
                </c:pt>
                <c:pt idx="266">
                  <c:v>45422</c:v>
                </c:pt>
                <c:pt idx="267">
                  <c:v>45421</c:v>
                </c:pt>
                <c:pt idx="268">
                  <c:v>45420</c:v>
                </c:pt>
                <c:pt idx="269">
                  <c:v>45419</c:v>
                </c:pt>
                <c:pt idx="270">
                  <c:v>45418</c:v>
                </c:pt>
                <c:pt idx="271">
                  <c:v>45417</c:v>
                </c:pt>
                <c:pt idx="272">
                  <c:v>45416</c:v>
                </c:pt>
                <c:pt idx="273">
                  <c:v>45415</c:v>
                </c:pt>
                <c:pt idx="274">
                  <c:v>45414</c:v>
                </c:pt>
                <c:pt idx="275">
                  <c:v>45413</c:v>
                </c:pt>
                <c:pt idx="276">
                  <c:v>45412</c:v>
                </c:pt>
                <c:pt idx="277">
                  <c:v>45411</c:v>
                </c:pt>
                <c:pt idx="278">
                  <c:v>45410</c:v>
                </c:pt>
                <c:pt idx="279">
                  <c:v>45409</c:v>
                </c:pt>
                <c:pt idx="280">
                  <c:v>45408</c:v>
                </c:pt>
                <c:pt idx="281">
                  <c:v>45407</c:v>
                </c:pt>
                <c:pt idx="282">
                  <c:v>45406</c:v>
                </c:pt>
                <c:pt idx="283">
                  <c:v>45405</c:v>
                </c:pt>
                <c:pt idx="284">
                  <c:v>45404</c:v>
                </c:pt>
                <c:pt idx="285">
                  <c:v>45403</c:v>
                </c:pt>
                <c:pt idx="286">
                  <c:v>45402</c:v>
                </c:pt>
                <c:pt idx="287">
                  <c:v>45401</c:v>
                </c:pt>
                <c:pt idx="288">
                  <c:v>45400</c:v>
                </c:pt>
                <c:pt idx="289">
                  <c:v>45399</c:v>
                </c:pt>
                <c:pt idx="290">
                  <c:v>45398</c:v>
                </c:pt>
                <c:pt idx="291">
                  <c:v>45397</c:v>
                </c:pt>
                <c:pt idx="292">
                  <c:v>45396</c:v>
                </c:pt>
                <c:pt idx="293">
                  <c:v>45395</c:v>
                </c:pt>
                <c:pt idx="294">
                  <c:v>45394</c:v>
                </c:pt>
                <c:pt idx="295">
                  <c:v>45393</c:v>
                </c:pt>
                <c:pt idx="296">
                  <c:v>45392</c:v>
                </c:pt>
                <c:pt idx="297">
                  <c:v>45391</c:v>
                </c:pt>
                <c:pt idx="298">
                  <c:v>45390</c:v>
                </c:pt>
                <c:pt idx="299">
                  <c:v>45389</c:v>
                </c:pt>
                <c:pt idx="300">
                  <c:v>45388</c:v>
                </c:pt>
                <c:pt idx="301">
                  <c:v>45387</c:v>
                </c:pt>
                <c:pt idx="302">
                  <c:v>45386</c:v>
                </c:pt>
                <c:pt idx="303">
                  <c:v>45385</c:v>
                </c:pt>
                <c:pt idx="304">
                  <c:v>45384</c:v>
                </c:pt>
                <c:pt idx="305">
                  <c:v>45383</c:v>
                </c:pt>
                <c:pt idx="306">
                  <c:v>45382</c:v>
                </c:pt>
                <c:pt idx="307">
                  <c:v>45381</c:v>
                </c:pt>
                <c:pt idx="308">
                  <c:v>45380</c:v>
                </c:pt>
                <c:pt idx="309">
                  <c:v>45379</c:v>
                </c:pt>
                <c:pt idx="310">
                  <c:v>45378</c:v>
                </c:pt>
                <c:pt idx="311">
                  <c:v>45377</c:v>
                </c:pt>
                <c:pt idx="312">
                  <c:v>45376</c:v>
                </c:pt>
                <c:pt idx="313">
                  <c:v>45375</c:v>
                </c:pt>
                <c:pt idx="314">
                  <c:v>45374</c:v>
                </c:pt>
                <c:pt idx="315">
                  <c:v>45373</c:v>
                </c:pt>
                <c:pt idx="316">
                  <c:v>45372</c:v>
                </c:pt>
                <c:pt idx="317">
                  <c:v>45371</c:v>
                </c:pt>
                <c:pt idx="318">
                  <c:v>45370</c:v>
                </c:pt>
                <c:pt idx="319">
                  <c:v>45369</c:v>
                </c:pt>
                <c:pt idx="320">
                  <c:v>45368</c:v>
                </c:pt>
                <c:pt idx="321">
                  <c:v>45367</c:v>
                </c:pt>
                <c:pt idx="322">
                  <c:v>45366</c:v>
                </c:pt>
                <c:pt idx="323">
                  <c:v>45365</c:v>
                </c:pt>
                <c:pt idx="324">
                  <c:v>45364</c:v>
                </c:pt>
                <c:pt idx="325">
                  <c:v>45363</c:v>
                </c:pt>
                <c:pt idx="326">
                  <c:v>45362</c:v>
                </c:pt>
                <c:pt idx="327">
                  <c:v>45361</c:v>
                </c:pt>
                <c:pt idx="328">
                  <c:v>45360</c:v>
                </c:pt>
                <c:pt idx="329">
                  <c:v>45359</c:v>
                </c:pt>
                <c:pt idx="330">
                  <c:v>45358</c:v>
                </c:pt>
                <c:pt idx="331">
                  <c:v>45357</c:v>
                </c:pt>
                <c:pt idx="332">
                  <c:v>45356</c:v>
                </c:pt>
                <c:pt idx="333">
                  <c:v>45355</c:v>
                </c:pt>
                <c:pt idx="334">
                  <c:v>45354</c:v>
                </c:pt>
                <c:pt idx="335">
                  <c:v>45353</c:v>
                </c:pt>
                <c:pt idx="336">
                  <c:v>45352</c:v>
                </c:pt>
                <c:pt idx="337">
                  <c:v>45351</c:v>
                </c:pt>
                <c:pt idx="338">
                  <c:v>45350</c:v>
                </c:pt>
                <c:pt idx="339">
                  <c:v>45349</c:v>
                </c:pt>
                <c:pt idx="340">
                  <c:v>45348</c:v>
                </c:pt>
                <c:pt idx="341">
                  <c:v>45347</c:v>
                </c:pt>
                <c:pt idx="342">
                  <c:v>45346</c:v>
                </c:pt>
                <c:pt idx="343">
                  <c:v>45345</c:v>
                </c:pt>
                <c:pt idx="344">
                  <c:v>45344</c:v>
                </c:pt>
                <c:pt idx="345">
                  <c:v>45343</c:v>
                </c:pt>
                <c:pt idx="346">
                  <c:v>45342</c:v>
                </c:pt>
                <c:pt idx="347">
                  <c:v>45341</c:v>
                </c:pt>
                <c:pt idx="348">
                  <c:v>45340</c:v>
                </c:pt>
                <c:pt idx="349">
                  <c:v>45339</c:v>
                </c:pt>
                <c:pt idx="350">
                  <c:v>45338</c:v>
                </c:pt>
                <c:pt idx="351">
                  <c:v>45337</c:v>
                </c:pt>
                <c:pt idx="352">
                  <c:v>45336</c:v>
                </c:pt>
                <c:pt idx="353">
                  <c:v>45335</c:v>
                </c:pt>
                <c:pt idx="354">
                  <c:v>45334</c:v>
                </c:pt>
                <c:pt idx="355">
                  <c:v>45333</c:v>
                </c:pt>
                <c:pt idx="356">
                  <c:v>45332</c:v>
                </c:pt>
                <c:pt idx="357">
                  <c:v>45331</c:v>
                </c:pt>
                <c:pt idx="358">
                  <c:v>45330</c:v>
                </c:pt>
                <c:pt idx="359">
                  <c:v>45329</c:v>
                </c:pt>
                <c:pt idx="360">
                  <c:v>45328</c:v>
                </c:pt>
                <c:pt idx="361">
                  <c:v>45327</c:v>
                </c:pt>
                <c:pt idx="362">
                  <c:v>45326</c:v>
                </c:pt>
                <c:pt idx="363">
                  <c:v>45325</c:v>
                </c:pt>
                <c:pt idx="364">
                  <c:v>45324</c:v>
                </c:pt>
                <c:pt idx="365">
                  <c:v>45323</c:v>
                </c:pt>
              </c:numCache>
            </c:numRef>
          </c:cat>
          <c:val>
            <c:numRef>
              <c:f>'daily monitor'!$AL$101:$AL$467</c:f>
              <c:numCache>
                <c:formatCode>General</c:formatCode>
                <c:ptCount val="367"/>
                <c:pt idx="0">
                  <c:v>3992.2710000000002</c:v>
                </c:pt>
                <c:pt idx="1">
                  <c:v>3997.529</c:v>
                </c:pt>
                <c:pt idx="2">
                  <c:v>3970.4450000000002</c:v>
                </c:pt>
                <c:pt idx="3">
                  <c:v>3921.7449999999999</c:v>
                </c:pt>
                <c:pt idx="4">
                  <c:v>3964.4340000000002</c:v>
                </c:pt>
                <c:pt idx="5">
                  <c:v>3925.7660000000001</c:v>
                </c:pt>
                <c:pt idx="6">
                  <c:v>3925.7660000000001</c:v>
                </c:pt>
                <c:pt idx="7">
                  <c:v>3925.7660000000001</c:v>
                </c:pt>
                <c:pt idx="8">
                  <c:v>3917.9140000000002</c:v>
                </c:pt>
                <c:pt idx="9">
                  <c:v>3886.1</c:v>
                </c:pt>
                <c:pt idx="10">
                  <c:v>3875.598</c:v>
                </c:pt>
                <c:pt idx="11">
                  <c:v>3863.8879999999999</c:v>
                </c:pt>
                <c:pt idx="12">
                  <c:v>3804.136</c:v>
                </c:pt>
                <c:pt idx="13">
                  <c:v>3804.136</c:v>
                </c:pt>
                <c:pt idx="14">
                  <c:v>3804.136</c:v>
                </c:pt>
                <c:pt idx="15">
                  <c:v>3836.8670000000002</c:v>
                </c:pt>
                <c:pt idx="16">
                  <c:v>3819.232</c:v>
                </c:pt>
                <c:pt idx="17">
                  <c:v>3767.0309999999999</c:v>
                </c:pt>
                <c:pt idx="18">
                  <c:v>3823.1729999999998</c:v>
                </c:pt>
                <c:pt idx="19">
                  <c:v>3821.8389999999999</c:v>
                </c:pt>
                <c:pt idx="20">
                  <c:v>3821.8389999999999</c:v>
                </c:pt>
                <c:pt idx="21">
                  <c:v>3821.8389999999999</c:v>
                </c:pt>
                <c:pt idx="22">
                  <c:v>3848.1379999999999</c:v>
                </c:pt>
                <c:pt idx="23">
                  <c:v>3887.4659999999999</c:v>
                </c:pt>
                <c:pt idx="24">
                  <c:v>3923.2420000000002</c:v>
                </c:pt>
                <c:pt idx="25">
                  <c:v>3881.4319999999998</c:v>
                </c:pt>
                <c:pt idx="26">
                  <c:v>3925.0059999999999</c:v>
                </c:pt>
                <c:pt idx="27">
                  <c:v>3925.0059999999999</c:v>
                </c:pt>
                <c:pt idx="28">
                  <c:v>3925.0059999999999</c:v>
                </c:pt>
                <c:pt idx="29">
                  <c:v>3931.125</c:v>
                </c:pt>
                <c:pt idx="30">
                  <c:v>3931</c:v>
                </c:pt>
                <c:pt idx="31">
                  <c:v>3931</c:v>
                </c:pt>
                <c:pt idx="32">
                  <c:v>3929.9989999999998</c:v>
                </c:pt>
                <c:pt idx="33">
                  <c:v>3948.9009999999998</c:v>
                </c:pt>
                <c:pt idx="34">
                  <c:v>3948.9009999999998</c:v>
                </c:pt>
                <c:pt idx="35">
                  <c:v>3948.9009999999998</c:v>
                </c:pt>
                <c:pt idx="36">
                  <c:v>3884.0880000000002</c:v>
                </c:pt>
                <c:pt idx="37">
                  <c:v>3852.3110000000001</c:v>
                </c:pt>
                <c:pt idx="38">
                  <c:v>3839.3290000000002</c:v>
                </c:pt>
                <c:pt idx="39">
                  <c:v>3843.018</c:v>
                </c:pt>
                <c:pt idx="40">
                  <c:v>3820.83</c:v>
                </c:pt>
                <c:pt idx="41">
                  <c:v>3820.83</c:v>
                </c:pt>
                <c:pt idx="42">
                  <c:v>3820.83</c:v>
                </c:pt>
                <c:pt idx="43">
                  <c:v>3809.5990000000002</c:v>
                </c:pt>
                <c:pt idx="44">
                  <c:v>3911.2689999999998</c:v>
                </c:pt>
                <c:pt idx="45">
                  <c:v>3938.3739999999998</c:v>
                </c:pt>
                <c:pt idx="46">
                  <c:v>3935.922</c:v>
                </c:pt>
                <c:pt idx="47">
                  <c:v>3961.27</c:v>
                </c:pt>
                <c:pt idx="48">
                  <c:v>3961.27</c:v>
                </c:pt>
                <c:pt idx="49">
                  <c:v>3961.27</c:v>
                </c:pt>
                <c:pt idx="50">
                  <c:v>4040.5610000000001</c:v>
                </c:pt>
                <c:pt idx="51">
                  <c:v>3997.66</c:v>
                </c:pt>
                <c:pt idx="52">
                  <c:v>3995.91</c:v>
                </c:pt>
                <c:pt idx="53">
                  <c:v>4012.0810000000001</c:v>
                </c:pt>
                <c:pt idx="54">
                  <c:v>4033.248</c:v>
                </c:pt>
                <c:pt idx="55">
                  <c:v>4033.248</c:v>
                </c:pt>
                <c:pt idx="56">
                  <c:v>4033.248</c:v>
                </c:pt>
                <c:pt idx="57">
                  <c:v>4049.4270000000001</c:v>
                </c:pt>
                <c:pt idx="58">
                  <c:v>4041.877</c:v>
                </c:pt>
                <c:pt idx="59">
                  <c:v>4091.5349999999999</c:v>
                </c:pt>
                <c:pt idx="60">
                  <c:v>4010.6709999999998</c:v>
                </c:pt>
                <c:pt idx="61">
                  <c:v>3948.623</c:v>
                </c:pt>
                <c:pt idx="62">
                  <c:v>3948.623</c:v>
                </c:pt>
                <c:pt idx="63">
                  <c:v>3948.623</c:v>
                </c:pt>
                <c:pt idx="64">
                  <c:v>3925.183</c:v>
                </c:pt>
                <c:pt idx="65">
                  <c:v>3905.33</c:v>
                </c:pt>
                <c:pt idx="66">
                  <c:v>3878.1120000000001</c:v>
                </c:pt>
                <c:pt idx="67">
                  <c:v>3899.0030000000002</c:v>
                </c:pt>
                <c:pt idx="68">
                  <c:v>3849.15</c:v>
                </c:pt>
                <c:pt idx="69">
                  <c:v>3849.15</c:v>
                </c:pt>
                <c:pt idx="70">
                  <c:v>3849.15</c:v>
                </c:pt>
                <c:pt idx="71">
                  <c:v>3845.7150000000001</c:v>
                </c:pt>
                <c:pt idx="72">
                  <c:v>3840.1640000000002</c:v>
                </c:pt>
                <c:pt idx="73">
                  <c:v>3900.2759999999998</c:v>
                </c:pt>
                <c:pt idx="74">
                  <c:v>3848.348</c:v>
                </c:pt>
                <c:pt idx="75">
                  <c:v>3882.482</c:v>
                </c:pt>
                <c:pt idx="76">
                  <c:v>3882.482</c:v>
                </c:pt>
                <c:pt idx="77">
                  <c:v>3882.482</c:v>
                </c:pt>
                <c:pt idx="78">
                  <c:v>3839.1439999999998</c:v>
                </c:pt>
                <c:pt idx="79">
                  <c:v>3868.076</c:v>
                </c:pt>
                <c:pt idx="80">
                  <c:v>3935.7710000000002</c:v>
                </c:pt>
                <c:pt idx="81">
                  <c:v>3950.9870000000001</c:v>
                </c:pt>
                <c:pt idx="82">
                  <c:v>3993.4549999999999</c:v>
                </c:pt>
                <c:pt idx="83">
                  <c:v>3993.4549999999999</c:v>
                </c:pt>
                <c:pt idx="84">
                  <c:v>3993.4549999999999</c:v>
                </c:pt>
                <c:pt idx="85">
                  <c:v>3978.4520000000002</c:v>
                </c:pt>
                <c:pt idx="86">
                  <c:v>3910.4549999999999</c:v>
                </c:pt>
                <c:pt idx="87">
                  <c:v>3886.7159999999999</c:v>
                </c:pt>
                <c:pt idx="88">
                  <c:v>3854.442</c:v>
                </c:pt>
                <c:pt idx="89">
                  <c:v>3830.2510000000002</c:v>
                </c:pt>
                <c:pt idx="90">
                  <c:v>3830.2510000000002</c:v>
                </c:pt>
                <c:pt idx="91">
                  <c:v>3830.2510000000002</c:v>
                </c:pt>
                <c:pt idx="92">
                  <c:v>3924.1480000000001</c:v>
                </c:pt>
                <c:pt idx="93">
                  <c:v>3923.9609999999998</c:v>
                </c:pt>
                <c:pt idx="94">
                  <c:v>3881.511</c:v>
                </c:pt>
                <c:pt idx="95">
                  <c:v>3851.6669999999999</c:v>
                </c:pt>
                <c:pt idx="96">
                  <c:v>3820.5549999999998</c:v>
                </c:pt>
                <c:pt idx="97">
                  <c:v>3820.5549999999998</c:v>
                </c:pt>
                <c:pt idx="98">
                  <c:v>3820.5549999999998</c:v>
                </c:pt>
                <c:pt idx="99">
                  <c:v>3847.808</c:v>
                </c:pt>
                <c:pt idx="100">
                  <c:v>3819.67</c:v>
                </c:pt>
                <c:pt idx="101">
                  <c:v>3891.317</c:v>
                </c:pt>
                <c:pt idx="102">
                  <c:v>3951.0569999999998</c:v>
                </c:pt>
                <c:pt idx="103">
                  <c:v>3980.0569999999998</c:v>
                </c:pt>
                <c:pt idx="104">
                  <c:v>3980.0569999999998</c:v>
                </c:pt>
                <c:pt idx="105">
                  <c:v>3980.0569999999998</c:v>
                </c:pt>
                <c:pt idx="106">
                  <c:v>3965.7080000000001</c:v>
                </c:pt>
                <c:pt idx="107">
                  <c:v>3980.8969999999999</c:v>
                </c:pt>
                <c:pt idx="108">
                  <c:v>4043.7069999999999</c:v>
                </c:pt>
                <c:pt idx="109">
                  <c:v>4004.223</c:v>
                </c:pt>
                <c:pt idx="110">
                  <c:v>4020.05</c:v>
                </c:pt>
                <c:pt idx="111">
                  <c:v>4020.05</c:v>
                </c:pt>
                <c:pt idx="112">
                  <c:v>4020.05</c:v>
                </c:pt>
                <c:pt idx="113">
                  <c:v>4041.498</c:v>
                </c:pt>
                <c:pt idx="114">
                  <c:v>4017.3710000000001</c:v>
                </c:pt>
                <c:pt idx="115">
                  <c:v>4025.9609999999998</c:v>
                </c:pt>
                <c:pt idx="116">
                  <c:v>4090.0540000000001</c:v>
                </c:pt>
                <c:pt idx="117">
                  <c:v>4009.0210000000002</c:v>
                </c:pt>
                <c:pt idx="118">
                  <c:v>4009.0210000000002</c:v>
                </c:pt>
                <c:pt idx="119">
                  <c:v>4009.0210000000002</c:v>
                </c:pt>
                <c:pt idx="120">
                  <c:v>4043.9720000000002</c:v>
                </c:pt>
                <c:pt idx="121">
                  <c:v>4006.3409999999999</c:v>
                </c:pt>
                <c:pt idx="122">
                  <c:v>4142.7489999999998</c:v>
                </c:pt>
                <c:pt idx="123">
                  <c:v>4083.3029999999999</c:v>
                </c:pt>
                <c:pt idx="124">
                  <c:v>4251.8050000000003</c:v>
                </c:pt>
                <c:pt idx="125">
                  <c:v>4251.8050000000003</c:v>
                </c:pt>
                <c:pt idx="126">
                  <c:v>4251.8050000000003</c:v>
                </c:pt>
                <c:pt idx="127">
                  <c:v>4153.5190000000002</c:v>
                </c:pt>
                <c:pt idx="128">
                  <c:v>4056.0430000000001</c:v>
                </c:pt>
                <c:pt idx="129">
                  <c:v>4087.4780000000001</c:v>
                </c:pt>
                <c:pt idx="130">
                  <c:v>4061.5030000000002</c:v>
                </c:pt>
                <c:pt idx="131">
                  <c:v>4042.1010000000001</c:v>
                </c:pt>
                <c:pt idx="132">
                  <c:v>4042.1010000000001</c:v>
                </c:pt>
                <c:pt idx="133">
                  <c:v>4042.1010000000001</c:v>
                </c:pt>
                <c:pt idx="134">
                  <c:v>4039.53</c:v>
                </c:pt>
                <c:pt idx="135">
                  <c:v>3975.8890000000001</c:v>
                </c:pt>
                <c:pt idx="136">
                  <c:v>3970.1570000000002</c:v>
                </c:pt>
                <c:pt idx="137">
                  <c:v>4040.7730000000001</c:v>
                </c:pt>
                <c:pt idx="138">
                  <c:v>4034.596</c:v>
                </c:pt>
                <c:pt idx="139">
                  <c:v>4034.596</c:v>
                </c:pt>
                <c:pt idx="140">
                  <c:v>4034.596</c:v>
                </c:pt>
                <c:pt idx="141">
                  <c:v>4015.9380000000001</c:v>
                </c:pt>
                <c:pt idx="142">
                  <c:v>3943.241</c:v>
                </c:pt>
                <c:pt idx="143">
                  <c:v>3974.9789999999998</c:v>
                </c:pt>
                <c:pt idx="144">
                  <c:v>3985.4340000000002</c:v>
                </c:pt>
                <c:pt idx="145">
                  <c:v>4027.2660000000001</c:v>
                </c:pt>
                <c:pt idx="146">
                  <c:v>4027.2660000000001</c:v>
                </c:pt>
                <c:pt idx="147">
                  <c:v>4027.2660000000001</c:v>
                </c:pt>
                <c:pt idx="148">
                  <c:v>4023.0749999999998</c:v>
                </c:pt>
                <c:pt idx="149">
                  <c:v>4046.0239999999999</c:v>
                </c:pt>
                <c:pt idx="150">
                  <c:v>4168.0990000000002</c:v>
                </c:pt>
                <c:pt idx="151">
                  <c:v>4107.7219999999998</c:v>
                </c:pt>
                <c:pt idx="152">
                  <c:v>4138.8040000000001</c:v>
                </c:pt>
                <c:pt idx="153">
                  <c:v>4138.8040000000001</c:v>
                </c:pt>
                <c:pt idx="154">
                  <c:v>4138.8040000000001</c:v>
                </c:pt>
                <c:pt idx="155">
                  <c:v>4114.0619999999999</c:v>
                </c:pt>
                <c:pt idx="156">
                  <c:v>4136.0280000000002</c:v>
                </c:pt>
                <c:pt idx="157">
                  <c:v>4119.6120000000001</c:v>
                </c:pt>
                <c:pt idx="158">
                  <c:v>4095.3879999999999</c:v>
                </c:pt>
                <c:pt idx="159">
                  <c:v>4109.4459999999999</c:v>
                </c:pt>
                <c:pt idx="160">
                  <c:v>4109.4459999999999</c:v>
                </c:pt>
                <c:pt idx="161">
                  <c:v>4109.4459999999999</c:v>
                </c:pt>
                <c:pt idx="162">
                  <c:v>4058.5889999999999</c:v>
                </c:pt>
                <c:pt idx="163">
                  <c:v>4067.0239999999999</c:v>
                </c:pt>
                <c:pt idx="164">
                  <c:v>4072.7689999999998</c:v>
                </c:pt>
                <c:pt idx="165">
                  <c:v>4010.4160000000002</c:v>
                </c:pt>
                <c:pt idx="166">
                  <c:v>4026.6370000000002</c:v>
                </c:pt>
                <c:pt idx="167">
                  <c:v>4026.6370000000002</c:v>
                </c:pt>
                <c:pt idx="168">
                  <c:v>4026.6370000000002</c:v>
                </c:pt>
                <c:pt idx="169">
                  <c:v>3874.71</c:v>
                </c:pt>
                <c:pt idx="170">
                  <c:v>3907.1819999999998</c:v>
                </c:pt>
                <c:pt idx="171">
                  <c:v>3858.5940000000001</c:v>
                </c:pt>
                <c:pt idx="172">
                  <c:v>3719.3180000000002</c:v>
                </c:pt>
                <c:pt idx="173">
                  <c:v>3752.3020000000001</c:v>
                </c:pt>
                <c:pt idx="174">
                  <c:v>3752.3020000000001</c:v>
                </c:pt>
                <c:pt idx="175">
                  <c:v>3752.3020000000001</c:v>
                </c:pt>
                <c:pt idx="176">
                  <c:v>3704.7269999999999</c:v>
                </c:pt>
                <c:pt idx="177">
                  <c:v>3749.0439999999999</c:v>
                </c:pt>
                <c:pt idx="178">
                  <c:v>3735.643</c:v>
                </c:pt>
                <c:pt idx="179">
                  <c:v>3453.1509999999998</c:v>
                </c:pt>
                <c:pt idx="180">
                  <c:v>3835.0920000000001</c:v>
                </c:pt>
                <c:pt idx="181">
                  <c:v>3835.0920000000001</c:v>
                </c:pt>
                <c:pt idx="182">
                  <c:v>3835.0920000000001</c:v>
                </c:pt>
                <c:pt idx="183">
                  <c:v>3996.8409999999999</c:v>
                </c:pt>
                <c:pt idx="184">
                  <c:v>4118.7740000000003</c:v>
                </c:pt>
                <c:pt idx="185">
                  <c:v>3954.5410000000002</c:v>
                </c:pt>
                <c:pt idx="186">
                  <c:v>3972.518</c:v>
                </c:pt>
                <c:pt idx="187">
                  <c:v>3899.3910000000001</c:v>
                </c:pt>
                <c:pt idx="188">
                  <c:v>3899.3910000000001</c:v>
                </c:pt>
                <c:pt idx="189">
                  <c:v>3899.3910000000001</c:v>
                </c:pt>
                <c:pt idx="190">
                  <c:v>3914.3130000000001</c:v>
                </c:pt>
                <c:pt idx="191">
                  <c:v>4058.5659999999998</c:v>
                </c:pt>
                <c:pt idx="192">
                  <c:v>4042.375</c:v>
                </c:pt>
                <c:pt idx="193">
                  <c:v>4015.1970000000001</c:v>
                </c:pt>
                <c:pt idx="194">
                  <c:v>4052.431</c:v>
                </c:pt>
                <c:pt idx="195">
                  <c:v>4052.431</c:v>
                </c:pt>
                <c:pt idx="196">
                  <c:v>4052.431</c:v>
                </c:pt>
                <c:pt idx="197">
                  <c:v>4077.2139999999999</c:v>
                </c:pt>
                <c:pt idx="198">
                  <c:v>4160.3310000000001</c:v>
                </c:pt>
                <c:pt idx="199">
                  <c:v>4095.154</c:v>
                </c:pt>
                <c:pt idx="200">
                  <c:v>4097.0919999999996</c:v>
                </c:pt>
                <c:pt idx="201">
                  <c:v>4101.1180000000004</c:v>
                </c:pt>
                <c:pt idx="202">
                  <c:v>4101.1180000000004</c:v>
                </c:pt>
                <c:pt idx="203">
                  <c:v>4101.1180000000004</c:v>
                </c:pt>
                <c:pt idx="204">
                  <c:v>4146.4380000000001</c:v>
                </c:pt>
                <c:pt idx="205">
                  <c:v>4039.9009999999998</c:v>
                </c:pt>
                <c:pt idx="206">
                  <c:v>4023.261</c:v>
                </c:pt>
                <c:pt idx="207">
                  <c:v>3999.067</c:v>
                </c:pt>
                <c:pt idx="208">
                  <c:v>4014.5439999999999</c:v>
                </c:pt>
                <c:pt idx="209">
                  <c:v>4014.5439999999999</c:v>
                </c:pt>
                <c:pt idx="210">
                  <c:v>4014.5439999999999</c:v>
                </c:pt>
                <c:pt idx="211">
                  <c:v>4027.4920000000002</c:v>
                </c:pt>
                <c:pt idx="212">
                  <c:v>3979.0360000000001</c:v>
                </c:pt>
                <c:pt idx="213">
                  <c:v>3953.027</c:v>
                </c:pt>
                <c:pt idx="214">
                  <c:v>3894.7020000000002</c:v>
                </c:pt>
                <c:pt idx="215">
                  <c:v>3893.2669999999998</c:v>
                </c:pt>
                <c:pt idx="216">
                  <c:v>3893.2669999999998</c:v>
                </c:pt>
                <c:pt idx="217">
                  <c:v>3893.2669999999998</c:v>
                </c:pt>
                <c:pt idx="218">
                  <c:v>3871.9859999999999</c:v>
                </c:pt>
                <c:pt idx="219">
                  <c:v>3889.26</c:v>
                </c:pt>
                <c:pt idx="220">
                  <c:v>3885.6469999999999</c:v>
                </c:pt>
                <c:pt idx="221">
                  <c:v>3815.5120000000002</c:v>
                </c:pt>
                <c:pt idx="222">
                  <c:v>3797.9189999999999</c:v>
                </c:pt>
                <c:pt idx="223">
                  <c:v>3797.9189999999999</c:v>
                </c:pt>
                <c:pt idx="224">
                  <c:v>3797.9189999999999</c:v>
                </c:pt>
                <c:pt idx="225">
                  <c:v>3819.35</c:v>
                </c:pt>
                <c:pt idx="226">
                  <c:v>3843.248</c:v>
                </c:pt>
                <c:pt idx="227">
                  <c:v>3820.5830000000001</c:v>
                </c:pt>
                <c:pt idx="228">
                  <c:v>3799.2620000000002</c:v>
                </c:pt>
                <c:pt idx="229">
                  <c:v>3880.5169999999998</c:v>
                </c:pt>
                <c:pt idx="230">
                  <c:v>3880.5169999999998</c:v>
                </c:pt>
                <c:pt idx="231">
                  <c:v>3880.5169999999998</c:v>
                </c:pt>
                <c:pt idx="232">
                  <c:v>3880.7069999999999</c:v>
                </c:pt>
                <c:pt idx="233">
                  <c:v>3940.6909999999998</c:v>
                </c:pt>
                <c:pt idx="234">
                  <c:v>3934.4050000000002</c:v>
                </c:pt>
                <c:pt idx="235">
                  <c:v>3952.4760000000001</c:v>
                </c:pt>
                <c:pt idx="236">
                  <c:v>3916.1329999999998</c:v>
                </c:pt>
                <c:pt idx="237">
                  <c:v>3916.1329999999998</c:v>
                </c:pt>
                <c:pt idx="238">
                  <c:v>3916.1329999999998</c:v>
                </c:pt>
                <c:pt idx="239">
                  <c:v>3942.8939999999998</c:v>
                </c:pt>
                <c:pt idx="240">
                  <c:v>3915.3330000000001</c:v>
                </c:pt>
                <c:pt idx="241">
                  <c:v>4009.087</c:v>
                </c:pt>
                <c:pt idx="242">
                  <c:v>3990.34</c:v>
                </c:pt>
                <c:pt idx="243">
                  <c:v>3924.8980000000001</c:v>
                </c:pt>
                <c:pt idx="244">
                  <c:v>3924.8980000000001</c:v>
                </c:pt>
                <c:pt idx="245">
                  <c:v>3924.8980000000001</c:v>
                </c:pt>
                <c:pt idx="246">
                  <c:v>3874.4070000000002</c:v>
                </c:pt>
                <c:pt idx="247">
                  <c:v>3882.116</c:v>
                </c:pt>
                <c:pt idx="248">
                  <c:v>3934.9409999999998</c:v>
                </c:pt>
                <c:pt idx="249">
                  <c:v>3934.4189999999999</c:v>
                </c:pt>
                <c:pt idx="250">
                  <c:v>3893.1790000000001</c:v>
                </c:pt>
                <c:pt idx="251">
                  <c:v>3893.1790000000001</c:v>
                </c:pt>
                <c:pt idx="252">
                  <c:v>3893.1790000000001</c:v>
                </c:pt>
                <c:pt idx="253">
                  <c:v>3911.5529999999999</c:v>
                </c:pt>
                <c:pt idx="254">
                  <c:v>3893.2249999999999</c:v>
                </c:pt>
                <c:pt idx="255">
                  <c:v>3938.7190000000001</c:v>
                </c:pt>
                <c:pt idx="256">
                  <c:v>3947.692</c:v>
                </c:pt>
                <c:pt idx="257">
                  <c:v>3932.5369999999998</c:v>
                </c:pt>
                <c:pt idx="258">
                  <c:v>3932.5369999999998</c:v>
                </c:pt>
                <c:pt idx="259">
                  <c:v>3932.5369999999998</c:v>
                </c:pt>
                <c:pt idx="260">
                  <c:v>3924.1770000000001</c:v>
                </c:pt>
                <c:pt idx="261">
                  <c:v>3907.5929999999998</c:v>
                </c:pt>
                <c:pt idx="262">
                  <c:v>3872.4319999999998</c:v>
                </c:pt>
                <c:pt idx="263">
                  <c:v>3868.2339999999999</c:v>
                </c:pt>
                <c:pt idx="264">
                  <c:v>3877.6860000000001</c:v>
                </c:pt>
                <c:pt idx="265">
                  <c:v>3877.6860000000001</c:v>
                </c:pt>
                <c:pt idx="266">
                  <c:v>3877.6860000000001</c:v>
                </c:pt>
                <c:pt idx="267">
                  <c:v>3864.7829999999999</c:v>
                </c:pt>
                <c:pt idx="268">
                  <c:v>3859.0039999999999</c:v>
                </c:pt>
                <c:pt idx="269">
                  <c:v>3953.7069999999999</c:v>
                </c:pt>
                <c:pt idx="270">
                  <c:v>3939.9140000000002</c:v>
                </c:pt>
                <c:pt idx="271">
                  <c:v>3967.36</c:v>
                </c:pt>
                <c:pt idx="272">
                  <c:v>3967.36</c:v>
                </c:pt>
                <c:pt idx="273">
                  <c:v>3967.36</c:v>
                </c:pt>
                <c:pt idx="274">
                  <c:v>3937.1010000000001</c:v>
                </c:pt>
                <c:pt idx="275">
                  <c:v>3848.8580000000002</c:v>
                </c:pt>
                <c:pt idx="276">
                  <c:v>3875.346</c:v>
                </c:pt>
                <c:pt idx="277">
                  <c:v>3805.2669999999998</c:v>
                </c:pt>
                <c:pt idx="278">
                  <c:v>3790.9929999999999</c:v>
                </c:pt>
                <c:pt idx="279">
                  <c:v>3790.9929999999999</c:v>
                </c:pt>
                <c:pt idx="280">
                  <c:v>3790.9929999999999</c:v>
                </c:pt>
                <c:pt idx="281">
                  <c:v>3801.5320000000002</c:v>
                </c:pt>
                <c:pt idx="282">
                  <c:v>3886.8560000000002</c:v>
                </c:pt>
                <c:pt idx="283">
                  <c:v>3819.3809999999999</c:v>
                </c:pt>
                <c:pt idx="284">
                  <c:v>3814.0569999999998</c:v>
                </c:pt>
                <c:pt idx="285">
                  <c:v>3767.8939999999998</c:v>
                </c:pt>
                <c:pt idx="286">
                  <c:v>3767.8939999999998</c:v>
                </c:pt>
                <c:pt idx="287">
                  <c:v>3767.8939999999998</c:v>
                </c:pt>
                <c:pt idx="288">
                  <c:v>3842.4409999999998</c:v>
                </c:pt>
                <c:pt idx="289">
                  <c:v>3826.7089999999998</c:v>
                </c:pt>
                <c:pt idx="290">
                  <c:v>3877.84</c:v>
                </c:pt>
                <c:pt idx="291">
                  <c:v>3962.0120000000002</c:v>
                </c:pt>
                <c:pt idx="292">
                  <c:v>4009.598</c:v>
                </c:pt>
                <c:pt idx="293">
                  <c:v>4009.598</c:v>
                </c:pt>
                <c:pt idx="294">
                  <c:v>4009.598</c:v>
                </c:pt>
                <c:pt idx="295">
                  <c:v>3984.3159999999998</c:v>
                </c:pt>
                <c:pt idx="296">
                  <c:v>3992.9630000000002</c:v>
                </c:pt>
                <c:pt idx="297">
                  <c:v>4045.076</c:v>
                </c:pt>
                <c:pt idx="298">
                  <c:v>4000.1419999999998</c:v>
                </c:pt>
                <c:pt idx="299">
                  <c:v>3966.828</c:v>
                </c:pt>
                <c:pt idx="300">
                  <c:v>3966.828</c:v>
                </c:pt>
                <c:pt idx="301">
                  <c:v>3966.828</c:v>
                </c:pt>
                <c:pt idx="302">
                  <c:v>4014.7150000000001</c:v>
                </c:pt>
                <c:pt idx="303">
                  <c:v>3972.3719999999998</c:v>
                </c:pt>
                <c:pt idx="304">
                  <c:v>3995.0709999999999</c:v>
                </c:pt>
                <c:pt idx="305">
                  <c:v>3995.5540000000001</c:v>
                </c:pt>
                <c:pt idx="306">
                  <c:v>4073.7689999999998</c:v>
                </c:pt>
                <c:pt idx="307">
                  <c:v>4073.7689999999998</c:v>
                </c:pt>
                <c:pt idx="308">
                  <c:v>4073.7689999999998</c:v>
                </c:pt>
                <c:pt idx="309">
                  <c:v>4054.8440000000001</c:v>
                </c:pt>
                <c:pt idx="310">
                  <c:v>4121.6509999999998</c:v>
                </c:pt>
                <c:pt idx="311">
                  <c:v>4087.3670000000002</c:v>
                </c:pt>
                <c:pt idx="312">
                  <c:v>4087.62</c:v>
                </c:pt>
                <c:pt idx="313">
                  <c:v>4145.3469999999998</c:v>
                </c:pt>
                <c:pt idx="314">
                  <c:v>4145.3469999999998</c:v>
                </c:pt>
                <c:pt idx="315">
                  <c:v>4145.3469999999998</c:v>
                </c:pt>
                <c:pt idx="316">
                  <c:v>4115.0749999999998</c:v>
                </c:pt>
                <c:pt idx="317">
                  <c:v>4039.6930000000002</c:v>
                </c:pt>
                <c:pt idx="318">
                  <c:v>4064.8870000000002</c:v>
                </c:pt>
                <c:pt idx="319">
                  <c:v>4062.2449999999999</c:v>
                </c:pt>
                <c:pt idx="320">
                  <c:v>3978.777</c:v>
                </c:pt>
                <c:pt idx="321">
                  <c:v>3978.777</c:v>
                </c:pt>
                <c:pt idx="322">
                  <c:v>3978.777</c:v>
                </c:pt>
                <c:pt idx="323">
                  <c:v>3990.2060000000001</c:v>
                </c:pt>
                <c:pt idx="324">
                  <c:v>3986.567</c:v>
                </c:pt>
                <c:pt idx="325">
                  <c:v>3999.6909999999998</c:v>
                </c:pt>
                <c:pt idx="326">
                  <c:v>4043.0369999999998</c:v>
                </c:pt>
                <c:pt idx="327">
                  <c:v>4132.991</c:v>
                </c:pt>
                <c:pt idx="328">
                  <c:v>4132.991</c:v>
                </c:pt>
                <c:pt idx="329">
                  <c:v>4132.991</c:v>
                </c:pt>
                <c:pt idx="330">
                  <c:v>4091.0940000000001</c:v>
                </c:pt>
                <c:pt idx="331">
                  <c:v>4082.473</c:v>
                </c:pt>
                <c:pt idx="332">
                  <c:v>4057.0839999999998</c:v>
                </c:pt>
                <c:pt idx="333">
                  <c:v>4021.7240000000002</c:v>
                </c:pt>
                <c:pt idx="334">
                  <c:v>4029.7370000000001</c:v>
                </c:pt>
                <c:pt idx="335">
                  <c:v>4029.7370000000001</c:v>
                </c:pt>
                <c:pt idx="336">
                  <c:v>4029.7370000000001</c:v>
                </c:pt>
                <c:pt idx="337">
                  <c:v>3983.7190000000001</c:v>
                </c:pt>
                <c:pt idx="338">
                  <c:v>3951.27</c:v>
                </c:pt>
                <c:pt idx="339">
                  <c:v>3970.1219999999998</c:v>
                </c:pt>
                <c:pt idx="340">
                  <c:v>3955.462</c:v>
                </c:pt>
                <c:pt idx="341">
                  <c:v>3938.8870000000002</c:v>
                </c:pt>
                <c:pt idx="342">
                  <c:v>3938.8870000000002</c:v>
                </c:pt>
                <c:pt idx="343">
                  <c:v>3938.8870000000002</c:v>
                </c:pt>
                <c:pt idx="344">
                  <c:v>3939.672</c:v>
                </c:pt>
                <c:pt idx="345">
                  <c:v>3891.1210000000001</c:v>
                </c:pt>
                <c:pt idx="346">
                  <c:v>3911.9279999999999</c:v>
                </c:pt>
                <c:pt idx="347">
                  <c:v>3912.4430000000002</c:v>
                </c:pt>
                <c:pt idx="348">
                  <c:v>3893.759</c:v>
                </c:pt>
                <c:pt idx="349">
                  <c:v>3893.759</c:v>
                </c:pt>
                <c:pt idx="350">
                  <c:v>3893.759</c:v>
                </c:pt>
                <c:pt idx="351">
                  <c:v>3851.7840000000001</c:v>
                </c:pt>
                <c:pt idx="352">
                  <c:v>3821.817</c:v>
                </c:pt>
                <c:pt idx="353">
                  <c:v>3863.576</c:v>
                </c:pt>
                <c:pt idx="354">
                  <c:v>3804.15</c:v>
                </c:pt>
                <c:pt idx="355">
                  <c:v>3807.462</c:v>
                </c:pt>
                <c:pt idx="356">
                  <c:v>3807.462</c:v>
                </c:pt>
                <c:pt idx="357">
                  <c:v>3807.462</c:v>
                </c:pt>
                <c:pt idx="358">
                  <c:v>3810.1669999999999</c:v>
                </c:pt>
                <c:pt idx="359">
                  <c:v>3816.442</c:v>
                </c:pt>
                <c:pt idx="360">
                  <c:v>3797.7719999999999</c:v>
                </c:pt>
                <c:pt idx="361">
                  <c:v>3803.2710000000002</c:v>
                </c:pt>
                <c:pt idx="362">
                  <c:v>3791.9160000000002</c:v>
                </c:pt>
                <c:pt idx="363">
                  <c:v>3791.9160000000002</c:v>
                </c:pt>
                <c:pt idx="364">
                  <c:v>3791.9160000000002</c:v>
                </c:pt>
                <c:pt idx="365">
                  <c:v>3837.134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FBC-4228-834C-76FE6FD7E750}"/>
            </c:ext>
          </c:extLst>
        </c:ser>
        <c:ser>
          <c:idx val="3"/>
          <c:order val="3"/>
          <c:tx>
            <c:strRef>
              <c:f>'daily monitor'!$AM$99</c:f>
              <c:strCache>
                <c:ptCount val="1"/>
                <c:pt idx="0">
                  <c:v>영국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'daily monitor'!$AI$101:$AI$467</c:f>
              <c:numCache>
                <c:formatCode>yyyy/mm/dd</c:formatCode>
                <c:ptCount val="367"/>
                <c:pt idx="0">
                  <c:v>45688</c:v>
                </c:pt>
                <c:pt idx="1">
                  <c:v>45687</c:v>
                </c:pt>
                <c:pt idx="2">
                  <c:v>45686</c:v>
                </c:pt>
                <c:pt idx="3">
                  <c:v>45685</c:v>
                </c:pt>
                <c:pt idx="4">
                  <c:v>45684</c:v>
                </c:pt>
                <c:pt idx="5">
                  <c:v>45683</c:v>
                </c:pt>
                <c:pt idx="6">
                  <c:v>45682</c:v>
                </c:pt>
                <c:pt idx="7">
                  <c:v>45681</c:v>
                </c:pt>
                <c:pt idx="8">
                  <c:v>45680</c:v>
                </c:pt>
                <c:pt idx="9">
                  <c:v>45679</c:v>
                </c:pt>
                <c:pt idx="10">
                  <c:v>45678</c:v>
                </c:pt>
                <c:pt idx="11">
                  <c:v>45677</c:v>
                </c:pt>
                <c:pt idx="12">
                  <c:v>45676</c:v>
                </c:pt>
                <c:pt idx="13">
                  <c:v>45675</c:v>
                </c:pt>
                <c:pt idx="14">
                  <c:v>45674</c:v>
                </c:pt>
                <c:pt idx="15">
                  <c:v>45673</c:v>
                </c:pt>
                <c:pt idx="16">
                  <c:v>45672</c:v>
                </c:pt>
                <c:pt idx="17">
                  <c:v>45671</c:v>
                </c:pt>
                <c:pt idx="18">
                  <c:v>45670</c:v>
                </c:pt>
                <c:pt idx="19">
                  <c:v>45669</c:v>
                </c:pt>
                <c:pt idx="20">
                  <c:v>45668</c:v>
                </c:pt>
                <c:pt idx="21">
                  <c:v>45667</c:v>
                </c:pt>
                <c:pt idx="22">
                  <c:v>45666</c:v>
                </c:pt>
                <c:pt idx="23">
                  <c:v>45665</c:v>
                </c:pt>
                <c:pt idx="24">
                  <c:v>45664</c:v>
                </c:pt>
                <c:pt idx="25">
                  <c:v>45663</c:v>
                </c:pt>
                <c:pt idx="26">
                  <c:v>45662</c:v>
                </c:pt>
                <c:pt idx="27">
                  <c:v>45661</c:v>
                </c:pt>
                <c:pt idx="28">
                  <c:v>45660</c:v>
                </c:pt>
                <c:pt idx="29">
                  <c:v>45659</c:v>
                </c:pt>
                <c:pt idx="30">
                  <c:v>45658</c:v>
                </c:pt>
                <c:pt idx="31">
                  <c:v>45657</c:v>
                </c:pt>
                <c:pt idx="32">
                  <c:v>45656</c:v>
                </c:pt>
                <c:pt idx="33">
                  <c:v>45655</c:v>
                </c:pt>
                <c:pt idx="34">
                  <c:v>45654</c:v>
                </c:pt>
                <c:pt idx="35">
                  <c:v>45653</c:v>
                </c:pt>
                <c:pt idx="36">
                  <c:v>45652</c:v>
                </c:pt>
                <c:pt idx="37">
                  <c:v>45651</c:v>
                </c:pt>
                <c:pt idx="38">
                  <c:v>45650</c:v>
                </c:pt>
                <c:pt idx="39">
                  <c:v>45649</c:v>
                </c:pt>
                <c:pt idx="40">
                  <c:v>45648</c:v>
                </c:pt>
                <c:pt idx="41">
                  <c:v>45647</c:v>
                </c:pt>
                <c:pt idx="42">
                  <c:v>45646</c:v>
                </c:pt>
                <c:pt idx="43">
                  <c:v>45645</c:v>
                </c:pt>
                <c:pt idx="44">
                  <c:v>45644</c:v>
                </c:pt>
                <c:pt idx="45">
                  <c:v>45643</c:v>
                </c:pt>
                <c:pt idx="46">
                  <c:v>45642</c:v>
                </c:pt>
                <c:pt idx="47">
                  <c:v>45641</c:v>
                </c:pt>
                <c:pt idx="48">
                  <c:v>45640</c:v>
                </c:pt>
                <c:pt idx="49">
                  <c:v>45639</c:v>
                </c:pt>
                <c:pt idx="50">
                  <c:v>45638</c:v>
                </c:pt>
                <c:pt idx="51">
                  <c:v>45637</c:v>
                </c:pt>
                <c:pt idx="52">
                  <c:v>45636</c:v>
                </c:pt>
                <c:pt idx="53">
                  <c:v>45635</c:v>
                </c:pt>
                <c:pt idx="54">
                  <c:v>45634</c:v>
                </c:pt>
                <c:pt idx="55">
                  <c:v>45633</c:v>
                </c:pt>
                <c:pt idx="56">
                  <c:v>45632</c:v>
                </c:pt>
                <c:pt idx="57">
                  <c:v>45631</c:v>
                </c:pt>
                <c:pt idx="58">
                  <c:v>45630</c:v>
                </c:pt>
                <c:pt idx="59">
                  <c:v>45629</c:v>
                </c:pt>
                <c:pt idx="60">
                  <c:v>45628</c:v>
                </c:pt>
                <c:pt idx="61">
                  <c:v>45627</c:v>
                </c:pt>
                <c:pt idx="62">
                  <c:v>45626</c:v>
                </c:pt>
                <c:pt idx="63">
                  <c:v>45625</c:v>
                </c:pt>
                <c:pt idx="64">
                  <c:v>45624</c:v>
                </c:pt>
                <c:pt idx="65">
                  <c:v>45623</c:v>
                </c:pt>
                <c:pt idx="66">
                  <c:v>45622</c:v>
                </c:pt>
                <c:pt idx="67">
                  <c:v>45621</c:v>
                </c:pt>
                <c:pt idx="68">
                  <c:v>45620</c:v>
                </c:pt>
                <c:pt idx="69">
                  <c:v>45619</c:v>
                </c:pt>
                <c:pt idx="70">
                  <c:v>45618</c:v>
                </c:pt>
                <c:pt idx="71">
                  <c:v>45617</c:v>
                </c:pt>
                <c:pt idx="72">
                  <c:v>45616</c:v>
                </c:pt>
                <c:pt idx="73">
                  <c:v>45615</c:v>
                </c:pt>
                <c:pt idx="74">
                  <c:v>45614</c:v>
                </c:pt>
                <c:pt idx="75">
                  <c:v>45613</c:v>
                </c:pt>
                <c:pt idx="76">
                  <c:v>45612</c:v>
                </c:pt>
                <c:pt idx="77">
                  <c:v>45611</c:v>
                </c:pt>
                <c:pt idx="78">
                  <c:v>45610</c:v>
                </c:pt>
                <c:pt idx="79">
                  <c:v>45609</c:v>
                </c:pt>
                <c:pt idx="80">
                  <c:v>45608</c:v>
                </c:pt>
                <c:pt idx="81">
                  <c:v>45607</c:v>
                </c:pt>
                <c:pt idx="82">
                  <c:v>45606</c:v>
                </c:pt>
                <c:pt idx="83">
                  <c:v>45605</c:v>
                </c:pt>
                <c:pt idx="84">
                  <c:v>45604</c:v>
                </c:pt>
                <c:pt idx="85">
                  <c:v>45603</c:v>
                </c:pt>
                <c:pt idx="86">
                  <c:v>45602</c:v>
                </c:pt>
                <c:pt idx="87">
                  <c:v>45601</c:v>
                </c:pt>
                <c:pt idx="88">
                  <c:v>45600</c:v>
                </c:pt>
                <c:pt idx="89">
                  <c:v>45599</c:v>
                </c:pt>
                <c:pt idx="90">
                  <c:v>45598</c:v>
                </c:pt>
                <c:pt idx="91">
                  <c:v>45597</c:v>
                </c:pt>
                <c:pt idx="92">
                  <c:v>45596</c:v>
                </c:pt>
                <c:pt idx="93">
                  <c:v>45595</c:v>
                </c:pt>
                <c:pt idx="94">
                  <c:v>45594</c:v>
                </c:pt>
                <c:pt idx="95">
                  <c:v>45593</c:v>
                </c:pt>
                <c:pt idx="96">
                  <c:v>45592</c:v>
                </c:pt>
                <c:pt idx="97">
                  <c:v>45591</c:v>
                </c:pt>
                <c:pt idx="98">
                  <c:v>45590</c:v>
                </c:pt>
                <c:pt idx="99">
                  <c:v>45589</c:v>
                </c:pt>
                <c:pt idx="100">
                  <c:v>45588</c:v>
                </c:pt>
                <c:pt idx="101">
                  <c:v>45587</c:v>
                </c:pt>
                <c:pt idx="102">
                  <c:v>45586</c:v>
                </c:pt>
                <c:pt idx="103">
                  <c:v>45585</c:v>
                </c:pt>
                <c:pt idx="104">
                  <c:v>45584</c:v>
                </c:pt>
                <c:pt idx="105">
                  <c:v>45583</c:v>
                </c:pt>
                <c:pt idx="106">
                  <c:v>45582</c:v>
                </c:pt>
                <c:pt idx="107">
                  <c:v>45581</c:v>
                </c:pt>
                <c:pt idx="108">
                  <c:v>45580</c:v>
                </c:pt>
                <c:pt idx="109">
                  <c:v>45579</c:v>
                </c:pt>
                <c:pt idx="110">
                  <c:v>45578</c:v>
                </c:pt>
                <c:pt idx="111">
                  <c:v>45577</c:v>
                </c:pt>
                <c:pt idx="112">
                  <c:v>45576</c:v>
                </c:pt>
                <c:pt idx="113">
                  <c:v>45575</c:v>
                </c:pt>
                <c:pt idx="114">
                  <c:v>45574</c:v>
                </c:pt>
                <c:pt idx="115">
                  <c:v>45573</c:v>
                </c:pt>
                <c:pt idx="116">
                  <c:v>45572</c:v>
                </c:pt>
                <c:pt idx="117">
                  <c:v>45571</c:v>
                </c:pt>
                <c:pt idx="118">
                  <c:v>45570</c:v>
                </c:pt>
                <c:pt idx="119">
                  <c:v>45569</c:v>
                </c:pt>
                <c:pt idx="120">
                  <c:v>45568</c:v>
                </c:pt>
                <c:pt idx="121">
                  <c:v>45567</c:v>
                </c:pt>
                <c:pt idx="122">
                  <c:v>45566</c:v>
                </c:pt>
                <c:pt idx="123">
                  <c:v>45565</c:v>
                </c:pt>
                <c:pt idx="124">
                  <c:v>45564</c:v>
                </c:pt>
                <c:pt idx="125">
                  <c:v>45563</c:v>
                </c:pt>
                <c:pt idx="126">
                  <c:v>45562</c:v>
                </c:pt>
                <c:pt idx="127">
                  <c:v>45561</c:v>
                </c:pt>
                <c:pt idx="128">
                  <c:v>45560</c:v>
                </c:pt>
                <c:pt idx="129">
                  <c:v>45559</c:v>
                </c:pt>
                <c:pt idx="130">
                  <c:v>45558</c:v>
                </c:pt>
                <c:pt idx="131">
                  <c:v>45557</c:v>
                </c:pt>
                <c:pt idx="132">
                  <c:v>45556</c:v>
                </c:pt>
                <c:pt idx="133">
                  <c:v>45555</c:v>
                </c:pt>
                <c:pt idx="134">
                  <c:v>45554</c:v>
                </c:pt>
                <c:pt idx="135">
                  <c:v>45553</c:v>
                </c:pt>
                <c:pt idx="136">
                  <c:v>45552</c:v>
                </c:pt>
                <c:pt idx="137">
                  <c:v>45551</c:v>
                </c:pt>
                <c:pt idx="138">
                  <c:v>45550</c:v>
                </c:pt>
                <c:pt idx="139">
                  <c:v>45549</c:v>
                </c:pt>
                <c:pt idx="140">
                  <c:v>45548</c:v>
                </c:pt>
                <c:pt idx="141">
                  <c:v>45547</c:v>
                </c:pt>
                <c:pt idx="142">
                  <c:v>45546</c:v>
                </c:pt>
                <c:pt idx="143">
                  <c:v>45545</c:v>
                </c:pt>
                <c:pt idx="144">
                  <c:v>45544</c:v>
                </c:pt>
                <c:pt idx="145">
                  <c:v>45543</c:v>
                </c:pt>
                <c:pt idx="146">
                  <c:v>45542</c:v>
                </c:pt>
                <c:pt idx="147">
                  <c:v>45541</c:v>
                </c:pt>
                <c:pt idx="148">
                  <c:v>45540</c:v>
                </c:pt>
                <c:pt idx="149">
                  <c:v>45539</c:v>
                </c:pt>
                <c:pt idx="150">
                  <c:v>45538</c:v>
                </c:pt>
                <c:pt idx="151">
                  <c:v>45537</c:v>
                </c:pt>
                <c:pt idx="152">
                  <c:v>45536</c:v>
                </c:pt>
                <c:pt idx="153">
                  <c:v>45535</c:v>
                </c:pt>
                <c:pt idx="154">
                  <c:v>45534</c:v>
                </c:pt>
                <c:pt idx="155">
                  <c:v>45533</c:v>
                </c:pt>
                <c:pt idx="156">
                  <c:v>45532</c:v>
                </c:pt>
                <c:pt idx="157">
                  <c:v>45531</c:v>
                </c:pt>
                <c:pt idx="158">
                  <c:v>45530</c:v>
                </c:pt>
                <c:pt idx="159">
                  <c:v>45529</c:v>
                </c:pt>
                <c:pt idx="160">
                  <c:v>45528</c:v>
                </c:pt>
                <c:pt idx="161">
                  <c:v>45527</c:v>
                </c:pt>
                <c:pt idx="162">
                  <c:v>45526</c:v>
                </c:pt>
                <c:pt idx="163">
                  <c:v>45525</c:v>
                </c:pt>
                <c:pt idx="164">
                  <c:v>45524</c:v>
                </c:pt>
                <c:pt idx="165">
                  <c:v>45523</c:v>
                </c:pt>
                <c:pt idx="166">
                  <c:v>45522</c:v>
                </c:pt>
                <c:pt idx="167">
                  <c:v>45521</c:v>
                </c:pt>
                <c:pt idx="168">
                  <c:v>45520</c:v>
                </c:pt>
                <c:pt idx="169">
                  <c:v>45519</c:v>
                </c:pt>
                <c:pt idx="170">
                  <c:v>45518</c:v>
                </c:pt>
                <c:pt idx="171">
                  <c:v>45517</c:v>
                </c:pt>
                <c:pt idx="172">
                  <c:v>45516</c:v>
                </c:pt>
                <c:pt idx="173">
                  <c:v>45515</c:v>
                </c:pt>
                <c:pt idx="174">
                  <c:v>45514</c:v>
                </c:pt>
                <c:pt idx="175">
                  <c:v>45513</c:v>
                </c:pt>
                <c:pt idx="176">
                  <c:v>45512</c:v>
                </c:pt>
                <c:pt idx="177">
                  <c:v>45511</c:v>
                </c:pt>
                <c:pt idx="178">
                  <c:v>45510</c:v>
                </c:pt>
                <c:pt idx="179">
                  <c:v>45509</c:v>
                </c:pt>
                <c:pt idx="180">
                  <c:v>45508</c:v>
                </c:pt>
                <c:pt idx="181">
                  <c:v>45507</c:v>
                </c:pt>
                <c:pt idx="182">
                  <c:v>45506</c:v>
                </c:pt>
                <c:pt idx="183">
                  <c:v>45505</c:v>
                </c:pt>
                <c:pt idx="184">
                  <c:v>45504</c:v>
                </c:pt>
                <c:pt idx="185">
                  <c:v>45503</c:v>
                </c:pt>
                <c:pt idx="186">
                  <c:v>45502</c:v>
                </c:pt>
                <c:pt idx="187">
                  <c:v>45501</c:v>
                </c:pt>
                <c:pt idx="188">
                  <c:v>45500</c:v>
                </c:pt>
                <c:pt idx="189">
                  <c:v>45499</c:v>
                </c:pt>
                <c:pt idx="190">
                  <c:v>45498</c:v>
                </c:pt>
                <c:pt idx="191">
                  <c:v>45497</c:v>
                </c:pt>
                <c:pt idx="192">
                  <c:v>45496</c:v>
                </c:pt>
                <c:pt idx="193">
                  <c:v>45495</c:v>
                </c:pt>
                <c:pt idx="194">
                  <c:v>45494</c:v>
                </c:pt>
                <c:pt idx="195">
                  <c:v>45493</c:v>
                </c:pt>
                <c:pt idx="196">
                  <c:v>45492</c:v>
                </c:pt>
                <c:pt idx="197">
                  <c:v>45491</c:v>
                </c:pt>
                <c:pt idx="198">
                  <c:v>45490</c:v>
                </c:pt>
                <c:pt idx="199">
                  <c:v>45489</c:v>
                </c:pt>
                <c:pt idx="200">
                  <c:v>45488</c:v>
                </c:pt>
                <c:pt idx="201">
                  <c:v>45487</c:v>
                </c:pt>
                <c:pt idx="202">
                  <c:v>45486</c:v>
                </c:pt>
                <c:pt idx="203">
                  <c:v>45485</c:v>
                </c:pt>
                <c:pt idx="204">
                  <c:v>45484</c:v>
                </c:pt>
                <c:pt idx="205">
                  <c:v>45483</c:v>
                </c:pt>
                <c:pt idx="206">
                  <c:v>45482</c:v>
                </c:pt>
                <c:pt idx="207">
                  <c:v>45481</c:v>
                </c:pt>
                <c:pt idx="208">
                  <c:v>45480</c:v>
                </c:pt>
                <c:pt idx="209">
                  <c:v>45479</c:v>
                </c:pt>
                <c:pt idx="210">
                  <c:v>45478</c:v>
                </c:pt>
                <c:pt idx="211">
                  <c:v>45477</c:v>
                </c:pt>
                <c:pt idx="212">
                  <c:v>45476</c:v>
                </c:pt>
                <c:pt idx="213">
                  <c:v>45475</c:v>
                </c:pt>
                <c:pt idx="214">
                  <c:v>45474</c:v>
                </c:pt>
                <c:pt idx="215">
                  <c:v>45473</c:v>
                </c:pt>
                <c:pt idx="216">
                  <c:v>45472</c:v>
                </c:pt>
                <c:pt idx="217">
                  <c:v>45471</c:v>
                </c:pt>
                <c:pt idx="218">
                  <c:v>45470</c:v>
                </c:pt>
                <c:pt idx="219">
                  <c:v>45469</c:v>
                </c:pt>
                <c:pt idx="220">
                  <c:v>45468</c:v>
                </c:pt>
                <c:pt idx="221">
                  <c:v>45467</c:v>
                </c:pt>
                <c:pt idx="222">
                  <c:v>45466</c:v>
                </c:pt>
                <c:pt idx="223">
                  <c:v>45465</c:v>
                </c:pt>
                <c:pt idx="224">
                  <c:v>45464</c:v>
                </c:pt>
                <c:pt idx="225">
                  <c:v>45463</c:v>
                </c:pt>
                <c:pt idx="226">
                  <c:v>45462</c:v>
                </c:pt>
                <c:pt idx="227">
                  <c:v>45461</c:v>
                </c:pt>
                <c:pt idx="228">
                  <c:v>45460</c:v>
                </c:pt>
                <c:pt idx="229">
                  <c:v>45459</c:v>
                </c:pt>
                <c:pt idx="230">
                  <c:v>45458</c:v>
                </c:pt>
                <c:pt idx="231">
                  <c:v>45457</c:v>
                </c:pt>
                <c:pt idx="232">
                  <c:v>45456</c:v>
                </c:pt>
                <c:pt idx="233">
                  <c:v>45455</c:v>
                </c:pt>
                <c:pt idx="234">
                  <c:v>45454</c:v>
                </c:pt>
                <c:pt idx="235">
                  <c:v>45453</c:v>
                </c:pt>
                <c:pt idx="236">
                  <c:v>45452</c:v>
                </c:pt>
                <c:pt idx="237">
                  <c:v>45451</c:v>
                </c:pt>
                <c:pt idx="238">
                  <c:v>45450</c:v>
                </c:pt>
                <c:pt idx="239">
                  <c:v>45449</c:v>
                </c:pt>
                <c:pt idx="240">
                  <c:v>45448</c:v>
                </c:pt>
                <c:pt idx="241">
                  <c:v>45447</c:v>
                </c:pt>
                <c:pt idx="242">
                  <c:v>45446</c:v>
                </c:pt>
                <c:pt idx="243">
                  <c:v>45445</c:v>
                </c:pt>
                <c:pt idx="244">
                  <c:v>45444</c:v>
                </c:pt>
                <c:pt idx="245">
                  <c:v>45443</c:v>
                </c:pt>
                <c:pt idx="246">
                  <c:v>45442</c:v>
                </c:pt>
                <c:pt idx="247">
                  <c:v>45441</c:v>
                </c:pt>
                <c:pt idx="248">
                  <c:v>45440</c:v>
                </c:pt>
                <c:pt idx="249">
                  <c:v>45439</c:v>
                </c:pt>
                <c:pt idx="250">
                  <c:v>45438</c:v>
                </c:pt>
                <c:pt idx="251">
                  <c:v>45437</c:v>
                </c:pt>
                <c:pt idx="252">
                  <c:v>45436</c:v>
                </c:pt>
                <c:pt idx="253">
                  <c:v>45435</c:v>
                </c:pt>
                <c:pt idx="254">
                  <c:v>45434</c:v>
                </c:pt>
                <c:pt idx="255">
                  <c:v>45433</c:v>
                </c:pt>
                <c:pt idx="256">
                  <c:v>45432</c:v>
                </c:pt>
                <c:pt idx="257">
                  <c:v>45431</c:v>
                </c:pt>
                <c:pt idx="258">
                  <c:v>45430</c:v>
                </c:pt>
                <c:pt idx="259">
                  <c:v>45429</c:v>
                </c:pt>
                <c:pt idx="260">
                  <c:v>45428</c:v>
                </c:pt>
                <c:pt idx="261">
                  <c:v>45427</c:v>
                </c:pt>
                <c:pt idx="262">
                  <c:v>45426</c:v>
                </c:pt>
                <c:pt idx="263">
                  <c:v>45425</c:v>
                </c:pt>
                <c:pt idx="264">
                  <c:v>45424</c:v>
                </c:pt>
                <c:pt idx="265">
                  <c:v>45423</c:v>
                </c:pt>
                <c:pt idx="266">
                  <c:v>45422</c:v>
                </c:pt>
                <c:pt idx="267">
                  <c:v>45421</c:v>
                </c:pt>
                <c:pt idx="268">
                  <c:v>45420</c:v>
                </c:pt>
                <c:pt idx="269">
                  <c:v>45419</c:v>
                </c:pt>
                <c:pt idx="270">
                  <c:v>45418</c:v>
                </c:pt>
                <c:pt idx="271">
                  <c:v>45417</c:v>
                </c:pt>
                <c:pt idx="272">
                  <c:v>45416</c:v>
                </c:pt>
                <c:pt idx="273">
                  <c:v>45415</c:v>
                </c:pt>
                <c:pt idx="274">
                  <c:v>45414</c:v>
                </c:pt>
                <c:pt idx="275">
                  <c:v>45413</c:v>
                </c:pt>
                <c:pt idx="276">
                  <c:v>45412</c:v>
                </c:pt>
                <c:pt idx="277">
                  <c:v>45411</c:v>
                </c:pt>
                <c:pt idx="278">
                  <c:v>45410</c:v>
                </c:pt>
                <c:pt idx="279">
                  <c:v>45409</c:v>
                </c:pt>
                <c:pt idx="280">
                  <c:v>45408</c:v>
                </c:pt>
                <c:pt idx="281">
                  <c:v>45407</c:v>
                </c:pt>
                <c:pt idx="282">
                  <c:v>45406</c:v>
                </c:pt>
                <c:pt idx="283">
                  <c:v>45405</c:v>
                </c:pt>
                <c:pt idx="284">
                  <c:v>45404</c:v>
                </c:pt>
                <c:pt idx="285">
                  <c:v>45403</c:v>
                </c:pt>
                <c:pt idx="286">
                  <c:v>45402</c:v>
                </c:pt>
                <c:pt idx="287">
                  <c:v>45401</c:v>
                </c:pt>
                <c:pt idx="288">
                  <c:v>45400</c:v>
                </c:pt>
                <c:pt idx="289">
                  <c:v>45399</c:v>
                </c:pt>
                <c:pt idx="290">
                  <c:v>45398</c:v>
                </c:pt>
                <c:pt idx="291">
                  <c:v>45397</c:v>
                </c:pt>
                <c:pt idx="292">
                  <c:v>45396</c:v>
                </c:pt>
                <c:pt idx="293">
                  <c:v>45395</c:v>
                </c:pt>
                <c:pt idx="294">
                  <c:v>45394</c:v>
                </c:pt>
                <c:pt idx="295">
                  <c:v>45393</c:v>
                </c:pt>
                <c:pt idx="296">
                  <c:v>45392</c:v>
                </c:pt>
                <c:pt idx="297">
                  <c:v>45391</c:v>
                </c:pt>
                <c:pt idx="298">
                  <c:v>45390</c:v>
                </c:pt>
                <c:pt idx="299">
                  <c:v>45389</c:v>
                </c:pt>
                <c:pt idx="300">
                  <c:v>45388</c:v>
                </c:pt>
                <c:pt idx="301">
                  <c:v>45387</c:v>
                </c:pt>
                <c:pt idx="302">
                  <c:v>45386</c:v>
                </c:pt>
                <c:pt idx="303">
                  <c:v>45385</c:v>
                </c:pt>
                <c:pt idx="304">
                  <c:v>45384</c:v>
                </c:pt>
                <c:pt idx="305">
                  <c:v>45383</c:v>
                </c:pt>
                <c:pt idx="306">
                  <c:v>45382</c:v>
                </c:pt>
                <c:pt idx="307">
                  <c:v>45381</c:v>
                </c:pt>
                <c:pt idx="308">
                  <c:v>45380</c:v>
                </c:pt>
                <c:pt idx="309">
                  <c:v>45379</c:v>
                </c:pt>
                <c:pt idx="310">
                  <c:v>45378</c:v>
                </c:pt>
                <c:pt idx="311">
                  <c:v>45377</c:v>
                </c:pt>
                <c:pt idx="312">
                  <c:v>45376</c:v>
                </c:pt>
                <c:pt idx="313">
                  <c:v>45375</c:v>
                </c:pt>
                <c:pt idx="314">
                  <c:v>45374</c:v>
                </c:pt>
                <c:pt idx="315">
                  <c:v>45373</c:v>
                </c:pt>
                <c:pt idx="316">
                  <c:v>45372</c:v>
                </c:pt>
                <c:pt idx="317">
                  <c:v>45371</c:v>
                </c:pt>
                <c:pt idx="318">
                  <c:v>45370</c:v>
                </c:pt>
                <c:pt idx="319">
                  <c:v>45369</c:v>
                </c:pt>
                <c:pt idx="320">
                  <c:v>45368</c:v>
                </c:pt>
                <c:pt idx="321">
                  <c:v>45367</c:v>
                </c:pt>
                <c:pt idx="322">
                  <c:v>45366</c:v>
                </c:pt>
                <c:pt idx="323">
                  <c:v>45365</c:v>
                </c:pt>
                <c:pt idx="324">
                  <c:v>45364</c:v>
                </c:pt>
                <c:pt idx="325">
                  <c:v>45363</c:v>
                </c:pt>
                <c:pt idx="326">
                  <c:v>45362</c:v>
                </c:pt>
                <c:pt idx="327">
                  <c:v>45361</c:v>
                </c:pt>
                <c:pt idx="328">
                  <c:v>45360</c:v>
                </c:pt>
                <c:pt idx="329">
                  <c:v>45359</c:v>
                </c:pt>
                <c:pt idx="330">
                  <c:v>45358</c:v>
                </c:pt>
                <c:pt idx="331">
                  <c:v>45357</c:v>
                </c:pt>
                <c:pt idx="332">
                  <c:v>45356</c:v>
                </c:pt>
                <c:pt idx="333">
                  <c:v>45355</c:v>
                </c:pt>
                <c:pt idx="334">
                  <c:v>45354</c:v>
                </c:pt>
                <c:pt idx="335">
                  <c:v>45353</c:v>
                </c:pt>
                <c:pt idx="336">
                  <c:v>45352</c:v>
                </c:pt>
                <c:pt idx="337">
                  <c:v>45351</c:v>
                </c:pt>
                <c:pt idx="338">
                  <c:v>45350</c:v>
                </c:pt>
                <c:pt idx="339">
                  <c:v>45349</c:v>
                </c:pt>
                <c:pt idx="340">
                  <c:v>45348</c:v>
                </c:pt>
                <c:pt idx="341">
                  <c:v>45347</c:v>
                </c:pt>
                <c:pt idx="342">
                  <c:v>45346</c:v>
                </c:pt>
                <c:pt idx="343">
                  <c:v>45345</c:v>
                </c:pt>
                <c:pt idx="344">
                  <c:v>45344</c:v>
                </c:pt>
                <c:pt idx="345">
                  <c:v>45343</c:v>
                </c:pt>
                <c:pt idx="346">
                  <c:v>45342</c:v>
                </c:pt>
                <c:pt idx="347">
                  <c:v>45341</c:v>
                </c:pt>
                <c:pt idx="348">
                  <c:v>45340</c:v>
                </c:pt>
                <c:pt idx="349">
                  <c:v>45339</c:v>
                </c:pt>
                <c:pt idx="350">
                  <c:v>45338</c:v>
                </c:pt>
                <c:pt idx="351">
                  <c:v>45337</c:v>
                </c:pt>
                <c:pt idx="352">
                  <c:v>45336</c:v>
                </c:pt>
                <c:pt idx="353">
                  <c:v>45335</c:v>
                </c:pt>
                <c:pt idx="354">
                  <c:v>45334</c:v>
                </c:pt>
                <c:pt idx="355">
                  <c:v>45333</c:v>
                </c:pt>
                <c:pt idx="356">
                  <c:v>45332</c:v>
                </c:pt>
                <c:pt idx="357">
                  <c:v>45331</c:v>
                </c:pt>
                <c:pt idx="358">
                  <c:v>45330</c:v>
                </c:pt>
                <c:pt idx="359">
                  <c:v>45329</c:v>
                </c:pt>
                <c:pt idx="360">
                  <c:v>45328</c:v>
                </c:pt>
                <c:pt idx="361">
                  <c:v>45327</c:v>
                </c:pt>
                <c:pt idx="362">
                  <c:v>45326</c:v>
                </c:pt>
                <c:pt idx="363">
                  <c:v>45325</c:v>
                </c:pt>
                <c:pt idx="364">
                  <c:v>45324</c:v>
                </c:pt>
                <c:pt idx="365">
                  <c:v>45323</c:v>
                </c:pt>
              </c:numCache>
            </c:numRef>
          </c:cat>
          <c:val>
            <c:numRef>
              <c:f>'daily monitor'!$AM$101:$AM$467</c:f>
              <c:numCache>
                <c:formatCode>General</c:formatCode>
                <c:ptCount val="367"/>
                <c:pt idx="0">
                  <c:v>1279.652</c:v>
                </c:pt>
                <c:pt idx="1">
                  <c:v>1280.3219999999999</c:v>
                </c:pt>
                <c:pt idx="2">
                  <c:v>1264.309</c:v>
                </c:pt>
                <c:pt idx="3">
                  <c:v>1260.502</c:v>
                </c:pt>
                <c:pt idx="4">
                  <c:v>1260.521</c:v>
                </c:pt>
                <c:pt idx="5">
                  <c:v>1260.674</c:v>
                </c:pt>
                <c:pt idx="6">
                  <c:v>1260.674</c:v>
                </c:pt>
                <c:pt idx="7">
                  <c:v>1260.674</c:v>
                </c:pt>
                <c:pt idx="8">
                  <c:v>1253.8150000000001</c:v>
                </c:pt>
                <c:pt idx="9">
                  <c:v>1250.0630000000001</c:v>
                </c:pt>
                <c:pt idx="10">
                  <c:v>1249.204</c:v>
                </c:pt>
                <c:pt idx="11">
                  <c:v>1244.4690000000001</c:v>
                </c:pt>
                <c:pt idx="12">
                  <c:v>1232.9970000000001</c:v>
                </c:pt>
                <c:pt idx="13">
                  <c:v>1232.9970000000001</c:v>
                </c:pt>
                <c:pt idx="14">
                  <c:v>1232.9970000000001</c:v>
                </c:pt>
                <c:pt idx="15">
                  <c:v>1220.3810000000001</c:v>
                </c:pt>
                <c:pt idx="16">
                  <c:v>1209.306</c:v>
                </c:pt>
                <c:pt idx="17">
                  <c:v>1190.135</c:v>
                </c:pt>
                <c:pt idx="18">
                  <c:v>1189.1400000000001</c:v>
                </c:pt>
                <c:pt idx="19">
                  <c:v>1199.95</c:v>
                </c:pt>
                <c:pt idx="20">
                  <c:v>1199.95</c:v>
                </c:pt>
                <c:pt idx="21">
                  <c:v>1199.95</c:v>
                </c:pt>
                <c:pt idx="22">
                  <c:v>1217.5740000000001</c:v>
                </c:pt>
                <c:pt idx="23">
                  <c:v>1211.48</c:v>
                </c:pt>
                <c:pt idx="24">
                  <c:v>1225.414</c:v>
                </c:pt>
                <c:pt idx="25">
                  <c:v>1227.1369999999999</c:v>
                </c:pt>
                <c:pt idx="26">
                  <c:v>1213.163</c:v>
                </c:pt>
                <c:pt idx="27">
                  <c:v>1213.163</c:v>
                </c:pt>
                <c:pt idx="28">
                  <c:v>1213.163</c:v>
                </c:pt>
                <c:pt idx="29">
                  <c:v>1215.6030000000001</c:v>
                </c:pt>
                <c:pt idx="30">
                  <c:v>1217</c:v>
                </c:pt>
                <c:pt idx="31">
                  <c:v>1217</c:v>
                </c:pt>
                <c:pt idx="32">
                  <c:v>1207.8219999999999</c:v>
                </c:pt>
                <c:pt idx="33">
                  <c:v>1218.789</c:v>
                </c:pt>
                <c:pt idx="34">
                  <c:v>1218.789</c:v>
                </c:pt>
                <c:pt idx="35">
                  <c:v>1218.789</c:v>
                </c:pt>
                <c:pt idx="36">
                  <c:v>1209.82</c:v>
                </c:pt>
                <c:pt idx="37">
                  <c:v>1212.673</c:v>
                </c:pt>
                <c:pt idx="38">
                  <c:v>1212.673</c:v>
                </c:pt>
                <c:pt idx="39">
                  <c:v>1205.5129999999999</c:v>
                </c:pt>
                <c:pt idx="40">
                  <c:v>1204.7090000000001</c:v>
                </c:pt>
                <c:pt idx="41">
                  <c:v>1204.7090000000001</c:v>
                </c:pt>
                <c:pt idx="42">
                  <c:v>1204.7090000000001</c:v>
                </c:pt>
                <c:pt idx="43">
                  <c:v>1208.8040000000001</c:v>
                </c:pt>
                <c:pt idx="44">
                  <c:v>1236.251</c:v>
                </c:pt>
                <c:pt idx="45">
                  <c:v>1237.7460000000001</c:v>
                </c:pt>
                <c:pt idx="46">
                  <c:v>1245.6310000000001</c:v>
                </c:pt>
                <c:pt idx="47">
                  <c:v>1243.4760000000001</c:v>
                </c:pt>
                <c:pt idx="48">
                  <c:v>1243.4760000000001</c:v>
                </c:pt>
                <c:pt idx="49">
                  <c:v>1243.4760000000001</c:v>
                </c:pt>
                <c:pt idx="50">
                  <c:v>1253.1569999999999</c:v>
                </c:pt>
                <c:pt idx="51">
                  <c:v>1256.8230000000001</c:v>
                </c:pt>
                <c:pt idx="52">
                  <c:v>1253.0989999999999</c:v>
                </c:pt>
                <c:pt idx="53">
                  <c:v>1270.0909999999999</c:v>
                </c:pt>
                <c:pt idx="54">
                  <c:v>1258.008</c:v>
                </c:pt>
                <c:pt idx="55">
                  <c:v>1258.008</c:v>
                </c:pt>
                <c:pt idx="56">
                  <c:v>1258.008</c:v>
                </c:pt>
                <c:pt idx="57">
                  <c:v>1266.018</c:v>
                </c:pt>
                <c:pt idx="58">
                  <c:v>1258.5920000000001</c:v>
                </c:pt>
                <c:pt idx="59">
                  <c:v>1258.4549999999999</c:v>
                </c:pt>
                <c:pt idx="60">
                  <c:v>1248.454</c:v>
                </c:pt>
                <c:pt idx="61">
                  <c:v>1252.5830000000001</c:v>
                </c:pt>
                <c:pt idx="62">
                  <c:v>1252.5830000000001</c:v>
                </c:pt>
                <c:pt idx="63">
                  <c:v>1252.5830000000001</c:v>
                </c:pt>
                <c:pt idx="64">
                  <c:v>1249.048</c:v>
                </c:pt>
                <c:pt idx="65">
                  <c:v>1247.884</c:v>
                </c:pt>
                <c:pt idx="66">
                  <c:v>1234.3589999999999</c:v>
                </c:pt>
                <c:pt idx="67">
                  <c:v>1237.8969999999999</c:v>
                </c:pt>
                <c:pt idx="68">
                  <c:v>1231.338</c:v>
                </c:pt>
                <c:pt idx="69">
                  <c:v>1231.338</c:v>
                </c:pt>
                <c:pt idx="70">
                  <c:v>1231.338</c:v>
                </c:pt>
                <c:pt idx="71">
                  <c:v>1223.681</c:v>
                </c:pt>
                <c:pt idx="72">
                  <c:v>1217.519</c:v>
                </c:pt>
                <c:pt idx="73">
                  <c:v>1220.2159999999999</c:v>
                </c:pt>
                <c:pt idx="74">
                  <c:v>1219.1179999999999</c:v>
                </c:pt>
                <c:pt idx="75">
                  <c:v>1210.5039999999999</c:v>
                </c:pt>
                <c:pt idx="76">
                  <c:v>1210.5039999999999</c:v>
                </c:pt>
                <c:pt idx="77">
                  <c:v>1210.5039999999999</c:v>
                </c:pt>
                <c:pt idx="78">
                  <c:v>1219.269</c:v>
                </c:pt>
                <c:pt idx="79">
                  <c:v>1214.3050000000001</c:v>
                </c:pt>
                <c:pt idx="80">
                  <c:v>1216.8330000000001</c:v>
                </c:pt>
                <c:pt idx="81">
                  <c:v>1242.9559999999999</c:v>
                </c:pt>
                <c:pt idx="82">
                  <c:v>1241.491</c:v>
                </c:pt>
                <c:pt idx="83">
                  <c:v>1241.491</c:v>
                </c:pt>
                <c:pt idx="84">
                  <c:v>1241.491</c:v>
                </c:pt>
                <c:pt idx="85">
                  <c:v>1257.6579999999999</c:v>
                </c:pt>
                <c:pt idx="86">
                  <c:v>1251.7159999999999</c:v>
                </c:pt>
                <c:pt idx="87">
                  <c:v>1264.125</c:v>
                </c:pt>
                <c:pt idx="88">
                  <c:v>1264.2149999999999</c:v>
                </c:pt>
                <c:pt idx="89">
                  <c:v>1260.81</c:v>
                </c:pt>
                <c:pt idx="90">
                  <c:v>1260.81</c:v>
                </c:pt>
                <c:pt idx="91">
                  <c:v>1260.81</c:v>
                </c:pt>
                <c:pt idx="92">
                  <c:v>1240.7159999999999</c:v>
                </c:pt>
                <c:pt idx="93">
                  <c:v>1262.944</c:v>
                </c:pt>
                <c:pt idx="94">
                  <c:v>1272.7159999999999</c:v>
                </c:pt>
                <c:pt idx="95">
                  <c:v>1280.1179999999999</c:v>
                </c:pt>
                <c:pt idx="96">
                  <c:v>1275.8389999999999</c:v>
                </c:pt>
                <c:pt idx="97">
                  <c:v>1275.8389999999999</c:v>
                </c:pt>
                <c:pt idx="98">
                  <c:v>1275.8389999999999</c:v>
                </c:pt>
                <c:pt idx="99">
                  <c:v>1275.9749999999999</c:v>
                </c:pt>
                <c:pt idx="100">
                  <c:v>1273.23</c:v>
                </c:pt>
                <c:pt idx="101">
                  <c:v>1283.2950000000001</c:v>
                </c:pt>
                <c:pt idx="102">
                  <c:v>1287.51</c:v>
                </c:pt>
                <c:pt idx="103">
                  <c:v>1297.0139999999999</c:v>
                </c:pt>
                <c:pt idx="104">
                  <c:v>1297.0139999999999</c:v>
                </c:pt>
                <c:pt idx="105">
                  <c:v>1297.0139999999999</c:v>
                </c:pt>
                <c:pt idx="106">
                  <c:v>1297.1020000000001</c:v>
                </c:pt>
                <c:pt idx="107">
                  <c:v>1289.4469999999999</c:v>
                </c:pt>
                <c:pt idx="108">
                  <c:v>1285.7380000000001</c:v>
                </c:pt>
                <c:pt idx="109">
                  <c:v>1289.1020000000001</c:v>
                </c:pt>
                <c:pt idx="110">
                  <c:v>1284.6179999999999</c:v>
                </c:pt>
                <c:pt idx="111">
                  <c:v>1284.6179999999999</c:v>
                </c:pt>
                <c:pt idx="112">
                  <c:v>1284.6179999999999</c:v>
                </c:pt>
                <c:pt idx="113">
                  <c:v>1280.1969999999999</c:v>
                </c:pt>
                <c:pt idx="114">
                  <c:v>1283</c:v>
                </c:pt>
                <c:pt idx="115">
                  <c:v>1276.9259999999999</c:v>
                </c:pt>
                <c:pt idx="116">
                  <c:v>1293.248</c:v>
                </c:pt>
                <c:pt idx="117">
                  <c:v>1292.4390000000001</c:v>
                </c:pt>
                <c:pt idx="118">
                  <c:v>1292.4390000000001</c:v>
                </c:pt>
                <c:pt idx="119">
                  <c:v>1292.4390000000001</c:v>
                </c:pt>
                <c:pt idx="120">
                  <c:v>1292.627</c:v>
                </c:pt>
                <c:pt idx="121">
                  <c:v>1307.527</c:v>
                </c:pt>
                <c:pt idx="122">
                  <c:v>1308.624</c:v>
                </c:pt>
                <c:pt idx="123">
                  <c:v>1313.991</c:v>
                </c:pt>
                <c:pt idx="124">
                  <c:v>1325.9469999999999</c:v>
                </c:pt>
                <c:pt idx="125">
                  <c:v>1325.9469999999999</c:v>
                </c:pt>
                <c:pt idx="126">
                  <c:v>1325.9469999999999</c:v>
                </c:pt>
                <c:pt idx="127">
                  <c:v>1319.347</c:v>
                </c:pt>
                <c:pt idx="128">
                  <c:v>1314.8030000000001</c:v>
                </c:pt>
                <c:pt idx="129">
                  <c:v>1318.576</c:v>
                </c:pt>
                <c:pt idx="130">
                  <c:v>1311.088</c:v>
                </c:pt>
                <c:pt idx="131">
                  <c:v>1299.201</c:v>
                </c:pt>
                <c:pt idx="132">
                  <c:v>1299.201</c:v>
                </c:pt>
                <c:pt idx="133">
                  <c:v>1299.201</c:v>
                </c:pt>
                <c:pt idx="134">
                  <c:v>1311.6130000000001</c:v>
                </c:pt>
                <c:pt idx="135">
                  <c:v>1296.385</c:v>
                </c:pt>
                <c:pt idx="136">
                  <c:v>1302.7049999999999</c:v>
                </c:pt>
                <c:pt idx="137">
                  <c:v>1299.6479999999999</c:v>
                </c:pt>
                <c:pt idx="138">
                  <c:v>1294.473</c:v>
                </c:pt>
                <c:pt idx="139">
                  <c:v>1294.473</c:v>
                </c:pt>
                <c:pt idx="140">
                  <c:v>1294.473</c:v>
                </c:pt>
                <c:pt idx="141">
                  <c:v>1282.7660000000001</c:v>
                </c:pt>
                <c:pt idx="142">
                  <c:v>1269.7560000000001</c:v>
                </c:pt>
                <c:pt idx="143">
                  <c:v>1275.461</c:v>
                </c:pt>
                <c:pt idx="144">
                  <c:v>1288.806</c:v>
                </c:pt>
                <c:pt idx="145">
                  <c:v>1284.9110000000001</c:v>
                </c:pt>
                <c:pt idx="146">
                  <c:v>1284.9110000000001</c:v>
                </c:pt>
                <c:pt idx="147">
                  <c:v>1284.9110000000001</c:v>
                </c:pt>
                <c:pt idx="148">
                  <c:v>1291.8109999999999</c:v>
                </c:pt>
                <c:pt idx="149">
                  <c:v>1297.0060000000001</c:v>
                </c:pt>
                <c:pt idx="150">
                  <c:v>1294.538</c:v>
                </c:pt>
                <c:pt idx="151">
                  <c:v>1310.4380000000001</c:v>
                </c:pt>
                <c:pt idx="152">
                  <c:v>1312.3489999999999</c:v>
                </c:pt>
                <c:pt idx="153">
                  <c:v>1312.3489999999999</c:v>
                </c:pt>
                <c:pt idx="154">
                  <c:v>1312.3489999999999</c:v>
                </c:pt>
                <c:pt idx="155">
                  <c:v>1313.92</c:v>
                </c:pt>
                <c:pt idx="156">
                  <c:v>1313.91</c:v>
                </c:pt>
                <c:pt idx="157">
                  <c:v>1316.502</c:v>
                </c:pt>
                <c:pt idx="158">
                  <c:v>1309.8920000000001</c:v>
                </c:pt>
                <c:pt idx="159">
                  <c:v>1308.6030000000001</c:v>
                </c:pt>
                <c:pt idx="160">
                  <c:v>1308.6030000000001</c:v>
                </c:pt>
                <c:pt idx="161">
                  <c:v>1308.6030000000001</c:v>
                </c:pt>
                <c:pt idx="162">
                  <c:v>1294.1759999999999</c:v>
                </c:pt>
                <c:pt idx="163">
                  <c:v>1289.4960000000001</c:v>
                </c:pt>
                <c:pt idx="164">
                  <c:v>1285.2280000000001</c:v>
                </c:pt>
                <c:pt idx="165">
                  <c:v>1293.9490000000001</c:v>
                </c:pt>
                <c:pt idx="166">
                  <c:v>1277.837</c:v>
                </c:pt>
                <c:pt idx="167">
                  <c:v>1277.837</c:v>
                </c:pt>
                <c:pt idx="168">
                  <c:v>1277.837</c:v>
                </c:pt>
                <c:pt idx="169">
                  <c:v>1279.404</c:v>
                </c:pt>
                <c:pt idx="170">
                  <c:v>1270.3109999999999</c:v>
                </c:pt>
                <c:pt idx="171">
                  <c:v>1258.8219999999999</c:v>
                </c:pt>
                <c:pt idx="172">
                  <c:v>1251.287</c:v>
                </c:pt>
                <c:pt idx="173">
                  <c:v>1242.6510000000001</c:v>
                </c:pt>
                <c:pt idx="174">
                  <c:v>1242.6510000000001</c:v>
                </c:pt>
                <c:pt idx="175">
                  <c:v>1242.6510000000001</c:v>
                </c:pt>
                <c:pt idx="176">
                  <c:v>1234.3689999999999</c:v>
                </c:pt>
                <c:pt idx="177">
                  <c:v>1238.2159999999999</c:v>
                </c:pt>
                <c:pt idx="178">
                  <c:v>1215.796</c:v>
                </c:pt>
                <c:pt idx="179">
                  <c:v>1217.8130000000001</c:v>
                </c:pt>
                <c:pt idx="180">
                  <c:v>1247.569</c:v>
                </c:pt>
                <c:pt idx="181">
                  <c:v>1247.569</c:v>
                </c:pt>
                <c:pt idx="182">
                  <c:v>1247.569</c:v>
                </c:pt>
                <c:pt idx="183">
                  <c:v>1262.184</c:v>
                </c:pt>
                <c:pt idx="184">
                  <c:v>1280.01</c:v>
                </c:pt>
                <c:pt idx="185">
                  <c:v>1263.9059999999999</c:v>
                </c:pt>
                <c:pt idx="186">
                  <c:v>1268.864</c:v>
                </c:pt>
                <c:pt idx="187">
                  <c:v>1268.5940000000001</c:v>
                </c:pt>
                <c:pt idx="188">
                  <c:v>1268.5940000000001</c:v>
                </c:pt>
                <c:pt idx="189">
                  <c:v>1268.5940000000001</c:v>
                </c:pt>
                <c:pt idx="190">
                  <c:v>1255.472</c:v>
                </c:pt>
                <c:pt idx="191">
                  <c:v>1253.99</c:v>
                </c:pt>
                <c:pt idx="192">
                  <c:v>1255.1780000000001</c:v>
                </c:pt>
                <c:pt idx="193">
                  <c:v>1260.511</c:v>
                </c:pt>
                <c:pt idx="194">
                  <c:v>1253.877</c:v>
                </c:pt>
                <c:pt idx="195">
                  <c:v>1253.877</c:v>
                </c:pt>
                <c:pt idx="196">
                  <c:v>1253.877</c:v>
                </c:pt>
                <c:pt idx="197">
                  <c:v>1267.4380000000001</c:v>
                </c:pt>
                <c:pt idx="198">
                  <c:v>1268.376</c:v>
                </c:pt>
                <c:pt idx="199">
                  <c:v>1258.028</c:v>
                </c:pt>
                <c:pt idx="200">
                  <c:v>1264.6079999999999</c:v>
                </c:pt>
                <c:pt idx="201">
                  <c:v>1276.076</c:v>
                </c:pt>
                <c:pt idx="202">
                  <c:v>1276.076</c:v>
                </c:pt>
                <c:pt idx="203">
                  <c:v>1276.076</c:v>
                </c:pt>
                <c:pt idx="204">
                  <c:v>1264.8989999999999</c:v>
                </c:pt>
                <c:pt idx="205">
                  <c:v>1251.528</c:v>
                </c:pt>
                <c:pt idx="206">
                  <c:v>1240.5309999999999</c:v>
                </c:pt>
                <c:pt idx="207">
                  <c:v>1251.808</c:v>
                </c:pt>
                <c:pt idx="208">
                  <c:v>1250.25</c:v>
                </c:pt>
                <c:pt idx="209">
                  <c:v>1250.25</c:v>
                </c:pt>
                <c:pt idx="210">
                  <c:v>1250.25</c:v>
                </c:pt>
                <c:pt idx="211">
                  <c:v>1253.32</c:v>
                </c:pt>
                <c:pt idx="212">
                  <c:v>1242.049</c:v>
                </c:pt>
                <c:pt idx="213">
                  <c:v>1226.4380000000001</c:v>
                </c:pt>
                <c:pt idx="214">
                  <c:v>1229.922</c:v>
                </c:pt>
                <c:pt idx="215">
                  <c:v>1228.8340000000001</c:v>
                </c:pt>
                <c:pt idx="216">
                  <c:v>1228.8340000000001</c:v>
                </c:pt>
                <c:pt idx="217">
                  <c:v>1228.8340000000001</c:v>
                </c:pt>
                <c:pt idx="218">
                  <c:v>1231.758</c:v>
                </c:pt>
                <c:pt idx="219">
                  <c:v>1237.0350000000001</c:v>
                </c:pt>
                <c:pt idx="220">
                  <c:v>1245.421</c:v>
                </c:pt>
                <c:pt idx="221">
                  <c:v>1251.133</c:v>
                </c:pt>
                <c:pt idx="222">
                  <c:v>1239.204</c:v>
                </c:pt>
                <c:pt idx="223">
                  <c:v>1239.204</c:v>
                </c:pt>
                <c:pt idx="224">
                  <c:v>1239.204</c:v>
                </c:pt>
                <c:pt idx="225">
                  <c:v>1249.096</c:v>
                </c:pt>
                <c:pt idx="226">
                  <c:v>1243.3630000000001</c:v>
                </c:pt>
                <c:pt idx="227">
                  <c:v>1237.164</c:v>
                </c:pt>
                <c:pt idx="228">
                  <c:v>1229.251</c:v>
                </c:pt>
                <c:pt idx="229">
                  <c:v>1228.106</c:v>
                </c:pt>
                <c:pt idx="230">
                  <c:v>1228.106</c:v>
                </c:pt>
                <c:pt idx="231">
                  <c:v>1228.106</c:v>
                </c:pt>
                <c:pt idx="232">
                  <c:v>1240.5</c:v>
                </c:pt>
                <c:pt idx="233">
                  <c:v>1255.2159999999999</c:v>
                </c:pt>
                <c:pt idx="234">
                  <c:v>1233.2460000000001</c:v>
                </c:pt>
                <c:pt idx="235">
                  <c:v>1246.374</c:v>
                </c:pt>
                <c:pt idx="236">
                  <c:v>1249.019</c:v>
                </c:pt>
                <c:pt idx="237">
                  <c:v>1249.019</c:v>
                </c:pt>
                <c:pt idx="238">
                  <c:v>1249.019</c:v>
                </c:pt>
                <c:pt idx="239">
                  <c:v>1259.971</c:v>
                </c:pt>
                <c:pt idx="240">
                  <c:v>1252.367</c:v>
                </c:pt>
                <c:pt idx="241">
                  <c:v>1252.4259999999999</c:v>
                </c:pt>
                <c:pt idx="242">
                  <c:v>1256.173</c:v>
                </c:pt>
                <c:pt idx="243">
                  <c:v>1254.586</c:v>
                </c:pt>
                <c:pt idx="244">
                  <c:v>1254.586</c:v>
                </c:pt>
                <c:pt idx="245">
                  <c:v>1254.586</c:v>
                </c:pt>
                <c:pt idx="246">
                  <c:v>1248.51</c:v>
                </c:pt>
                <c:pt idx="247">
                  <c:v>1238.7670000000001</c:v>
                </c:pt>
                <c:pt idx="248">
                  <c:v>1256.133</c:v>
                </c:pt>
                <c:pt idx="249">
                  <c:v>1266.5309999999999</c:v>
                </c:pt>
                <c:pt idx="250">
                  <c:v>1262.7149999999999</c:v>
                </c:pt>
                <c:pt idx="251">
                  <c:v>1262.7149999999999</c:v>
                </c:pt>
                <c:pt idx="252">
                  <c:v>1262.7149999999999</c:v>
                </c:pt>
                <c:pt idx="253">
                  <c:v>1263.21</c:v>
                </c:pt>
                <c:pt idx="254">
                  <c:v>1268.973</c:v>
                </c:pt>
                <c:pt idx="255">
                  <c:v>1276.393</c:v>
                </c:pt>
                <c:pt idx="256">
                  <c:v>1275.6120000000001</c:v>
                </c:pt>
                <c:pt idx="257">
                  <c:v>1274.306</c:v>
                </c:pt>
                <c:pt idx="258">
                  <c:v>1274.306</c:v>
                </c:pt>
                <c:pt idx="259">
                  <c:v>1274.306</c:v>
                </c:pt>
                <c:pt idx="260">
                  <c:v>1274.3969999999999</c:v>
                </c:pt>
                <c:pt idx="261">
                  <c:v>1273.739</c:v>
                </c:pt>
                <c:pt idx="262">
                  <c:v>1265.1020000000001</c:v>
                </c:pt>
                <c:pt idx="263">
                  <c:v>1260.828</c:v>
                </c:pt>
                <c:pt idx="264">
                  <c:v>1259.08</c:v>
                </c:pt>
                <c:pt idx="265">
                  <c:v>1259.08</c:v>
                </c:pt>
                <c:pt idx="266">
                  <c:v>1259.08</c:v>
                </c:pt>
                <c:pt idx="267">
                  <c:v>1250.1279999999999</c:v>
                </c:pt>
                <c:pt idx="268">
                  <c:v>1245.9829999999999</c:v>
                </c:pt>
                <c:pt idx="269">
                  <c:v>1246.4480000000001</c:v>
                </c:pt>
                <c:pt idx="270">
                  <c:v>1234.3209999999999</c:v>
                </c:pt>
                <c:pt idx="271">
                  <c:v>1231.23</c:v>
                </c:pt>
                <c:pt idx="272">
                  <c:v>1231.23</c:v>
                </c:pt>
                <c:pt idx="273">
                  <c:v>1231.23</c:v>
                </c:pt>
                <c:pt idx="274">
                  <c:v>1219.0419999999999</c:v>
                </c:pt>
                <c:pt idx="275">
                  <c:v>1212.5940000000001</c:v>
                </c:pt>
                <c:pt idx="276">
                  <c:v>1218.7090000000001</c:v>
                </c:pt>
                <c:pt idx="277">
                  <c:v>1222.2249999999999</c:v>
                </c:pt>
                <c:pt idx="278">
                  <c:v>1212.6210000000001</c:v>
                </c:pt>
                <c:pt idx="279">
                  <c:v>1212.6210000000001</c:v>
                </c:pt>
                <c:pt idx="280">
                  <c:v>1212.6210000000001</c:v>
                </c:pt>
                <c:pt idx="281">
                  <c:v>1206.106</c:v>
                </c:pt>
                <c:pt idx="282">
                  <c:v>1193.923</c:v>
                </c:pt>
                <c:pt idx="283">
                  <c:v>1194.318</c:v>
                </c:pt>
                <c:pt idx="284">
                  <c:v>1181.2560000000001</c:v>
                </c:pt>
                <c:pt idx="285">
                  <c:v>1172.45</c:v>
                </c:pt>
                <c:pt idx="286">
                  <c:v>1172.45</c:v>
                </c:pt>
                <c:pt idx="287">
                  <c:v>1172.45</c:v>
                </c:pt>
                <c:pt idx="288">
                  <c:v>1169.9739999999999</c:v>
                </c:pt>
                <c:pt idx="289">
                  <c:v>1166.9659999999999</c:v>
                </c:pt>
                <c:pt idx="290">
                  <c:v>1162.279</c:v>
                </c:pt>
                <c:pt idx="291">
                  <c:v>1184.52</c:v>
                </c:pt>
                <c:pt idx="292">
                  <c:v>1188.5650000000001</c:v>
                </c:pt>
                <c:pt idx="293">
                  <c:v>1188.5650000000001</c:v>
                </c:pt>
                <c:pt idx="294">
                  <c:v>1188.5650000000001</c:v>
                </c:pt>
                <c:pt idx="295">
                  <c:v>1185.0540000000001</c:v>
                </c:pt>
                <c:pt idx="296">
                  <c:v>1194.538</c:v>
                </c:pt>
                <c:pt idx="297">
                  <c:v>1200.867</c:v>
                </c:pt>
                <c:pt idx="298">
                  <c:v>1199.5909999999999</c:v>
                </c:pt>
                <c:pt idx="299">
                  <c:v>1192.0830000000001</c:v>
                </c:pt>
                <c:pt idx="300">
                  <c:v>1192.0830000000001</c:v>
                </c:pt>
                <c:pt idx="301">
                  <c:v>1192.0830000000001</c:v>
                </c:pt>
                <c:pt idx="302">
                  <c:v>1206.316</c:v>
                </c:pt>
                <c:pt idx="303">
                  <c:v>1195.98</c:v>
                </c:pt>
                <c:pt idx="304">
                  <c:v>1190.568</c:v>
                </c:pt>
                <c:pt idx="305">
                  <c:v>1192.7829999999999</c:v>
                </c:pt>
                <c:pt idx="306">
                  <c:v>1199.4290000000001</c:v>
                </c:pt>
                <c:pt idx="307">
                  <c:v>1199.4290000000001</c:v>
                </c:pt>
                <c:pt idx="308">
                  <c:v>1199.4290000000001</c:v>
                </c:pt>
                <c:pt idx="309">
                  <c:v>1199.4290000000001</c:v>
                </c:pt>
                <c:pt idx="310">
                  <c:v>1196.376</c:v>
                </c:pt>
                <c:pt idx="311">
                  <c:v>1196.7919999999999</c:v>
                </c:pt>
                <c:pt idx="312">
                  <c:v>1196.6130000000001</c:v>
                </c:pt>
                <c:pt idx="313">
                  <c:v>1194.3119999999999</c:v>
                </c:pt>
                <c:pt idx="314">
                  <c:v>1194.3119999999999</c:v>
                </c:pt>
                <c:pt idx="315">
                  <c:v>1194.3119999999999</c:v>
                </c:pt>
                <c:pt idx="316">
                  <c:v>1192.8810000000001</c:v>
                </c:pt>
                <c:pt idx="317">
                  <c:v>1175.1949999999999</c:v>
                </c:pt>
                <c:pt idx="318">
                  <c:v>1175.1990000000001</c:v>
                </c:pt>
                <c:pt idx="319">
                  <c:v>1174.5730000000001</c:v>
                </c:pt>
                <c:pt idx="320">
                  <c:v>1175.933</c:v>
                </c:pt>
                <c:pt idx="321">
                  <c:v>1175.933</c:v>
                </c:pt>
                <c:pt idx="322">
                  <c:v>1175.933</c:v>
                </c:pt>
                <c:pt idx="323">
                  <c:v>1180.2239999999999</c:v>
                </c:pt>
                <c:pt idx="324">
                  <c:v>1189.3209999999999</c:v>
                </c:pt>
                <c:pt idx="325">
                  <c:v>1183.8309999999999</c:v>
                </c:pt>
                <c:pt idx="326">
                  <c:v>1173.72</c:v>
                </c:pt>
                <c:pt idx="327">
                  <c:v>1179.2280000000001</c:v>
                </c:pt>
                <c:pt idx="328">
                  <c:v>1179.2280000000001</c:v>
                </c:pt>
                <c:pt idx="329">
                  <c:v>1179.2280000000001</c:v>
                </c:pt>
                <c:pt idx="330">
                  <c:v>1176.4000000000001</c:v>
                </c:pt>
                <c:pt idx="331">
                  <c:v>1170.5899999999999</c:v>
                </c:pt>
                <c:pt idx="332">
                  <c:v>1164.971</c:v>
                </c:pt>
                <c:pt idx="333">
                  <c:v>1161.5260000000001</c:v>
                </c:pt>
                <c:pt idx="334">
                  <c:v>1163.373</c:v>
                </c:pt>
                <c:pt idx="335">
                  <c:v>1163.373</c:v>
                </c:pt>
                <c:pt idx="336">
                  <c:v>1163.373</c:v>
                </c:pt>
                <c:pt idx="337">
                  <c:v>1155.174</c:v>
                </c:pt>
                <c:pt idx="338">
                  <c:v>1153.3820000000001</c:v>
                </c:pt>
                <c:pt idx="339">
                  <c:v>1165.0350000000001</c:v>
                </c:pt>
                <c:pt idx="340">
                  <c:v>1165.5029999999999</c:v>
                </c:pt>
                <c:pt idx="341">
                  <c:v>1168.125</c:v>
                </c:pt>
                <c:pt idx="342">
                  <c:v>1168.125</c:v>
                </c:pt>
                <c:pt idx="343">
                  <c:v>1168.125</c:v>
                </c:pt>
                <c:pt idx="344">
                  <c:v>1159.2819999999999</c:v>
                </c:pt>
                <c:pt idx="345">
                  <c:v>1156.3219999999999</c:v>
                </c:pt>
                <c:pt idx="346">
                  <c:v>1169.0139999999999</c:v>
                </c:pt>
                <c:pt idx="347">
                  <c:v>1163.3230000000001</c:v>
                </c:pt>
                <c:pt idx="348">
                  <c:v>1160.2170000000001</c:v>
                </c:pt>
                <c:pt idx="349">
                  <c:v>1160.2170000000001</c:v>
                </c:pt>
                <c:pt idx="350">
                  <c:v>1160.2170000000001</c:v>
                </c:pt>
                <c:pt idx="351">
                  <c:v>1142.961</c:v>
                </c:pt>
                <c:pt idx="352">
                  <c:v>1134.74</c:v>
                </c:pt>
                <c:pt idx="353">
                  <c:v>1130.663</c:v>
                </c:pt>
                <c:pt idx="354">
                  <c:v>1140.626</c:v>
                </c:pt>
                <c:pt idx="355">
                  <c:v>1142.925</c:v>
                </c:pt>
                <c:pt idx="356">
                  <c:v>1142.925</c:v>
                </c:pt>
                <c:pt idx="357">
                  <c:v>1142.925</c:v>
                </c:pt>
                <c:pt idx="358">
                  <c:v>1144.019</c:v>
                </c:pt>
                <c:pt idx="359">
                  <c:v>1151.9949999999999</c:v>
                </c:pt>
                <c:pt idx="360">
                  <c:v>1154.8389999999999</c:v>
                </c:pt>
                <c:pt idx="361">
                  <c:v>1139.5139999999999</c:v>
                </c:pt>
                <c:pt idx="362">
                  <c:v>1152.01</c:v>
                </c:pt>
                <c:pt idx="363">
                  <c:v>1152.01</c:v>
                </c:pt>
                <c:pt idx="364">
                  <c:v>1152.01</c:v>
                </c:pt>
                <c:pt idx="365">
                  <c:v>1154.759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FBC-4228-834C-76FE6FD7E750}"/>
            </c:ext>
          </c:extLst>
        </c:ser>
        <c:ser>
          <c:idx val="4"/>
          <c:order val="4"/>
          <c:tx>
            <c:strRef>
              <c:f>'daily monitor'!$AN$99</c:f>
              <c:strCache>
                <c:ptCount val="1"/>
                <c:pt idx="0">
                  <c:v>인도</c:v>
                </c:pt>
              </c:strCache>
            </c:strRef>
          </c:tx>
          <c:spPr>
            <a:ln w="19050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'daily monitor'!$AI$101:$AI$467</c:f>
              <c:numCache>
                <c:formatCode>yyyy/mm/dd</c:formatCode>
                <c:ptCount val="367"/>
                <c:pt idx="0">
                  <c:v>45688</c:v>
                </c:pt>
                <c:pt idx="1">
                  <c:v>45687</c:v>
                </c:pt>
                <c:pt idx="2">
                  <c:v>45686</c:v>
                </c:pt>
                <c:pt idx="3">
                  <c:v>45685</c:v>
                </c:pt>
                <c:pt idx="4">
                  <c:v>45684</c:v>
                </c:pt>
                <c:pt idx="5">
                  <c:v>45683</c:v>
                </c:pt>
                <c:pt idx="6">
                  <c:v>45682</c:v>
                </c:pt>
                <c:pt idx="7">
                  <c:v>45681</c:v>
                </c:pt>
                <c:pt idx="8">
                  <c:v>45680</c:v>
                </c:pt>
                <c:pt idx="9">
                  <c:v>45679</c:v>
                </c:pt>
                <c:pt idx="10">
                  <c:v>45678</c:v>
                </c:pt>
                <c:pt idx="11">
                  <c:v>45677</c:v>
                </c:pt>
                <c:pt idx="12">
                  <c:v>45676</c:v>
                </c:pt>
                <c:pt idx="13">
                  <c:v>45675</c:v>
                </c:pt>
                <c:pt idx="14">
                  <c:v>45674</c:v>
                </c:pt>
                <c:pt idx="15">
                  <c:v>45673</c:v>
                </c:pt>
                <c:pt idx="16">
                  <c:v>45672</c:v>
                </c:pt>
                <c:pt idx="17">
                  <c:v>45671</c:v>
                </c:pt>
                <c:pt idx="18">
                  <c:v>45670</c:v>
                </c:pt>
                <c:pt idx="19">
                  <c:v>45669</c:v>
                </c:pt>
                <c:pt idx="20">
                  <c:v>45668</c:v>
                </c:pt>
                <c:pt idx="21">
                  <c:v>45667</c:v>
                </c:pt>
                <c:pt idx="22">
                  <c:v>45666</c:v>
                </c:pt>
                <c:pt idx="23">
                  <c:v>45665</c:v>
                </c:pt>
                <c:pt idx="24">
                  <c:v>45664</c:v>
                </c:pt>
                <c:pt idx="25">
                  <c:v>45663</c:v>
                </c:pt>
                <c:pt idx="26">
                  <c:v>45662</c:v>
                </c:pt>
                <c:pt idx="27">
                  <c:v>45661</c:v>
                </c:pt>
                <c:pt idx="28">
                  <c:v>45660</c:v>
                </c:pt>
                <c:pt idx="29">
                  <c:v>45659</c:v>
                </c:pt>
                <c:pt idx="30">
                  <c:v>45658</c:v>
                </c:pt>
                <c:pt idx="31">
                  <c:v>45657</c:v>
                </c:pt>
                <c:pt idx="32">
                  <c:v>45656</c:v>
                </c:pt>
                <c:pt idx="33">
                  <c:v>45655</c:v>
                </c:pt>
                <c:pt idx="34">
                  <c:v>45654</c:v>
                </c:pt>
                <c:pt idx="35">
                  <c:v>45653</c:v>
                </c:pt>
                <c:pt idx="36">
                  <c:v>45652</c:v>
                </c:pt>
                <c:pt idx="37">
                  <c:v>45651</c:v>
                </c:pt>
                <c:pt idx="38">
                  <c:v>45650</c:v>
                </c:pt>
                <c:pt idx="39">
                  <c:v>45649</c:v>
                </c:pt>
                <c:pt idx="40">
                  <c:v>45648</c:v>
                </c:pt>
                <c:pt idx="41">
                  <c:v>45647</c:v>
                </c:pt>
                <c:pt idx="42">
                  <c:v>45646</c:v>
                </c:pt>
                <c:pt idx="43">
                  <c:v>45645</c:v>
                </c:pt>
                <c:pt idx="44">
                  <c:v>45644</c:v>
                </c:pt>
                <c:pt idx="45">
                  <c:v>45643</c:v>
                </c:pt>
                <c:pt idx="46">
                  <c:v>45642</c:v>
                </c:pt>
                <c:pt idx="47">
                  <c:v>45641</c:v>
                </c:pt>
                <c:pt idx="48">
                  <c:v>45640</c:v>
                </c:pt>
                <c:pt idx="49">
                  <c:v>45639</c:v>
                </c:pt>
                <c:pt idx="50">
                  <c:v>45638</c:v>
                </c:pt>
                <c:pt idx="51">
                  <c:v>45637</c:v>
                </c:pt>
                <c:pt idx="52">
                  <c:v>45636</c:v>
                </c:pt>
                <c:pt idx="53">
                  <c:v>45635</c:v>
                </c:pt>
                <c:pt idx="54">
                  <c:v>45634</c:v>
                </c:pt>
                <c:pt idx="55">
                  <c:v>45633</c:v>
                </c:pt>
                <c:pt idx="56">
                  <c:v>45632</c:v>
                </c:pt>
                <c:pt idx="57">
                  <c:v>45631</c:v>
                </c:pt>
                <c:pt idx="58">
                  <c:v>45630</c:v>
                </c:pt>
                <c:pt idx="59">
                  <c:v>45629</c:v>
                </c:pt>
                <c:pt idx="60">
                  <c:v>45628</c:v>
                </c:pt>
                <c:pt idx="61">
                  <c:v>45627</c:v>
                </c:pt>
                <c:pt idx="62">
                  <c:v>45626</c:v>
                </c:pt>
                <c:pt idx="63">
                  <c:v>45625</c:v>
                </c:pt>
                <c:pt idx="64">
                  <c:v>45624</c:v>
                </c:pt>
                <c:pt idx="65">
                  <c:v>45623</c:v>
                </c:pt>
                <c:pt idx="66">
                  <c:v>45622</c:v>
                </c:pt>
                <c:pt idx="67">
                  <c:v>45621</c:v>
                </c:pt>
                <c:pt idx="68">
                  <c:v>45620</c:v>
                </c:pt>
                <c:pt idx="69">
                  <c:v>45619</c:v>
                </c:pt>
                <c:pt idx="70">
                  <c:v>45618</c:v>
                </c:pt>
                <c:pt idx="71">
                  <c:v>45617</c:v>
                </c:pt>
                <c:pt idx="72">
                  <c:v>45616</c:v>
                </c:pt>
                <c:pt idx="73">
                  <c:v>45615</c:v>
                </c:pt>
                <c:pt idx="74">
                  <c:v>45614</c:v>
                </c:pt>
                <c:pt idx="75">
                  <c:v>45613</c:v>
                </c:pt>
                <c:pt idx="76">
                  <c:v>45612</c:v>
                </c:pt>
                <c:pt idx="77">
                  <c:v>45611</c:v>
                </c:pt>
                <c:pt idx="78">
                  <c:v>45610</c:v>
                </c:pt>
                <c:pt idx="79">
                  <c:v>45609</c:v>
                </c:pt>
                <c:pt idx="80">
                  <c:v>45608</c:v>
                </c:pt>
                <c:pt idx="81">
                  <c:v>45607</c:v>
                </c:pt>
                <c:pt idx="82">
                  <c:v>45606</c:v>
                </c:pt>
                <c:pt idx="83">
                  <c:v>45605</c:v>
                </c:pt>
                <c:pt idx="84">
                  <c:v>45604</c:v>
                </c:pt>
                <c:pt idx="85">
                  <c:v>45603</c:v>
                </c:pt>
                <c:pt idx="86">
                  <c:v>45602</c:v>
                </c:pt>
                <c:pt idx="87">
                  <c:v>45601</c:v>
                </c:pt>
                <c:pt idx="88">
                  <c:v>45600</c:v>
                </c:pt>
                <c:pt idx="89">
                  <c:v>45599</c:v>
                </c:pt>
                <c:pt idx="90">
                  <c:v>45598</c:v>
                </c:pt>
                <c:pt idx="91">
                  <c:v>45597</c:v>
                </c:pt>
                <c:pt idx="92">
                  <c:v>45596</c:v>
                </c:pt>
                <c:pt idx="93">
                  <c:v>45595</c:v>
                </c:pt>
                <c:pt idx="94">
                  <c:v>45594</c:v>
                </c:pt>
                <c:pt idx="95">
                  <c:v>45593</c:v>
                </c:pt>
                <c:pt idx="96">
                  <c:v>45592</c:v>
                </c:pt>
                <c:pt idx="97">
                  <c:v>45591</c:v>
                </c:pt>
                <c:pt idx="98">
                  <c:v>45590</c:v>
                </c:pt>
                <c:pt idx="99">
                  <c:v>45589</c:v>
                </c:pt>
                <c:pt idx="100">
                  <c:v>45588</c:v>
                </c:pt>
                <c:pt idx="101">
                  <c:v>45587</c:v>
                </c:pt>
                <c:pt idx="102">
                  <c:v>45586</c:v>
                </c:pt>
                <c:pt idx="103">
                  <c:v>45585</c:v>
                </c:pt>
                <c:pt idx="104">
                  <c:v>45584</c:v>
                </c:pt>
                <c:pt idx="105">
                  <c:v>45583</c:v>
                </c:pt>
                <c:pt idx="106">
                  <c:v>45582</c:v>
                </c:pt>
                <c:pt idx="107">
                  <c:v>45581</c:v>
                </c:pt>
                <c:pt idx="108">
                  <c:v>45580</c:v>
                </c:pt>
                <c:pt idx="109">
                  <c:v>45579</c:v>
                </c:pt>
                <c:pt idx="110">
                  <c:v>45578</c:v>
                </c:pt>
                <c:pt idx="111">
                  <c:v>45577</c:v>
                </c:pt>
                <c:pt idx="112">
                  <c:v>45576</c:v>
                </c:pt>
                <c:pt idx="113">
                  <c:v>45575</c:v>
                </c:pt>
                <c:pt idx="114">
                  <c:v>45574</c:v>
                </c:pt>
                <c:pt idx="115">
                  <c:v>45573</c:v>
                </c:pt>
                <c:pt idx="116">
                  <c:v>45572</c:v>
                </c:pt>
                <c:pt idx="117">
                  <c:v>45571</c:v>
                </c:pt>
                <c:pt idx="118">
                  <c:v>45570</c:v>
                </c:pt>
                <c:pt idx="119">
                  <c:v>45569</c:v>
                </c:pt>
                <c:pt idx="120">
                  <c:v>45568</c:v>
                </c:pt>
                <c:pt idx="121">
                  <c:v>45567</c:v>
                </c:pt>
                <c:pt idx="122">
                  <c:v>45566</c:v>
                </c:pt>
                <c:pt idx="123">
                  <c:v>45565</c:v>
                </c:pt>
                <c:pt idx="124">
                  <c:v>45564</c:v>
                </c:pt>
                <c:pt idx="125">
                  <c:v>45563</c:v>
                </c:pt>
                <c:pt idx="126">
                  <c:v>45562</c:v>
                </c:pt>
                <c:pt idx="127">
                  <c:v>45561</c:v>
                </c:pt>
                <c:pt idx="128">
                  <c:v>45560</c:v>
                </c:pt>
                <c:pt idx="129">
                  <c:v>45559</c:v>
                </c:pt>
                <c:pt idx="130">
                  <c:v>45558</c:v>
                </c:pt>
                <c:pt idx="131">
                  <c:v>45557</c:v>
                </c:pt>
                <c:pt idx="132">
                  <c:v>45556</c:v>
                </c:pt>
                <c:pt idx="133">
                  <c:v>45555</c:v>
                </c:pt>
                <c:pt idx="134">
                  <c:v>45554</c:v>
                </c:pt>
                <c:pt idx="135">
                  <c:v>45553</c:v>
                </c:pt>
                <c:pt idx="136">
                  <c:v>45552</c:v>
                </c:pt>
                <c:pt idx="137">
                  <c:v>45551</c:v>
                </c:pt>
                <c:pt idx="138">
                  <c:v>45550</c:v>
                </c:pt>
                <c:pt idx="139">
                  <c:v>45549</c:v>
                </c:pt>
                <c:pt idx="140">
                  <c:v>45548</c:v>
                </c:pt>
                <c:pt idx="141">
                  <c:v>45547</c:v>
                </c:pt>
                <c:pt idx="142">
                  <c:v>45546</c:v>
                </c:pt>
                <c:pt idx="143">
                  <c:v>45545</c:v>
                </c:pt>
                <c:pt idx="144">
                  <c:v>45544</c:v>
                </c:pt>
                <c:pt idx="145">
                  <c:v>45543</c:v>
                </c:pt>
                <c:pt idx="146">
                  <c:v>45542</c:v>
                </c:pt>
                <c:pt idx="147">
                  <c:v>45541</c:v>
                </c:pt>
                <c:pt idx="148">
                  <c:v>45540</c:v>
                </c:pt>
                <c:pt idx="149">
                  <c:v>45539</c:v>
                </c:pt>
                <c:pt idx="150">
                  <c:v>45538</c:v>
                </c:pt>
                <c:pt idx="151">
                  <c:v>45537</c:v>
                </c:pt>
                <c:pt idx="152">
                  <c:v>45536</c:v>
                </c:pt>
                <c:pt idx="153">
                  <c:v>45535</c:v>
                </c:pt>
                <c:pt idx="154">
                  <c:v>45534</c:v>
                </c:pt>
                <c:pt idx="155">
                  <c:v>45533</c:v>
                </c:pt>
                <c:pt idx="156">
                  <c:v>45532</c:v>
                </c:pt>
                <c:pt idx="157">
                  <c:v>45531</c:v>
                </c:pt>
                <c:pt idx="158">
                  <c:v>45530</c:v>
                </c:pt>
                <c:pt idx="159">
                  <c:v>45529</c:v>
                </c:pt>
                <c:pt idx="160">
                  <c:v>45528</c:v>
                </c:pt>
                <c:pt idx="161">
                  <c:v>45527</c:v>
                </c:pt>
                <c:pt idx="162">
                  <c:v>45526</c:v>
                </c:pt>
                <c:pt idx="163">
                  <c:v>45525</c:v>
                </c:pt>
                <c:pt idx="164">
                  <c:v>45524</c:v>
                </c:pt>
                <c:pt idx="165">
                  <c:v>45523</c:v>
                </c:pt>
                <c:pt idx="166">
                  <c:v>45522</c:v>
                </c:pt>
                <c:pt idx="167">
                  <c:v>45521</c:v>
                </c:pt>
                <c:pt idx="168">
                  <c:v>45520</c:v>
                </c:pt>
                <c:pt idx="169">
                  <c:v>45519</c:v>
                </c:pt>
                <c:pt idx="170">
                  <c:v>45518</c:v>
                </c:pt>
                <c:pt idx="171">
                  <c:v>45517</c:v>
                </c:pt>
                <c:pt idx="172">
                  <c:v>45516</c:v>
                </c:pt>
                <c:pt idx="173">
                  <c:v>45515</c:v>
                </c:pt>
                <c:pt idx="174">
                  <c:v>45514</c:v>
                </c:pt>
                <c:pt idx="175">
                  <c:v>45513</c:v>
                </c:pt>
                <c:pt idx="176">
                  <c:v>45512</c:v>
                </c:pt>
                <c:pt idx="177">
                  <c:v>45511</c:v>
                </c:pt>
                <c:pt idx="178">
                  <c:v>45510</c:v>
                </c:pt>
                <c:pt idx="179">
                  <c:v>45509</c:v>
                </c:pt>
                <c:pt idx="180">
                  <c:v>45508</c:v>
                </c:pt>
                <c:pt idx="181">
                  <c:v>45507</c:v>
                </c:pt>
                <c:pt idx="182">
                  <c:v>45506</c:v>
                </c:pt>
                <c:pt idx="183">
                  <c:v>45505</c:v>
                </c:pt>
                <c:pt idx="184">
                  <c:v>45504</c:v>
                </c:pt>
                <c:pt idx="185">
                  <c:v>45503</c:v>
                </c:pt>
                <c:pt idx="186">
                  <c:v>45502</c:v>
                </c:pt>
                <c:pt idx="187">
                  <c:v>45501</c:v>
                </c:pt>
                <c:pt idx="188">
                  <c:v>45500</c:v>
                </c:pt>
                <c:pt idx="189">
                  <c:v>45499</c:v>
                </c:pt>
                <c:pt idx="190">
                  <c:v>45498</c:v>
                </c:pt>
                <c:pt idx="191">
                  <c:v>45497</c:v>
                </c:pt>
                <c:pt idx="192">
                  <c:v>45496</c:v>
                </c:pt>
                <c:pt idx="193">
                  <c:v>45495</c:v>
                </c:pt>
                <c:pt idx="194">
                  <c:v>45494</c:v>
                </c:pt>
                <c:pt idx="195">
                  <c:v>45493</c:v>
                </c:pt>
                <c:pt idx="196">
                  <c:v>45492</c:v>
                </c:pt>
                <c:pt idx="197">
                  <c:v>45491</c:v>
                </c:pt>
                <c:pt idx="198">
                  <c:v>45490</c:v>
                </c:pt>
                <c:pt idx="199">
                  <c:v>45489</c:v>
                </c:pt>
                <c:pt idx="200">
                  <c:v>45488</c:v>
                </c:pt>
                <c:pt idx="201">
                  <c:v>45487</c:v>
                </c:pt>
                <c:pt idx="202">
                  <c:v>45486</c:v>
                </c:pt>
                <c:pt idx="203">
                  <c:v>45485</c:v>
                </c:pt>
                <c:pt idx="204">
                  <c:v>45484</c:v>
                </c:pt>
                <c:pt idx="205">
                  <c:v>45483</c:v>
                </c:pt>
                <c:pt idx="206">
                  <c:v>45482</c:v>
                </c:pt>
                <c:pt idx="207">
                  <c:v>45481</c:v>
                </c:pt>
                <c:pt idx="208">
                  <c:v>45480</c:v>
                </c:pt>
                <c:pt idx="209">
                  <c:v>45479</c:v>
                </c:pt>
                <c:pt idx="210">
                  <c:v>45478</c:v>
                </c:pt>
                <c:pt idx="211">
                  <c:v>45477</c:v>
                </c:pt>
                <c:pt idx="212">
                  <c:v>45476</c:v>
                </c:pt>
                <c:pt idx="213">
                  <c:v>45475</c:v>
                </c:pt>
                <c:pt idx="214">
                  <c:v>45474</c:v>
                </c:pt>
                <c:pt idx="215">
                  <c:v>45473</c:v>
                </c:pt>
                <c:pt idx="216">
                  <c:v>45472</c:v>
                </c:pt>
                <c:pt idx="217">
                  <c:v>45471</c:v>
                </c:pt>
                <c:pt idx="218">
                  <c:v>45470</c:v>
                </c:pt>
                <c:pt idx="219">
                  <c:v>45469</c:v>
                </c:pt>
                <c:pt idx="220">
                  <c:v>45468</c:v>
                </c:pt>
                <c:pt idx="221">
                  <c:v>45467</c:v>
                </c:pt>
                <c:pt idx="222">
                  <c:v>45466</c:v>
                </c:pt>
                <c:pt idx="223">
                  <c:v>45465</c:v>
                </c:pt>
                <c:pt idx="224">
                  <c:v>45464</c:v>
                </c:pt>
                <c:pt idx="225">
                  <c:v>45463</c:v>
                </c:pt>
                <c:pt idx="226">
                  <c:v>45462</c:v>
                </c:pt>
                <c:pt idx="227">
                  <c:v>45461</c:v>
                </c:pt>
                <c:pt idx="228">
                  <c:v>45460</c:v>
                </c:pt>
                <c:pt idx="229">
                  <c:v>45459</c:v>
                </c:pt>
                <c:pt idx="230">
                  <c:v>45458</c:v>
                </c:pt>
                <c:pt idx="231">
                  <c:v>45457</c:v>
                </c:pt>
                <c:pt idx="232">
                  <c:v>45456</c:v>
                </c:pt>
                <c:pt idx="233">
                  <c:v>45455</c:v>
                </c:pt>
                <c:pt idx="234">
                  <c:v>45454</c:v>
                </c:pt>
                <c:pt idx="235">
                  <c:v>45453</c:v>
                </c:pt>
                <c:pt idx="236">
                  <c:v>45452</c:v>
                </c:pt>
                <c:pt idx="237">
                  <c:v>45451</c:v>
                </c:pt>
                <c:pt idx="238">
                  <c:v>45450</c:v>
                </c:pt>
                <c:pt idx="239">
                  <c:v>45449</c:v>
                </c:pt>
                <c:pt idx="240">
                  <c:v>45448</c:v>
                </c:pt>
                <c:pt idx="241">
                  <c:v>45447</c:v>
                </c:pt>
                <c:pt idx="242">
                  <c:v>45446</c:v>
                </c:pt>
                <c:pt idx="243">
                  <c:v>45445</c:v>
                </c:pt>
                <c:pt idx="244">
                  <c:v>45444</c:v>
                </c:pt>
                <c:pt idx="245">
                  <c:v>45443</c:v>
                </c:pt>
                <c:pt idx="246">
                  <c:v>45442</c:v>
                </c:pt>
                <c:pt idx="247">
                  <c:v>45441</c:v>
                </c:pt>
                <c:pt idx="248">
                  <c:v>45440</c:v>
                </c:pt>
                <c:pt idx="249">
                  <c:v>45439</c:v>
                </c:pt>
                <c:pt idx="250">
                  <c:v>45438</c:v>
                </c:pt>
                <c:pt idx="251">
                  <c:v>45437</c:v>
                </c:pt>
                <c:pt idx="252">
                  <c:v>45436</c:v>
                </c:pt>
                <c:pt idx="253">
                  <c:v>45435</c:v>
                </c:pt>
                <c:pt idx="254">
                  <c:v>45434</c:v>
                </c:pt>
                <c:pt idx="255">
                  <c:v>45433</c:v>
                </c:pt>
                <c:pt idx="256">
                  <c:v>45432</c:v>
                </c:pt>
                <c:pt idx="257">
                  <c:v>45431</c:v>
                </c:pt>
                <c:pt idx="258">
                  <c:v>45430</c:v>
                </c:pt>
                <c:pt idx="259">
                  <c:v>45429</c:v>
                </c:pt>
                <c:pt idx="260">
                  <c:v>45428</c:v>
                </c:pt>
                <c:pt idx="261">
                  <c:v>45427</c:v>
                </c:pt>
                <c:pt idx="262">
                  <c:v>45426</c:v>
                </c:pt>
                <c:pt idx="263">
                  <c:v>45425</c:v>
                </c:pt>
                <c:pt idx="264">
                  <c:v>45424</c:v>
                </c:pt>
                <c:pt idx="265">
                  <c:v>45423</c:v>
                </c:pt>
                <c:pt idx="266">
                  <c:v>45422</c:v>
                </c:pt>
                <c:pt idx="267">
                  <c:v>45421</c:v>
                </c:pt>
                <c:pt idx="268">
                  <c:v>45420</c:v>
                </c:pt>
                <c:pt idx="269">
                  <c:v>45419</c:v>
                </c:pt>
                <c:pt idx="270">
                  <c:v>45418</c:v>
                </c:pt>
                <c:pt idx="271">
                  <c:v>45417</c:v>
                </c:pt>
                <c:pt idx="272">
                  <c:v>45416</c:v>
                </c:pt>
                <c:pt idx="273">
                  <c:v>45415</c:v>
                </c:pt>
                <c:pt idx="274">
                  <c:v>45414</c:v>
                </c:pt>
                <c:pt idx="275">
                  <c:v>45413</c:v>
                </c:pt>
                <c:pt idx="276">
                  <c:v>45412</c:v>
                </c:pt>
                <c:pt idx="277">
                  <c:v>45411</c:v>
                </c:pt>
                <c:pt idx="278">
                  <c:v>45410</c:v>
                </c:pt>
                <c:pt idx="279">
                  <c:v>45409</c:v>
                </c:pt>
                <c:pt idx="280">
                  <c:v>45408</c:v>
                </c:pt>
                <c:pt idx="281">
                  <c:v>45407</c:v>
                </c:pt>
                <c:pt idx="282">
                  <c:v>45406</c:v>
                </c:pt>
                <c:pt idx="283">
                  <c:v>45405</c:v>
                </c:pt>
                <c:pt idx="284">
                  <c:v>45404</c:v>
                </c:pt>
                <c:pt idx="285">
                  <c:v>45403</c:v>
                </c:pt>
                <c:pt idx="286">
                  <c:v>45402</c:v>
                </c:pt>
                <c:pt idx="287">
                  <c:v>45401</c:v>
                </c:pt>
                <c:pt idx="288">
                  <c:v>45400</c:v>
                </c:pt>
                <c:pt idx="289">
                  <c:v>45399</c:v>
                </c:pt>
                <c:pt idx="290">
                  <c:v>45398</c:v>
                </c:pt>
                <c:pt idx="291">
                  <c:v>45397</c:v>
                </c:pt>
                <c:pt idx="292">
                  <c:v>45396</c:v>
                </c:pt>
                <c:pt idx="293">
                  <c:v>45395</c:v>
                </c:pt>
                <c:pt idx="294">
                  <c:v>45394</c:v>
                </c:pt>
                <c:pt idx="295">
                  <c:v>45393</c:v>
                </c:pt>
                <c:pt idx="296">
                  <c:v>45392</c:v>
                </c:pt>
                <c:pt idx="297">
                  <c:v>45391</c:v>
                </c:pt>
                <c:pt idx="298">
                  <c:v>45390</c:v>
                </c:pt>
                <c:pt idx="299">
                  <c:v>45389</c:v>
                </c:pt>
                <c:pt idx="300">
                  <c:v>45388</c:v>
                </c:pt>
                <c:pt idx="301">
                  <c:v>45387</c:v>
                </c:pt>
                <c:pt idx="302">
                  <c:v>45386</c:v>
                </c:pt>
                <c:pt idx="303">
                  <c:v>45385</c:v>
                </c:pt>
                <c:pt idx="304">
                  <c:v>45384</c:v>
                </c:pt>
                <c:pt idx="305">
                  <c:v>45383</c:v>
                </c:pt>
                <c:pt idx="306">
                  <c:v>45382</c:v>
                </c:pt>
                <c:pt idx="307">
                  <c:v>45381</c:v>
                </c:pt>
                <c:pt idx="308">
                  <c:v>45380</c:v>
                </c:pt>
                <c:pt idx="309">
                  <c:v>45379</c:v>
                </c:pt>
                <c:pt idx="310">
                  <c:v>45378</c:v>
                </c:pt>
                <c:pt idx="311">
                  <c:v>45377</c:v>
                </c:pt>
                <c:pt idx="312">
                  <c:v>45376</c:v>
                </c:pt>
                <c:pt idx="313">
                  <c:v>45375</c:v>
                </c:pt>
                <c:pt idx="314">
                  <c:v>45374</c:v>
                </c:pt>
                <c:pt idx="315">
                  <c:v>45373</c:v>
                </c:pt>
                <c:pt idx="316">
                  <c:v>45372</c:v>
                </c:pt>
                <c:pt idx="317">
                  <c:v>45371</c:v>
                </c:pt>
                <c:pt idx="318">
                  <c:v>45370</c:v>
                </c:pt>
                <c:pt idx="319">
                  <c:v>45369</c:v>
                </c:pt>
                <c:pt idx="320">
                  <c:v>45368</c:v>
                </c:pt>
                <c:pt idx="321">
                  <c:v>45367</c:v>
                </c:pt>
                <c:pt idx="322">
                  <c:v>45366</c:v>
                </c:pt>
                <c:pt idx="323">
                  <c:v>45365</c:v>
                </c:pt>
                <c:pt idx="324">
                  <c:v>45364</c:v>
                </c:pt>
                <c:pt idx="325">
                  <c:v>45363</c:v>
                </c:pt>
                <c:pt idx="326">
                  <c:v>45362</c:v>
                </c:pt>
                <c:pt idx="327">
                  <c:v>45361</c:v>
                </c:pt>
                <c:pt idx="328">
                  <c:v>45360</c:v>
                </c:pt>
                <c:pt idx="329">
                  <c:v>45359</c:v>
                </c:pt>
                <c:pt idx="330">
                  <c:v>45358</c:v>
                </c:pt>
                <c:pt idx="331">
                  <c:v>45357</c:v>
                </c:pt>
                <c:pt idx="332">
                  <c:v>45356</c:v>
                </c:pt>
                <c:pt idx="333">
                  <c:v>45355</c:v>
                </c:pt>
                <c:pt idx="334">
                  <c:v>45354</c:v>
                </c:pt>
                <c:pt idx="335">
                  <c:v>45353</c:v>
                </c:pt>
                <c:pt idx="336">
                  <c:v>45352</c:v>
                </c:pt>
                <c:pt idx="337">
                  <c:v>45351</c:v>
                </c:pt>
                <c:pt idx="338">
                  <c:v>45350</c:v>
                </c:pt>
                <c:pt idx="339">
                  <c:v>45349</c:v>
                </c:pt>
                <c:pt idx="340">
                  <c:v>45348</c:v>
                </c:pt>
                <c:pt idx="341">
                  <c:v>45347</c:v>
                </c:pt>
                <c:pt idx="342">
                  <c:v>45346</c:v>
                </c:pt>
                <c:pt idx="343">
                  <c:v>45345</c:v>
                </c:pt>
                <c:pt idx="344">
                  <c:v>45344</c:v>
                </c:pt>
                <c:pt idx="345">
                  <c:v>45343</c:v>
                </c:pt>
                <c:pt idx="346">
                  <c:v>45342</c:v>
                </c:pt>
                <c:pt idx="347">
                  <c:v>45341</c:v>
                </c:pt>
                <c:pt idx="348">
                  <c:v>45340</c:v>
                </c:pt>
                <c:pt idx="349">
                  <c:v>45339</c:v>
                </c:pt>
                <c:pt idx="350">
                  <c:v>45338</c:v>
                </c:pt>
                <c:pt idx="351">
                  <c:v>45337</c:v>
                </c:pt>
                <c:pt idx="352">
                  <c:v>45336</c:v>
                </c:pt>
                <c:pt idx="353">
                  <c:v>45335</c:v>
                </c:pt>
                <c:pt idx="354">
                  <c:v>45334</c:v>
                </c:pt>
                <c:pt idx="355">
                  <c:v>45333</c:v>
                </c:pt>
                <c:pt idx="356">
                  <c:v>45332</c:v>
                </c:pt>
                <c:pt idx="357">
                  <c:v>45331</c:v>
                </c:pt>
                <c:pt idx="358">
                  <c:v>45330</c:v>
                </c:pt>
                <c:pt idx="359">
                  <c:v>45329</c:v>
                </c:pt>
                <c:pt idx="360">
                  <c:v>45328</c:v>
                </c:pt>
                <c:pt idx="361">
                  <c:v>45327</c:v>
                </c:pt>
                <c:pt idx="362">
                  <c:v>45326</c:v>
                </c:pt>
                <c:pt idx="363">
                  <c:v>45325</c:v>
                </c:pt>
                <c:pt idx="364">
                  <c:v>45324</c:v>
                </c:pt>
                <c:pt idx="365">
                  <c:v>45323</c:v>
                </c:pt>
              </c:numCache>
            </c:numRef>
          </c:cat>
          <c:val>
            <c:numRef>
              <c:f>'daily monitor'!$AN$101:$AN$467</c:f>
              <c:numCache>
                <c:formatCode>General</c:formatCode>
                <c:ptCount val="367"/>
                <c:pt idx="0">
                  <c:v>986.85599999999999</c:v>
                </c:pt>
                <c:pt idx="1">
                  <c:v>974.47299999999996</c:v>
                </c:pt>
                <c:pt idx="2">
                  <c:v>972.44399999999996</c:v>
                </c:pt>
                <c:pt idx="3">
                  <c:v>959.77700000000004</c:v>
                </c:pt>
                <c:pt idx="4">
                  <c:v>958.32500000000005</c:v>
                </c:pt>
                <c:pt idx="5">
                  <c:v>976.77200000000005</c:v>
                </c:pt>
                <c:pt idx="6">
                  <c:v>976.77200000000005</c:v>
                </c:pt>
                <c:pt idx="7">
                  <c:v>976.77200000000005</c:v>
                </c:pt>
                <c:pt idx="8">
                  <c:v>981.98199999999997</c:v>
                </c:pt>
                <c:pt idx="9">
                  <c:v>977.51499999999999</c:v>
                </c:pt>
                <c:pt idx="10">
                  <c:v>974.07600000000002</c:v>
                </c:pt>
                <c:pt idx="11">
                  <c:v>991.65</c:v>
                </c:pt>
                <c:pt idx="12">
                  <c:v>985.84199999999998</c:v>
                </c:pt>
                <c:pt idx="13">
                  <c:v>985.84199999999998</c:v>
                </c:pt>
                <c:pt idx="14">
                  <c:v>985.84199999999998</c:v>
                </c:pt>
                <c:pt idx="15">
                  <c:v>988.56299999999999</c:v>
                </c:pt>
                <c:pt idx="16">
                  <c:v>984.31500000000005</c:v>
                </c:pt>
                <c:pt idx="17">
                  <c:v>978.44500000000005</c:v>
                </c:pt>
                <c:pt idx="18">
                  <c:v>969.85199999999998</c:v>
                </c:pt>
                <c:pt idx="19">
                  <c:v>1000.149</c:v>
                </c:pt>
                <c:pt idx="20">
                  <c:v>1000.149</c:v>
                </c:pt>
                <c:pt idx="21">
                  <c:v>1000.149</c:v>
                </c:pt>
                <c:pt idx="22">
                  <c:v>1010.134</c:v>
                </c:pt>
                <c:pt idx="23">
                  <c:v>1018.365</c:v>
                </c:pt>
                <c:pt idx="24">
                  <c:v>1023.472</c:v>
                </c:pt>
                <c:pt idx="25">
                  <c:v>1018.625</c:v>
                </c:pt>
                <c:pt idx="26">
                  <c:v>1039.433</c:v>
                </c:pt>
                <c:pt idx="27">
                  <c:v>1039.433</c:v>
                </c:pt>
                <c:pt idx="28">
                  <c:v>1039.433</c:v>
                </c:pt>
                <c:pt idx="29">
                  <c:v>1044.7639999999999</c:v>
                </c:pt>
                <c:pt idx="30">
                  <c:v>1028.461</c:v>
                </c:pt>
                <c:pt idx="31">
                  <c:v>1024.127</c:v>
                </c:pt>
                <c:pt idx="32">
                  <c:v>1025.355</c:v>
                </c:pt>
                <c:pt idx="33">
                  <c:v>1029.9770000000001</c:v>
                </c:pt>
                <c:pt idx="34">
                  <c:v>1029.9770000000001</c:v>
                </c:pt>
                <c:pt idx="35">
                  <c:v>1029.9770000000001</c:v>
                </c:pt>
                <c:pt idx="36">
                  <c:v>1033.115</c:v>
                </c:pt>
                <c:pt idx="37">
                  <c:v>1031.866</c:v>
                </c:pt>
                <c:pt idx="38">
                  <c:v>1031.866</c:v>
                </c:pt>
                <c:pt idx="39">
                  <c:v>1034.116</c:v>
                </c:pt>
                <c:pt idx="40">
                  <c:v>1029.9010000000001</c:v>
                </c:pt>
                <c:pt idx="41">
                  <c:v>1029.9010000000001</c:v>
                </c:pt>
                <c:pt idx="42">
                  <c:v>1029.9010000000001</c:v>
                </c:pt>
                <c:pt idx="43">
                  <c:v>1049.6420000000001</c:v>
                </c:pt>
                <c:pt idx="44">
                  <c:v>1060.527</c:v>
                </c:pt>
                <c:pt idx="45">
                  <c:v>1068.271</c:v>
                </c:pt>
                <c:pt idx="46">
                  <c:v>1081.4090000000001</c:v>
                </c:pt>
                <c:pt idx="47">
                  <c:v>1083.395</c:v>
                </c:pt>
                <c:pt idx="48">
                  <c:v>1083.395</c:v>
                </c:pt>
                <c:pt idx="49">
                  <c:v>1083.395</c:v>
                </c:pt>
                <c:pt idx="50">
                  <c:v>1076.386</c:v>
                </c:pt>
                <c:pt idx="51">
                  <c:v>1080.501</c:v>
                </c:pt>
                <c:pt idx="52">
                  <c:v>1078.18</c:v>
                </c:pt>
                <c:pt idx="53">
                  <c:v>1078.819</c:v>
                </c:pt>
                <c:pt idx="54">
                  <c:v>1081.038</c:v>
                </c:pt>
                <c:pt idx="55">
                  <c:v>1081.038</c:v>
                </c:pt>
                <c:pt idx="56">
                  <c:v>1081.038</c:v>
                </c:pt>
                <c:pt idx="57">
                  <c:v>1079.77</c:v>
                </c:pt>
                <c:pt idx="58">
                  <c:v>1070.213</c:v>
                </c:pt>
                <c:pt idx="59">
                  <c:v>1068.1679999999999</c:v>
                </c:pt>
                <c:pt idx="60">
                  <c:v>1059.8050000000001</c:v>
                </c:pt>
                <c:pt idx="61">
                  <c:v>1054.2840000000001</c:v>
                </c:pt>
                <c:pt idx="62">
                  <c:v>1054.2840000000001</c:v>
                </c:pt>
                <c:pt idx="63">
                  <c:v>1054.2840000000001</c:v>
                </c:pt>
                <c:pt idx="64">
                  <c:v>1046.4000000000001</c:v>
                </c:pt>
                <c:pt idx="65">
                  <c:v>1058.3050000000001</c:v>
                </c:pt>
                <c:pt idx="66">
                  <c:v>1054.848</c:v>
                </c:pt>
                <c:pt idx="67">
                  <c:v>1055.1890000000001</c:v>
                </c:pt>
                <c:pt idx="68">
                  <c:v>1038.8910000000001</c:v>
                </c:pt>
                <c:pt idx="69">
                  <c:v>1038.8910000000001</c:v>
                </c:pt>
                <c:pt idx="70">
                  <c:v>1038.8910000000001</c:v>
                </c:pt>
                <c:pt idx="71">
                  <c:v>1017.547</c:v>
                </c:pt>
                <c:pt idx="72">
                  <c:v>1026.393</c:v>
                </c:pt>
                <c:pt idx="73">
                  <c:v>1026.393</c:v>
                </c:pt>
                <c:pt idx="74">
                  <c:v>1023.029</c:v>
                </c:pt>
                <c:pt idx="75">
                  <c:v>1025.652</c:v>
                </c:pt>
                <c:pt idx="76">
                  <c:v>1025.652</c:v>
                </c:pt>
                <c:pt idx="77">
                  <c:v>1025.652</c:v>
                </c:pt>
                <c:pt idx="78">
                  <c:v>1025.652</c:v>
                </c:pt>
                <c:pt idx="79">
                  <c:v>1024.203</c:v>
                </c:pt>
                <c:pt idx="80">
                  <c:v>1040.8779999999999</c:v>
                </c:pt>
                <c:pt idx="81">
                  <c:v>1053.02</c:v>
                </c:pt>
                <c:pt idx="82">
                  <c:v>1054.373</c:v>
                </c:pt>
                <c:pt idx="83">
                  <c:v>1054.373</c:v>
                </c:pt>
                <c:pt idx="84">
                  <c:v>1054.373</c:v>
                </c:pt>
                <c:pt idx="85">
                  <c:v>1060.2940000000001</c:v>
                </c:pt>
                <c:pt idx="86">
                  <c:v>1073.2280000000001</c:v>
                </c:pt>
                <c:pt idx="87">
                  <c:v>1058.4369999999999</c:v>
                </c:pt>
                <c:pt idx="88">
                  <c:v>1051.546</c:v>
                </c:pt>
                <c:pt idx="89">
                  <c:v>1065.47</c:v>
                </c:pt>
                <c:pt idx="90">
                  <c:v>1065.47</c:v>
                </c:pt>
                <c:pt idx="91">
                  <c:v>1065.47</c:v>
                </c:pt>
                <c:pt idx="92">
                  <c:v>1059.5260000000001</c:v>
                </c:pt>
                <c:pt idx="93">
                  <c:v>1066.2819999999999</c:v>
                </c:pt>
                <c:pt idx="94">
                  <c:v>1071.538</c:v>
                </c:pt>
                <c:pt idx="95">
                  <c:v>1066.538</c:v>
                </c:pt>
                <c:pt idx="96">
                  <c:v>1060.511</c:v>
                </c:pt>
                <c:pt idx="97">
                  <c:v>1060.511</c:v>
                </c:pt>
                <c:pt idx="98">
                  <c:v>1060.511</c:v>
                </c:pt>
                <c:pt idx="99">
                  <c:v>1071.615</c:v>
                </c:pt>
                <c:pt idx="100">
                  <c:v>1074.204</c:v>
                </c:pt>
                <c:pt idx="101">
                  <c:v>1075.0650000000001</c:v>
                </c:pt>
                <c:pt idx="102">
                  <c:v>1093.43</c:v>
                </c:pt>
                <c:pt idx="103">
                  <c:v>1101.5119999999999</c:v>
                </c:pt>
                <c:pt idx="104">
                  <c:v>1101.5119999999999</c:v>
                </c:pt>
                <c:pt idx="105">
                  <c:v>1101.5119999999999</c:v>
                </c:pt>
                <c:pt idx="106">
                  <c:v>1098.4480000000001</c:v>
                </c:pt>
                <c:pt idx="107">
                  <c:v>1112.758</c:v>
                </c:pt>
                <c:pt idx="108">
                  <c:v>1115.848</c:v>
                </c:pt>
                <c:pt idx="109">
                  <c:v>1116.941</c:v>
                </c:pt>
                <c:pt idx="110">
                  <c:v>1112.175</c:v>
                </c:pt>
                <c:pt idx="111">
                  <c:v>1112.175</c:v>
                </c:pt>
                <c:pt idx="112">
                  <c:v>1112.175</c:v>
                </c:pt>
                <c:pt idx="113">
                  <c:v>1113.5239999999999</c:v>
                </c:pt>
                <c:pt idx="114">
                  <c:v>1115.009</c:v>
                </c:pt>
                <c:pt idx="115">
                  <c:v>1110.9649999999999</c:v>
                </c:pt>
                <c:pt idx="116">
                  <c:v>1096.72</c:v>
                </c:pt>
                <c:pt idx="117">
                  <c:v>1110.1679999999999</c:v>
                </c:pt>
                <c:pt idx="118">
                  <c:v>1110.1679999999999</c:v>
                </c:pt>
                <c:pt idx="119">
                  <c:v>1110.1679999999999</c:v>
                </c:pt>
                <c:pt idx="120">
                  <c:v>1120.874</c:v>
                </c:pt>
                <c:pt idx="121">
                  <c:v>1148.383</c:v>
                </c:pt>
                <c:pt idx="122">
                  <c:v>1148.383</c:v>
                </c:pt>
                <c:pt idx="123">
                  <c:v>1148.3109999999999</c:v>
                </c:pt>
                <c:pt idx="124">
                  <c:v>1164.239</c:v>
                </c:pt>
                <c:pt idx="125">
                  <c:v>1164.239</c:v>
                </c:pt>
                <c:pt idx="126">
                  <c:v>1164.239</c:v>
                </c:pt>
                <c:pt idx="127">
                  <c:v>1163.9069999999999</c:v>
                </c:pt>
                <c:pt idx="128">
                  <c:v>1156.537</c:v>
                </c:pt>
                <c:pt idx="129">
                  <c:v>1156.3399999999999</c:v>
                </c:pt>
                <c:pt idx="130">
                  <c:v>1157.491</c:v>
                </c:pt>
                <c:pt idx="131">
                  <c:v>1148.5609999999999</c:v>
                </c:pt>
                <c:pt idx="132">
                  <c:v>1148.5609999999999</c:v>
                </c:pt>
                <c:pt idx="133">
                  <c:v>1148.5609999999999</c:v>
                </c:pt>
                <c:pt idx="134">
                  <c:v>1129.579</c:v>
                </c:pt>
                <c:pt idx="135">
                  <c:v>1129.664</c:v>
                </c:pt>
                <c:pt idx="136">
                  <c:v>1134.2360000000001</c:v>
                </c:pt>
                <c:pt idx="137">
                  <c:v>1131.33</c:v>
                </c:pt>
                <c:pt idx="138">
                  <c:v>1129.4480000000001</c:v>
                </c:pt>
                <c:pt idx="139">
                  <c:v>1129.4480000000001</c:v>
                </c:pt>
                <c:pt idx="140">
                  <c:v>1129.4480000000001</c:v>
                </c:pt>
                <c:pt idx="141">
                  <c:v>1129.2560000000001</c:v>
                </c:pt>
                <c:pt idx="142">
                  <c:v>1109.354</c:v>
                </c:pt>
                <c:pt idx="143">
                  <c:v>1114.001</c:v>
                </c:pt>
                <c:pt idx="144">
                  <c:v>1108.9749999999999</c:v>
                </c:pt>
                <c:pt idx="145">
                  <c:v>1107.386</c:v>
                </c:pt>
                <c:pt idx="146">
                  <c:v>1107.386</c:v>
                </c:pt>
                <c:pt idx="147">
                  <c:v>1107.386</c:v>
                </c:pt>
                <c:pt idx="148">
                  <c:v>1120.1210000000001</c:v>
                </c:pt>
                <c:pt idx="149">
                  <c:v>1121.694</c:v>
                </c:pt>
                <c:pt idx="150">
                  <c:v>1124.0540000000001</c:v>
                </c:pt>
                <c:pt idx="151">
                  <c:v>1124.5940000000001</c:v>
                </c:pt>
                <c:pt idx="152">
                  <c:v>1124.4770000000001</c:v>
                </c:pt>
                <c:pt idx="153">
                  <c:v>1124.4770000000001</c:v>
                </c:pt>
                <c:pt idx="154">
                  <c:v>1124.4770000000001</c:v>
                </c:pt>
                <c:pt idx="155">
                  <c:v>1119.537</c:v>
                </c:pt>
                <c:pt idx="156">
                  <c:v>1116.5</c:v>
                </c:pt>
                <c:pt idx="157">
                  <c:v>1115.6110000000001</c:v>
                </c:pt>
                <c:pt idx="158">
                  <c:v>1114.8889999999999</c:v>
                </c:pt>
                <c:pt idx="159">
                  <c:v>1106.9639999999999</c:v>
                </c:pt>
                <c:pt idx="160">
                  <c:v>1106.9639999999999</c:v>
                </c:pt>
                <c:pt idx="161">
                  <c:v>1106.9639999999999</c:v>
                </c:pt>
                <c:pt idx="162">
                  <c:v>1107.4780000000001</c:v>
                </c:pt>
                <c:pt idx="163">
                  <c:v>1104.357</c:v>
                </c:pt>
                <c:pt idx="164">
                  <c:v>1103.309</c:v>
                </c:pt>
                <c:pt idx="165">
                  <c:v>1094.6220000000001</c:v>
                </c:pt>
                <c:pt idx="166">
                  <c:v>1091.096</c:v>
                </c:pt>
                <c:pt idx="167">
                  <c:v>1091.096</c:v>
                </c:pt>
                <c:pt idx="168">
                  <c:v>1091.096</c:v>
                </c:pt>
                <c:pt idx="169">
                  <c:v>1072.4190000000001</c:v>
                </c:pt>
                <c:pt idx="170">
                  <c:v>1072.4190000000001</c:v>
                </c:pt>
                <c:pt idx="171">
                  <c:v>1072.8800000000001</c:v>
                </c:pt>
                <c:pt idx="172">
                  <c:v>1080.797</c:v>
                </c:pt>
                <c:pt idx="173">
                  <c:v>1082.684</c:v>
                </c:pt>
                <c:pt idx="174">
                  <c:v>1082.684</c:v>
                </c:pt>
                <c:pt idx="175">
                  <c:v>1082.684</c:v>
                </c:pt>
                <c:pt idx="176">
                  <c:v>1071.2619999999999</c:v>
                </c:pt>
                <c:pt idx="177">
                  <c:v>1080.02</c:v>
                </c:pt>
                <c:pt idx="178">
                  <c:v>1060.8240000000001</c:v>
                </c:pt>
                <c:pt idx="179">
                  <c:v>1066.942</c:v>
                </c:pt>
                <c:pt idx="180">
                  <c:v>1100.318</c:v>
                </c:pt>
                <c:pt idx="181">
                  <c:v>1100.318</c:v>
                </c:pt>
                <c:pt idx="182">
                  <c:v>1100.318</c:v>
                </c:pt>
                <c:pt idx="183">
                  <c:v>1114.0129999999999</c:v>
                </c:pt>
                <c:pt idx="184">
                  <c:v>1114.5709999999999</c:v>
                </c:pt>
                <c:pt idx="185">
                  <c:v>1109.5</c:v>
                </c:pt>
                <c:pt idx="186">
                  <c:v>1108.8979999999999</c:v>
                </c:pt>
                <c:pt idx="187">
                  <c:v>1105.3910000000001</c:v>
                </c:pt>
                <c:pt idx="188">
                  <c:v>1105.3910000000001</c:v>
                </c:pt>
                <c:pt idx="189">
                  <c:v>1105.3910000000001</c:v>
                </c:pt>
                <c:pt idx="190">
                  <c:v>1085.33</c:v>
                </c:pt>
                <c:pt idx="191">
                  <c:v>1084.789</c:v>
                </c:pt>
                <c:pt idx="192">
                  <c:v>1085.027</c:v>
                </c:pt>
                <c:pt idx="193">
                  <c:v>1088.6300000000001</c:v>
                </c:pt>
                <c:pt idx="194">
                  <c:v>1085.5260000000001</c:v>
                </c:pt>
                <c:pt idx="195">
                  <c:v>1085.5260000000001</c:v>
                </c:pt>
                <c:pt idx="196">
                  <c:v>1085.5260000000001</c:v>
                </c:pt>
                <c:pt idx="197">
                  <c:v>1102.7929999999999</c:v>
                </c:pt>
                <c:pt idx="198">
                  <c:v>1100.3499999999999</c:v>
                </c:pt>
                <c:pt idx="199">
                  <c:v>1100.3499999999999</c:v>
                </c:pt>
                <c:pt idx="200">
                  <c:v>1101.2270000000001</c:v>
                </c:pt>
                <c:pt idx="201">
                  <c:v>1096.7080000000001</c:v>
                </c:pt>
                <c:pt idx="202">
                  <c:v>1096.7080000000001</c:v>
                </c:pt>
                <c:pt idx="203">
                  <c:v>1096.7080000000001</c:v>
                </c:pt>
                <c:pt idx="204">
                  <c:v>1091.4680000000001</c:v>
                </c:pt>
                <c:pt idx="205">
                  <c:v>1091.8679999999999</c:v>
                </c:pt>
                <c:pt idx="206">
                  <c:v>1096.0170000000001</c:v>
                </c:pt>
                <c:pt idx="207">
                  <c:v>1090.615</c:v>
                </c:pt>
                <c:pt idx="208">
                  <c:v>1091.375</c:v>
                </c:pt>
                <c:pt idx="209">
                  <c:v>1091.375</c:v>
                </c:pt>
                <c:pt idx="210">
                  <c:v>1091.375</c:v>
                </c:pt>
                <c:pt idx="211">
                  <c:v>1086.1030000000001</c:v>
                </c:pt>
                <c:pt idx="212">
                  <c:v>1082.05</c:v>
                </c:pt>
                <c:pt idx="213">
                  <c:v>1075.2349999999999</c:v>
                </c:pt>
                <c:pt idx="214">
                  <c:v>1079.018</c:v>
                </c:pt>
                <c:pt idx="215">
                  <c:v>1072.9880000000001</c:v>
                </c:pt>
                <c:pt idx="216">
                  <c:v>1072.9880000000001</c:v>
                </c:pt>
                <c:pt idx="217">
                  <c:v>1072.9880000000001</c:v>
                </c:pt>
                <c:pt idx="218">
                  <c:v>1071.6849999999999</c:v>
                </c:pt>
                <c:pt idx="219">
                  <c:v>1062.491</c:v>
                </c:pt>
                <c:pt idx="220">
                  <c:v>1060.5150000000001</c:v>
                </c:pt>
                <c:pt idx="221">
                  <c:v>1056.5899999999999</c:v>
                </c:pt>
                <c:pt idx="222">
                  <c:v>1052.2339999999999</c:v>
                </c:pt>
                <c:pt idx="223">
                  <c:v>1052.2339999999999</c:v>
                </c:pt>
                <c:pt idx="224">
                  <c:v>1052.2339999999999</c:v>
                </c:pt>
                <c:pt idx="225">
                  <c:v>1054.769</c:v>
                </c:pt>
                <c:pt idx="226">
                  <c:v>1054.479</c:v>
                </c:pt>
                <c:pt idx="227">
                  <c:v>1061.6199999999999</c:v>
                </c:pt>
                <c:pt idx="228">
                  <c:v>1054.71</c:v>
                </c:pt>
                <c:pt idx="229">
                  <c:v>1054.71</c:v>
                </c:pt>
                <c:pt idx="230">
                  <c:v>1054.71</c:v>
                </c:pt>
                <c:pt idx="231">
                  <c:v>1054.71</c:v>
                </c:pt>
                <c:pt idx="232">
                  <c:v>1048.769</c:v>
                </c:pt>
                <c:pt idx="233">
                  <c:v>1043.768</c:v>
                </c:pt>
                <c:pt idx="234">
                  <c:v>1039.075</c:v>
                </c:pt>
                <c:pt idx="235">
                  <c:v>1039.04</c:v>
                </c:pt>
                <c:pt idx="236">
                  <c:v>1039.98</c:v>
                </c:pt>
                <c:pt idx="237">
                  <c:v>1039.98</c:v>
                </c:pt>
                <c:pt idx="238">
                  <c:v>1039.98</c:v>
                </c:pt>
                <c:pt idx="239">
                  <c:v>1018.78</c:v>
                </c:pt>
                <c:pt idx="240">
                  <c:v>1007.9160000000001</c:v>
                </c:pt>
                <c:pt idx="241">
                  <c:v>970.91600000000005</c:v>
                </c:pt>
                <c:pt idx="242">
                  <c:v>1042.421</c:v>
                </c:pt>
                <c:pt idx="243">
                  <c:v>1004.026</c:v>
                </c:pt>
                <c:pt idx="244">
                  <c:v>1004.026</c:v>
                </c:pt>
                <c:pt idx="245">
                  <c:v>1004.026</c:v>
                </c:pt>
                <c:pt idx="246">
                  <c:v>1005.254</c:v>
                </c:pt>
                <c:pt idx="247">
                  <c:v>1016.212</c:v>
                </c:pt>
                <c:pt idx="248">
                  <c:v>1025.6959999999999</c:v>
                </c:pt>
                <c:pt idx="249">
                  <c:v>1030.5260000000001</c:v>
                </c:pt>
                <c:pt idx="250">
                  <c:v>1030.92</c:v>
                </c:pt>
                <c:pt idx="251">
                  <c:v>1030.92</c:v>
                </c:pt>
                <c:pt idx="252">
                  <c:v>1030.92</c:v>
                </c:pt>
                <c:pt idx="253">
                  <c:v>1029.7</c:v>
                </c:pt>
                <c:pt idx="254">
                  <c:v>1016.82</c:v>
                </c:pt>
                <c:pt idx="255">
                  <c:v>1013.348</c:v>
                </c:pt>
                <c:pt idx="256">
                  <c:v>1010.297</c:v>
                </c:pt>
                <c:pt idx="257">
                  <c:v>1007.274</c:v>
                </c:pt>
                <c:pt idx="258">
                  <c:v>1007.274</c:v>
                </c:pt>
                <c:pt idx="259">
                  <c:v>1007.274</c:v>
                </c:pt>
                <c:pt idx="260">
                  <c:v>1000.701</c:v>
                </c:pt>
                <c:pt idx="261">
                  <c:v>991.32</c:v>
                </c:pt>
                <c:pt idx="262">
                  <c:v>988.67600000000004</c:v>
                </c:pt>
                <c:pt idx="263">
                  <c:v>982.15300000000002</c:v>
                </c:pt>
                <c:pt idx="264">
                  <c:v>980.11599999999999</c:v>
                </c:pt>
                <c:pt idx="265">
                  <c:v>980.11599999999999</c:v>
                </c:pt>
                <c:pt idx="266">
                  <c:v>980.11599999999999</c:v>
                </c:pt>
                <c:pt idx="267">
                  <c:v>974.05700000000002</c:v>
                </c:pt>
                <c:pt idx="268">
                  <c:v>988.553</c:v>
                </c:pt>
                <c:pt idx="269">
                  <c:v>983.95500000000004</c:v>
                </c:pt>
                <c:pt idx="270">
                  <c:v>993.226</c:v>
                </c:pt>
                <c:pt idx="271">
                  <c:v>996.99300000000005</c:v>
                </c:pt>
                <c:pt idx="272">
                  <c:v>996.99300000000005</c:v>
                </c:pt>
                <c:pt idx="273">
                  <c:v>996.99300000000005</c:v>
                </c:pt>
                <c:pt idx="274">
                  <c:v>1002.698</c:v>
                </c:pt>
                <c:pt idx="275">
                  <c:v>998.66200000000003</c:v>
                </c:pt>
                <c:pt idx="276">
                  <c:v>998.66200000000003</c:v>
                </c:pt>
                <c:pt idx="277">
                  <c:v>997.31799999999998</c:v>
                </c:pt>
                <c:pt idx="278">
                  <c:v>990.56100000000004</c:v>
                </c:pt>
                <c:pt idx="279">
                  <c:v>990.56100000000004</c:v>
                </c:pt>
                <c:pt idx="280">
                  <c:v>990.56100000000004</c:v>
                </c:pt>
                <c:pt idx="281">
                  <c:v>994.024</c:v>
                </c:pt>
                <c:pt idx="282">
                  <c:v>987.91</c:v>
                </c:pt>
                <c:pt idx="283">
                  <c:v>984.495</c:v>
                </c:pt>
                <c:pt idx="284">
                  <c:v>982.255</c:v>
                </c:pt>
                <c:pt idx="285">
                  <c:v>971.13599999999997</c:v>
                </c:pt>
                <c:pt idx="286">
                  <c:v>971.13599999999997</c:v>
                </c:pt>
                <c:pt idx="287">
                  <c:v>971.13599999999997</c:v>
                </c:pt>
                <c:pt idx="288">
                  <c:v>967.32799999999997</c:v>
                </c:pt>
                <c:pt idx="289">
                  <c:v>972.298</c:v>
                </c:pt>
                <c:pt idx="290">
                  <c:v>972.298</c:v>
                </c:pt>
                <c:pt idx="291">
                  <c:v>977.73199999999997</c:v>
                </c:pt>
                <c:pt idx="292">
                  <c:v>990.072</c:v>
                </c:pt>
                <c:pt idx="293">
                  <c:v>990.072</c:v>
                </c:pt>
                <c:pt idx="294">
                  <c:v>990.072</c:v>
                </c:pt>
                <c:pt idx="295">
                  <c:v>1001.199</c:v>
                </c:pt>
                <c:pt idx="296">
                  <c:v>1001.199</c:v>
                </c:pt>
                <c:pt idx="297">
                  <c:v>993.65099999999995</c:v>
                </c:pt>
                <c:pt idx="298">
                  <c:v>994.99699999999996</c:v>
                </c:pt>
                <c:pt idx="299">
                  <c:v>989.51900000000001</c:v>
                </c:pt>
                <c:pt idx="300">
                  <c:v>989.51900000000001</c:v>
                </c:pt>
                <c:pt idx="301">
                  <c:v>989.51900000000001</c:v>
                </c:pt>
                <c:pt idx="302">
                  <c:v>986.65499999999997</c:v>
                </c:pt>
                <c:pt idx="303">
                  <c:v>985.33100000000002</c:v>
                </c:pt>
                <c:pt idx="304">
                  <c:v>985.84699999999998</c:v>
                </c:pt>
                <c:pt idx="305">
                  <c:v>983.79499999999996</c:v>
                </c:pt>
                <c:pt idx="306">
                  <c:v>976.101</c:v>
                </c:pt>
                <c:pt idx="307">
                  <c:v>976.101</c:v>
                </c:pt>
                <c:pt idx="308">
                  <c:v>976.101</c:v>
                </c:pt>
                <c:pt idx="309">
                  <c:v>976.101</c:v>
                </c:pt>
                <c:pt idx="310">
                  <c:v>966.93</c:v>
                </c:pt>
                <c:pt idx="311">
                  <c:v>963.84900000000005</c:v>
                </c:pt>
                <c:pt idx="312">
                  <c:v>962.07100000000003</c:v>
                </c:pt>
                <c:pt idx="313">
                  <c:v>962.07100000000003</c:v>
                </c:pt>
                <c:pt idx="314">
                  <c:v>962.07100000000003</c:v>
                </c:pt>
                <c:pt idx="315">
                  <c:v>962.07100000000003</c:v>
                </c:pt>
                <c:pt idx="316">
                  <c:v>961.35400000000004</c:v>
                </c:pt>
                <c:pt idx="317">
                  <c:v>949.46400000000006</c:v>
                </c:pt>
                <c:pt idx="318">
                  <c:v>949.44899999999996</c:v>
                </c:pt>
                <c:pt idx="319">
                  <c:v>963.221</c:v>
                </c:pt>
                <c:pt idx="320">
                  <c:v>961.38599999999997</c:v>
                </c:pt>
                <c:pt idx="321">
                  <c:v>961.38599999999997</c:v>
                </c:pt>
                <c:pt idx="322">
                  <c:v>961.38599999999997</c:v>
                </c:pt>
                <c:pt idx="323">
                  <c:v>967.65899999999999</c:v>
                </c:pt>
                <c:pt idx="324">
                  <c:v>955.79200000000003</c:v>
                </c:pt>
                <c:pt idx="325">
                  <c:v>980.90800000000002</c:v>
                </c:pt>
                <c:pt idx="326">
                  <c:v>984.95100000000002</c:v>
                </c:pt>
                <c:pt idx="327">
                  <c:v>988.66</c:v>
                </c:pt>
                <c:pt idx="328">
                  <c:v>988.66</c:v>
                </c:pt>
                <c:pt idx="329">
                  <c:v>988.66</c:v>
                </c:pt>
                <c:pt idx="330">
                  <c:v>988.66</c:v>
                </c:pt>
                <c:pt idx="331">
                  <c:v>986.30200000000002</c:v>
                </c:pt>
                <c:pt idx="332">
                  <c:v>982.81399999999996</c:v>
                </c:pt>
                <c:pt idx="333">
                  <c:v>985.64</c:v>
                </c:pt>
                <c:pt idx="334">
                  <c:v>981.1</c:v>
                </c:pt>
                <c:pt idx="335">
                  <c:v>981.1</c:v>
                </c:pt>
                <c:pt idx="336">
                  <c:v>981.1</c:v>
                </c:pt>
                <c:pt idx="337">
                  <c:v>968.39300000000003</c:v>
                </c:pt>
                <c:pt idx="338">
                  <c:v>964.19100000000003</c:v>
                </c:pt>
                <c:pt idx="339">
                  <c:v>977.01800000000003</c:v>
                </c:pt>
                <c:pt idx="340">
                  <c:v>974.53499999999997</c:v>
                </c:pt>
                <c:pt idx="341">
                  <c:v>977.99</c:v>
                </c:pt>
                <c:pt idx="342">
                  <c:v>977.99</c:v>
                </c:pt>
                <c:pt idx="343">
                  <c:v>977.99</c:v>
                </c:pt>
                <c:pt idx="344">
                  <c:v>976.85299999999995</c:v>
                </c:pt>
                <c:pt idx="345">
                  <c:v>966.14</c:v>
                </c:pt>
                <c:pt idx="346">
                  <c:v>972.56100000000004</c:v>
                </c:pt>
                <c:pt idx="347">
                  <c:v>969.90099999999995</c:v>
                </c:pt>
                <c:pt idx="348">
                  <c:v>967.02800000000002</c:v>
                </c:pt>
                <c:pt idx="349">
                  <c:v>967.02800000000002</c:v>
                </c:pt>
                <c:pt idx="350">
                  <c:v>967.02800000000002</c:v>
                </c:pt>
                <c:pt idx="351">
                  <c:v>960.55899999999997</c:v>
                </c:pt>
                <c:pt idx="352">
                  <c:v>957.15599999999995</c:v>
                </c:pt>
                <c:pt idx="353">
                  <c:v>951.36699999999996</c:v>
                </c:pt>
                <c:pt idx="354">
                  <c:v>946.01300000000003</c:v>
                </c:pt>
                <c:pt idx="355">
                  <c:v>954.60599999999999</c:v>
                </c:pt>
                <c:pt idx="356">
                  <c:v>954.60599999999999</c:v>
                </c:pt>
                <c:pt idx="357">
                  <c:v>954.60599999999999</c:v>
                </c:pt>
                <c:pt idx="358">
                  <c:v>955.10699999999997</c:v>
                </c:pt>
                <c:pt idx="359">
                  <c:v>960.36300000000006</c:v>
                </c:pt>
                <c:pt idx="360">
                  <c:v>955.88099999999997</c:v>
                </c:pt>
                <c:pt idx="361">
                  <c:v>947.55</c:v>
                </c:pt>
                <c:pt idx="362">
                  <c:v>951.327</c:v>
                </c:pt>
                <c:pt idx="363">
                  <c:v>951.327</c:v>
                </c:pt>
                <c:pt idx="364">
                  <c:v>951.327</c:v>
                </c:pt>
                <c:pt idx="365">
                  <c:v>943.303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FBC-4228-834C-76FE6FD7E750}"/>
            </c:ext>
          </c:extLst>
        </c:ser>
        <c:dLbls/>
        <c:marker val="1"/>
        <c:axId val="205291904"/>
        <c:axId val="205293440"/>
      </c:lineChart>
      <c:dateAx>
        <c:axId val="205291904"/>
        <c:scaling>
          <c:orientation val="minMax"/>
        </c:scaling>
        <c:axPos val="b"/>
        <c:numFmt formatCode="yyyy/mm/dd" sourceLinked="1"/>
        <c:tickLblPos val="nextTo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5293440"/>
        <c:crosses val="autoZero"/>
        <c:lblOffset val="100"/>
        <c:baseTimeUnit val="days"/>
      </c:dateAx>
      <c:valAx>
        <c:axId val="205293440"/>
        <c:scaling>
          <c:orientation val="minMax"/>
        </c:scaling>
        <c:axPos val="l"/>
        <c:numFmt formatCode="#,##0_ ;\-#,##0\ " sourceLinked="0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5291904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dispBlanksAs val="gap"/>
  </c:chart>
  <c:spPr>
    <a:ln>
      <a:solidFill>
        <a:sysClr val="window" lastClr="FFFFFF">
          <a:lumMod val="75000"/>
        </a:sys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/>
      <c:lineChart>
        <c:grouping val="standard"/>
        <c:ser>
          <c:idx val="0"/>
          <c:order val="0"/>
          <c:tx>
            <c:strRef>
              <c:f>'daily monitor'!$AD$99</c:f>
              <c:strCache>
                <c:ptCount val="1"/>
                <c:pt idx="0">
                  <c:v>K200(좌)</c:v>
                </c:pt>
              </c:strCache>
            </c:strRef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'daily monitor'!$AD$101:$AD$349</c:f>
              <c:numCache>
                <c:formatCode>yyyy/mm/dd</c:formatCode>
                <c:ptCount val="249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45656</c:v>
                </c:pt>
                <c:pt idx="19">
                  <c:v>45653</c:v>
                </c:pt>
                <c:pt idx="20">
                  <c:v>45652</c:v>
                </c:pt>
                <c:pt idx="21">
                  <c:v>45650</c:v>
                </c:pt>
                <c:pt idx="22">
                  <c:v>45649</c:v>
                </c:pt>
                <c:pt idx="23">
                  <c:v>45646</c:v>
                </c:pt>
                <c:pt idx="24">
                  <c:v>45645</c:v>
                </c:pt>
                <c:pt idx="25">
                  <c:v>45644</c:v>
                </c:pt>
                <c:pt idx="26">
                  <c:v>45643</c:v>
                </c:pt>
                <c:pt idx="27">
                  <c:v>45642</c:v>
                </c:pt>
                <c:pt idx="28">
                  <c:v>45639</c:v>
                </c:pt>
                <c:pt idx="29">
                  <c:v>45638</c:v>
                </c:pt>
                <c:pt idx="30">
                  <c:v>45637</c:v>
                </c:pt>
                <c:pt idx="31">
                  <c:v>45636</c:v>
                </c:pt>
                <c:pt idx="32">
                  <c:v>45635</c:v>
                </c:pt>
                <c:pt idx="33">
                  <c:v>45632</c:v>
                </c:pt>
                <c:pt idx="34">
                  <c:v>45631</c:v>
                </c:pt>
                <c:pt idx="35">
                  <c:v>45630</c:v>
                </c:pt>
                <c:pt idx="36">
                  <c:v>45629</c:v>
                </c:pt>
                <c:pt idx="37">
                  <c:v>45628</c:v>
                </c:pt>
                <c:pt idx="38">
                  <c:v>45625</c:v>
                </c:pt>
                <c:pt idx="39">
                  <c:v>45624</c:v>
                </c:pt>
                <c:pt idx="40">
                  <c:v>45623</c:v>
                </c:pt>
                <c:pt idx="41">
                  <c:v>45622</c:v>
                </c:pt>
                <c:pt idx="42">
                  <c:v>45621</c:v>
                </c:pt>
                <c:pt idx="43">
                  <c:v>45618</c:v>
                </c:pt>
                <c:pt idx="44">
                  <c:v>45617</c:v>
                </c:pt>
                <c:pt idx="45">
                  <c:v>45616</c:v>
                </c:pt>
                <c:pt idx="46">
                  <c:v>45615</c:v>
                </c:pt>
                <c:pt idx="47">
                  <c:v>45614</c:v>
                </c:pt>
                <c:pt idx="48">
                  <c:v>45611</c:v>
                </c:pt>
                <c:pt idx="49">
                  <c:v>45610</c:v>
                </c:pt>
                <c:pt idx="50">
                  <c:v>45609</c:v>
                </c:pt>
                <c:pt idx="51">
                  <c:v>45608</c:v>
                </c:pt>
                <c:pt idx="52">
                  <c:v>45607</c:v>
                </c:pt>
                <c:pt idx="53">
                  <c:v>45604</c:v>
                </c:pt>
                <c:pt idx="54">
                  <c:v>45603</c:v>
                </c:pt>
                <c:pt idx="55">
                  <c:v>45602</c:v>
                </c:pt>
                <c:pt idx="56">
                  <c:v>45601</c:v>
                </c:pt>
                <c:pt idx="57">
                  <c:v>45600</c:v>
                </c:pt>
                <c:pt idx="58">
                  <c:v>45597</c:v>
                </c:pt>
                <c:pt idx="59">
                  <c:v>45596</c:v>
                </c:pt>
                <c:pt idx="60">
                  <c:v>45595</c:v>
                </c:pt>
                <c:pt idx="61">
                  <c:v>45594</c:v>
                </c:pt>
                <c:pt idx="62">
                  <c:v>45593</c:v>
                </c:pt>
                <c:pt idx="63">
                  <c:v>45590</c:v>
                </c:pt>
                <c:pt idx="64">
                  <c:v>45589</c:v>
                </c:pt>
                <c:pt idx="65">
                  <c:v>45588</c:v>
                </c:pt>
                <c:pt idx="66">
                  <c:v>45587</c:v>
                </c:pt>
                <c:pt idx="67">
                  <c:v>45586</c:v>
                </c:pt>
                <c:pt idx="68">
                  <c:v>45583</c:v>
                </c:pt>
                <c:pt idx="69">
                  <c:v>45582</c:v>
                </c:pt>
                <c:pt idx="70">
                  <c:v>45581</c:v>
                </c:pt>
                <c:pt idx="71">
                  <c:v>45580</c:v>
                </c:pt>
                <c:pt idx="72">
                  <c:v>45579</c:v>
                </c:pt>
                <c:pt idx="73">
                  <c:v>45576</c:v>
                </c:pt>
                <c:pt idx="74">
                  <c:v>45575</c:v>
                </c:pt>
                <c:pt idx="75">
                  <c:v>45573</c:v>
                </c:pt>
                <c:pt idx="76">
                  <c:v>45572</c:v>
                </c:pt>
                <c:pt idx="77">
                  <c:v>45569</c:v>
                </c:pt>
                <c:pt idx="78">
                  <c:v>45567</c:v>
                </c:pt>
                <c:pt idx="79">
                  <c:v>45565</c:v>
                </c:pt>
                <c:pt idx="80">
                  <c:v>45562</c:v>
                </c:pt>
                <c:pt idx="81">
                  <c:v>45561</c:v>
                </c:pt>
                <c:pt idx="82">
                  <c:v>45560</c:v>
                </c:pt>
                <c:pt idx="83">
                  <c:v>45559</c:v>
                </c:pt>
                <c:pt idx="84">
                  <c:v>45558</c:v>
                </c:pt>
                <c:pt idx="85">
                  <c:v>45555</c:v>
                </c:pt>
                <c:pt idx="86">
                  <c:v>45554</c:v>
                </c:pt>
                <c:pt idx="87">
                  <c:v>45548</c:v>
                </c:pt>
                <c:pt idx="88">
                  <c:v>45547</c:v>
                </c:pt>
                <c:pt idx="89">
                  <c:v>45546</c:v>
                </c:pt>
                <c:pt idx="90">
                  <c:v>45545</c:v>
                </c:pt>
                <c:pt idx="91">
                  <c:v>45544</c:v>
                </c:pt>
                <c:pt idx="92">
                  <c:v>45541</c:v>
                </c:pt>
                <c:pt idx="93">
                  <c:v>45540</c:v>
                </c:pt>
                <c:pt idx="94">
                  <c:v>45539</c:v>
                </c:pt>
                <c:pt idx="95">
                  <c:v>45538</c:v>
                </c:pt>
                <c:pt idx="96">
                  <c:v>45537</c:v>
                </c:pt>
                <c:pt idx="97">
                  <c:v>45534</c:v>
                </c:pt>
                <c:pt idx="98">
                  <c:v>45533</c:v>
                </c:pt>
                <c:pt idx="99">
                  <c:v>45532</c:v>
                </c:pt>
                <c:pt idx="100">
                  <c:v>45531</c:v>
                </c:pt>
                <c:pt idx="101">
                  <c:v>45530</c:v>
                </c:pt>
                <c:pt idx="102">
                  <c:v>45527</c:v>
                </c:pt>
                <c:pt idx="103">
                  <c:v>45526</c:v>
                </c:pt>
                <c:pt idx="104">
                  <c:v>45525</c:v>
                </c:pt>
                <c:pt idx="105">
                  <c:v>45524</c:v>
                </c:pt>
                <c:pt idx="106">
                  <c:v>45523</c:v>
                </c:pt>
                <c:pt idx="107">
                  <c:v>45520</c:v>
                </c:pt>
                <c:pt idx="108">
                  <c:v>45518</c:v>
                </c:pt>
                <c:pt idx="109">
                  <c:v>45517</c:v>
                </c:pt>
                <c:pt idx="110">
                  <c:v>45516</c:v>
                </c:pt>
                <c:pt idx="111">
                  <c:v>45513</c:v>
                </c:pt>
                <c:pt idx="112">
                  <c:v>45512</c:v>
                </c:pt>
                <c:pt idx="113">
                  <c:v>45511</c:v>
                </c:pt>
                <c:pt idx="114">
                  <c:v>45510</c:v>
                </c:pt>
                <c:pt idx="115">
                  <c:v>45509</c:v>
                </c:pt>
                <c:pt idx="116">
                  <c:v>45506</c:v>
                </c:pt>
                <c:pt idx="117">
                  <c:v>45505</c:v>
                </c:pt>
                <c:pt idx="118">
                  <c:v>45504</c:v>
                </c:pt>
                <c:pt idx="119">
                  <c:v>45503</c:v>
                </c:pt>
                <c:pt idx="120">
                  <c:v>45502</c:v>
                </c:pt>
                <c:pt idx="121">
                  <c:v>45499</c:v>
                </c:pt>
                <c:pt idx="122">
                  <c:v>45498</c:v>
                </c:pt>
                <c:pt idx="123">
                  <c:v>45497</c:v>
                </c:pt>
                <c:pt idx="124">
                  <c:v>45496</c:v>
                </c:pt>
                <c:pt idx="125">
                  <c:v>45495</c:v>
                </c:pt>
                <c:pt idx="126">
                  <c:v>45492</c:v>
                </c:pt>
                <c:pt idx="127">
                  <c:v>45491</c:v>
                </c:pt>
                <c:pt idx="128">
                  <c:v>45490</c:v>
                </c:pt>
                <c:pt idx="129">
                  <c:v>45489</c:v>
                </c:pt>
                <c:pt idx="130">
                  <c:v>45488</c:v>
                </c:pt>
                <c:pt idx="131">
                  <c:v>45485</c:v>
                </c:pt>
                <c:pt idx="132">
                  <c:v>45484</c:v>
                </c:pt>
                <c:pt idx="133">
                  <c:v>45483</c:v>
                </c:pt>
                <c:pt idx="134">
                  <c:v>45482</c:v>
                </c:pt>
                <c:pt idx="135">
                  <c:v>45481</c:v>
                </c:pt>
                <c:pt idx="136">
                  <c:v>45478</c:v>
                </c:pt>
                <c:pt idx="137">
                  <c:v>45477</c:v>
                </c:pt>
                <c:pt idx="138">
                  <c:v>45476</c:v>
                </c:pt>
                <c:pt idx="139">
                  <c:v>45475</c:v>
                </c:pt>
                <c:pt idx="140">
                  <c:v>45474</c:v>
                </c:pt>
                <c:pt idx="141">
                  <c:v>45471</c:v>
                </c:pt>
                <c:pt idx="142">
                  <c:v>45470</c:v>
                </c:pt>
                <c:pt idx="143">
                  <c:v>45469</c:v>
                </c:pt>
                <c:pt idx="144">
                  <c:v>45468</c:v>
                </c:pt>
                <c:pt idx="145">
                  <c:v>45467</c:v>
                </c:pt>
                <c:pt idx="146">
                  <c:v>45464</c:v>
                </c:pt>
                <c:pt idx="147">
                  <c:v>45463</c:v>
                </c:pt>
                <c:pt idx="148">
                  <c:v>45462</c:v>
                </c:pt>
                <c:pt idx="149">
                  <c:v>45461</c:v>
                </c:pt>
                <c:pt idx="150">
                  <c:v>45460</c:v>
                </c:pt>
                <c:pt idx="151">
                  <c:v>45457</c:v>
                </c:pt>
                <c:pt idx="152">
                  <c:v>45456</c:v>
                </c:pt>
                <c:pt idx="153">
                  <c:v>45455</c:v>
                </c:pt>
                <c:pt idx="154">
                  <c:v>45454</c:v>
                </c:pt>
                <c:pt idx="155">
                  <c:v>45453</c:v>
                </c:pt>
                <c:pt idx="156">
                  <c:v>45450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45426</c:v>
                </c:pt>
                <c:pt idx="173">
                  <c:v>45425</c:v>
                </c:pt>
                <c:pt idx="174">
                  <c:v>45422</c:v>
                </c:pt>
                <c:pt idx="175">
                  <c:v>45421</c:v>
                </c:pt>
                <c:pt idx="176">
                  <c:v>45420</c:v>
                </c:pt>
                <c:pt idx="177">
                  <c:v>45419</c:v>
                </c:pt>
                <c:pt idx="178">
                  <c:v>45415</c:v>
                </c:pt>
                <c:pt idx="179">
                  <c:v>45414</c:v>
                </c:pt>
                <c:pt idx="180">
                  <c:v>45412</c:v>
                </c:pt>
                <c:pt idx="181">
                  <c:v>45411</c:v>
                </c:pt>
                <c:pt idx="182">
                  <c:v>45408</c:v>
                </c:pt>
                <c:pt idx="183">
                  <c:v>45407</c:v>
                </c:pt>
                <c:pt idx="184">
                  <c:v>45406</c:v>
                </c:pt>
                <c:pt idx="185">
                  <c:v>45405</c:v>
                </c:pt>
                <c:pt idx="186">
                  <c:v>45404</c:v>
                </c:pt>
                <c:pt idx="187">
                  <c:v>45401</c:v>
                </c:pt>
                <c:pt idx="188">
                  <c:v>45400</c:v>
                </c:pt>
                <c:pt idx="189">
                  <c:v>45399</c:v>
                </c:pt>
                <c:pt idx="190">
                  <c:v>45398</c:v>
                </c:pt>
                <c:pt idx="191">
                  <c:v>45397</c:v>
                </c:pt>
                <c:pt idx="192">
                  <c:v>45394</c:v>
                </c:pt>
                <c:pt idx="193">
                  <c:v>45393</c:v>
                </c:pt>
                <c:pt idx="194">
                  <c:v>45391</c:v>
                </c:pt>
                <c:pt idx="195">
                  <c:v>45390</c:v>
                </c:pt>
                <c:pt idx="196">
                  <c:v>45387</c:v>
                </c:pt>
                <c:pt idx="197">
                  <c:v>45386</c:v>
                </c:pt>
                <c:pt idx="198">
                  <c:v>45385</c:v>
                </c:pt>
                <c:pt idx="199">
                  <c:v>45384</c:v>
                </c:pt>
                <c:pt idx="200">
                  <c:v>45383</c:v>
                </c:pt>
                <c:pt idx="201">
                  <c:v>45380</c:v>
                </c:pt>
                <c:pt idx="202">
                  <c:v>45379</c:v>
                </c:pt>
                <c:pt idx="203">
                  <c:v>45378</c:v>
                </c:pt>
                <c:pt idx="204">
                  <c:v>45377</c:v>
                </c:pt>
                <c:pt idx="205">
                  <c:v>45376</c:v>
                </c:pt>
                <c:pt idx="206">
                  <c:v>45373</c:v>
                </c:pt>
                <c:pt idx="207">
                  <c:v>45372</c:v>
                </c:pt>
                <c:pt idx="208">
                  <c:v>45371</c:v>
                </c:pt>
                <c:pt idx="209">
                  <c:v>45370</c:v>
                </c:pt>
                <c:pt idx="210">
                  <c:v>45369</c:v>
                </c:pt>
                <c:pt idx="211">
                  <c:v>45366</c:v>
                </c:pt>
                <c:pt idx="212">
                  <c:v>45365</c:v>
                </c:pt>
                <c:pt idx="213">
                  <c:v>45364</c:v>
                </c:pt>
                <c:pt idx="214">
                  <c:v>45363</c:v>
                </c:pt>
                <c:pt idx="215">
                  <c:v>45362</c:v>
                </c:pt>
                <c:pt idx="216">
                  <c:v>45359</c:v>
                </c:pt>
                <c:pt idx="217">
                  <c:v>45358</c:v>
                </c:pt>
                <c:pt idx="218">
                  <c:v>45357</c:v>
                </c:pt>
                <c:pt idx="219">
                  <c:v>45356</c:v>
                </c:pt>
                <c:pt idx="220">
                  <c:v>45355</c:v>
                </c:pt>
                <c:pt idx="221">
                  <c:v>45351</c:v>
                </c:pt>
                <c:pt idx="222">
                  <c:v>45350</c:v>
                </c:pt>
                <c:pt idx="223">
                  <c:v>45349</c:v>
                </c:pt>
                <c:pt idx="224">
                  <c:v>45348</c:v>
                </c:pt>
                <c:pt idx="225">
                  <c:v>45345</c:v>
                </c:pt>
                <c:pt idx="226">
                  <c:v>45344</c:v>
                </c:pt>
                <c:pt idx="227">
                  <c:v>45343</c:v>
                </c:pt>
                <c:pt idx="228">
                  <c:v>45342</c:v>
                </c:pt>
                <c:pt idx="229">
                  <c:v>45341</c:v>
                </c:pt>
                <c:pt idx="230">
                  <c:v>45338</c:v>
                </c:pt>
                <c:pt idx="231">
                  <c:v>45337</c:v>
                </c:pt>
                <c:pt idx="232">
                  <c:v>45336</c:v>
                </c:pt>
                <c:pt idx="233">
                  <c:v>45335</c:v>
                </c:pt>
                <c:pt idx="234">
                  <c:v>45330</c:v>
                </c:pt>
                <c:pt idx="235">
                  <c:v>45329</c:v>
                </c:pt>
                <c:pt idx="236">
                  <c:v>45328</c:v>
                </c:pt>
                <c:pt idx="237">
                  <c:v>45327</c:v>
                </c:pt>
                <c:pt idx="238">
                  <c:v>45324</c:v>
                </c:pt>
                <c:pt idx="239">
                  <c:v>45323</c:v>
                </c:pt>
              </c:numCache>
            </c:numRef>
          </c:cat>
          <c:val>
            <c:numRef>
              <c:f>'daily monitor'!$AE$101:$AE$349</c:f>
              <c:numCache>
                <c:formatCode>General</c:formatCode>
                <c:ptCount val="249"/>
                <c:pt idx="0">
                  <c:v>332.5</c:v>
                </c:pt>
                <c:pt idx="1">
                  <c:v>335.85</c:v>
                </c:pt>
                <c:pt idx="2">
                  <c:v>334</c:v>
                </c:pt>
                <c:pt idx="3">
                  <c:v>338</c:v>
                </c:pt>
                <c:pt idx="4">
                  <c:v>334.05</c:v>
                </c:pt>
                <c:pt idx="5">
                  <c:v>333.95</c:v>
                </c:pt>
                <c:pt idx="6">
                  <c:v>334.35</c:v>
                </c:pt>
                <c:pt idx="7">
                  <c:v>335.45</c:v>
                </c:pt>
                <c:pt idx="8">
                  <c:v>330.25</c:v>
                </c:pt>
                <c:pt idx="9">
                  <c:v>330.95</c:v>
                </c:pt>
                <c:pt idx="10">
                  <c:v>329.45</c:v>
                </c:pt>
                <c:pt idx="11">
                  <c:v>334.4</c:v>
                </c:pt>
                <c:pt idx="12">
                  <c:v>334</c:v>
                </c:pt>
                <c:pt idx="13">
                  <c:v>334.25</c:v>
                </c:pt>
                <c:pt idx="14">
                  <c:v>331.55</c:v>
                </c:pt>
                <c:pt idx="15">
                  <c:v>330.8</c:v>
                </c:pt>
                <c:pt idx="16">
                  <c:v>324.95</c:v>
                </c:pt>
                <c:pt idx="17">
                  <c:v>317.60000000000002</c:v>
                </c:pt>
                <c:pt idx="18">
                  <c:v>318.89999999999998</c:v>
                </c:pt>
                <c:pt idx="19">
                  <c:v>319.55</c:v>
                </c:pt>
                <c:pt idx="20">
                  <c:v>321.10000000000002</c:v>
                </c:pt>
                <c:pt idx="21">
                  <c:v>323.14999999999998</c:v>
                </c:pt>
                <c:pt idx="22">
                  <c:v>322.60000000000002</c:v>
                </c:pt>
                <c:pt idx="23">
                  <c:v>318.10000000000002</c:v>
                </c:pt>
                <c:pt idx="24">
                  <c:v>321.60000000000002</c:v>
                </c:pt>
                <c:pt idx="25">
                  <c:v>329.55</c:v>
                </c:pt>
                <c:pt idx="26">
                  <c:v>325.35000000000002</c:v>
                </c:pt>
                <c:pt idx="27">
                  <c:v>328.15</c:v>
                </c:pt>
                <c:pt idx="28">
                  <c:v>329.9</c:v>
                </c:pt>
                <c:pt idx="29">
                  <c:v>329.8</c:v>
                </c:pt>
                <c:pt idx="30">
                  <c:v>324.05</c:v>
                </c:pt>
                <c:pt idx="31">
                  <c:v>320.85000000000002</c:v>
                </c:pt>
                <c:pt idx="32">
                  <c:v>314.10000000000002</c:v>
                </c:pt>
                <c:pt idx="33">
                  <c:v>322.64999999999998</c:v>
                </c:pt>
                <c:pt idx="34">
                  <c:v>323.95</c:v>
                </c:pt>
                <c:pt idx="35">
                  <c:v>325.64999999999998</c:v>
                </c:pt>
                <c:pt idx="36">
                  <c:v>331</c:v>
                </c:pt>
                <c:pt idx="37">
                  <c:v>325.95</c:v>
                </c:pt>
                <c:pt idx="38">
                  <c:v>326.3</c:v>
                </c:pt>
                <c:pt idx="39">
                  <c:v>331.8</c:v>
                </c:pt>
                <c:pt idx="40">
                  <c:v>333.5</c:v>
                </c:pt>
                <c:pt idx="41">
                  <c:v>335.9</c:v>
                </c:pt>
                <c:pt idx="42">
                  <c:v>336.85</c:v>
                </c:pt>
                <c:pt idx="43">
                  <c:v>332.65</c:v>
                </c:pt>
                <c:pt idx="44">
                  <c:v>330.35</c:v>
                </c:pt>
                <c:pt idx="45">
                  <c:v>330</c:v>
                </c:pt>
                <c:pt idx="46">
                  <c:v>329.4</c:v>
                </c:pt>
                <c:pt idx="47">
                  <c:v>327.64999999999998</c:v>
                </c:pt>
                <c:pt idx="48">
                  <c:v>320.5</c:v>
                </c:pt>
                <c:pt idx="49">
                  <c:v>318.05</c:v>
                </c:pt>
                <c:pt idx="50">
                  <c:v>318.89999999999998</c:v>
                </c:pt>
                <c:pt idx="51">
                  <c:v>328</c:v>
                </c:pt>
                <c:pt idx="52">
                  <c:v>335.95</c:v>
                </c:pt>
                <c:pt idx="53">
                  <c:v>340.8</c:v>
                </c:pt>
                <c:pt idx="54">
                  <c:v>341.35</c:v>
                </c:pt>
                <c:pt idx="55">
                  <c:v>342.2</c:v>
                </c:pt>
                <c:pt idx="56">
                  <c:v>343</c:v>
                </c:pt>
                <c:pt idx="57">
                  <c:v>343.6</c:v>
                </c:pt>
                <c:pt idx="58">
                  <c:v>338.3</c:v>
                </c:pt>
                <c:pt idx="59">
                  <c:v>341</c:v>
                </c:pt>
                <c:pt idx="60">
                  <c:v>346.6</c:v>
                </c:pt>
                <c:pt idx="61">
                  <c:v>349.55</c:v>
                </c:pt>
                <c:pt idx="62">
                  <c:v>348.25</c:v>
                </c:pt>
                <c:pt idx="63">
                  <c:v>345.25</c:v>
                </c:pt>
                <c:pt idx="64">
                  <c:v>344.9</c:v>
                </c:pt>
                <c:pt idx="65">
                  <c:v>347.95</c:v>
                </c:pt>
                <c:pt idx="66">
                  <c:v>343.9</c:v>
                </c:pt>
                <c:pt idx="67">
                  <c:v>348.3</c:v>
                </c:pt>
                <c:pt idx="68">
                  <c:v>348.1</c:v>
                </c:pt>
                <c:pt idx="69">
                  <c:v>350.1</c:v>
                </c:pt>
                <c:pt idx="70">
                  <c:v>349.3</c:v>
                </c:pt>
                <c:pt idx="71">
                  <c:v>352.65</c:v>
                </c:pt>
                <c:pt idx="72">
                  <c:v>351.05</c:v>
                </c:pt>
                <c:pt idx="73">
                  <c:v>347.25</c:v>
                </c:pt>
                <c:pt idx="74">
                  <c:v>346.85</c:v>
                </c:pt>
                <c:pt idx="75">
                  <c:v>346.15</c:v>
                </c:pt>
                <c:pt idx="76">
                  <c:v>349.25</c:v>
                </c:pt>
                <c:pt idx="77">
                  <c:v>344.1</c:v>
                </c:pt>
                <c:pt idx="78">
                  <c:v>342.75</c:v>
                </c:pt>
                <c:pt idx="79">
                  <c:v>347.9</c:v>
                </c:pt>
                <c:pt idx="80">
                  <c:v>355.85</c:v>
                </c:pt>
                <c:pt idx="81">
                  <c:v>358.5</c:v>
                </c:pt>
                <c:pt idx="82">
                  <c:v>346.3</c:v>
                </c:pt>
                <c:pt idx="83">
                  <c:v>352</c:v>
                </c:pt>
                <c:pt idx="84">
                  <c:v>347.45</c:v>
                </c:pt>
                <c:pt idx="85">
                  <c:v>346.65</c:v>
                </c:pt>
                <c:pt idx="86">
                  <c:v>345.75</c:v>
                </c:pt>
                <c:pt idx="87">
                  <c:v>345.95</c:v>
                </c:pt>
                <c:pt idx="88">
                  <c:v>342.95</c:v>
                </c:pt>
                <c:pt idx="89">
                  <c:v>335.85</c:v>
                </c:pt>
                <c:pt idx="90">
                  <c:v>339.15</c:v>
                </c:pt>
                <c:pt idx="91">
                  <c:v>341.5</c:v>
                </c:pt>
                <c:pt idx="92">
                  <c:v>342.2</c:v>
                </c:pt>
                <c:pt idx="93">
                  <c:v>346.1</c:v>
                </c:pt>
                <c:pt idx="94">
                  <c:v>346.8</c:v>
                </c:pt>
                <c:pt idx="95">
                  <c:v>359.25</c:v>
                </c:pt>
                <c:pt idx="96">
                  <c:v>362.7</c:v>
                </c:pt>
                <c:pt idx="97">
                  <c:v>362.8</c:v>
                </c:pt>
                <c:pt idx="98">
                  <c:v>361.65</c:v>
                </c:pt>
                <c:pt idx="99">
                  <c:v>367.45</c:v>
                </c:pt>
                <c:pt idx="100">
                  <c:v>366.35</c:v>
                </c:pt>
                <c:pt idx="101">
                  <c:v>367.1</c:v>
                </c:pt>
                <c:pt idx="102">
                  <c:v>368.85</c:v>
                </c:pt>
                <c:pt idx="103">
                  <c:v>369.45</c:v>
                </c:pt>
                <c:pt idx="104">
                  <c:v>369.2</c:v>
                </c:pt>
                <c:pt idx="105">
                  <c:v>369.65</c:v>
                </c:pt>
                <c:pt idx="106">
                  <c:v>365.05</c:v>
                </c:pt>
                <c:pt idx="107">
                  <c:v>369.25</c:v>
                </c:pt>
                <c:pt idx="108">
                  <c:v>360.95</c:v>
                </c:pt>
                <c:pt idx="109">
                  <c:v>357.35</c:v>
                </c:pt>
                <c:pt idx="110">
                  <c:v>355.85</c:v>
                </c:pt>
                <c:pt idx="111">
                  <c:v>352.95</c:v>
                </c:pt>
                <c:pt idx="112">
                  <c:v>346.05</c:v>
                </c:pt>
                <c:pt idx="113">
                  <c:v>350.5</c:v>
                </c:pt>
                <c:pt idx="114">
                  <c:v>340</c:v>
                </c:pt>
                <c:pt idx="115">
                  <c:v>330.45</c:v>
                </c:pt>
                <c:pt idx="116">
                  <c:v>366.7</c:v>
                </c:pt>
                <c:pt idx="117">
                  <c:v>382.55</c:v>
                </c:pt>
                <c:pt idx="118">
                  <c:v>382</c:v>
                </c:pt>
                <c:pt idx="119">
                  <c:v>376.9</c:v>
                </c:pt>
                <c:pt idx="120">
                  <c:v>380.25</c:v>
                </c:pt>
                <c:pt idx="121">
                  <c:v>375.95</c:v>
                </c:pt>
                <c:pt idx="122">
                  <c:v>374.35</c:v>
                </c:pt>
                <c:pt idx="123">
                  <c:v>380.95</c:v>
                </c:pt>
                <c:pt idx="124">
                  <c:v>383.2</c:v>
                </c:pt>
                <c:pt idx="125">
                  <c:v>382.2</c:v>
                </c:pt>
                <c:pt idx="126">
                  <c:v>386</c:v>
                </c:pt>
                <c:pt idx="127">
                  <c:v>390.3</c:v>
                </c:pt>
                <c:pt idx="128">
                  <c:v>394.2</c:v>
                </c:pt>
                <c:pt idx="129">
                  <c:v>397.2</c:v>
                </c:pt>
                <c:pt idx="130">
                  <c:v>397.25</c:v>
                </c:pt>
                <c:pt idx="131">
                  <c:v>395.25</c:v>
                </c:pt>
                <c:pt idx="132">
                  <c:v>400.55</c:v>
                </c:pt>
                <c:pt idx="133">
                  <c:v>398.35</c:v>
                </c:pt>
                <c:pt idx="134">
                  <c:v>398.05</c:v>
                </c:pt>
                <c:pt idx="135">
                  <c:v>396.7</c:v>
                </c:pt>
                <c:pt idx="136">
                  <c:v>398</c:v>
                </c:pt>
                <c:pt idx="137">
                  <c:v>391.05</c:v>
                </c:pt>
                <c:pt idx="138">
                  <c:v>385.3</c:v>
                </c:pt>
                <c:pt idx="139">
                  <c:v>383.5</c:v>
                </c:pt>
                <c:pt idx="140">
                  <c:v>386.7</c:v>
                </c:pt>
                <c:pt idx="141">
                  <c:v>386.35</c:v>
                </c:pt>
                <c:pt idx="142">
                  <c:v>383.8</c:v>
                </c:pt>
                <c:pt idx="143">
                  <c:v>384.75</c:v>
                </c:pt>
                <c:pt idx="144">
                  <c:v>381.95</c:v>
                </c:pt>
                <c:pt idx="145">
                  <c:v>380.7</c:v>
                </c:pt>
                <c:pt idx="146">
                  <c:v>383.45</c:v>
                </c:pt>
                <c:pt idx="147">
                  <c:v>386.8</c:v>
                </c:pt>
                <c:pt idx="148">
                  <c:v>385.7</c:v>
                </c:pt>
                <c:pt idx="149">
                  <c:v>379.6</c:v>
                </c:pt>
                <c:pt idx="150">
                  <c:v>375.95</c:v>
                </c:pt>
                <c:pt idx="151">
                  <c:v>377.45</c:v>
                </c:pt>
                <c:pt idx="152">
                  <c:v>375.75</c:v>
                </c:pt>
                <c:pt idx="153">
                  <c:v>371.7</c:v>
                </c:pt>
                <c:pt idx="154">
                  <c:v>368.85</c:v>
                </c:pt>
                <c:pt idx="155">
                  <c:v>368</c:v>
                </c:pt>
                <c:pt idx="156">
                  <c:v>371.9</c:v>
                </c:pt>
                <c:pt idx="157">
                  <c:v>366.5</c:v>
                </c:pt>
                <c:pt idx="158">
                  <c:v>363.3</c:v>
                </c:pt>
                <c:pt idx="159">
                  <c:v>366.1</c:v>
                </c:pt>
                <c:pt idx="160">
                  <c:v>360.05</c:v>
                </c:pt>
                <c:pt idx="161">
                  <c:v>360.1</c:v>
                </c:pt>
                <c:pt idx="162">
                  <c:v>366.35</c:v>
                </c:pt>
                <c:pt idx="163">
                  <c:v>372.05</c:v>
                </c:pt>
                <c:pt idx="164">
                  <c:v>371.75</c:v>
                </c:pt>
                <c:pt idx="165">
                  <c:v>366.55</c:v>
                </c:pt>
                <c:pt idx="166">
                  <c:v>372.75</c:v>
                </c:pt>
                <c:pt idx="167">
                  <c:v>372.85</c:v>
                </c:pt>
                <c:pt idx="168">
                  <c:v>373.25</c:v>
                </c:pt>
                <c:pt idx="169">
                  <c:v>374.65</c:v>
                </c:pt>
                <c:pt idx="170">
                  <c:v>371.35</c:v>
                </c:pt>
                <c:pt idx="171">
                  <c:v>376</c:v>
                </c:pt>
                <c:pt idx="172">
                  <c:v>371.85</c:v>
                </c:pt>
                <c:pt idx="173">
                  <c:v>371.65</c:v>
                </c:pt>
                <c:pt idx="174">
                  <c:v>372.4</c:v>
                </c:pt>
                <c:pt idx="175">
                  <c:v>370.95</c:v>
                </c:pt>
                <c:pt idx="176">
                  <c:v>375.3</c:v>
                </c:pt>
                <c:pt idx="177">
                  <c:v>373.7</c:v>
                </c:pt>
                <c:pt idx="178">
                  <c:v>364.5</c:v>
                </c:pt>
                <c:pt idx="179">
                  <c:v>365.35</c:v>
                </c:pt>
                <c:pt idx="180">
                  <c:v>367.45</c:v>
                </c:pt>
                <c:pt idx="181">
                  <c:v>365.65</c:v>
                </c:pt>
                <c:pt idx="182">
                  <c:v>361.9</c:v>
                </c:pt>
                <c:pt idx="183">
                  <c:v>358.6</c:v>
                </c:pt>
                <c:pt idx="184">
                  <c:v>364.55</c:v>
                </c:pt>
                <c:pt idx="185">
                  <c:v>358.5</c:v>
                </c:pt>
                <c:pt idx="186">
                  <c:v>358.8</c:v>
                </c:pt>
                <c:pt idx="187">
                  <c:v>354.05</c:v>
                </c:pt>
                <c:pt idx="188">
                  <c:v>360.35</c:v>
                </c:pt>
                <c:pt idx="189">
                  <c:v>354.7</c:v>
                </c:pt>
                <c:pt idx="190">
                  <c:v>358.15</c:v>
                </c:pt>
                <c:pt idx="191">
                  <c:v>367.2</c:v>
                </c:pt>
                <c:pt idx="192">
                  <c:v>369.35</c:v>
                </c:pt>
                <c:pt idx="193">
                  <c:v>372.8</c:v>
                </c:pt>
                <c:pt idx="194">
                  <c:v>372.8</c:v>
                </c:pt>
                <c:pt idx="195">
                  <c:v>375.2</c:v>
                </c:pt>
                <c:pt idx="196">
                  <c:v>373.75</c:v>
                </c:pt>
                <c:pt idx="197">
                  <c:v>378.25</c:v>
                </c:pt>
                <c:pt idx="198">
                  <c:v>373.05</c:v>
                </c:pt>
                <c:pt idx="199">
                  <c:v>378.55</c:v>
                </c:pt>
                <c:pt idx="200">
                  <c:v>377</c:v>
                </c:pt>
                <c:pt idx="201">
                  <c:v>376.95</c:v>
                </c:pt>
                <c:pt idx="202">
                  <c:v>375.7</c:v>
                </c:pt>
                <c:pt idx="203">
                  <c:v>376.3</c:v>
                </c:pt>
                <c:pt idx="204">
                  <c:v>376</c:v>
                </c:pt>
                <c:pt idx="205">
                  <c:v>372.6</c:v>
                </c:pt>
                <c:pt idx="206">
                  <c:v>373.4</c:v>
                </c:pt>
                <c:pt idx="207">
                  <c:v>375.45</c:v>
                </c:pt>
                <c:pt idx="208">
                  <c:v>365.05</c:v>
                </c:pt>
                <c:pt idx="209">
                  <c:v>358.95</c:v>
                </c:pt>
                <c:pt idx="210">
                  <c:v>362.95</c:v>
                </c:pt>
                <c:pt idx="211">
                  <c:v>361.1</c:v>
                </c:pt>
                <c:pt idx="212">
                  <c:v>366.35</c:v>
                </c:pt>
                <c:pt idx="213">
                  <c:v>363.55</c:v>
                </c:pt>
                <c:pt idx="214">
                  <c:v>361.7</c:v>
                </c:pt>
                <c:pt idx="215">
                  <c:v>359.05</c:v>
                </c:pt>
                <c:pt idx="216">
                  <c:v>362.15</c:v>
                </c:pt>
                <c:pt idx="217">
                  <c:v>357.1</c:v>
                </c:pt>
                <c:pt idx="218">
                  <c:v>356.6</c:v>
                </c:pt>
                <c:pt idx="219">
                  <c:v>357.65</c:v>
                </c:pt>
                <c:pt idx="220">
                  <c:v>361.4</c:v>
                </c:pt>
                <c:pt idx="221">
                  <c:v>355.75</c:v>
                </c:pt>
                <c:pt idx="222">
                  <c:v>357.2</c:v>
                </c:pt>
                <c:pt idx="223">
                  <c:v>352.6</c:v>
                </c:pt>
                <c:pt idx="224">
                  <c:v>355.25</c:v>
                </c:pt>
                <c:pt idx="225">
                  <c:v>359.05</c:v>
                </c:pt>
                <c:pt idx="226">
                  <c:v>357.9</c:v>
                </c:pt>
                <c:pt idx="227">
                  <c:v>355.95</c:v>
                </c:pt>
                <c:pt idx="228">
                  <c:v>356.65</c:v>
                </c:pt>
                <c:pt idx="229">
                  <c:v>361.1</c:v>
                </c:pt>
                <c:pt idx="230">
                  <c:v>355.8</c:v>
                </c:pt>
                <c:pt idx="231">
                  <c:v>352.15</c:v>
                </c:pt>
                <c:pt idx="232">
                  <c:v>352.5</c:v>
                </c:pt>
                <c:pt idx="233">
                  <c:v>357.25</c:v>
                </c:pt>
                <c:pt idx="234">
                  <c:v>353.4</c:v>
                </c:pt>
                <c:pt idx="235">
                  <c:v>352.7</c:v>
                </c:pt>
                <c:pt idx="236">
                  <c:v>348.05</c:v>
                </c:pt>
                <c:pt idx="237">
                  <c:v>349.25</c:v>
                </c:pt>
                <c:pt idx="238">
                  <c:v>354.05</c:v>
                </c:pt>
                <c:pt idx="239">
                  <c:v>342.15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264-4DDC-8FCA-2726788B0786}"/>
            </c:ext>
          </c:extLst>
        </c:ser>
        <c:dLbls/>
        <c:marker val="1"/>
        <c:axId val="205022336"/>
        <c:axId val="205023872"/>
      </c:lineChart>
      <c:lineChart>
        <c:grouping val="standard"/>
        <c:ser>
          <c:idx val="1"/>
          <c:order val="1"/>
          <c:tx>
            <c:strRef>
              <c:f>'daily monitor'!$AF$99</c:f>
              <c:strCache>
                <c:ptCount val="1"/>
                <c:pt idx="0">
                  <c:v>KTB(우)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cat>
            <c:numRef>
              <c:f>'daily monitor'!$AD$101:$AD$349</c:f>
              <c:numCache>
                <c:formatCode>yyyy/mm/dd</c:formatCode>
                <c:ptCount val="249"/>
                <c:pt idx="0">
                  <c:v>45688</c:v>
                </c:pt>
                <c:pt idx="1">
                  <c:v>45681</c:v>
                </c:pt>
                <c:pt idx="2">
                  <c:v>45680</c:v>
                </c:pt>
                <c:pt idx="3">
                  <c:v>45679</c:v>
                </c:pt>
                <c:pt idx="4">
                  <c:v>45678</c:v>
                </c:pt>
                <c:pt idx="5">
                  <c:v>45677</c:v>
                </c:pt>
                <c:pt idx="6">
                  <c:v>45674</c:v>
                </c:pt>
                <c:pt idx="7">
                  <c:v>45673</c:v>
                </c:pt>
                <c:pt idx="8">
                  <c:v>45672</c:v>
                </c:pt>
                <c:pt idx="9">
                  <c:v>45671</c:v>
                </c:pt>
                <c:pt idx="10">
                  <c:v>45670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  <c:pt idx="14">
                  <c:v>45664</c:v>
                </c:pt>
                <c:pt idx="15">
                  <c:v>45663</c:v>
                </c:pt>
                <c:pt idx="16">
                  <c:v>45660</c:v>
                </c:pt>
                <c:pt idx="17">
                  <c:v>45659</c:v>
                </c:pt>
                <c:pt idx="18">
                  <c:v>45656</c:v>
                </c:pt>
                <c:pt idx="19">
                  <c:v>45653</c:v>
                </c:pt>
                <c:pt idx="20">
                  <c:v>45652</c:v>
                </c:pt>
                <c:pt idx="21">
                  <c:v>45650</c:v>
                </c:pt>
                <c:pt idx="22">
                  <c:v>45649</c:v>
                </c:pt>
                <c:pt idx="23">
                  <c:v>45646</c:v>
                </c:pt>
                <c:pt idx="24">
                  <c:v>45645</c:v>
                </c:pt>
                <c:pt idx="25">
                  <c:v>45644</c:v>
                </c:pt>
                <c:pt idx="26">
                  <c:v>45643</c:v>
                </c:pt>
                <c:pt idx="27">
                  <c:v>45642</c:v>
                </c:pt>
                <c:pt idx="28">
                  <c:v>45639</c:v>
                </c:pt>
                <c:pt idx="29">
                  <c:v>45638</c:v>
                </c:pt>
                <c:pt idx="30">
                  <c:v>45637</c:v>
                </c:pt>
                <c:pt idx="31">
                  <c:v>45636</c:v>
                </c:pt>
                <c:pt idx="32">
                  <c:v>45635</c:v>
                </c:pt>
                <c:pt idx="33">
                  <c:v>45632</c:v>
                </c:pt>
                <c:pt idx="34">
                  <c:v>45631</c:v>
                </c:pt>
                <c:pt idx="35">
                  <c:v>45630</c:v>
                </c:pt>
                <c:pt idx="36">
                  <c:v>45629</c:v>
                </c:pt>
                <c:pt idx="37">
                  <c:v>45628</c:v>
                </c:pt>
                <c:pt idx="38">
                  <c:v>45625</c:v>
                </c:pt>
                <c:pt idx="39">
                  <c:v>45624</c:v>
                </c:pt>
                <c:pt idx="40">
                  <c:v>45623</c:v>
                </c:pt>
                <c:pt idx="41">
                  <c:v>45622</c:v>
                </c:pt>
                <c:pt idx="42">
                  <c:v>45621</c:v>
                </c:pt>
                <c:pt idx="43">
                  <c:v>45618</c:v>
                </c:pt>
                <c:pt idx="44">
                  <c:v>45617</c:v>
                </c:pt>
                <c:pt idx="45">
                  <c:v>45616</c:v>
                </c:pt>
                <c:pt idx="46">
                  <c:v>45615</c:v>
                </c:pt>
                <c:pt idx="47">
                  <c:v>45614</c:v>
                </c:pt>
                <c:pt idx="48">
                  <c:v>45611</c:v>
                </c:pt>
                <c:pt idx="49">
                  <c:v>45610</c:v>
                </c:pt>
                <c:pt idx="50">
                  <c:v>45609</c:v>
                </c:pt>
                <c:pt idx="51">
                  <c:v>45608</c:v>
                </c:pt>
                <c:pt idx="52">
                  <c:v>45607</c:v>
                </c:pt>
                <c:pt idx="53">
                  <c:v>45604</c:v>
                </c:pt>
                <c:pt idx="54">
                  <c:v>45603</c:v>
                </c:pt>
                <c:pt idx="55">
                  <c:v>45602</c:v>
                </c:pt>
                <c:pt idx="56">
                  <c:v>45601</c:v>
                </c:pt>
                <c:pt idx="57">
                  <c:v>45600</c:v>
                </c:pt>
                <c:pt idx="58">
                  <c:v>45597</c:v>
                </c:pt>
                <c:pt idx="59">
                  <c:v>45596</c:v>
                </c:pt>
                <c:pt idx="60">
                  <c:v>45595</c:v>
                </c:pt>
                <c:pt idx="61">
                  <c:v>45594</c:v>
                </c:pt>
                <c:pt idx="62">
                  <c:v>45593</c:v>
                </c:pt>
                <c:pt idx="63">
                  <c:v>45590</c:v>
                </c:pt>
                <c:pt idx="64">
                  <c:v>45589</c:v>
                </c:pt>
                <c:pt idx="65">
                  <c:v>45588</c:v>
                </c:pt>
                <c:pt idx="66">
                  <c:v>45587</c:v>
                </c:pt>
                <c:pt idx="67">
                  <c:v>45586</c:v>
                </c:pt>
                <c:pt idx="68">
                  <c:v>45583</c:v>
                </c:pt>
                <c:pt idx="69">
                  <c:v>45582</c:v>
                </c:pt>
                <c:pt idx="70">
                  <c:v>45581</c:v>
                </c:pt>
                <c:pt idx="71">
                  <c:v>45580</c:v>
                </c:pt>
                <c:pt idx="72">
                  <c:v>45579</c:v>
                </c:pt>
                <c:pt idx="73">
                  <c:v>45576</c:v>
                </c:pt>
                <c:pt idx="74">
                  <c:v>45575</c:v>
                </c:pt>
                <c:pt idx="75">
                  <c:v>45573</c:v>
                </c:pt>
                <c:pt idx="76">
                  <c:v>45572</c:v>
                </c:pt>
                <c:pt idx="77">
                  <c:v>45569</c:v>
                </c:pt>
                <c:pt idx="78">
                  <c:v>45567</c:v>
                </c:pt>
                <c:pt idx="79">
                  <c:v>45565</c:v>
                </c:pt>
                <c:pt idx="80">
                  <c:v>45562</c:v>
                </c:pt>
                <c:pt idx="81">
                  <c:v>45561</c:v>
                </c:pt>
                <c:pt idx="82">
                  <c:v>45560</c:v>
                </c:pt>
                <c:pt idx="83">
                  <c:v>45559</c:v>
                </c:pt>
                <c:pt idx="84">
                  <c:v>45558</c:v>
                </c:pt>
                <c:pt idx="85">
                  <c:v>45555</c:v>
                </c:pt>
                <c:pt idx="86">
                  <c:v>45554</c:v>
                </c:pt>
                <c:pt idx="87">
                  <c:v>45548</c:v>
                </c:pt>
                <c:pt idx="88">
                  <c:v>45547</c:v>
                </c:pt>
                <c:pt idx="89">
                  <c:v>45546</c:v>
                </c:pt>
                <c:pt idx="90">
                  <c:v>45545</c:v>
                </c:pt>
                <c:pt idx="91">
                  <c:v>45544</c:v>
                </c:pt>
                <c:pt idx="92">
                  <c:v>45541</c:v>
                </c:pt>
                <c:pt idx="93">
                  <c:v>45540</c:v>
                </c:pt>
                <c:pt idx="94">
                  <c:v>45539</c:v>
                </c:pt>
                <c:pt idx="95">
                  <c:v>45538</c:v>
                </c:pt>
                <c:pt idx="96">
                  <c:v>45537</c:v>
                </c:pt>
                <c:pt idx="97">
                  <c:v>45534</c:v>
                </c:pt>
                <c:pt idx="98">
                  <c:v>45533</c:v>
                </c:pt>
                <c:pt idx="99">
                  <c:v>45532</c:v>
                </c:pt>
                <c:pt idx="100">
                  <c:v>45531</c:v>
                </c:pt>
                <c:pt idx="101">
                  <c:v>45530</c:v>
                </c:pt>
                <c:pt idx="102">
                  <c:v>45527</c:v>
                </c:pt>
                <c:pt idx="103">
                  <c:v>45526</c:v>
                </c:pt>
                <c:pt idx="104">
                  <c:v>45525</c:v>
                </c:pt>
                <c:pt idx="105">
                  <c:v>45524</c:v>
                </c:pt>
                <c:pt idx="106">
                  <c:v>45523</c:v>
                </c:pt>
                <c:pt idx="107">
                  <c:v>45520</c:v>
                </c:pt>
                <c:pt idx="108">
                  <c:v>45518</c:v>
                </c:pt>
                <c:pt idx="109">
                  <c:v>45517</c:v>
                </c:pt>
                <c:pt idx="110">
                  <c:v>45516</c:v>
                </c:pt>
                <c:pt idx="111">
                  <c:v>45513</c:v>
                </c:pt>
                <c:pt idx="112">
                  <c:v>45512</c:v>
                </c:pt>
                <c:pt idx="113">
                  <c:v>45511</c:v>
                </c:pt>
                <c:pt idx="114">
                  <c:v>45510</c:v>
                </c:pt>
                <c:pt idx="115">
                  <c:v>45509</c:v>
                </c:pt>
                <c:pt idx="116">
                  <c:v>45506</c:v>
                </c:pt>
                <c:pt idx="117">
                  <c:v>45505</c:v>
                </c:pt>
                <c:pt idx="118">
                  <c:v>45504</c:v>
                </c:pt>
                <c:pt idx="119">
                  <c:v>45503</c:v>
                </c:pt>
                <c:pt idx="120">
                  <c:v>45502</c:v>
                </c:pt>
                <c:pt idx="121">
                  <c:v>45499</c:v>
                </c:pt>
                <c:pt idx="122">
                  <c:v>45498</c:v>
                </c:pt>
                <c:pt idx="123">
                  <c:v>45497</c:v>
                </c:pt>
                <c:pt idx="124">
                  <c:v>45496</c:v>
                </c:pt>
                <c:pt idx="125">
                  <c:v>45495</c:v>
                </c:pt>
                <c:pt idx="126">
                  <c:v>45492</c:v>
                </c:pt>
                <c:pt idx="127">
                  <c:v>45491</c:v>
                </c:pt>
                <c:pt idx="128">
                  <c:v>45490</c:v>
                </c:pt>
                <c:pt idx="129">
                  <c:v>45489</c:v>
                </c:pt>
                <c:pt idx="130">
                  <c:v>45488</c:v>
                </c:pt>
                <c:pt idx="131">
                  <c:v>45485</c:v>
                </c:pt>
                <c:pt idx="132">
                  <c:v>45484</c:v>
                </c:pt>
                <c:pt idx="133">
                  <c:v>45483</c:v>
                </c:pt>
                <c:pt idx="134">
                  <c:v>45482</c:v>
                </c:pt>
                <c:pt idx="135">
                  <c:v>45481</c:v>
                </c:pt>
                <c:pt idx="136">
                  <c:v>45478</c:v>
                </c:pt>
                <c:pt idx="137">
                  <c:v>45477</c:v>
                </c:pt>
                <c:pt idx="138">
                  <c:v>45476</c:v>
                </c:pt>
                <c:pt idx="139">
                  <c:v>45475</c:v>
                </c:pt>
                <c:pt idx="140">
                  <c:v>45474</c:v>
                </c:pt>
                <c:pt idx="141">
                  <c:v>45471</c:v>
                </c:pt>
                <c:pt idx="142">
                  <c:v>45470</c:v>
                </c:pt>
                <c:pt idx="143">
                  <c:v>45469</c:v>
                </c:pt>
                <c:pt idx="144">
                  <c:v>45468</c:v>
                </c:pt>
                <c:pt idx="145">
                  <c:v>45467</c:v>
                </c:pt>
                <c:pt idx="146">
                  <c:v>45464</c:v>
                </c:pt>
                <c:pt idx="147">
                  <c:v>45463</c:v>
                </c:pt>
                <c:pt idx="148">
                  <c:v>45462</c:v>
                </c:pt>
                <c:pt idx="149">
                  <c:v>45461</c:v>
                </c:pt>
                <c:pt idx="150">
                  <c:v>45460</c:v>
                </c:pt>
                <c:pt idx="151">
                  <c:v>45457</c:v>
                </c:pt>
                <c:pt idx="152">
                  <c:v>45456</c:v>
                </c:pt>
                <c:pt idx="153">
                  <c:v>45455</c:v>
                </c:pt>
                <c:pt idx="154">
                  <c:v>45454</c:v>
                </c:pt>
                <c:pt idx="155">
                  <c:v>45453</c:v>
                </c:pt>
                <c:pt idx="156">
                  <c:v>45450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45426</c:v>
                </c:pt>
                <c:pt idx="173">
                  <c:v>45425</c:v>
                </c:pt>
                <c:pt idx="174">
                  <c:v>45422</c:v>
                </c:pt>
                <c:pt idx="175">
                  <c:v>45421</c:v>
                </c:pt>
                <c:pt idx="176">
                  <c:v>45420</c:v>
                </c:pt>
                <c:pt idx="177">
                  <c:v>45419</c:v>
                </c:pt>
                <c:pt idx="178">
                  <c:v>45415</c:v>
                </c:pt>
                <c:pt idx="179">
                  <c:v>45414</c:v>
                </c:pt>
                <c:pt idx="180">
                  <c:v>45412</c:v>
                </c:pt>
                <c:pt idx="181">
                  <c:v>45411</c:v>
                </c:pt>
                <c:pt idx="182">
                  <c:v>45408</c:v>
                </c:pt>
                <c:pt idx="183">
                  <c:v>45407</c:v>
                </c:pt>
                <c:pt idx="184">
                  <c:v>45406</c:v>
                </c:pt>
                <c:pt idx="185">
                  <c:v>45405</c:v>
                </c:pt>
                <c:pt idx="186">
                  <c:v>45404</c:v>
                </c:pt>
                <c:pt idx="187">
                  <c:v>45401</c:v>
                </c:pt>
                <c:pt idx="188">
                  <c:v>45400</c:v>
                </c:pt>
                <c:pt idx="189">
                  <c:v>45399</c:v>
                </c:pt>
                <c:pt idx="190">
                  <c:v>45398</c:v>
                </c:pt>
                <c:pt idx="191">
                  <c:v>45397</c:v>
                </c:pt>
                <c:pt idx="192">
                  <c:v>45394</c:v>
                </c:pt>
                <c:pt idx="193">
                  <c:v>45393</c:v>
                </c:pt>
                <c:pt idx="194">
                  <c:v>45391</c:v>
                </c:pt>
                <c:pt idx="195">
                  <c:v>45390</c:v>
                </c:pt>
                <c:pt idx="196">
                  <c:v>45387</c:v>
                </c:pt>
                <c:pt idx="197">
                  <c:v>45386</c:v>
                </c:pt>
                <c:pt idx="198">
                  <c:v>45385</c:v>
                </c:pt>
                <c:pt idx="199">
                  <c:v>45384</c:v>
                </c:pt>
                <c:pt idx="200">
                  <c:v>45383</c:v>
                </c:pt>
                <c:pt idx="201">
                  <c:v>45380</c:v>
                </c:pt>
                <c:pt idx="202">
                  <c:v>45379</c:v>
                </c:pt>
                <c:pt idx="203">
                  <c:v>45378</c:v>
                </c:pt>
                <c:pt idx="204">
                  <c:v>45377</c:v>
                </c:pt>
                <c:pt idx="205">
                  <c:v>45376</c:v>
                </c:pt>
                <c:pt idx="206">
                  <c:v>45373</c:v>
                </c:pt>
                <c:pt idx="207">
                  <c:v>45372</c:v>
                </c:pt>
                <c:pt idx="208">
                  <c:v>45371</c:v>
                </c:pt>
                <c:pt idx="209">
                  <c:v>45370</c:v>
                </c:pt>
                <c:pt idx="210">
                  <c:v>45369</c:v>
                </c:pt>
                <c:pt idx="211">
                  <c:v>45366</c:v>
                </c:pt>
                <c:pt idx="212">
                  <c:v>45365</c:v>
                </c:pt>
                <c:pt idx="213">
                  <c:v>45364</c:v>
                </c:pt>
                <c:pt idx="214">
                  <c:v>45363</c:v>
                </c:pt>
                <c:pt idx="215">
                  <c:v>45362</c:v>
                </c:pt>
                <c:pt idx="216">
                  <c:v>45359</c:v>
                </c:pt>
                <c:pt idx="217">
                  <c:v>45358</c:v>
                </c:pt>
                <c:pt idx="218">
                  <c:v>45357</c:v>
                </c:pt>
                <c:pt idx="219">
                  <c:v>45356</c:v>
                </c:pt>
                <c:pt idx="220">
                  <c:v>45355</c:v>
                </c:pt>
                <c:pt idx="221">
                  <c:v>45351</c:v>
                </c:pt>
                <c:pt idx="222">
                  <c:v>45350</c:v>
                </c:pt>
                <c:pt idx="223">
                  <c:v>45349</c:v>
                </c:pt>
                <c:pt idx="224">
                  <c:v>45348</c:v>
                </c:pt>
                <c:pt idx="225">
                  <c:v>45345</c:v>
                </c:pt>
                <c:pt idx="226">
                  <c:v>45344</c:v>
                </c:pt>
                <c:pt idx="227">
                  <c:v>45343</c:v>
                </c:pt>
                <c:pt idx="228">
                  <c:v>45342</c:v>
                </c:pt>
                <c:pt idx="229">
                  <c:v>45341</c:v>
                </c:pt>
                <c:pt idx="230">
                  <c:v>45338</c:v>
                </c:pt>
                <c:pt idx="231">
                  <c:v>45337</c:v>
                </c:pt>
                <c:pt idx="232">
                  <c:v>45336</c:v>
                </c:pt>
                <c:pt idx="233">
                  <c:v>45335</c:v>
                </c:pt>
                <c:pt idx="234">
                  <c:v>45330</c:v>
                </c:pt>
                <c:pt idx="235">
                  <c:v>45329</c:v>
                </c:pt>
                <c:pt idx="236">
                  <c:v>45328</c:v>
                </c:pt>
                <c:pt idx="237">
                  <c:v>45327</c:v>
                </c:pt>
                <c:pt idx="238">
                  <c:v>45324</c:v>
                </c:pt>
                <c:pt idx="239">
                  <c:v>45323</c:v>
                </c:pt>
              </c:numCache>
            </c:numRef>
          </c:cat>
          <c:val>
            <c:numRef>
              <c:f>'daily monitor'!$AF$101:$AF$349</c:f>
              <c:numCache>
                <c:formatCode>General</c:formatCode>
                <c:ptCount val="249"/>
                <c:pt idx="0">
                  <c:v>106.88</c:v>
                </c:pt>
                <c:pt idx="1">
                  <c:v>106.91</c:v>
                </c:pt>
                <c:pt idx="2">
                  <c:v>106.93</c:v>
                </c:pt>
                <c:pt idx="3">
                  <c:v>106.89</c:v>
                </c:pt>
                <c:pt idx="4">
                  <c:v>106.93</c:v>
                </c:pt>
                <c:pt idx="5">
                  <c:v>106.78</c:v>
                </c:pt>
                <c:pt idx="6">
                  <c:v>106.85</c:v>
                </c:pt>
                <c:pt idx="7">
                  <c:v>106.7</c:v>
                </c:pt>
                <c:pt idx="8">
                  <c:v>106.52</c:v>
                </c:pt>
                <c:pt idx="9">
                  <c:v>106.63</c:v>
                </c:pt>
                <c:pt idx="10">
                  <c:v>106.55</c:v>
                </c:pt>
                <c:pt idx="11">
                  <c:v>106.82</c:v>
                </c:pt>
                <c:pt idx="12">
                  <c:v>107</c:v>
                </c:pt>
                <c:pt idx="13">
                  <c:v>106.93</c:v>
                </c:pt>
                <c:pt idx="14">
                  <c:v>106.85</c:v>
                </c:pt>
                <c:pt idx="15">
                  <c:v>106.78</c:v>
                </c:pt>
                <c:pt idx="16">
                  <c:v>106.93</c:v>
                </c:pt>
                <c:pt idx="17">
                  <c:v>106.89</c:v>
                </c:pt>
                <c:pt idx="18">
                  <c:v>106.65</c:v>
                </c:pt>
                <c:pt idx="19">
                  <c:v>106.63</c:v>
                </c:pt>
                <c:pt idx="20">
                  <c:v>106.53</c:v>
                </c:pt>
                <c:pt idx="21">
                  <c:v>106.62</c:v>
                </c:pt>
                <c:pt idx="22">
                  <c:v>106.75</c:v>
                </c:pt>
                <c:pt idx="23">
                  <c:v>106.77</c:v>
                </c:pt>
                <c:pt idx="24">
                  <c:v>106.85</c:v>
                </c:pt>
                <c:pt idx="25">
                  <c:v>107.08</c:v>
                </c:pt>
                <c:pt idx="26">
                  <c:v>106.85</c:v>
                </c:pt>
                <c:pt idx="27">
                  <c:v>106.71</c:v>
                </c:pt>
                <c:pt idx="28">
                  <c:v>106.78</c:v>
                </c:pt>
                <c:pt idx="29">
                  <c:v>106.71</c:v>
                </c:pt>
                <c:pt idx="30">
                  <c:v>106.77</c:v>
                </c:pt>
                <c:pt idx="31">
                  <c:v>106.86</c:v>
                </c:pt>
                <c:pt idx="32">
                  <c:v>106.89</c:v>
                </c:pt>
                <c:pt idx="33">
                  <c:v>106.75</c:v>
                </c:pt>
                <c:pt idx="34">
                  <c:v>106.83</c:v>
                </c:pt>
                <c:pt idx="35">
                  <c:v>106.75</c:v>
                </c:pt>
                <c:pt idx="36">
                  <c:v>106.87</c:v>
                </c:pt>
                <c:pt idx="37">
                  <c:v>106.94</c:v>
                </c:pt>
                <c:pt idx="38">
                  <c:v>106.78</c:v>
                </c:pt>
                <c:pt idx="39">
                  <c:v>106.7</c:v>
                </c:pt>
                <c:pt idx="40">
                  <c:v>106.41</c:v>
                </c:pt>
                <c:pt idx="41">
                  <c:v>106.32</c:v>
                </c:pt>
                <c:pt idx="42">
                  <c:v>106.32</c:v>
                </c:pt>
                <c:pt idx="43">
                  <c:v>106.18</c:v>
                </c:pt>
                <c:pt idx="44">
                  <c:v>106.14</c:v>
                </c:pt>
                <c:pt idx="45">
                  <c:v>106.02</c:v>
                </c:pt>
                <c:pt idx="46">
                  <c:v>105.97</c:v>
                </c:pt>
                <c:pt idx="47">
                  <c:v>105.89</c:v>
                </c:pt>
                <c:pt idx="48">
                  <c:v>105.8</c:v>
                </c:pt>
                <c:pt idx="49">
                  <c:v>105.85</c:v>
                </c:pt>
                <c:pt idx="50">
                  <c:v>105.82</c:v>
                </c:pt>
                <c:pt idx="51">
                  <c:v>105.94</c:v>
                </c:pt>
                <c:pt idx="52">
                  <c:v>105.94</c:v>
                </c:pt>
                <c:pt idx="53">
                  <c:v>106</c:v>
                </c:pt>
                <c:pt idx="54">
                  <c:v>105.87</c:v>
                </c:pt>
                <c:pt idx="55">
                  <c:v>105.75</c:v>
                </c:pt>
                <c:pt idx="56">
                  <c:v>105.89</c:v>
                </c:pt>
                <c:pt idx="57">
                  <c:v>105.85</c:v>
                </c:pt>
                <c:pt idx="58">
                  <c:v>105.82</c:v>
                </c:pt>
                <c:pt idx="59">
                  <c:v>105.85</c:v>
                </c:pt>
                <c:pt idx="60">
                  <c:v>105.84</c:v>
                </c:pt>
                <c:pt idx="61">
                  <c:v>105.82</c:v>
                </c:pt>
                <c:pt idx="62">
                  <c:v>105.84</c:v>
                </c:pt>
                <c:pt idx="63">
                  <c:v>106</c:v>
                </c:pt>
                <c:pt idx="64">
                  <c:v>105.98</c:v>
                </c:pt>
                <c:pt idx="65">
                  <c:v>105.86</c:v>
                </c:pt>
                <c:pt idx="66">
                  <c:v>105.86</c:v>
                </c:pt>
                <c:pt idx="67">
                  <c:v>105.99</c:v>
                </c:pt>
                <c:pt idx="68">
                  <c:v>105.93</c:v>
                </c:pt>
                <c:pt idx="69">
                  <c:v>106.01</c:v>
                </c:pt>
                <c:pt idx="70">
                  <c:v>106.09</c:v>
                </c:pt>
                <c:pt idx="71">
                  <c:v>105.96</c:v>
                </c:pt>
                <c:pt idx="72">
                  <c:v>105.87</c:v>
                </c:pt>
                <c:pt idx="73">
                  <c:v>105.82</c:v>
                </c:pt>
                <c:pt idx="74">
                  <c:v>105.79</c:v>
                </c:pt>
                <c:pt idx="75">
                  <c:v>105.87</c:v>
                </c:pt>
                <c:pt idx="76">
                  <c:v>105.8</c:v>
                </c:pt>
                <c:pt idx="77">
                  <c:v>106.27</c:v>
                </c:pt>
                <c:pt idx="78">
                  <c:v>106.42</c:v>
                </c:pt>
                <c:pt idx="79">
                  <c:v>106.35</c:v>
                </c:pt>
                <c:pt idx="80">
                  <c:v>106.3</c:v>
                </c:pt>
                <c:pt idx="81">
                  <c:v>106.37</c:v>
                </c:pt>
                <c:pt idx="82">
                  <c:v>106.37</c:v>
                </c:pt>
                <c:pt idx="83">
                  <c:v>106.23</c:v>
                </c:pt>
                <c:pt idx="84">
                  <c:v>106.23</c:v>
                </c:pt>
                <c:pt idx="85">
                  <c:v>106.32</c:v>
                </c:pt>
                <c:pt idx="86">
                  <c:v>106.32</c:v>
                </c:pt>
                <c:pt idx="87">
                  <c:v>106.36</c:v>
                </c:pt>
                <c:pt idx="88">
                  <c:v>105.9</c:v>
                </c:pt>
                <c:pt idx="89">
                  <c:v>106.02</c:v>
                </c:pt>
                <c:pt idx="90">
                  <c:v>105.89</c:v>
                </c:pt>
                <c:pt idx="91">
                  <c:v>105.88</c:v>
                </c:pt>
                <c:pt idx="92">
                  <c:v>105.95</c:v>
                </c:pt>
                <c:pt idx="93">
                  <c:v>105.86</c:v>
                </c:pt>
                <c:pt idx="94">
                  <c:v>105.81</c:v>
                </c:pt>
                <c:pt idx="95">
                  <c:v>105.65</c:v>
                </c:pt>
                <c:pt idx="96">
                  <c:v>105.61</c:v>
                </c:pt>
                <c:pt idx="97">
                  <c:v>105.72</c:v>
                </c:pt>
                <c:pt idx="98">
                  <c:v>105.78</c:v>
                </c:pt>
                <c:pt idx="99">
                  <c:v>105.89</c:v>
                </c:pt>
                <c:pt idx="100">
                  <c:v>105.85</c:v>
                </c:pt>
                <c:pt idx="101">
                  <c:v>106</c:v>
                </c:pt>
                <c:pt idx="102">
                  <c:v>105.91</c:v>
                </c:pt>
                <c:pt idx="103">
                  <c:v>105.98</c:v>
                </c:pt>
                <c:pt idx="104">
                  <c:v>105.87</c:v>
                </c:pt>
                <c:pt idx="105">
                  <c:v>105.87</c:v>
                </c:pt>
                <c:pt idx="106">
                  <c:v>105.95</c:v>
                </c:pt>
                <c:pt idx="107">
                  <c:v>105.95</c:v>
                </c:pt>
                <c:pt idx="108">
                  <c:v>106.07</c:v>
                </c:pt>
                <c:pt idx="109">
                  <c:v>105.98</c:v>
                </c:pt>
                <c:pt idx="110">
                  <c:v>105.9</c:v>
                </c:pt>
                <c:pt idx="111">
                  <c:v>105.91</c:v>
                </c:pt>
                <c:pt idx="112">
                  <c:v>105.98</c:v>
                </c:pt>
                <c:pt idx="113">
                  <c:v>105.94</c:v>
                </c:pt>
                <c:pt idx="114">
                  <c:v>105.91</c:v>
                </c:pt>
                <c:pt idx="115">
                  <c:v>106.3</c:v>
                </c:pt>
                <c:pt idx="116">
                  <c:v>105.91</c:v>
                </c:pt>
                <c:pt idx="117">
                  <c:v>105.77</c:v>
                </c:pt>
                <c:pt idx="118">
                  <c:v>105.69</c:v>
                </c:pt>
                <c:pt idx="119">
                  <c:v>105.72</c:v>
                </c:pt>
                <c:pt idx="120">
                  <c:v>105.8</c:v>
                </c:pt>
                <c:pt idx="121">
                  <c:v>105.66</c:v>
                </c:pt>
                <c:pt idx="122">
                  <c:v>105.65</c:v>
                </c:pt>
                <c:pt idx="123">
                  <c:v>105.59</c:v>
                </c:pt>
                <c:pt idx="124">
                  <c:v>105.47</c:v>
                </c:pt>
                <c:pt idx="125">
                  <c:v>105.53</c:v>
                </c:pt>
                <c:pt idx="126">
                  <c:v>105.5</c:v>
                </c:pt>
                <c:pt idx="127">
                  <c:v>105.57</c:v>
                </c:pt>
                <c:pt idx="128">
                  <c:v>105.57</c:v>
                </c:pt>
                <c:pt idx="129">
                  <c:v>105.63</c:v>
                </c:pt>
                <c:pt idx="130">
                  <c:v>105.53</c:v>
                </c:pt>
                <c:pt idx="131">
                  <c:v>105.48</c:v>
                </c:pt>
                <c:pt idx="132">
                  <c:v>105.27</c:v>
                </c:pt>
                <c:pt idx="133">
                  <c:v>105.41</c:v>
                </c:pt>
                <c:pt idx="134">
                  <c:v>105.39</c:v>
                </c:pt>
                <c:pt idx="135">
                  <c:v>105.39</c:v>
                </c:pt>
                <c:pt idx="136">
                  <c:v>105.38</c:v>
                </c:pt>
                <c:pt idx="137">
                  <c:v>105.36</c:v>
                </c:pt>
                <c:pt idx="138">
                  <c:v>105.26</c:v>
                </c:pt>
                <c:pt idx="139">
                  <c:v>105.26</c:v>
                </c:pt>
                <c:pt idx="140">
                  <c:v>105.11</c:v>
                </c:pt>
                <c:pt idx="141">
                  <c:v>105.2</c:v>
                </c:pt>
                <c:pt idx="142">
                  <c:v>105.09</c:v>
                </c:pt>
                <c:pt idx="143">
                  <c:v>105.14</c:v>
                </c:pt>
                <c:pt idx="144">
                  <c:v>105.16</c:v>
                </c:pt>
                <c:pt idx="145">
                  <c:v>105.18</c:v>
                </c:pt>
                <c:pt idx="146">
                  <c:v>105.27</c:v>
                </c:pt>
                <c:pt idx="147">
                  <c:v>105.16</c:v>
                </c:pt>
                <c:pt idx="148">
                  <c:v>105.29</c:v>
                </c:pt>
                <c:pt idx="149">
                  <c:v>105.12</c:v>
                </c:pt>
                <c:pt idx="150">
                  <c:v>105.02</c:v>
                </c:pt>
                <c:pt idx="151">
                  <c:v>104.93</c:v>
                </c:pt>
                <c:pt idx="152">
                  <c:v>104.79</c:v>
                </c:pt>
                <c:pt idx="153">
                  <c:v>104.73</c:v>
                </c:pt>
                <c:pt idx="154">
                  <c:v>104.62</c:v>
                </c:pt>
                <c:pt idx="155">
                  <c:v>104.57</c:v>
                </c:pt>
                <c:pt idx="156">
                  <c:v>104.74</c:v>
                </c:pt>
                <c:pt idx="157">
                  <c:v>104.64</c:v>
                </c:pt>
                <c:pt idx="158">
                  <c:v>104.49</c:v>
                </c:pt>
                <c:pt idx="159">
                  <c:v>104.35</c:v>
                </c:pt>
                <c:pt idx="160">
                  <c:v>104.27</c:v>
                </c:pt>
                <c:pt idx="161">
                  <c:v>104.3</c:v>
                </c:pt>
                <c:pt idx="162">
                  <c:v>104.39</c:v>
                </c:pt>
                <c:pt idx="163">
                  <c:v>104.5</c:v>
                </c:pt>
                <c:pt idx="164">
                  <c:v>104.44</c:v>
                </c:pt>
                <c:pt idx="165">
                  <c:v>104.43</c:v>
                </c:pt>
                <c:pt idx="166">
                  <c:v>104.49</c:v>
                </c:pt>
                <c:pt idx="167">
                  <c:v>104.41</c:v>
                </c:pt>
                <c:pt idx="168">
                  <c:v>104.43</c:v>
                </c:pt>
                <c:pt idx="169">
                  <c:v>104.43</c:v>
                </c:pt>
                <c:pt idx="170">
                  <c:v>104.54</c:v>
                </c:pt>
                <c:pt idx="171">
                  <c:v>104.54</c:v>
                </c:pt>
                <c:pt idx="172">
                  <c:v>104.31</c:v>
                </c:pt>
                <c:pt idx="173">
                  <c:v>104.32</c:v>
                </c:pt>
                <c:pt idx="174">
                  <c:v>104.36</c:v>
                </c:pt>
                <c:pt idx="175">
                  <c:v>104.3</c:v>
                </c:pt>
                <c:pt idx="176">
                  <c:v>104.37</c:v>
                </c:pt>
                <c:pt idx="177">
                  <c:v>104.33</c:v>
                </c:pt>
                <c:pt idx="178">
                  <c:v>104.14</c:v>
                </c:pt>
                <c:pt idx="179">
                  <c:v>104.13</c:v>
                </c:pt>
                <c:pt idx="180">
                  <c:v>104.07</c:v>
                </c:pt>
                <c:pt idx="181">
                  <c:v>104.01</c:v>
                </c:pt>
                <c:pt idx="182">
                  <c:v>104.07</c:v>
                </c:pt>
                <c:pt idx="183">
                  <c:v>103.95</c:v>
                </c:pt>
                <c:pt idx="184">
                  <c:v>104.06</c:v>
                </c:pt>
                <c:pt idx="185">
                  <c:v>104.13</c:v>
                </c:pt>
                <c:pt idx="186">
                  <c:v>104.06</c:v>
                </c:pt>
                <c:pt idx="187">
                  <c:v>104.18</c:v>
                </c:pt>
                <c:pt idx="188">
                  <c:v>104.35</c:v>
                </c:pt>
                <c:pt idx="189">
                  <c:v>104.2</c:v>
                </c:pt>
                <c:pt idx="190">
                  <c:v>104.16</c:v>
                </c:pt>
                <c:pt idx="191">
                  <c:v>104.31</c:v>
                </c:pt>
                <c:pt idx="192">
                  <c:v>104.43</c:v>
                </c:pt>
                <c:pt idx="193">
                  <c:v>104.23</c:v>
                </c:pt>
                <c:pt idx="194">
                  <c:v>104.52</c:v>
                </c:pt>
                <c:pt idx="195">
                  <c:v>104.56</c:v>
                </c:pt>
                <c:pt idx="196">
                  <c:v>104.74</c:v>
                </c:pt>
                <c:pt idx="197">
                  <c:v>104.72</c:v>
                </c:pt>
                <c:pt idx="198">
                  <c:v>104.73</c:v>
                </c:pt>
                <c:pt idx="199">
                  <c:v>104.74</c:v>
                </c:pt>
                <c:pt idx="200">
                  <c:v>104.86</c:v>
                </c:pt>
                <c:pt idx="201">
                  <c:v>104.78</c:v>
                </c:pt>
                <c:pt idx="202">
                  <c:v>104.85</c:v>
                </c:pt>
                <c:pt idx="203">
                  <c:v>104.89</c:v>
                </c:pt>
                <c:pt idx="204">
                  <c:v>104.82</c:v>
                </c:pt>
                <c:pt idx="205">
                  <c:v>104.87</c:v>
                </c:pt>
                <c:pt idx="206">
                  <c:v>104.88</c:v>
                </c:pt>
                <c:pt idx="207">
                  <c:v>104.82</c:v>
                </c:pt>
                <c:pt idx="208">
                  <c:v>104.65</c:v>
                </c:pt>
                <c:pt idx="209">
                  <c:v>104.55</c:v>
                </c:pt>
                <c:pt idx="210">
                  <c:v>104.48</c:v>
                </c:pt>
                <c:pt idx="211">
                  <c:v>104.57</c:v>
                </c:pt>
                <c:pt idx="212">
                  <c:v>104.72</c:v>
                </c:pt>
                <c:pt idx="213">
                  <c:v>104.83</c:v>
                </c:pt>
                <c:pt idx="214">
                  <c:v>104.79</c:v>
                </c:pt>
                <c:pt idx="215">
                  <c:v>104.8</c:v>
                </c:pt>
                <c:pt idx="216">
                  <c:v>104.85</c:v>
                </c:pt>
                <c:pt idx="217">
                  <c:v>104.7</c:v>
                </c:pt>
                <c:pt idx="218">
                  <c:v>104.71</c:v>
                </c:pt>
                <c:pt idx="219">
                  <c:v>104.6</c:v>
                </c:pt>
                <c:pt idx="220">
                  <c:v>104.59</c:v>
                </c:pt>
                <c:pt idx="221">
                  <c:v>104.5</c:v>
                </c:pt>
                <c:pt idx="222">
                  <c:v>104.58</c:v>
                </c:pt>
                <c:pt idx="223">
                  <c:v>104.6</c:v>
                </c:pt>
                <c:pt idx="224">
                  <c:v>104.67</c:v>
                </c:pt>
                <c:pt idx="225">
                  <c:v>104.52</c:v>
                </c:pt>
                <c:pt idx="226">
                  <c:v>104.65</c:v>
                </c:pt>
                <c:pt idx="227">
                  <c:v>104.49</c:v>
                </c:pt>
                <c:pt idx="228">
                  <c:v>104.44</c:v>
                </c:pt>
                <c:pt idx="229">
                  <c:v>104.51</c:v>
                </c:pt>
                <c:pt idx="230">
                  <c:v>104.46</c:v>
                </c:pt>
                <c:pt idx="231">
                  <c:v>104.45</c:v>
                </c:pt>
                <c:pt idx="232">
                  <c:v>104.43</c:v>
                </c:pt>
                <c:pt idx="233">
                  <c:v>104.64</c:v>
                </c:pt>
                <c:pt idx="234">
                  <c:v>104.78</c:v>
                </c:pt>
                <c:pt idx="235">
                  <c:v>104.84</c:v>
                </c:pt>
                <c:pt idx="236">
                  <c:v>104.85</c:v>
                </c:pt>
                <c:pt idx="237">
                  <c:v>104.78</c:v>
                </c:pt>
                <c:pt idx="238">
                  <c:v>105.03</c:v>
                </c:pt>
                <c:pt idx="239">
                  <c:v>104.93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264-4DDC-8FCA-2726788B0786}"/>
            </c:ext>
          </c:extLst>
        </c:ser>
        <c:dLbls/>
        <c:marker val="1"/>
        <c:axId val="205043584"/>
        <c:axId val="205042048"/>
      </c:lineChart>
      <c:dateAx>
        <c:axId val="205022336"/>
        <c:scaling>
          <c:orientation val="minMax"/>
        </c:scaling>
        <c:axPos val="b"/>
        <c:numFmt formatCode="m/d/yyyy" sourceLinked="0"/>
        <c:tickLblPos val="nextTo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5023872"/>
        <c:crosses val="autoZero"/>
        <c:lblOffset val="100"/>
        <c:baseTimeUnit val="days"/>
      </c:dateAx>
      <c:valAx>
        <c:axId val="205023872"/>
        <c:scaling>
          <c:orientation val="minMax"/>
        </c:scaling>
        <c:axPos val="l"/>
        <c:numFmt formatCode="#,##0_ ;\-#,##0\ " sourceLinked="0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5022336"/>
        <c:crosses val="autoZero"/>
        <c:crossBetween val="between"/>
      </c:valAx>
      <c:valAx>
        <c:axId val="205042048"/>
        <c:scaling>
          <c:orientation val="minMax"/>
        </c:scaling>
        <c:axPos val="r"/>
        <c:numFmt formatCode="#,##0.00_ ;\-#,##0.00\ " sourceLinked="0"/>
        <c:tickLblPos val="nextTo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205043584"/>
        <c:crosses val="max"/>
        <c:crossBetween val="between"/>
      </c:valAx>
      <c:dateAx>
        <c:axId val="205043584"/>
        <c:scaling>
          <c:orientation val="minMax"/>
        </c:scaling>
        <c:delete val="1"/>
        <c:axPos val="b"/>
        <c:numFmt formatCode="yyyy/mm/dd" sourceLinked="1"/>
        <c:tickLblPos val="none"/>
        <c:crossAx val="205042048"/>
        <c:crosses val="autoZero"/>
        <c:auto val="1"/>
        <c:lblOffset val="100"/>
        <c:noMultiLvlLbl val="1"/>
      </c:dateAx>
    </c:plotArea>
    <c:legend>
      <c:legendPos val="b"/>
      <c:layout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dispBlanksAs val="gap"/>
  </c:chart>
  <c:spPr>
    <a:ln>
      <a:solidFill>
        <a:schemeClr val="bg1">
          <a:lumMod val="7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trlProps/ctrlProp1.xml><?xml version="1.0" encoding="utf-8"?>
<formControlPr xmlns="http://schemas.microsoft.com/office/spreadsheetml/2009/9/main" objectType="CheckBox" checked="Checked" fmlaLink="$Q$96" lockText="1"/>
</file>

<file path=xl/ctrlProps/ctrlProp2.xml><?xml version="1.0" encoding="utf-8"?>
<formControlPr xmlns="http://schemas.microsoft.com/office/spreadsheetml/2009/9/main" objectType="CheckBox" checked="Checked" fmlaLink="$S$96" lockText="1"/>
</file>

<file path=xl/ctrlProps/ctrlProp3.xml><?xml version="1.0" encoding="utf-8"?>
<formControlPr xmlns="http://schemas.microsoft.com/office/spreadsheetml/2009/9/main" objectType="CheckBox" checked="Checked" fmlaLink="$T$96" lockText="1"/>
</file>

<file path=xl/ctrlProps/ctrlProp4.xml><?xml version="1.0" encoding="utf-8"?>
<formControlPr xmlns="http://schemas.microsoft.com/office/spreadsheetml/2009/9/main" objectType="CheckBox" checked="Checked" fmlaLink="$U$96" lockText="1"/>
</file>

<file path=xl/ctrlProps/ctrlProp5.xml><?xml version="1.0" encoding="utf-8"?>
<formControlPr xmlns="http://schemas.microsoft.com/office/spreadsheetml/2009/9/main" objectType="CheckBox" checked="Checked" fmlaLink="$V$96" lockText="1"/>
</file>

<file path=xl/ctrlProps/ctrlProp6.xml><?xml version="1.0" encoding="utf-8"?>
<formControlPr xmlns="http://schemas.microsoft.com/office/spreadsheetml/2009/9/main" objectType="CheckBox" checked="Checked" fmlaLink="$X$99" lockText="1"/>
</file>

<file path=xl/ctrlProps/ctrlProp7.xml><?xml version="1.0" encoding="utf-8"?>
<formControlPr xmlns="http://schemas.microsoft.com/office/spreadsheetml/2009/9/main" objectType="CheckBox" checked="Checked" fmlaLink="$Y$99" lockText="1"/>
</file>

<file path=xl/ctrlProps/ctrlProp8.xml><?xml version="1.0" encoding="utf-8"?>
<formControlPr xmlns="http://schemas.microsoft.com/office/spreadsheetml/2009/9/main" objectType="CheckBox" checked="Checked" fmlaLink="$Z$99" lockText="1"/>
</file>

<file path=xl/ctrlProps/ctrlProp9.xml><?xml version="1.0" encoding="utf-8"?>
<formControlPr xmlns="http://schemas.microsoft.com/office/spreadsheetml/2009/9/main" objectType="CheckBox" checked="Checked" fmlaLink="$AA$99" lockText="1"/>
</file>

<file path=xl/ctrlProps/ctrlProp10.xml><?xml version="1.0" encoding="utf-8"?>
<formControlPr xmlns="http://schemas.microsoft.com/office/spreadsheetml/2009/9/main" objectType="CheckBox" checked="Checked" fmlaLink="$AB$99" lockText="1"/>
</file>

<file path=xl/ctrlProps/ctrlProp11.xml><?xml version="1.0" encoding="utf-8"?>
<formControlPr xmlns="http://schemas.microsoft.com/office/spreadsheetml/2009/9/main" objectType="Drop" dropLines="10" dropStyle="combo" dx="22" fmlaLink="$E$46" fmlaRange="$AO$5:$AO$37" sel="11" val="10"/>
</file>

<file path=xl/ctrlProps/ctrlProp12.xml><?xml version="1.0" encoding="utf-8"?>
<formControlPr xmlns="http://schemas.microsoft.com/office/spreadsheetml/2009/9/main" objectType="Drop" dropLines="10" dropStyle="combo" dx="22" fmlaLink="$F$46" fmlaRange="$AO$5:$AO$37" sel="23" val="15"/>
</file>

<file path=xl/ctrlProps/ctrlProp13.xml><?xml version="1.0" encoding="utf-8"?>
<formControlPr xmlns="http://schemas.microsoft.com/office/spreadsheetml/2009/9/main" objectType="Drop" dropLines="10" dropStyle="combo" dx="22" fmlaLink="$G$46" fmlaRange="$AO$5:$AO$37" sel="22" val="21"/>
</file>

<file path=xl/ctrlProps/ctrlProp14.xml><?xml version="1.0" encoding="utf-8"?>
<formControlPr xmlns="http://schemas.microsoft.com/office/spreadsheetml/2009/9/main" objectType="Drop" dropLines="10" dropStyle="combo" dx="22" fmlaLink="$H$46" fmlaRange="$AO$5:$AO$37" sel="18" val="16"/>
</file>

<file path=xl/ctrlProps/ctrlProp15.xml><?xml version="1.0" encoding="utf-8"?>
<formControlPr xmlns="http://schemas.microsoft.com/office/spreadsheetml/2009/9/main" objectType="Drop" dropLines="10" dropStyle="combo" dx="22" fmlaLink="$I$46" fmlaRange="$AO$5:$AO$37" sel="20" val="19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95250</xdr:colOff>
      <xdr:row>4</xdr:row>
      <xdr:rowOff>0</xdr:rowOff>
    </xdr:from>
    <xdr:to>
      <xdr:col>16</xdr:col>
      <xdr:colOff>66675</xdr:colOff>
      <xdr:row>20</xdr:row>
      <xdr:rowOff>57151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95251</xdr:colOff>
      <xdr:row>22</xdr:row>
      <xdr:rowOff>85725</xdr:rowOff>
    </xdr:from>
    <xdr:to>
      <xdr:col>16</xdr:col>
      <xdr:colOff>57150</xdr:colOff>
      <xdr:row>36</xdr:row>
      <xdr:rowOff>76200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16</xdr:col>
      <xdr:colOff>180975</xdr:colOff>
      <xdr:row>22</xdr:row>
      <xdr:rowOff>85725</xdr:rowOff>
    </xdr:from>
    <xdr:to>
      <xdr:col>23</xdr:col>
      <xdr:colOff>247650</xdr:colOff>
      <xdr:row>36</xdr:row>
      <xdr:rowOff>76201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16</xdr:col>
      <xdr:colOff>171449</xdr:colOff>
      <xdr:row>37</xdr:row>
      <xdr:rowOff>9526</xdr:rowOff>
    </xdr:from>
    <xdr:to>
      <xdr:col>23</xdr:col>
      <xdr:colOff>247649</xdr:colOff>
      <xdr:row>57</xdr:row>
      <xdr:rowOff>19051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9</xdr:col>
      <xdr:colOff>95250</xdr:colOff>
      <xdr:row>37</xdr:row>
      <xdr:rowOff>9525</xdr:rowOff>
    </xdr:from>
    <xdr:to>
      <xdr:col>16</xdr:col>
      <xdr:colOff>57150</xdr:colOff>
      <xdr:row>57</xdr:row>
      <xdr:rowOff>9526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16</xdr:col>
      <xdr:colOff>180975</xdr:colOff>
      <xdr:row>3</xdr:row>
      <xdr:rowOff>180975</xdr:rowOff>
    </xdr:from>
    <xdr:to>
      <xdr:col>23</xdr:col>
      <xdr:colOff>247650</xdr:colOff>
      <xdr:row>20</xdr:row>
      <xdr:rowOff>57150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T10099"/>
  <sheetViews>
    <sheetView showGridLines="0" showRowColHeaders="0" tabSelected="1" zoomScaleNormal="100" workbookViewId="0">
      <selection activeCell="D2" sqref="D2:I2"/>
    </sheetView>
  </sheetViews>
  <sheetFormatPr defaultColWidth="0" defaultRowHeight="13.5" zeroHeight="1"/>
  <cols>
    <col min="1" max="1" width="1.7109375" customWidth="1"/>
    <col min="2" max="3" width="9.140625" hidden="1" customWidth="1"/>
    <col min="4" max="4" width="15.28515625" customWidth="1"/>
    <col min="5" max="11" width="12.85546875" customWidth="1"/>
    <col min="12" max="14" width="9.42578125" bestFit="1" customWidth="1"/>
    <col min="15" max="15" width="10.140625" customWidth="1"/>
    <col min="16" max="16" width="9.42578125" bestFit="1" customWidth="1"/>
    <col min="17" max="17" width="11.28515625" customWidth="1"/>
    <col min="18" max="20" width="9.42578125" bestFit="1" customWidth="1"/>
    <col min="21" max="21" width="11.5703125" bestFit="1" customWidth="1"/>
    <col min="22" max="22" width="9.42578125" bestFit="1" customWidth="1"/>
    <col min="23" max="23" width="11.85546875" bestFit="1" customWidth="1"/>
    <col min="24" max="24" width="10" bestFit="1" customWidth="1"/>
    <col min="25" max="25" width="9.42578125" hidden="1" customWidth="1"/>
    <col min="26" max="26" width="10.42578125" hidden="1" customWidth="1"/>
    <col min="27" max="27" width="10.5703125" hidden="1" customWidth="1"/>
    <col min="28" max="28" width="10.7109375" hidden="1" customWidth="1"/>
    <col min="29" max="29" width="9.140625" hidden="1" customWidth="1"/>
    <col min="30" max="30" width="16.7109375" hidden="1" customWidth="1"/>
    <col min="31" max="32" width="9.42578125" hidden="1" customWidth="1"/>
    <col min="33" max="33" width="13.28515625" hidden="1" customWidth="1"/>
    <col min="34" max="34" width="11.5703125" hidden="1" customWidth="1"/>
    <col min="35" max="35" width="16.7109375" hidden="1" customWidth="1"/>
    <col min="36" max="36" width="9.85546875" hidden="1" customWidth="1"/>
    <col min="37" max="37" width="11.5703125" hidden="1" customWidth="1"/>
    <col min="38" max="39" width="9.42578125" hidden="1" customWidth="1"/>
    <col min="40" max="40" width="9.28515625" hidden="1" customWidth="1"/>
    <col min="41" max="16384" width="9.140625" hidden="1"/>
  </cols>
  <sheetData>
    <row r="1" spans="2:46"/>
    <row r="2" spans="2:46" ht="26.25">
      <c r="D2" s="132" t="s">
        <v>205</v>
      </c>
      <c r="E2" s="132"/>
      <c r="F2" s="132"/>
      <c r="G2" s="132"/>
      <c r="H2" s="132"/>
      <c r="I2" s="132"/>
    </row>
    <row r="3" spans="2:46" ht="10.5" customHeight="1" thickBot="1">
      <c r="D3" s="35"/>
      <c r="E3" s="35"/>
      <c r="F3" s="35"/>
      <c r="G3" s="35"/>
      <c r="H3" s="38"/>
      <c r="I3" s="38"/>
    </row>
    <row r="4" spans="2:46" ht="15" customHeight="1" thickBot="1">
      <c r="D4" s="133" t="s">
        <v>228</v>
      </c>
      <c r="E4" s="134"/>
      <c r="F4" s="134"/>
      <c r="G4" s="134"/>
      <c r="H4" s="37" t="s">
        <v>226</v>
      </c>
      <c r="I4" s="114">
        <f ca="1">WORKDAY(TODAY(),-1)</f>
        <v>45688</v>
      </c>
    </row>
    <row r="5" spans="2:46" ht="14.25" hidden="1" thickBot="1">
      <c r="E5" s="1">
        <f ca="1">I4</f>
        <v>45688</v>
      </c>
      <c r="F5" s="1">
        <f>D102</f>
        <v>45681</v>
      </c>
      <c r="G5" s="1"/>
      <c r="H5" s="1">
        <f ca="1">E5-7</f>
        <v>45681</v>
      </c>
      <c r="I5" s="1">
        <f ca="1">E5-365</f>
        <v>45323</v>
      </c>
      <c r="AN5">
        <v>1</v>
      </c>
      <c r="AO5" t="s">
        <v>71</v>
      </c>
      <c r="AP5" t="s">
        <v>72</v>
      </c>
      <c r="AQ5" t="s">
        <v>131</v>
      </c>
      <c r="AR5" t="s">
        <v>172</v>
      </c>
    </row>
    <row r="6" spans="2:46" ht="14.25" thickBot="1">
      <c r="D6" s="15" t="s">
        <v>227</v>
      </c>
      <c r="E6" s="39">
        <f ca="1">E5</f>
        <v>45688</v>
      </c>
      <c r="F6" s="40">
        <f>F5</f>
        <v>45681</v>
      </c>
      <c r="G6" s="16" t="s">
        <v>0</v>
      </c>
      <c r="H6" s="17" t="s">
        <v>1</v>
      </c>
      <c r="I6" s="16" t="s">
        <v>2</v>
      </c>
      <c r="AN6">
        <v>2</v>
      </c>
      <c r="AO6" t="s">
        <v>73</v>
      </c>
      <c r="AP6" t="s">
        <v>83</v>
      </c>
      <c r="AQ6" t="s">
        <v>132</v>
      </c>
      <c r="AR6" t="s">
        <v>173</v>
      </c>
    </row>
    <row r="7" spans="2:46">
      <c r="B7" t="s">
        <v>3</v>
      </c>
      <c r="C7" s="41" t="s">
        <v>4</v>
      </c>
      <c r="D7" s="2" t="s">
        <v>5</v>
      </c>
      <c r="E7" s="42">
        <f ca="1">_xll.IMDP($B7,$C7,"현재가",E$5,"fill=true")</f>
        <v>2517.37</v>
      </c>
      <c r="F7" s="43">
        <f>_xll.IMDP($B7,$C7,"현재가",F$5,"fill=true")</f>
        <v>2536.8000000000002</v>
      </c>
      <c r="G7" s="90">
        <f ca="1">_xll.IMDP($B7,$C7,"전일대비",E$5,"fill=true")</f>
        <v>-19.43</v>
      </c>
      <c r="H7" s="90">
        <f ca="1">(_xll.IMDP($B7,$C7,"현재가",E$5,"fill=true")-_xll.IMDP($B7,$C7,"현재가",H$5,"FILL=TRUE"))</f>
        <v>-19.430000000000291</v>
      </c>
      <c r="I7" s="91">
        <f ca="1">(_xll.IMDP($B7,$C7,"현재가",E$5,"fill=true")-_xll.IMDP($B7,$C7,"현재가",I$5,"FILL=TRUE"))</f>
        <v>-25.090000000000146</v>
      </c>
      <c r="AN7">
        <v>3</v>
      </c>
      <c r="AO7" t="s">
        <v>74</v>
      </c>
      <c r="AP7" t="s">
        <v>90</v>
      </c>
      <c r="AQ7" t="s">
        <v>133</v>
      </c>
      <c r="AR7" t="s">
        <v>174</v>
      </c>
    </row>
    <row r="8" spans="2:46">
      <c r="B8" t="s">
        <v>3</v>
      </c>
      <c r="C8" s="41" t="s">
        <v>4</v>
      </c>
      <c r="D8" s="4" t="s">
        <v>6</v>
      </c>
      <c r="E8" s="44">
        <f ca="1">_xll.IMDP($B8,$C8,"누적거래량",E$5,"fill=true")</f>
        <v>454403</v>
      </c>
      <c r="F8" s="45">
        <f>_xll.IMDP($B8,$C8,"누적거래량",F$5,"fill=true")</f>
        <v>602014</v>
      </c>
      <c r="G8" s="98">
        <f ca="1">_xll.IMDP($B8,$C8,"누적거래량",E$5,"fill=true")-_xll.IMDP($B8,$C8,"누적거래량",F$5,"fill=true")</f>
        <v>-147611</v>
      </c>
      <c r="H8" s="98">
        <f ca="1">(_xll.IMDP($B7,$C7,"누적거래량",E$5,"fill=true")-_xll.IMDP($B7,$C7,"누적거래량",H$5,"FILL=TRUE"))</f>
        <v>-147611</v>
      </c>
      <c r="I8" s="99">
        <f ca="1">(_xll.IMDP($B7,$C7,"누적거래량",E$5,"fill=true")-_xll.IMDP($B7,$C7,"누적거래량",I$5,"FILL=TRUE"))</f>
        <v>-296671</v>
      </c>
      <c r="AN8">
        <v>4</v>
      </c>
      <c r="AO8" t="s">
        <v>75</v>
      </c>
      <c r="AP8" t="s">
        <v>99</v>
      </c>
      <c r="AQ8" t="s">
        <v>134</v>
      </c>
      <c r="AR8" t="s">
        <v>170</v>
      </c>
    </row>
    <row r="9" spans="2:46">
      <c r="B9" t="s">
        <v>3</v>
      </c>
      <c r="C9" s="41" t="s">
        <v>4</v>
      </c>
      <c r="D9" s="5" t="s">
        <v>7</v>
      </c>
      <c r="E9" s="47">
        <f ca="1">_xll.IMDP($B9,$C9,"누적거래대금",E$5,"fill=true")</f>
        <v>13759431</v>
      </c>
      <c r="F9" s="48">
        <f>_xll.IMDP($B9,$C9,"누적거래대금",F$5,"fill=true")</f>
        <v>10179284</v>
      </c>
      <c r="G9" s="100">
        <f ca="1">_xll.IMDP($B9,$C9,"누적거래대금",E$5,"fill=true")-_xll.IMDP($B9,$C9,"누적거래대금",F$5,"fill=true")</f>
        <v>3580147</v>
      </c>
      <c r="H9" s="100">
        <f ca="1">(_xll.IMDP($B7,$C7,"누적거래대금",E$5,"fill=true")-_xll.IMDP($B7,$C7,"누적거래대금",H$5,"FILL=TRUE"))</f>
        <v>3580147</v>
      </c>
      <c r="I9" s="101">
        <f ca="1">(_xll.IMDP($B7,$C7,"누적거래대금",E$5,"fill=true")-_xll.IMDP($B7,$C7,"누적거래대금",I$5,"FILL=TRUE"))</f>
        <v>296949</v>
      </c>
      <c r="AN9">
        <v>5</v>
      </c>
      <c r="AO9" t="s">
        <v>76</v>
      </c>
      <c r="AP9" t="s">
        <v>103</v>
      </c>
      <c r="AQ9" t="s">
        <v>135</v>
      </c>
      <c r="AR9" t="s">
        <v>171</v>
      </c>
    </row>
    <row r="10" spans="2:46">
      <c r="B10" t="s">
        <v>3</v>
      </c>
      <c r="C10" s="41" t="s">
        <v>8</v>
      </c>
      <c r="D10" s="6" t="s">
        <v>9</v>
      </c>
      <c r="E10" s="49">
        <f ca="1">_xll.IMDP($B10,$C10,"현재가",E$5,"fill=true")</f>
        <v>333.36</v>
      </c>
      <c r="F10" s="50">
        <f>_xll.IMDP($B10,$C10,"현재가",F$5,"fill=true")</f>
        <v>336.74</v>
      </c>
      <c r="G10" s="92">
        <f ca="1">_xll.IMDP($B10,$C10,"전일대비",E$5,"fill=true")</f>
        <v>-3.38</v>
      </c>
      <c r="H10" s="92">
        <f ca="1">(_xll.IMDP($B10,$C10,"현재가",E$5,"fill=true")-_xll.IMDP($B10,$C10,"현재가",H$5,"FILL=TRUE"))</f>
        <v>-3.3799999999999955</v>
      </c>
      <c r="I10" s="93">
        <f ca="1">(_xll.IMDP($B10,$C10,"현재가",E$5,"fill=true")-_xll.IMDP($B10,$C10,"현재가",I$5,"FILL=TRUE"))</f>
        <v>-9.0500000000000114</v>
      </c>
      <c r="AN10">
        <v>6</v>
      </c>
      <c r="AO10" t="s">
        <v>77</v>
      </c>
      <c r="AP10" t="s">
        <v>104</v>
      </c>
      <c r="AQ10" t="s">
        <v>136</v>
      </c>
      <c r="AR10" t="s">
        <v>175</v>
      </c>
    </row>
    <row r="11" spans="2:46">
      <c r="B11" t="s">
        <v>3</v>
      </c>
      <c r="C11" s="41" t="s">
        <v>8</v>
      </c>
      <c r="D11" s="4" t="s">
        <v>6</v>
      </c>
      <c r="E11" s="44">
        <f ca="1">_xll.IMDP($B11,$C11,"누적거래량",E$5,"fill=true")</f>
        <v>175542</v>
      </c>
      <c r="F11" s="45">
        <f>_xll.IMDP($B11,$C11,"누적거래량",F$5,"fill=true")</f>
        <v>118264</v>
      </c>
      <c r="G11" s="98">
        <f ca="1">_xll.IMDP($B11,$C11,"누적거래량",E$5,"fill=true")-_xll.IMDP($B11,$C11,"누적거래량",F$5,"fill=true")</f>
        <v>57278</v>
      </c>
      <c r="H11" s="98">
        <f ca="1">(_xll.IMDP($B10,$C10,"누적거래량",E$5,"fill=true")-_xll.IMDP($B10,$C10,"누적거래량",H$5,"FILL=TRUE"))</f>
        <v>57278</v>
      </c>
      <c r="I11" s="99">
        <f ca="1">(_xll.IMDP($B10,$C10,"누적거래량",E$5,"fill=true")-_xll.IMDP($B10,$C10,"누적거래량",I$5,"FILL=TRUE"))</f>
        <v>-67527</v>
      </c>
      <c r="AN11">
        <v>7</v>
      </c>
      <c r="AO11" t="s">
        <v>78</v>
      </c>
      <c r="AP11" t="s">
        <v>105</v>
      </c>
      <c r="AQ11" t="s">
        <v>137</v>
      </c>
      <c r="AR11" t="s">
        <v>176</v>
      </c>
    </row>
    <row r="12" spans="2:46">
      <c r="B12" t="s">
        <v>3</v>
      </c>
      <c r="C12" s="41" t="s">
        <v>8</v>
      </c>
      <c r="D12" s="5" t="s">
        <v>7</v>
      </c>
      <c r="E12" s="47">
        <f ca="1">_xll.IMDP($B12,$C12,"누적거래대금",E$5,"fill=true")</f>
        <v>11500569</v>
      </c>
      <c r="F12" s="48">
        <f>_xll.IMDP($B12,$C12,"누적거래대금",F$5,"fill=true")</f>
        <v>7507943</v>
      </c>
      <c r="G12" s="100">
        <f ca="1">_xll.IMDP($B12,$C12,"누적거래대금",E$5,"fill=true")-_xll.IMDP($B12,$C12,"누적거래대금",F$5,"fill=true")</f>
        <v>3992626</v>
      </c>
      <c r="H12" s="100">
        <f ca="1">(_xll.IMDP($B10,$C10,"누적거래대금",E$5,"fill=true")-_xll.IMDP($B10,$C10,"누적거래대금",H$5,"FILL=TRUE"))</f>
        <v>3992626</v>
      </c>
      <c r="I12" s="101">
        <f ca="1">(_xll.IMDP($B10,$C10,"누적거래대금",E$5,"fill=true")-_xll.IMDP($B10,$C10,"누적거래대금",I$5,"FILL=TRUE"))</f>
        <v>1127453</v>
      </c>
      <c r="AN12">
        <v>8</v>
      </c>
      <c r="AO12" t="s">
        <v>79</v>
      </c>
      <c r="AP12" t="s">
        <v>177</v>
      </c>
      <c r="AQ12" t="s">
        <v>138</v>
      </c>
      <c r="AR12" t="s">
        <v>178</v>
      </c>
    </row>
    <row r="13" spans="2:46">
      <c r="B13" t="s">
        <v>3</v>
      </c>
      <c r="C13" s="41" t="s">
        <v>10</v>
      </c>
      <c r="D13" s="6" t="s">
        <v>11</v>
      </c>
      <c r="E13" s="49">
        <f ca="1">_xll.IMDP($B13,$C13,"현재가",E$5,"fill=true")</f>
        <v>728.29</v>
      </c>
      <c r="F13" s="50">
        <f>_xll.IMDP($B13,$C13,"현재가",F$5,"fill=true")</f>
        <v>728.74</v>
      </c>
      <c r="G13" s="92">
        <f ca="1">_xll.IMDP($B13,$C13,"전일대비",E$5,"fill=true")</f>
        <v>-0.45</v>
      </c>
      <c r="H13" s="92">
        <f ca="1">(_xll.IMDP($B13,$C13,"현재가",E$5,"fill=true")-_xll.IMDP($B13,$C13,"현재가",H$5,"FILL=TRUE"))/_xll.IMDP($B13,$C13,"현재가",H$5,"FILL=TRUE")*100</f>
        <v>-6.1750418530620729E-2</v>
      </c>
      <c r="I13" s="93">
        <f ca="1">(_xll.IMDP($B13,$C13,"현재가",E$5,"fill=true")-_xll.IMDP($B13,$C13,"현재가",I$5,"FILL=TRUE"))/_xll.IMDP($B13,$C13,"현재가",I$5,"FILL=TRUE")*100</f>
        <v>-8.8190001627583854</v>
      </c>
      <c r="AN13">
        <v>9</v>
      </c>
      <c r="AO13" t="s">
        <v>80</v>
      </c>
      <c r="AP13" t="s">
        <v>106</v>
      </c>
      <c r="AQ13" t="s">
        <v>139</v>
      </c>
      <c r="AR13" t="s">
        <v>179</v>
      </c>
    </row>
    <row r="14" spans="2:46">
      <c r="B14" t="s">
        <v>3</v>
      </c>
      <c r="C14" s="41" t="s">
        <v>10</v>
      </c>
      <c r="D14" s="4" t="s">
        <v>6</v>
      </c>
      <c r="E14" s="44">
        <f ca="1">_xll.IMDP($B14,$C14,"누적거래량",E$5,"fill=true")</f>
        <v>687448</v>
      </c>
      <c r="F14" s="45">
        <f>_xll.IMDP($B14,$C14,"누적거래량",F$5,"fill=true")</f>
        <v>763299</v>
      </c>
      <c r="G14" s="98">
        <f ca="1">_xll.IMDP($B14,$C14,"누적거래량",E$5,"fill=true")-_xll.IMDP($B14,$C14,"누적거래량",F$5,"fill=true")</f>
        <v>-75851</v>
      </c>
      <c r="H14" s="98">
        <f ca="1">(_xll.IMDP($B13,$C13,"누적거래량",E$5,"fill=true")-_xll.IMDP($B13,$C13,"누적거래량",H$5,"FILL=TRUE"))</f>
        <v>-75851</v>
      </c>
      <c r="I14" s="99">
        <f ca="1">(_xll.IMDP($B13,$C13,"누적거래량",E$5,"fill=true")-_xll.IMDP($B13,$C13,"누적거래량",I$5,"FILL=TRUE"))</f>
        <v>-437396</v>
      </c>
      <c r="AN14">
        <v>10</v>
      </c>
      <c r="AO14" t="s">
        <v>81</v>
      </c>
      <c r="AP14" t="s">
        <v>107</v>
      </c>
      <c r="AQ14" t="s">
        <v>140</v>
      </c>
      <c r="AR14" t="s">
        <v>180</v>
      </c>
    </row>
    <row r="15" spans="2:46">
      <c r="B15" t="s">
        <v>12</v>
      </c>
      <c r="C15" s="41" t="s">
        <v>13</v>
      </c>
      <c r="D15" s="5" t="s">
        <v>14</v>
      </c>
      <c r="E15" s="47">
        <f ca="1">_xll.IMDP($B15,$C15,"누적거래대금",E$5,"fill=true")</f>
        <v>6531727</v>
      </c>
      <c r="F15" s="48">
        <f>_xll.IMDP($B15,$C15,"누적거래대금",F$5,"fill=true")</f>
        <v>6343842</v>
      </c>
      <c r="G15" s="100">
        <f ca="1">_xll.IMDP($B15,$C15,"누적거래대금",E$5,"fill=true")-_xll.IMDP($B15,$C15,"누적거래대금",F$5,"fill=true")</f>
        <v>187885</v>
      </c>
      <c r="H15" s="100">
        <f ca="1">(_xll.IMDP($B13,$C13,"누적거래대금",E$5,"fill=true")-_xll.IMDP($B13,$C13,"누적거래대금",H$5,"FILL=TRUE"))</f>
        <v>187885</v>
      </c>
      <c r="I15" s="101">
        <f ca="1">(_xll.IMDP($B13,$C13,"누적거래대금",E$5,"fill=true")-_xll.IMDP($B13,$C13,"누적거래대금",I$5,"FILL=TRUE"))</f>
        <v>-2446594</v>
      </c>
      <c r="J15" s="116"/>
      <c r="K15" s="116"/>
      <c r="AN15">
        <v>11</v>
      </c>
      <c r="AO15" t="s">
        <v>58</v>
      </c>
      <c r="AP15" t="s">
        <v>108</v>
      </c>
      <c r="AQ15" t="s">
        <v>67</v>
      </c>
      <c r="AR15" t="s">
        <v>181</v>
      </c>
      <c r="AS15" t="s">
        <v>141</v>
      </c>
      <c r="AT15" t="s">
        <v>142</v>
      </c>
    </row>
    <row r="16" spans="2:46">
      <c r="B16" t="s">
        <v>15</v>
      </c>
      <c r="C16" t="s">
        <v>16</v>
      </c>
      <c r="D16" s="7" t="s">
        <v>17</v>
      </c>
      <c r="E16" s="52">
        <f ca="1">_xll.IMDP($B16,$C16,"현재가",E$5,"fill=true")</f>
        <v>332.5</v>
      </c>
      <c r="F16" s="53">
        <f>_xll.IMDP($B16,$C16,"현재가",F$5,"fill=true")</f>
        <v>335.85</v>
      </c>
      <c r="G16" s="94">
        <f ca="1">_xll.IMDP($B16,$C16,"전일대비",E$5,"fill=true")</f>
        <v>-3.35</v>
      </c>
      <c r="H16" s="94">
        <f ca="1">(_xll.IMDP($B16,$C16,"현재가",E$5,"fill=true")-_xll.IMDP($B16,$C16,"현재가",H$5,"FILL=TRUE"))/_xll.IMDP($B16,$C16,"현재가",H$5,"FILL=TRUE")*100</f>
        <v>-0.99746910823284873</v>
      </c>
      <c r="I16" s="95">
        <f ca="1">(_xll.IMDP($B16,$C16,"현재가",E$5,"fill=true")-_xll.IMDP($B16,$C16,"현재가",I$5,"FILL=TRUE"))/_xll.IMDP($B16,$C16,"현재가",I$5,"FILL=TRUE")*100</f>
        <v>-2.820400409177255</v>
      </c>
      <c r="J16" s="115"/>
      <c r="K16" s="115"/>
      <c r="AN16">
        <v>12</v>
      </c>
      <c r="AO16" t="s">
        <v>82</v>
      </c>
      <c r="AP16" t="s">
        <v>109</v>
      </c>
      <c r="AQ16" t="s">
        <v>143</v>
      </c>
      <c r="AR16" t="s">
        <v>182</v>
      </c>
    </row>
    <row r="17" spans="2:45">
      <c r="B17" t="s">
        <v>15</v>
      </c>
      <c r="C17" t="s">
        <v>16</v>
      </c>
      <c r="D17" s="4" t="s">
        <v>18</v>
      </c>
      <c r="E17" s="44">
        <f ca="1">_xll.IMDP($B17,$C17,"거래량",E$5,"fill=true")</f>
        <v>232705</v>
      </c>
      <c r="F17" s="45">
        <f>_xll.IMDP($B17,$C17,"거래량",F$5,"fill=true")</f>
        <v>178483</v>
      </c>
      <c r="G17" s="98">
        <f ca="1">_xll.IMDP($B17,$C17,"거래량",E$5,"fill=true")-_xll.IMDP($B17,$C17,"거래량",F$5,"fill=true")</f>
        <v>54222</v>
      </c>
      <c r="H17" s="98">
        <f ca="1">(_xll.IMDP($B16,$C16,"거래량",E$5,"fill=true")-_xll.IMDP($B16,$C16,"거래량",H$5,"FILL=TRUE"))</f>
        <v>54222</v>
      </c>
      <c r="I17" s="99">
        <f ca="1">(_xll.IMDP($B16,$C16,"거래량",E$5,"fill=true")-_xll.IMDP($B16,$C16,"거래량",I$5,"FILL=TRUE"))</f>
        <v>-75052</v>
      </c>
      <c r="J17" s="116"/>
      <c r="K17" s="116"/>
      <c r="AN17">
        <v>13</v>
      </c>
      <c r="AO17" t="s">
        <v>66</v>
      </c>
      <c r="AP17" t="s">
        <v>110</v>
      </c>
      <c r="AQ17" t="s">
        <v>70</v>
      </c>
      <c r="AR17" t="s">
        <v>183</v>
      </c>
    </row>
    <row r="18" spans="2:45" ht="14.25" thickBot="1">
      <c r="B18" t="s">
        <v>15</v>
      </c>
      <c r="C18" t="s">
        <v>16</v>
      </c>
      <c r="D18" s="8" t="s">
        <v>19</v>
      </c>
      <c r="E18" s="54">
        <f ca="1">_xll.IMDP($B18,$C18,"미결제약정수량",E$5,"fill=true")</f>
        <v>262319</v>
      </c>
      <c r="F18" s="55">
        <f>_xll.IMDP($B18,$C18,"미결제약정수량",F$5,"fill=true")</f>
        <v>258564</v>
      </c>
      <c r="G18" s="102">
        <f ca="1">_xll.IMDP($B18,$C18,"미결제약정수량",E$5,"fill=true")-_xll.IMDP($B18,$C18,"미결제약정수량",F$5,"fill=true")</f>
        <v>3755</v>
      </c>
      <c r="H18" s="102">
        <f ca="1">(_xll.IMDP($B18,$C18,"미결제약정수량",E$5,"fill=true")-_xll.IMDP($B18,$C18,"미결제약정수량",H$5,"FILL=TRUE"))</f>
        <v>3755</v>
      </c>
      <c r="I18" s="103">
        <f ca="1">(_xll.IMDP($B18,$C18,"미결제약정수량",E$5,"fill=true")-_xll.IMDP($B18,$C18,"미결제약정수량",I$5,"FILL=TRUE"))</f>
        <v>9333</v>
      </c>
      <c r="J18" s="116"/>
      <c r="K18" s="116"/>
      <c r="AN18">
        <v>14</v>
      </c>
      <c r="AO18" t="s">
        <v>84</v>
      </c>
      <c r="AP18" t="s">
        <v>111</v>
      </c>
      <c r="AQ18" t="s">
        <v>144</v>
      </c>
      <c r="AR18" t="s">
        <v>184</v>
      </c>
    </row>
    <row r="19" spans="2:45">
      <c r="B19" t="s">
        <v>20</v>
      </c>
      <c r="C19" t="s">
        <v>21</v>
      </c>
      <c r="D19" s="9" t="s">
        <v>22</v>
      </c>
      <c r="E19" s="56">
        <f ca="1">_xll.IMDP($B19,$C19,"대표수익률",E$5,"fill=true")</f>
        <v>2.573</v>
      </c>
      <c r="F19" s="57">
        <f>_xll.IMDP($B19,$C19,"대표수익률",F$5,"fill=true")</f>
        <v>2.57</v>
      </c>
      <c r="G19" s="106">
        <f ca="1">_xll.IMDP($B19,$C19,"전일대비",E$5,"fill=true")</f>
        <v>3.0000000000000001E-3</v>
      </c>
      <c r="H19" s="106">
        <f ca="1">(_xll.IMDP($B19,$C19,"대표수익률",E$5,"fill=true")-_xll.IMDP($B19,$C19,"대표수익률",H$5,"FILL=TRUE"))</f>
        <v>3.0000000000001137E-3</v>
      </c>
      <c r="I19" s="107">
        <f ca="1">(_xll.IMDP($B19,$C19,"대표수익률",E$5,"fill=true")-_xll.IMDP($B19,$C19,"대표수익률",I$5,"FILL=TRUE"))</f>
        <v>-0.69399999999999995</v>
      </c>
      <c r="J19" s="117"/>
      <c r="K19" s="117"/>
      <c r="AN19">
        <v>15</v>
      </c>
      <c r="AO19" t="s">
        <v>85</v>
      </c>
      <c r="AP19" t="s">
        <v>128</v>
      </c>
      <c r="AQ19" t="s">
        <v>145</v>
      </c>
      <c r="AR19" t="s">
        <v>185</v>
      </c>
    </row>
    <row r="20" spans="2:45">
      <c r="B20" t="s">
        <v>20</v>
      </c>
      <c r="C20" t="s">
        <v>23</v>
      </c>
      <c r="D20" s="10" t="s">
        <v>24</v>
      </c>
      <c r="E20" s="58">
        <f ca="1">_xll.IMDP($B20,$C20,"대표수익률",E$5,"fill=true")</f>
        <v>2.7010000000000001</v>
      </c>
      <c r="F20" s="59">
        <f>_xll.IMDP($B20,$C20,"대표수익률",F$5,"fill=true")</f>
        <v>2.7040000000000002</v>
      </c>
      <c r="G20" s="108">
        <f ca="1">_xll.IMDP($B20,$C20,"전일대비",E$5,"fill=true")</f>
        <v>-3.0000000000000001E-3</v>
      </c>
      <c r="H20" s="108">
        <f ca="1">(_xll.IMDP($B20,$C20,"대표수익률",E$5,"fill=true")-_xll.IMDP($B20,$C20,"대표수익률",H$5,"FILL=TRUE"))</f>
        <v>-3.0000000000001137E-3</v>
      </c>
      <c r="I20" s="109">
        <f ca="1">(_xll.IMDP($B20,$C20,"대표수익률",E$5,"fill=true")-_xll.IMDP($B20,$C20,"대표수익률",I$5,"FILL=TRUE"))</f>
        <v>-0.59200000000000008</v>
      </c>
      <c r="J20" s="117"/>
      <c r="K20" s="117"/>
      <c r="AN20">
        <v>16</v>
      </c>
      <c r="AO20" t="s">
        <v>86</v>
      </c>
      <c r="AP20" t="s">
        <v>112</v>
      </c>
      <c r="AQ20" t="s">
        <v>146</v>
      </c>
      <c r="AR20" t="s">
        <v>186</v>
      </c>
    </row>
    <row r="21" spans="2:45">
      <c r="B21" t="s">
        <v>20</v>
      </c>
      <c r="C21" t="s">
        <v>25</v>
      </c>
      <c r="D21" s="10" t="s">
        <v>26</v>
      </c>
      <c r="E21" s="58">
        <f ca="1">_xll.IMDP($B21,$C21,"대표수익률",E$5,"fill=true")</f>
        <v>2.859</v>
      </c>
      <c r="F21" s="59">
        <f>_xll.IMDP($B21,$C21,"대표수익률",F$5,"fill=true")</f>
        <v>2.859</v>
      </c>
      <c r="G21" s="108">
        <f ca="1">_xll.IMDP($B21,$C21,"전일대비",E$5,"fill=true")</f>
        <v>0</v>
      </c>
      <c r="H21" s="108">
        <f ca="1">(_xll.IMDP($B21,$C21,"대표수익률",E$5,"fill=true")-_xll.IMDP($B21,$C21,"대표수익률",H$5,"FILL=TRUE"))</f>
        <v>0</v>
      </c>
      <c r="I21" s="109">
        <f ca="1">(_xll.IMDP($B21,$C21,"대표수익률",E$5,"fill=true")-_xll.IMDP($B21,$C21,"대표수익률",I$5,"FILL=TRUE"))</f>
        <v>-0.48</v>
      </c>
      <c r="J21" s="117"/>
      <c r="K21" s="117"/>
      <c r="AN21">
        <v>17</v>
      </c>
      <c r="AO21" t="s">
        <v>87</v>
      </c>
      <c r="AP21" t="s">
        <v>113</v>
      </c>
      <c r="AQ21" t="s">
        <v>147</v>
      </c>
      <c r="AR21" t="s">
        <v>187</v>
      </c>
    </row>
    <row r="22" spans="2:45">
      <c r="B22" t="s">
        <v>20</v>
      </c>
      <c r="C22" t="s">
        <v>27</v>
      </c>
      <c r="D22" s="10" t="s">
        <v>28</v>
      </c>
      <c r="E22" s="58">
        <f ca="1">_xll.IMDP($B22,$C22,"대표수익률",E$5,"fill=true")</f>
        <v>3.2040000000000002</v>
      </c>
      <c r="F22" s="59">
        <f>_xll.IMDP($B22,$C22,"대표수익률",F$5,"fill=true")</f>
        <v>3.21</v>
      </c>
      <c r="G22" s="108">
        <f ca="1">_xll.IMDP($B22,$C22,"전일대비",E$5,"fill=true")</f>
        <v>-6.0000000000000001E-3</v>
      </c>
      <c r="H22" s="108">
        <f ca="1">(_xll.IMDP($B22,$C22,"대표수익률",E$5,"fill=true")-_xll.IMDP($B22,$C22,"대표수익률",H$5,"FILL=TRUE"))</f>
        <v>-5.9999999999997833E-3</v>
      </c>
      <c r="I22" s="109">
        <f ca="1">(_xll.IMDP($B22,$C22,"대표수익률",E$5,"fill=true")-_xll.IMDP($B22,$C22,"대표수익률",I$5,"FILL=TRUE"))</f>
        <v>-0.79700000000000015</v>
      </c>
      <c r="J22" s="117"/>
      <c r="K22" s="117"/>
      <c r="AN22">
        <v>18</v>
      </c>
      <c r="AO22" t="s">
        <v>88</v>
      </c>
      <c r="AP22" t="s">
        <v>114</v>
      </c>
      <c r="AQ22" t="s">
        <v>148</v>
      </c>
      <c r="AR22" t="s">
        <v>188</v>
      </c>
    </row>
    <row r="23" spans="2:45">
      <c r="B23" t="s">
        <v>20</v>
      </c>
      <c r="C23" t="s">
        <v>29</v>
      </c>
      <c r="D23" s="11" t="s">
        <v>30</v>
      </c>
      <c r="E23" s="60">
        <f ca="1">_xll.IMDP($B23,$C23,"대표수익률",E$5,"fill=true")</f>
        <v>3.03</v>
      </c>
      <c r="F23" s="61">
        <f>_xll.IMDP($B23,$C23,"대표수익률",F$5,"fill=true")</f>
        <v>3.03</v>
      </c>
      <c r="G23" s="110">
        <f ca="1">_xll.IMDP($B23,$C23,"전일대비",E$5,"fill=true")</f>
        <v>0</v>
      </c>
      <c r="H23" s="110">
        <f ca="1">(_xll.IMDP($B23,$C23,"대표수익률",E$5,"fill=true")-_xll.IMDP($B23,$C23,"대표수익률",H$5,"FILL=TRUE"))</f>
        <v>0</v>
      </c>
      <c r="I23" s="111">
        <f ca="1">(_xll.IMDP($B23,$C23,"대표수익률",E$5,"fill=true")-_xll.IMDP($B23,$C23,"대표수익률",I$5,"FILL=TRUE"))</f>
        <v>-0.65000000000000036</v>
      </c>
      <c r="J23" s="117"/>
      <c r="K23" s="117"/>
      <c r="AN23">
        <v>19</v>
      </c>
      <c r="AO23" t="s">
        <v>89</v>
      </c>
      <c r="AP23" t="s">
        <v>115</v>
      </c>
      <c r="AQ23" t="s">
        <v>149</v>
      </c>
      <c r="AR23" t="s">
        <v>189</v>
      </c>
    </row>
    <row r="24" spans="2:45">
      <c r="B24" t="s">
        <v>15</v>
      </c>
      <c r="C24" t="s">
        <v>31</v>
      </c>
      <c r="D24" s="12" t="s">
        <v>32</v>
      </c>
      <c r="E24" s="49">
        <f ca="1">_xll.IMDP($B24,$C24,"현재가",E$5,"fill=true")</f>
        <v>106.88</v>
      </c>
      <c r="F24" s="50">
        <f>_xll.IMDP($B24,$C24,"현재가",F$5,"fill=true")</f>
        <v>106.91</v>
      </c>
      <c r="G24" s="92">
        <f ca="1">_xll.IMDP($B24,$C24,"전일대비",E$5,"fill=true")</f>
        <v>-0.03</v>
      </c>
      <c r="H24" s="92">
        <f ca="1">(_xll.IMDP($B24,$C24,"현재가",E$5,"fill=true")-_xll.IMDP($B24,$C24,"현재가",H$5,"FILL=TRUE"))/_xll.IMDP($B24,$C24,"현재가",H$5,"FILL=TRUE")*100</f>
        <v>-2.8060985875971507E-2</v>
      </c>
      <c r="I24" s="93">
        <f ca="1">(_xll.IMDP($B24,$C24,"현재가",E$5,"fill=true")-_xll.IMDP($B24,$C24,"현재가",I$5,"FILL=TRUE"))/_xll.IMDP($B24,$C24,"현재가",I$5,"FILL=TRUE")*100</f>
        <v>1.8583817783283985</v>
      </c>
      <c r="J24" s="115"/>
      <c r="K24" s="115"/>
      <c r="AN24">
        <v>20</v>
      </c>
      <c r="AO24" t="s">
        <v>65</v>
      </c>
      <c r="AP24" t="s">
        <v>116</v>
      </c>
      <c r="AQ24" t="s">
        <v>69</v>
      </c>
      <c r="AR24" t="s">
        <v>190</v>
      </c>
    </row>
    <row r="25" spans="2:45">
      <c r="B25" t="s">
        <v>15</v>
      </c>
      <c r="C25" t="s">
        <v>31</v>
      </c>
      <c r="D25" s="4" t="s">
        <v>18</v>
      </c>
      <c r="E25" s="44">
        <f ca="1">_xll.IMDP($B25,$C25,"거래량",E$5,"fill=true")</f>
        <v>162053</v>
      </c>
      <c r="F25" s="45">
        <f>_xll.IMDP($B25,$C25,"거래량",F$5,"fill=true")</f>
        <v>167488</v>
      </c>
      <c r="G25" s="98">
        <f ca="1">_xll.IMDP($B25,$C25,"거래량",E$5,"fill=true")-_xll.IMDP($B25,$C25,"거래량",F$5,"fill=true")</f>
        <v>-5435</v>
      </c>
      <c r="H25" s="98">
        <f ca="1">(_xll.IMDP($B24,$C24,"거래량",E$5,"fill=true")-_xll.IMDP($B24,$C24,"거래량",H$5,"FILL=TRUE"))</f>
        <v>-5435</v>
      </c>
      <c r="I25" s="99">
        <f ca="1">(_xll.IMDP($B24,$C24,"거래량",E$5,"fill=true")-_xll.IMDP($B24,$C24,"거래량",I$5,"FILL=TRUE"))</f>
        <v>19674</v>
      </c>
      <c r="J25" s="116"/>
      <c r="K25" s="116"/>
      <c r="AN25">
        <v>21</v>
      </c>
      <c r="AO25" t="s">
        <v>91</v>
      </c>
      <c r="AP25" t="s">
        <v>117</v>
      </c>
      <c r="AQ25" t="s">
        <v>150</v>
      </c>
      <c r="AR25" t="s">
        <v>191</v>
      </c>
    </row>
    <row r="26" spans="2:45" ht="14.25" thickBot="1">
      <c r="B26" t="s">
        <v>15</v>
      </c>
      <c r="C26" t="s">
        <v>31</v>
      </c>
      <c r="D26" s="13" t="s">
        <v>19</v>
      </c>
      <c r="E26" s="62">
        <f ca="1">_xll.IMDP($B26,$C26,"미결제약정수량",E$5,"fill=true")</f>
        <v>468916</v>
      </c>
      <c r="F26" s="63">
        <f>_xll.IMDP($B26,$C26,"미결제약정수량",F$5,"fill=true")</f>
        <v>468714</v>
      </c>
      <c r="G26" s="104">
        <f ca="1">_xll.IMDP($B26,$C26,"미결제약정수량",E$5,"fill=true")-_xll.IMDP($B26,$C26,"미결제약정수량",F$5,"fill=true")</f>
        <v>202</v>
      </c>
      <c r="H26" s="104">
        <f ca="1">(_xll.IMDP($B26,$C26,"미결제약정수량",E$5,"fill=true")-_xll.IMDP($B26,$C26,"미결제약정수량",H$5,"FILL=TRUE"))</f>
        <v>202</v>
      </c>
      <c r="I26" s="105">
        <f ca="1">(_xll.IMDP($B26,$C26,"미결제약정수량",E$5,"fill=true")-_xll.IMDP($B26,$C26,"미결제약정수량",I$5,"FILL=TRUE"))</f>
        <v>62357</v>
      </c>
      <c r="J26" s="116"/>
      <c r="K26" s="116"/>
      <c r="AN26">
        <v>22</v>
      </c>
      <c r="AO26" t="s">
        <v>60</v>
      </c>
      <c r="AP26" t="s">
        <v>118</v>
      </c>
      <c r="AQ26" t="s">
        <v>151</v>
      </c>
      <c r="AR26" t="s">
        <v>192</v>
      </c>
    </row>
    <row r="27" spans="2:45">
      <c r="B27" t="s">
        <v>33</v>
      </c>
      <c r="C27" t="s">
        <v>34</v>
      </c>
      <c r="D27" s="14" t="s">
        <v>35</v>
      </c>
      <c r="E27" s="42">
        <f ca="1">_xll.IMDP($B27,$C27,"종가",E$5,"fill=true")</f>
        <v>1452.7</v>
      </c>
      <c r="F27" s="43">
        <f>_xll.IMDP($B27,$C27,"종가",F$5,"fill=true")</f>
        <v>1431.3</v>
      </c>
      <c r="G27" s="90">
        <f ca="1">_xll.IMDP($B27,$C27,"종가",E$5,"fill=true")-_xll.IMDP($B27,$C27,"종가",F$5,"fill=true")</f>
        <v>21.400000000000091</v>
      </c>
      <c r="H27" s="90">
        <f ca="1">(_xll.IMDP($B27,$C27,"종가",E$5,"fill=true")-_xll.IMDP($B27,$C27,"종가",H$5,"FILL=TRUE"))</f>
        <v>21.400000000000091</v>
      </c>
      <c r="I27" s="91">
        <f ca="1">(_xll.IMDP($B27,$C27,"종가",E$5,"fill=true")-_xll.IMDP($B27,$C27,"종가",I$5,"FILL=TRUE"))</f>
        <v>120.90000000000009</v>
      </c>
      <c r="J27" s="115"/>
      <c r="K27" s="115"/>
      <c r="AN27">
        <v>23</v>
      </c>
      <c r="AO27" t="s">
        <v>59</v>
      </c>
      <c r="AP27" t="s">
        <v>119</v>
      </c>
      <c r="AQ27" t="s">
        <v>68</v>
      </c>
      <c r="AR27" t="s">
        <v>193</v>
      </c>
      <c r="AS27" t="s">
        <v>152</v>
      </c>
    </row>
    <row r="28" spans="2:45">
      <c r="B28" t="s">
        <v>33</v>
      </c>
      <c r="C28" t="s">
        <v>36</v>
      </c>
      <c r="D28" s="4" t="s">
        <v>36</v>
      </c>
      <c r="E28" s="67">
        <f ca="1">_xll.IMDP($B28,$C28,"한국종가",E$5,"fill=true")</f>
        <v>7.2446000000000002</v>
      </c>
      <c r="F28" s="68">
        <f>_xll.IMDP($B28,$C28,"한국종가",F$5,"fill=true")</f>
        <v>7.2439</v>
      </c>
      <c r="G28" s="112">
        <f ca="1">_xll.IMDP($B28,$C28,"한국종가",E$5,"fill=true")-_xll.IMDP($B28,$C28,"한국종가",F$5,"fill=true")</f>
        <v>7.0000000000014495E-4</v>
      </c>
      <c r="H28" s="112">
        <f ca="1">(_xll.IMDP($B28,$C28,"한국종가",E$5,"fill=true")-_xll.IMDP($B28,$C28,"한국종가",H$5,"FILL=TRUE"))</f>
        <v>7.0000000000014495E-4</v>
      </c>
      <c r="I28" s="113">
        <f ca="1">(_xll.IMDP($B28,$C28,"한국종가",E$5,"fill=true")-_xll.IMDP($B28,$C28,"한국종가",I$5,"FILL=TRUE"))</f>
        <v>6.4899999999999736E-2</v>
      </c>
      <c r="J28" s="118"/>
      <c r="K28" s="118"/>
      <c r="AN28">
        <v>24</v>
      </c>
      <c r="AO28" t="s">
        <v>92</v>
      </c>
      <c r="AP28" t="s">
        <v>120</v>
      </c>
      <c r="AQ28" t="s">
        <v>153</v>
      </c>
      <c r="AR28" t="s">
        <v>194</v>
      </c>
    </row>
    <row r="29" spans="2:45">
      <c r="B29" t="s">
        <v>33</v>
      </c>
      <c r="C29" t="s">
        <v>37</v>
      </c>
      <c r="D29" s="4" t="s">
        <v>37</v>
      </c>
      <c r="E29" s="65">
        <f ca="1">_xll.IMDP($B29,$C29,"한국종가",E$5,"fill=true")</f>
        <v>200.56</v>
      </c>
      <c r="F29" s="66">
        <f>_xll.IMDP($B29,$C29,"한국종가",F$5,"fill=true")</f>
        <v>197.51</v>
      </c>
      <c r="G29" s="96">
        <f ca="1">_xll.IMDP($B29,$C29,"한국종가",E$5,"fill=true")-_xll.IMDP($B29,$C29,"한국종가",F$5,"fill=true")</f>
        <v>3.0500000000000114</v>
      </c>
      <c r="H29" s="96">
        <f ca="1">(_xll.IMDP($B29,$C29,"한국종가",E$5,"fill=true")-_xll.IMDP($B29,$C29,"한국종가",H$5,"FILL=TRUE"))</f>
        <v>3.0500000000000114</v>
      </c>
      <c r="I29" s="97">
        <f ca="1">(_xll.IMDP($B29,$C29,"한국종가",E$5,"fill=true")-_xll.IMDP($B29,$C29,"한국종가",I$5,"FILL=TRUE"))</f>
        <v>15.02000000000001</v>
      </c>
      <c r="J29" s="115"/>
      <c r="K29" s="115"/>
      <c r="AN29">
        <v>25</v>
      </c>
      <c r="AO29" t="s">
        <v>93</v>
      </c>
      <c r="AP29" t="s">
        <v>121</v>
      </c>
      <c r="AQ29" t="s">
        <v>154</v>
      </c>
      <c r="AR29" t="s">
        <v>195</v>
      </c>
    </row>
    <row r="30" spans="2:45">
      <c r="B30" t="s">
        <v>33</v>
      </c>
      <c r="C30" t="s">
        <v>38</v>
      </c>
      <c r="D30" s="4" t="s">
        <v>38</v>
      </c>
      <c r="E30" s="58">
        <f ca="1">_xll.IMDP($B30,$C30,"한국종가",E$5,"fill=true")</f>
        <v>154.70400000000001</v>
      </c>
      <c r="F30" s="59">
        <f>_xll.IMDP($B30,$C30,"한국종가",F$5,"fill=true")</f>
        <v>155.22999999999999</v>
      </c>
      <c r="G30" s="108">
        <f ca="1">_xll.IMDP($B30,$C30,"한국종가",E$5,"fill=true")-_xll.IMDP($B30,$C30,"한국종가",F$5,"fill=true")</f>
        <v>-0.52599999999998204</v>
      </c>
      <c r="H30" s="108">
        <f ca="1">(_xll.IMDP($B30,$C30,"한국종가",E$5,"fill=true")-_xll.IMDP($B30,$C30,"한국종가",H$5,"FILL=TRUE"))</f>
        <v>-0.52599999999998204</v>
      </c>
      <c r="I30" s="109">
        <f ca="1">(_xll.IMDP($B30,$C30,"한국종가",E$5,"fill=true")-_xll.IMDP($B30,$C30,"한국종가",I$5,"FILL=TRUE"))</f>
        <v>7.7920000000000016</v>
      </c>
      <c r="J30" s="117"/>
      <c r="K30" s="117"/>
      <c r="AN30">
        <v>26</v>
      </c>
      <c r="AO30" t="s">
        <v>94</v>
      </c>
      <c r="AP30" t="s">
        <v>122</v>
      </c>
      <c r="AQ30" t="s">
        <v>155</v>
      </c>
      <c r="AR30" t="s">
        <v>196</v>
      </c>
    </row>
    <row r="31" spans="2:45">
      <c r="B31" t="s">
        <v>33</v>
      </c>
      <c r="C31" t="s">
        <v>39</v>
      </c>
      <c r="D31" s="5" t="s">
        <v>39</v>
      </c>
      <c r="E31" s="70">
        <f ca="1">_xll.IMDP($B31,$C31,"한국종가",E$5,"fill=true")</f>
        <v>1.0390600000000001</v>
      </c>
      <c r="F31" s="71">
        <f>_xll.IMDP($B31,$C31,"한국종가",F$5,"fill=true")</f>
        <v>1.0455099999999999</v>
      </c>
      <c r="G31" s="88">
        <f ca="1">_xll.IMDP($B31,$C31,"한국종가",E$5,"fill=true")-_xll.IMDP($B31,$C31,"한국종가",F$5,"fill=true")</f>
        <v>-6.4499999999998447E-3</v>
      </c>
      <c r="H31" s="88">
        <f ca="1">(_xll.IMDP($B31,$C31,"한국종가",E$5,"fill=true")-_xll.IMDP($B31,$C31,"한국종가",H$5,"FILL=TRUE"))</f>
        <v>-6.4499999999998447E-3</v>
      </c>
      <c r="I31" s="89">
        <f ca="1">(_xll.IMDP($B31,$C31,"한국종가",E$5,"fill=true")-_xll.IMDP($B31,$C31,"한국종가",I$5,"FILL=TRUE"))</f>
        <v>-4.0969999999999951E-2</v>
      </c>
      <c r="J31" s="119"/>
      <c r="K31" s="119"/>
      <c r="AN31">
        <v>27</v>
      </c>
      <c r="AO31" t="s">
        <v>95</v>
      </c>
      <c r="AP31" t="s">
        <v>123</v>
      </c>
      <c r="AQ31" t="s">
        <v>156</v>
      </c>
      <c r="AR31" t="s">
        <v>197</v>
      </c>
    </row>
    <row r="32" spans="2:45">
      <c r="B32" t="s">
        <v>15</v>
      </c>
      <c r="C32" t="s">
        <v>40</v>
      </c>
      <c r="D32" s="7" t="s">
        <v>41</v>
      </c>
      <c r="E32" s="52">
        <f ca="1">_xll.IMDP($B32,$C32,"현재가",E$5,"fill=true")</f>
        <v>1453.6</v>
      </c>
      <c r="F32" s="53">
        <f>_xll.IMDP($B32,$C32,"현재가",F$5,"fill=true")</f>
        <v>1430</v>
      </c>
      <c r="G32" s="94">
        <f ca="1">_xll.IMDP($B32,$C32,"전일대비",E$5,"fill=true")</f>
        <v>23.6</v>
      </c>
      <c r="H32" s="94">
        <f ca="1">(_xll.IMDP($B32,$C32,"현재가",E$5,"fill=true")-_xll.IMDP($B32,$C32,"현재가",H$5,"FILL=TRUE"))/_xll.IMDP($B32,$C32,"현재가",H$5,"FILL=TRUE")*100</f>
        <v>1.6503496503496438</v>
      </c>
      <c r="I32" s="95">
        <f ca="1">(_xll.IMDP($B32,$C32,"현재가",E$5,"fill=true")-_xll.IMDP($B32,$C32,"현재가",I$5,"FILL=TRUE"))/_xll.IMDP($B32,$C32,"현재가",I$5,"FILL=TRUE")*100</f>
        <v>9.2193252686152078</v>
      </c>
      <c r="J32" s="115"/>
      <c r="K32" s="115"/>
      <c r="AN32">
        <v>28</v>
      </c>
      <c r="AO32" t="s">
        <v>96</v>
      </c>
      <c r="AP32" t="s">
        <v>124</v>
      </c>
      <c r="AQ32" t="s">
        <v>157</v>
      </c>
      <c r="AR32" t="s">
        <v>198</v>
      </c>
    </row>
    <row r="33" spans="2:44">
      <c r="B33" t="s">
        <v>15</v>
      </c>
      <c r="C33" t="s">
        <v>40</v>
      </c>
      <c r="D33" s="4" t="s">
        <v>18</v>
      </c>
      <c r="E33" s="44">
        <f ca="1">_xll.IMDP($B33,$C33,"거래량",E$5,"fill=true")</f>
        <v>475725</v>
      </c>
      <c r="F33" s="45">
        <f>_xll.IMDP($B33,$C33,"거래량",F$5,"fill=true")</f>
        <v>428724</v>
      </c>
      <c r="G33" s="98">
        <f ca="1">_xll.IMDP($B33,$C33,"거래량",E$5,"fill=true")-_xll.IMDP($B33,$C33,"거래량",F$5,"fill=true")</f>
        <v>47001</v>
      </c>
      <c r="H33" s="98">
        <f ca="1">(_xll.IMDP($B32,$C32,"거래량",E$5,"fill=true")-_xll.IMDP($B32,$C32,"거래량",H$5,"FILL=TRUE"))</f>
        <v>47001</v>
      </c>
      <c r="I33" s="99">
        <f ca="1">(_xll.IMDP($B32,$C32,"거래량",E$5,"fill=true")-_xll.IMDP($B32,$C32,"거래량",I$5,"FILL=TRUE"))</f>
        <v>38932</v>
      </c>
      <c r="J33" s="116"/>
      <c r="K33" s="116"/>
      <c r="AN33">
        <v>29</v>
      </c>
      <c r="AO33" t="s">
        <v>97</v>
      </c>
      <c r="AP33" t="s">
        <v>129</v>
      </c>
      <c r="AQ33" t="s">
        <v>158</v>
      </c>
      <c r="AR33" t="s">
        <v>199</v>
      </c>
    </row>
    <row r="34" spans="2:44" ht="14.25" thickBot="1">
      <c r="B34" t="s">
        <v>15</v>
      </c>
      <c r="C34" t="s">
        <v>40</v>
      </c>
      <c r="D34" s="13" t="s">
        <v>19</v>
      </c>
      <c r="E34" s="62">
        <f ca="1">_xll.IMDP($B34,$C34,"미결제약정수량",E$5,"fill=true")</f>
        <v>1045959</v>
      </c>
      <c r="F34" s="63">
        <f>_xll.IMDP($B34,$C34,"미결제약정수량",F$5,"fill=true")</f>
        <v>1011590</v>
      </c>
      <c r="G34" s="104">
        <f ca="1">_xll.IMDP($B34,$C34,"미결제약정수량",E$5,"fill=true")-_xll.IMDP($B34,$C34,"미결제약정수량",F$5,"fill=true")</f>
        <v>34369</v>
      </c>
      <c r="H34" s="104">
        <f ca="1">(_xll.IMDP($B34,$C34,"미결제약정수량",E$5,"fill=true")-_xll.IMDP($B34,$C34,"미결제약정수량",H$5,"FILL=TRUE"))</f>
        <v>34369</v>
      </c>
      <c r="I34" s="105">
        <f ca="1">(_xll.IMDP($B34,$C34,"미결제약정수량",E$5,"fill=true")-_xll.IMDP($B34,$C34,"미결제약정수량",I$5,"FILL=TRUE"))</f>
        <v>110343</v>
      </c>
      <c r="J34" s="116"/>
      <c r="K34" s="116"/>
      <c r="AN34">
        <v>30</v>
      </c>
      <c r="AO34" t="s">
        <v>98</v>
      </c>
      <c r="AP34" t="s">
        <v>125</v>
      </c>
      <c r="AQ34" t="s">
        <v>159</v>
      </c>
      <c r="AR34" t="s">
        <v>200</v>
      </c>
    </row>
    <row r="35" spans="2:44" ht="14.25" thickBot="1">
      <c r="D35" s="133" t="s">
        <v>225</v>
      </c>
      <c r="E35" s="134"/>
      <c r="F35" s="134"/>
      <c r="G35" s="134"/>
      <c r="H35" s="37" t="s">
        <v>226</v>
      </c>
      <c r="I35" s="36">
        <f ca="1">$I$4</f>
        <v>45688</v>
      </c>
      <c r="J35" s="120"/>
      <c r="K35" s="120"/>
      <c r="AN35">
        <v>31</v>
      </c>
      <c r="AO35" t="s">
        <v>100</v>
      </c>
      <c r="AP35" t="s">
        <v>126</v>
      </c>
      <c r="AQ35" t="s">
        <v>160</v>
      </c>
      <c r="AR35" t="s">
        <v>201</v>
      </c>
    </row>
    <row r="36" spans="2:44" ht="14.25" thickBot="1">
      <c r="D36" s="15" t="s">
        <v>209</v>
      </c>
      <c r="E36" s="39">
        <f>D101</f>
        <v>45688</v>
      </c>
      <c r="F36" s="40">
        <f>D102</f>
        <v>45681</v>
      </c>
      <c r="G36" s="39">
        <f>D103</f>
        <v>45680</v>
      </c>
      <c r="H36" s="40">
        <f>D104</f>
        <v>45679</v>
      </c>
      <c r="I36" s="39">
        <f>D105</f>
        <v>45678</v>
      </c>
      <c r="J36" s="121"/>
      <c r="K36" s="121"/>
      <c r="AN36">
        <v>32</v>
      </c>
      <c r="AO36" t="s">
        <v>101</v>
      </c>
      <c r="AP36" t="s">
        <v>127</v>
      </c>
      <c r="AQ36" t="s">
        <v>161</v>
      </c>
      <c r="AR36" t="s">
        <v>202</v>
      </c>
    </row>
    <row r="37" spans="2:44">
      <c r="B37" t="s">
        <v>12</v>
      </c>
      <c r="C37" s="41" t="s">
        <v>42</v>
      </c>
      <c r="D37" s="32" t="s">
        <v>43</v>
      </c>
      <c r="E37" s="72">
        <f>INDEX($D$101:$J$100002, MATCH(E$36, $D$101:$D$100002, 0), 2)</f>
        <v>-1167900</v>
      </c>
      <c r="F37" s="73">
        <f>E37+INDEX($D$101:$J$100002, MATCH(F$36, $D$101:$D$100002, 0), 2)</f>
        <v>-892752</v>
      </c>
      <c r="G37" s="73">
        <f>F37+INDEX($D$101:$J$100002, MATCH(G$36, $D$101:$D$100002, 0), 2)</f>
        <v>-1510118</v>
      </c>
      <c r="H37" s="73">
        <f>G37+INDEX($D$101:$J$100002, MATCH(H$36, $D$101:$D$100002, 0), 2)</f>
        <v>-1160117</v>
      </c>
      <c r="I37" s="74">
        <f>H37+INDEX($D$101:$J$100002, MATCH(I$36, $D$101:$D$100002, 0), 2)</f>
        <v>-1333241</v>
      </c>
      <c r="J37" s="122"/>
      <c r="K37" s="122"/>
      <c r="AN37">
        <v>33</v>
      </c>
      <c r="AO37" t="s">
        <v>102</v>
      </c>
      <c r="AP37" t="s">
        <v>130</v>
      </c>
      <c r="AQ37" t="s">
        <v>162</v>
      </c>
      <c r="AR37" t="s">
        <v>203</v>
      </c>
    </row>
    <row r="38" spans="2:44">
      <c r="B38" t="s">
        <v>12</v>
      </c>
      <c r="C38" s="41" t="s">
        <v>44</v>
      </c>
      <c r="D38" s="33" t="s">
        <v>45</v>
      </c>
      <c r="E38" s="75">
        <f>INDEX($D$101:$J$100002, MATCH(E$36, $D$101:$D$100002, 0), 3)</f>
        <v>29466</v>
      </c>
      <c r="F38" s="45">
        <f>E38+INDEX($D$101:$J$100002, MATCH(F$36, $D$101:$D$100002, 0), 3)</f>
        <v>97218</v>
      </c>
      <c r="G38" s="45">
        <f>F38+INDEX($D$101:$J$100002, MATCH(G$36, $D$101:$D$100002, 0), 3)</f>
        <v>-798</v>
      </c>
      <c r="H38" s="45">
        <f>G38+INDEX($D$101:$J$100002, MATCH(H$36, $D$101:$D$100002, 0), 3)</f>
        <v>18796</v>
      </c>
      <c r="I38" s="46">
        <f>H38+INDEX($D$101:$J$100002, MATCH(I$36, $D$101:$D$100002, 0), 3)</f>
        <v>-36039</v>
      </c>
      <c r="J38" s="122"/>
      <c r="K38" s="122"/>
    </row>
    <row r="39" spans="2:44">
      <c r="B39" t="s">
        <v>15</v>
      </c>
      <c r="C39" t="s">
        <v>16</v>
      </c>
      <c r="D39" s="33" t="s">
        <v>17</v>
      </c>
      <c r="E39" s="75">
        <f>INDEX($D$101:$J$100002, MATCH(E$36, $D$101:$D$100002, 0), 4) / 1000000</f>
        <v>-397862.5</v>
      </c>
      <c r="F39" s="45">
        <f>E39+INDEX($D$101:$J$100002, MATCH(F$36, $D$101:$D$100002, 0), 4) / 1000000</f>
        <v>-49403.474999999977</v>
      </c>
      <c r="G39" s="45">
        <f>F39+INDEX($D$101:$J$100002, MATCH(G$36, $D$101:$D$100002, 0), 4) / 1000000</f>
        <v>-594741.3125</v>
      </c>
      <c r="H39" s="45">
        <f>G39+INDEX($D$101:$J$100002, MATCH(H$36, $D$101:$D$100002, 0), 4) / 1000000</f>
        <v>-247486.71250000002</v>
      </c>
      <c r="I39" s="46">
        <f>H39+INDEX($D$101:$J$100002, MATCH(I$36, $D$101:$D$100002, 0), 4) / 1000000</f>
        <v>-256259.78750000003</v>
      </c>
      <c r="J39" s="122"/>
      <c r="K39" s="122"/>
    </row>
    <row r="40" spans="2:44">
      <c r="B40" t="s">
        <v>15</v>
      </c>
      <c r="C40" t="s">
        <v>31</v>
      </c>
      <c r="D40" s="33" t="s">
        <v>229</v>
      </c>
      <c r="E40" s="75">
        <f>INDEX($D$101:$J$100002, MATCH(E$36, $D$101:$D$100002, 0), 5) / 1000000</f>
        <v>512084.98</v>
      </c>
      <c r="F40" s="45">
        <f>E40+INDEX($D$101:$J$100002, MATCH(F$36, $D$101:$D$100002, 0), 5) / 1000000</f>
        <v>-660680.29</v>
      </c>
      <c r="G40" s="45">
        <f>F40+INDEX($D$101:$J$100002, MATCH(G$36, $D$101:$D$100002, 0), 5) / 1000000</f>
        <v>1144529.27</v>
      </c>
      <c r="H40" s="45">
        <f>G40+INDEX($D$101:$J$100002, MATCH(H$36, $D$101:$D$100002, 0), 5) / 1000000</f>
        <v>1546049.58</v>
      </c>
      <c r="I40" s="46">
        <f>H40+INDEX($D$101:$J$100002, MATCH(I$36, $D$101:$D$100002, 0), 5) / 1000000</f>
        <v>2643730.16</v>
      </c>
      <c r="J40" s="122"/>
      <c r="K40" s="122"/>
    </row>
    <row r="41" spans="2:44">
      <c r="B41" t="s">
        <v>15</v>
      </c>
      <c r="C41" t="s">
        <v>46</v>
      </c>
      <c r="D41" s="33" t="s">
        <v>230</v>
      </c>
      <c r="E41" s="75">
        <f>INDEX($D$101:$J$100002, MATCH(E$36, $D$101:$D$100002, 0), 6) / 1000000</f>
        <v>618983.22</v>
      </c>
      <c r="F41" s="45">
        <f>E41+INDEX($D$101:$J$100002, MATCH(F$36, $D$101:$D$100002, 0), 6) / 1000000</f>
        <v>346829.76999999996</v>
      </c>
      <c r="G41" s="45">
        <f>F41+INDEX($D$101:$J$100002, MATCH(G$36, $D$101:$D$100002, 0), 6) / 1000000</f>
        <v>750607.86</v>
      </c>
      <c r="H41" s="45">
        <f>G41+INDEX($D$101:$J$100002, MATCH(H$36, $D$101:$D$100002, 0), 6) / 1000000</f>
        <v>513603.43</v>
      </c>
      <c r="I41" s="46">
        <f>H41+INDEX($D$101:$J$100002, MATCH(I$36, $D$101:$D$100002, 0), 6) / 1000000</f>
        <v>1712341.92</v>
      </c>
      <c r="J41" s="122"/>
      <c r="K41" s="122"/>
    </row>
    <row r="42" spans="2:44">
      <c r="B42" t="s">
        <v>231</v>
      </c>
      <c r="C42" t="s">
        <v>232</v>
      </c>
      <c r="D42" s="129" t="s">
        <v>233</v>
      </c>
      <c r="E42" s="130">
        <f>INDEX($D$101:$J$100002, MATCH(E$36, $D$101:$D$100002, 0), 7) / 1000000</f>
        <v>0</v>
      </c>
      <c r="F42" s="55">
        <f>E42+INDEX($D$101:$J$100002, MATCH(F$36, $D$101:$D$100002, 0), 7) / 1000000</f>
        <v>0</v>
      </c>
      <c r="G42" s="55">
        <f>F42+INDEX($D$101:$J$100002, MATCH(G$36, $D$101:$D$100002, 0), 7) / 1000000</f>
        <v>0</v>
      </c>
      <c r="H42" s="55">
        <f>G42+INDEX($D$101:$J$100002, MATCH(H$36, $D$101:$D$100002, 0), 7) / 1000000</f>
        <v>0</v>
      </c>
      <c r="I42" s="131">
        <f>H42+INDEX($D$101:$J$100002, MATCH(I$36, $D$101:$D$100002, 0), 7) / 1000000</f>
        <v>0</v>
      </c>
      <c r="J42" s="122"/>
      <c r="K42" s="122"/>
    </row>
    <row r="43" spans="2:44" ht="14.25" thickBot="1">
      <c r="D43" s="31" t="s">
        <v>207</v>
      </c>
      <c r="E43" s="76">
        <f>INDEX($AG$101:$AH$100002, MATCH(E$36,$AG$101:$AG$100002,0), 2) / 1000</f>
        <v>-168599.992</v>
      </c>
      <c r="F43" s="63">
        <f>E43+INDEX($AG$101:$AH$100002, MATCH(F$36,$AG$101:$AG$100002,0), 2) / 1000</f>
        <v>-51861.103000000003</v>
      </c>
      <c r="G43" s="63">
        <f>F43+INDEX($AG$101:$AH$100002, MATCH(G$36,$AG$101:$AG$100002,0), 2) / 1000</f>
        <v>444727.86300000001</v>
      </c>
      <c r="H43" s="63">
        <f>G43+INDEX($AG$101:$AH$100002, MATCH(H$36,$AG$101:$AG$100002,0), 2) / 1000</f>
        <v>514697.84</v>
      </c>
      <c r="I43" s="64">
        <f>H43+INDEX($AG$101:$AH$100002, MATCH(I$36,$AG$101:$AG$100002,0), 2) / 1000</f>
        <v>941530.826</v>
      </c>
      <c r="J43" s="122"/>
      <c r="K43" s="122"/>
    </row>
    <row r="44" spans="2:44" ht="14.25" thickBot="1">
      <c r="D44" s="133" t="s">
        <v>169</v>
      </c>
      <c r="E44" s="134"/>
      <c r="F44" s="134"/>
      <c r="G44" s="134"/>
      <c r="H44" s="37" t="s">
        <v>226</v>
      </c>
      <c r="I44" s="36">
        <f ca="1">$I$4</f>
        <v>45688</v>
      </c>
      <c r="J44" s="120"/>
      <c r="K44" s="120"/>
    </row>
    <row r="45" spans="2:44" ht="15.75" customHeight="1">
      <c r="D45" s="34" t="s">
        <v>210</v>
      </c>
      <c r="E45" s="24"/>
      <c r="F45" s="3"/>
      <c r="G45" s="3"/>
      <c r="H45" s="3"/>
      <c r="I45" s="19"/>
    </row>
    <row r="46" spans="2:44" hidden="1">
      <c r="D46" s="4"/>
      <c r="E46" s="25">
        <v>11</v>
      </c>
      <c r="F46" s="21">
        <v>23</v>
      </c>
      <c r="G46" s="21">
        <v>22</v>
      </c>
      <c r="H46" s="21">
        <v>18</v>
      </c>
      <c r="I46" s="22">
        <v>20</v>
      </c>
      <c r="J46" s="123"/>
      <c r="K46" s="123"/>
    </row>
    <row r="47" spans="2:44" hidden="1">
      <c r="D47" s="4"/>
      <c r="E47" s="26" t="str">
        <f>INDEX($AN$5:$AR$37,MATCH(E$46,$AN$5:$AN$37,0),2)</f>
        <v>미국</v>
      </c>
      <c r="F47" s="18" t="str">
        <f>INDEX($AN$5:$AR$37,MATCH(F$46,$AN$5:$AN$37,0),2)</f>
        <v>중국</v>
      </c>
      <c r="G47" s="18" t="str">
        <f>INDEX($AN$5:$AR$37,MATCH(G$46,$AN$5:$AN$37,0),2)</f>
        <v>일본</v>
      </c>
      <c r="H47" s="18" t="str">
        <f>INDEX($AN$5:$AR$37,MATCH(H$46,$AN$5:$AN$37,0),2)</f>
        <v>영국</v>
      </c>
      <c r="I47" s="20" t="str">
        <f>INDEX($AN$5:$AR$37,MATCH(I$46,$AN$5:$AN$37,0),2)</f>
        <v>인도</v>
      </c>
      <c r="J47" s="124"/>
      <c r="K47" s="124"/>
    </row>
    <row r="48" spans="2:44" hidden="1">
      <c r="D48" s="4"/>
      <c r="E48" s="26" t="str">
        <f>INDEX($AN$5:$AR$37,MATCH(E$46,$AN$5:$AN$37,0),4)</f>
        <v>DJI:DJI</v>
      </c>
      <c r="F48" s="23" t="str">
        <f>INDEX($AN$5:$AR$37,MATCH(F$46,$AN$5:$AN$37,0),4)</f>
        <v>SHS:000001</v>
      </c>
      <c r="G48" s="23" t="str">
        <f>INDEX($AN$5:$AR$37,MATCH(G$46,$AN$5:$AN$37,0),4)</f>
        <v>TSE:TSI01</v>
      </c>
      <c r="H48" s="23" t="str">
        <f>INDEX($AN$5:$AR$37,MATCH(H$46,$AN$5:$AN$37,0),4)</f>
        <v>LNS:FTSE100</v>
      </c>
      <c r="I48" s="27" t="str">
        <f>INDEX($AN$5:$AR$37,MATCH(I$46,$AN$5:$AN$37,0),4)</f>
        <v>INI:BSE30</v>
      </c>
      <c r="J48" s="124"/>
      <c r="K48" s="124"/>
    </row>
    <row r="49" spans="2:11" hidden="1">
      <c r="D49" s="4"/>
      <c r="E49" s="26" t="str">
        <f>INDEX($AN$5:$AR$37,MATCH(E$46,$AN$5:$AN$37,0),5)</f>
        <v>MSI:US</v>
      </c>
      <c r="F49" s="23" t="str">
        <f>INDEX($AN$5:$AR$37,MATCH(F$46,$AN$5:$AN$37,0),5)</f>
        <v>MSI:CN</v>
      </c>
      <c r="G49" s="23" t="str">
        <f>INDEX($AN$5:$AR$37,MATCH(G$46,$AN$5:$AN$37,0),5)</f>
        <v>MSI:JP</v>
      </c>
      <c r="H49" s="23" t="str">
        <f>INDEX($AN$5:$AR$37,MATCH(H$46,$AN$5:$AN$37,0),5)</f>
        <v>MSI:GB</v>
      </c>
      <c r="I49" s="27" t="str">
        <f>INDEX($AN$5:$AR$37,MATCH(I$46,$AN$5:$AN$37,0),5)</f>
        <v>MSI:IN</v>
      </c>
      <c r="J49" s="124"/>
      <c r="K49" s="124"/>
    </row>
    <row r="50" spans="2:11" hidden="1">
      <c r="D50" s="5"/>
      <c r="E50" s="28" t="str">
        <f>INDEX($AN$5:$AR$37,MATCH(E$46,$AN$5:$AN$37,0),3)</f>
        <v>US</v>
      </c>
      <c r="F50" s="29" t="str">
        <f>INDEX($AN$5:$AR$37,MATCH(F$46,$AN$5:$AN$37,0),3)</f>
        <v>RM</v>
      </c>
      <c r="G50" s="29" t="str">
        <f>INDEX($AN$5:$AR$37,MATCH(G$46,$AN$5:$AN$37,0),3)</f>
        <v>JP</v>
      </c>
      <c r="H50" s="29" t="str">
        <f>INDEX($AN$5:$AR$37,MATCH(H$46,$AN$5:$AN$37,0),3)</f>
        <v>GB</v>
      </c>
      <c r="I50" s="30" t="str">
        <f>INDEX($AN$5:$AR$37,MATCH(I$46,$AN$5:$AN$37,0),3)</f>
        <v>IN</v>
      </c>
      <c r="J50" s="124"/>
      <c r="K50" s="124"/>
    </row>
    <row r="51" spans="2:11">
      <c r="C51" t="s">
        <v>166</v>
      </c>
      <c r="D51" s="6" t="s">
        <v>168</v>
      </c>
      <c r="E51" s="77">
        <f ca="1">_xll.IMDP($C$51,E$48,"현재가",$I$44,"fill=true")</f>
        <v>44544.66</v>
      </c>
      <c r="F51" s="50">
        <f ca="1">_xll.IMDP($C$51,F$48,"현재가",$I$44,"fill=true")</f>
        <v>3250.6</v>
      </c>
      <c r="G51" s="50">
        <f ca="1">_xll.IMDP($C$51,G$48,"현재가",$I$44,"fill=true")</f>
        <v>2788.66</v>
      </c>
      <c r="H51" s="50">
        <f ca="1">_xll.IMDP($C$51,H$48,"현재가",$I$44,"fill=true")</f>
        <v>8673.9599999999991</v>
      </c>
      <c r="I51" s="51">
        <f ca="1">_xll.IMDP($C$51,I$48,"현재가",$I$44,"fill=true")</f>
        <v>77500.570000000007</v>
      </c>
      <c r="J51" s="125"/>
      <c r="K51" s="125"/>
    </row>
    <row r="52" spans="2:11">
      <c r="D52" s="5" t="s">
        <v>204</v>
      </c>
      <c r="E52" s="78">
        <f ca="1">_xll.IMDP($C$51,E$49,"현재가",$I$44,"fill=true")</f>
        <v>5783.64</v>
      </c>
      <c r="F52" s="60">
        <f ca="1">_xll.IMDP($C$51,F$49,"현재가",$I$44,"fill=true")</f>
        <v>64.897000000000006</v>
      </c>
      <c r="G52" s="60">
        <f ca="1">_xll.IMDP($C$51,G$49,"현재가",$I$44,"fill=true")</f>
        <v>3992.2710000000002</v>
      </c>
      <c r="H52" s="60">
        <f ca="1">_xll.IMDP($C$51,H$49,"현재가",$I$44,"fill=true")</f>
        <v>1279.652</v>
      </c>
      <c r="I52" s="79">
        <f ca="1">_xll.IMDP($C$51,I$49,"현재가",$I$44,"fill=true")</f>
        <v>986.85599999999999</v>
      </c>
      <c r="J52" s="126"/>
      <c r="K52" s="126"/>
    </row>
    <row r="53" spans="2:11">
      <c r="B53" t="s">
        <v>167</v>
      </c>
      <c r="C53" t="s">
        <v>163</v>
      </c>
      <c r="D53" s="7" t="s">
        <v>61</v>
      </c>
      <c r="E53" s="80" cm="1">
        <f t="array" aca="1" ref="E53" ca="1">IF( _xll.IMDP($B53,E$50&amp;$C53,"종가",$I$44,"fill=true") ="", NA(), _xll.IMDP($B53,E$50&amp;$C53,"종가",$I$44,"fill=true"))</f>
        <v>4.1509999999999998</v>
      </c>
      <c r="F53" s="81" cm="1">
        <f t="array" aca="1" ref="F53" ca="1">IF( _xll.IMDP($B53,F$50&amp;$C53,"종가",$I$44,"fill=true") ="", NA(), _xll.IMDP($B53,F$50&amp;$C53,"종가",$I$44,"fill=true"))</f>
        <v>1.2386999999999999</v>
      </c>
      <c r="G53" s="81" cm="1">
        <f t="array" aca="1" ref="G53" ca="1">IF( _xll.IMDP($B53,G$50&amp;$C53,"종가",$I$44,"fill=true") ="", NA(), _xll.IMDP($B53,G$50&amp;$C53,"종가",$I$44,"fill=true"))</f>
        <v>0.54400000000000004</v>
      </c>
      <c r="H53" s="81" cm="1">
        <f t="array" aca="1" ref="H53" ca="1">IF( _xll.IMDP($B53,H$50&amp;$C53,"종가",$I$44,"fill=true") ="", NA(), _xll.IMDP($B53,H$50&amp;$C53,"종가",$I$44,"fill=true"))</f>
        <v>4.4137000000000004</v>
      </c>
      <c r="I53" s="82" cm="1">
        <f t="array" aca="1" ref="I53" ca="1">IF( _xll.IMDP($B53,I$50&amp;$C53,"종가",$I$44,"fill=true") ="", NA(), _xll.IMDP($B53,I$50&amp;$C53,"종가",$I$44,"fill=true"))</f>
        <v>6.649</v>
      </c>
      <c r="J53" s="127"/>
      <c r="K53" s="127"/>
    </row>
    <row r="54" spans="2:11">
      <c r="B54" t="s">
        <v>167</v>
      </c>
      <c r="C54" t="s">
        <v>164</v>
      </c>
      <c r="D54" s="4" t="s">
        <v>62</v>
      </c>
      <c r="E54" s="83" cm="1">
        <f t="array" aca="1" ref="E54" ca="1">IF( _xll.IMDP($B54,E$50&amp;$C54,"종가",$I$44,"fill=true") ="", NA(), _xll.IMDP($B54,E$50&amp;$C54,"종가",$I$44,"fill=true"))</f>
        <v>4.2480000000000002</v>
      </c>
      <c r="F54" s="68" cm="1">
        <f t="array" aca="1" ref="F54" ca="1">IF( _xll.IMDP($B54,F$50&amp;$C54,"종가",$I$44,"fill=true") ="", NA(), _xll.IMDP($B54,F$50&amp;$C54,"종가",$I$44,"fill=true"))</f>
        <v>1.3049999999999999</v>
      </c>
      <c r="G54" s="68" cm="1">
        <f t="array" aca="1" ref="G54" ca="1">IF( _xll.IMDP($B54,G$50&amp;$C54,"종가",$I$44,"fill=true") ="", NA(), _xll.IMDP($B54,G$50&amp;$C54,"종가",$I$44,"fill=true"))</f>
        <v>0.74</v>
      </c>
      <c r="H54" s="68" cm="1">
        <f t="array" aca="1" ref="H54" ca="1">IF( _xll.IMDP($B54,H$50&amp;$C54,"종가",$I$44,"fill=true") ="", NA(), _xll.IMDP($B54,H$50&amp;$C54,"종가",$I$44,"fill=true"))</f>
        <v>4.0426000000000002</v>
      </c>
      <c r="I54" s="84" t="e" cm="1">
        <f t="array" aca="1" ref="I54" ca="1">IF( _xll.IMDP($B54,I$50&amp;$C54,"종가",$I$44,"fill=true") ="", NA(), _xll.IMDP($B54,I$50&amp;$C54,"종가",$I$44,"fill=true"))</f>
        <v>#N/A</v>
      </c>
      <c r="J54" s="128"/>
      <c r="K54" s="128"/>
    </row>
    <row r="55" spans="2:11">
      <c r="B55" t="s">
        <v>167</v>
      </c>
      <c r="C55" t="s">
        <v>165</v>
      </c>
      <c r="D55" s="4" t="s">
        <v>63</v>
      </c>
      <c r="E55" s="83" cm="1">
        <f t="array" aca="1" ref="E55" ca="1">IF( _xll.IMDP($B55,E$50&amp;$C55,"종가",$I$44,"fill=true") ="", NA(), _xll.IMDP($B55,E$50&amp;$C55,"종가",$I$44,"fill=true"))</f>
        <v>4.3330000000000002</v>
      </c>
      <c r="F55" s="68" cm="1">
        <f t="array" aca="1" ref="F55" ca="1">IF( _xll.IMDP($B55,F$50&amp;$C55,"종가",$I$44,"fill=true") ="", NA(), _xll.IMDP($B55,F$50&amp;$C55,"종가",$I$44,"fill=true"))</f>
        <v>1.417</v>
      </c>
      <c r="G55" s="68" cm="1">
        <f t="array" aca="1" ref="G55" ca="1">IF( _xll.IMDP($B55,G$50&amp;$C55,"종가",$I$44,"fill=true") ="", NA(), _xll.IMDP($B55,G$50&amp;$C55,"종가",$I$44,"fill=true"))</f>
        <v>0.90739999999999998</v>
      </c>
      <c r="H55" s="68" cm="1">
        <f t="array" aca="1" ref="H55" ca="1">IF( _xll.IMDP($B55,H$50&amp;$C55,"종가",$I$44,"fill=true") ="", NA(), _xll.IMDP($B55,H$50&amp;$C55,"종가",$I$44,"fill=true"))</f>
        <v>4.2427000000000001</v>
      </c>
      <c r="I55" s="69" cm="1">
        <f t="array" aca="1" ref="I55" ca="1">IF( _xll.IMDP($B55,I$50&amp;$C55,"종가",$I$44,"fill=true") ="", NA(), _xll.IMDP($B55,I$50&amp;$C55,"종가",$I$44,"fill=true"))</f>
        <v>6.6890000000000001</v>
      </c>
      <c r="J55" s="127"/>
      <c r="K55" s="127"/>
    </row>
    <row r="56" spans="2:11" ht="14.25" thickBot="1">
      <c r="B56" t="s">
        <v>167</v>
      </c>
      <c r="C56" t="s">
        <v>64</v>
      </c>
      <c r="D56" s="13" t="s">
        <v>64</v>
      </c>
      <c r="E56" s="85" cm="1">
        <f t="array" aca="1" ref="E56" ca="1">IF( _xll.IMDP($B56,E$50&amp;$C56,"종가",$I$44,"fill=true") ="", NA(), _xll.IMDP($B56,E$50&amp;$C56,"종가",$I$44,"fill=true"))</f>
        <v>4.5430000000000001</v>
      </c>
      <c r="F56" s="86" cm="1">
        <f t="array" aca="1" ref="F56" ca="1">IF( _xll.IMDP($B56,F$50&amp;$C56,"종가",$I$44,"fill=true") ="", NA(), _xll.IMDP($B56,F$50&amp;$C56,"종가",$I$44,"fill=true"))</f>
        <v>1.6458999999999999</v>
      </c>
      <c r="G56" s="86" cm="1">
        <f t="array" aca="1" ref="G56" ca="1">IF( _xll.IMDP($B56,G$50&amp;$C56,"종가",$I$44,"fill=true") ="", NA(), _xll.IMDP($B56,G$50&amp;$C56,"종가",$I$44,"fill=true"))</f>
        <v>1.2419</v>
      </c>
      <c r="H56" s="86" cm="1">
        <f t="array" aca="1" ref="H56" ca="1">IF( _xll.IMDP($B56,H$50&amp;$C56,"종가",$I$44,"fill=true") ="", NA(), _xll.IMDP($B56,H$50&amp;$C56,"종가",$I$44,"fill=true"))</f>
        <v>4.5434999999999999</v>
      </c>
      <c r="I56" s="87" cm="1">
        <f t="array" aca="1" ref="I56" ca="1">IF( _xll.IMDP($B56,I$50&amp;$C56,"종가",$I$44,"fill=true") ="", NA(), _xll.IMDP($B56,I$50&amp;$C56,"종가",$I$44,"fill=true"))</f>
        <v>6.7380000000000004</v>
      </c>
      <c r="J56" s="127"/>
      <c r="K56" s="127"/>
    </row>
    <row r="57" spans="2:11"/>
    <row r="58" spans="2:11"/>
    <row r="96" spans="17:22" hidden="1">
      <c r="Q96" t="b">
        <v>1</v>
      </c>
      <c r="S96" t="b">
        <v>1</v>
      </c>
      <c r="T96" t="b">
        <v>1</v>
      </c>
      <c r="U96" t="b">
        <v>1</v>
      </c>
      <c r="V96" t="b">
        <v>1</v>
      </c>
    </row>
    <row r="97" spans="2:40" hidden="1">
      <c r="D97" t="s">
        <v>47</v>
      </c>
      <c r="F97" t="s">
        <v>48</v>
      </c>
      <c r="H97" t="s">
        <v>49</v>
      </c>
      <c r="I97">
        <v>9999</v>
      </c>
      <c r="L97" t="s">
        <v>50</v>
      </c>
      <c r="M97" t="s">
        <v>206</v>
      </c>
      <c r="N97" t="s">
        <v>51</v>
      </c>
      <c r="O97" t="s">
        <v>52</v>
      </c>
      <c r="P97" t="s">
        <v>53</v>
      </c>
      <c r="Q97">
        <v>0</v>
      </c>
      <c r="R97" t="s">
        <v>54</v>
      </c>
      <c r="S97" t="s">
        <v>55</v>
      </c>
      <c r="AI97">
        <v>2</v>
      </c>
    </row>
    <row r="98" spans="2:40" hidden="1">
      <c r="B98" s="41"/>
      <c r="D98" s="41" t="s">
        <v>208</v>
      </c>
      <c r="F98" s="41" t="s">
        <v>211</v>
      </c>
      <c r="G98" t="s">
        <v>212</v>
      </c>
      <c r="H98" t="s">
        <v>213</v>
      </c>
      <c r="I98" t="s">
        <v>214</v>
      </c>
      <c r="J98" t="s">
        <v>232</v>
      </c>
      <c r="K98" s="41" t="s">
        <v>4</v>
      </c>
      <c r="M98" s="41" t="s">
        <v>10</v>
      </c>
      <c r="N98" s="41" t="s">
        <v>4</v>
      </c>
      <c r="O98" t="s">
        <v>16</v>
      </c>
      <c r="P98" t="s">
        <v>31</v>
      </c>
      <c r="Q98" t="str">
        <f>IF(Q96=TRUE,$C$19,"")</f>
        <v>BONDKSDCAL11</v>
      </c>
      <c r="S98" t="str">
        <f>IF(S96=TRUE,$C$20,"")</f>
        <v>BONDKSDCAL12</v>
      </c>
      <c r="T98" t="str">
        <f>IF(T96=TRUE,$C$21,"")</f>
        <v>BONDKSDCAL13</v>
      </c>
      <c r="U98" t="str">
        <f>IF(U96=TRUE,$C$22,"")</f>
        <v>BONDKSDCAL07</v>
      </c>
      <c r="V98" t="str">
        <f>IF(V96=TRUE,$C$23,"")</f>
        <v>BONDKSDCAL08</v>
      </c>
      <c r="AD98" t="s">
        <v>212</v>
      </c>
      <c r="AF98" t="s">
        <v>213</v>
      </c>
      <c r="AG98" t="s">
        <v>57</v>
      </c>
      <c r="AI98" t="str">
        <f>E49</f>
        <v>MSI:US</v>
      </c>
      <c r="AK98" t="str">
        <f>F49</f>
        <v>MSI:CN</v>
      </c>
      <c r="AL98" t="str">
        <f>G49</f>
        <v>MSI:JP</v>
      </c>
      <c r="AM98" t="str">
        <f>H49</f>
        <v>MSI:GB</v>
      </c>
      <c r="AN98" t="str">
        <f>I49</f>
        <v>MSI:IN</v>
      </c>
    </row>
    <row r="99" spans="2:40" hidden="1">
      <c r="D99" t="str">
        <f ca="1">_xll.IMDH("IDX",D$98,D100:E100,$I$35-365,$I$35,$I$97,"Per="&amp;$M$97&amp;",Cycle=1,sort="&amp;$O$97&amp;",real=true,Bizday="&amp;$Q$97&amp;",Quote="&amp;$S$97&amp;",Pos=20,Orient=V,Title=KOSPI,DtFmt=1,TmFmt=1,unit=true")</f>
        <v>KOSPI</v>
      </c>
      <c r="F99" t="str">
        <f ca="1">_xll.IMDH("IDX",F$98,F100:F100,$I$35-365,$I$35,$I$97,"Per="&amp;$M$97&amp;",Cycle=1,sort="&amp;$O$97&amp;",real=true,Bizday="&amp;$Q$97&amp;",Quote="&amp;$S$97&amp;",Pos=20,Orient=V,Title=KOSDAQ,DtFmt=1,TmFmt=1,unit=true")</f>
        <v>KOSDAQ</v>
      </c>
      <c r="G99" t="str">
        <f ca="1">_xll.IMDH("FUT",G$98,G100:G100,$I$35-365,$I$35,$I$97,"Per="&amp;$M$97&amp;",Cycle=1,sort="&amp;$O$97&amp;",real=true,Bizday="&amp;$Q$97&amp;",Quote="&amp;$S$97&amp;",Pos=20,Orient=V,Title=K200F,DtFmt=1,TmFmt=1,unit=true")</f>
        <v>K200F</v>
      </c>
      <c r="H99" t="str">
        <f ca="1">_xll.IMDH("FUT",H$98,H100:H100,$I$35-365,$I$35,$I$97,"Per="&amp;$M$97&amp;",Cycle=1,sort="&amp;$O$97&amp;",real=true,Bizday="&amp;$Q$97&amp;",Quote="&amp;$S$97&amp;",Pos=20,Orient=V,Title=KTB,DtFmt=1,TmFmt=1,unit=true")</f>
        <v>KTB</v>
      </c>
      <c r="I99" t="str">
        <f ca="1">_xll.IMDH("FUT",I$98,I100:I100,$I$35-365,$I$35,$I$97,"Per="&amp;$M$97&amp;",Cycle=1,sort="&amp;$O$97&amp;",real=true,Bizday="&amp;$Q$97&amp;",Quote="&amp;$S$97&amp;",Pos=20,Orient=V,Title=LKTB,DtFmt=1,TmFmt=1,unit=true")</f>
        <v>LKTB</v>
      </c>
      <c r="J99" t="str">
        <f ca="1">_xll.IMDH("FUT",J$98,J100:J100,$I$35-365,$I$35,$I$97,"Per="&amp;$M$97&amp;",Cycle=1,sort="&amp;$O$97&amp;",real=true,Bizday="&amp;$Q$97&amp;",Quote="&amp;$S$97&amp;",Pos=20,Orient=V,Title=KTB30,DtFmt=1,TmFmt=1,unit=true")</f>
        <v>KTB30</v>
      </c>
      <c r="K99" t="str">
        <f ca="1">_xll.IMDH("IDX",K$98,K100:L100,$I$4-365,$I$4,$I$97,"Per="&amp;$M$97&amp;",Cycle=1,sort="&amp;$O$97&amp;",real=true,Bizday="&amp;$Q$97&amp;",Quote="&amp;$S$97&amp;",Pos=20,Orient=V,Title=KOSPI,DtFmt=1,TmFmt=1,unit=true")</f>
        <v>KOSPI</v>
      </c>
      <c r="M99" t="str">
        <f ca="1">_xll.IMDH("IDX",M$98,M100:M100,$I$4-365,$I$4,$I$97,"Per="&amp;$M$97&amp;",Cycle=1,sort="&amp;$O$97&amp;",real=true,Bizday="&amp;$Q$97&amp;",Quote="&amp;$S$97&amp;",Pos=20,Orient=V,Title=KOSDAQ,DtFmt=1,TmFmt=1,unit=true")</f>
        <v>KOSDAQ</v>
      </c>
      <c r="N99" t="str">
        <f ca="1">_xll.IMDH("IDX",N$98,N100:N100,$I$4-365,$I$4,$I$97,"Per="&amp;$M$97&amp;",Cycle=1,sort="&amp;$O$97&amp;",real=true,Bizday="&amp;$Q$97&amp;",Quote="&amp;$S$97&amp;",Pos=20,Orient=V,Title=KOSPI거래량,DtFmt=1,TmFmt=1,unit=true")</f>
        <v>KOSPI거래량</v>
      </c>
      <c r="O99" t="str">
        <f ca="1">_xll.IMDH("FUT",O$98,O100:O100,$I$4-365,$I$4,$I$97,"Per="&amp;$M$97&amp;",Cycle=1,sort="&amp;$O$97&amp;",real=true,Bizday="&amp;$Q$97&amp;",Quote="&amp;$S$97&amp;",Pos=20,Orient=V,Title=K200F,DtFmt=1,TmFmt=1,unit=true")</f>
        <v>K200F</v>
      </c>
      <c r="P99" t="str">
        <f ca="1">_xll.IMDH("FUT",P$98,P100:P100,$I$4-365,$I$4,$I$97,"Per="&amp;$M$97&amp;",Cycle=1,sort="&amp;$O$97&amp;",real=true,Bizday="&amp;$Q$97&amp;",Quote="&amp;$S$97&amp;",Pos=20,Orient=V,Title=KTB,DtFmt=1,TmFmt=1,unit=true")</f>
        <v>KTB</v>
      </c>
      <c r="Q99" t="str">
        <f ca="1">_xll.IMDH("IR",Q$98,Q100:R100,$I$4-365,$I$4,$I$97,"Per="&amp;$M$97&amp;",Cycle=1,sort="&amp;$O$97&amp;",real=true,Bizday="&amp;$Q$97&amp;",Quote="&amp;$S$97&amp;",Pos=20,Orient=V,Title=국고3Y,DtFmt=1,TmFmt=1,unit=true")</f>
        <v>국고3Y</v>
      </c>
      <c r="S99" t="str">
        <f ca="1">_xll.IMDH("IR",S$98,S100,$I$4-365,$I$4,$I$97,"Per="&amp;$M$97&amp;",Cycle=1,sort="&amp;$O$97&amp;",real=true,Bizday="&amp;$Q$97&amp;",Quote="&amp;$S$97&amp;",Pos=20,Orient=V,Title=국고5Y,DtFmt=1,TmFmt=1,unit=true")</f>
        <v>국고5Y</v>
      </c>
      <c r="T99" t="str">
        <f ca="1">_xll.IMDH("IR",T$98,T100,$I$4-365,$I$4,$I$97,"Per="&amp;$M$97&amp;",Cycle=1,sort="&amp;$O$97&amp;",real=O58:P59true,Bizday="&amp;$Q$97&amp;",Quote="&amp;$R$97&amp;",Pos=20,Orient=V,Title=국고10Y,DtFmt=1,TmFmt=1,unit=true")</f>
        <v>국고10Y</v>
      </c>
      <c r="U99" t="str">
        <f ca="1">_xll.IMDH("IR",U$98,U100,$I$4-365,$I$4,$I$97,"Per="&amp;$M$97&amp;",Cycle=1,sort="&amp;$O$97&amp;",real=true,Bizday="&amp;$Q$97&amp;",Quote="&amp;$S$97&amp;",Pos=20,Orient=V,Title=회사채AA-,DtFmt=1,TmFmt=1,unit=true")</f>
        <v>회사채AA-</v>
      </c>
      <c r="V99" t="str">
        <f ca="1">_xll.IMDH("IR",V$98,V100,$I$4-365,$I$4,$I$97,"Per="&amp;$M$97&amp;",Cycle=1,sort="&amp;$O$97&amp;",real=true,Bizday="&amp;$Q$97&amp;",Quote="&amp;$S$97&amp;",Pos=20,Orient=V,Title=CD91,DtFmt=1,TmFmt=1,unit=true")</f>
        <v>CD91</v>
      </c>
      <c r="X99" t="b">
        <v>1</v>
      </c>
      <c r="Y99" t="b">
        <v>1</v>
      </c>
      <c r="Z99" t="b">
        <v>1</v>
      </c>
      <c r="AA99" t="b">
        <v>1</v>
      </c>
      <c r="AB99" t="b">
        <v>1</v>
      </c>
      <c r="AD99" t="str">
        <f ca="1">_xll.IMDH("FUT",AD$98,AD100:AE100,$I$4-365,$I$4,$I$97,"Per="&amp;$M$97&amp;",Cycle=1,sort="&amp;$O$97&amp;",real=true,Bizday="&amp;$Q$97&amp;",Quote="&amp;$S$97&amp;",Pos=20,Orient=V,Title=K200(좌),DtFmt=1,TmFmt=1,unit=true")</f>
        <v>K200(좌)</v>
      </c>
      <c r="AF99" t="str">
        <f ca="1">_xll.IMDH("FUT",AF$98,AF100:AF100,$I$4-365,$I$4,$I$97,"Per="&amp;$M$97&amp;",Cycle=1,sort="&amp;$O$97&amp;",real=true,Bizday="&amp;$Q$97&amp;",Quote="&amp;$S$97&amp;",Pos=20,Orient=V,Title=KTB(우),DtFmt=1,TmFmt=1,unit=true")</f>
        <v>KTB(우)</v>
      </c>
      <c r="AG99" t="str">
        <f ca="1">_xll.IMDH("IR",AG$98,AG100:AH100,$I$35-365,$I$35,$I$97,"Per="&amp;$M$97&amp;",Cycle=1,sort="&amp;$O$97&amp;",real=true,Bizday="&amp;$Q$97&amp;",Quote="&amp;$S$97&amp;",Pos=20,Orient=V,Title=장외채권,DtFmt=1,TmFmt=1,unit=true")</f>
        <v>장외채권</v>
      </c>
      <c r="AI99" t="str">
        <f ca="1">_xll.IMDH("FRN",AI$98,AI100:AJ100,$I$44-365,$I$44,$I$97,"Per="&amp;$M$97&amp;",Cycle=1,sort="&amp;$O$97&amp;",real=true,Bizday="&amp;$AI$97&amp;",Quote="&amp;$S$97&amp;",Pos=20,Orient=V,Title="&amp;E47&amp;",DtFmt=1,TmFmt=1,unit=true")</f>
        <v>미국</v>
      </c>
      <c r="AK99" t="str">
        <f ca="1">_xll.IMDH("FRN",AK$98,AK100,$I$44-365,$I$44,$I$97,"Per="&amp;$M$97&amp;",Cycle=1,sort="&amp;$O$97&amp;",real=true,Bizday="&amp;$AI$97&amp;",Quote="&amp;$S$97&amp;",Pos=20,Orient=V,Title="&amp;F47&amp;",DtFmt=1,TmFmt=1,unit=true")</f>
        <v>중국</v>
      </c>
      <c r="AL99" t="str">
        <f ca="1">_xll.IMDH("FRN",AL$98,AL100:AL100,$I$44-365,$I$44,$I$97,"Per="&amp;$M$97&amp;",Cycle=1,sort="&amp;$O$97&amp;",real=true,Bizday="&amp;$AI$97&amp;",Quote="&amp;$S$97&amp;",Pos=20,Orient=V,Title="&amp;G47&amp;",DtFmt=1,TmFmt=1,unit=true")</f>
        <v>일본</v>
      </c>
      <c r="AM99" t="str">
        <f ca="1">_xll.IMDH("FRN",AM$98,AM100:AM100,$I$44-365,$I$44,$I$97,"Per="&amp;$M$97&amp;",Cycle=1,sort="&amp;$O$97&amp;",real=true,Bizday="&amp;$AI$97&amp;",Quote="&amp;$S$97&amp;",Pos=20,Orient=V,Title="&amp;H47&amp;",DtFmt=1,TmFmt=1,unit=true")</f>
        <v>영국</v>
      </c>
      <c r="AN99" t="str">
        <f ca="1">_xll.IMDH("FRN",AN$98,AN100:AN100,$I$44-365,$I$44,$I$97,"Per="&amp;$M$97&amp;",Cycle=1,sort="&amp;$O$97&amp;",real=true,Bizday="&amp;$AI$97&amp;",Quote="&amp;$S$97&amp;",Pos=20,Orient=V,Title="&amp;I47&amp;",DtFmt=1,TmFmt=1,unit=true")</f>
        <v>인도</v>
      </c>
    </row>
    <row r="100" spans="2:40" hidden="1">
      <c r="D100" t="s">
        <v>215</v>
      </c>
      <c r="E100" t="s">
        <v>216</v>
      </c>
      <c r="F100" t="s">
        <v>56</v>
      </c>
      <c r="G100" t="s">
        <v>56</v>
      </c>
      <c r="H100" t="s">
        <v>56</v>
      </c>
      <c r="I100" t="s">
        <v>56</v>
      </c>
      <c r="J100" t="s">
        <v>56</v>
      </c>
      <c r="K100" t="s">
        <v>215</v>
      </c>
      <c r="L100" t="s">
        <v>217</v>
      </c>
      <c r="M100" t="s">
        <v>217</v>
      </c>
      <c r="N100" t="s">
        <v>218</v>
      </c>
      <c r="O100" t="s">
        <v>217</v>
      </c>
      <c r="P100" t="s">
        <v>217</v>
      </c>
      <c r="Q100" t="s">
        <v>215</v>
      </c>
      <c r="R100" t="s">
        <v>219</v>
      </c>
      <c r="S100" t="s">
        <v>219</v>
      </c>
      <c r="T100" t="s">
        <v>219</v>
      </c>
      <c r="U100" t="s">
        <v>219</v>
      </c>
      <c r="V100" t="s">
        <v>219</v>
      </c>
      <c r="W100" t="s">
        <v>215</v>
      </c>
      <c r="X100" t="s">
        <v>5</v>
      </c>
      <c r="Y100" t="s">
        <v>220</v>
      </c>
      <c r="Z100" t="s">
        <v>221</v>
      </c>
      <c r="AA100" t="s">
        <v>222</v>
      </c>
      <c r="AB100" t="s">
        <v>223</v>
      </c>
      <c r="AD100" t="s">
        <v>215</v>
      </c>
      <c r="AE100" t="s">
        <v>217</v>
      </c>
      <c r="AF100" t="s">
        <v>217</v>
      </c>
      <c r="AG100" t="s">
        <v>215</v>
      </c>
      <c r="AH100" t="s">
        <v>224</v>
      </c>
      <c r="AI100" t="s">
        <v>215</v>
      </c>
      <c r="AJ100" t="s">
        <v>217</v>
      </c>
      <c r="AK100" t="s">
        <v>217</v>
      </c>
      <c r="AL100" t="s">
        <v>217</v>
      </c>
      <c r="AM100" t="s">
        <v>217</v>
      </c>
      <c r="AN100" t="s">
        <v>217</v>
      </c>
    </row>
    <row r="101" spans="2:40" hidden="1">
      <c r="D101" s="1">
        <v>45688</v>
      </c>
      <c r="E101">
        <v>-1167900</v>
      </c>
      <c r="F101">
        <v>29466</v>
      </c>
      <c r="G101">
        <v>-397862500000</v>
      </c>
      <c r="H101">
        <v>512084980000</v>
      </c>
      <c r="I101">
        <v>618983220000</v>
      </c>
      <c r="J101">
        <v>0</v>
      </c>
      <c r="K101" s="1">
        <v>45688</v>
      </c>
      <c r="L101">
        <v>2517.37</v>
      </c>
      <c r="M101">
        <v>728.29</v>
      </c>
      <c r="N101">
        <v>454403</v>
      </c>
      <c r="O101">
        <v>332.5</v>
      </c>
      <c r="P101">
        <v>106.88</v>
      </c>
      <c r="Q101" s="1">
        <v>45688</v>
      </c>
      <c r="R101">
        <v>2.573</v>
      </c>
      <c r="S101">
        <v>2.7010000000000001</v>
      </c>
      <c r="T101">
        <v>2.859</v>
      </c>
      <c r="U101">
        <v>3.2040000000000002</v>
      </c>
      <c r="V101">
        <v>3.03</v>
      </c>
      <c r="W101">
        <f t="shared" ref="W101:W164" si="0">D101</f>
        <v>45688</v>
      </c>
      <c r="X101">
        <f>IF($X$99=TRUE,SUM(E101:E$350),"")</f>
        <v>-3117375</v>
      </c>
      <c r="Y101">
        <f>IF($Y$99=TRUE,SUM(F101:F$350),"")</f>
        <v>1488467</v>
      </c>
      <c r="Z101">
        <f>IF($Z$99=TRUE,SUM(G101:G$350)/1000000,"")</f>
        <v>2509788.4325000001</v>
      </c>
      <c r="AA101">
        <f>IF($AA$99=TRUE,SUM(H101:H$350)/1000000,"")</f>
        <v>13976993.560000001</v>
      </c>
      <c r="AB101">
        <f>IF($AB$99=TRUE,SUM(AH101:AH$350)/1000,"")</f>
        <v>72610983.482999995</v>
      </c>
      <c r="AD101" s="1">
        <v>45688</v>
      </c>
      <c r="AE101">
        <v>332.5</v>
      </c>
      <c r="AF101">
        <v>106.88</v>
      </c>
      <c r="AG101" s="1">
        <v>45688</v>
      </c>
      <c r="AH101">
        <v>-168599992</v>
      </c>
      <c r="AI101" s="1">
        <v>45688</v>
      </c>
      <c r="AJ101">
        <v>5783.64</v>
      </c>
      <c r="AK101">
        <v>64.897000000000006</v>
      </c>
      <c r="AL101">
        <v>3992.2710000000002</v>
      </c>
      <c r="AM101">
        <v>1279.652</v>
      </c>
      <c r="AN101">
        <v>986.85599999999999</v>
      </c>
    </row>
    <row r="102" spans="2:40" hidden="1">
      <c r="D102" s="1">
        <v>45681</v>
      </c>
      <c r="E102">
        <v>275148</v>
      </c>
      <c r="F102">
        <v>67752</v>
      </c>
      <c r="G102">
        <v>348459025000</v>
      </c>
      <c r="H102">
        <v>-1172765270000</v>
      </c>
      <c r="I102">
        <v>-272153450000</v>
      </c>
      <c r="J102">
        <v>0</v>
      </c>
      <c r="K102" s="1">
        <v>45681</v>
      </c>
      <c r="L102">
        <v>2536.8000000000002</v>
      </c>
      <c r="M102">
        <v>728.74</v>
      </c>
      <c r="N102">
        <v>602014</v>
      </c>
      <c r="O102">
        <v>335.85</v>
      </c>
      <c r="P102">
        <v>106.91</v>
      </c>
      <c r="Q102" s="1">
        <v>45681</v>
      </c>
      <c r="R102">
        <v>2.57</v>
      </c>
      <c r="S102">
        <v>2.7040000000000002</v>
      </c>
      <c r="T102">
        <v>2.859</v>
      </c>
      <c r="U102">
        <v>3.21</v>
      </c>
      <c r="V102">
        <v>3.03</v>
      </c>
      <c r="W102">
        <f t="shared" si="0"/>
        <v>45681</v>
      </c>
      <c r="X102">
        <f>IF($X$99=TRUE,SUM(E102:E$350),"")</f>
        <v>-1949475</v>
      </c>
      <c r="Y102">
        <f>IF($Y$99=TRUE,SUM(F102:F$350),"")</f>
        <v>1459001</v>
      </c>
      <c r="Z102">
        <f>IF($Z$99=TRUE,SUM(G102:G$350)/1000000,"")</f>
        <v>2907650.9325000001</v>
      </c>
      <c r="AA102">
        <f>IF($AA$99=TRUE,SUM(H102:H$350)/1000000,"")</f>
        <v>13464908.58</v>
      </c>
      <c r="AB102">
        <f>IF($AB$99=TRUE,SUM(AH102:AH$350)/1000,"")</f>
        <v>72779583.474999994</v>
      </c>
      <c r="AD102" s="1">
        <v>45681</v>
      </c>
      <c r="AE102">
        <v>335.85</v>
      </c>
      <c r="AF102">
        <v>106.91</v>
      </c>
      <c r="AG102" s="1">
        <v>45681</v>
      </c>
      <c r="AH102">
        <v>116738889</v>
      </c>
      <c r="AI102" s="1">
        <v>45687</v>
      </c>
      <c r="AJ102">
        <v>5812.04</v>
      </c>
      <c r="AK102">
        <v>65.076999999999998</v>
      </c>
      <c r="AL102">
        <v>3997.529</v>
      </c>
      <c r="AM102">
        <v>1280.3219999999999</v>
      </c>
      <c r="AN102">
        <v>974.47299999999996</v>
      </c>
    </row>
    <row r="103" spans="2:40" hidden="1">
      <c r="D103" s="1">
        <v>45680</v>
      </c>
      <c r="E103">
        <v>-617366</v>
      </c>
      <c r="F103">
        <v>-98016</v>
      </c>
      <c r="G103">
        <v>-545337837500</v>
      </c>
      <c r="H103">
        <v>1805209560000</v>
      </c>
      <c r="I103">
        <v>403778090000</v>
      </c>
      <c r="J103">
        <v>0</v>
      </c>
      <c r="K103" s="1">
        <v>45680</v>
      </c>
      <c r="L103">
        <v>2515.4899999999998</v>
      </c>
      <c r="M103">
        <v>724.01</v>
      </c>
      <c r="N103">
        <v>609742</v>
      </c>
      <c r="O103">
        <v>334</v>
      </c>
      <c r="P103">
        <v>106.93</v>
      </c>
      <c r="Q103" s="1">
        <v>45680</v>
      </c>
      <c r="R103">
        <v>2.5779999999999998</v>
      </c>
      <c r="S103">
        <v>2.6949999999999998</v>
      </c>
      <c r="T103">
        <v>2.8370000000000002</v>
      </c>
      <c r="U103">
        <v>3.218</v>
      </c>
      <c r="V103">
        <v>3.03</v>
      </c>
      <c r="W103">
        <f t="shared" si="0"/>
        <v>45680</v>
      </c>
      <c r="X103">
        <f>IF($X$99=TRUE,SUM(E103:E$350),"")</f>
        <v>-2224623</v>
      </c>
      <c r="Y103">
        <f>IF($Y$99=TRUE,SUM(F103:F$350),"")</f>
        <v>1391249</v>
      </c>
      <c r="Z103">
        <f>IF($Z$99=TRUE,SUM(G103:G$350)/1000000,"")</f>
        <v>2559191.9075000002</v>
      </c>
      <c r="AA103">
        <f>IF($AA$99=TRUE,SUM(H103:H$350)/1000000,"")</f>
        <v>14637673.85</v>
      </c>
      <c r="AB103">
        <f>IF($AB$99=TRUE,SUM(AH103:AH$350)/1000,"")</f>
        <v>72662844.585999995</v>
      </c>
      <c r="AD103" s="1">
        <v>45680</v>
      </c>
      <c r="AE103">
        <v>334</v>
      </c>
      <c r="AF103">
        <v>106.93</v>
      </c>
      <c r="AG103" s="1">
        <v>45680</v>
      </c>
      <c r="AH103">
        <v>496588966</v>
      </c>
      <c r="AI103" s="1">
        <v>45686</v>
      </c>
      <c r="AJ103">
        <v>5779.2169999999996</v>
      </c>
      <c r="AK103">
        <v>64.924999999999997</v>
      </c>
      <c r="AL103">
        <v>3970.4450000000002</v>
      </c>
      <c r="AM103">
        <v>1264.309</v>
      </c>
      <c r="AN103">
        <v>972.44399999999996</v>
      </c>
    </row>
    <row r="104" spans="2:40" hidden="1">
      <c r="D104" s="1">
        <v>45679</v>
      </c>
      <c r="E104">
        <v>350001</v>
      </c>
      <c r="F104">
        <v>19594</v>
      </c>
      <c r="G104">
        <v>347254600000</v>
      </c>
      <c r="H104">
        <v>401520310000</v>
      </c>
      <c r="I104">
        <v>-237004430000</v>
      </c>
      <c r="J104">
        <v>0</v>
      </c>
      <c r="K104" s="1">
        <v>45679</v>
      </c>
      <c r="L104">
        <v>2547.06</v>
      </c>
      <c r="M104">
        <v>732.31</v>
      </c>
      <c r="N104">
        <v>583737</v>
      </c>
      <c r="O104">
        <v>338</v>
      </c>
      <c r="P104">
        <v>106.89</v>
      </c>
      <c r="Q104" s="1">
        <v>45679</v>
      </c>
      <c r="R104">
        <v>2.577</v>
      </c>
      <c r="S104">
        <v>2.69</v>
      </c>
      <c r="T104">
        <v>2.827</v>
      </c>
      <c r="U104">
        <v>3.2269999999999999</v>
      </c>
      <c r="V104">
        <v>3.03</v>
      </c>
      <c r="W104">
        <f t="shared" si="0"/>
        <v>45679</v>
      </c>
      <c r="X104">
        <f>IF($X$99=TRUE,SUM(E104:E$350),"")</f>
        <v>-1607257</v>
      </c>
      <c r="Y104">
        <f>IF($Y$99=TRUE,SUM(F104:F$350),"")</f>
        <v>1489265</v>
      </c>
      <c r="Z104">
        <f>IF($Z$99=TRUE,SUM(G104:G$350)/1000000,"")</f>
        <v>3104529.7450000001</v>
      </c>
      <c r="AA104">
        <f>IF($AA$99=TRUE,SUM(H104:H$350)/1000000,"")</f>
        <v>12832464.289999999</v>
      </c>
      <c r="AB104">
        <f>IF($AB$99=TRUE,SUM(AH104:AH$350)/1000,"")</f>
        <v>72166255.620000005</v>
      </c>
      <c r="AD104" s="1">
        <v>45679</v>
      </c>
      <c r="AE104">
        <v>338</v>
      </c>
      <c r="AF104">
        <v>106.89</v>
      </c>
      <c r="AG104" s="1">
        <v>45679</v>
      </c>
      <c r="AH104">
        <v>69969977</v>
      </c>
      <c r="AI104" s="1">
        <v>45685</v>
      </c>
      <c r="AJ104">
        <v>5805.9480000000003</v>
      </c>
      <c r="AK104">
        <v>64.933999999999997</v>
      </c>
      <c r="AL104">
        <v>3921.7449999999999</v>
      </c>
      <c r="AM104">
        <v>1260.502</v>
      </c>
      <c r="AN104">
        <v>959.77700000000004</v>
      </c>
    </row>
    <row r="105" spans="2:40" hidden="1">
      <c r="D105" s="1">
        <v>45678</v>
      </c>
      <c r="E105">
        <v>-173124</v>
      </c>
      <c r="F105">
        <v>-54835</v>
      </c>
      <c r="G105">
        <v>-8773075000</v>
      </c>
      <c r="H105">
        <v>1097680580000</v>
      </c>
      <c r="I105">
        <v>1198738490000</v>
      </c>
      <c r="J105">
        <v>0</v>
      </c>
      <c r="K105" s="1">
        <v>45678</v>
      </c>
      <c r="L105">
        <v>2518.0300000000002</v>
      </c>
      <c r="M105">
        <v>726.07</v>
      </c>
      <c r="N105">
        <v>572011</v>
      </c>
      <c r="O105">
        <v>334.05</v>
      </c>
      <c r="P105">
        <v>106.93</v>
      </c>
      <c r="Q105" s="1">
        <v>45678</v>
      </c>
      <c r="R105">
        <v>2.5790000000000002</v>
      </c>
      <c r="S105">
        <v>2.6779999999999999</v>
      </c>
      <c r="T105">
        <v>2.8180000000000001</v>
      </c>
      <c r="U105">
        <v>3.2269999999999999</v>
      </c>
      <c r="V105">
        <v>2.98</v>
      </c>
      <c r="W105">
        <f t="shared" si="0"/>
        <v>45678</v>
      </c>
      <c r="X105">
        <f>IF($X$99=TRUE,SUM(E105:E$350),"")</f>
        <v>-1957258</v>
      </c>
      <c r="Y105">
        <f>IF($Y$99=TRUE,SUM(F105:F$350),"")</f>
        <v>1469671</v>
      </c>
      <c r="Z105">
        <f>IF($Z$99=TRUE,SUM(G105:G$350)/1000000,"")</f>
        <v>2757275.145</v>
      </c>
      <c r="AA105">
        <f>IF($AA$99=TRUE,SUM(H105:H$350)/1000000,"")</f>
        <v>12430943.98</v>
      </c>
      <c r="AB105">
        <f>IF($AB$99=TRUE,SUM(AH105:AH$350)/1000,"")</f>
        <v>72096285.643000007</v>
      </c>
      <c r="AD105" s="1">
        <v>45678</v>
      </c>
      <c r="AE105">
        <v>334.05</v>
      </c>
      <c r="AF105">
        <v>106.93</v>
      </c>
      <c r="AG105" s="1">
        <v>45678</v>
      </c>
      <c r="AH105">
        <v>426832986</v>
      </c>
      <c r="AI105" s="1">
        <v>45684</v>
      </c>
      <c r="AJ105">
        <v>5750.817</v>
      </c>
      <c r="AK105">
        <v>64.754999999999995</v>
      </c>
      <c r="AL105">
        <v>3964.4340000000002</v>
      </c>
      <c r="AM105">
        <v>1260.521</v>
      </c>
      <c r="AN105">
        <v>958.32500000000005</v>
      </c>
    </row>
    <row r="106" spans="2:40" hidden="1">
      <c r="D106" s="1">
        <v>45677</v>
      </c>
      <c r="E106">
        <v>-416208</v>
      </c>
      <c r="F106">
        <v>-80632</v>
      </c>
      <c r="G106">
        <v>-103513387500</v>
      </c>
      <c r="H106">
        <v>251331270000</v>
      </c>
      <c r="I106">
        <v>977069860000</v>
      </c>
      <c r="J106">
        <v>0</v>
      </c>
      <c r="K106" s="1">
        <v>45677</v>
      </c>
      <c r="L106">
        <v>2520.0500000000002</v>
      </c>
      <c r="M106">
        <v>727.66</v>
      </c>
      <c r="N106">
        <v>437546</v>
      </c>
      <c r="O106">
        <v>333.95</v>
      </c>
      <c r="P106">
        <v>106.78</v>
      </c>
      <c r="Q106" s="1">
        <v>45677</v>
      </c>
      <c r="R106">
        <v>2.6230000000000002</v>
      </c>
      <c r="S106">
        <v>2.7149999999999999</v>
      </c>
      <c r="T106">
        <v>2.8679999999999999</v>
      </c>
      <c r="U106">
        <v>3.2679999999999998</v>
      </c>
      <c r="V106">
        <v>2.99</v>
      </c>
      <c r="W106">
        <f t="shared" si="0"/>
        <v>45677</v>
      </c>
      <c r="X106">
        <f>IF($X$99=TRUE,SUM(E106:E$350),"")</f>
        <v>-1784134</v>
      </c>
      <c r="Y106">
        <f>IF($Y$99=TRUE,SUM(F106:F$350),"")</f>
        <v>1524506</v>
      </c>
      <c r="Z106">
        <f>IF($Z$99=TRUE,SUM(G106:G$350)/1000000,"")</f>
        <v>2766048.22</v>
      </c>
      <c r="AA106">
        <f>IF($AA$99=TRUE,SUM(H106:H$350)/1000000,"")</f>
        <v>11333263.4</v>
      </c>
      <c r="AB106">
        <f>IF($AB$99=TRUE,SUM(AH106:AH$350)/1000,"")</f>
        <v>71669452.657000005</v>
      </c>
      <c r="AD106" s="1">
        <v>45677</v>
      </c>
      <c r="AE106">
        <v>333.95</v>
      </c>
      <c r="AF106">
        <v>106.78</v>
      </c>
      <c r="AG106" s="1">
        <v>45677</v>
      </c>
      <c r="AH106">
        <v>246390812</v>
      </c>
      <c r="AI106" s="1">
        <v>45683</v>
      </c>
      <c r="AJ106">
        <v>5838.1589999999997</v>
      </c>
      <c r="AK106">
        <v>64.198999999999998</v>
      </c>
      <c r="AL106">
        <v>3925.7660000000001</v>
      </c>
      <c r="AM106">
        <v>1260.674</v>
      </c>
      <c r="AN106">
        <v>976.77200000000005</v>
      </c>
    </row>
    <row r="107" spans="2:40" hidden="1">
      <c r="D107" s="1">
        <v>45674</v>
      </c>
      <c r="E107">
        <v>-233065</v>
      </c>
      <c r="F107">
        <v>-77030</v>
      </c>
      <c r="G107">
        <v>-135542712500</v>
      </c>
      <c r="H107">
        <v>1793202640000</v>
      </c>
      <c r="I107">
        <v>301021700000</v>
      </c>
      <c r="J107">
        <v>0</v>
      </c>
      <c r="K107" s="1">
        <v>45674</v>
      </c>
      <c r="L107">
        <v>2523.5500000000002</v>
      </c>
      <c r="M107">
        <v>724.69</v>
      </c>
      <c r="N107">
        <v>445884</v>
      </c>
      <c r="O107">
        <v>334.35</v>
      </c>
      <c r="P107">
        <v>106.85</v>
      </c>
      <c r="Q107" s="1">
        <v>45674</v>
      </c>
      <c r="R107">
        <v>2.5880000000000001</v>
      </c>
      <c r="S107">
        <v>2.6880000000000002</v>
      </c>
      <c r="T107">
        <v>2.8130000000000002</v>
      </c>
      <c r="U107">
        <v>3.2410000000000001</v>
      </c>
      <c r="V107">
        <v>2.99</v>
      </c>
      <c r="W107">
        <f t="shared" si="0"/>
        <v>45674</v>
      </c>
      <c r="X107">
        <f>IF($X$99=TRUE,SUM(E107:E$350),"")</f>
        <v>-1367926</v>
      </c>
      <c r="Y107">
        <f>IF($Y$99=TRUE,SUM(F107:F$350),"")</f>
        <v>1605138</v>
      </c>
      <c r="Z107">
        <f>IF($Z$99=TRUE,SUM(G107:G$350)/1000000,"")</f>
        <v>2869561.6074999999</v>
      </c>
      <c r="AA107">
        <f>IF($AA$99=TRUE,SUM(H107:H$350)/1000000,"")</f>
        <v>11081932.130000001</v>
      </c>
      <c r="AB107">
        <f>IF($AB$99=TRUE,SUM(AH107:AH$350)/1000,"")</f>
        <v>71423061.844999999</v>
      </c>
      <c r="AD107" s="1">
        <v>45674</v>
      </c>
      <c r="AE107">
        <v>334.35</v>
      </c>
      <c r="AF107">
        <v>106.85</v>
      </c>
      <c r="AG107" s="1">
        <v>45674</v>
      </c>
      <c r="AH107">
        <v>172111264</v>
      </c>
      <c r="AI107" s="1">
        <v>45682</v>
      </c>
      <c r="AJ107">
        <v>5838.1589999999997</v>
      </c>
      <c r="AK107">
        <v>64.198999999999998</v>
      </c>
      <c r="AL107">
        <v>3925.7660000000001</v>
      </c>
      <c r="AM107">
        <v>1260.674</v>
      </c>
      <c r="AN107">
        <v>976.77200000000005</v>
      </c>
    </row>
    <row r="108" spans="2:40" hidden="1">
      <c r="D108" s="1">
        <v>45673</v>
      </c>
      <c r="E108">
        <v>624435</v>
      </c>
      <c r="F108">
        <v>226989</v>
      </c>
      <c r="G108">
        <v>149183837500</v>
      </c>
      <c r="H108">
        <v>-578675670000</v>
      </c>
      <c r="I108">
        <v>1350708790000</v>
      </c>
      <c r="J108">
        <v>0</v>
      </c>
      <c r="K108" s="1">
        <v>45673</v>
      </c>
      <c r="L108">
        <v>2527.4899999999998</v>
      </c>
      <c r="M108">
        <v>724.24</v>
      </c>
      <c r="N108">
        <v>451062</v>
      </c>
      <c r="O108">
        <v>335.45</v>
      </c>
      <c r="P108">
        <v>106.7</v>
      </c>
      <c r="Q108" s="1">
        <v>45673</v>
      </c>
      <c r="R108">
        <v>2.6259999999999999</v>
      </c>
      <c r="S108">
        <v>2.7229999999999999</v>
      </c>
      <c r="T108">
        <v>2.802</v>
      </c>
      <c r="U108">
        <v>3.2759999999999998</v>
      </c>
      <c r="V108">
        <v>2.99</v>
      </c>
      <c r="W108">
        <f t="shared" si="0"/>
        <v>45673</v>
      </c>
      <c r="X108">
        <f>IF($X$99=TRUE,SUM(E108:E$350),"")</f>
        <v>-1134861</v>
      </c>
      <c r="Y108">
        <f>IF($Y$99=TRUE,SUM(F108:F$350),"")</f>
        <v>1682168</v>
      </c>
      <c r="Z108">
        <f>IF($Z$99=TRUE,SUM(G108:G$350)/1000000,"")</f>
        <v>3005104.32</v>
      </c>
      <c r="AA108">
        <f>IF($AA$99=TRUE,SUM(H108:H$350)/1000000,"")</f>
        <v>9288729.4900000002</v>
      </c>
      <c r="AB108">
        <f>IF($AB$99=TRUE,SUM(AH108:AH$350)/1000,"")</f>
        <v>71250950.581</v>
      </c>
      <c r="AD108" s="1">
        <v>45673</v>
      </c>
      <c r="AE108">
        <v>335.45</v>
      </c>
      <c r="AF108">
        <v>106.7</v>
      </c>
      <c r="AG108" s="1">
        <v>45673</v>
      </c>
      <c r="AH108">
        <v>-802090382</v>
      </c>
      <c r="AI108" s="1">
        <v>45681</v>
      </c>
      <c r="AJ108">
        <v>5838.1589999999997</v>
      </c>
      <c r="AK108">
        <v>64.198999999999998</v>
      </c>
      <c r="AL108">
        <v>3925.7660000000001</v>
      </c>
      <c r="AM108">
        <v>1260.674</v>
      </c>
      <c r="AN108">
        <v>976.77200000000005</v>
      </c>
    </row>
    <row r="109" spans="2:40" hidden="1">
      <c r="D109" s="1">
        <v>45672</v>
      </c>
      <c r="E109">
        <v>56139</v>
      </c>
      <c r="F109">
        <v>-178020</v>
      </c>
      <c r="G109">
        <v>-353156125000</v>
      </c>
      <c r="H109">
        <v>-267684450000</v>
      </c>
      <c r="I109">
        <v>-857739680000</v>
      </c>
      <c r="J109">
        <v>0</v>
      </c>
      <c r="K109" s="1">
        <v>45672</v>
      </c>
      <c r="L109">
        <v>2496.81</v>
      </c>
      <c r="M109">
        <v>711.61</v>
      </c>
      <c r="N109">
        <v>538534</v>
      </c>
      <c r="O109">
        <v>330.25</v>
      </c>
      <c r="P109">
        <v>106.52</v>
      </c>
      <c r="Q109" s="1">
        <v>45672</v>
      </c>
      <c r="R109">
        <v>2.6749999999999998</v>
      </c>
      <c r="S109">
        <v>2.774</v>
      </c>
      <c r="T109">
        <v>2.86</v>
      </c>
      <c r="U109">
        <v>3.3149999999999999</v>
      </c>
      <c r="V109">
        <v>2.99</v>
      </c>
      <c r="W109">
        <f t="shared" si="0"/>
        <v>45672</v>
      </c>
      <c r="X109">
        <f>IF($X$99=TRUE,SUM(E109:E$350),"")</f>
        <v>-1759296</v>
      </c>
      <c r="Y109">
        <f>IF($Y$99=TRUE,SUM(F109:F$350),"")</f>
        <v>1455179</v>
      </c>
      <c r="Z109">
        <f>IF($Z$99=TRUE,SUM(G109:G$350)/1000000,"")</f>
        <v>2855920.4824999999</v>
      </c>
      <c r="AA109">
        <f>IF($AA$99=TRUE,SUM(H109:H$350)/1000000,"")</f>
        <v>9867405.1600000001</v>
      </c>
      <c r="AB109">
        <f>IF($AB$99=TRUE,SUM(AH109:AH$350)/1000,"")</f>
        <v>72053040.963</v>
      </c>
      <c r="AD109" s="1">
        <v>45672</v>
      </c>
      <c r="AE109">
        <v>330.25</v>
      </c>
      <c r="AF109">
        <v>106.52</v>
      </c>
      <c r="AG109" s="1">
        <v>45672</v>
      </c>
      <c r="AH109">
        <v>106673604</v>
      </c>
      <c r="AI109" s="1">
        <v>45680</v>
      </c>
      <c r="AJ109">
        <v>5854.6629999999996</v>
      </c>
      <c r="AK109">
        <v>62.795000000000002</v>
      </c>
      <c r="AL109">
        <v>3917.9140000000002</v>
      </c>
      <c r="AM109">
        <v>1253.8150000000001</v>
      </c>
      <c r="AN109">
        <v>981.98199999999997</v>
      </c>
    </row>
    <row r="110" spans="2:40" hidden="1">
      <c r="D110" s="1">
        <v>45671</v>
      </c>
      <c r="E110">
        <v>-294644</v>
      </c>
      <c r="F110">
        <v>77976</v>
      </c>
      <c r="G110">
        <v>-232875175000</v>
      </c>
      <c r="H110">
        <v>122134620000</v>
      </c>
      <c r="I110">
        <v>-349941290000</v>
      </c>
      <c r="J110">
        <v>0</v>
      </c>
      <c r="K110" s="1">
        <v>45671</v>
      </c>
      <c r="L110">
        <v>2497.4</v>
      </c>
      <c r="M110">
        <v>718.04</v>
      </c>
      <c r="N110">
        <v>414487</v>
      </c>
      <c r="O110">
        <v>330.95</v>
      </c>
      <c r="P110">
        <v>106.63</v>
      </c>
      <c r="Q110" s="1">
        <v>45671</v>
      </c>
      <c r="R110">
        <v>2.6459999999999999</v>
      </c>
      <c r="S110">
        <v>2.7360000000000002</v>
      </c>
      <c r="T110">
        <v>2.8410000000000002</v>
      </c>
      <c r="U110">
        <v>3.2919999999999998</v>
      </c>
      <c r="V110">
        <v>3</v>
      </c>
      <c r="W110">
        <f t="shared" si="0"/>
        <v>45671</v>
      </c>
      <c r="X110">
        <f>IF($X$99=TRUE,SUM(E110:E$350),"")</f>
        <v>-1815435</v>
      </c>
      <c r="Y110">
        <f>IF($Y$99=TRUE,SUM(F110:F$350),"")</f>
        <v>1633199</v>
      </c>
      <c r="Z110">
        <f>IF($Z$99=TRUE,SUM(G110:G$350)/1000000,"")</f>
        <v>3209076.6074999999</v>
      </c>
      <c r="AA110">
        <f>IF($AA$99=TRUE,SUM(H110:H$350)/1000000,"")</f>
        <v>10135089.609999999</v>
      </c>
      <c r="AB110">
        <f>IF($AB$99=TRUE,SUM(AH110:AH$350)/1000,"")</f>
        <v>71946367.358999997</v>
      </c>
      <c r="AD110" s="1">
        <v>45671</v>
      </c>
      <c r="AE110">
        <v>330.95</v>
      </c>
      <c r="AF110">
        <v>106.63</v>
      </c>
      <c r="AG110" s="1">
        <v>45671</v>
      </c>
      <c r="AH110">
        <v>215241265</v>
      </c>
      <c r="AI110" s="1">
        <v>45679</v>
      </c>
      <c r="AJ110">
        <v>5823.7790000000005</v>
      </c>
      <c r="AK110">
        <v>62.823</v>
      </c>
      <c r="AL110">
        <v>3886.1</v>
      </c>
      <c r="AM110">
        <v>1250.0630000000001</v>
      </c>
      <c r="AN110">
        <v>977.51499999999999</v>
      </c>
    </row>
    <row r="111" spans="2:40" hidden="1">
      <c r="D111" s="1">
        <v>45670</v>
      </c>
      <c r="E111">
        <v>-871744</v>
      </c>
      <c r="F111">
        <v>-36656</v>
      </c>
      <c r="G111">
        <v>-435147587500</v>
      </c>
      <c r="H111">
        <v>-537004090000</v>
      </c>
      <c r="I111">
        <v>325149560000</v>
      </c>
      <c r="J111">
        <v>0</v>
      </c>
      <c r="K111" s="1">
        <v>45670</v>
      </c>
      <c r="L111">
        <v>2489.56</v>
      </c>
      <c r="M111">
        <v>708.21</v>
      </c>
      <c r="N111">
        <v>578565</v>
      </c>
      <c r="O111">
        <v>329.45</v>
      </c>
      <c r="P111">
        <v>106.55</v>
      </c>
      <c r="Q111" s="1">
        <v>45670</v>
      </c>
      <c r="R111">
        <v>2.6640000000000001</v>
      </c>
      <c r="S111">
        <v>2.746</v>
      </c>
      <c r="T111">
        <v>2.871</v>
      </c>
      <c r="U111">
        <v>3.306</v>
      </c>
      <c r="V111">
        <v>3</v>
      </c>
      <c r="W111">
        <f t="shared" si="0"/>
        <v>45670</v>
      </c>
      <c r="X111">
        <f>IF($X$99=TRUE,SUM(E111:E$350),"")</f>
        <v>-1520791</v>
      </c>
      <c r="Y111">
        <f>IF($Y$99=TRUE,SUM(F111:F$350),"")</f>
        <v>1555223</v>
      </c>
      <c r="Z111">
        <f>IF($Z$99=TRUE,SUM(G111:G$350)/1000000,"")</f>
        <v>3441951.7825000002</v>
      </c>
      <c r="AA111">
        <f>IF($AA$99=TRUE,SUM(H111:H$350)/1000000,"")</f>
        <v>10012954.99</v>
      </c>
      <c r="AB111">
        <f>IF($AB$99=TRUE,SUM(AH111:AH$350)/1000,"")</f>
        <v>71731126.093999997</v>
      </c>
      <c r="AD111" s="1">
        <v>45670</v>
      </c>
      <c r="AE111">
        <v>329.45</v>
      </c>
      <c r="AF111">
        <v>106.55</v>
      </c>
      <c r="AG111" s="1">
        <v>45670</v>
      </c>
      <c r="AH111">
        <v>8003169</v>
      </c>
      <c r="AI111" s="1">
        <v>45678</v>
      </c>
      <c r="AJ111">
        <v>5789.0010000000002</v>
      </c>
      <c r="AK111">
        <v>63.941000000000003</v>
      </c>
      <c r="AL111">
        <v>3875.598</v>
      </c>
      <c r="AM111">
        <v>1249.204</v>
      </c>
      <c r="AN111">
        <v>974.07600000000002</v>
      </c>
    </row>
    <row r="112" spans="2:40" hidden="1">
      <c r="D112" s="1">
        <v>45667</v>
      </c>
      <c r="E112">
        <v>-1560</v>
      </c>
      <c r="F112">
        <v>-122231</v>
      </c>
      <c r="G112">
        <v>-142103450000</v>
      </c>
      <c r="H112">
        <v>-97133950000</v>
      </c>
      <c r="I112">
        <v>-227687470000</v>
      </c>
      <c r="J112">
        <v>0</v>
      </c>
      <c r="K112" s="1">
        <v>45667</v>
      </c>
      <c r="L112">
        <v>2515.7800000000002</v>
      </c>
      <c r="M112">
        <v>717.89</v>
      </c>
      <c r="N112">
        <v>377586</v>
      </c>
      <c r="O112">
        <v>334.4</v>
      </c>
      <c r="P112">
        <v>106.82</v>
      </c>
      <c r="Q112" s="1">
        <v>45667</v>
      </c>
      <c r="R112">
        <v>2.5609999999999999</v>
      </c>
      <c r="S112">
        <v>2.6840000000000002</v>
      </c>
      <c r="T112">
        <v>2.8370000000000002</v>
      </c>
      <c r="U112">
        <v>3.22</v>
      </c>
      <c r="V112">
        <v>3</v>
      </c>
      <c r="W112">
        <f t="shared" si="0"/>
        <v>45667</v>
      </c>
      <c r="X112">
        <f>IF($X$99=TRUE,SUM(E112:E$350),"")</f>
        <v>-649047</v>
      </c>
      <c r="Y112">
        <f>IF($Y$99=TRUE,SUM(F112:F$350),"")</f>
        <v>1591879</v>
      </c>
      <c r="Z112">
        <f>IF($Z$99=TRUE,SUM(G112:G$350)/1000000,"")</f>
        <v>3877099.37</v>
      </c>
      <c r="AA112">
        <f>IF($AA$99=TRUE,SUM(H112:H$350)/1000000,"")</f>
        <v>10549959.08</v>
      </c>
      <c r="AB112">
        <f>IF($AB$99=TRUE,SUM(AH112:AH$350)/1000,"")</f>
        <v>71723122.924999997</v>
      </c>
      <c r="AD112" s="1">
        <v>45667</v>
      </c>
      <c r="AE112">
        <v>334.4</v>
      </c>
      <c r="AF112">
        <v>106.82</v>
      </c>
      <c r="AG112" s="1">
        <v>45667</v>
      </c>
      <c r="AH112">
        <v>419764996</v>
      </c>
      <c r="AI112" s="1">
        <v>45677</v>
      </c>
      <c r="AJ112">
        <v>5737.3590000000004</v>
      </c>
      <c r="AK112">
        <v>63.56</v>
      </c>
      <c r="AL112">
        <v>3863.8879999999999</v>
      </c>
      <c r="AM112">
        <v>1244.4690000000001</v>
      </c>
      <c r="AN112">
        <v>991.65</v>
      </c>
    </row>
    <row r="113" spans="4:40" hidden="1">
      <c r="D113" s="1">
        <v>45666</v>
      </c>
      <c r="E113">
        <v>748200</v>
      </c>
      <c r="F113">
        <v>-21329</v>
      </c>
      <c r="G113">
        <v>-225411212500</v>
      </c>
      <c r="H113">
        <v>53924680000</v>
      </c>
      <c r="I113">
        <v>-510820410000</v>
      </c>
      <c r="J113">
        <v>0</v>
      </c>
      <c r="K113" s="1">
        <v>45666</v>
      </c>
      <c r="L113">
        <v>2521.9</v>
      </c>
      <c r="M113">
        <v>723.52</v>
      </c>
      <c r="N113">
        <v>404290</v>
      </c>
      <c r="O113">
        <v>334</v>
      </c>
      <c r="P113">
        <v>107</v>
      </c>
      <c r="Q113" s="1">
        <v>45666</v>
      </c>
      <c r="R113">
        <v>2.5</v>
      </c>
      <c r="S113">
        <v>2.6269999999999998</v>
      </c>
      <c r="T113">
        <v>2.778</v>
      </c>
      <c r="U113">
        <v>3.1739999999999999</v>
      </c>
      <c r="V113">
        <v>3</v>
      </c>
      <c r="W113">
        <f t="shared" si="0"/>
        <v>45666</v>
      </c>
      <c r="X113">
        <f>IF($X$99=TRUE,SUM(E113:E$350),"")</f>
        <v>-647487</v>
      </c>
      <c r="Y113">
        <f>IF($Y$99=TRUE,SUM(F113:F$350),"")</f>
        <v>1714110</v>
      </c>
      <c r="Z113">
        <f>IF($Z$99=TRUE,SUM(G113:G$350)/1000000,"")</f>
        <v>4019202.82</v>
      </c>
      <c r="AA113">
        <f>IF($AA$99=TRUE,SUM(H113:H$350)/1000000,"")</f>
        <v>10647093.029999999</v>
      </c>
      <c r="AB113">
        <f>IF($AB$99=TRUE,SUM(AH113:AH$350)/1000,"")</f>
        <v>71303357.929000005</v>
      </c>
      <c r="AD113" s="1">
        <v>45666</v>
      </c>
      <c r="AE113">
        <v>334</v>
      </c>
      <c r="AF113">
        <v>107</v>
      </c>
      <c r="AG113" s="1">
        <v>45666</v>
      </c>
      <c r="AH113">
        <v>-204532535</v>
      </c>
      <c r="AI113" s="1">
        <v>45676</v>
      </c>
      <c r="AJ113">
        <v>5737.3590000000004</v>
      </c>
      <c r="AK113">
        <v>62.338000000000001</v>
      </c>
      <c r="AL113">
        <v>3804.136</v>
      </c>
      <c r="AM113">
        <v>1232.9970000000001</v>
      </c>
      <c r="AN113">
        <v>985.84199999999998</v>
      </c>
    </row>
    <row r="114" spans="4:40" hidden="1">
      <c r="D114" s="1">
        <v>45665</v>
      </c>
      <c r="E114">
        <v>220900</v>
      </c>
      <c r="F114">
        <v>-123937</v>
      </c>
      <c r="G114">
        <v>-176384550000</v>
      </c>
      <c r="H114">
        <v>284165790000</v>
      </c>
      <c r="I114">
        <v>-1274024230000</v>
      </c>
      <c r="J114">
        <v>0</v>
      </c>
      <c r="K114" s="1">
        <v>45665</v>
      </c>
      <c r="L114">
        <v>2521.0500000000002</v>
      </c>
      <c r="M114">
        <v>719.63</v>
      </c>
      <c r="N114">
        <v>362908</v>
      </c>
      <c r="O114">
        <v>334.25</v>
      </c>
      <c r="P114">
        <v>106.93</v>
      </c>
      <c r="Q114" s="1">
        <v>45665</v>
      </c>
      <c r="R114">
        <v>2.5049999999999999</v>
      </c>
      <c r="S114">
        <v>2.6520000000000001</v>
      </c>
      <c r="T114">
        <v>2.7959999999999998</v>
      </c>
      <c r="U114">
        <v>3.1819999999999999</v>
      </c>
      <c r="V114">
        <v>3.04</v>
      </c>
      <c r="W114">
        <f t="shared" si="0"/>
        <v>45665</v>
      </c>
      <c r="X114">
        <f>IF($X$99=TRUE,SUM(E114:E$350),"")</f>
        <v>-1395687</v>
      </c>
      <c r="Y114">
        <f>IF($Y$99=TRUE,SUM(F114:F$350),"")</f>
        <v>1735439</v>
      </c>
      <c r="Z114">
        <f>IF($Z$99=TRUE,SUM(G114:G$350)/1000000,"")</f>
        <v>4244614.0324999997</v>
      </c>
      <c r="AA114">
        <f>IF($AA$99=TRUE,SUM(H114:H$350)/1000000,"")</f>
        <v>10593168.35</v>
      </c>
      <c r="AB114">
        <f>IF($AB$99=TRUE,SUM(AH114:AH$350)/1000,"")</f>
        <v>71507890.464000002</v>
      </c>
      <c r="AD114" s="1">
        <v>45665</v>
      </c>
      <c r="AE114">
        <v>334.25</v>
      </c>
      <c r="AF114">
        <v>106.93</v>
      </c>
      <c r="AG114" s="1">
        <v>45665</v>
      </c>
      <c r="AH114">
        <v>399740244</v>
      </c>
      <c r="AI114" s="1">
        <v>45675</v>
      </c>
      <c r="AJ114">
        <v>5737.3590000000004</v>
      </c>
      <c r="AK114">
        <v>62.338000000000001</v>
      </c>
      <c r="AL114">
        <v>3804.136</v>
      </c>
      <c r="AM114">
        <v>1232.9970000000001</v>
      </c>
      <c r="AN114">
        <v>985.84199999999998</v>
      </c>
    </row>
    <row r="115" spans="4:40" hidden="1">
      <c r="D115" s="1">
        <v>45664</v>
      </c>
      <c r="E115">
        <v>158656</v>
      </c>
      <c r="F115">
        <v>-5717</v>
      </c>
      <c r="G115">
        <v>11344075000</v>
      </c>
      <c r="H115">
        <v>1315072660000</v>
      </c>
      <c r="I115">
        <v>206595650000</v>
      </c>
      <c r="J115">
        <v>146460000</v>
      </c>
      <c r="K115" s="1">
        <v>45664</v>
      </c>
      <c r="L115">
        <v>2492.1</v>
      </c>
      <c r="M115">
        <v>718.29</v>
      </c>
      <c r="N115">
        <v>407692</v>
      </c>
      <c r="O115">
        <v>331.55</v>
      </c>
      <c r="P115">
        <v>106.85</v>
      </c>
      <c r="Q115" s="1">
        <v>45664</v>
      </c>
      <c r="R115">
        <v>2.508</v>
      </c>
      <c r="S115">
        <v>2.661</v>
      </c>
      <c r="T115">
        <v>2.794</v>
      </c>
      <c r="U115">
        <v>3.1869999999999998</v>
      </c>
      <c r="V115">
        <v>3.05</v>
      </c>
      <c r="W115">
        <f t="shared" si="0"/>
        <v>45664</v>
      </c>
      <c r="X115">
        <f>IF($X$99=TRUE,SUM(E115:E$350),"")</f>
        <v>-1616587</v>
      </c>
      <c r="Y115">
        <f>IF($Y$99=TRUE,SUM(F115:F$350),"")</f>
        <v>1859376</v>
      </c>
      <c r="Z115">
        <f>IF($Z$99=TRUE,SUM(G115:G$350)/1000000,"")</f>
        <v>4420998.5824999996</v>
      </c>
      <c r="AA115">
        <f>IF($AA$99=TRUE,SUM(H115:H$350)/1000000,"")</f>
        <v>10309002.560000001</v>
      </c>
      <c r="AB115">
        <f>IF($AB$99=TRUE,SUM(AH115:AH$350)/1000,"")</f>
        <v>71108150.219999999</v>
      </c>
      <c r="AD115" s="1">
        <v>45664</v>
      </c>
      <c r="AE115">
        <v>331.55</v>
      </c>
      <c r="AF115">
        <v>106.85</v>
      </c>
      <c r="AG115" s="1">
        <v>45664</v>
      </c>
      <c r="AH115">
        <v>39959085</v>
      </c>
      <c r="AI115" s="1">
        <v>45674</v>
      </c>
      <c r="AJ115">
        <v>5737.3590000000004</v>
      </c>
      <c r="AK115">
        <v>62.338000000000001</v>
      </c>
      <c r="AL115">
        <v>3804.136</v>
      </c>
      <c r="AM115">
        <v>1232.9970000000001</v>
      </c>
      <c r="AN115">
        <v>985.84199999999998</v>
      </c>
    </row>
    <row r="116" spans="4:40" hidden="1">
      <c r="D116" s="1">
        <v>45663</v>
      </c>
      <c r="E116">
        <v>366241</v>
      </c>
      <c r="F116">
        <v>-155339</v>
      </c>
      <c r="G116">
        <v>-41418437500</v>
      </c>
      <c r="H116">
        <v>-63032230000</v>
      </c>
      <c r="I116">
        <v>-269393150000</v>
      </c>
      <c r="J116">
        <v>0</v>
      </c>
      <c r="K116" s="1">
        <v>45663</v>
      </c>
      <c r="L116">
        <v>2488.64</v>
      </c>
      <c r="M116">
        <v>717.96</v>
      </c>
      <c r="N116">
        <v>302761</v>
      </c>
      <c r="O116">
        <v>330.8</v>
      </c>
      <c r="P116">
        <v>106.78</v>
      </c>
      <c r="Q116" s="1">
        <v>45663</v>
      </c>
      <c r="R116">
        <v>2.524</v>
      </c>
      <c r="S116">
        <v>2.6850000000000001</v>
      </c>
      <c r="T116">
        <v>2.8170000000000002</v>
      </c>
      <c r="U116">
        <v>3.202</v>
      </c>
      <c r="V116">
        <v>3.1</v>
      </c>
      <c r="W116">
        <f t="shared" si="0"/>
        <v>45663</v>
      </c>
      <c r="X116">
        <f>IF($X$99=TRUE,SUM(E116:E$350),"")</f>
        <v>-1775243</v>
      </c>
      <c r="Y116">
        <f>IF($Y$99=TRUE,SUM(F116:F$350),"")</f>
        <v>1865093</v>
      </c>
      <c r="Z116">
        <f>IF($Z$99=TRUE,SUM(G116:G$350)/1000000,"")</f>
        <v>4409654.5075000003</v>
      </c>
      <c r="AA116">
        <f>IF($AA$99=TRUE,SUM(H116:H$350)/1000000,"")</f>
        <v>8993929.9000000004</v>
      </c>
      <c r="AB116">
        <f>IF($AB$99=TRUE,SUM(AH116:AH$350)/1000,"")</f>
        <v>71068191.135000005</v>
      </c>
      <c r="AD116" s="1">
        <v>45663</v>
      </c>
      <c r="AE116">
        <v>330.8</v>
      </c>
      <c r="AF116">
        <v>106.78</v>
      </c>
      <c r="AG116" s="1">
        <v>45663</v>
      </c>
      <c r="AH116">
        <v>183332406</v>
      </c>
      <c r="AI116" s="1">
        <v>45673</v>
      </c>
      <c r="AJ116">
        <v>5680.1049999999996</v>
      </c>
      <c r="AK116">
        <v>62.04</v>
      </c>
      <c r="AL116">
        <v>3836.8670000000002</v>
      </c>
      <c r="AM116">
        <v>1220.3810000000001</v>
      </c>
      <c r="AN116">
        <v>988.56299999999999</v>
      </c>
    </row>
    <row r="117" spans="4:40" hidden="1">
      <c r="D117" s="1">
        <v>45660</v>
      </c>
      <c r="E117">
        <v>280111</v>
      </c>
      <c r="F117">
        <v>143314</v>
      </c>
      <c r="G117">
        <v>720523625000</v>
      </c>
      <c r="H117">
        <v>-182448590000</v>
      </c>
      <c r="I117">
        <v>-830682310000</v>
      </c>
      <c r="J117">
        <v>0</v>
      </c>
      <c r="K117" s="1">
        <v>45660</v>
      </c>
      <c r="L117">
        <v>2441.92</v>
      </c>
      <c r="M117">
        <v>705.76</v>
      </c>
      <c r="N117">
        <v>407536</v>
      </c>
      <c r="O117">
        <v>324.95</v>
      </c>
      <c r="P117">
        <v>106.93</v>
      </c>
      <c r="Q117" s="1">
        <v>45660</v>
      </c>
      <c r="R117">
        <v>2.4820000000000002</v>
      </c>
      <c r="S117">
        <v>2.6429999999999998</v>
      </c>
      <c r="T117">
        <v>2.754</v>
      </c>
      <c r="U117">
        <v>3.17</v>
      </c>
      <c r="V117">
        <v>3.15</v>
      </c>
      <c r="W117">
        <f t="shared" si="0"/>
        <v>45660</v>
      </c>
      <c r="X117">
        <f>IF($X$99=TRUE,SUM(E117:E$350),"")</f>
        <v>-2141484</v>
      </c>
      <c r="Y117">
        <f>IF($Y$99=TRUE,SUM(F117:F$350),"")</f>
        <v>2020432</v>
      </c>
      <c r="Z117">
        <f>IF($Z$99=TRUE,SUM(G117:G$350)/1000000,"")</f>
        <v>4451072.9450000003</v>
      </c>
      <c r="AA117">
        <f>IF($AA$99=TRUE,SUM(H117:H$350)/1000000,"")</f>
        <v>9056962.1300000008</v>
      </c>
      <c r="AB117">
        <f>IF($AB$99=TRUE,SUM(AH117:AH$350)/1000,"")</f>
        <v>70884858.729000002</v>
      </c>
      <c r="AD117" s="1">
        <v>45660</v>
      </c>
      <c r="AE117">
        <v>324.95</v>
      </c>
      <c r="AF117">
        <v>106.93</v>
      </c>
      <c r="AG117" s="1">
        <v>45660</v>
      </c>
      <c r="AH117">
        <v>213408218</v>
      </c>
      <c r="AI117" s="1">
        <v>45672</v>
      </c>
      <c r="AJ117">
        <v>5689.9780000000001</v>
      </c>
      <c r="AK117">
        <v>61.530999999999999</v>
      </c>
      <c r="AL117">
        <v>3819.232</v>
      </c>
      <c r="AM117">
        <v>1209.306</v>
      </c>
      <c r="AN117">
        <v>984.31500000000005</v>
      </c>
    </row>
    <row r="118" spans="4:40" hidden="1">
      <c r="D118" s="1">
        <v>45659</v>
      </c>
      <c r="E118">
        <v>-238808</v>
      </c>
      <c r="F118">
        <v>-130569</v>
      </c>
      <c r="G118">
        <v>-502192950000</v>
      </c>
      <c r="H118">
        <v>339824510000</v>
      </c>
      <c r="I118">
        <v>-1430214250000</v>
      </c>
      <c r="J118">
        <v>0</v>
      </c>
      <c r="K118" s="1">
        <v>45659</v>
      </c>
      <c r="L118">
        <v>2398.94</v>
      </c>
      <c r="M118">
        <v>686.63</v>
      </c>
      <c r="N118">
        <v>350691</v>
      </c>
      <c r="O118">
        <v>317.60000000000002</v>
      </c>
      <c r="P118">
        <v>106.89</v>
      </c>
      <c r="Q118" s="1">
        <v>45659</v>
      </c>
      <c r="R118">
        <v>2.5070000000000001</v>
      </c>
      <c r="S118">
        <v>2.681</v>
      </c>
      <c r="T118">
        <v>2.7490000000000001</v>
      </c>
      <c r="U118">
        <v>3.1970000000000001</v>
      </c>
      <c r="V118">
        <v>3.26</v>
      </c>
      <c r="W118">
        <f t="shared" si="0"/>
        <v>45659</v>
      </c>
      <c r="X118">
        <f>IF($X$99=TRUE,SUM(E118:E$350),"")</f>
        <v>-2421595</v>
      </c>
      <c r="Y118">
        <f>IF($Y$99=TRUE,SUM(F118:F$350),"")</f>
        <v>1877118</v>
      </c>
      <c r="Z118">
        <f>IF($Z$99=TRUE,SUM(G118:G$350)/1000000,"")</f>
        <v>3730549.32</v>
      </c>
      <c r="AA118">
        <f>IF($AA$99=TRUE,SUM(H118:H$350)/1000000,"")</f>
        <v>9239410.7200000007</v>
      </c>
      <c r="AB118">
        <f>IF($AB$99=TRUE,SUM(AH118:AH$350)/1000,"")</f>
        <v>70671450.511000007</v>
      </c>
      <c r="AD118" s="1">
        <v>45659</v>
      </c>
      <c r="AE118">
        <v>317.60000000000002</v>
      </c>
      <c r="AF118">
        <v>106.89</v>
      </c>
      <c r="AG118" s="1">
        <v>45659</v>
      </c>
      <c r="AH118">
        <v>384230457</v>
      </c>
      <c r="AI118" s="1">
        <v>45671</v>
      </c>
      <c r="AJ118">
        <v>5586.8869999999997</v>
      </c>
      <c r="AK118">
        <v>61.36</v>
      </c>
      <c r="AL118">
        <v>3767.0309999999999</v>
      </c>
      <c r="AM118">
        <v>1190.135</v>
      </c>
      <c r="AN118">
        <v>978.44500000000005</v>
      </c>
    </row>
    <row r="119" spans="4:40" hidden="1">
      <c r="D119" s="1">
        <v>45656</v>
      </c>
      <c r="E119">
        <v>-120480</v>
      </c>
      <c r="F119">
        <v>238839</v>
      </c>
      <c r="G119">
        <v>-166498750000</v>
      </c>
      <c r="H119">
        <v>-470582790000</v>
      </c>
      <c r="I119">
        <v>-1124566330000</v>
      </c>
      <c r="J119">
        <v>0</v>
      </c>
      <c r="K119" s="1">
        <v>45656</v>
      </c>
      <c r="L119">
        <v>2399.4899999999998</v>
      </c>
      <c r="M119">
        <v>678.19</v>
      </c>
      <c r="N119">
        <v>303963</v>
      </c>
      <c r="O119">
        <v>318.89999999999998</v>
      </c>
      <c r="P119">
        <v>106.65</v>
      </c>
      <c r="Q119" s="1">
        <v>45657</v>
      </c>
      <c r="R119">
        <v>2.5960000000000001</v>
      </c>
      <c r="S119">
        <v>2.762</v>
      </c>
      <c r="T119">
        <v>2.855</v>
      </c>
      <c r="U119">
        <v>3.2839999999999998</v>
      </c>
      <c r="V119">
        <v>3.39</v>
      </c>
      <c r="W119">
        <f t="shared" si="0"/>
        <v>45656</v>
      </c>
      <c r="X119">
        <f>IF($X$99=TRUE,SUM(E119:E$350),"")</f>
        <v>-2182787</v>
      </c>
      <c r="Y119">
        <f>IF($Y$99=TRUE,SUM(F119:F$350),"")</f>
        <v>2007687</v>
      </c>
      <c r="Z119">
        <f>IF($Z$99=TRUE,SUM(G119:G$350)/1000000,"")</f>
        <v>4232742.2699999996</v>
      </c>
      <c r="AA119">
        <f>IF($AA$99=TRUE,SUM(H119:H$350)/1000000,"")</f>
        <v>8899586.2100000009</v>
      </c>
      <c r="AB119">
        <f>IF($AB$99=TRUE,SUM(AH119:AH$350)/1000,"")</f>
        <v>70287220.054000005</v>
      </c>
      <c r="AD119" s="1">
        <v>45656</v>
      </c>
      <c r="AE119">
        <v>318.89999999999998</v>
      </c>
      <c r="AF119">
        <v>106.65</v>
      </c>
      <c r="AG119" s="1">
        <v>45657</v>
      </c>
      <c r="AH119">
        <v>6835752</v>
      </c>
      <c r="AI119" s="1">
        <v>45670</v>
      </c>
      <c r="AJ119">
        <v>5579.1869999999999</v>
      </c>
      <c r="AK119">
        <v>59.95</v>
      </c>
      <c r="AL119">
        <v>3823.1729999999998</v>
      </c>
      <c r="AM119">
        <v>1189.1400000000001</v>
      </c>
      <c r="AN119">
        <v>969.85199999999998</v>
      </c>
    </row>
    <row r="120" spans="4:40" hidden="1">
      <c r="D120" s="1">
        <v>45653</v>
      </c>
      <c r="E120">
        <v>-171569</v>
      </c>
      <c r="F120">
        <v>-27406</v>
      </c>
      <c r="G120">
        <v>248283725000</v>
      </c>
      <c r="H120">
        <v>-464614420000</v>
      </c>
      <c r="I120">
        <v>-1138950030000</v>
      </c>
      <c r="J120">
        <v>0</v>
      </c>
      <c r="K120" s="1">
        <v>45653</v>
      </c>
      <c r="L120">
        <v>2404.77</v>
      </c>
      <c r="M120">
        <v>665.97</v>
      </c>
      <c r="N120">
        <v>311291</v>
      </c>
      <c r="O120">
        <v>319.55</v>
      </c>
      <c r="P120">
        <v>106.63</v>
      </c>
      <c r="Q120" s="1">
        <v>45656</v>
      </c>
      <c r="R120">
        <v>2.597</v>
      </c>
      <c r="S120">
        <v>2.7629999999999999</v>
      </c>
      <c r="T120">
        <v>2.855</v>
      </c>
      <c r="U120">
        <v>3.2850000000000001</v>
      </c>
      <c r="V120">
        <v>3.44</v>
      </c>
      <c r="W120">
        <f t="shared" si="0"/>
        <v>45653</v>
      </c>
      <c r="X120">
        <f>IF($X$99=TRUE,SUM(E120:E$350),"")</f>
        <v>-2062307</v>
      </c>
      <c r="Y120">
        <f>IF($Y$99=TRUE,SUM(F120:F$350),"")</f>
        <v>1768848</v>
      </c>
      <c r="Z120">
        <f>IF($Z$99=TRUE,SUM(G120:G$350)/1000000,"")</f>
        <v>4399241.0199999996</v>
      </c>
      <c r="AA120">
        <f>IF($AA$99=TRUE,SUM(H120:H$350)/1000000,"")</f>
        <v>9370169</v>
      </c>
      <c r="AB120">
        <f>IF($AB$99=TRUE,SUM(AH120:AH$350)/1000,"")</f>
        <v>70280384.302000001</v>
      </c>
      <c r="AD120" s="1">
        <v>45653</v>
      </c>
      <c r="AE120">
        <v>319.55</v>
      </c>
      <c r="AF120">
        <v>106.63</v>
      </c>
      <c r="AG120" s="1">
        <v>45656</v>
      </c>
      <c r="AH120">
        <v>383884178</v>
      </c>
      <c r="AI120" s="1">
        <v>45669</v>
      </c>
      <c r="AJ120">
        <v>5570.3459999999995</v>
      </c>
      <c r="AK120">
        <v>60.356999999999999</v>
      </c>
      <c r="AL120">
        <v>3821.8389999999999</v>
      </c>
      <c r="AM120">
        <v>1199.95</v>
      </c>
      <c r="AN120">
        <v>1000.149</v>
      </c>
    </row>
    <row r="121" spans="4:40" hidden="1">
      <c r="D121" s="1">
        <v>45652</v>
      </c>
      <c r="E121">
        <v>19863</v>
      </c>
      <c r="F121">
        <v>-19411</v>
      </c>
      <c r="G121">
        <v>-231863162500</v>
      </c>
      <c r="H121">
        <v>-354683880000</v>
      </c>
      <c r="I121">
        <v>-395151380000</v>
      </c>
      <c r="J121">
        <v>0</v>
      </c>
      <c r="K121" s="1">
        <v>45652</v>
      </c>
      <c r="L121">
        <v>2429.67</v>
      </c>
      <c r="M121">
        <v>675.64</v>
      </c>
      <c r="N121">
        <v>322800</v>
      </c>
      <c r="O121">
        <v>321.10000000000002</v>
      </c>
      <c r="P121">
        <v>106.53</v>
      </c>
      <c r="Q121" s="1">
        <v>45653</v>
      </c>
      <c r="R121">
        <v>2.6339999999999999</v>
      </c>
      <c r="S121">
        <v>2.7839999999999998</v>
      </c>
      <c r="T121">
        <v>2.8759999999999999</v>
      </c>
      <c r="U121">
        <v>3.3210000000000002</v>
      </c>
      <c r="V121">
        <v>3.44</v>
      </c>
      <c r="W121">
        <f t="shared" si="0"/>
        <v>45652</v>
      </c>
      <c r="X121">
        <f>IF($X$99=TRUE,SUM(E121:E$350),"")</f>
        <v>-1890738</v>
      </c>
      <c r="Y121">
        <f>IF($Y$99=TRUE,SUM(F121:F$350),"")</f>
        <v>1796254</v>
      </c>
      <c r="Z121">
        <f>IF($Z$99=TRUE,SUM(G121:G$350)/1000000,"")</f>
        <v>4150957.2949999999</v>
      </c>
      <c r="AA121">
        <f>IF($AA$99=TRUE,SUM(H121:H$350)/1000000,"")</f>
        <v>9834783.4199999999</v>
      </c>
      <c r="AB121">
        <f>IF($AB$99=TRUE,SUM(AH121:AH$350)/1000,"")</f>
        <v>69896500.123999998</v>
      </c>
      <c r="AD121" s="1">
        <v>45652</v>
      </c>
      <c r="AE121">
        <v>321.10000000000002</v>
      </c>
      <c r="AF121">
        <v>106.53</v>
      </c>
      <c r="AG121" s="1">
        <v>45653</v>
      </c>
      <c r="AH121">
        <v>332662625</v>
      </c>
      <c r="AI121" s="1">
        <v>45668</v>
      </c>
      <c r="AJ121">
        <v>5570.3459999999995</v>
      </c>
      <c r="AK121">
        <v>60.356999999999999</v>
      </c>
      <c r="AL121">
        <v>3821.8389999999999</v>
      </c>
      <c r="AM121">
        <v>1199.95</v>
      </c>
      <c r="AN121">
        <v>1000.149</v>
      </c>
    </row>
    <row r="122" spans="4:40" hidden="1">
      <c r="D122" s="1">
        <v>45650</v>
      </c>
      <c r="E122">
        <v>-6623</v>
      </c>
      <c r="F122">
        <v>-6018</v>
      </c>
      <c r="G122">
        <v>-33108462500</v>
      </c>
      <c r="H122">
        <v>-370751810000</v>
      </c>
      <c r="I122">
        <v>-435121350000</v>
      </c>
      <c r="J122">
        <v>0</v>
      </c>
      <c r="K122" s="1">
        <v>45650</v>
      </c>
      <c r="L122">
        <v>2440.52</v>
      </c>
      <c r="M122">
        <v>680.11</v>
      </c>
      <c r="N122">
        <v>386777</v>
      </c>
      <c r="O122">
        <v>323.14999999999998</v>
      </c>
      <c r="P122">
        <v>106.62</v>
      </c>
      <c r="Q122" s="1">
        <v>45652</v>
      </c>
      <c r="R122">
        <v>2.6480000000000001</v>
      </c>
      <c r="S122">
        <v>2.8090000000000002</v>
      </c>
      <c r="T122">
        <v>2.9039999999999999</v>
      </c>
      <c r="U122">
        <v>3.33</v>
      </c>
      <c r="V122">
        <v>3.4</v>
      </c>
      <c r="W122">
        <f t="shared" si="0"/>
        <v>45650</v>
      </c>
      <c r="X122">
        <f>IF($X$99=TRUE,SUM(E122:E$350),"")</f>
        <v>-1910601</v>
      </c>
      <c r="Y122">
        <f>IF($Y$99=TRUE,SUM(F122:F$350),"")</f>
        <v>1815665</v>
      </c>
      <c r="Z122">
        <f>IF($Z$99=TRUE,SUM(G122:G$350)/1000000,"")</f>
        <v>4382820.4574999996</v>
      </c>
      <c r="AA122">
        <f>IF($AA$99=TRUE,SUM(H122:H$350)/1000000,"")</f>
        <v>10189467.300000001</v>
      </c>
      <c r="AB122">
        <f>IF($AB$99=TRUE,SUM(AH122:AH$350)/1000,"")</f>
        <v>69563837.498999998</v>
      </c>
      <c r="AD122" s="1">
        <v>45650</v>
      </c>
      <c r="AE122">
        <v>323.14999999999998</v>
      </c>
      <c r="AF122">
        <v>106.62</v>
      </c>
      <c r="AG122" s="1">
        <v>45652</v>
      </c>
      <c r="AH122">
        <v>127194715</v>
      </c>
      <c r="AI122" s="1">
        <v>45667</v>
      </c>
      <c r="AJ122">
        <v>5570.3459999999995</v>
      </c>
      <c r="AK122">
        <v>60.356999999999999</v>
      </c>
      <c r="AL122">
        <v>3821.8389999999999</v>
      </c>
      <c r="AM122">
        <v>1199.95</v>
      </c>
      <c r="AN122">
        <v>1000.149</v>
      </c>
    </row>
    <row r="123" spans="4:40" hidden="1">
      <c r="D123" s="1">
        <v>45649</v>
      </c>
      <c r="E123">
        <v>144861</v>
      </c>
      <c r="F123">
        <v>130665</v>
      </c>
      <c r="G123">
        <v>113574400000</v>
      </c>
      <c r="H123">
        <v>544376720000</v>
      </c>
      <c r="I123">
        <v>41256650000</v>
      </c>
      <c r="J123">
        <v>0</v>
      </c>
      <c r="K123" s="1">
        <v>45649</v>
      </c>
      <c r="L123">
        <v>2442.0100000000002</v>
      </c>
      <c r="M123">
        <v>679.24</v>
      </c>
      <c r="N123">
        <v>428166</v>
      </c>
      <c r="O123">
        <v>322.60000000000002</v>
      </c>
      <c r="P123">
        <v>106.75</v>
      </c>
      <c r="Q123" s="1">
        <v>45650</v>
      </c>
      <c r="R123">
        <v>2.6259999999999999</v>
      </c>
      <c r="S123">
        <v>2.8010000000000002</v>
      </c>
      <c r="T123">
        <v>2.8759999999999999</v>
      </c>
      <c r="U123">
        <v>3.3079999999999998</v>
      </c>
      <c r="V123">
        <v>3.4</v>
      </c>
      <c r="W123">
        <f t="shared" si="0"/>
        <v>45649</v>
      </c>
      <c r="X123">
        <f>IF($X$99=TRUE,SUM(E123:E$350),"")</f>
        <v>-1903978</v>
      </c>
      <c r="Y123">
        <f>IF($Y$99=TRUE,SUM(F123:F$350),"")</f>
        <v>1821683</v>
      </c>
      <c r="Z123">
        <f>IF($Z$99=TRUE,SUM(G123:G$350)/1000000,"")</f>
        <v>4415928.92</v>
      </c>
      <c r="AA123">
        <f>IF($AA$99=TRUE,SUM(H123:H$350)/1000000,"")</f>
        <v>10560219.109999999</v>
      </c>
      <c r="AB123">
        <f>IF($AB$99=TRUE,SUM(AH123:AH$350)/1000,"")</f>
        <v>69436642.783999994</v>
      </c>
      <c r="AD123" s="1">
        <v>45649</v>
      </c>
      <c r="AE123">
        <v>322.60000000000002</v>
      </c>
      <c r="AF123">
        <v>106.75</v>
      </c>
      <c r="AG123" s="1">
        <v>45650</v>
      </c>
      <c r="AH123">
        <v>6860873</v>
      </c>
      <c r="AI123" s="1">
        <v>45666</v>
      </c>
      <c r="AJ123">
        <v>5657.0309999999999</v>
      </c>
      <c r="AK123">
        <v>61.295000000000002</v>
      </c>
      <c r="AL123">
        <v>3848.1379999999999</v>
      </c>
      <c r="AM123">
        <v>1217.5740000000001</v>
      </c>
      <c r="AN123">
        <v>1010.134</v>
      </c>
    </row>
    <row r="124" spans="4:40" hidden="1">
      <c r="D124" s="1">
        <v>45646</v>
      </c>
      <c r="E124">
        <v>-818078</v>
      </c>
      <c r="F124">
        <v>-85511</v>
      </c>
      <c r="G124">
        <v>-281668300000</v>
      </c>
      <c r="H124">
        <v>-291707090000</v>
      </c>
      <c r="I124">
        <v>-2004571150000</v>
      </c>
      <c r="J124">
        <v>0</v>
      </c>
      <c r="K124" s="1">
        <v>45646</v>
      </c>
      <c r="L124">
        <v>2404.15</v>
      </c>
      <c r="M124">
        <v>668.31</v>
      </c>
      <c r="N124">
        <v>617782</v>
      </c>
      <c r="O124">
        <v>318.10000000000002</v>
      </c>
      <c r="P124">
        <v>106.77</v>
      </c>
      <c r="Q124" s="1">
        <v>45649</v>
      </c>
      <c r="R124">
        <v>2.6160000000000001</v>
      </c>
      <c r="S124">
        <v>2.7570000000000001</v>
      </c>
      <c r="T124">
        <v>2.8439999999999999</v>
      </c>
      <c r="U124">
        <v>3.2919999999999998</v>
      </c>
      <c r="V124">
        <v>3.39</v>
      </c>
      <c r="W124">
        <f t="shared" si="0"/>
        <v>45646</v>
      </c>
      <c r="X124">
        <f>IF($X$99=TRUE,SUM(E124:E$350),"")</f>
        <v>-2048839</v>
      </c>
      <c r="Y124">
        <f>IF($Y$99=TRUE,SUM(F124:F$350),"")</f>
        <v>1691018</v>
      </c>
      <c r="Z124">
        <f>IF($Z$99=TRUE,SUM(G124:G$350)/1000000,"")</f>
        <v>4302354.5199999996</v>
      </c>
      <c r="AA124">
        <f>IF($AA$99=TRUE,SUM(H124:H$350)/1000000,"")</f>
        <v>10015842.390000001</v>
      </c>
      <c r="AB124">
        <f>IF($AB$99=TRUE,SUM(AH124:AH$350)/1000,"")</f>
        <v>69429781.910999998</v>
      </c>
      <c r="AD124" s="1">
        <v>45646</v>
      </c>
      <c r="AE124">
        <v>318.10000000000002</v>
      </c>
      <c r="AF124">
        <v>106.77</v>
      </c>
      <c r="AG124" s="1">
        <v>45649</v>
      </c>
      <c r="AH124">
        <v>-187638567</v>
      </c>
      <c r="AI124" s="1">
        <v>45665</v>
      </c>
      <c r="AJ124">
        <v>5657.0309999999999</v>
      </c>
      <c r="AK124">
        <v>61.319000000000003</v>
      </c>
      <c r="AL124">
        <v>3887.4659999999999</v>
      </c>
      <c r="AM124">
        <v>1211.48</v>
      </c>
      <c r="AN124">
        <v>1018.365</v>
      </c>
    </row>
    <row r="125" spans="4:40" hidden="1">
      <c r="D125" s="1">
        <v>45645</v>
      </c>
      <c r="E125">
        <v>-428775</v>
      </c>
      <c r="F125">
        <v>-15801</v>
      </c>
      <c r="G125">
        <v>-333196250000</v>
      </c>
      <c r="H125">
        <v>-2213603500000</v>
      </c>
      <c r="I125">
        <v>-1766072860000</v>
      </c>
      <c r="J125">
        <v>0</v>
      </c>
      <c r="K125" s="1">
        <v>45645</v>
      </c>
      <c r="L125">
        <v>2435.9299999999998</v>
      </c>
      <c r="M125">
        <v>684.36</v>
      </c>
      <c r="N125">
        <v>504467</v>
      </c>
      <c r="O125">
        <v>321.60000000000002</v>
      </c>
      <c r="P125">
        <v>106.85</v>
      </c>
      <c r="Q125" s="1">
        <v>45646</v>
      </c>
      <c r="R125">
        <v>2.629</v>
      </c>
      <c r="S125">
        <v>2.7749999999999999</v>
      </c>
      <c r="T125">
        <v>2.8730000000000002</v>
      </c>
      <c r="U125">
        <v>3.3</v>
      </c>
      <c r="V125">
        <v>3.39</v>
      </c>
      <c r="W125">
        <f t="shared" si="0"/>
        <v>45645</v>
      </c>
      <c r="X125">
        <f>IF($X$99=TRUE,SUM(E125:E$350),"")</f>
        <v>-1230761</v>
      </c>
      <c r="Y125">
        <f>IF($Y$99=TRUE,SUM(F125:F$350),"")</f>
        <v>1776529</v>
      </c>
      <c r="Z125">
        <f>IF($Z$99=TRUE,SUM(G125:G$350)/1000000,"")</f>
        <v>4584022.82</v>
      </c>
      <c r="AA125">
        <f>IF($AA$99=TRUE,SUM(H125:H$350)/1000000,"")</f>
        <v>10307549.48</v>
      </c>
      <c r="AB125">
        <f>IF($AB$99=TRUE,SUM(AH125:AH$350)/1000,"")</f>
        <v>69617420.478</v>
      </c>
      <c r="AD125" s="1">
        <v>45645</v>
      </c>
      <c r="AE125">
        <v>321.60000000000002</v>
      </c>
      <c r="AF125">
        <v>106.85</v>
      </c>
      <c r="AG125" s="1">
        <v>45646</v>
      </c>
      <c r="AH125">
        <v>107958964</v>
      </c>
      <c r="AI125" s="1">
        <v>45664</v>
      </c>
      <c r="AJ125">
        <v>5647.768</v>
      </c>
      <c r="AK125">
        <v>61.933999999999997</v>
      </c>
      <c r="AL125">
        <v>3923.2420000000002</v>
      </c>
      <c r="AM125">
        <v>1225.414</v>
      </c>
      <c r="AN125">
        <v>1023.472</v>
      </c>
    </row>
    <row r="126" spans="4:40" hidden="1">
      <c r="D126" s="1">
        <v>45644</v>
      </c>
      <c r="E126">
        <v>392185</v>
      </c>
      <c r="F126">
        <v>8669</v>
      </c>
      <c r="G126">
        <v>338930625000</v>
      </c>
      <c r="H126">
        <v>-653793090000</v>
      </c>
      <c r="I126">
        <v>-106858350000</v>
      </c>
      <c r="J126">
        <v>0</v>
      </c>
      <c r="K126" s="1">
        <v>45644</v>
      </c>
      <c r="L126">
        <v>2484.4299999999998</v>
      </c>
      <c r="M126">
        <v>697.57</v>
      </c>
      <c r="N126">
        <v>441677</v>
      </c>
      <c r="O126">
        <v>329.55</v>
      </c>
      <c r="P126">
        <v>107.08</v>
      </c>
      <c r="Q126" s="1">
        <v>45645</v>
      </c>
      <c r="R126">
        <v>2.6030000000000002</v>
      </c>
      <c r="S126">
        <v>2.7360000000000002</v>
      </c>
      <c r="T126">
        <v>2.8140000000000001</v>
      </c>
      <c r="U126">
        <v>3.2749999999999999</v>
      </c>
      <c r="V126">
        <v>3.39</v>
      </c>
      <c r="W126">
        <f t="shared" si="0"/>
        <v>45644</v>
      </c>
      <c r="X126">
        <f>IF($X$99=TRUE,SUM(E126:E$350),"")</f>
        <v>-801986</v>
      </c>
      <c r="Y126">
        <f>IF($Y$99=TRUE,SUM(F126:F$350),"")</f>
        <v>1792330</v>
      </c>
      <c r="Z126">
        <f>IF($Z$99=TRUE,SUM(G126:G$350)/1000000,"")</f>
        <v>4917219.07</v>
      </c>
      <c r="AA126">
        <f>IF($AA$99=TRUE,SUM(H126:H$350)/1000000,"")</f>
        <v>12521152.98</v>
      </c>
      <c r="AB126">
        <f>IF($AB$99=TRUE,SUM(AH126:AH$350)/1000,"")</f>
        <v>69509461.513999999</v>
      </c>
      <c r="AD126" s="1">
        <v>45644</v>
      </c>
      <c r="AE126">
        <v>329.55</v>
      </c>
      <c r="AF126">
        <v>107.08</v>
      </c>
      <c r="AG126" s="1">
        <v>45645</v>
      </c>
      <c r="AH126">
        <v>142553492</v>
      </c>
      <c r="AI126" s="1">
        <v>45663</v>
      </c>
      <c r="AJ126">
        <v>5713.8090000000002</v>
      </c>
      <c r="AK126">
        <v>62.895000000000003</v>
      </c>
      <c r="AL126">
        <v>3881.4319999999998</v>
      </c>
      <c r="AM126">
        <v>1227.1369999999999</v>
      </c>
      <c r="AN126">
        <v>1018.625</v>
      </c>
    </row>
    <row r="127" spans="4:40" hidden="1">
      <c r="D127" s="1">
        <v>45643</v>
      </c>
      <c r="E127">
        <v>-701243</v>
      </c>
      <c r="F127">
        <v>-123240</v>
      </c>
      <c r="G127">
        <v>59931025000</v>
      </c>
      <c r="H127">
        <v>-2794401130000</v>
      </c>
      <c r="I127">
        <v>64215750000</v>
      </c>
      <c r="J127">
        <v>0</v>
      </c>
      <c r="K127" s="1">
        <v>45643</v>
      </c>
      <c r="L127">
        <v>2456.81</v>
      </c>
      <c r="M127">
        <v>694.47</v>
      </c>
      <c r="N127">
        <v>559039</v>
      </c>
      <c r="O127">
        <v>325.35000000000002</v>
      </c>
      <c r="P127">
        <v>106.85</v>
      </c>
      <c r="Q127" s="1">
        <v>45644</v>
      </c>
      <c r="R127">
        <v>2.536</v>
      </c>
      <c r="S127">
        <v>2.65</v>
      </c>
      <c r="T127">
        <v>2.738</v>
      </c>
      <c r="U127">
        <v>3.2029999999999998</v>
      </c>
      <c r="V127">
        <v>3.38</v>
      </c>
      <c r="W127">
        <f t="shared" si="0"/>
        <v>45643</v>
      </c>
      <c r="X127">
        <f>IF($X$99=TRUE,SUM(E127:E$350),"")</f>
        <v>-1194171</v>
      </c>
      <c r="Y127">
        <f>IF($Y$99=TRUE,SUM(F127:F$350),"")</f>
        <v>1783661</v>
      </c>
      <c r="Z127">
        <f>IF($Z$99=TRUE,SUM(G127:G$350)/1000000,"")</f>
        <v>4578288.4450000003</v>
      </c>
      <c r="AA127">
        <f>IF($AA$99=TRUE,SUM(H127:H$350)/1000000,"")</f>
        <v>13174946.07</v>
      </c>
      <c r="AB127">
        <f>IF($AB$99=TRUE,SUM(AH127:AH$350)/1000,"")</f>
        <v>69366908.022</v>
      </c>
      <c r="AD127" s="1">
        <v>45643</v>
      </c>
      <c r="AE127">
        <v>325.35000000000002</v>
      </c>
      <c r="AF127">
        <v>106.85</v>
      </c>
      <c r="AG127" s="1">
        <v>45644</v>
      </c>
      <c r="AH127">
        <v>-373752233</v>
      </c>
      <c r="AI127" s="1">
        <v>45662</v>
      </c>
      <c r="AJ127">
        <v>5681.2780000000002</v>
      </c>
      <c r="AK127">
        <v>63.119</v>
      </c>
      <c r="AL127">
        <v>3925.0059999999999</v>
      </c>
      <c r="AM127">
        <v>1213.163</v>
      </c>
      <c r="AN127">
        <v>1039.433</v>
      </c>
    </row>
    <row r="128" spans="4:40" hidden="1">
      <c r="D128" s="1">
        <v>45642</v>
      </c>
      <c r="E128">
        <v>-432146</v>
      </c>
      <c r="F128">
        <v>-114695</v>
      </c>
      <c r="G128">
        <v>-71099387500</v>
      </c>
      <c r="H128">
        <v>-563220480000</v>
      </c>
      <c r="I128">
        <v>-153758810000</v>
      </c>
      <c r="J128">
        <v>0</v>
      </c>
      <c r="K128" s="1">
        <v>45642</v>
      </c>
      <c r="L128">
        <v>2488.9699999999998</v>
      </c>
      <c r="M128">
        <v>698.53</v>
      </c>
      <c r="N128">
        <v>526708</v>
      </c>
      <c r="O128">
        <v>328.15</v>
      </c>
      <c r="P128">
        <v>106.71</v>
      </c>
      <c r="Q128" s="1">
        <v>45643</v>
      </c>
      <c r="R128">
        <v>2.621</v>
      </c>
      <c r="S128">
        <v>2.7309999999999999</v>
      </c>
      <c r="T128">
        <v>2.79</v>
      </c>
      <c r="U128">
        <v>3.2789999999999999</v>
      </c>
      <c r="V128">
        <v>3.38</v>
      </c>
      <c r="W128">
        <f t="shared" si="0"/>
        <v>45642</v>
      </c>
      <c r="X128">
        <f>IF($X$99=TRUE,SUM(E128:E$350),"")</f>
        <v>-492928</v>
      </c>
      <c r="Y128">
        <f>IF($Y$99=TRUE,SUM(F128:F$350),"")</f>
        <v>1906901</v>
      </c>
      <c r="Z128">
        <f>IF($Z$99=TRUE,SUM(G128:G$350)/1000000,"")</f>
        <v>4518357.42</v>
      </c>
      <c r="AA128">
        <f>IF($AA$99=TRUE,SUM(H128:H$350)/1000000,"")</f>
        <v>15969347.199999999</v>
      </c>
      <c r="AB128">
        <f>IF($AB$99=TRUE,SUM(AH128:AH$350)/1000,"")</f>
        <v>69740660.254999995</v>
      </c>
      <c r="AD128" s="1">
        <v>45642</v>
      </c>
      <c r="AE128">
        <v>328.15</v>
      </c>
      <c r="AF128">
        <v>106.71</v>
      </c>
      <c r="AG128" s="1">
        <v>45643</v>
      </c>
      <c r="AH128">
        <v>-285129</v>
      </c>
      <c r="AI128" s="1">
        <v>45661</v>
      </c>
      <c r="AJ128">
        <v>5681.2780000000002</v>
      </c>
      <c r="AK128">
        <v>63.119</v>
      </c>
      <c r="AL128">
        <v>3925.0059999999999</v>
      </c>
      <c r="AM128">
        <v>1213.163</v>
      </c>
      <c r="AN128">
        <v>1039.433</v>
      </c>
    </row>
    <row r="129" spans="4:40" hidden="1">
      <c r="D129" s="1">
        <v>45639</v>
      </c>
      <c r="E129">
        <v>-174556</v>
      </c>
      <c r="F129">
        <v>6180</v>
      </c>
      <c r="G129">
        <v>-80269225000</v>
      </c>
      <c r="H129">
        <v>-53780210000</v>
      </c>
      <c r="I129">
        <v>-708463790000</v>
      </c>
      <c r="J129">
        <v>4548600000</v>
      </c>
      <c r="K129" s="1">
        <v>45639</v>
      </c>
      <c r="L129">
        <v>2494.46</v>
      </c>
      <c r="M129">
        <v>693.73</v>
      </c>
      <c r="N129">
        <v>577737</v>
      </c>
      <c r="O129">
        <v>329.9</v>
      </c>
      <c r="P129">
        <v>106.78</v>
      </c>
      <c r="Q129" s="1">
        <v>45642</v>
      </c>
      <c r="R129">
        <v>2.5529999999999999</v>
      </c>
      <c r="S129">
        <v>2.6549999999999998</v>
      </c>
      <c r="T129">
        <v>2.7210000000000001</v>
      </c>
      <c r="U129">
        <v>3.2120000000000002</v>
      </c>
      <c r="V129">
        <v>3.38</v>
      </c>
      <c r="W129">
        <f t="shared" si="0"/>
        <v>45639</v>
      </c>
      <c r="X129">
        <f>IF($X$99=TRUE,SUM(E129:E$350),"")</f>
        <v>-60782</v>
      </c>
      <c r="Y129">
        <f>IF($Y$99=TRUE,SUM(F129:F$350),"")</f>
        <v>2021596</v>
      </c>
      <c r="Z129">
        <f>IF($Z$99=TRUE,SUM(G129:G$350)/1000000,"")</f>
        <v>4589456.8075000001</v>
      </c>
      <c r="AA129">
        <f>IF($AA$99=TRUE,SUM(H129:H$350)/1000000,"")</f>
        <v>16532567.68</v>
      </c>
      <c r="AB129">
        <f>IF($AB$99=TRUE,SUM(AH129:AH$350)/1000,"")</f>
        <v>69740945.384000003</v>
      </c>
      <c r="AD129" s="1">
        <v>45639</v>
      </c>
      <c r="AE129">
        <v>329.9</v>
      </c>
      <c r="AF129">
        <v>106.78</v>
      </c>
      <c r="AG129" s="1">
        <v>45642</v>
      </c>
      <c r="AH129">
        <v>-54860438</v>
      </c>
      <c r="AI129" s="1">
        <v>45660</v>
      </c>
      <c r="AJ129">
        <v>5681.2780000000002</v>
      </c>
      <c r="AK129">
        <v>63.119</v>
      </c>
      <c r="AL129">
        <v>3925.0059999999999</v>
      </c>
      <c r="AM129">
        <v>1213.163</v>
      </c>
      <c r="AN129">
        <v>1039.433</v>
      </c>
    </row>
    <row r="130" spans="4:40" hidden="1">
      <c r="D130" s="1">
        <v>45638</v>
      </c>
      <c r="E130">
        <v>-22688</v>
      </c>
      <c r="F130">
        <v>-55496</v>
      </c>
      <c r="G130">
        <v>459137325000</v>
      </c>
      <c r="H130">
        <v>-179864340000</v>
      </c>
      <c r="I130">
        <v>-912898540000</v>
      </c>
      <c r="J130">
        <v>0</v>
      </c>
      <c r="K130" s="1">
        <v>45638</v>
      </c>
      <c r="L130">
        <v>2482.12</v>
      </c>
      <c r="M130">
        <v>683.35</v>
      </c>
      <c r="N130">
        <v>664187</v>
      </c>
      <c r="O130">
        <v>329.8</v>
      </c>
      <c r="P130">
        <v>106.71</v>
      </c>
      <c r="Q130" s="1">
        <v>45639</v>
      </c>
      <c r="R130">
        <v>2.5409999999999999</v>
      </c>
      <c r="S130">
        <v>2.6230000000000002</v>
      </c>
      <c r="T130">
        <v>2.6760000000000002</v>
      </c>
      <c r="U130">
        <v>3.1970000000000001</v>
      </c>
      <c r="V130">
        <v>3.32</v>
      </c>
      <c r="W130">
        <f t="shared" si="0"/>
        <v>45638</v>
      </c>
      <c r="X130">
        <f>IF($X$99=TRUE,SUM(E130:E$350),"")</f>
        <v>113774</v>
      </c>
      <c r="Y130">
        <f>IF($Y$99=TRUE,SUM(F130:F$350),"")</f>
        <v>2015416</v>
      </c>
      <c r="Z130">
        <f>IF($Z$99=TRUE,SUM(G130:G$350)/1000000,"")</f>
        <v>4669726.0324999997</v>
      </c>
      <c r="AA130">
        <f>IF($AA$99=TRUE,SUM(H130:H$350)/1000000,"")</f>
        <v>16586347.890000001</v>
      </c>
      <c r="AB130">
        <f>IF($AB$99=TRUE,SUM(AH130:AH$350)/1000,"")</f>
        <v>69795805.821999997</v>
      </c>
      <c r="AD130" s="1">
        <v>45638</v>
      </c>
      <c r="AE130">
        <v>329.8</v>
      </c>
      <c r="AF130">
        <v>106.71</v>
      </c>
      <c r="AG130" s="1">
        <v>45639</v>
      </c>
      <c r="AH130">
        <v>347239986</v>
      </c>
      <c r="AI130" s="1">
        <v>45659</v>
      </c>
      <c r="AJ130">
        <v>5607.5140000000001</v>
      </c>
      <c r="AK130">
        <v>62.993000000000002</v>
      </c>
      <c r="AL130">
        <v>3931.125</v>
      </c>
      <c r="AM130">
        <v>1215.6030000000001</v>
      </c>
      <c r="AN130">
        <v>1044.7639999999999</v>
      </c>
    </row>
    <row r="131" spans="4:40" hidden="1">
      <c r="D131" s="1">
        <v>45637</v>
      </c>
      <c r="E131">
        <v>-141294</v>
      </c>
      <c r="F131">
        <v>-67798</v>
      </c>
      <c r="G131">
        <v>-121829812500</v>
      </c>
      <c r="H131">
        <v>-954627060000</v>
      </c>
      <c r="I131">
        <v>-1008162090000</v>
      </c>
      <c r="J131">
        <v>2800000</v>
      </c>
      <c r="K131" s="1">
        <v>45637</v>
      </c>
      <c r="L131">
        <v>2442.5100000000002</v>
      </c>
      <c r="M131">
        <v>675.92</v>
      </c>
      <c r="N131">
        <v>617716</v>
      </c>
      <c r="O131">
        <v>324.05</v>
      </c>
      <c r="P131">
        <v>106.77</v>
      </c>
      <c r="Q131" s="1">
        <v>45638</v>
      </c>
      <c r="R131">
        <v>2.5489999999999999</v>
      </c>
      <c r="S131">
        <v>2.6280000000000001</v>
      </c>
      <c r="T131">
        <v>2.7</v>
      </c>
      <c r="U131">
        <v>3.2</v>
      </c>
      <c r="V131">
        <v>3.31</v>
      </c>
      <c r="W131">
        <f t="shared" si="0"/>
        <v>45637</v>
      </c>
      <c r="X131">
        <f>IF($X$99=TRUE,SUM(E131:E$350),"")</f>
        <v>136462</v>
      </c>
      <c r="Y131">
        <f>IF($Y$99=TRUE,SUM(F131:F$350),"")</f>
        <v>2070912</v>
      </c>
      <c r="Z131">
        <f>IF($Z$99=TRUE,SUM(G131:G$350)/1000000,"")</f>
        <v>4210588.7074999996</v>
      </c>
      <c r="AA131">
        <f>IF($AA$99=TRUE,SUM(H131:H$350)/1000000,"")</f>
        <v>16766212.23</v>
      </c>
      <c r="AB131">
        <f>IF($AB$99=TRUE,SUM(AH131:AH$350)/1000,"")</f>
        <v>69448565.835999995</v>
      </c>
      <c r="AD131" s="1">
        <v>45637</v>
      </c>
      <c r="AE131">
        <v>324.05</v>
      </c>
      <c r="AF131">
        <v>106.77</v>
      </c>
      <c r="AG131" s="1">
        <v>45638</v>
      </c>
      <c r="AH131">
        <v>975750317</v>
      </c>
      <c r="AI131" s="1">
        <v>45658</v>
      </c>
      <c r="AJ131">
        <v>5617.2020000000002</v>
      </c>
      <c r="AK131">
        <v>64.489999999999995</v>
      </c>
      <c r="AL131">
        <v>3931</v>
      </c>
      <c r="AM131">
        <v>1217</v>
      </c>
      <c r="AN131">
        <v>1028.461</v>
      </c>
    </row>
    <row r="132" spans="4:40" hidden="1">
      <c r="D132" s="1">
        <v>45636</v>
      </c>
      <c r="E132">
        <v>-106675</v>
      </c>
      <c r="F132">
        <v>291579</v>
      </c>
      <c r="G132">
        <v>551470850000</v>
      </c>
      <c r="H132">
        <v>162188720000</v>
      </c>
      <c r="I132">
        <v>-1444397790000</v>
      </c>
      <c r="J132">
        <v>0</v>
      </c>
      <c r="K132" s="1">
        <v>45636</v>
      </c>
      <c r="L132">
        <v>2417.84</v>
      </c>
      <c r="M132">
        <v>661.59</v>
      </c>
      <c r="N132">
        <v>598770</v>
      </c>
      <c r="O132">
        <v>320.85000000000002</v>
      </c>
      <c r="P132">
        <v>106.86</v>
      </c>
      <c r="Q132" s="1">
        <v>45637</v>
      </c>
      <c r="R132">
        <v>2.536</v>
      </c>
      <c r="S132">
        <v>2.617</v>
      </c>
      <c r="T132">
        <v>2.6920000000000002</v>
      </c>
      <c r="U132">
        <v>3.1880000000000002</v>
      </c>
      <c r="V132">
        <v>3.33</v>
      </c>
      <c r="W132">
        <f t="shared" si="0"/>
        <v>45636</v>
      </c>
      <c r="X132">
        <f>IF($X$99=TRUE,SUM(E132:E$350),"")</f>
        <v>277756</v>
      </c>
      <c r="Y132">
        <f>IF($Y$99=TRUE,SUM(F132:F$350),"")</f>
        <v>2138710</v>
      </c>
      <c r="Z132">
        <f>IF($Z$99=TRUE,SUM(G132:G$350)/1000000,"")</f>
        <v>4332418.5199999996</v>
      </c>
      <c r="AA132">
        <f>IF($AA$99=TRUE,SUM(H132:H$350)/1000000,"")</f>
        <v>17720839.289999999</v>
      </c>
      <c r="AB132">
        <f>IF($AB$99=TRUE,SUM(AH132:AH$350)/1000,"")</f>
        <v>68472815.518999994</v>
      </c>
      <c r="AD132" s="1">
        <v>45636</v>
      </c>
      <c r="AE132">
        <v>320.85000000000002</v>
      </c>
      <c r="AF132">
        <v>106.86</v>
      </c>
      <c r="AG132" s="1">
        <v>45637</v>
      </c>
      <c r="AH132">
        <v>390496937</v>
      </c>
      <c r="AI132" s="1">
        <v>45657</v>
      </c>
      <c r="AJ132">
        <v>5617.2020000000002</v>
      </c>
      <c r="AK132">
        <v>64.489999999999995</v>
      </c>
      <c r="AL132">
        <v>3931</v>
      </c>
      <c r="AM132">
        <v>1217</v>
      </c>
      <c r="AN132">
        <v>1024.127</v>
      </c>
    </row>
    <row r="133" spans="4:40" hidden="1">
      <c r="D133" s="1">
        <v>45635</v>
      </c>
      <c r="E133">
        <v>104877</v>
      </c>
      <c r="F133">
        <v>206374</v>
      </c>
      <c r="G133">
        <v>204254362500</v>
      </c>
      <c r="H133">
        <v>438959870000</v>
      </c>
      <c r="I133">
        <v>-39001950000</v>
      </c>
      <c r="J133">
        <v>0</v>
      </c>
      <c r="K133" s="1">
        <v>45635</v>
      </c>
      <c r="L133">
        <v>2360.58</v>
      </c>
      <c r="M133">
        <v>627.01</v>
      </c>
      <c r="N133">
        <v>591644</v>
      </c>
      <c r="O133">
        <v>314.10000000000002</v>
      </c>
      <c r="P133">
        <v>106.89</v>
      </c>
      <c r="Q133" s="1">
        <v>45636</v>
      </c>
      <c r="R133">
        <v>2.524</v>
      </c>
      <c r="S133">
        <v>2.5859999999999999</v>
      </c>
      <c r="T133">
        <v>2.645</v>
      </c>
      <c r="U133">
        <v>3.1749999999999998</v>
      </c>
      <c r="V133">
        <v>3.3</v>
      </c>
      <c r="W133">
        <f t="shared" si="0"/>
        <v>45635</v>
      </c>
      <c r="X133">
        <f>IF($X$99=TRUE,SUM(E133:E$350),"")</f>
        <v>384431</v>
      </c>
      <c r="Y133">
        <f>IF($Y$99=TRUE,SUM(F133:F$350),"")</f>
        <v>1847131</v>
      </c>
      <c r="Z133">
        <f>IF($Z$99=TRUE,SUM(G133:G$350)/1000000,"")</f>
        <v>3780947.67</v>
      </c>
      <c r="AA133">
        <f>IF($AA$99=TRUE,SUM(H133:H$350)/1000000,"")</f>
        <v>17558650.57</v>
      </c>
      <c r="AB133">
        <f>IF($AB$99=TRUE,SUM(AH133:AH$350)/1000,"")</f>
        <v>68082318.582000002</v>
      </c>
      <c r="AD133" s="1">
        <v>45635</v>
      </c>
      <c r="AE133">
        <v>314.10000000000002</v>
      </c>
      <c r="AF133">
        <v>106.89</v>
      </c>
      <c r="AG133" s="1">
        <v>45636</v>
      </c>
      <c r="AH133">
        <v>444487068</v>
      </c>
      <c r="AI133" s="1">
        <v>45656</v>
      </c>
      <c r="AJ133">
        <v>5642.4979999999996</v>
      </c>
      <c r="AK133">
        <v>64.646000000000001</v>
      </c>
      <c r="AL133">
        <v>3929.9989999999998</v>
      </c>
      <c r="AM133">
        <v>1207.8219999999999</v>
      </c>
      <c r="AN133">
        <v>1025.355</v>
      </c>
    </row>
    <row r="134" spans="4:40" hidden="1">
      <c r="D134" s="1">
        <v>45632</v>
      </c>
      <c r="E134">
        <v>-284258</v>
      </c>
      <c r="F134">
        <v>35043</v>
      </c>
      <c r="G134">
        <v>327967487500</v>
      </c>
      <c r="H134">
        <v>-239176860000</v>
      </c>
      <c r="I134">
        <v>356612230000</v>
      </c>
      <c r="J134">
        <v>0</v>
      </c>
      <c r="K134" s="1">
        <v>45632</v>
      </c>
      <c r="L134">
        <v>2428.16</v>
      </c>
      <c r="M134">
        <v>661.33</v>
      </c>
      <c r="N134">
        <v>630408</v>
      </c>
      <c r="O134">
        <v>322.64999999999998</v>
      </c>
      <c r="P134">
        <v>106.75</v>
      </c>
      <c r="Q134" s="1">
        <v>45635</v>
      </c>
      <c r="R134">
        <v>2.5790000000000002</v>
      </c>
      <c r="S134">
        <v>2.5790000000000002</v>
      </c>
      <c r="T134">
        <v>2.677</v>
      </c>
      <c r="U134">
        <v>3.173</v>
      </c>
      <c r="V134">
        <v>3.28</v>
      </c>
      <c r="W134">
        <f t="shared" si="0"/>
        <v>45632</v>
      </c>
      <c r="X134">
        <f>IF($X$99=TRUE,SUM(E134:E$350),"")</f>
        <v>279554</v>
      </c>
      <c r="Y134">
        <f>IF($Y$99=TRUE,SUM(F134:F$350),"")</f>
        <v>1640757</v>
      </c>
      <c r="Z134">
        <f>IF($Z$99=TRUE,SUM(G134:G$350)/1000000,"")</f>
        <v>3576693.3075000001</v>
      </c>
      <c r="AA134">
        <f>IF($AA$99=TRUE,SUM(H134:H$350)/1000000,"")</f>
        <v>17119690.699999999</v>
      </c>
      <c r="AB134">
        <f>IF($AB$99=TRUE,SUM(AH134:AH$350)/1000,"")</f>
        <v>67637831.513999999</v>
      </c>
      <c r="AD134" s="1">
        <v>45632</v>
      </c>
      <c r="AE134">
        <v>322.64999999999998</v>
      </c>
      <c r="AF134">
        <v>106.75</v>
      </c>
      <c r="AG134" s="1">
        <v>45635</v>
      </c>
      <c r="AH134">
        <v>148739649</v>
      </c>
      <c r="AI134" s="1">
        <v>45655</v>
      </c>
      <c r="AJ134">
        <v>5703.8019999999997</v>
      </c>
      <c r="AK134">
        <v>64.924000000000007</v>
      </c>
      <c r="AL134">
        <v>3948.9009999999998</v>
      </c>
      <c r="AM134">
        <v>1218.789</v>
      </c>
      <c r="AN134">
        <v>1029.9770000000001</v>
      </c>
    </row>
    <row r="135" spans="4:40" hidden="1">
      <c r="D135" s="1">
        <v>45631</v>
      </c>
      <c r="E135">
        <v>-316443</v>
      </c>
      <c r="F135">
        <v>-22091</v>
      </c>
      <c r="G135">
        <v>-8396800000</v>
      </c>
      <c r="H135">
        <v>-1011867170000</v>
      </c>
      <c r="I135">
        <v>447440250000</v>
      </c>
      <c r="J135">
        <v>0</v>
      </c>
      <c r="K135" s="1">
        <v>45631</v>
      </c>
      <c r="L135">
        <v>2441.85</v>
      </c>
      <c r="M135">
        <v>670.94</v>
      </c>
      <c r="N135">
        <v>519351</v>
      </c>
      <c r="O135">
        <v>323.95</v>
      </c>
      <c r="P135">
        <v>106.83</v>
      </c>
      <c r="Q135" s="1">
        <v>45632</v>
      </c>
      <c r="R135">
        <v>2.62</v>
      </c>
      <c r="S135">
        <v>2.633</v>
      </c>
      <c r="T135">
        <v>2.7440000000000002</v>
      </c>
      <c r="U135">
        <v>3.2120000000000002</v>
      </c>
      <c r="V135">
        <v>3.28</v>
      </c>
      <c r="W135">
        <f t="shared" si="0"/>
        <v>45631</v>
      </c>
      <c r="X135">
        <f>IF($X$99=TRUE,SUM(E135:E$350),"")</f>
        <v>563812</v>
      </c>
      <c r="Y135">
        <f>IF($Y$99=TRUE,SUM(F135:F$350),"")</f>
        <v>1605714</v>
      </c>
      <c r="Z135">
        <f>IF($Z$99=TRUE,SUM(G135:G$350)/1000000,"")</f>
        <v>3248725.82</v>
      </c>
      <c r="AA135">
        <f>IF($AA$99=TRUE,SUM(H135:H$350)/1000000,"")</f>
        <v>17358867.559999999</v>
      </c>
      <c r="AB135">
        <f>IF($AB$99=TRUE,SUM(AH135:AH$350)/1000,"")</f>
        <v>67489091.864999995</v>
      </c>
      <c r="AD135" s="1">
        <v>45631</v>
      </c>
      <c r="AE135">
        <v>323.95</v>
      </c>
      <c r="AF135">
        <v>106.83</v>
      </c>
      <c r="AG135" s="1">
        <v>45632</v>
      </c>
      <c r="AH135">
        <v>-101923764</v>
      </c>
      <c r="AI135" s="1">
        <v>45654</v>
      </c>
      <c r="AJ135">
        <v>5703.8019999999997</v>
      </c>
      <c r="AK135">
        <v>64.924000000000007</v>
      </c>
      <c r="AL135">
        <v>3948.9009999999998</v>
      </c>
      <c r="AM135">
        <v>1218.789</v>
      </c>
      <c r="AN135">
        <v>1029.9770000000001</v>
      </c>
    </row>
    <row r="136" spans="4:40" hidden="1">
      <c r="D136" s="1">
        <v>45630</v>
      </c>
      <c r="E136">
        <v>-407964</v>
      </c>
      <c r="F136">
        <v>-15432</v>
      </c>
      <c r="G136">
        <v>-220132462500</v>
      </c>
      <c r="H136">
        <v>706260470000</v>
      </c>
      <c r="I136">
        <v>375652340000</v>
      </c>
      <c r="J136">
        <v>0</v>
      </c>
      <c r="K136" s="1">
        <v>45630</v>
      </c>
      <c r="L136">
        <v>2464</v>
      </c>
      <c r="M136">
        <v>677.15</v>
      </c>
      <c r="N136">
        <v>670284</v>
      </c>
      <c r="O136">
        <v>325.64999999999998</v>
      </c>
      <c r="P136">
        <v>106.75</v>
      </c>
      <c r="Q136" s="1">
        <v>45631</v>
      </c>
      <c r="R136">
        <v>2.6030000000000002</v>
      </c>
      <c r="S136">
        <v>2.62</v>
      </c>
      <c r="T136">
        <v>2.738</v>
      </c>
      <c r="U136">
        <v>3.194</v>
      </c>
      <c r="V136">
        <v>3.28</v>
      </c>
      <c r="W136">
        <f t="shared" si="0"/>
        <v>45630</v>
      </c>
      <c r="X136">
        <f>IF($X$99=TRUE,SUM(E136:E$350),"")</f>
        <v>880255</v>
      </c>
      <c r="Y136">
        <f>IF($Y$99=TRUE,SUM(F136:F$350),"")</f>
        <v>1627805</v>
      </c>
      <c r="Z136">
        <f>IF($Z$99=TRUE,SUM(G136:G$350)/1000000,"")</f>
        <v>3257122.62</v>
      </c>
      <c r="AA136">
        <f>IF($AA$99=TRUE,SUM(H136:H$350)/1000000,"")</f>
        <v>18370734.73</v>
      </c>
      <c r="AB136">
        <f>IF($AB$99=TRUE,SUM(AH136:AH$350)/1000,"")</f>
        <v>67591015.628999993</v>
      </c>
      <c r="AD136" s="1">
        <v>45630</v>
      </c>
      <c r="AE136">
        <v>325.64999999999998</v>
      </c>
      <c r="AF136">
        <v>106.75</v>
      </c>
      <c r="AG136" s="1">
        <v>45631</v>
      </c>
      <c r="AH136">
        <v>-331096299</v>
      </c>
      <c r="AI136" s="1">
        <v>45653</v>
      </c>
      <c r="AJ136">
        <v>5703.8019999999997</v>
      </c>
      <c r="AK136">
        <v>64.924000000000007</v>
      </c>
      <c r="AL136">
        <v>3948.9009999999998</v>
      </c>
      <c r="AM136">
        <v>1218.789</v>
      </c>
      <c r="AN136">
        <v>1029.9770000000001</v>
      </c>
    </row>
    <row r="137" spans="4:40" hidden="1">
      <c r="D137" s="1">
        <v>45629</v>
      </c>
      <c r="E137">
        <v>564511</v>
      </c>
      <c r="F137">
        <v>232372</v>
      </c>
      <c r="G137">
        <v>503866650000</v>
      </c>
      <c r="H137">
        <v>-265521370000</v>
      </c>
      <c r="I137">
        <v>1124128460000</v>
      </c>
      <c r="J137">
        <v>0</v>
      </c>
      <c r="K137" s="1">
        <v>45629</v>
      </c>
      <c r="L137">
        <v>2500.1</v>
      </c>
      <c r="M137">
        <v>690.8</v>
      </c>
      <c r="N137">
        <v>324137</v>
      </c>
      <c r="O137">
        <v>331</v>
      </c>
      <c r="P137">
        <v>106.87</v>
      </c>
      <c r="Q137" s="1">
        <v>45630</v>
      </c>
      <c r="R137">
        <v>2.6259999999999999</v>
      </c>
      <c r="S137">
        <v>2.64</v>
      </c>
      <c r="T137">
        <v>2.7650000000000001</v>
      </c>
      <c r="U137">
        <v>3.21</v>
      </c>
      <c r="V137">
        <v>3.28</v>
      </c>
      <c r="W137">
        <f t="shared" si="0"/>
        <v>45629</v>
      </c>
      <c r="X137">
        <f>IF($X$99=TRUE,SUM(E137:E$350),"")</f>
        <v>1288219</v>
      </c>
      <c r="Y137">
        <f>IF($Y$99=TRUE,SUM(F137:F$350),"")</f>
        <v>1643237</v>
      </c>
      <c r="Z137">
        <f>IF($Z$99=TRUE,SUM(G137:G$350)/1000000,"")</f>
        <v>3477255.0825</v>
      </c>
      <c r="AA137">
        <f>IF($AA$99=TRUE,SUM(H137:H$350)/1000000,"")</f>
        <v>17664474.260000002</v>
      </c>
      <c r="AB137">
        <f>IF($AB$99=TRUE,SUM(AH137:AH$350)/1000,"")</f>
        <v>67922111.928000003</v>
      </c>
      <c r="AD137" s="1">
        <v>45629</v>
      </c>
      <c r="AE137">
        <v>331</v>
      </c>
      <c r="AF137">
        <v>106.87</v>
      </c>
      <c r="AG137" s="1">
        <v>45630</v>
      </c>
      <c r="AH137">
        <v>497673992</v>
      </c>
      <c r="AI137" s="1">
        <v>45652</v>
      </c>
      <c r="AJ137">
        <v>5768.3869999999997</v>
      </c>
      <c r="AK137">
        <v>65.054000000000002</v>
      </c>
      <c r="AL137">
        <v>3884.0880000000002</v>
      </c>
      <c r="AM137">
        <v>1209.82</v>
      </c>
      <c r="AN137">
        <v>1033.115</v>
      </c>
    </row>
    <row r="138" spans="4:40" hidden="1">
      <c r="D138" s="1">
        <v>45628</v>
      </c>
      <c r="E138">
        <v>-130141</v>
      </c>
      <c r="F138">
        <v>123005</v>
      </c>
      <c r="G138">
        <v>368737312500</v>
      </c>
      <c r="H138">
        <v>776453120000</v>
      </c>
      <c r="I138">
        <v>1183172710000</v>
      </c>
      <c r="J138">
        <v>0</v>
      </c>
      <c r="K138" s="1">
        <v>45628</v>
      </c>
      <c r="L138">
        <v>2454.48</v>
      </c>
      <c r="M138">
        <v>675.84</v>
      </c>
      <c r="N138">
        <v>328109</v>
      </c>
      <c r="O138">
        <v>325.95</v>
      </c>
      <c r="P138">
        <v>106.94</v>
      </c>
      <c r="Q138" s="1">
        <v>45629</v>
      </c>
      <c r="R138">
        <v>2.585</v>
      </c>
      <c r="S138">
        <v>2.6059999999999999</v>
      </c>
      <c r="T138">
        <v>2.7130000000000001</v>
      </c>
      <c r="U138">
        <v>3.169</v>
      </c>
      <c r="V138">
        <v>3.28</v>
      </c>
      <c r="W138">
        <f t="shared" si="0"/>
        <v>45628</v>
      </c>
      <c r="X138">
        <f>IF($X$99=TRUE,SUM(E138:E$350),"")</f>
        <v>723708</v>
      </c>
      <c r="Y138">
        <f>IF($Y$99=TRUE,SUM(F138:F$350),"")</f>
        <v>1410865</v>
      </c>
      <c r="Z138">
        <f>IF($Z$99=TRUE,SUM(G138:G$350)/1000000,"")</f>
        <v>2973388.4325000001</v>
      </c>
      <c r="AA138">
        <f>IF($AA$99=TRUE,SUM(H138:H$350)/1000000,"")</f>
        <v>17929995.629999999</v>
      </c>
      <c r="AB138">
        <f>IF($AB$99=TRUE,SUM(AH138:AH$350)/1000,"")</f>
        <v>67424437.936000004</v>
      </c>
      <c r="AD138" s="1">
        <v>45628</v>
      </c>
      <c r="AE138">
        <v>325.95</v>
      </c>
      <c r="AF138">
        <v>106.94</v>
      </c>
      <c r="AG138" s="1">
        <v>45629</v>
      </c>
      <c r="AH138">
        <v>337364055</v>
      </c>
      <c r="AI138" s="1">
        <v>45651</v>
      </c>
      <c r="AJ138">
        <v>5771.1260000000002</v>
      </c>
      <c r="AK138">
        <v>65.08</v>
      </c>
      <c r="AL138">
        <v>3852.3110000000001</v>
      </c>
      <c r="AM138">
        <v>1212.673</v>
      </c>
      <c r="AN138">
        <v>1031.866</v>
      </c>
    </row>
    <row r="139" spans="4:40" hidden="1">
      <c r="D139" s="1">
        <v>45625</v>
      </c>
      <c r="E139">
        <v>-748290</v>
      </c>
      <c r="F139">
        <v>-108802</v>
      </c>
      <c r="G139">
        <v>156763587500</v>
      </c>
      <c r="H139">
        <v>913080290000</v>
      </c>
      <c r="I139">
        <v>-38694690000</v>
      </c>
      <c r="J139">
        <v>0</v>
      </c>
      <c r="K139" s="1">
        <v>45625</v>
      </c>
      <c r="L139">
        <v>2455.91</v>
      </c>
      <c r="M139">
        <v>678.19</v>
      </c>
      <c r="N139">
        <v>384278</v>
      </c>
      <c r="O139">
        <v>326.3</v>
      </c>
      <c r="P139">
        <v>106.78</v>
      </c>
      <c r="Q139" s="1">
        <v>45628</v>
      </c>
      <c r="R139">
        <v>2.5670000000000002</v>
      </c>
      <c r="S139">
        <v>2.5960000000000001</v>
      </c>
      <c r="T139">
        <v>2.6970000000000001</v>
      </c>
      <c r="U139">
        <v>3.1560000000000001</v>
      </c>
      <c r="V139">
        <v>3.28</v>
      </c>
      <c r="W139">
        <f t="shared" si="0"/>
        <v>45625</v>
      </c>
      <c r="X139">
        <f>IF($X$99=TRUE,SUM(E139:E$350),"")</f>
        <v>853849</v>
      </c>
      <c r="Y139">
        <f>IF($Y$99=TRUE,SUM(F139:F$350),"")</f>
        <v>1287860</v>
      </c>
      <c r="Z139">
        <f>IF($Z$99=TRUE,SUM(G139:G$350)/1000000,"")</f>
        <v>2604651.12</v>
      </c>
      <c r="AA139">
        <f>IF($AA$99=TRUE,SUM(H139:H$350)/1000000,"")</f>
        <v>17153542.510000002</v>
      </c>
      <c r="AB139">
        <f>IF($AB$99=TRUE,SUM(AH139:AH$350)/1000,"")</f>
        <v>67087073.880999997</v>
      </c>
      <c r="AD139" s="1">
        <v>45625</v>
      </c>
      <c r="AE139">
        <v>326.3</v>
      </c>
      <c r="AF139">
        <v>106.78</v>
      </c>
      <c r="AG139" s="1">
        <v>45628</v>
      </c>
      <c r="AH139">
        <v>56404544</v>
      </c>
      <c r="AI139" s="1">
        <v>45650</v>
      </c>
      <c r="AJ139">
        <v>5771.1260000000002</v>
      </c>
      <c r="AK139">
        <v>65.081999999999994</v>
      </c>
      <c r="AL139">
        <v>3839.3290000000002</v>
      </c>
      <c r="AM139">
        <v>1212.673</v>
      </c>
      <c r="AN139">
        <v>1031.866</v>
      </c>
    </row>
    <row r="140" spans="4:40" hidden="1">
      <c r="D140" s="1">
        <v>45624</v>
      </c>
      <c r="E140">
        <v>-491391</v>
      </c>
      <c r="F140">
        <v>-82338</v>
      </c>
      <c r="G140">
        <v>3722675000</v>
      </c>
      <c r="H140">
        <v>1870562870000</v>
      </c>
      <c r="I140">
        <v>83756660000</v>
      </c>
      <c r="J140">
        <v>0</v>
      </c>
      <c r="K140" s="1">
        <v>45624</v>
      </c>
      <c r="L140">
        <v>2504.67</v>
      </c>
      <c r="M140">
        <v>694.39</v>
      </c>
      <c r="N140">
        <v>342571</v>
      </c>
      <c r="O140">
        <v>331.8</v>
      </c>
      <c r="P140">
        <v>106.7</v>
      </c>
      <c r="Q140" s="1">
        <v>45625</v>
      </c>
      <c r="R140">
        <v>2.6070000000000002</v>
      </c>
      <c r="S140">
        <v>2.65</v>
      </c>
      <c r="T140">
        <v>2.7509999999999999</v>
      </c>
      <c r="U140">
        <v>3.194</v>
      </c>
      <c r="V140">
        <v>3.29</v>
      </c>
      <c r="W140">
        <f t="shared" si="0"/>
        <v>45624</v>
      </c>
      <c r="X140">
        <f>IF($X$99=TRUE,SUM(E140:E$350),"")</f>
        <v>1602139</v>
      </c>
      <c r="Y140">
        <f>IF($Y$99=TRUE,SUM(F140:F$350),"")</f>
        <v>1396662</v>
      </c>
      <c r="Z140">
        <f>IF($Z$99=TRUE,SUM(G140:G$350)/1000000,"")</f>
        <v>2447887.5325000002</v>
      </c>
      <c r="AA140">
        <f>IF($AA$99=TRUE,SUM(H140:H$350)/1000000,"")</f>
        <v>16240462.220000001</v>
      </c>
      <c r="AB140">
        <f>IF($AB$99=TRUE,SUM(AH140:AH$350)/1000,"")</f>
        <v>67030669.336999997</v>
      </c>
      <c r="AD140" s="1">
        <v>45624</v>
      </c>
      <c r="AE140">
        <v>331.8</v>
      </c>
      <c r="AF140">
        <v>106.7</v>
      </c>
      <c r="AG140" s="1">
        <v>45625</v>
      </c>
      <c r="AH140">
        <v>-229761021</v>
      </c>
      <c r="AI140" s="1">
        <v>45649</v>
      </c>
      <c r="AJ140">
        <v>5708.1130000000003</v>
      </c>
      <c r="AK140">
        <v>64.414000000000001</v>
      </c>
      <c r="AL140">
        <v>3843.018</v>
      </c>
      <c r="AM140">
        <v>1205.5129999999999</v>
      </c>
      <c r="AN140">
        <v>1034.116</v>
      </c>
    </row>
    <row r="141" spans="4:40" hidden="1">
      <c r="D141" s="1">
        <v>45623</v>
      </c>
      <c r="E141">
        <v>-334396</v>
      </c>
      <c r="F141">
        <v>6401</v>
      </c>
      <c r="G141">
        <v>-74394212500</v>
      </c>
      <c r="H141">
        <v>814595890000</v>
      </c>
      <c r="I141">
        <v>671324940000</v>
      </c>
      <c r="J141">
        <v>0</v>
      </c>
      <c r="K141" s="1">
        <v>45623</v>
      </c>
      <c r="L141">
        <v>2503.06</v>
      </c>
      <c r="M141">
        <v>692</v>
      </c>
      <c r="N141">
        <v>414339</v>
      </c>
      <c r="O141">
        <v>333.5</v>
      </c>
      <c r="P141">
        <v>106.41</v>
      </c>
      <c r="Q141" s="1">
        <v>45624</v>
      </c>
      <c r="R141">
        <v>2.6379999999999999</v>
      </c>
      <c r="S141">
        <v>2.6859999999999999</v>
      </c>
      <c r="T141">
        <v>2.7879999999999998</v>
      </c>
      <c r="U141">
        <v>3.22</v>
      </c>
      <c r="V141">
        <v>3.29</v>
      </c>
      <c r="W141">
        <f t="shared" si="0"/>
        <v>45623</v>
      </c>
      <c r="X141">
        <f>IF($X$99=TRUE,SUM(E141:E$350),"")</f>
        <v>2093530</v>
      </c>
      <c r="Y141">
        <f>IF($Y$99=TRUE,SUM(F141:F$350),"")</f>
        <v>1479000</v>
      </c>
      <c r="Z141">
        <f>IF($Z$99=TRUE,SUM(G141:G$350)/1000000,"")</f>
        <v>2444164.8574999999</v>
      </c>
      <c r="AA141">
        <f>IF($AA$99=TRUE,SUM(H141:H$350)/1000000,"")</f>
        <v>14369899.35</v>
      </c>
      <c r="AB141">
        <f>IF($AB$99=TRUE,SUM(AH141:AH$350)/1000,"")</f>
        <v>67260430.357999995</v>
      </c>
      <c r="AD141" s="1">
        <v>45623</v>
      </c>
      <c r="AE141">
        <v>333.5</v>
      </c>
      <c r="AF141">
        <v>106.41</v>
      </c>
      <c r="AG141" s="1">
        <v>45624</v>
      </c>
      <c r="AH141">
        <v>54052937</v>
      </c>
      <c r="AI141" s="1">
        <v>45648</v>
      </c>
      <c r="AJ141">
        <v>5669.8280000000004</v>
      </c>
      <c r="AK141">
        <v>64.158000000000001</v>
      </c>
      <c r="AL141">
        <v>3820.83</v>
      </c>
      <c r="AM141">
        <v>1204.7090000000001</v>
      </c>
      <c r="AN141">
        <v>1029.9010000000001</v>
      </c>
    </row>
    <row r="142" spans="4:40" hidden="1">
      <c r="D142" s="1">
        <v>45622</v>
      </c>
      <c r="E142">
        <v>-67600</v>
      </c>
      <c r="F142">
        <v>-206690</v>
      </c>
      <c r="G142">
        <v>-350234850000</v>
      </c>
      <c r="H142">
        <v>1196595230000</v>
      </c>
      <c r="I142">
        <v>1623331990000</v>
      </c>
      <c r="J142">
        <v>0</v>
      </c>
      <c r="K142" s="1">
        <v>45622</v>
      </c>
      <c r="L142">
        <v>2520.36</v>
      </c>
      <c r="M142">
        <v>693.15</v>
      </c>
      <c r="N142">
        <v>441708</v>
      </c>
      <c r="O142">
        <v>335.9</v>
      </c>
      <c r="P142">
        <v>106.32</v>
      </c>
      <c r="Q142" s="1">
        <v>45623</v>
      </c>
      <c r="R142">
        <v>2.7410000000000001</v>
      </c>
      <c r="S142">
        <v>2.7829999999999999</v>
      </c>
      <c r="T142">
        <v>2.88</v>
      </c>
      <c r="U142">
        <v>3.3159999999999998</v>
      </c>
      <c r="V142">
        <v>3.44</v>
      </c>
      <c r="W142">
        <f t="shared" si="0"/>
        <v>45622</v>
      </c>
      <c r="X142">
        <f>IF($X$99=TRUE,SUM(E142:E$350),"")</f>
        <v>2427926</v>
      </c>
      <c r="Y142">
        <f>IF($Y$99=TRUE,SUM(F142:F$350),"")</f>
        <v>1472599</v>
      </c>
      <c r="Z142">
        <f>IF($Z$99=TRUE,SUM(G142:G$350)/1000000,"")</f>
        <v>2518559.0699999998</v>
      </c>
      <c r="AA142">
        <f>IF($AA$99=TRUE,SUM(H142:H$350)/1000000,"")</f>
        <v>13555303.460000001</v>
      </c>
      <c r="AB142">
        <f>IF($AB$99=TRUE,SUM(AH142:AH$350)/1000,"")</f>
        <v>67206377.421000004</v>
      </c>
      <c r="AD142" s="1">
        <v>45622</v>
      </c>
      <c r="AE142">
        <v>335.9</v>
      </c>
      <c r="AF142">
        <v>106.32</v>
      </c>
      <c r="AG142" s="1">
        <v>45623</v>
      </c>
      <c r="AH142">
        <v>103067793</v>
      </c>
      <c r="AI142" s="1">
        <v>45647</v>
      </c>
      <c r="AJ142">
        <v>5669.8280000000004</v>
      </c>
      <c r="AK142">
        <v>64.158000000000001</v>
      </c>
      <c r="AL142">
        <v>3820.83</v>
      </c>
      <c r="AM142">
        <v>1204.7090000000001</v>
      </c>
      <c r="AN142">
        <v>1029.9010000000001</v>
      </c>
    </row>
    <row r="143" spans="4:40" hidden="1">
      <c r="D143" s="1">
        <v>45621</v>
      </c>
      <c r="E143">
        <v>-76774</v>
      </c>
      <c r="F143">
        <v>63362</v>
      </c>
      <c r="G143">
        <v>189883375000</v>
      </c>
      <c r="H143">
        <v>991509820000</v>
      </c>
      <c r="I143">
        <v>1330205750000</v>
      </c>
      <c r="J143">
        <v>0</v>
      </c>
      <c r="K143" s="1">
        <v>45621</v>
      </c>
      <c r="L143">
        <v>2534.34</v>
      </c>
      <c r="M143">
        <v>696.83</v>
      </c>
      <c r="N143">
        <v>564692</v>
      </c>
      <c r="O143">
        <v>336.85</v>
      </c>
      <c r="P143">
        <v>106.32</v>
      </c>
      <c r="Q143" s="1">
        <v>45622</v>
      </c>
      <c r="R143">
        <v>2.7730000000000001</v>
      </c>
      <c r="S143">
        <v>2.8130000000000002</v>
      </c>
      <c r="T143">
        <v>2.903</v>
      </c>
      <c r="U143">
        <v>3.343</v>
      </c>
      <c r="V143">
        <v>3.44</v>
      </c>
      <c r="W143">
        <f t="shared" si="0"/>
        <v>45621</v>
      </c>
      <c r="X143">
        <f>IF($X$99=TRUE,SUM(E143:E$350),"")</f>
        <v>2495526</v>
      </c>
      <c r="Y143">
        <f>IF($Y$99=TRUE,SUM(F143:F$350),"")</f>
        <v>1679289</v>
      </c>
      <c r="Z143">
        <f>IF($Z$99=TRUE,SUM(G143:G$350)/1000000,"")</f>
        <v>2868793.92</v>
      </c>
      <c r="AA143">
        <f>IF($AA$99=TRUE,SUM(H143:H$350)/1000000,"")</f>
        <v>12358708.23</v>
      </c>
      <c r="AB143">
        <f>IF($AB$99=TRUE,SUM(AH143:AH$350)/1000,"")</f>
        <v>67103309.627999999</v>
      </c>
      <c r="AD143" s="1">
        <v>45621</v>
      </c>
      <c r="AE143">
        <v>336.85</v>
      </c>
      <c r="AF143">
        <v>106.32</v>
      </c>
      <c r="AG143" s="1">
        <v>45622</v>
      </c>
      <c r="AH143">
        <v>537281126</v>
      </c>
      <c r="AI143" s="1">
        <v>45646</v>
      </c>
      <c r="AJ143">
        <v>5669.8280000000004</v>
      </c>
      <c r="AK143">
        <v>64.158000000000001</v>
      </c>
      <c r="AL143">
        <v>3820.83</v>
      </c>
      <c r="AM143">
        <v>1204.7090000000001</v>
      </c>
      <c r="AN143">
        <v>1029.9010000000001</v>
      </c>
    </row>
    <row r="144" spans="4:40" hidden="1">
      <c r="D144" s="1">
        <v>45618</v>
      </c>
      <c r="E144">
        <v>116152</v>
      </c>
      <c r="F144">
        <v>91922</v>
      </c>
      <c r="G144">
        <v>341774500000</v>
      </c>
      <c r="H144">
        <v>650200730000</v>
      </c>
      <c r="I144">
        <v>517251380000</v>
      </c>
      <c r="J144">
        <v>0</v>
      </c>
      <c r="K144" s="1">
        <v>45618</v>
      </c>
      <c r="L144">
        <v>2501.2399999999998</v>
      </c>
      <c r="M144">
        <v>677.01</v>
      </c>
      <c r="N144">
        <v>543517</v>
      </c>
      <c r="O144">
        <v>332.65</v>
      </c>
      <c r="P144">
        <v>106.18</v>
      </c>
      <c r="Q144" s="1">
        <v>45621</v>
      </c>
      <c r="R144">
        <v>2.7730000000000001</v>
      </c>
      <c r="S144">
        <v>2.8239999999999998</v>
      </c>
      <c r="T144">
        <v>2.92</v>
      </c>
      <c r="U144">
        <v>3.3420000000000001</v>
      </c>
      <c r="V144">
        <v>3.44</v>
      </c>
      <c r="W144">
        <f t="shared" si="0"/>
        <v>45618</v>
      </c>
      <c r="X144">
        <f>IF($X$99=TRUE,SUM(E144:E$350),"")</f>
        <v>2572300</v>
      </c>
      <c r="Y144">
        <f>IF($Y$99=TRUE,SUM(F144:F$350),"")</f>
        <v>1615927</v>
      </c>
      <c r="Z144">
        <f>IF($Z$99=TRUE,SUM(G144:G$350)/1000000,"")</f>
        <v>2678910.5449999999</v>
      </c>
      <c r="AA144">
        <f>IF($AA$99=TRUE,SUM(H144:H$350)/1000000,"")</f>
        <v>11367198.41</v>
      </c>
      <c r="AB144">
        <f>IF($AB$99=TRUE,SUM(AH144:AH$350)/1000,"")</f>
        <v>66566028.501999997</v>
      </c>
      <c r="AD144" s="1">
        <v>45618</v>
      </c>
      <c r="AE144">
        <v>332.65</v>
      </c>
      <c r="AF144">
        <v>106.18</v>
      </c>
      <c r="AG144" s="1">
        <v>45621</v>
      </c>
      <c r="AH144">
        <v>173299144</v>
      </c>
      <c r="AI144" s="1">
        <v>45645</v>
      </c>
      <c r="AJ144">
        <v>5606.5739999999996</v>
      </c>
      <c r="AK144">
        <v>64.268000000000001</v>
      </c>
      <c r="AL144">
        <v>3809.5990000000002</v>
      </c>
      <c r="AM144">
        <v>1208.8040000000001</v>
      </c>
      <c r="AN144">
        <v>1049.6420000000001</v>
      </c>
    </row>
    <row r="145" spans="4:40" hidden="1">
      <c r="D145" s="1">
        <v>45617</v>
      </c>
      <c r="E145">
        <v>-259962</v>
      </c>
      <c r="F145">
        <v>-76992</v>
      </c>
      <c r="G145">
        <v>-190363750000</v>
      </c>
      <c r="H145">
        <v>2271091510000</v>
      </c>
      <c r="I145">
        <v>433814490000</v>
      </c>
      <c r="J145">
        <v>0</v>
      </c>
      <c r="K145" s="1">
        <v>45617</v>
      </c>
      <c r="L145">
        <v>2480.63</v>
      </c>
      <c r="M145">
        <v>680.67</v>
      </c>
      <c r="N145">
        <v>451118</v>
      </c>
      <c r="O145">
        <v>330.35</v>
      </c>
      <c r="P145">
        <v>106.14</v>
      </c>
      <c r="Q145" s="1">
        <v>45618</v>
      </c>
      <c r="R145">
        <v>2.8159999999999998</v>
      </c>
      <c r="S145">
        <v>2.8719999999999999</v>
      </c>
      <c r="T145">
        <v>2.976</v>
      </c>
      <c r="U145">
        <v>3.3849999999999998</v>
      </c>
      <c r="V145">
        <v>3.44</v>
      </c>
      <c r="W145">
        <f t="shared" si="0"/>
        <v>45617</v>
      </c>
      <c r="X145">
        <f>IF($X$99=TRUE,SUM(E145:E$350),"")</f>
        <v>2456148</v>
      </c>
      <c r="Y145">
        <f>IF($Y$99=TRUE,SUM(F145:F$350),"")</f>
        <v>1524005</v>
      </c>
      <c r="Z145">
        <f>IF($Z$99=TRUE,SUM(G145:G$350)/1000000,"")</f>
        <v>2337136.0449999999</v>
      </c>
      <c r="AA145">
        <f>IF($AA$99=TRUE,SUM(H145:H$350)/1000000,"")</f>
        <v>10716997.68</v>
      </c>
      <c r="AB145">
        <f>IF($AB$99=TRUE,SUM(AH145:AH$350)/1000,"")</f>
        <v>66392729.358000003</v>
      </c>
      <c r="AD145" s="1">
        <v>45617</v>
      </c>
      <c r="AE145">
        <v>330.35</v>
      </c>
      <c r="AF145">
        <v>106.14</v>
      </c>
      <c r="AG145" s="1">
        <v>45618</v>
      </c>
      <c r="AH145">
        <v>-455829750</v>
      </c>
      <c r="AI145" s="1">
        <v>45644</v>
      </c>
      <c r="AJ145">
        <v>5612.4480000000003</v>
      </c>
      <c r="AK145">
        <v>64.430000000000007</v>
      </c>
      <c r="AL145">
        <v>3911.2689999999998</v>
      </c>
      <c r="AM145">
        <v>1236.251</v>
      </c>
      <c r="AN145">
        <v>1060.527</v>
      </c>
    </row>
    <row r="146" spans="4:40" hidden="1">
      <c r="D146" s="1">
        <v>45616</v>
      </c>
      <c r="E146">
        <v>-183666</v>
      </c>
      <c r="F146">
        <v>-55734</v>
      </c>
      <c r="G146">
        <v>-79231787500</v>
      </c>
      <c r="H146">
        <v>813220060000</v>
      </c>
      <c r="I146">
        <v>508944950000</v>
      </c>
      <c r="J146">
        <v>0</v>
      </c>
      <c r="K146" s="1">
        <v>45616</v>
      </c>
      <c r="L146">
        <v>2482.29</v>
      </c>
      <c r="M146">
        <v>682.91</v>
      </c>
      <c r="N146">
        <v>408789</v>
      </c>
      <c r="O146">
        <v>330</v>
      </c>
      <c r="P146">
        <v>106.02</v>
      </c>
      <c r="Q146" s="1">
        <v>45617</v>
      </c>
      <c r="R146">
        <v>2.8290000000000002</v>
      </c>
      <c r="S146">
        <v>2.883</v>
      </c>
      <c r="T146">
        <v>2.9780000000000002</v>
      </c>
      <c r="U146">
        <v>3.3959999999999999</v>
      </c>
      <c r="V146">
        <v>3.44</v>
      </c>
      <c r="W146">
        <f t="shared" si="0"/>
        <v>45616</v>
      </c>
      <c r="X146">
        <f>IF($X$99=TRUE,SUM(E146:E$350),"")</f>
        <v>2716110</v>
      </c>
      <c r="Y146">
        <f>IF($Y$99=TRUE,SUM(F146:F$350),"")</f>
        <v>1600997</v>
      </c>
      <c r="Z146">
        <f>IF($Z$99=TRUE,SUM(G146:G$350)/1000000,"")</f>
        <v>2527499.7949999999</v>
      </c>
      <c r="AA146">
        <f>IF($AA$99=TRUE,SUM(H146:H$350)/1000000,"")</f>
        <v>8445906.1699999999</v>
      </c>
      <c r="AB146">
        <f>IF($AB$99=TRUE,SUM(AH146:AH$350)/1000,"")</f>
        <v>66848559.108000003</v>
      </c>
      <c r="AD146" s="1">
        <v>45616</v>
      </c>
      <c r="AE146">
        <v>330</v>
      </c>
      <c r="AF146">
        <v>106.02</v>
      </c>
      <c r="AG146" s="1">
        <v>45617</v>
      </c>
      <c r="AH146">
        <v>-268768132</v>
      </c>
      <c r="AI146" s="1">
        <v>45643</v>
      </c>
      <c r="AJ146">
        <v>5788.4549999999999</v>
      </c>
      <c r="AK146">
        <v>63.908000000000001</v>
      </c>
      <c r="AL146">
        <v>3938.3739999999998</v>
      </c>
      <c r="AM146">
        <v>1237.7460000000001</v>
      </c>
      <c r="AN146">
        <v>1068.271</v>
      </c>
    </row>
    <row r="147" spans="4:40" hidden="1">
      <c r="D147" s="1">
        <v>45615</v>
      </c>
      <c r="E147">
        <v>-330336</v>
      </c>
      <c r="F147">
        <v>-30975</v>
      </c>
      <c r="G147">
        <v>39837875000</v>
      </c>
      <c r="H147">
        <v>841282810000</v>
      </c>
      <c r="I147">
        <v>481582020000</v>
      </c>
      <c r="J147">
        <v>0</v>
      </c>
      <c r="K147" s="1">
        <v>45615</v>
      </c>
      <c r="L147">
        <v>2471.9499999999998</v>
      </c>
      <c r="M147">
        <v>686.12</v>
      </c>
      <c r="N147">
        <v>410856</v>
      </c>
      <c r="O147">
        <v>329.4</v>
      </c>
      <c r="P147">
        <v>105.97</v>
      </c>
      <c r="Q147" s="1">
        <v>45616</v>
      </c>
      <c r="R147">
        <v>2.8730000000000002</v>
      </c>
      <c r="S147">
        <v>2.92</v>
      </c>
      <c r="T147">
        <v>3.0169999999999999</v>
      </c>
      <c r="U147">
        <v>3.4380000000000002</v>
      </c>
      <c r="V147">
        <v>3.44</v>
      </c>
      <c r="W147">
        <f t="shared" si="0"/>
        <v>45615</v>
      </c>
      <c r="X147">
        <f>IF($X$99=TRUE,SUM(E147:E$350),"")</f>
        <v>2899776</v>
      </c>
      <c r="Y147">
        <f>IF($Y$99=TRUE,SUM(F147:F$350),"")</f>
        <v>1656731</v>
      </c>
      <c r="Z147">
        <f>IF($Z$99=TRUE,SUM(G147:G$350)/1000000,"")</f>
        <v>2606731.5825</v>
      </c>
      <c r="AA147">
        <f>IF($AA$99=TRUE,SUM(H147:H$350)/1000000,"")</f>
        <v>7632686.1100000003</v>
      </c>
      <c r="AB147">
        <f>IF($AB$99=TRUE,SUM(AH147:AH$350)/1000,"")</f>
        <v>67117327.239999995</v>
      </c>
      <c r="AD147" s="1">
        <v>45615</v>
      </c>
      <c r="AE147">
        <v>329.4</v>
      </c>
      <c r="AF147">
        <v>105.97</v>
      </c>
      <c r="AG147" s="1">
        <v>45616</v>
      </c>
      <c r="AH147">
        <v>-395424101</v>
      </c>
      <c r="AI147" s="1">
        <v>45642</v>
      </c>
      <c r="AJ147">
        <v>5812.8249999999998</v>
      </c>
      <c r="AK147">
        <v>64.081999999999994</v>
      </c>
      <c r="AL147">
        <v>3935.922</v>
      </c>
      <c r="AM147">
        <v>1245.6310000000001</v>
      </c>
      <c r="AN147">
        <v>1081.4090000000001</v>
      </c>
    </row>
    <row r="148" spans="4:40" hidden="1">
      <c r="D148" s="1">
        <v>45614</v>
      </c>
      <c r="E148">
        <v>-50332</v>
      </c>
      <c r="F148">
        <v>-30280</v>
      </c>
      <c r="G148">
        <v>181929562500</v>
      </c>
      <c r="H148">
        <v>656643970000</v>
      </c>
      <c r="I148">
        <v>705802180000</v>
      </c>
      <c r="J148">
        <v>0</v>
      </c>
      <c r="K148" s="1">
        <v>45614</v>
      </c>
      <c r="L148">
        <v>2469.0700000000002</v>
      </c>
      <c r="M148">
        <v>689.55</v>
      </c>
      <c r="N148">
        <v>443925</v>
      </c>
      <c r="O148">
        <v>327.64999999999998</v>
      </c>
      <c r="P148">
        <v>105.89</v>
      </c>
      <c r="Q148" s="1">
        <v>45615</v>
      </c>
      <c r="R148">
        <v>2.8889999999999998</v>
      </c>
      <c r="S148">
        <v>2.9369999999999998</v>
      </c>
      <c r="T148">
        <v>3.036</v>
      </c>
      <c r="U148">
        <v>3.4569999999999999</v>
      </c>
      <c r="V148">
        <v>3.44</v>
      </c>
      <c r="W148">
        <f t="shared" si="0"/>
        <v>45614</v>
      </c>
      <c r="X148">
        <f>IF($X$99=TRUE,SUM(E148:E$350),"")</f>
        <v>3230112</v>
      </c>
      <c r="Y148">
        <f>IF($Y$99=TRUE,SUM(F148:F$350),"")</f>
        <v>1687706</v>
      </c>
      <c r="Z148">
        <f>IF($Z$99=TRUE,SUM(G148:G$350)/1000000,"")</f>
        <v>2566893.7075</v>
      </c>
      <c r="AA148">
        <f>IF($AA$99=TRUE,SUM(H148:H$350)/1000000,"")</f>
        <v>6791403.2999999998</v>
      </c>
      <c r="AB148">
        <f>IF($AB$99=TRUE,SUM(AH148:AH$350)/1000,"")</f>
        <v>67512751.341000006</v>
      </c>
      <c r="AD148" s="1">
        <v>45614</v>
      </c>
      <c r="AE148">
        <v>327.64999999999998</v>
      </c>
      <c r="AF148">
        <v>105.89</v>
      </c>
      <c r="AG148" s="1">
        <v>45615</v>
      </c>
      <c r="AH148">
        <v>-114229641</v>
      </c>
      <c r="AI148" s="1">
        <v>45641</v>
      </c>
      <c r="AJ148">
        <v>5789.6109999999999</v>
      </c>
      <c r="AK148">
        <v>64.772000000000006</v>
      </c>
      <c r="AL148">
        <v>3961.27</v>
      </c>
      <c r="AM148">
        <v>1243.4760000000001</v>
      </c>
      <c r="AN148">
        <v>1083.395</v>
      </c>
    </row>
    <row r="149" spans="4:40" hidden="1">
      <c r="D149" s="1">
        <v>45611</v>
      </c>
      <c r="E149">
        <v>-61344</v>
      </c>
      <c r="F149">
        <v>82537</v>
      </c>
      <c r="G149">
        <v>-187025162500</v>
      </c>
      <c r="H149">
        <v>-583009720000</v>
      </c>
      <c r="I149">
        <v>108684000000</v>
      </c>
      <c r="J149">
        <v>0</v>
      </c>
      <c r="K149" s="1">
        <v>45611</v>
      </c>
      <c r="L149">
        <v>2416.86</v>
      </c>
      <c r="M149">
        <v>685.42</v>
      </c>
      <c r="N149">
        <v>623327</v>
      </c>
      <c r="O149">
        <v>320.5</v>
      </c>
      <c r="P149">
        <v>105.8</v>
      </c>
      <c r="Q149" s="1">
        <v>45614</v>
      </c>
      <c r="R149">
        <v>2.915</v>
      </c>
      <c r="S149">
        <v>2.9670000000000001</v>
      </c>
      <c r="T149">
        <v>3.0630000000000002</v>
      </c>
      <c r="U149">
        <v>3.4820000000000002</v>
      </c>
      <c r="V149">
        <v>3.44</v>
      </c>
      <c r="W149">
        <f t="shared" si="0"/>
        <v>45611</v>
      </c>
      <c r="X149">
        <f>IF($X$99=TRUE,SUM(E149:E$350),"")</f>
        <v>3280444</v>
      </c>
      <c r="Y149">
        <f>IF($Y$99=TRUE,SUM(F149:F$350),"")</f>
        <v>1717986</v>
      </c>
      <c r="Z149">
        <f>IF($Z$99=TRUE,SUM(G149:G$350)/1000000,"")</f>
        <v>2384964.145</v>
      </c>
      <c r="AA149">
        <f>IF($AA$99=TRUE,SUM(H149:H$350)/1000000,"")</f>
        <v>6134759.3300000001</v>
      </c>
      <c r="AB149">
        <f>IF($AB$99=TRUE,SUM(AH149:AH$350)/1000,"")</f>
        <v>67626980.981999993</v>
      </c>
      <c r="AD149" s="1">
        <v>45611</v>
      </c>
      <c r="AE149">
        <v>320.5</v>
      </c>
      <c r="AF149">
        <v>105.8</v>
      </c>
      <c r="AG149" s="1">
        <v>45614</v>
      </c>
      <c r="AH149">
        <v>237174346</v>
      </c>
      <c r="AI149" s="1">
        <v>45640</v>
      </c>
      <c r="AJ149">
        <v>5789.6109999999999</v>
      </c>
      <c r="AK149">
        <v>64.772000000000006</v>
      </c>
      <c r="AL149">
        <v>3961.27</v>
      </c>
      <c r="AM149">
        <v>1243.4760000000001</v>
      </c>
      <c r="AN149">
        <v>1083.395</v>
      </c>
    </row>
    <row r="150" spans="4:40" hidden="1">
      <c r="D150" s="1">
        <v>45610</v>
      </c>
      <c r="E150">
        <v>-232061</v>
      </c>
      <c r="F150">
        <v>-2736</v>
      </c>
      <c r="G150">
        <v>195984962500</v>
      </c>
      <c r="H150">
        <v>-15086860000</v>
      </c>
      <c r="I150">
        <v>-1095336580000</v>
      </c>
      <c r="J150">
        <v>0</v>
      </c>
      <c r="K150" s="1">
        <v>45610</v>
      </c>
      <c r="L150">
        <v>2418.86</v>
      </c>
      <c r="M150">
        <v>681.56</v>
      </c>
      <c r="N150">
        <v>639990</v>
      </c>
      <c r="O150">
        <v>318.05</v>
      </c>
      <c r="P150">
        <v>105.85</v>
      </c>
      <c r="Q150" s="1">
        <v>45611</v>
      </c>
      <c r="R150">
        <v>2.9409999999999998</v>
      </c>
      <c r="S150">
        <v>2.9910000000000001</v>
      </c>
      <c r="T150">
        <v>3.0840000000000001</v>
      </c>
      <c r="U150">
        <v>3.5059999999999998</v>
      </c>
      <c r="V150">
        <v>3.44</v>
      </c>
      <c r="W150">
        <f t="shared" si="0"/>
        <v>45610</v>
      </c>
      <c r="X150">
        <f>IF($X$99=TRUE,SUM(E150:E$350),"")</f>
        <v>3341788</v>
      </c>
      <c r="Y150">
        <f>IF($Y$99=TRUE,SUM(F150:F$350),"")</f>
        <v>1635449</v>
      </c>
      <c r="Z150">
        <f>IF($Z$99=TRUE,SUM(G150:G$350)/1000000,"")</f>
        <v>2571989.3075000001</v>
      </c>
      <c r="AA150">
        <f>IF($AA$99=TRUE,SUM(H150:H$350)/1000000,"")</f>
        <v>6717769.0499999998</v>
      </c>
      <c r="AB150">
        <f>IF($AB$99=TRUE,SUM(AH150:AH$350)/1000,"")</f>
        <v>67389806.636000007</v>
      </c>
      <c r="AD150" s="1">
        <v>45610</v>
      </c>
      <c r="AE150">
        <v>318.05</v>
      </c>
      <c r="AF150">
        <v>105.85</v>
      </c>
      <c r="AG150" s="1">
        <v>45611</v>
      </c>
      <c r="AH150">
        <v>-5439025</v>
      </c>
      <c r="AI150" s="1">
        <v>45639</v>
      </c>
      <c r="AJ150">
        <v>5789.6109999999999</v>
      </c>
      <c r="AK150">
        <v>64.772000000000006</v>
      </c>
      <c r="AL150">
        <v>3961.27</v>
      </c>
      <c r="AM150">
        <v>1243.4760000000001</v>
      </c>
      <c r="AN150">
        <v>1083.395</v>
      </c>
    </row>
    <row r="151" spans="4:40" hidden="1">
      <c r="D151" s="1">
        <v>45609</v>
      </c>
      <c r="E151">
        <v>-628126</v>
      </c>
      <c r="F151">
        <v>-6863</v>
      </c>
      <c r="G151">
        <v>282544925000</v>
      </c>
      <c r="H151">
        <v>-719931280000</v>
      </c>
      <c r="I151">
        <v>-1112563000000</v>
      </c>
      <c r="J151">
        <v>0</v>
      </c>
      <c r="K151" s="1">
        <v>45609</v>
      </c>
      <c r="L151">
        <v>2417.08</v>
      </c>
      <c r="M151">
        <v>689.65</v>
      </c>
      <c r="N151">
        <v>619176</v>
      </c>
      <c r="O151">
        <v>318.89999999999998</v>
      </c>
      <c r="P151">
        <v>105.82</v>
      </c>
      <c r="Q151" s="1">
        <v>45610</v>
      </c>
      <c r="R151">
        <v>2.9289999999999998</v>
      </c>
      <c r="S151">
        <v>2.9860000000000002</v>
      </c>
      <c r="T151">
        <v>3.0739999999999998</v>
      </c>
      <c r="U151">
        <v>3.492</v>
      </c>
      <c r="V151">
        <v>3.44</v>
      </c>
      <c r="W151">
        <f t="shared" si="0"/>
        <v>45609</v>
      </c>
      <c r="X151">
        <f>IF($X$99=TRUE,SUM(E151:E$350),"")</f>
        <v>3573849</v>
      </c>
      <c r="Y151">
        <f>IF($Y$99=TRUE,SUM(F151:F$350),"")</f>
        <v>1638185</v>
      </c>
      <c r="Z151">
        <f>IF($Z$99=TRUE,SUM(G151:G$350)/1000000,"")</f>
        <v>2376004.3450000002</v>
      </c>
      <c r="AA151">
        <f>IF($AA$99=TRUE,SUM(H151:H$350)/1000000,"")</f>
        <v>6732855.9100000001</v>
      </c>
      <c r="AB151">
        <f>IF($AB$99=TRUE,SUM(AH151:AH$350)/1000,"")</f>
        <v>67395245.660999998</v>
      </c>
      <c r="AD151" s="1">
        <v>45609</v>
      </c>
      <c r="AE151">
        <v>318.89999999999998</v>
      </c>
      <c r="AF151">
        <v>105.82</v>
      </c>
      <c r="AG151" s="1">
        <v>45610</v>
      </c>
      <c r="AH151">
        <v>-226240433</v>
      </c>
      <c r="AI151" s="1">
        <v>45638</v>
      </c>
      <c r="AJ151">
        <v>5791.116</v>
      </c>
      <c r="AK151">
        <v>66.244</v>
      </c>
      <c r="AL151">
        <v>4040.5610000000001</v>
      </c>
      <c r="AM151">
        <v>1253.1569999999999</v>
      </c>
      <c r="AN151">
        <v>1076.386</v>
      </c>
    </row>
    <row r="152" spans="4:40" hidden="1">
      <c r="D152" s="1">
        <v>45608</v>
      </c>
      <c r="E152">
        <v>-309699</v>
      </c>
      <c r="F152">
        <v>-3687</v>
      </c>
      <c r="G152">
        <v>-313091737500</v>
      </c>
      <c r="H152">
        <v>407491000000</v>
      </c>
      <c r="I152">
        <v>1107236960000</v>
      </c>
      <c r="J152">
        <v>0</v>
      </c>
      <c r="K152" s="1">
        <v>45608</v>
      </c>
      <c r="L152">
        <v>2482.5700000000002</v>
      </c>
      <c r="M152">
        <v>710.52</v>
      </c>
      <c r="N152">
        <v>735812</v>
      </c>
      <c r="O152">
        <v>328</v>
      </c>
      <c r="P152">
        <v>105.94</v>
      </c>
      <c r="Q152" s="1">
        <v>45609</v>
      </c>
      <c r="R152">
        <v>2.9390000000000001</v>
      </c>
      <c r="S152">
        <v>2.984</v>
      </c>
      <c r="T152">
        <v>3.0670000000000002</v>
      </c>
      <c r="U152">
        <v>3.5009999999999999</v>
      </c>
      <c r="V152">
        <v>3.44</v>
      </c>
      <c r="W152">
        <f t="shared" si="0"/>
        <v>45608</v>
      </c>
      <c r="X152">
        <f>IF($X$99=TRUE,SUM(E152:E$350),"")</f>
        <v>4201975</v>
      </c>
      <c r="Y152">
        <f>IF($Y$99=TRUE,SUM(F152:F$350),"")</f>
        <v>1645048</v>
      </c>
      <c r="Z152">
        <f>IF($Z$99=TRUE,SUM(G152:G$350)/1000000,"")</f>
        <v>2093459.42</v>
      </c>
      <c r="AA152">
        <f>IF($AA$99=TRUE,SUM(H152:H$350)/1000000,"")</f>
        <v>7452787.1900000004</v>
      </c>
      <c r="AB152">
        <f>IF($AB$99=TRUE,SUM(AH152:AH$350)/1000,"")</f>
        <v>67621486.093999997</v>
      </c>
      <c r="AD152" s="1">
        <v>45608</v>
      </c>
      <c r="AE152">
        <v>328</v>
      </c>
      <c r="AF152">
        <v>105.94</v>
      </c>
      <c r="AG152" s="1">
        <v>45609</v>
      </c>
      <c r="AH152">
        <v>457516365</v>
      </c>
      <c r="AI152" s="1">
        <v>45637</v>
      </c>
      <c r="AJ152">
        <v>5822.9390000000003</v>
      </c>
      <c r="AK152">
        <v>65.36</v>
      </c>
      <c r="AL152">
        <v>3997.66</v>
      </c>
      <c r="AM152">
        <v>1256.8230000000001</v>
      </c>
      <c r="AN152">
        <v>1080.501</v>
      </c>
    </row>
    <row r="153" spans="4:40" hidden="1">
      <c r="D153" s="1">
        <v>45607</v>
      </c>
      <c r="E153">
        <v>-482115</v>
      </c>
      <c r="F153">
        <v>-84730</v>
      </c>
      <c r="G153">
        <v>-193330675000</v>
      </c>
      <c r="H153">
        <v>66834430000</v>
      </c>
      <c r="I153">
        <v>209651430000</v>
      </c>
      <c r="J153">
        <v>0</v>
      </c>
      <c r="K153" s="1">
        <v>45607</v>
      </c>
      <c r="L153">
        <v>2531.66</v>
      </c>
      <c r="M153">
        <v>728.84</v>
      </c>
      <c r="N153">
        <v>572196</v>
      </c>
      <c r="O153">
        <v>335.95</v>
      </c>
      <c r="P153">
        <v>105.94</v>
      </c>
      <c r="Q153" s="1">
        <v>45608</v>
      </c>
      <c r="R153">
        <v>2.9</v>
      </c>
      <c r="S153">
        <v>2.9390000000000001</v>
      </c>
      <c r="T153">
        <v>3.0139999999999998</v>
      </c>
      <c r="U153">
        <v>3.4670000000000001</v>
      </c>
      <c r="V153">
        <v>3.44</v>
      </c>
      <c r="W153">
        <f t="shared" si="0"/>
        <v>45607</v>
      </c>
      <c r="X153">
        <f>IF($X$99=TRUE,SUM(E153:E$350),"")</f>
        <v>4511674</v>
      </c>
      <c r="Y153">
        <f>IF($Y$99=TRUE,SUM(F153:F$350),"")</f>
        <v>1648735</v>
      </c>
      <c r="Z153">
        <f>IF($Z$99=TRUE,SUM(G153:G$350)/1000000,"")</f>
        <v>2406551.1575000002</v>
      </c>
      <c r="AA153">
        <f>IF($AA$99=TRUE,SUM(H153:H$350)/1000000,"")</f>
        <v>7045296.1900000004</v>
      </c>
      <c r="AB153">
        <f>IF($AB$99=TRUE,SUM(AH153:AH$350)/1000,"")</f>
        <v>67163969.729000002</v>
      </c>
      <c r="AD153" s="1">
        <v>45607</v>
      </c>
      <c r="AE153">
        <v>335.95</v>
      </c>
      <c r="AF153">
        <v>105.94</v>
      </c>
      <c r="AG153" s="1">
        <v>45608</v>
      </c>
      <c r="AH153">
        <v>135340743</v>
      </c>
      <c r="AI153" s="1">
        <v>45636</v>
      </c>
      <c r="AJ153">
        <v>5773.4049999999997</v>
      </c>
      <c r="AK153">
        <v>65.786000000000001</v>
      </c>
      <c r="AL153">
        <v>3995.91</v>
      </c>
      <c r="AM153">
        <v>1253.0989999999999</v>
      </c>
      <c r="AN153">
        <v>1078.18</v>
      </c>
    </row>
    <row r="154" spans="4:40" hidden="1">
      <c r="D154" s="1">
        <v>45604</v>
      </c>
      <c r="E154">
        <v>-13079</v>
      </c>
      <c r="F154">
        <v>226449</v>
      </c>
      <c r="G154">
        <v>-263660637500</v>
      </c>
      <c r="H154">
        <v>919141460000</v>
      </c>
      <c r="I154">
        <v>268246910000</v>
      </c>
      <c r="J154">
        <v>0</v>
      </c>
      <c r="K154" s="1">
        <v>45604</v>
      </c>
      <c r="L154">
        <v>2561.15</v>
      </c>
      <c r="M154">
        <v>743.38</v>
      </c>
      <c r="N154">
        <v>448734</v>
      </c>
      <c r="O154">
        <v>340.8</v>
      </c>
      <c r="P154">
        <v>106</v>
      </c>
      <c r="Q154" s="1">
        <v>45607</v>
      </c>
      <c r="R154">
        <v>2.9009999999999998</v>
      </c>
      <c r="S154">
        <v>2.948</v>
      </c>
      <c r="T154">
        <v>3.0379999999999998</v>
      </c>
      <c r="U154">
        <v>3.4710000000000001</v>
      </c>
      <c r="V154">
        <v>3.43</v>
      </c>
      <c r="W154">
        <f t="shared" si="0"/>
        <v>45604</v>
      </c>
      <c r="X154">
        <f>IF($X$99=TRUE,SUM(E154:E$350),"")</f>
        <v>4993789</v>
      </c>
      <c r="Y154">
        <f>IF($Y$99=TRUE,SUM(F154:F$350),"")</f>
        <v>1733465</v>
      </c>
      <c r="Z154">
        <f>IF($Z$99=TRUE,SUM(G154:G$350)/1000000,"")</f>
        <v>2599881.8325</v>
      </c>
      <c r="AA154">
        <f>IF($AA$99=TRUE,SUM(H154:H$350)/1000000,"")</f>
        <v>6978461.7599999998</v>
      </c>
      <c r="AB154">
        <f>IF($AB$99=TRUE,SUM(AH154:AH$350)/1000,"")</f>
        <v>67028628.986000001</v>
      </c>
      <c r="AD154" s="1">
        <v>45604</v>
      </c>
      <c r="AE154">
        <v>340.8</v>
      </c>
      <c r="AF154">
        <v>106</v>
      </c>
      <c r="AG154" s="1">
        <v>45607</v>
      </c>
      <c r="AH154">
        <v>-116854173</v>
      </c>
      <c r="AI154" s="1">
        <v>45635</v>
      </c>
      <c r="AJ154">
        <v>5793.3760000000002</v>
      </c>
      <c r="AK154">
        <v>66.528000000000006</v>
      </c>
      <c r="AL154">
        <v>4012.0810000000001</v>
      </c>
      <c r="AM154">
        <v>1270.0909999999999</v>
      </c>
      <c r="AN154">
        <v>1078.819</v>
      </c>
    </row>
    <row r="155" spans="4:40" hidden="1">
      <c r="D155" s="1">
        <v>45603</v>
      </c>
      <c r="E155">
        <v>107563</v>
      </c>
      <c r="F155">
        <v>-88105</v>
      </c>
      <c r="G155">
        <v>79291512500</v>
      </c>
      <c r="H155">
        <v>859611850000</v>
      </c>
      <c r="I155">
        <v>-449791190000</v>
      </c>
      <c r="J155">
        <v>0</v>
      </c>
      <c r="K155" s="1">
        <v>45603</v>
      </c>
      <c r="L155">
        <v>2564.63</v>
      </c>
      <c r="M155">
        <v>733.52</v>
      </c>
      <c r="N155">
        <v>465146</v>
      </c>
      <c r="O155">
        <v>341.35</v>
      </c>
      <c r="P155">
        <v>105.87</v>
      </c>
      <c r="Q155" s="1">
        <v>45604</v>
      </c>
      <c r="R155">
        <v>2.8889999999999998</v>
      </c>
      <c r="S155">
        <v>2.9420000000000002</v>
      </c>
      <c r="T155">
        <v>3.0489999999999999</v>
      </c>
      <c r="U155">
        <v>3.4609999999999999</v>
      </c>
      <c r="V155">
        <v>3.43</v>
      </c>
      <c r="W155">
        <f t="shared" si="0"/>
        <v>45603</v>
      </c>
      <c r="X155">
        <f>IF($X$99=TRUE,SUM(E155:E$350),"")</f>
        <v>5006868</v>
      </c>
      <c r="Y155">
        <f>IF($Y$99=TRUE,SUM(F155:F$350),"")</f>
        <v>1507016</v>
      </c>
      <c r="Z155">
        <f>IF($Z$99=TRUE,SUM(G155:G$350)/1000000,"")</f>
        <v>2863542.47</v>
      </c>
      <c r="AA155">
        <f>IF($AA$99=TRUE,SUM(H155:H$350)/1000000,"")</f>
        <v>6059320.2999999998</v>
      </c>
      <c r="AB155">
        <f>IF($AB$99=TRUE,SUM(AH155:AH$350)/1000,"")</f>
        <v>67145483.158999994</v>
      </c>
      <c r="AD155" s="1">
        <v>45603</v>
      </c>
      <c r="AE155">
        <v>341.35</v>
      </c>
      <c r="AF155">
        <v>105.87</v>
      </c>
      <c r="AG155" s="1">
        <v>45604</v>
      </c>
      <c r="AH155">
        <v>280475963</v>
      </c>
      <c r="AI155" s="1">
        <v>45634</v>
      </c>
      <c r="AJ155">
        <v>5834.1729999999998</v>
      </c>
      <c r="AK155">
        <v>64.486999999999995</v>
      </c>
      <c r="AL155">
        <v>4033.248</v>
      </c>
      <c r="AM155">
        <v>1258.008</v>
      </c>
      <c r="AN155">
        <v>1081.038</v>
      </c>
    </row>
    <row r="156" spans="4:40" hidden="1">
      <c r="D156" s="1">
        <v>45602</v>
      </c>
      <c r="E156">
        <v>-102708</v>
      </c>
      <c r="F156">
        <v>-60974</v>
      </c>
      <c r="G156">
        <v>-605591662500</v>
      </c>
      <c r="H156">
        <v>-2136620040000</v>
      </c>
      <c r="I156">
        <v>-1059449270000</v>
      </c>
      <c r="J156">
        <v>0</v>
      </c>
      <c r="K156" s="1">
        <v>45602</v>
      </c>
      <c r="L156">
        <v>2563.5100000000002</v>
      </c>
      <c r="M156">
        <v>743.31</v>
      </c>
      <c r="N156">
        <v>548506</v>
      </c>
      <c r="O156">
        <v>342.2</v>
      </c>
      <c r="P156">
        <v>105.75</v>
      </c>
      <c r="Q156" s="1">
        <v>45603</v>
      </c>
      <c r="R156">
        <v>2.9220000000000002</v>
      </c>
      <c r="S156">
        <v>2.9780000000000002</v>
      </c>
      <c r="T156">
        <v>3.0979999999999999</v>
      </c>
      <c r="U156">
        <v>3.492</v>
      </c>
      <c r="V156">
        <v>3.43</v>
      </c>
      <c r="W156">
        <f t="shared" si="0"/>
        <v>45602</v>
      </c>
      <c r="X156">
        <f>IF($X$99=TRUE,SUM(E156:E$350),"")</f>
        <v>4899305</v>
      </c>
      <c r="Y156">
        <f>IF($Y$99=TRUE,SUM(F156:F$350),"")</f>
        <v>1595121</v>
      </c>
      <c r="Z156">
        <f>IF($Z$99=TRUE,SUM(G156:G$350)/1000000,"")</f>
        <v>2784250.9575</v>
      </c>
      <c r="AA156">
        <f>IF($AA$99=TRUE,SUM(H156:H$350)/1000000,"")</f>
        <v>5199708.45</v>
      </c>
      <c r="AB156">
        <f>IF($AB$99=TRUE,SUM(AH156:AH$350)/1000,"")</f>
        <v>66865007.196000002</v>
      </c>
      <c r="AD156" s="1">
        <v>45602</v>
      </c>
      <c r="AE156">
        <v>342.2</v>
      </c>
      <c r="AF156">
        <v>105.75</v>
      </c>
      <c r="AG156" s="1">
        <v>45603</v>
      </c>
      <c r="AH156">
        <v>245493684</v>
      </c>
      <c r="AI156" s="1">
        <v>45633</v>
      </c>
      <c r="AJ156">
        <v>5834.1729999999998</v>
      </c>
      <c r="AK156">
        <v>64.486999999999995</v>
      </c>
      <c r="AL156">
        <v>4033.248</v>
      </c>
      <c r="AM156">
        <v>1258.008</v>
      </c>
      <c r="AN156">
        <v>1081.038</v>
      </c>
    </row>
    <row r="157" spans="4:40" hidden="1">
      <c r="D157" s="1">
        <v>45601</v>
      </c>
      <c r="E157">
        <v>-143462</v>
      </c>
      <c r="F157">
        <v>-106687</v>
      </c>
      <c r="G157">
        <v>-217573587500</v>
      </c>
      <c r="H157">
        <v>-711365750000</v>
      </c>
      <c r="I157">
        <v>185729700000</v>
      </c>
      <c r="J157">
        <v>0</v>
      </c>
      <c r="K157" s="1">
        <v>45601</v>
      </c>
      <c r="L157">
        <v>2576.88</v>
      </c>
      <c r="M157">
        <v>751.81</v>
      </c>
      <c r="N157">
        <v>310875</v>
      </c>
      <c r="O157">
        <v>343</v>
      </c>
      <c r="P157">
        <v>105.89</v>
      </c>
      <c r="Q157" s="1">
        <v>45602</v>
      </c>
      <c r="R157">
        <v>2.96</v>
      </c>
      <c r="S157">
        <v>3.0230000000000001</v>
      </c>
      <c r="T157">
        <v>3.1339999999999999</v>
      </c>
      <c r="U157">
        <v>3.5289999999999999</v>
      </c>
      <c r="V157">
        <v>3.44</v>
      </c>
      <c r="W157">
        <f t="shared" si="0"/>
        <v>45601</v>
      </c>
      <c r="X157">
        <f>IF($X$99=TRUE,SUM(E157:E$350),"")</f>
        <v>5002013</v>
      </c>
      <c r="Y157">
        <f>IF($Y$99=TRUE,SUM(F157:F$350),"")</f>
        <v>1656095</v>
      </c>
      <c r="Z157">
        <f>IF($Z$99=TRUE,SUM(G157:G$350)/1000000,"")</f>
        <v>3389842.62</v>
      </c>
      <c r="AA157">
        <f>IF($AA$99=TRUE,SUM(H157:H$350)/1000000,"")</f>
        <v>7336328.4900000002</v>
      </c>
      <c r="AB157">
        <f>IF($AB$99=TRUE,SUM(AH157:AH$350)/1000,"")</f>
        <v>66619513.512000002</v>
      </c>
      <c r="AD157" s="1">
        <v>45601</v>
      </c>
      <c r="AE157">
        <v>343</v>
      </c>
      <c r="AF157">
        <v>105.89</v>
      </c>
      <c r="AG157" s="1">
        <v>45602</v>
      </c>
      <c r="AH157">
        <v>-131516087</v>
      </c>
      <c r="AI157" s="1">
        <v>45632</v>
      </c>
      <c r="AJ157">
        <v>5834.1729999999998</v>
      </c>
      <c r="AK157">
        <v>64.486999999999995</v>
      </c>
      <c r="AL157">
        <v>4033.248</v>
      </c>
      <c r="AM157">
        <v>1258.008</v>
      </c>
      <c r="AN157">
        <v>1081.038</v>
      </c>
    </row>
    <row r="158" spans="4:40" hidden="1">
      <c r="D158" s="1">
        <v>45600</v>
      </c>
      <c r="E158">
        <v>28424</v>
      </c>
      <c r="F158">
        <v>330383</v>
      </c>
      <c r="G158">
        <v>377467712500</v>
      </c>
      <c r="H158">
        <v>-68701680000</v>
      </c>
      <c r="I158">
        <v>394379470000</v>
      </c>
      <c r="J158">
        <v>0</v>
      </c>
      <c r="K158" s="1">
        <v>45600</v>
      </c>
      <c r="L158">
        <v>2588.9699999999998</v>
      </c>
      <c r="M158">
        <v>754.08</v>
      </c>
      <c r="N158">
        <v>373943</v>
      </c>
      <c r="O158">
        <v>343.6</v>
      </c>
      <c r="P158">
        <v>105.85</v>
      </c>
      <c r="Q158" s="1">
        <v>45601</v>
      </c>
      <c r="R158">
        <v>2.9180000000000001</v>
      </c>
      <c r="S158">
        <v>2.9710000000000001</v>
      </c>
      <c r="T158">
        <v>3.073</v>
      </c>
      <c r="U158">
        <v>3.4910000000000001</v>
      </c>
      <c r="V158">
        <v>3.44</v>
      </c>
      <c r="W158">
        <f t="shared" si="0"/>
        <v>45600</v>
      </c>
      <c r="X158">
        <f>IF($X$99=TRUE,SUM(E158:E$350),"")</f>
        <v>5145475</v>
      </c>
      <c r="Y158">
        <f>IF($Y$99=TRUE,SUM(F158:F$350),"")</f>
        <v>1762782</v>
      </c>
      <c r="Z158">
        <f>IF($Z$99=TRUE,SUM(G158:G$350)/1000000,"")</f>
        <v>3607416.2075</v>
      </c>
      <c r="AA158">
        <f>IF($AA$99=TRUE,SUM(H158:H$350)/1000000,"")</f>
        <v>8047694.2400000002</v>
      </c>
      <c r="AB158">
        <f>IF($AB$99=TRUE,SUM(AH158:AH$350)/1000,"")</f>
        <v>66751029.598999999</v>
      </c>
      <c r="AD158" s="1">
        <v>45600</v>
      </c>
      <c r="AE158">
        <v>343.6</v>
      </c>
      <c r="AF158">
        <v>105.85</v>
      </c>
      <c r="AG158" s="1">
        <v>45601</v>
      </c>
      <c r="AH158">
        <v>34529712</v>
      </c>
      <c r="AI158" s="1">
        <v>45631</v>
      </c>
      <c r="AJ158">
        <v>5816.5550000000003</v>
      </c>
      <c r="AK158">
        <v>63.405999999999999</v>
      </c>
      <c r="AL158">
        <v>4049.4270000000001</v>
      </c>
      <c r="AM158">
        <v>1266.018</v>
      </c>
      <c r="AN158">
        <v>1079.77</v>
      </c>
    </row>
    <row r="159" spans="4:40" hidden="1">
      <c r="D159" s="1">
        <v>45597</v>
      </c>
      <c r="E159">
        <v>-37628</v>
      </c>
      <c r="F159">
        <v>-36975</v>
      </c>
      <c r="G159">
        <v>186652687500</v>
      </c>
      <c r="H159">
        <v>-687939490000</v>
      </c>
      <c r="I159">
        <v>-26878540000</v>
      </c>
      <c r="J159">
        <v>0</v>
      </c>
      <c r="K159" s="1">
        <v>45597</v>
      </c>
      <c r="L159">
        <v>2542.36</v>
      </c>
      <c r="M159">
        <v>729.05</v>
      </c>
      <c r="N159">
        <v>319848</v>
      </c>
      <c r="O159">
        <v>338.3</v>
      </c>
      <c r="P159">
        <v>105.82</v>
      </c>
      <c r="Q159" s="1">
        <v>45600</v>
      </c>
      <c r="R159">
        <v>2.9350000000000001</v>
      </c>
      <c r="S159">
        <v>2.9940000000000002</v>
      </c>
      <c r="T159">
        <v>3.0960000000000001</v>
      </c>
      <c r="U159">
        <v>3.5070000000000001</v>
      </c>
      <c r="V159">
        <v>3.43</v>
      </c>
      <c r="W159">
        <f t="shared" si="0"/>
        <v>45597</v>
      </c>
      <c r="X159">
        <f>IF($X$99=TRUE,SUM(E159:E$350),"")</f>
        <v>5117051</v>
      </c>
      <c r="Y159">
        <f>IF($Y$99=TRUE,SUM(F159:F$350),"")</f>
        <v>1432399</v>
      </c>
      <c r="Z159">
        <f>IF($Z$99=TRUE,SUM(G159:G$350)/1000000,"")</f>
        <v>3229948.4950000001</v>
      </c>
      <c r="AA159">
        <f>IF($AA$99=TRUE,SUM(H159:H$350)/1000000,"")</f>
        <v>8116395.9199999999</v>
      </c>
      <c r="AB159">
        <f>IF($AB$99=TRUE,SUM(AH159:AH$350)/1000,"")</f>
        <v>66716499.887000002</v>
      </c>
      <c r="AD159" s="1">
        <v>45597</v>
      </c>
      <c r="AE159">
        <v>338.3</v>
      </c>
      <c r="AF159">
        <v>105.82</v>
      </c>
      <c r="AG159" s="1">
        <v>45600</v>
      </c>
      <c r="AH159">
        <v>783154047</v>
      </c>
      <c r="AI159" s="1">
        <v>45630</v>
      </c>
      <c r="AJ159">
        <v>5830.07</v>
      </c>
      <c r="AK159">
        <v>63.811999999999998</v>
      </c>
      <c r="AL159">
        <v>4041.877</v>
      </c>
      <c r="AM159">
        <v>1258.5920000000001</v>
      </c>
      <c r="AN159">
        <v>1070.213</v>
      </c>
    </row>
    <row r="160" spans="4:40" hidden="1">
      <c r="D160" s="1">
        <v>45596</v>
      </c>
      <c r="E160">
        <v>-858274</v>
      </c>
      <c r="F160">
        <v>155747</v>
      </c>
      <c r="G160">
        <v>37744000000</v>
      </c>
      <c r="H160">
        <v>-228447800000</v>
      </c>
      <c r="I160">
        <v>-898385500000</v>
      </c>
      <c r="J160">
        <v>0</v>
      </c>
      <c r="K160" s="1">
        <v>45596</v>
      </c>
      <c r="L160">
        <v>2556.15</v>
      </c>
      <c r="M160">
        <v>743.06</v>
      </c>
      <c r="N160">
        <v>406613</v>
      </c>
      <c r="O160">
        <v>341</v>
      </c>
      <c r="P160">
        <v>105.85</v>
      </c>
      <c r="Q160" s="1">
        <v>45597</v>
      </c>
      <c r="R160">
        <v>2.9390000000000001</v>
      </c>
      <c r="S160">
        <v>2.9950000000000001</v>
      </c>
      <c r="T160">
        <v>3.09</v>
      </c>
      <c r="U160">
        <v>3.5070000000000001</v>
      </c>
      <c r="V160">
        <v>3.43</v>
      </c>
      <c r="W160">
        <f t="shared" si="0"/>
        <v>45596</v>
      </c>
      <c r="X160">
        <f>IF($X$99=TRUE,SUM(E160:E$350),"")</f>
        <v>5154679</v>
      </c>
      <c r="Y160">
        <f>IF($Y$99=TRUE,SUM(F160:F$350),"")</f>
        <v>1469374</v>
      </c>
      <c r="Z160">
        <f>IF($Z$99=TRUE,SUM(G160:G$350)/1000000,"")</f>
        <v>3043295.8075000001</v>
      </c>
      <c r="AA160">
        <f>IF($AA$99=TRUE,SUM(H160:H$350)/1000000,"")</f>
        <v>8804335.4100000001</v>
      </c>
      <c r="AB160">
        <f>IF($AB$99=TRUE,SUM(AH160:AH$350)/1000,"")</f>
        <v>65933345.840000004</v>
      </c>
      <c r="AD160" s="1">
        <v>45596</v>
      </c>
      <c r="AE160">
        <v>341</v>
      </c>
      <c r="AF160">
        <v>105.85</v>
      </c>
      <c r="AG160" s="1">
        <v>45597</v>
      </c>
      <c r="AH160">
        <v>325979136</v>
      </c>
      <c r="AI160" s="1">
        <v>45629</v>
      </c>
      <c r="AJ160">
        <v>5788.9260000000004</v>
      </c>
      <c r="AK160">
        <v>63.889000000000003</v>
      </c>
      <c r="AL160">
        <v>4091.5349999999999</v>
      </c>
      <c r="AM160">
        <v>1258.4549999999999</v>
      </c>
      <c r="AN160">
        <v>1068.1679999999999</v>
      </c>
    </row>
    <row r="161" spans="4:40" hidden="1">
      <c r="D161" s="1">
        <v>45595</v>
      </c>
      <c r="E161">
        <v>-335805</v>
      </c>
      <c r="F161">
        <v>-67733</v>
      </c>
      <c r="G161">
        <v>-757256050000</v>
      </c>
      <c r="H161">
        <v>39400990000</v>
      </c>
      <c r="I161">
        <v>-187911730000</v>
      </c>
      <c r="J161">
        <v>0</v>
      </c>
      <c r="K161" s="1">
        <v>45595</v>
      </c>
      <c r="L161">
        <v>2593.79</v>
      </c>
      <c r="M161">
        <v>738.19</v>
      </c>
      <c r="N161">
        <v>487359</v>
      </c>
      <c r="O161">
        <v>346.6</v>
      </c>
      <c r="P161">
        <v>105.84</v>
      </c>
      <c r="Q161" s="1">
        <v>45596</v>
      </c>
      <c r="R161">
        <v>2.9359999999999999</v>
      </c>
      <c r="S161">
        <v>2.9980000000000002</v>
      </c>
      <c r="T161">
        <v>3.1</v>
      </c>
      <c r="U161">
        <v>3.5030000000000001</v>
      </c>
      <c r="V161">
        <v>3.43</v>
      </c>
      <c r="W161">
        <f t="shared" si="0"/>
        <v>45595</v>
      </c>
      <c r="X161">
        <f>IF($X$99=TRUE,SUM(E161:E$350),"")</f>
        <v>6012953</v>
      </c>
      <c r="Y161">
        <f>IF($Y$99=TRUE,SUM(F161:F$350),"")</f>
        <v>1313627</v>
      </c>
      <c r="Z161">
        <f>IF($Z$99=TRUE,SUM(G161:G$350)/1000000,"")</f>
        <v>3005551.8075000001</v>
      </c>
      <c r="AA161">
        <f>IF($AA$99=TRUE,SUM(H161:H$350)/1000000,"")</f>
        <v>9032783.2100000009</v>
      </c>
      <c r="AB161">
        <f>IF($AB$99=TRUE,SUM(AH161:AH$350)/1000,"")</f>
        <v>65607366.704000004</v>
      </c>
      <c r="AD161" s="1">
        <v>45595</v>
      </c>
      <c r="AE161">
        <v>346.6</v>
      </c>
      <c r="AF161">
        <v>105.84</v>
      </c>
      <c r="AG161" s="1">
        <v>45596</v>
      </c>
      <c r="AH161">
        <v>565902490</v>
      </c>
      <c r="AI161" s="1">
        <v>45628</v>
      </c>
      <c r="AJ161">
        <v>5784.692</v>
      </c>
      <c r="AK161">
        <v>63.41</v>
      </c>
      <c r="AL161">
        <v>4010.6709999999998</v>
      </c>
      <c r="AM161">
        <v>1248.454</v>
      </c>
      <c r="AN161">
        <v>1059.8050000000001</v>
      </c>
    </row>
    <row r="162" spans="4:40" hidden="1">
      <c r="D162" s="1">
        <v>45594</v>
      </c>
      <c r="E162">
        <v>-119074</v>
      </c>
      <c r="F162">
        <v>-9776</v>
      </c>
      <c r="G162">
        <v>-15891450000</v>
      </c>
      <c r="H162">
        <v>-1943070000</v>
      </c>
      <c r="I162">
        <v>356585340000</v>
      </c>
      <c r="J162">
        <v>0</v>
      </c>
      <c r="K162" s="1">
        <v>45594</v>
      </c>
      <c r="L162">
        <v>2617.8000000000002</v>
      </c>
      <c r="M162">
        <v>744.18</v>
      </c>
      <c r="N162">
        <v>363290</v>
      </c>
      <c r="O162">
        <v>349.55</v>
      </c>
      <c r="P162">
        <v>105.82</v>
      </c>
      <c r="Q162" s="1">
        <v>45595</v>
      </c>
      <c r="R162">
        <v>2.9369999999999998</v>
      </c>
      <c r="S162">
        <v>3.0019999999999998</v>
      </c>
      <c r="T162">
        <v>3.105</v>
      </c>
      <c r="U162">
        <v>3.5019999999999998</v>
      </c>
      <c r="V162">
        <v>3.43</v>
      </c>
      <c r="W162">
        <f t="shared" si="0"/>
        <v>45594</v>
      </c>
      <c r="X162">
        <f>IF($X$99=TRUE,SUM(E162:E$350),"")</f>
        <v>6348758</v>
      </c>
      <c r="Y162">
        <f>IF($Y$99=TRUE,SUM(F162:F$350),"")</f>
        <v>1381360</v>
      </c>
      <c r="Z162">
        <f>IF($Z$99=TRUE,SUM(G162:G$350)/1000000,"")</f>
        <v>3762807.8574999999</v>
      </c>
      <c r="AA162">
        <f>IF($AA$99=TRUE,SUM(H162:H$350)/1000000,"")</f>
        <v>8993382.2200000007</v>
      </c>
      <c r="AB162">
        <f>IF($AB$99=TRUE,SUM(AH162:AH$350)/1000,"")</f>
        <v>65041464.214000002</v>
      </c>
      <c r="AD162" s="1">
        <v>45594</v>
      </c>
      <c r="AE162">
        <v>349.55</v>
      </c>
      <c r="AF162">
        <v>105.82</v>
      </c>
      <c r="AG162" s="1">
        <v>45595</v>
      </c>
      <c r="AH162">
        <v>850717253</v>
      </c>
      <c r="AI162" s="1">
        <v>45627</v>
      </c>
      <c r="AJ162">
        <v>5770.6459999999997</v>
      </c>
      <c r="AK162">
        <v>62.828000000000003</v>
      </c>
      <c r="AL162">
        <v>3948.623</v>
      </c>
      <c r="AM162">
        <v>1252.5830000000001</v>
      </c>
      <c r="AN162">
        <v>1054.2840000000001</v>
      </c>
    </row>
    <row r="163" spans="4:40" hidden="1">
      <c r="D163" s="1">
        <v>45593</v>
      </c>
      <c r="E163">
        <v>-139150</v>
      </c>
      <c r="F163">
        <v>178541</v>
      </c>
      <c r="G163">
        <v>150140737500</v>
      </c>
      <c r="H163">
        <v>274457000000</v>
      </c>
      <c r="I163">
        <v>-53017790000</v>
      </c>
      <c r="J163">
        <v>0</v>
      </c>
      <c r="K163" s="1">
        <v>45593</v>
      </c>
      <c r="L163">
        <v>2612.4299999999998</v>
      </c>
      <c r="M163">
        <v>740.48</v>
      </c>
      <c r="N163">
        <v>333736</v>
      </c>
      <c r="O163">
        <v>348.25</v>
      </c>
      <c r="P163">
        <v>105.84</v>
      </c>
      <c r="Q163" s="1">
        <v>45594</v>
      </c>
      <c r="R163">
        <v>2.9359999999999999</v>
      </c>
      <c r="S163">
        <v>3.0089999999999999</v>
      </c>
      <c r="T163">
        <v>3.1179999999999999</v>
      </c>
      <c r="U163">
        <v>3.504</v>
      </c>
      <c r="V163">
        <v>3.41</v>
      </c>
      <c r="W163">
        <f t="shared" si="0"/>
        <v>45593</v>
      </c>
      <c r="X163">
        <f>IF($X$99=TRUE,SUM(E163:E$350),"")</f>
        <v>6467832</v>
      </c>
      <c r="Y163">
        <f>IF($Y$99=TRUE,SUM(F163:F$350),"")</f>
        <v>1391136</v>
      </c>
      <c r="Z163">
        <f>IF($Z$99=TRUE,SUM(G163:G$350)/1000000,"")</f>
        <v>3778699.3075000001</v>
      </c>
      <c r="AA163">
        <f>IF($AA$99=TRUE,SUM(H163:H$350)/1000000,"")</f>
        <v>8995325.2899999991</v>
      </c>
      <c r="AB163">
        <f>IF($AB$99=TRUE,SUM(AH163:AH$350)/1000,"")</f>
        <v>64190746.961000003</v>
      </c>
      <c r="AD163" s="1">
        <v>45593</v>
      </c>
      <c r="AE163">
        <v>348.25</v>
      </c>
      <c r="AF163">
        <v>105.84</v>
      </c>
      <c r="AG163" s="1">
        <v>45594</v>
      </c>
      <c r="AH163">
        <v>547254876</v>
      </c>
      <c r="AI163" s="1">
        <v>45626</v>
      </c>
      <c r="AJ163">
        <v>5770.6459999999997</v>
      </c>
      <c r="AK163">
        <v>62.828000000000003</v>
      </c>
      <c r="AL163">
        <v>3948.623</v>
      </c>
      <c r="AM163">
        <v>1252.5830000000001</v>
      </c>
      <c r="AN163">
        <v>1054.2840000000001</v>
      </c>
    </row>
    <row r="164" spans="4:40" hidden="1">
      <c r="D164" s="1">
        <v>45590</v>
      </c>
      <c r="E164">
        <v>-387187</v>
      </c>
      <c r="F164">
        <v>26679</v>
      </c>
      <c r="G164">
        <v>239315725000</v>
      </c>
      <c r="H164">
        <v>592714620000</v>
      </c>
      <c r="I164">
        <v>116819270000</v>
      </c>
      <c r="J164">
        <v>0</v>
      </c>
      <c r="K164" s="1">
        <v>45590</v>
      </c>
      <c r="L164">
        <v>2583.27</v>
      </c>
      <c r="M164">
        <v>727.41</v>
      </c>
      <c r="N164">
        <v>462898</v>
      </c>
      <c r="O164">
        <v>345.25</v>
      </c>
      <c r="P164">
        <v>106</v>
      </c>
      <c r="Q164" s="1">
        <v>45593</v>
      </c>
      <c r="R164">
        <v>2.9319999999999999</v>
      </c>
      <c r="S164">
        <v>3.008</v>
      </c>
      <c r="T164">
        <v>3.117</v>
      </c>
      <c r="U164">
        <v>3.5030000000000001</v>
      </c>
      <c r="V164">
        <v>3.41</v>
      </c>
      <c r="W164">
        <f t="shared" si="0"/>
        <v>45590</v>
      </c>
      <c r="X164">
        <f>IF($X$99=TRUE,SUM(E164:E$350),"")</f>
        <v>6606982</v>
      </c>
      <c r="Y164">
        <f>IF($Y$99=TRUE,SUM(F164:F$350),"")</f>
        <v>1212595</v>
      </c>
      <c r="Z164">
        <f>IF($Z$99=TRUE,SUM(G164:G$350)/1000000,"")</f>
        <v>3628558.57</v>
      </c>
      <c r="AA164">
        <f>IF($AA$99=TRUE,SUM(H164:H$350)/1000000,"")</f>
        <v>8720868.2899999991</v>
      </c>
      <c r="AB164">
        <f>IF($AB$99=TRUE,SUM(AH164:AH$350)/1000,"")</f>
        <v>63643492.085000001</v>
      </c>
      <c r="AD164" s="1">
        <v>45590</v>
      </c>
      <c r="AE164">
        <v>345.25</v>
      </c>
      <c r="AF164">
        <v>106</v>
      </c>
      <c r="AG164" s="1">
        <v>45593</v>
      </c>
      <c r="AH164">
        <v>1645669182</v>
      </c>
      <c r="AI164" s="1">
        <v>45625</v>
      </c>
      <c r="AJ164">
        <v>5770.6459999999997</v>
      </c>
      <c r="AK164">
        <v>62.828000000000003</v>
      </c>
      <c r="AL164">
        <v>3948.623</v>
      </c>
      <c r="AM164">
        <v>1252.5830000000001</v>
      </c>
      <c r="AN164">
        <v>1054.2840000000001</v>
      </c>
    </row>
    <row r="165" spans="4:40" hidden="1">
      <c r="D165" s="1">
        <v>45589</v>
      </c>
      <c r="E165">
        <v>-604194</v>
      </c>
      <c r="F165">
        <v>-74554</v>
      </c>
      <c r="G165">
        <v>-443328250000</v>
      </c>
      <c r="H165">
        <v>1157493810000</v>
      </c>
      <c r="I165">
        <v>177124290000</v>
      </c>
      <c r="J165">
        <v>0</v>
      </c>
      <c r="K165" s="1">
        <v>45589</v>
      </c>
      <c r="L165">
        <v>2581.0300000000002</v>
      </c>
      <c r="M165">
        <v>734.59</v>
      </c>
      <c r="N165">
        <v>343098</v>
      </c>
      <c r="O165">
        <v>344.9</v>
      </c>
      <c r="P165">
        <v>105.98</v>
      </c>
      <c r="Q165" s="1">
        <v>45590</v>
      </c>
      <c r="R165">
        <v>2.8820000000000001</v>
      </c>
      <c r="S165">
        <v>2.9409999999999998</v>
      </c>
      <c r="T165">
        <v>3.0539999999999998</v>
      </c>
      <c r="U165">
        <v>3.4510000000000001</v>
      </c>
      <c r="V165">
        <v>3.4</v>
      </c>
      <c r="W165">
        <f t="shared" ref="W165:W228" si="1">D165</f>
        <v>45589</v>
      </c>
      <c r="X165">
        <f>IF($X$99=TRUE,SUM(E165:E$350),"")</f>
        <v>6994169</v>
      </c>
      <c r="Y165">
        <f>IF($Y$99=TRUE,SUM(F165:F$350),"")</f>
        <v>1185916</v>
      </c>
      <c r="Z165">
        <f>IF($Z$99=TRUE,SUM(G165:G$350)/1000000,"")</f>
        <v>3389242.8450000002</v>
      </c>
      <c r="AA165">
        <f>IF($AA$99=TRUE,SUM(H165:H$350)/1000000,"")</f>
        <v>8128153.6699999999</v>
      </c>
      <c r="AB165">
        <f>IF($AB$99=TRUE,SUM(AH165:AH$350)/1000,"")</f>
        <v>61997822.902999997</v>
      </c>
      <c r="AD165" s="1">
        <v>45589</v>
      </c>
      <c r="AE165">
        <v>344.9</v>
      </c>
      <c r="AF165">
        <v>105.98</v>
      </c>
      <c r="AG165" s="1">
        <v>45590</v>
      </c>
      <c r="AH165">
        <v>115501338</v>
      </c>
      <c r="AI165" s="1">
        <v>45624</v>
      </c>
      <c r="AJ165">
        <v>5739.5129999999999</v>
      </c>
      <c r="AK165">
        <v>62.628999999999998</v>
      </c>
      <c r="AL165">
        <v>3925.183</v>
      </c>
      <c r="AM165">
        <v>1249.048</v>
      </c>
      <c r="AN165">
        <v>1046.4000000000001</v>
      </c>
    </row>
    <row r="166" spans="4:40" hidden="1">
      <c r="D166" s="1">
        <v>45588</v>
      </c>
      <c r="E166">
        <v>211587</v>
      </c>
      <c r="F166">
        <v>48088</v>
      </c>
      <c r="G166">
        <v>480370087500</v>
      </c>
      <c r="H166">
        <v>-1074049880000</v>
      </c>
      <c r="I166">
        <v>-932309740000</v>
      </c>
      <c r="J166">
        <v>0</v>
      </c>
      <c r="K166" s="1">
        <v>45588</v>
      </c>
      <c r="L166">
        <v>2599.62</v>
      </c>
      <c r="M166">
        <v>745.19</v>
      </c>
      <c r="N166">
        <v>352421</v>
      </c>
      <c r="O166">
        <v>347.95</v>
      </c>
      <c r="P166">
        <v>105.86</v>
      </c>
      <c r="Q166" s="1">
        <v>45589</v>
      </c>
      <c r="R166">
        <v>2.891</v>
      </c>
      <c r="S166">
        <v>2.956</v>
      </c>
      <c r="T166">
        <v>3.0739999999999998</v>
      </c>
      <c r="U166">
        <v>3.46</v>
      </c>
      <c r="V166">
        <v>3.4</v>
      </c>
      <c r="W166">
        <f t="shared" si="1"/>
        <v>45588</v>
      </c>
      <c r="X166">
        <f>IF($X$99=TRUE,SUM(E166:E$350),"")</f>
        <v>7598363</v>
      </c>
      <c r="Y166">
        <f>IF($Y$99=TRUE,SUM(F166:F$350),"")</f>
        <v>1260470</v>
      </c>
      <c r="Z166">
        <f>IF($Z$99=TRUE,SUM(G166:G$350)/1000000,"")</f>
        <v>3832571.0950000002</v>
      </c>
      <c r="AA166">
        <f>IF($AA$99=TRUE,SUM(H166:H$350)/1000000,"")</f>
        <v>6970659.8600000003</v>
      </c>
      <c r="AB166">
        <f>IF($AB$99=TRUE,SUM(AH166:AH$350)/1000,"")</f>
        <v>61882321.564999998</v>
      </c>
      <c r="AD166" s="1">
        <v>45588</v>
      </c>
      <c r="AE166">
        <v>347.95</v>
      </c>
      <c r="AF166">
        <v>105.86</v>
      </c>
      <c r="AG166" s="1">
        <v>45589</v>
      </c>
      <c r="AH166">
        <v>970030224</v>
      </c>
      <c r="AI166" s="1">
        <v>45623</v>
      </c>
      <c r="AJ166">
        <v>5739.5129999999999</v>
      </c>
      <c r="AK166">
        <v>63.445999999999998</v>
      </c>
      <c r="AL166">
        <v>3905.33</v>
      </c>
      <c r="AM166">
        <v>1247.884</v>
      </c>
      <c r="AN166">
        <v>1058.3050000000001</v>
      </c>
    </row>
    <row r="167" spans="4:40" hidden="1">
      <c r="D167" s="1">
        <v>45587</v>
      </c>
      <c r="E167">
        <v>-280775</v>
      </c>
      <c r="F167">
        <v>-145061</v>
      </c>
      <c r="G167">
        <v>-216633537500</v>
      </c>
      <c r="H167">
        <v>560640920000</v>
      </c>
      <c r="I167">
        <v>-1522588450000</v>
      </c>
      <c r="J167">
        <v>0</v>
      </c>
      <c r="K167" s="1">
        <v>45587</v>
      </c>
      <c r="L167">
        <v>2570.6999999999998</v>
      </c>
      <c r="M167">
        <v>738.34</v>
      </c>
      <c r="N167">
        <v>343318</v>
      </c>
      <c r="O167">
        <v>343.9</v>
      </c>
      <c r="P167">
        <v>105.86</v>
      </c>
      <c r="Q167" s="1">
        <v>45588</v>
      </c>
      <c r="R167">
        <v>2.9359999999999999</v>
      </c>
      <c r="S167">
        <v>3.0110000000000001</v>
      </c>
      <c r="T167">
        <v>3.1280000000000001</v>
      </c>
      <c r="U167">
        <v>3.508</v>
      </c>
      <c r="V167">
        <v>3.4</v>
      </c>
      <c r="W167">
        <f t="shared" si="1"/>
        <v>45587</v>
      </c>
      <c r="X167">
        <f>IF($X$99=TRUE,SUM(E167:E$350),"")</f>
        <v>7386776</v>
      </c>
      <c r="Y167">
        <f>IF($Y$99=TRUE,SUM(F167:F$350),"")</f>
        <v>1212382</v>
      </c>
      <c r="Z167">
        <f>IF($Z$99=TRUE,SUM(G167:G$350)/1000000,"")</f>
        <v>3352201.0074999998</v>
      </c>
      <c r="AA167">
        <f>IF($AA$99=TRUE,SUM(H167:H$350)/1000000,"")</f>
        <v>8044709.7400000002</v>
      </c>
      <c r="AB167">
        <f>IF($AB$99=TRUE,SUM(AH167:AH$350)/1000,"")</f>
        <v>60912291.340999998</v>
      </c>
      <c r="AD167" s="1">
        <v>45587</v>
      </c>
      <c r="AE167">
        <v>343.9</v>
      </c>
      <c r="AF167">
        <v>105.86</v>
      </c>
      <c r="AG167" s="1">
        <v>45588</v>
      </c>
      <c r="AH167">
        <v>816026715</v>
      </c>
      <c r="AI167" s="1">
        <v>45622</v>
      </c>
      <c r="AJ167">
        <v>5761.6040000000003</v>
      </c>
      <c r="AK167">
        <v>62.017000000000003</v>
      </c>
      <c r="AL167">
        <v>3878.1120000000001</v>
      </c>
      <c r="AM167">
        <v>1234.3589999999999</v>
      </c>
      <c r="AN167">
        <v>1054.848</v>
      </c>
    </row>
    <row r="168" spans="4:40" hidden="1">
      <c r="D168" s="1">
        <v>45586</v>
      </c>
      <c r="E168">
        <v>18690</v>
      </c>
      <c r="F168">
        <v>157488</v>
      </c>
      <c r="G168">
        <v>179705050000</v>
      </c>
      <c r="H168">
        <v>474012140000</v>
      </c>
      <c r="I168">
        <v>820386110000</v>
      </c>
      <c r="J168">
        <v>0</v>
      </c>
      <c r="K168" s="1">
        <v>45586</v>
      </c>
      <c r="L168">
        <v>2604.92</v>
      </c>
      <c r="M168">
        <v>759.95</v>
      </c>
      <c r="N168">
        <v>240675</v>
      </c>
      <c r="O168">
        <v>348.3</v>
      </c>
      <c r="P168">
        <v>105.99</v>
      </c>
      <c r="Q168" s="1">
        <v>45587</v>
      </c>
      <c r="R168">
        <v>2.9430000000000001</v>
      </c>
      <c r="S168">
        <v>3.0139999999999998</v>
      </c>
      <c r="T168">
        <v>3.13</v>
      </c>
      <c r="U168">
        <v>3.512</v>
      </c>
      <c r="V168">
        <v>3.4</v>
      </c>
      <c r="W168">
        <f t="shared" si="1"/>
        <v>45586</v>
      </c>
      <c r="X168">
        <f>IF($X$99=TRUE,SUM(E168:E$350),"")</f>
        <v>7667551</v>
      </c>
      <c r="Y168">
        <f>IF($Y$99=TRUE,SUM(F168:F$350),"")</f>
        <v>1357443</v>
      </c>
      <c r="Z168">
        <f>IF($Z$99=TRUE,SUM(G168:G$350)/1000000,"")</f>
        <v>3568834.5449999999</v>
      </c>
      <c r="AA168">
        <f>IF($AA$99=TRUE,SUM(H168:H$350)/1000000,"")</f>
        <v>7484068.8200000003</v>
      </c>
      <c r="AB168">
        <f>IF($AB$99=TRUE,SUM(AH168:AH$350)/1000,"")</f>
        <v>60096264.626000002</v>
      </c>
      <c r="AD168" s="1">
        <v>45586</v>
      </c>
      <c r="AE168">
        <v>348.3</v>
      </c>
      <c r="AF168">
        <v>105.99</v>
      </c>
      <c r="AG168" s="1">
        <v>45587</v>
      </c>
      <c r="AH168">
        <v>1532853850</v>
      </c>
      <c r="AI168" s="1">
        <v>45621</v>
      </c>
      <c r="AJ168">
        <v>5731.9120000000003</v>
      </c>
      <c r="AK168">
        <v>62.162999999999997</v>
      </c>
      <c r="AL168">
        <v>3899.0030000000002</v>
      </c>
      <c r="AM168">
        <v>1237.8969999999999</v>
      </c>
      <c r="AN168">
        <v>1055.1890000000001</v>
      </c>
    </row>
    <row r="169" spans="4:40" hidden="1">
      <c r="D169" s="1">
        <v>45583</v>
      </c>
      <c r="E169">
        <v>-477784</v>
      </c>
      <c r="F169">
        <v>-30693</v>
      </c>
      <c r="G169">
        <v>50636087500</v>
      </c>
      <c r="H169">
        <v>138230950000</v>
      </c>
      <c r="I169">
        <v>-116185150000</v>
      </c>
      <c r="J169">
        <v>0</v>
      </c>
      <c r="K169" s="1">
        <v>45583</v>
      </c>
      <c r="L169">
        <v>2593.8200000000002</v>
      </c>
      <c r="M169">
        <v>753.22</v>
      </c>
      <c r="N169">
        <v>265201</v>
      </c>
      <c r="O169">
        <v>348.1</v>
      </c>
      <c r="P169">
        <v>105.93</v>
      </c>
      <c r="Q169" s="1">
        <v>45586</v>
      </c>
      <c r="R169">
        <v>2.9020000000000001</v>
      </c>
      <c r="S169">
        <v>2.9630000000000001</v>
      </c>
      <c r="T169">
        <v>3.0539999999999998</v>
      </c>
      <c r="U169">
        <v>3.4710000000000001</v>
      </c>
      <c r="V169">
        <v>3.39</v>
      </c>
      <c r="W169">
        <f t="shared" si="1"/>
        <v>45583</v>
      </c>
      <c r="X169">
        <f>IF($X$99=TRUE,SUM(E169:E$350),"")</f>
        <v>7648861</v>
      </c>
      <c r="Y169">
        <f>IF($Y$99=TRUE,SUM(F169:F$350),"")</f>
        <v>1199955</v>
      </c>
      <c r="Z169">
        <f>IF($Z$99=TRUE,SUM(G169:G$350)/1000000,"")</f>
        <v>3389129.4950000001</v>
      </c>
      <c r="AA169">
        <f>IF($AA$99=TRUE,SUM(H169:H$350)/1000000,"")</f>
        <v>7010056.6799999997</v>
      </c>
      <c r="AB169">
        <f>IF($AB$99=TRUE,SUM(AH169:AH$350)/1000,"")</f>
        <v>58563410.776000001</v>
      </c>
      <c r="AD169" s="1">
        <v>45583</v>
      </c>
      <c r="AE169">
        <v>348.1</v>
      </c>
      <c r="AF169">
        <v>105.93</v>
      </c>
      <c r="AG169" s="1">
        <v>45586</v>
      </c>
      <c r="AH169">
        <v>1199158587</v>
      </c>
      <c r="AI169" s="1">
        <v>45620</v>
      </c>
      <c r="AJ169">
        <v>5713.8180000000002</v>
      </c>
      <c r="AK169">
        <v>62.404000000000003</v>
      </c>
      <c r="AL169">
        <v>3849.15</v>
      </c>
      <c r="AM169">
        <v>1231.338</v>
      </c>
      <c r="AN169">
        <v>1038.8910000000001</v>
      </c>
    </row>
    <row r="170" spans="4:40" hidden="1">
      <c r="D170" s="1">
        <v>45582</v>
      </c>
      <c r="E170">
        <v>-404450</v>
      </c>
      <c r="F170">
        <v>3249</v>
      </c>
      <c r="G170">
        <v>-45031975000</v>
      </c>
      <c r="H170">
        <v>141799060000</v>
      </c>
      <c r="I170">
        <v>341894460000</v>
      </c>
      <c r="J170">
        <v>0</v>
      </c>
      <c r="K170" s="1">
        <v>45582</v>
      </c>
      <c r="L170">
        <v>2609.3000000000002</v>
      </c>
      <c r="M170">
        <v>765.06</v>
      </c>
      <c r="N170">
        <v>331265</v>
      </c>
      <c r="O170">
        <v>350.1</v>
      </c>
      <c r="P170">
        <v>106.01</v>
      </c>
      <c r="Q170" s="1">
        <v>45583</v>
      </c>
      <c r="R170">
        <v>2.9079999999999999</v>
      </c>
      <c r="S170">
        <v>2.9710000000000001</v>
      </c>
      <c r="T170">
        <v>3.0720000000000001</v>
      </c>
      <c r="U170">
        <v>3.48</v>
      </c>
      <c r="V170">
        <v>3.39</v>
      </c>
      <c r="W170">
        <f t="shared" si="1"/>
        <v>45582</v>
      </c>
      <c r="X170">
        <f>IF($X$99=TRUE,SUM(E170:E$350),"")</f>
        <v>8126645</v>
      </c>
      <c r="Y170">
        <f>IF($Y$99=TRUE,SUM(F170:F$350),"")</f>
        <v>1230648</v>
      </c>
      <c r="Z170">
        <f>IF($Z$99=TRUE,SUM(G170:G$350)/1000000,"")</f>
        <v>3338493.4075000002</v>
      </c>
      <c r="AA170">
        <f>IF($AA$99=TRUE,SUM(H170:H$350)/1000000,"")</f>
        <v>6871825.7300000004</v>
      </c>
      <c r="AB170">
        <f>IF($AB$99=TRUE,SUM(AH170:AH$350)/1000,"")</f>
        <v>57364252.189000003</v>
      </c>
      <c r="AD170" s="1">
        <v>45582</v>
      </c>
      <c r="AE170">
        <v>350.1</v>
      </c>
      <c r="AF170">
        <v>106.01</v>
      </c>
      <c r="AG170" s="1">
        <v>45583</v>
      </c>
      <c r="AH170">
        <v>310139990</v>
      </c>
      <c r="AI170" s="1">
        <v>45619</v>
      </c>
      <c r="AJ170">
        <v>5713.8180000000002</v>
      </c>
      <c r="AK170">
        <v>62.404000000000003</v>
      </c>
      <c r="AL170">
        <v>3849.15</v>
      </c>
      <c r="AM170">
        <v>1231.338</v>
      </c>
      <c r="AN170">
        <v>1038.8910000000001</v>
      </c>
    </row>
    <row r="171" spans="4:40" hidden="1">
      <c r="D171" s="1">
        <v>45581</v>
      </c>
      <c r="E171">
        <v>-657439</v>
      </c>
      <c r="F171">
        <v>-136865</v>
      </c>
      <c r="G171">
        <v>-272773912500</v>
      </c>
      <c r="H171">
        <v>453062080000</v>
      </c>
      <c r="I171">
        <v>648130980000</v>
      </c>
      <c r="J171">
        <v>0</v>
      </c>
      <c r="K171" s="1">
        <v>45581</v>
      </c>
      <c r="L171">
        <v>2610.36</v>
      </c>
      <c r="M171">
        <v>765.79</v>
      </c>
      <c r="N171">
        <v>437552</v>
      </c>
      <c r="O171">
        <v>349.3</v>
      </c>
      <c r="P171">
        <v>106.09</v>
      </c>
      <c r="Q171" s="1">
        <v>45582</v>
      </c>
      <c r="R171">
        <v>2.8969999999999998</v>
      </c>
      <c r="S171">
        <v>2.9460000000000002</v>
      </c>
      <c r="T171">
        <v>3.028</v>
      </c>
      <c r="U171">
        <v>3.4670000000000001</v>
      </c>
      <c r="V171">
        <v>3.39</v>
      </c>
      <c r="W171">
        <f t="shared" si="1"/>
        <v>45581</v>
      </c>
      <c r="X171">
        <f>IF($X$99=TRUE,SUM(E171:E$350),"")</f>
        <v>8531095</v>
      </c>
      <c r="Y171">
        <f>IF($Y$99=TRUE,SUM(F171:F$350),"")</f>
        <v>1227399</v>
      </c>
      <c r="Z171">
        <f>IF($Z$99=TRUE,SUM(G171:G$350)/1000000,"")</f>
        <v>3383525.3824999998</v>
      </c>
      <c r="AA171">
        <f>IF($AA$99=TRUE,SUM(H171:H$350)/1000000,"")</f>
        <v>6730026.6699999999</v>
      </c>
      <c r="AB171">
        <f>IF($AB$99=TRUE,SUM(AH171:AH$350)/1000,"")</f>
        <v>57054112.199000001</v>
      </c>
      <c r="AD171" s="1">
        <v>45581</v>
      </c>
      <c r="AE171">
        <v>349.3</v>
      </c>
      <c r="AF171">
        <v>106.09</v>
      </c>
      <c r="AG171" s="1">
        <v>45582</v>
      </c>
      <c r="AH171">
        <v>393254927</v>
      </c>
      <c r="AI171" s="1">
        <v>45618</v>
      </c>
      <c r="AJ171">
        <v>5713.8180000000002</v>
      </c>
      <c r="AK171">
        <v>62.404000000000003</v>
      </c>
      <c r="AL171">
        <v>3849.15</v>
      </c>
      <c r="AM171">
        <v>1231.338</v>
      </c>
      <c r="AN171">
        <v>1038.8910000000001</v>
      </c>
    </row>
    <row r="172" spans="4:40" hidden="1">
      <c r="D172" s="1">
        <v>45580</v>
      </c>
      <c r="E172">
        <v>287809</v>
      </c>
      <c r="F172">
        <v>-24958</v>
      </c>
      <c r="G172">
        <v>-26521175000</v>
      </c>
      <c r="H172">
        <v>285712700000</v>
      </c>
      <c r="I172">
        <v>505573440000</v>
      </c>
      <c r="J172">
        <v>0</v>
      </c>
      <c r="K172" s="1">
        <v>45580</v>
      </c>
      <c r="L172">
        <v>2633.45</v>
      </c>
      <c r="M172">
        <v>773.81</v>
      </c>
      <c r="N172">
        <v>438292</v>
      </c>
      <c r="O172">
        <v>352.65</v>
      </c>
      <c r="P172">
        <v>105.96</v>
      </c>
      <c r="Q172" s="1">
        <v>45581</v>
      </c>
      <c r="R172">
        <v>2.88</v>
      </c>
      <c r="S172">
        <v>2.9239999999999999</v>
      </c>
      <c r="T172">
        <v>3.008</v>
      </c>
      <c r="U172">
        <v>3.452</v>
      </c>
      <c r="V172">
        <v>3.4</v>
      </c>
      <c r="W172">
        <f t="shared" si="1"/>
        <v>45580</v>
      </c>
      <c r="X172">
        <f>IF($X$99=TRUE,SUM(E172:E$350),"")</f>
        <v>9188534</v>
      </c>
      <c r="Y172">
        <f>IF($Y$99=TRUE,SUM(F172:F$350),"")</f>
        <v>1364264</v>
      </c>
      <c r="Z172">
        <f>IF($Z$99=TRUE,SUM(G172:G$350)/1000000,"")</f>
        <v>3656299.2949999999</v>
      </c>
      <c r="AA172">
        <f>IF($AA$99=TRUE,SUM(H172:H$350)/1000000,"")</f>
        <v>6276964.5899999999</v>
      </c>
      <c r="AB172">
        <f>IF($AB$99=TRUE,SUM(AH172:AH$350)/1000,"")</f>
        <v>56660857.272</v>
      </c>
      <c r="AD172" s="1">
        <v>45580</v>
      </c>
      <c r="AE172">
        <v>352.65</v>
      </c>
      <c r="AF172">
        <v>105.96</v>
      </c>
      <c r="AG172" s="1">
        <v>45581</v>
      </c>
      <c r="AH172">
        <v>582131586</v>
      </c>
      <c r="AI172" s="1">
        <v>45617</v>
      </c>
      <c r="AJ172">
        <v>5691.018</v>
      </c>
      <c r="AK172">
        <v>63.988999999999997</v>
      </c>
      <c r="AL172">
        <v>3845.7150000000001</v>
      </c>
      <c r="AM172">
        <v>1223.681</v>
      </c>
      <c r="AN172">
        <v>1017.547</v>
      </c>
    </row>
    <row r="173" spans="4:40" hidden="1">
      <c r="D173" s="1">
        <v>45579</v>
      </c>
      <c r="E173">
        <v>90442</v>
      </c>
      <c r="F173">
        <v>-50592</v>
      </c>
      <c r="G173">
        <v>380292862500</v>
      </c>
      <c r="H173">
        <v>528191880000</v>
      </c>
      <c r="I173">
        <v>130923520000</v>
      </c>
      <c r="J173">
        <v>0</v>
      </c>
      <c r="K173" s="1">
        <v>45579</v>
      </c>
      <c r="L173">
        <v>2623.29</v>
      </c>
      <c r="M173">
        <v>770.26</v>
      </c>
      <c r="N173">
        <v>401705</v>
      </c>
      <c r="O173">
        <v>351.05</v>
      </c>
      <c r="P173">
        <v>105.87</v>
      </c>
      <c r="Q173" s="1">
        <v>45580</v>
      </c>
      <c r="R173">
        <v>2.9060000000000001</v>
      </c>
      <c r="S173">
        <v>2.9630000000000001</v>
      </c>
      <c r="T173">
        <v>3.05</v>
      </c>
      <c r="U173">
        <v>3.4750000000000001</v>
      </c>
      <c r="V173">
        <v>3.4</v>
      </c>
      <c r="W173">
        <f t="shared" si="1"/>
        <v>45579</v>
      </c>
      <c r="X173">
        <f>IF($X$99=TRUE,SUM(E173:E$350),"")</f>
        <v>8900725</v>
      </c>
      <c r="Y173">
        <f>IF($Y$99=TRUE,SUM(F173:F$350),"")</f>
        <v>1389222</v>
      </c>
      <c r="Z173">
        <f>IF($Z$99=TRUE,SUM(G173:G$350)/1000000,"")</f>
        <v>3682820.47</v>
      </c>
      <c r="AA173">
        <f>IF($AA$99=TRUE,SUM(H173:H$350)/1000000,"")</f>
        <v>5991251.8899999997</v>
      </c>
      <c r="AB173">
        <f>IF($AB$99=TRUE,SUM(AH173:AH$350)/1000,"")</f>
        <v>56078725.685999997</v>
      </c>
      <c r="AD173" s="1">
        <v>45579</v>
      </c>
      <c r="AE173">
        <v>351.05</v>
      </c>
      <c r="AF173">
        <v>105.87</v>
      </c>
      <c r="AG173" s="1">
        <v>45580</v>
      </c>
      <c r="AH173">
        <v>8163770</v>
      </c>
      <c r="AI173" s="1">
        <v>45616</v>
      </c>
      <c r="AJ173">
        <v>5657.9709999999995</v>
      </c>
      <c r="AK173">
        <v>64.563000000000002</v>
      </c>
      <c r="AL173">
        <v>3840.1640000000002</v>
      </c>
      <c r="AM173">
        <v>1217.519</v>
      </c>
      <c r="AN173">
        <v>1026.393</v>
      </c>
    </row>
    <row r="174" spans="4:40" hidden="1">
      <c r="D174" s="1">
        <v>45576</v>
      </c>
      <c r="E174">
        <v>-596310</v>
      </c>
      <c r="F174">
        <v>62385</v>
      </c>
      <c r="G174">
        <v>83751312500</v>
      </c>
      <c r="H174">
        <v>469696280000</v>
      </c>
      <c r="I174">
        <v>244275740000</v>
      </c>
      <c r="J174">
        <v>0</v>
      </c>
      <c r="K174" s="1">
        <v>45576</v>
      </c>
      <c r="L174">
        <v>2596.91</v>
      </c>
      <c r="M174">
        <v>770.98</v>
      </c>
      <c r="N174">
        <v>491276</v>
      </c>
      <c r="O174">
        <v>347.25</v>
      </c>
      <c r="P174">
        <v>105.82</v>
      </c>
      <c r="Q174" s="1">
        <v>45579</v>
      </c>
      <c r="R174">
        <v>2.9380000000000002</v>
      </c>
      <c r="S174">
        <v>2.9969999999999999</v>
      </c>
      <c r="T174">
        <v>3.0870000000000002</v>
      </c>
      <c r="U174">
        <v>3.5089999999999999</v>
      </c>
      <c r="V174">
        <v>3.4</v>
      </c>
      <c r="W174">
        <f t="shared" si="1"/>
        <v>45576</v>
      </c>
      <c r="X174">
        <f>IF($X$99=TRUE,SUM(E174:E$350),"")</f>
        <v>8810283</v>
      </c>
      <c r="Y174">
        <f>IF($Y$99=TRUE,SUM(F174:F$350),"")</f>
        <v>1439814</v>
      </c>
      <c r="Z174">
        <f>IF($Z$99=TRUE,SUM(G174:G$350)/1000000,"")</f>
        <v>3302527.6074999999</v>
      </c>
      <c r="AA174">
        <f>IF($AA$99=TRUE,SUM(H174:H$350)/1000000,"")</f>
        <v>5463060.0099999998</v>
      </c>
      <c r="AB174">
        <f>IF($AB$99=TRUE,SUM(AH174:AH$350)/1000,"")</f>
        <v>56070561.916000001</v>
      </c>
      <c r="AD174" s="1">
        <v>45576</v>
      </c>
      <c r="AE174">
        <v>347.25</v>
      </c>
      <c r="AF174">
        <v>105.82</v>
      </c>
      <c r="AG174" s="1">
        <v>45579</v>
      </c>
      <c r="AH174">
        <v>1166430191</v>
      </c>
      <c r="AI174" s="1">
        <v>45615</v>
      </c>
      <c r="AJ174">
        <v>5655.9040000000005</v>
      </c>
      <c r="AK174">
        <v>64.353999999999999</v>
      </c>
      <c r="AL174">
        <v>3900.2759999999998</v>
      </c>
      <c r="AM174">
        <v>1220.2159999999999</v>
      </c>
      <c r="AN174">
        <v>1026.393</v>
      </c>
    </row>
    <row r="175" spans="4:40" hidden="1">
      <c r="D175" s="1">
        <v>45575</v>
      </c>
      <c r="E175">
        <v>160663</v>
      </c>
      <c r="F175">
        <v>-91962</v>
      </c>
      <c r="G175">
        <v>149880500000</v>
      </c>
      <c r="H175">
        <v>-1364554400000</v>
      </c>
      <c r="I175">
        <v>-252374320000</v>
      </c>
      <c r="J175">
        <v>0</v>
      </c>
      <c r="K175" s="1">
        <v>45575</v>
      </c>
      <c r="L175">
        <v>2599.16</v>
      </c>
      <c r="M175">
        <v>775.48</v>
      </c>
      <c r="N175">
        <v>618560</v>
      </c>
      <c r="O175">
        <v>346.85</v>
      </c>
      <c r="P175">
        <v>105.79</v>
      </c>
      <c r="Q175" s="1">
        <v>45576</v>
      </c>
      <c r="R175">
        <v>2.9470000000000001</v>
      </c>
      <c r="S175">
        <v>2.9980000000000002</v>
      </c>
      <c r="T175">
        <v>3.085</v>
      </c>
      <c r="U175">
        <v>3.5230000000000001</v>
      </c>
      <c r="V175">
        <v>3.4</v>
      </c>
      <c r="W175">
        <f t="shared" si="1"/>
        <v>45575</v>
      </c>
      <c r="X175">
        <f>IF($X$99=TRUE,SUM(E175:E$350),"")</f>
        <v>9406593</v>
      </c>
      <c r="Y175">
        <f>IF($Y$99=TRUE,SUM(F175:F$350),"")</f>
        <v>1377429</v>
      </c>
      <c r="Z175">
        <f>IF($Z$99=TRUE,SUM(G175:G$350)/1000000,"")</f>
        <v>3218776.2949999999</v>
      </c>
      <c r="AA175">
        <f>IF($AA$99=TRUE,SUM(H175:H$350)/1000000,"")</f>
        <v>4993363.7300000004</v>
      </c>
      <c r="AB175">
        <f>IF($AB$99=TRUE,SUM(AH175:AH$350)/1000,"")</f>
        <v>54904131.725000001</v>
      </c>
      <c r="AD175" s="1">
        <v>45575</v>
      </c>
      <c r="AE175">
        <v>346.85</v>
      </c>
      <c r="AF175">
        <v>105.79</v>
      </c>
      <c r="AG175" s="1">
        <v>45576</v>
      </c>
      <c r="AH175">
        <v>105858152</v>
      </c>
      <c r="AI175" s="1">
        <v>45614</v>
      </c>
      <c r="AJ175">
        <v>5630.2030000000004</v>
      </c>
      <c r="AK175">
        <v>64.067999999999998</v>
      </c>
      <c r="AL175">
        <v>3848.348</v>
      </c>
      <c r="AM175">
        <v>1219.1179999999999</v>
      </c>
      <c r="AN175">
        <v>1023.029</v>
      </c>
    </row>
    <row r="176" spans="4:40" hidden="1">
      <c r="D176" s="1">
        <v>45573</v>
      </c>
      <c r="E176">
        <v>-376604</v>
      </c>
      <c r="F176">
        <v>-91793</v>
      </c>
      <c r="G176">
        <v>-377770200000</v>
      </c>
      <c r="H176">
        <v>-1519351660000</v>
      </c>
      <c r="I176">
        <v>-1839460270000</v>
      </c>
      <c r="J176">
        <v>0</v>
      </c>
      <c r="K176" s="1">
        <v>45573</v>
      </c>
      <c r="L176">
        <v>2594.36</v>
      </c>
      <c r="M176">
        <v>778.24</v>
      </c>
      <c r="N176">
        <v>318240</v>
      </c>
      <c r="O176">
        <v>346.15</v>
      </c>
      <c r="P176">
        <v>105.87</v>
      </c>
      <c r="Q176" s="1">
        <v>45575</v>
      </c>
      <c r="R176">
        <v>2.9620000000000002</v>
      </c>
      <c r="S176">
        <v>3.0139999999999998</v>
      </c>
      <c r="T176">
        <v>3.0880000000000001</v>
      </c>
      <c r="U176">
        <v>3.5419999999999998</v>
      </c>
      <c r="V176">
        <v>3.5</v>
      </c>
      <c r="W176">
        <f t="shared" si="1"/>
        <v>45573</v>
      </c>
      <c r="X176">
        <f>IF($X$99=TRUE,SUM(E176:E$350),"")</f>
        <v>9245930</v>
      </c>
      <c r="Y176">
        <f>IF($Y$99=TRUE,SUM(F176:F$350),"")</f>
        <v>1469391</v>
      </c>
      <c r="Z176">
        <f>IF($Z$99=TRUE,SUM(G176:G$350)/1000000,"")</f>
        <v>3068895.7949999999</v>
      </c>
      <c r="AA176">
        <f>IF($AA$99=TRUE,SUM(H176:H$350)/1000000,"")</f>
        <v>6357918.1299999999</v>
      </c>
      <c r="AB176">
        <f>IF($AB$99=TRUE,SUM(AH176:AH$350)/1000,"")</f>
        <v>54798273.572999999</v>
      </c>
      <c r="AD176" s="1">
        <v>45573</v>
      </c>
      <c r="AE176">
        <v>346.15</v>
      </c>
      <c r="AF176">
        <v>105.87</v>
      </c>
      <c r="AG176" s="1">
        <v>45575</v>
      </c>
      <c r="AH176">
        <v>1228376362</v>
      </c>
      <c r="AI176" s="1">
        <v>45613</v>
      </c>
      <c r="AJ176">
        <v>5606</v>
      </c>
      <c r="AK176">
        <v>63.569000000000003</v>
      </c>
      <c r="AL176">
        <v>3882.482</v>
      </c>
      <c r="AM176">
        <v>1210.5039999999999</v>
      </c>
      <c r="AN176">
        <v>1025.652</v>
      </c>
    </row>
    <row r="177" spans="4:40" hidden="1">
      <c r="D177" s="1">
        <v>45572</v>
      </c>
      <c r="E177">
        <v>29034</v>
      </c>
      <c r="F177">
        <v>78181</v>
      </c>
      <c r="G177">
        <v>258998512500</v>
      </c>
      <c r="H177">
        <v>-4773776090000</v>
      </c>
      <c r="I177">
        <v>-1590689480000</v>
      </c>
      <c r="J177">
        <v>0</v>
      </c>
      <c r="K177" s="1">
        <v>45572</v>
      </c>
      <c r="L177">
        <v>2610.38</v>
      </c>
      <c r="M177">
        <v>781.01</v>
      </c>
      <c r="N177">
        <v>343671</v>
      </c>
      <c r="O177">
        <v>349.25</v>
      </c>
      <c r="P177">
        <v>105.8</v>
      </c>
      <c r="Q177" s="1">
        <v>45573</v>
      </c>
      <c r="R177">
        <v>2.9319999999999999</v>
      </c>
      <c r="S177">
        <v>2.9980000000000002</v>
      </c>
      <c r="T177">
        <v>3.077</v>
      </c>
      <c r="U177">
        <v>3.5169999999999999</v>
      </c>
      <c r="V177">
        <v>3.51</v>
      </c>
      <c r="W177">
        <f t="shared" si="1"/>
        <v>45572</v>
      </c>
      <c r="X177">
        <f>IF($X$99=TRUE,SUM(E177:E$350),"")</f>
        <v>9622534</v>
      </c>
      <c r="Y177">
        <f>IF($Y$99=TRUE,SUM(F177:F$350),"")</f>
        <v>1561184</v>
      </c>
      <c r="Z177">
        <f>IF($Z$99=TRUE,SUM(G177:G$350)/1000000,"")</f>
        <v>3446665.9950000001</v>
      </c>
      <c r="AA177">
        <f>IF($AA$99=TRUE,SUM(H177:H$350)/1000000,"")</f>
        <v>7877269.79</v>
      </c>
      <c r="AB177">
        <f>IF($AB$99=TRUE,SUM(AH177:AH$350)/1000,"")</f>
        <v>53569897.211000003</v>
      </c>
      <c r="AD177" s="1">
        <v>45572</v>
      </c>
      <c r="AE177">
        <v>349.25</v>
      </c>
      <c r="AF177">
        <v>105.8</v>
      </c>
      <c r="AG177" s="1">
        <v>45573</v>
      </c>
      <c r="AH177">
        <v>463306190</v>
      </c>
      <c r="AI177" s="1">
        <v>45612</v>
      </c>
      <c r="AJ177">
        <v>5606</v>
      </c>
      <c r="AK177">
        <v>63.569000000000003</v>
      </c>
      <c r="AL177">
        <v>3882.482</v>
      </c>
      <c r="AM177">
        <v>1210.5039999999999</v>
      </c>
      <c r="AN177">
        <v>1025.652</v>
      </c>
    </row>
    <row r="178" spans="4:40" hidden="1">
      <c r="D178" s="1">
        <v>45569</v>
      </c>
      <c r="E178">
        <v>42837</v>
      </c>
      <c r="F178">
        <v>79102</v>
      </c>
      <c r="G178">
        <v>-312187825000</v>
      </c>
      <c r="H178">
        <v>-1144678770000</v>
      </c>
      <c r="I178">
        <v>-1391277830000</v>
      </c>
      <c r="J178">
        <v>0</v>
      </c>
      <c r="K178" s="1">
        <v>45569</v>
      </c>
      <c r="L178">
        <v>2569.71</v>
      </c>
      <c r="M178">
        <v>768.98</v>
      </c>
      <c r="N178">
        <v>414328</v>
      </c>
      <c r="O178">
        <v>344.1</v>
      </c>
      <c r="P178">
        <v>106.27</v>
      </c>
      <c r="Q178" s="1">
        <v>45572</v>
      </c>
      <c r="R178">
        <v>2.96</v>
      </c>
      <c r="S178">
        <v>3.0179999999999998</v>
      </c>
      <c r="T178">
        <v>3.101</v>
      </c>
      <c r="U178">
        <v>3.5459999999999998</v>
      </c>
      <c r="V178">
        <v>3.51</v>
      </c>
      <c r="W178">
        <f t="shared" si="1"/>
        <v>45569</v>
      </c>
      <c r="X178">
        <f>IF($X$99=TRUE,SUM(E178:E$350),"")</f>
        <v>9593500</v>
      </c>
      <c r="Y178">
        <f>IF($Y$99=TRUE,SUM(F178:F$350),"")</f>
        <v>1483003</v>
      </c>
      <c r="Z178">
        <f>IF($Z$99=TRUE,SUM(G178:G$350)/1000000,"")</f>
        <v>3187667.4824999999</v>
      </c>
      <c r="AA178">
        <f>IF($AA$99=TRUE,SUM(H178:H$350)/1000000,"")</f>
        <v>12651045.880000001</v>
      </c>
      <c r="AB178">
        <f>IF($AB$99=TRUE,SUM(AH178:AH$350)/1000,"")</f>
        <v>53106591.020999998</v>
      </c>
      <c r="AD178" s="1">
        <v>45569</v>
      </c>
      <c r="AE178">
        <v>344.1</v>
      </c>
      <c r="AF178">
        <v>106.27</v>
      </c>
      <c r="AG178" s="1">
        <v>45572</v>
      </c>
      <c r="AH178">
        <v>1049761616</v>
      </c>
      <c r="AI178" s="1">
        <v>45611</v>
      </c>
      <c r="AJ178">
        <v>5606</v>
      </c>
      <c r="AK178">
        <v>63.569000000000003</v>
      </c>
      <c r="AL178">
        <v>3882.482</v>
      </c>
      <c r="AM178">
        <v>1210.5039999999999</v>
      </c>
      <c r="AN178">
        <v>1025.652</v>
      </c>
    </row>
    <row r="179" spans="4:40" hidden="1">
      <c r="D179" s="1">
        <v>45567</v>
      </c>
      <c r="E179">
        <v>-304776</v>
      </c>
      <c r="F179">
        <v>-21539</v>
      </c>
      <c r="G179">
        <v>-235655825000</v>
      </c>
      <c r="H179">
        <v>778713850000</v>
      </c>
      <c r="I179">
        <v>836181210000</v>
      </c>
      <c r="J179">
        <v>0</v>
      </c>
      <c r="K179" s="1">
        <v>45567</v>
      </c>
      <c r="L179">
        <v>2561.69</v>
      </c>
      <c r="M179">
        <v>762.13</v>
      </c>
      <c r="N179">
        <v>351004</v>
      </c>
      <c r="O179">
        <v>342.75</v>
      </c>
      <c r="P179">
        <v>106.42</v>
      </c>
      <c r="Q179" s="1">
        <v>45569</v>
      </c>
      <c r="R179">
        <v>2.8239999999999998</v>
      </c>
      <c r="S179">
        <v>2.899</v>
      </c>
      <c r="T179">
        <v>2.996</v>
      </c>
      <c r="U179">
        <v>3.415</v>
      </c>
      <c r="V179">
        <v>3.52</v>
      </c>
      <c r="W179">
        <f t="shared" si="1"/>
        <v>45567</v>
      </c>
      <c r="X179">
        <f>IF($X$99=TRUE,SUM(E179:E$350),"")</f>
        <v>9550663</v>
      </c>
      <c r="Y179">
        <f>IF($Y$99=TRUE,SUM(F179:F$350),"")</f>
        <v>1403901</v>
      </c>
      <c r="Z179">
        <f>IF($Z$99=TRUE,SUM(G179:G$350)/1000000,"")</f>
        <v>3499855.3075000001</v>
      </c>
      <c r="AA179">
        <f>IF($AA$99=TRUE,SUM(H179:H$350)/1000000,"")</f>
        <v>13795724.65</v>
      </c>
      <c r="AB179">
        <f>IF($AB$99=TRUE,SUM(AH179:AH$350)/1000,"")</f>
        <v>52056829.405000001</v>
      </c>
      <c r="AD179" s="1">
        <v>45567</v>
      </c>
      <c r="AE179">
        <v>342.75</v>
      </c>
      <c r="AF179">
        <v>106.42</v>
      </c>
      <c r="AG179" s="1">
        <v>45569</v>
      </c>
      <c r="AH179">
        <v>-463856882</v>
      </c>
      <c r="AI179" s="1">
        <v>45610</v>
      </c>
      <c r="AJ179">
        <v>5681.2749999999996</v>
      </c>
      <c r="AK179">
        <v>63.76</v>
      </c>
      <c r="AL179">
        <v>3839.1439999999998</v>
      </c>
      <c r="AM179">
        <v>1219.269</v>
      </c>
      <c r="AN179">
        <v>1025.652</v>
      </c>
    </row>
    <row r="180" spans="4:40" hidden="1">
      <c r="D180" s="1">
        <v>45565</v>
      </c>
      <c r="E180">
        <v>-1000056</v>
      </c>
      <c r="F180">
        <v>-50145</v>
      </c>
      <c r="G180">
        <v>-50772812500</v>
      </c>
      <c r="H180">
        <v>104670940000</v>
      </c>
      <c r="I180">
        <v>-346073510000</v>
      </c>
      <c r="J180">
        <v>0</v>
      </c>
      <c r="K180" s="1">
        <v>45565</v>
      </c>
      <c r="L180">
        <v>2593.27</v>
      </c>
      <c r="M180">
        <v>763.88</v>
      </c>
      <c r="N180">
        <v>358915</v>
      </c>
      <c r="O180">
        <v>347.9</v>
      </c>
      <c r="P180">
        <v>106.35</v>
      </c>
      <c r="Q180" s="1">
        <v>45567</v>
      </c>
      <c r="R180">
        <v>2.78</v>
      </c>
      <c r="S180">
        <v>2.843</v>
      </c>
      <c r="T180">
        <v>2.9319999999999999</v>
      </c>
      <c r="U180">
        <v>3.37</v>
      </c>
      <c r="V180">
        <v>3.52</v>
      </c>
      <c r="W180">
        <f t="shared" si="1"/>
        <v>45565</v>
      </c>
      <c r="X180">
        <f>IF($X$99=TRUE,SUM(E180:E$350),"")</f>
        <v>9855439</v>
      </c>
      <c r="Y180">
        <f>IF($Y$99=TRUE,SUM(F180:F$350),"")</f>
        <v>1425440</v>
      </c>
      <c r="Z180">
        <f>IF($Z$99=TRUE,SUM(G180:G$350)/1000000,"")</f>
        <v>3735511.1324999998</v>
      </c>
      <c r="AA180">
        <f>IF($AA$99=TRUE,SUM(H180:H$350)/1000000,"")</f>
        <v>13017010.800000001</v>
      </c>
      <c r="AB180">
        <f>IF($AB$99=TRUE,SUM(AH180:AH$350)/1000,"")</f>
        <v>52520686.287</v>
      </c>
      <c r="AD180" s="1">
        <v>45565</v>
      </c>
      <c r="AE180">
        <v>347.9</v>
      </c>
      <c r="AF180">
        <v>106.35</v>
      </c>
      <c r="AG180" s="1">
        <v>45567</v>
      </c>
      <c r="AH180">
        <v>555546561</v>
      </c>
      <c r="AI180" s="1">
        <v>45609</v>
      </c>
      <c r="AJ180">
        <v>5717.875</v>
      </c>
      <c r="AK180">
        <v>65.058999999999997</v>
      </c>
      <c r="AL180">
        <v>3868.076</v>
      </c>
      <c r="AM180">
        <v>1214.3050000000001</v>
      </c>
      <c r="AN180">
        <v>1024.203</v>
      </c>
    </row>
    <row r="181" spans="4:40" hidden="1">
      <c r="D181" s="1">
        <v>45562</v>
      </c>
      <c r="E181">
        <v>265405</v>
      </c>
      <c r="F181">
        <v>-76623</v>
      </c>
      <c r="G181">
        <v>-421028692500</v>
      </c>
      <c r="H181">
        <v>-203328490000</v>
      </c>
      <c r="I181">
        <v>-366979560000</v>
      </c>
      <c r="J181">
        <v>0</v>
      </c>
      <c r="K181" s="1">
        <v>45562</v>
      </c>
      <c r="L181">
        <v>2649.78</v>
      </c>
      <c r="M181">
        <v>774.49</v>
      </c>
      <c r="N181">
        <v>413004</v>
      </c>
      <c r="O181">
        <v>355.85</v>
      </c>
      <c r="P181">
        <v>106.3</v>
      </c>
      <c r="Q181" s="1">
        <v>45565</v>
      </c>
      <c r="R181">
        <v>2.8109999999999999</v>
      </c>
      <c r="S181">
        <v>2.887</v>
      </c>
      <c r="T181">
        <v>2.992</v>
      </c>
      <c r="U181">
        <v>3.3969999999999998</v>
      </c>
      <c r="V181">
        <v>3.53</v>
      </c>
      <c r="W181">
        <f t="shared" si="1"/>
        <v>45562</v>
      </c>
      <c r="X181">
        <f>IF($X$99=TRUE,SUM(E181:E$350),"")</f>
        <v>10855495</v>
      </c>
      <c r="Y181">
        <f>IF($Y$99=TRUE,SUM(F181:F$350),"")</f>
        <v>1475585</v>
      </c>
      <c r="Z181">
        <f>IF($Z$99=TRUE,SUM(G181:G$350)/1000000,"")</f>
        <v>3786283.9449999998</v>
      </c>
      <c r="AA181">
        <f>IF($AA$99=TRUE,SUM(H181:H$350)/1000000,"")</f>
        <v>12912339.859999999</v>
      </c>
      <c r="AB181">
        <f>IF($AB$99=TRUE,SUM(AH181:AH$350)/1000,"")</f>
        <v>51965139.726000004</v>
      </c>
      <c r="AD181" s="1">
        <v>45562</v>
      </c>
      <c r="AE181">
        <v>355.85</v>
      </c>
      <c r="AF181">
        <v>106.3</v>
      </c>
      <c r="AG181" s="1">
        <v>45565</v>
      </c>
      <c r="AH181">
        <v>2220523112</v>
      </c>
      <c r="AI181" s="1">
        <v>45608</v>
      </c>
      <c r="AJ181">
        <v>5718.2460000000001</v>
      </c>
      <c r="AK181">
        <v>65.11</v>
      </c>
      <c r="AL181">
        <v>3935.7710000000002</v>
      </c>
      <c r="AM181">
        <v>1216.8330000000001</v>
      </c>
      <c r="AN181">
        <v>1040.8779999999999</v>
      </c>
    </row>
    <row r="182" spans="4:40" hidden="1">
      <c r="D182" s="1">
        <v>45561</v>
      </c>
      <c r="E182">
        <v>490429</v>
      </c>
      <c r="F182">
        <v>183835</v>
      </c>
      <c r="G182">
        <v>946174000000</v>
      </c>
      <c r="H182">
        <v>507886590000</v>
      </c>
      <c r="I182">
        <v>-177435010000</v>
      </c>
      <c r="J182">
        <v>0</v>
      </c>
      <c r="K182" s="1">
        <v>45561</v>
      </c>
      <c r="L182">
        <v>2671.57</v>
      </c>
      <c r="M182">
        <v>779.18</v>
      </c>
      <c r="N182">
        <v>324889</v>
      </c>
      <c r="O182">
        <v>358.5</v>
      </c>
      <c r="P182">
        <v>106.37</v>
      </c>
      <c r="Q182" s="1">
        <v>45562</v>
      </c>
      <c r="R182">
        <v>2.8260000000000001</v>
      </c>
      <c r="S182">
        <v>2.8889999999999998</v>
      </c>
      <c r="T182">
        <v>3</v>
      </c>
      <c r="U182">
        <v>3.4089999999999998</v>
      </c>
      <c r="V182">
        <v>3.53</v>
      </c>
      <c r="W182">
        <f t="shared" si="1"/>
        <v>45561</v>
      </c>
      <c r="X182">
        <f>IF($X$99=TRUE,SUM(E182:E$350),"")</f>
        <v>10590090</v>
      </c>
      <c r="Y182">
        <f>IF($Y$99=TRUE,SUM(F182:F$350),"")</f>
        <v>1552208</v>
      </c>
      <c r="Z182">
        <f>IF($Z$99=TRUE,SUM(G182:G$350)/1000000,"")</f>
        <v>4207312.6375000002</v>
      </c>
      <c r="AA182">
        <f>IF($AA$99=TRUE,SUM(H182:H$350)/1000000,"")</f>
        <v>13115668.35</v>
      </c>
      <c r="AB182">
        <f>IF($AB$99=TRUE,SUM(AH182:AH$350)/1000,"")</f>
        <v>49744616.614</v>
      </c>
      <c r="AD182" s="1">
        <v>45561</v>
      </c>
      <c r="AE182">
        <v>358.5</v>
      </c>
      <c r="AF182">
        <v>106.37</v>
      </c>
      <c r="AG182" s="1">
        <v>45562</v>
      </c>
      <c r="AH182">
        <v>143490525</v>
      </c>
      <c r="AI182" s="1">
        <v>45607</v>
      </c>
      <c r="AJ182">
        <v>5734.9009999999998</v>
      </c>
      <c r="AK182">
        <v>66.957999999999998</v>
      </c>
      <c r="AL182">
        <v>3950.9870000000001</v>
      </c>
      <c r="AM182">
        <v>1242.9559999999999</v>
      </c>
      <c r="AN182">
        <v>1053.02</v>
      </c>
    </row>
    <row r="183" spans="4:40" hidden="1">
      <c r="D183" s="1">
        <v>45560</v>
      </c>
      <c r="E183">
        <v>-571826</v>
      </c>
      <c r="F183">
        <v>11748</v>
      </c>
      <c r="G183">
        <v>123819462500</v>
      </c>
      <c r="H183">
        <v>247091190000</v>
      </c>
      <c r="I183">
        <v>-203641750000</v>
      </c>
      <c r="J183">
        <v>0</v>
      </c>
      <c r="K183" s="1">
        <v>45560</v>
      </c>
      <c r="L183">
        <v>2596.3200000000002</v>
      </c>
      <c r="M183">
        <v>759.3</v>
      </c>
      <c r="N183">
        <v>454471</v>
      </c>
      <c r="O183">
        <v>346.3</v>
      </c>
      <c r="P183">
        <v>106.37</v>
      </c>
      <c r="Q183" s="1">
        <v>45561</v>
      </c>
      <c r="R183">
        <v>2.8069999999999999</v>
      </c>
      <c r="S183">
        <v>2.875</v>
      </c>
      <c r="T183">
        <v>3.0009999999999999</v>
      </c>
      <c r="U183">
        <v>3.395</v>
      </c>
      <c r="V183">
        <v>3.53</v>
      </c>
      <c r="W183">
        <f t="shared" si="1"/>
        <v>45560</v>
      </c>
      <c r="X183">
        <f>IF($X$99=TRUE,SUM(E183:E$350),"")</f>
        <v>10099661</v>
      </c>
      <c r="Y183">
        <f>IF($Y$99=TRUE,SUM(F183:F$350),"")</f>
        <v>1368373</v>
      </c>
      <c r="Z183">
        <f>IF($Z$99=TRUE,SUM(G183:G$350)/1000000,"")</f>
        <v>3261138.6375000002</v>
      </c>
      <c r="AA183">
        <f>IF($AA$99=TRUE,SUM(H183:H$350)/1000000,"")</f>
        <v>12607781.76</v>
      </c>
      <c r="AB183">
        <f>IF($AB$99=TRUE,SUM(AH183:AH$350)/1000,"")</f>
        <v>49601126.089000002</v>
      </c>
      <c r="AD183" s="1">
        <v>45560</v>
      </c>
      <c r="AE183">
        <v>346.3</v>
      </c>
      <c r="AF183">
        <v>106.37</v>
      </c>
      <c r="AG183" s="1">
        <v>45561</v>
      </c>
      <c r="AH183">
        <v>722850300</v>
      </c>
      <c r="AI183" s="1">
        <v>45606</v>
      </c>
      <c r="AJ183">
        <v>5722.9610000000002</v>
      </c>
      <c r="AK183">
        <v>67.694000000000003</v>
      </c>
      <c r="AL183">
        <v>3993.4549999999999</v>
      </c>
      <c r="AM183">
        <v>1241.491</v>
      </c>
      <c r="AN183">
        <v>1054.373</v>
      </c>
    </row>
    <row r="184" spans="4:40" hidden="1">
      <c r="D184" s="1">
        <v>45559</v>
      </c>
      <c r="E184">
        <v>-378950</v>
      </c>
      <c r="F184">
        <v>96072</v>
      </c>
      <c r="G184">
        <v>150333787500</v>
      </c>
      <c r="H184">
        <v>580988390000</v>
      </c>
      <c r="I184">
        <v>27721350000</v>
      </c>
      <c r="J184">
        <v>0</v>
      </c>
      <c r="K184" s="1">
        <v>45559</v>
      </c>
      <c r="L184">
        <v>2631.68</v>
      </c>
      <c r="M184">
        <v>767.35</v>
      </c>
      <c r="N184">
        <v>355097</v>
      </c>
      <c r="O184">
        <v>352</v>
      </c>
      <c r="P184">
        <v>106.23</v>
      </c>
      <c r="Q184" s="1">
        <v>45560</v>
      </c>
      <c r="R184">
        <v>2.8119999999999998</v>
      </c>
      <c r="S184">
        <v>2.8730000000000002</v>
      </c>
      <c r="T184">
        <v>2.9969999999999999</v>
      </c>
      <c r="U184">
        <v>3.4009999999999998</v>
      </c>
      <c r="V184">
        <v>3.53</v>
      </c>
      <c r="W184">
        <f t="shared" si="1"/>
        <v>45559</v>
      </c>
      <c r="X184">
        <f>IF($X$99=TRUE,SUM(E184:E$350),"")</f>
        <v>10671487</v>
      </c>
      <c r="Y184">
        <f>IF($Y$99=TRUE,SUM(F184:F$350),"")</f>
        <v>1356625</v>
      </c>
      <c r="Z184">
        <f>IF($Z$99=TRUE,SUM(G184:G$350)/1000000,"")</f>
        <v>3137319.1749999998</v>
      </c>
      <c r="AA184">
        <f>IF($AA$99=TRUE,SUM(H184:H$350)/1000000,"")</f>
        <v>12360690.57</v>
      </c>
      <c r="AB184">
        <f>IF($AB$99=TRUE,SUM(AH184:AH$350)/1000,"")</f>
        <v>48878275.788999997</v>
      </c>
      <c r="AD184" s="1">
        <v>45559</v>
      </c>
      <c r="AE184">
        <v>352</v>
      </c>
      <c r="AF184">
        <v>106.23</v>
      </c>
      <c r="AG184" s="1">
        <v>45560</v>
      </c>
      <c r="AH184">
        <v>275483930</v>
      </c>
      <c r="AI184" s="1">
        <v>45605</v>
      </c>
      <c r="AJ184">
        <v>5722.9610000000002</v>
      </c>
      <c r="AK184">
        <v>67.694000000000003</v>
      </c>
      <c r="AL184">
        <v>3993.4549999999999</v>
      </c>
      <c r="AM184">
        <v>1241.491</v>
      </c>
      <c r="AN184">
        <v>1054.373</v>
      </c>
    </row>
    <row r="185" spans="4:40" hidden="1">
      <c r="D185" s="1">
        <v>45558</v>
      </c>
      <c r="E185">
        <v>-701864</v>
      </c>
      <c r="F185">
        <v>-35287</v>
      </c>
      <c r="G185">
        <v>100835587500</v>
      </c>
      <c r="H185">
        <v>17028840000</v>
      </c>
      <c r="I185">
        <v>305828270000</v>
      </c>
      <c r="J185">
        <v>0</v>
      </c>
      <c r="K185" s="1">
        <v>45558</v>
      </c>
      <c r="L185">
        <v>2602.0100000000002</v>
      </c>
      <c r="M185">
        <v>755.12</v>
      </c>
      <c r="N185">
        <v>339140</v>
      </c>
      <c r="O185">
        <v>347.45</v>
      </c>
      <c r="P185">
        <v>106.23</v>
      </c>
      <c r="Q185" s="1">
        <v>45559</v>
      </c>
      <c r="R185">
        <v>2.8540000000000001</v>
      </c>
      <c r="S185">
        <v>2.903</v>
      </c>
      <c r="T185">
        <v>3.0259999999999998</v>
      </c>
      <c r="U185">
        <v>3.4390000000000001</v>
      </c>
      <c r="V185">
        <v>3.53</v>
      </c>
      <c r="W185">
        <f t="shared" si="1"/>
        <v>45558</v>
      </c>
      <c r="X185">
        <f>IF($X$99=TRUE,SUM(E185:E$350),"")</f>
        <v>11050437</v>
      </c>
      <c r="Y185">
        <f>IF($Y$99=TRUE,SUM(F185:F$350),"")</f>
        <v>1260553</v>
      </c>
      <c r="Z185">
        <f>IF($Z$99=TRUE,SUM(G185:G$350)/1000000,"")</f>
        <v>2986985.3875000002</v>
      </c>
      <c r="AA185">
        <f>IF($AA$99=TRUE,SUM(H185:H$350)/1000000,"")</f>
        <v>11779702.18</v>
      </c>
      <c r="AB185">
        <f>IF($AB$99=TRUE,SUM(AH185:AH$350)/1000,"")</f>
        <v>48602791.858999997</v>
      </c>
      <c r="AD185" s="1">
        <v>45558</v>
      </c>
      <c r="AE185">
        <v>347.45</v>
      </c>
      <c r="AF185">
        <v>106.23</v>
      </c>
      <c r="AG185" s="1">
        <v>45559</v>
      </c>
      <c r="AH185">
        <v>1011143580</v>
      </c>
      <c r="AI185" s="1">
        <v>45604</v>
      </c>
      <c r="AJ185">
        <v>5722.9610000000002</v>
      </c>
      <c r="AK185">
        <v>67.694000000000003</v>
      </c>
      <c r="AL185">
        <v>3993.4549999999999</v>
      </c>
      <c r="AM185">
        <v>1241.491</v>
      </c>
      <c r="AN185">
        <v>1054.373</v>
      </c>
    </row>
    <row r="186" spans="4:40" hidden="1">
      <c r="D186" s="1">
        <v>45555</v>
      </c>
      <c r="E186">
        <v>-32650</v>
      </c>
      <c r="F186">
        <v>132152</v>
      </c>
      <c r="G186">
        <v>166426582500</v>
      </c>
      <c r="H186">
        <v>121667260000</v>
      </c>
      <c r="I186">
        <v>-863247000000</v>
      </c>
      <c r="J186">
        <v>0</v>
      </c>
      <c r="K186" s="1">
        <v>45555</v>
      </c>
      <c r="L186">
        <v>2593.37</v>
      </c>
      <c r="M186">
        <v>748.33</v>
      </c>
      <c r="N186">
        <v>495964</v>
      </c>
      <c r="O186">
        <v>346.65</v>
      </c>
      <c r="P186">
        <v>106.32</v>
      </c>
      <c r="Q186" s="1">
        <v>45558</v>
      </c>
      <c r="R186">
        <v>2.8639999999999999</v>
      </c>
      <c r="S186">
        <v>2.9039999999999999</v>
      </c>
      <c r="T186">
        <v>3.0219999999999998</v>
      </c>
      <c r="U186">
        <v>3.4489999999999998</v>
      </c>
      <c r="V186">
        <v>3.53</v>
      </c>
      <c r="W186">
        <f t="shared" si="1"/>
        <v>45555</v>
      </c>
      <c r="X186">
        <f>IF($X$99=TRUE,SUM(E186:E$350),"")</f>
        <v>11752301</v>
      </c>
      <c r="Y186">
        <f>IF($Y$99=TRUE,SUM(F186:F$350),"")</f>
        <v>1295840</v>
      </c>
      <c r="Z186">
        <f>IF($Z$99=TRUE,SUM(G186:G$350)/1000000,"")</f>
        <v>2886149.8</v>
      </c>
      <c r="AA186">
        <f>IF($AA$99=TRUE,SUM(H186:H$350)/1000000,"")</f>
        <v>11762673.34</v>
      </c>
      <c r="AB186">
        <f>IF($AB$99=TRUE,SUM(AH186:AH$350)/1000,"")</f>
        <v>47591648.278999999</v>
      </c>
      <c r="AD186" s="1">
        <v>45555</v>
      </c>
      <c r="AE186">
        <v>346.65</v>
      </c>
      <c r="AF186">
        <v>106.32</v>
      </c>
      <c r="AG186" s="1">
        <v>45558</v>
      </c>
      <c r="AH186">
        <v>630641923</v>
      </c>
      <c r="AI186" s="1">
        <v>45603</v>
      </c>
      <c r="AJ186">
        <v>5699.9110000000001</v>
      </c>
      <c r="AK186">
        <v>68.852000000000004</v>
      </c>
      <c r="AL186">
        <v>3978.4520000000002</v>
      </c>
      <c r="AM186">
        <v>1257.6579999999999</v>
      </c>
      <c r="AN186">
        <v>1060.2940000000001</v>
      </c>
    </row>
    <row r="187" spans="4:40" hidden="1">
      <c r="D187" s="1">
        <v>45554</v>
      </c>
      <c r="E187">
        <v>-1171327</v>
      </c>
      <c r="F187">
        <v>172818</v>
      </c>
      <c r="G187">
        <v>313247737500</v>
      </c>
      <c r="H187">
        <v>244672980000</v>
      </c>
      <c r="I187">
        <v>-1041946660000</v>
      </c>
      <c r="J187">
        <v>0</v>
      </c>
      <c r="K187" s="1">
        <v>45554</v>
      </c>
      <c r="L187">
        <v>2580.8000000000002</v>
      </c>
      <c r="M187">
        <v>739.51</v>
      </c>
      <c r="N187">
        <v>385081</v>
      </c>
      <c r="O187">
        <v>345.75</v>
      </c>
      <c r="P187">
        <v>106.32</v>
      </c>
      <c r="Q187" s="1">
        <v>45555</v>
      </c>
      <c r="R187">
        <v>2.8380000000000001</v>
      </c>
      <c r="S187">
        <v>2.8679999999999999</v>
      </c>
      <c r="T187">
        <v>2.9889999999999999</v>
      </c>
      <c r="U187">
        <v>3.4260000000000002</v>
      </c>
      <c r="V187">
        <v>3.53</v>
      </c>
      <c r="W187">
        <f t="shared" si="1"/>
        <v>45554</v>
      </c>
      <c r="X187">
        <f>IF($X$99=TRUE,SUM(E187:E$350),"")</f>
        <v>11784951</v>
      </c>
      <c r="Y187">
        <f>IF($Y$99=TRUE,SUM(F187:F$350),"")</f>
        <v>1163688</v>
      </c>
      <c r="Z187">
        <f>IF($Z$99=TRUE,SUM(G187:G$350)/1000000,"")</f>
        <v>2719723.2174999998</v>
      </c>
      <c r="AA187">
        <f>IF($AA$99=TRUE,SUM(H187:H$350)/1000000,"")</f>
        <v>11641006.08</v>
      </c>
      <c r="AB187">
        <f>IF($AB$99=TRUE,SUM(AH187:AH$350)/1000,"")</f>
        <v>46961006.355999999</v>
      </c>
      <c r="AD187" s="1">
        <v>45554</v>
      </c>
      <c r="AE187">
        <v>345.75</v>
      </c>
      <c r="AF187">
        <v>106.32</v>
      </c>
      <c r="AG187" s="1">
        <v>45555</v>
      </c>
      <c r="AH187">
        <v>407109679</v>
      </c>
      <c r="AI187" s="1">
        <v>45602</v>
      </c>
      <c r="AJ187">
        <v>5657.0709999999999</v>
      </c>
      <c r="AK187">
        <v>67.096999999999994</v>
      </c>
      <c r="AL187">
        <v>3910.4549999999999</v>
      </c>
      <c r="AM187">
        <v>1251.7159999999999</v>
      </c>
      <c r="AN187">
        <v>1073.2280000000001</v>
      </c>
    </row>
    <row r="188" spans="4:40" hidden="1">
      <c r="D188" s="1">
        <v>45548</v>
      </c>
      <c r="E188">
        <v>-959634</v>
      </c>
      <c r="F188">
        <v>-129722</v>
      </c>
      <c r="G188">
        <v>-50466987500</v>
      </c>
      <c r="H188">
        <v>583934210000</v>
      </c>
      <c r="I188">
        <v>-166505080000</v>
      </c>
      <c r="J188">
        <v>0</v>
      </c>
      <c r="K188" s="1">
        <v>45548</v>
      </c>
      <c r="L188">
        <v>2575.41</v>
      </c>
      <c r="M188">
        <v>733.2</v>
      </c>
      <c r="N188">
        <v>358262</v>
      </c>
      <c r="O188">
        <v>345.95</v>
      </c>
      <c r="P188">
        <v>106.36</v>
      </c>
      <c r="Q188" s="1">
        <v>45554</v>
      </c>
      <c r="R188">
        <v>2.843</v>
      </c>
      <c r="S188">
        <v>2.867</v>
      </c>
      <c r="T188">
        <v>2.9790000000000001</v>
      </c>
      <c r="U188">
        <v>3.4319999999999999</v>
      </c>
      <c r="V188">
        <v>3.53</v>
      </c>
      <c r="W188">
        <f t="shared" si="1"/>
        <v>45548</v>
      </c>
      <c r="X188">
        <f>IF($X$99=TRUE,SUM(E188:E$350),"")</f>
        <v>12956278</v>
      </c>
      <c r="Y188">
        <f>IF($Y$99=TRUE,SUM(F188:F$350),"")</f>
        <v>990870</v>
      </c>
      <c r="Z188">
        <f>IF($Z$99=TRUE,SUM(G188:G$350)/1000000,"")</f>
        <v>2406475.48</v>
      </c>
      <c r="AA188">
        <f>IF($AA$99=TRUE,SUM(H188:H$350)/1000000,"")</f>
        <v>11396333.1</v>
      </c>
      <c r="AB188">
        <f>IF($AB$99=TRUE,SUM(AH188:AH$350)/1000,"")</f>
        <v>46553896.677000001</v>
      </c>
      <c r="AD188" s="1">
        <v>45548</v>
      </c>
      <c r="AE188">
        <v>345.95</v>
      </c>
      <c r="AF188">
        <v>106.36</v>
      </c>
      <c r="AG188" s="1">
        <v>45554</v>
      </c>
      <c r="AH188">
        <v>127083704</v>
      </c>
      <c r="AI188" s="1">
        <v>45601</v>
      </c>
      <c r="AJ188">
        <v>5514.3019999999997</v>
      </c>
      <c r="AK188">
        <v>68.628</v>
      </c>
      <c r="AL188">
        <v>3886.7159999999999</v>
      </c>
      <c r="AM188">
        <v>1264.125</v>
      </c>
      <c r="AN188">
        <v>1058.4369999999999</v>
      </c>
    </row>
    <row r="189" spans="4:40" hidden="1">
      <c r="D189" s="1">
        <v>45547</v>
      </c>
      <c r="E189">
        <v>278526</v>
      </c>
      <c r="F189">
        <v>212578</v>
      </c>
      <c r="G189">
        <v>-179216475000</v>
      </c>
      <c r="H189">
        <v>-398635040000</v>
      </c>
      <c r="I189">
        <v>-200975820000</v>
      </c>
      <c r="J189">
        <v>0</v>
      </c>
      <c r="K189" s="1">
        <v>45547</v>
      </c>
      <c r="L189">
        <v>2572.09</v>
      </c>
      <c r="M189">
        <v>731.03</v>
      </c>
      <c r="N189">
        <v>340478</v>
      </c>
      <c r="O189">
        <v>342.95</v>
      </c>
      <c r="P189">
        <v>105.9</v>
      </c>
      <c r="Q189" s="1">
        <v>45548</v>
      </c>
      <c r="R189">
        <v>2.8220000000000001</v>
      </c>
      <c r="S189">
        <v>2.8319999999999999</v>
      </c>
      <c r="T189">
        <v>2.9279999999999999</v>
      </c>
      <c r="U189">
        <v>3.41</v>
      </c>
      <c r="V189">
        <v>3.53</v>
      </c>
      <c r="W189">
        <f t="shared" si="1"/>
        <v>45547</v>
      </c>
      <c r="X189">
        <f>IF($X$99=TRUE,SUM(E189:E$350),"")</f>
        <v>13915912</v>
      </c>
      <c r="Y189">
        <f>IF($Y$99=TRUE,SUM(F189:F$350),"")</f>
        <v>1120592</v>
      </c>
      <c r="Z189">
        <f>IF($Z$99=TRUE,SUM(G189:G$350)/1000000,"")</f>
        <v>2456942.4674999998</v>
      </c>
      <c r="AA189">
        <f>IF($AA$99=TRUE,SUM(H189:H$350)/1000000,"")</f>
        <v>10812398.890000001</v>
      </c>
      <c r="AB189">
        <f>IF($AB$99=TRUE,SUM(AH189:AH$350)/1000,"")</f>
        <v>46426812.972999997</v>
      </c>
      <c r="AD189" s="1">
        <v>45547</v>
      </c>
      <c r="AE189">
        <v>342.95</v>
      </c>
      <c r="AF189">
        <v>105.9</v>
      </c>
      <c r="AG189" s="1">
        <v>45548</v>
      </c>
      <c r="AH189">
        <v>679775220</v>
      </c>
      <c r="AI189" s="1">
        <v>45600</v>
      </c>
      <c r="AJ189">
        <v>5446.2939999999999</v>
      </c>
      <c r="AK189">
        <v>67.046999999999997</v>
      </c>
      <c r="AL189">
        <v>3854.442</v>
      </c>
      <c r="AM189">
        <v>1264.2149999999999</v>
      </c>
      <c r="AN189">
        <v>1051.546</v>
      </c>
    </row>
    <row r="190" spans="4:40" hidden="1">
      <c r="D190" s="1">
        <v>45546</v>
      </c>
      <c r="E190">
        <v>-1028362</v>
      </c>
      <c r="F190">
        <v>34212</v>
      </c>
      <c r="G190">
        <v>-198530295000</v>
      </c>
      <c r="H190">
        <v>662950920000</v>
      </c>
      <c r="I190">
        <v>211946150000</v>
      </c>
      <c r="J190">
        <v>-5760000</v>
      </c>
      <c r="K190" s="1">
        <v>45546</v>
      </c>
      <c r="L190">
        <v>2513.37</v>
      </c>
      <c r="M190">
        <v>709.42</v>
      </c>
      <c r="N190">
        <v>302560</v>
      </c>
      <c r="O190">
        <v>335.85</v>
      </c>
      <c r="P190">
        <v>106.02</v>
      </c>
      <c r="Q190" s="1">
        <v>45547</v>
      </c>
      <c r="R190">
        <v>2.8660000000000001</v>
      </c>
      <c r="S190">
        <v>2.8969999999999998</v>
      </c>
      <c r="T190">
        <v>2.97</v>
      </c>
      <c r="U190">
        <v>3.4489999999999998</v>
      </c>
      <c r="V190">
        <v>3.51</v>
      </c>
      <c r="W190">
        <f t="shared" si="1"/>
        <v>45546</v>
      </c>
      <c r="X190">
        <f>IF($X$99=TRUE,SUM(E190:E$350),"")</f>
        <v>13637386</v>
      </c>
      <c r="Y190">
        <f>IF($Y$99=TRUE,SUM(F190:F$350),"")</f>
        <v>908014</v>
      </c>
      <c r="Z190">
        <f>IF($Z$99=TRUE,SUM(G190:G$350)/1000000,"")</f>
        <v>2636158.9424999999</v>
      </c>
      <c r="AA190">
        <f>IF($AA$99=TRUE,SUM(H190:H$350)/1000000,"")</f>
        <v>11211033.93</v>
      </c>
      <c r="AB190">
        <f>IF($AB$99=TRUE,SUM(AH190:AH$350)/1000,"")</f>
        <v>45747037.752999999</v>
      </c>
      <c r="AD190" s="1">
        <v>45546</v>
      </c>
      <c r="AE190">
        <v>335.85</v>
      </c>
      <c r="AF190">
        <v>106.02</v>
      </c>
      <c r="AG190" s="1">
        <v>45547</v>
      </c>
      <c r="AH190">
        <v>745055061</v>
      </c>
      <c r="AI190" s="1">
        <v>45599</v>
      </c>
      <c r="AJ190">
        <v>5460.6090000000004</v>
      </c>
      <c r="AK190">
        <v>66.474000000000004</v>
      </c>
      <c r="AL190">
        <v>3830.2510000000002</v>
      </c>
      <c r="AM190">
        <v>1260.81</v>
      </c>
      <c r="AN190">
        <v>1065.47</v>
      </c>
    </row>
    <row r="191" spans="4:40" hidden="1">
      <c r="D191" s="1">
        <v>45545</v>
      </c>
      <c r="E191">
        <v>-665387</v>
      </c>
      <c r="F191">
        <v>-191206</v>
      </c>
      <c r="G191">
        <v>-418827525000</v>
      </c>
      <c r="H191">
        <v>244185910000</v>
      </c>
      <c r="I191">
        <v>-35269270000</v>
      </c>
      <c r="J191">
        <v>-4940000</v>
      </c>
      <c r="K191" s="1">
        <v>45545</v>
      </c>
      <c r="L191">
        <v>2523.4299999999998</v>
      </c>
      <c r="M191">
        <v>706.2</v>
      </c>
      <c r="N191">
        <v>347650</v>
      </c>
      <c r="O191">
        <v>339.15</v>
      </c>
      <c r="P191">
        <v>105.89</v>
      </c>
      <c r="Q191" s="1">
        <v>45546</v>
      </c>
      <c r="R191">
        <v>2.82</v>
      </c>
      <c r="S191">
        <v>2.855</v>
      </c>
      <c r="T191">
        <v>2.9430000000000001</v>
      </c>
      <c r="U191">
        <v>3.4060000000000001</v>
      </c>
      <c r="V191">
        <v>3.51</v>
      </c>
      <c r="W191">
        <f t="shared" si="1"/>
        <v>45545</v>
      </c>
      <c r="X191">
        <f>IF($X$99=TRUE,SUM(E191:E$350),"")</f>
        <v>14665748</v>
      </c>
      <c r="Y191">
        <f>IF($Y$99=TRUE,SUM(F191:F$350),"")</f>
        <v>873802</v>
      </c>
      <c r="Z191">
        <f>IF($Z$99=TRUE,SUM(G191:G$350)/1000000,"")</f>
        <v>2834689.2374999998</v>
      </c>
      <c r="AA191">
        <f>IF($AA$99=TRUE,SUM(H191:H$350)/1000000,"")</f>
        <v>10548083.01</v>
      </c>
      <c r="AB191">
        <f>IF($AB$99=TRUE,SUM(AH191:AH$350)/1000,"")</f>
        <v>45001982.692000002</v>
      </c>
      <c r="AD191" s="1">
        <v>45545</v>
      </c>
      <c r="AE191">
        <v>339.15</v>
      </c>
      <c r="AF191">
        <v>105.89</v>
      </c>
      <c r="AG191" s="1">
        <v>45546</v>
      </c>
      <c r="AH191">
        <v>1092242230</v>
      </c>
      <c r="AI191" s="1">
        <v>45598</v>
      </c>
      <c r="AJ191">
        <v>5460.6090000000004</v>
      </c>
      <c r="AK191">
        <v>66.474000000000004</v>
      </c>
      <c r="AL191">
        <v>3830.2510000000002</v>
      </c>
      <c r="AM191">
        <v>1260.81</v>
      </c>
      <c r="AN191">
        <v>1065.47</v>
      </c>
    </row>
    <row r="192" spans="4:40" hidden="1">
      <c r="D192" s="1">
        <v>45544</v>
      </c>
      <c r="E192">
        <v>-540176</v>
      </c>
      <c r="F192">
        <v>87423</v>
      </c>
      <c r="G192">
        <v>-35182612500</v>
      </c>
      <c r="H192">
        <v>536058210000</v>
      </c>
      <c r="I192">
        <v>-865545010000</v>
      </c>
      <c r="J192">
        <v>0</v>
      </c>
      <c r="K192" s="1">
        <v>45544</v>
      </c>
      <c r="L192">
        <v>2535.9299999999998</v>
      </c>
      <c r="M192">
        <v>714.46</v>
      </c>
      <c r="N192">
        <v>270231</v>
      </c>
      <c r="O192">
        <v>341.5</v>
      </c>
      <c r="P192">
        <v>105.88</v>
      </c>
      <c r="Q192" s="1">
        <v>45545</v>
      </c>
      <c r="R192">
        <v>2.8769999999999998</v>
      </c>
      <c r="S192">
        <v>2.9060000000000001</v>
      </c>
      <c r="T192">
        <v>3.01</v>
      </c>
      <c r="U192">
        <v>3.4510000000000001</v>
      </c>
      <c r="V192">
        <v>3.51</v>
      </c>
      <c r="W192">
        <f t="shared" si="1"/>
        <v>45544</v>
      </c>
      <c r="X192">
        <f>IF($X$99=TRUE,SUM(E192:E$350),"")</f>
        <v>15331135</v>
      </c>
      <c r="Y192">
        <f>IF($Y$99=TRUE,SUM(F192:F$350),"")</f>
        <v>1065008</v>
      </c>
      <c r="Z192">
        <f>IF($Z$99=TRUE,SUM(G192:G$350)/1000000,"")</f>
        <v>3253516.7625000002</v>
      </c>
      <c r="AA192">
        <f>IF($AA$99=TRUE,SUM(H192:H$350)/1000000,"")</f>
        <v>10303897.1</v>
      </c>
      <c r="AB192">
        <f>IF($AB$99=TRUE,SUM(AH192:AH$350)/1000,"")</f>
        <v>43909740.461999997</v>
      </c>
      <c r="AD192" s="1">
        <v>45544</v>
      </c>
      <c r="AE192">
        <v>341.5</v>
      </c>
      <c r="AF192">
        <v>105.88</v>
      </c>
      <c r="AG192" s="1">
        <v>45545</v>
      </c>
      <c r="AH192">
        <v>1105212057</v>
      </c>
      <c r="AI192" s="1">
        <v>45597</v>
      </c>
      <c r="AJ192">
        <v>5460.6090000000004</v>
      </c>
      <c r="AK192">
        <v>66.474000000000004</v>
      </c>
      <c r="AL192">
        <v>3830.2510000000002</v>
      </c>
      <c r="AM192">
        <v>1260.81</v>
      </c>
      <c r="AN192">
        <v>1065.47</v>
      </c>
    </row>
    <row r="193" spans="4:40" hidden="1">
      <c r="D193" s="1">
        <v>45541</v>
      </c>
      <c r="E193">
        <v>-264922</v>
      </c>
      <c r="F193">
        <v>-85160</v>
      </c>
      <c r="G193">
        <v>24291250000</v>
      </c>
      <c r="H193">
        <v>690078870000</v>
      </c>
      <c r="I193">
        <v>-101286020000</v>
      </c>
      <c r="J193">
        <v>0</v>
      </c>
      <c r="K193" s="1">
        <v>45541</v>
      </c>
      <c r="L193">
        <v>2544.2800000000002</v>
      </c>
      <c r="M193">
        <v>706.59</v>
      </c>
      <c r="N193">
        <v>374782</v>
      </c>
      <c r="O193">
        <v>342.2</v>
      </c>
      <c r="P193">
        <v>105.95</v>
      </c>
      <c r="Q193" s="1">
        <v>45544</v>
      </c>
      <c r="R193">
        <v>2.8969999999999998</v>
      </c>
      <c r="S193">
        <v>2.9620000000000002</v>
      </c>
      <c r="T193">
        <v>3.032</v>
      </c>
      <c r="U193">
        <v>3.4710000000000001</v>
      </c>
      <c r="V193">
        <v>3.51</v>
      </c>
      <c r="W193">
        <f t="shared" si="1"/>
        <v>45541</v>
      </c>
      <c r="X193">
        <f>IF($X$99=TRUE,SUM(E193:E$350),"")</f>
        <v>15871311</v>
      </c>
      <c r="Y193">
        <f>IF($Y$99=TRUE,SUM(F193:F$350),"")</f>
        <v>977585</v>
      </c>
      <c r="Z193">
        <f>IF($Z$99=TRUE,SUM(G193:G$350)/1000000,"")</f>
        <v>3288699.375</v>
      </c>
      <c r="AA193">
        <f>IF($AA$99=TRUE,SUM(H193:H$350)/1000000,"")</f>
        <v>9767838.8900000006</v>
      </c>
      <c r="AB193">
        <f>IF($AB$99=TRUE,SUM(AH193:AH$350)/1000,"")</f>
        <v>42804528.405000001</v>
      </c>
      <c r="AD193" s="1">
        <v>45541</v>
      </c>
      <c r="AE193">
        <v>342.2</v>
      </c>
      <c r="AF193">
        <v>105.95</v>
      </c>
      <c r="AG193" s="1">
        <v>45544</v>
      </c>
      <c r="AH193">
        <v>1033529141</v>
      </c>
      <c r="AI193" s="1">
        <v>45596</v>
      </c>
      <c r="AJ193">
        <v>5438.0290000000005</v>
      </c>
      <c r="AK193">
        <v>65.783000000000001</v>
      </c>
      <c r="AL193">
        <v>3924.1480000000001</v>
      </c>
      <c r="AM193">
        <v>1240.7159999999999</v>
      </c>
      <c r="AN193">
        <v>1059.5260000000001</v>
      </c>
    </row>
    <row r="194" spans="4:40" hidden="1">
      <c r="D194" s="1">
        <v>45540</v>
      </c>
      <c r="E194">
        <v>-589902</v>
      </c>
      <c r="F194">
        <v>-16523</v>
      </c>
      <c r="G194">
        <v>213117300000</v>
      </c>
      <c r="H194">
        <v>182672570000</v>
      </c>
      <c r="I194">
        <v>177976560000</v>
      </c>
      <c r="J194">
        <v>0</v>
      </c>
      <c r="K194" s="1">
        <v>45540</v>
      </c>
      <c r="L194">
        <v>2575.5</v>
      </c>
      <c r="M194">
        <v>725.28</v>
      </c>
      <c r="N194">
        <v>379002</v>
      </c>
      <c r="O194">
        <v>346.1</v>
      </c>
      <c r="P194">
        <v>105.86</v>
      </c>
      <c r="Q194" s="1">
        <v>45541</v>
      </c>
      <c r="R194">
        <v>2.8809999999999998</v>
      </c>
      <c r="S194">
        <v>2.9319999999999999</v>
      </c>
      <c r="T194">
        <v>2.99</v>
      </c>
      <c r="U194">
        <v>3.46</v>
      </c>
      <c r="V194">
        <v>3.51</v>
      </c>
      <c r="W194">
        <f t="shared" si="1"/>
        <v>45540</v>
      </c>
      <c r="X194">
        <f>IF($X$99=TRUE,SUM(E194:E$350),"")</f>
        <v>16136233</v>
      </c>
      <c r="Y194">
        <f>IF($Y$99=TRUE,SUM(F194:F$350),"")</f>
        <v>1062745</v>
      </c>
      <c r="Z194">
        <f>IF($Z$99=TRUE,SUM(G194:G$350)/1000000,"")</f>
        <v>3264408.125</v>
      </c>
      <c r="AA194">
        <f>IF($AA$99=TRUE,SUM(H194:H$350)/1000000,"")</f>
        <v>9077760.0199999996</v>
      </c>
      <c r="AB194">
        <f>IF($AB$99=TRUE,SUM(AH194:AH$350)/1000,"")</f>
        <v>41770999.263999999</v>
      </c>
      <c r="AD194" s="1">
        <v>45540</v>
      </c>
      <c r="AE194">
        <v>346.1</v>
      </c>
      <c r="AF194">
        <v>105.86</v>
      </c>
      <c r="AG194" s="1">
        <v>45541</v>
      </c>
      <c r="AH194">
        <v>1377361236</v>
      </c>
      <c r="AI194" s="1">
        <v>45595</v>
      </c>
      <c r="AJ194">
        <v>5539.1980000000003</v>
      </c>
      <c r="AK194">
        <v>66.182000000000002</v>
      </c>
      <c r="AL194">
        <v>3923.9609999999998</v>
      </c>
      <c r="AM194">
        <v>1262.944</v>
      </c>
      <c r="AN194">
        <v>1066.2819999999999</v>
      </c>
    </row>
    <row r="195" spans="4:40" hidden="1">
      <c r="D195" s="1">
        <v>45539</v>
      </c>
      <c r="E195">
        <v>-988578</v>
      </c>
      <c r="F195">
        <v>29555</v>
      </c>
      <c r="G195">
        <v>-134644262500</v>
      </c>
      <c r="H195">
        <v>-347416580000</v>
      </c>
      <c r="I195">
        <v>686611790000</v>
      </c>
      <c r="J195">
        <v>0</v>
      </c>
      <c r="K195" s="1">
        <v>45539</v>
      </c>
      <c r="L195">
        <v>2580.8000000000002</v>
      </c>
      <c r="M195">
        <v>731.75</v>
      </c>
      <c r="N195">
        <v>455469</v>
      </c>
      <c r="O195">
        <v>346.8</v>
      </c>
      <c r="P195">
        <v>105.81</v>
      </c>
      <c r="Q195" s="1">
        <v>45540</v>
      </c>
      <c r="R195">
        <v>2.9049999999999998</v>
      </c>
      <c r="S195">
        <v>2.9710000000000001</v>
      </c>
      <c r="T195">
        <v>3.03</v>
      </c>
      <c r="U195">
        <v>3.48</v>
      </c>
      <c r="V195">
        <v>3.51</v>
      </c>
      <c r="W195">
        <f t="shared" si="1"/>
        <v>45539</v>
      </c>
      <c r="X195">
        <f>IF($X$99=TRUE,SUM(E195:E$350),"")</f>
        <v>16726135</v>
      </c>
      <c r="Y195">
        <f>IF($Y$99=TRUE,SUM(F195:F$350),"")</f>
        <v>1079268</v>
      </c>
      <c r="Z195">
        <f>IF($Z$99=TRUE,SUM(G195:G$350)/1000000,"")</f>
        <v>3051290.8250000002</v>
      </c>
      <c r="AA195">
        <f>IF($AA$99=TRUE,SUM(H195:H$350)/1000000,"")</f>
        <v>8895087.4499999993</v>
      </c>
      <c r="AB195">
        <f>IF($AB$99=TRUE,SUM(AH195:AH$350)/1000,"")</f>
        <v>40393638.027999997</v>
      </c>
      <c r="AD195" s="1">
        <v>45539</v>
      </c>
      <c r="AE195">
        <v>346.8</v>
      </c>
      <c r="AF195">
        <v>105.81</v>
      </c>
      <c r="AG195" s="1">
        <v>45540</v>
      </c>
      <c r="AH195">
        <v>1039322544</v>
      </c>
      <c r="AI195" s="1">
        <v>45594</v>
      </c>
      <c r="AJ195">
        <v>5557.0720000000001</v>
      </c>
      <c r="AK195">
        <v>67.343999999999994</v>
      </c>
      <c r="AL195">
        <v>3881.511</v>
      </c>
      <c r="AM195">
        <v>1272.7159999999999</v>
      </c>
      <c r="AN195">
        <v>1071.538</v>
      </c>
    </row>
    <row r="196" spans="4:40" hidden="1">
      <c r="D196" s="1">
        <v>45538</v>
      </c>
      <c r="E196">
        <v>-287115</v>
      </c>
      <c r="F196">
        <v>-58096</v>
      </c>
      <c r="G196">
        <v>-189236637500</v>
      </c>
      <c r="H196">
        <v>529894640000</v>
      </c>
      <c r="I196">
        <v>-280932960000</v>
      </c>
      <c r="J196">
        <v>0</v>
      </c>
      <c r="K196" s="1">
        <v>45538</v>
      </c>
      <c r="L196">
        <v>2664.63</v>
      </c>
      <c r="M196">
        <v>760.37</v>
      </c>
      <c r="N196">
        <v>303460</v>
      </c>
      <c r="O196">
        <v>359.25</v>
      </c>
      <c r="P196">
        <v>105.65</v>
      </c>
      <c r="Q196" s="1">
        <v>45539</v>
      </c>
      <c r="R196">
        <v>2.931</v>
      </c>
      <c r="S196">
        <v>2.996</v>
      </c>
      <c r="T196">
        <v>3.052</v>
      </c>
      <c r="U196">
        <v>3.4969999999999999</v>
      </c>
      <c r="V196">
        <v>3.51</v>
      </c>
      <c r="W196">
        <f t="shared" si="1"/>
        <v>45538</v>
      </c>
      <c r="X196">
        <f>IF($X$99=TRUE,SUM(E196:E$350),"")</f>
        <v>17714713</v>
      </c>
      <c r="Y196">
        <f>IF($Y$99=TRUE,SUM(F196:F$350),"")</f>
        <v>1049713</v>
      </c>
      <c r="Z196">
        <f>IF($Z$99=TRUE,SUM(G196:G$350)/1000000,"")</f>
        <v>3185935.0874999999</v>
      </c>
      <c r="AA196">
        <f>IF($AA$99=TRUE,SUM(H196:H$350)/1000000,"")</f>
        <v>9242504.0299999993</v>
      </c>
      <c r="AB196">
        <f>IF($AB$99=TRUE,SUM(AH196:AH$350)/1000,"")</f>
        <v>39354315.483999997</v>
      </c>
      <c r="AD196" s="1">
        <v>45538</v>
      </c>
      <c r="AE196">
        <v>359.25</v>
      </c>
      <c r="AF196">
        <v>105.65</v>
      </c>
      <c r="AG196" s="1">
        <v>45539</v>
      </c>
      <c r="AH196">
        <v>927976086</v>
      </c>
      <c r="AI196" s="1">
        <v>45593</v>
      </c>
      <c r="AJ196">
        <v>5547.8019999999997</v>
      </c>
      <c r="AK196">
        <v>67.272000000000006</v>
      </c>
      <c r="AL196">
        <v>3851.6669999999999</v>
      </c>
      <c r="AM196">
        <v>1280.1179999999999</v>
      </c>
      <c r="AN196">
        <v>1066.538</v>
      </c>
    </row>
    <row r="197" spans="4:40" hidden="1">
      <c r="D197" s="1">
        <v>45537</v>
      </c>
      <c r="E197">
        <v>239157</v>
      </c>
      <c r="F197">
        <v>-54464</v>
      </c>
      <c r="G197">
        <v>-3206512500</v>
      </c>
      <c r="H197">
        <v>224458000000</v>
      </c>
      <c r="I197">
        <v>476236610000</v>
      </c>
      <c r="J197">
        <v>0</v>
      </c>
      <c r="K197" s="1">
        <v>45537</v>
      </c>
      <c r="L197">
        <v>2681</v>
      </c>
      <c r="M197">
        <v>769.21</v>
      </c>
      <c r="N197">
        <v>266992</v>
      </c>
      <c r="O197">
        <v>362.7</v>
      </c>
      <c r="P197">
        <v>105.61</v>
      </c>
      <c r="Q197" s="1">
        <v>45538</v>
      </c>
      <c r="R197">
        <v>2.9809999999999999</v>
      </c>
      <c r="S197">
        <v>3.0510000000000002</v>
      </c>
      <c r="T197">
        <v>3.12</v>
      </c>
      <c r="U197">
        <v>3.5449999999999999</v>
      </c>
      <c r="V197">
        <v>3.51</v>
      </c>
      <c r="W197">
        <f t="shared" si="1"/>
        <v>45537</v>
      </c>
      <c r="X197">
        <f>IF($X$99=TRUE,SUM(E197:E$350),"")</f>
        <v>18001828</v>
      </c>
      <c r="Y197">
        <f>IF($Y$99=TRUE,SUM(F197:F$350),"")</f>
        <v>1107809</v>
      </c>
      <c r="Z197">
        <f>IF($Z$99=TRUE,SUM(G197:G$350)/1000000,"")</f>
        <v>3375171.7250000001</v>
      </c>
      <c r="AA197">
        <f>IF($AA$99=TRUE,SUM(H197:H$350)/1000000,"")</f>
        <v>8712609.3900000006</v>
      </c>
      <c r="AB197">
        <f>IF($AB$99=TRUE,SUM(AH197:AH$350)/1000,"")</f>
        <v>38426339.398000002</v>
      </c>
      <c r="AD197" s="1">
        <v>45537</v>
      </c>
      <c r="AE197">
        <v>362.7</v>
      </c>
      <c r="AF197">
        <v>105.61</v>
      </c>
      <c r="AG197" s="1">
        <v>45538</v>
      </c>
      <c r="AH197">
        <v>325644300</v>
      </c>
      <c r="AI197" s="1">
        <v>45592</v>
      </c>
      <c r="AJ197">
        <v>5532.0789999999997</v>
      </c>
      <c r="AK197">
        <v>67.078999999999994</v>
      </c>
      <c r="AL197">
        <v>3820.5549999999998</v>
      </c>
      <c r="AM197">
        <v>1275.8389999999999</v>
      </c>
      <c r="AN197">
        <v>1060.511</v>
      </c>
    </row>
    <row r="198" spans="4:40" hidden="1">
      <c r="D198" s="1">
        <v>45534</v>
      </c>
      <c r="E198">
        <v>-380660</v>
      </c>
      <c r="F198">
        <v>194315</v>
      </c>
      <c r="G198">
        <v>-90251062500</v>
      </c>
      <c r="H198">
        <v>463750900000</v>
      </c>
      <c r="I198">
        <v>-665221020000</v>
      </c>
      <c r="J198">
        <v>-6976800000</v>
      </c>
      <c r="K198" s="1">
        <v>45534</v>
      </c>
      <c r="L198">
        <v>2674.31</v>
      </c>
      <c r="M198">
        <v>767.66</v>
      </c>
      <c r="N198">
        <v>278845</v>
      </c>
      <c r="O198">
        <v>362.8</v>
      </c>
      <c r="P198">
        <v>105.72</v>
      </c>
      <c r="Q198" s="1">
        <v>45537</v>
      </c>
      <c r="R198">
        <v>2.9889999999999999</v>
      </c>
      <c r="S198">
        <v>3.0489999999999999</v>
      </c>
      <c r="T198">
        <v>3.121</v>
      </c>
      <c r="U198">
        <v>3.5419999999999998</v>
      </c>
      <c r="V198">
        <v>3.52</v>
      </c>
      <c r="W198">
        <f t="shared" si="1"/>
        <v>45534</v>
      </c>
      <c r="X198">
        <f>IF($X$99=TRUE,SUM(E198:E$350),"")</f>
        <v>17762671</v>
      </c>
      <c r="Y198">
        <f>IF($Y$99=TRUE,SUM(F198:F$350),"")</f>
        <v>1162273</v>
      </c>
      <c r="Z198">
        <f>IF($Z$99=TRUE,SUM(G198:G$350)/1000000,"")</f>
        <v>3378378.2374999998</v>
      </c>
      <c r="AA198">
        <f>IF($AA$99=TRUE,SUM(H198:H$350)/1000000,"")</f>
        <v>8488151.3900000006</v>
      </c>
      <c r="AB198">
        <f>IF($AB$99=TRUE,SUM(AH198:AH$350)/1000,"")</f>
        <v>38100695.097999997</v>
      </c>
      <c r="AD198" s="1">
        <v>45534</v>
      </c>
      <c r="AE198">
        <v>362.8</v>
      </c>
      <c r="AF198">
        <v>105.72</v>
      </c>
      <c r="AG198" s="1">
        <v>45537</v>
      </c>
      <c r="AH198">
        <v>1088255963</v>
      </c>
      <c r="AI198" s="1">
        <v>45591</v>
      </c>
      <c r="AJ198">
        <v>5532.0789999999997</v>
      </c>
      <c r="AK198">
        <v>67.078999999999994</v>
      </c>
      <c r="AL198">
        <v>3820.5549999999998</v>
      </c>
      <c r="AM198">
        <v>1275.8389999999999</v>
      </c>
      <c r="AN198">
        <v>1060.511</v>
      </c>
    </row>
    <row r="199" spans="4:40" hidden="1">
      <c r="D199" s="1">
        <v>45533</v>
      </c>
      <c r="E199">
        <v>-417785</v>
      </c>
      <c r="F199">
        <v>-22676</v>
      </c>
      <c r="G199">
        <v>-115336450000</v>
      </c>
      <c r="H199">
        <v>-1187969520000</v>
      </c>
      <c r="I199">
        <v>-454986080000</v>
      </c>
      <c r="J199">
        <v>0</v>
      </c>
      <c r="K199" s="1">
        <v>45533</v>
      </c>
      <c r="L199">
        <v>2662.28</v>
      </c>
      <c r="M199">
        <v>756.04</v>
      </c>
      <c r="N199">
        <v>288835</v>
      </c>
      <c r="O199">
        <v>361.65</v>
      </c>
      <c r="P199">
        <v>105.78</v>
      </c>
      <c r="Q199" s="1">
        <v>45534</v>
      </c>
      <c r="R199">
        <v>2.9529999999999998</v>
      </c>
      <c r="S199">
        <v>3.01</v>
      </c>
      <c r="T199">
        <v>3.0880000000000001</v>
      </c>
      <c r="U199">
        <v>3.5030000000000001</v>
      </c>
      <c r="V199">
        <v>3.52</v>
      </c>
      <c r="W199">
        <f t="shared" si="1"/>
        <v>45533</v>
      </c>
      <c r="X199">
        <f>IF($X$99=TRUE,SUM(E199:E$350),"")</f>
        <v>18143331</v>
      </c>
      <c r="Y199">
        <f>IF($Y$99=TRUE,SUM(F199:F$350),"")</f>
        <v>967958</v>
      </c>
      <c r="Z199">
        <f>IF($Z$99=TRUE,SUM(G199:G$350)/1000000,"")</f>
        <v>3468629.3</v>
      </c>
      <c r="AA199">
        <f>IF($AA$99=TRUE,SUM(H199:H$350)/1000000,"")</f>
        <v>8024400.4900000002</v>
      </c>
      <c r="AB199">
        <f>IF($AB$99=TRUE,SUM(AH199:AH$350)/1000,"")</f>
        <v>37012439.134999998</v>
      </c>
      <c r="AD199" s="1">
        <v>45533</v>
      </c>
      <c r="AE199">
        <v>361.65</v>
      </c>
      <c r="AF199">
        <v>105.78</v>
      </c>
      <c r="AG199" s="1">
        <v>45534</v>
      </c>
      <c r="AH199">
        <v>415111964</v>
      </c>
      <c r="AI199" s="1">
        <v>45590</v>
      </c>
      <c r="AJ199">
        <v>5532.0789999999997</v>
      </c>
      <c r="AK199">
        <v>67.078999999999994</v>
      </c>
      <c r="AL199">
        <v>3820.5549999999998</v>
      </c>
      <c r="AM199">
        <v>1275.8389999999999</v>
      </c>
      <c r="AN199">
        <v>1060.511</v>
      </c>
    </row>
    <row r="200" spans="4:40" hidden="1">
      <c r="D200" s="1">
        <v>45532</v>
      </c>
      <c r="E200">
        <v>-339637</v>
      </c>
      <c r="F200">
        <v>-83264</v>
      </c>
      <c r="G200">
        <v>186661775000</v>
      </c>
      <c r="H200">
        <v>-117437990000</v>
      </c>
      <c r="I200">
        <v>671103910000</v>
      </c>
      <c r="J200">
        <v>0</v>
      </c>
      <c r="K200" s="1">
        <v>45532</v>
      </c>
      <c r="L200">
        <v>2689.83</v>
      </c>
      <c r="M200">
        <v>762.5</v>
      </c>
      <c r="N200">
        <v>280773</v>
      </c>
      <c r="O200">
        <v>367.45</v>
      </c>
      <c r="P200">
        <v>105.89</v>
      </c>
      <c r="Q200" s="1">
        <v>45533</v>
      </c>
      <c r="R200">
        <v>2.9390000000000001</v>
      </c>
      <c r="S200">
        <v>3</v>
      </c>
      <c r="T200">
        <v>3.0750000000000002</v>
      </c>
      <c r="U200">
        <v>3.484</v>
      </c>
      <c r="V200">
        <v>3.52</v>
      </c>
      <c r="W200">
        <f t="shared" si="1"/>
        <v>45532</v>
      </c>
      <c r="X200">
        <f>IF($X$99=TRUE,SUM(E200:E$350),"")</f>
        <v>18561116</v>
      </c>
      <c r="Y200">
        <f>IF($Y$99=TRUE,SUM(F200:F$350),"")</f>
        <v>990634</v>
      </c>
      <c r="Z200">
        <f>IF($Z$99=TRUE,SUM(G200:G$350)/1000000,"")</f>
        <v>3583965.75</v>
      </c>
      <c r="AA200">
        <f>IF($AA$99=TRUE,SUM(H200:H$350)/1000000,"")</f>
        <v>9212370.0099999998</v>
      </c>
      <c r="AB200">
        <f>IF($AB$99=TRUE,SUM(AH200:AH$350)/1000,"")</f>
        <v>36597327.170999996</v>
      </c>
      <c r="AD200" s="1">
        <v>45532</v>
      </c>
      <c r="AE200">
        <v>367.45</v>
      </c>
      <c r="AF200">
        <v>105.89</v>
      </c>
      <c r="AG200" s="1">
        <v>45533</v>
      </c>
      <c r="AH200">
        <v>1372615721</v>
      </c>
      <c r="AI200" s="1">
        <v>45589</v>
      </c>
      <c r="AJ200">
        <v>5534.7920000000004</v>
      </c>
      <c r="AK200">
        <v>66.757000000000005</v>
      </c>
      <c r="AL200">
        <v>3847.808</v>
      </c>
      <c r="AM200">
        <v>1275.9749999999999</v>
      </c>
      <c r="AN200">
        <v>1071.615</v>
      </c>
    </row>
    <row r="201" spans="4:40" hidden="1">
      <c r="D201" s="1">
        <v>45531</v>
      </c>
      <c r="E201">
        <v>-406554</v>
      </c>
      <c r="F201">
        <v>-1096</v>
      </c>
      <c r="G201">
        <v>144902712500</v>
      </c>
      <c r="H201">
        <v>-1113993080000</v>
      </c>
      <c r="I201">
        <v>-786697130000</v>
      </c>
      <c r="J201">
        <v>0</v>
      </c>
      <c r="K201" s="1">
        <v>45531</v>
      </c>
      <c r="L201">
        <v>2689.25</v>
      </c>
      <c r="M201">
        <v>764.95</v>
      </c>
      <c r="N201">
        <v>264056</v>
      </c>
      <c r="O201">
        <v>366.35</v>
      </c>
      <c r="P201">
        <v>105.85</v>
      </c>
      <c r="Q201" s="1">
        <v>45532</v>
      </c>
      <c r="R201">
        <v>2.919</v>
      </c>
      <c r="S201">
        <v>2.9769999999999999</v>
      </c>
      <c r="T201">
        <v>3.0539999999999998</v>
      </c>
      <c r="U201">
        <v>3.456</v>
      </c>
      <c r="V201">
        <v>3.52</v>
      </c>
      <c r="W201">
        <f t="shared" si="1"/>
        <v>45531</v>
      </c>
      <c r="X201">
        <f>IF($X$99=TRUE,SUM(E201:E$350),"")</f>
        <v>18900753</v>
      </c>
      <c r="Y201">
        <f>IF($Y$99=TRUE,SUM(F201:F$350),"")</f>
        <v>1073898</v>
      </c>
      <c r="Z201">
        <f>IF($Z$99=TRUE,SUM(G201:G$350)/1000000,"")</f>
        <v>3397303.9750000001</v>
      </c>
      <c r="AA201">
        <f>IF($AA$99=TRUE,SUM(H201:H$350)/1000000,"")</f>
        <v>9329808</v>
      </c>
      <c r="AB201">
        <f>IF($AB$99=TRUE,SUM(AH201:AH$350)/1000,"")</f>
        <v>35224711.450000003</v>
      </c>
      <c r="AD201" s="1">
        <v>45531</v>
      </c>
      <c r="AE201">
        <v>366.35</v>
      </c>
      <c r="AF201">
        <v>105.85</v>
      </c>
      <c r="AG201" s="1">
        <v>45532</v>
      </c>
      <c r="AH201">
        <v>1244976213</v>
      </c>
      <c r="AI201" s="1">
        <v>45588</v>
      </c>
      <c r="AJ201">
        <v>5520.808</v>
      </c>
      <c r="AK201">
        <v>67.83</v>
      </c>
      <c r="AL201">
        <v>3819.67</v>
      </c>
      <c r="AM201">
        <v>1273.23</v>
      </c>
      <c r="AN201">
        <v>1074.204</v>
      </c>
    </row>
    <row r="202" spans="4:40" hidden="1">
      <c r="D202" s="1">
        <v>45530</v>
      </c>
      <c r="E202">
        <v>-464813</v>
      </c>
      <c r="F202">
        <v>-106734</v>
      </c>
      <c r="G202">
        <v>3329937500</v>
      </c>
      <c r="H202">
        <v>750031600000</v>
      </c>
      <c r="I202">
        <v>129051350000</v>
      </c>
      <c r="J202">
        <v>0</v>
      </c>
      <c r="K202" s="1">
        <v>45530</v>
      </c>
      <c r="L202">
        <v>2698.01</v>
      </c>
      <c r="M202">
        <v>766.79</v>
      </c>
      <c r="N202">
        <v>333687</v>
      </c>
      <c r="O202">
        <v>367.1</v>
      </c>
      <c r="P202">
        <v>106</v>
      </c>
      <c r="Q202" s="1">
        <v>45531</v>
      </c>
      <c r="R202">
        <v>2.94</v>
      </c>
      <c r="S202">
        <v>2.9950000000000001</v>
      </c>
      <c r="T202">
        <v>3.073</v>
      </c>
      <c r="U202">
        <v>3.4649999999999999</v>
      </c>
      <c r="V202">
        <v>3.52</v>
      </c>
      <c r="W202">
        <f t="shared" si="1"/>
        <v>45530</v>
      </c>
      <c r="X202">
        <f>IF($X$99=TRUE,SUM(E202:E$350),"")</f>
        <v>19307307</v>
      </c>
      <c r="Y202">
        <f>IF($Y$99=TRUE,SUM(F202:F$350),"")</f>
        <v>1074994</v>
      </c>
      <c r="Z202">
        <f>IF($Z$99=TRUE,SUM(G202:G$350)/1000000,"")</f>
        <v>3252401.2625000002</v>
      </c>
      <c r="AA202">
        <f>IF($AA$99=TRUE,SUM(H202:H$350)/1000000,"")</f>
        <v>10443801.08</v>
      </c>
      <c r="AB202">
        <f>IF($AB$99=TRUE,SUM(AH202:AH$350)/1000,"")</f>
        <v>33979735.237000003</v>
      </c>
      <c r="AD202" s="1">
        <v>45530</v>
      </c>
      <c r="AE202">
        <v>367.1</v>
      </c>
      <c r="AF202">
        <v>106</v>
      </c>
      <c r="AG202" s="1">
        <v>45531</v>
      </c>
      <c r="AH202">
        <v>1296140480</v>
      </c>
      <c r="AI202" s="1">
        <v>45587</v>
      </c>
      <c r="AJ202">
        <v>5572.2610000000004</v>
      </c>
      <c r="AK202">
        <v>67.126000000000005</v>
      </c>
      <c r="AL202">
        <v>3891.317</v>
      </c>
      <c r="AM202">
        <v>1283.2950000000001</v>
      </c>
      <c r="AN202">
        <v>1075.0650000000001</v>
      </c>
    </row>
    <row r="203" spans="4:40" hidden="1">
      <c r="D203" s="1">
        <v>45527</v>
      </c>
      <c r="E203">
        <v>-241799</v>
      </c>
      <c r="F203">
        <v>112607</v>
      </c>
      <c r="G203">
        <v>309675325000</v>
      </c>
      <c r="H203">
        <v>367536670000</v>
      </c>
      <c r="I203">
        <v>-415944320000</v>
      </c>
      <c r="J203">
        <v>0</v>
      </c>
      <c r="K203" s="1">
        <v>45527</v>
      </c>
      <c r="L203">
        <v>2701.69</v>
      </c>
      <c r="M203">
        <v>773.26</v>
      </c>
      <c r="N203">
        <v>330591</v>
      </c>
      <c r="O203">
        <v>368.85</v>
      </c>
      <c r="P203">
        <v>105.91</v>
      </c>
      <c r="Q203" s="1">
        <v>45530</v>
      </c>
      <c r="R203">
        <v>2.89</v>
      </c>
      <c r="S203">
        <v>2.9249999999999998</v>
      </c>
      <c r="T203">
        <v>2.9740000000000002</v>
      </c>
      <c r="U203">
        <v>3.4140000000000001</v>
      </c>
      <c r="V203">
        <v>3.51</v>
      </c>
      <c r="W203">
        <f t="shared" si="1"/>
        <v>45527</v>
      </c>
      <c r="X203">
        <f>IF($X$99=TRUE,SUM(E203:E$350),"")</f>
        <v>19772120</v>
      </c>
      <c r="Y203">
        <f>IF($Y$99=TRUE,SUM(F203:F$350),"")</f>
        <v>1181728</v>
      </c>
      <c r="Z203">
        <f>IF($Z$99=TRUE,SUM(G203:G$350)/1000000,"")</f>
        <v>3249071.3250000002</v>
      </c>
      <c r="AA203">
        <f>IF($AA$99=TRUE,SUM(H203:H$350)/1000000,"")</f>
        <v>9693769.4800000004</v>
      </c>
      <c r="AB203">
        <f>IF($AB$99=TRUE,SUM(AH203:AH$350)/1000,"")</f>
        <v>32683594.756999999</v>
      </c>
      <c r="AD203" s="1">
        <v>45527</v>
      </c>
      <c r="AE203">
        <v>368.85</v>
      </c>
      <c r="AF203">
        <v>105.91</v>
      </c>
      <c r="AG203" s="1">
        <v>45530</v>
      </c>
      <c r="AH203">
        <v>1054423207</v>
      </c>
      <c r="AI203" s="1">
        <v>45586</v>
      </c>
      <c r="AJ203">
        <v>5576.2250000000004</v>
      </c>
      <c r="AK203">
        <v>66.8</v>
      </c>
      <c r="AL203">
        <v>3951.0569999999998</v>
      </c>
      <c r="AM203">
        <v>1287.51</v>
      </c>
      <c r="AN203">
        <v>1093.43</v>
      </c>
    </row>
    <row r="204" spans="4:40" hidden="1">
      <c r="D204" s="1">
        <v>45526</v>
      </c>
      <c r="E204">
        <v>66148</v>
      </c>
      <c r="F204">
        <v>-81655</v>
      </c>
      <c r="G204">
        <v>39846287500</v>
      </c>
      <c r="H204">
        <v>1220857740000</v>
      </c>
      <c r="I204">
        <v>-265251570000</v>
      </c>
      <c r="J204">
        <v>0</v>
      </c>
      <c r="K204" s="1">
        <v>45526</v>
      </c>
      <c r="L204">
        <v>2707.67</v>
      </c>
      <c r="M204">
        <v>773.47</v>
      </c>
      <c r="N204">
        <v>441756</v>
      </c>
      <c r="O204">
        <v>369.45</v>
      </c>
      <c r="P204">
        <v>105.98</v>
      </c>
      <c r="Q204" s="1">
        <v>45527</v>
      </c>
      <c r="R204">
        <v>2.92</v>
      </c>
      <c r="S204">
        <v>2.9529999999999998</v>
      </c>
      <c r="T204">
        <v>3.0049999999999999</v>
      </c>
      <c r="U204">
        <v>3.4390000000000001</v>
      </c>
      <c r="V204">
        <v>3.51</v>
      </c>
      <c r="W204">
        <f t="shared" si="1"/>
        <v>45526</v>
      </c>
      <c r="X204">
        <f>IF($X$99=TRUE,SUM(E204:E$350),"")</f>
        <v>20013919</v>
      </c>
      <c r="Y204">
        <f>IF($Y$99=TRUE,SUM(F204:F$350),"")</f>
        <v>1069121</v>
      </c>
      <c r="Z204">
        <f>IF($Z$99=TRUE,SUM(G204:G$350)/1000000,"")</f>
        <v>2939396</v>
      </c>
      <c r="AA204">
        <f>IF($AA$99=TRUE,SUM(H204:H$350)/1000000,"")</f>
        <v>9326232.8100000005</v>
      </c>
      <c r="AB204">
        <f>IF($AB$99=TRUE,SUM(AH204:AH$350)/1000,"")</f>
        <v>31629171.550000001</v>
      </c>
      <c r="AD204" s="1">
        <v>45526</v>
      </c>
      <c r="AE204">
        <v>369.45</v>
      </c>
      <c r="AF204">
        <v>105.98</v>
      </c>
      <c r="AG204" s="1">
        <v>45527</v>
      </c>
      <c r="AH204">
        <v>480890101</v>
      </c>
      <c r="AI204" s="1">
        <v>45585</v>
      </c>
      <c r="AJ204">
        <v>5587.326</v>
      </c>
      <c r="AK204">
        <v>67.844999999999999</v>
      </c>
      <c r="AL204">
        <v>3980.0569999999998</v>
      </c>
      <c r="AM204">
        <v>1297.0139999999999</v>
      </c>
      <c r="AN204">
        <v>1101.5119999999999</v>
      </c>
    </row>
    <row r="205" spans="4:40" hidden="1">
      <c r="D205" s="1">
        <v>45525</v>
      </c>
      <c r="E205">
        <v>31383</v>
      </c>
      <c r="F205">
        <v>-334281</v>
      </c>
      <c r="G205">
        <v>327676687500</v>
      </c>
      <c r="H205">
        <v>206827200000</v>
      </c>
      <c r="I205">
        <v>-56563550000</v>
      </c>
      <c r="J205">
        <v>0</v>
      </c>
      <c r="K205" s="1">
        <v>45525</v>
      </c>
      <c r="L205">
        <v>2701.13</v>
      </c>
      <c r="M205">
        <v>779.87</v>
      </c>
      <c r="N205">
        <v>417329</v>
      </c>
      <c r="O205">
        <v>369.2</v>
      </c>
      <c r="P205">
        <v>105.87</v>
      </c>
      <c r="Q205" s="1">
        <v>45526</v>
      </c>
      <c r="R205">
        <v>2.907</v>
      </c>
      <c r="S205">
        <v>2.9329999999999998</v>
      </c>
      <c r="T205">
        <v>2.98</v>
      </c>
      <c r="U205">
        <v>3.4220000000000002</v>
      </c>
      <c r="V205">
        <v>3.51</v>
      </c>
      <c r="W205">
        <f t="shared" si="1"/>
        <v>45525</v>
      </c>
      <c r="X205">
        <f>IF($X$99=TRUE,SUM(E205:E$350),"")</f>
        <v>19947771</v>
      </c>
      <c r="Y205">
        <f>IF($Y$99=TRUE,SUM(F205:F$350),"")</f>
        <v>1150776</v>
      </c>
      <c r="Z205">
        <f>IF($Z$99=TRUE,SUM(G205:G$350)/1000000,"")</f>
        <v>2899549.7124999999</v>
      </c>
      <c r="AA205">
        <f>IF($AA$99=TRUE,SUM(H205:H$350)/1000000,"")</f>
        <v>8105375.0700000003</v>
      </c>
      <c r="AB205">
        <f>IF($AB$99=TRUE,SUM(AH205:AH$350)/1000,"")</f>
        <v>31148281.449000001</v>
      </c>
      <c r="AD205" s="1">
        <v>45525</v>
      </c>
      <c r="AE205">
        <v>369.2</v>
      </c>
      <c r="AF205">
        <v>105.87</v>
      </c>
      <c r="AG205" s="1">
        <v>45526</v>
      </c>
      <c r="AH205">
        <v>-160906201</v>
      </c>
      <c r="AI205" s="1">
        <v>45584</v>
      </c>
      <c r="AJ205">
        <v>5587.326</v>
      </c>
      <c r="AK205">
        <v>67.844999999999999</v>
      </c>
      <c r="AL205">
        <v>3980.0569999999998</v>
      </c>
      <c r="AM205">
        <v>1297.0139999999999</v>
      </c>
      <c r="AN205">
        <v>1101.5119999999999</v>
      </c>
    </row>
    <row r="206" spans="4:40" hidden="1">
      <c r="D206" s="1">
        <v>45524</v>
      </c>
      <c r="E206">
        <v>289012</v>
      </c>
      <c r="F206">
        <v>100533</v>
      </c>
      <c r="G206">
        <v>362284912500</v>
      </c>
      <c r="H206">
        <v>-399128020000</v>
      </c>
      <c r="I206">
        <v>242181730000</v>
      </c>
      <c r="J206">
        <v>0</v>
      </c>
      <c r="K206" s="1">
        <v>45524</v>
      </c>
      <c r="L206">
        <v>2696.63</v>
      </c>
      <c r="M206">
        <v>787.44</v>
      </c>
      <c r="N206">
        <v>484188</v>
      </c>
      <c r="O206">
        <v>369.65</v>
      </c>
      <c r="P206">
        <v>105.87</v>
      </c>
      <c r="Q206" s="1">
        <v>45525</v>
      </c>
      <c r="R206">
        <v>2.94</v>
      </c>
      <c r="S206">
        <v>2.96</v>
      </c>
      <c r="T206">
        <v>2.9969999999999999</v>
      </c>
      <c r="U206">
        <v>3.4390000000000001</v>
      </c>
      <c r="V206">
        <v>3.52</v>
      </c>
      <c r="W206">
        <f t="shared" si="1"/>
        <v>45524</v>
      </c>
      <c r="X206">
        <f>IF($X$99=TRUE,SUM(E206:E$350),"")</f>
        <v>19916388</v>
      </c>
      <c r="Y206">
        <f>IF($Y$99=TRUE,SUM(F206:F$350),"")</f>
        <v>1485057</v>
      </c>
      <c r="Z206">
        <f>IF($Z$99=TRUE,SUM(G206:G$350)/1000000,"")</f>
        <v>2571873.0249999999</v>
      </c>
      <c r="AA206">
        <f>IF($AA$99=TRUE,SUM(H206:H$350)/1000000,"")</f>
        <v>7898547.8700000001</v>
      </c>
      <c r="AB206">
        <f>IF($AB$99=TRUE,SUM(AH206:AH$350)/1000,"")</f>
        <v>31309187.649999999</v>
      </c>
      <c r="AD206" s="1">
        <v>45524</v>
      </c>
      <c r="AE206">
        <v>369.65</v>
      </c>
      <c r="AF206">
        <v>105.87</v>
      </c>
      <c r="AG206" s="1">
        <v>45525</v>
      </c>
      <c r="AH206">
        <v>1443892108</v>
      </c>
      <c r="AI206" s="1">
        <v>45583</v>
      </c>
      <c r="AJ206">
        <v>5587.326</v>
      </c>
      <c r="AK206">
        <v>67.844999999999999</v>
      </c>
      <c r="AL206">
        <v>3980.0569999999998</v>
      </c>
      <c r="AM206">
        <v>1297.0139999999999</v>
      </c>
      <c r="AN206">
        <v>1101.5119999999999</v>
      </c>
    </row>
    <row r="207" spans="4:40" hidden="1">
      <c r="D207" s="1">
        <v>45523</v>
      </c>
      <c r="E207">
        <v>-117551</v>
      </c>
      <c r="F207">
        <v>-112951</v>
      </c>
      <c r="G207">
        <v>648621687500</v>
      </c>
      <c r="H207">
        <v>256350300000</v>
      </c>
      <c r="I207">
        <v>700331450000</v>
      </c>
      <c r="J207">
        <v>0</v>
      </c>
      <c r="K207" s="1">
        <v>45523</v>
      </c>
      <c r="L207">
        <v>2674.36</v>
      </c>
      <c r="M207">
        <v>777.47</v>
      </c>
      <c r="N207">
        <v>395636</v>
      </c>
      <c r="O207">
        <v>365.05</v>
      </c>
      <c r="P207">
        <v>105.95</v>
      </c>
      <c r="Q207" s="1">
        <v>45524</v>
      </c>
      <c r="R207">
        <v>2.944</v>
      </c>
      <c r="S207">
        <v>2.9590000000000001</v>
      </c>
      <c r="T207">
        <v>2.9990000000000001</v>
      </c>
      <c r="U207">
        <v>3.4420000000000002</v>
      </c>
      <c r="V207">
        <v>3.51</v>
      </c>
      <c r="W207">
        <f t="shared" si="1"/>
        <v>45523</v>
      </c>
      <c r="X207">
        <f>IF($X$99=TRUE,SUM(E207:E$350),"")</f>
        <v>19627376</v>
      </c>
      <c r="Y207">
        <f>IF($Y$99=TRUE,SUM(F207:F$350),"")</f>
        <v>1384524</v>
      </c>
      <c r="Z207">
        <f>IF($Z$99=TRUE,SUM(G207:G$350)/1000000,"")</f>
        <v>2209588.1124999998</v>
      </c>
      <c r="AA207">
        <f>IF($AA$99=TRUE,SUM(H207:H$350)/1000000,"")</f>
        <v>8297675.8899999997</v>
      </c>
      <c r="AB207">
        <f>IF($AB$99=TRUE,SUM(AH207:AH$350)/1000,"")</f>
        <v>29865295.541999999</v>
      </c>
      <c r="AD207" s="1">
        <v>45523</v>
      </c>
      <c r="AE207">
        <v>365.05</v>
      </c>
      <c r="AF207">
        <v>105.95</v>
      </c>
      <c r="AG207" s="1">
        <v>45524</v>
      </c>
      <c r="AH207">
        <v>874826313</v>
      </c>
      <c r="AI207" s="1">
        <v>45582</v>
      </c>
      <c r="AJ207">
        <v>5564.6480000000001</v>
      </c>
      <c r="AK207">
        <v>65.234999999999999</v>
      </c>
      <c r="AL207">
        <v>3965.7080000000001</v>
      </c>
      <c r="AM207">
        <v>1297.1020000000001</v>
      </c>
      <c r="AN207">
        <v>1098.4480000000001</v>
      </c>
    </row>
    <row r="208" spans="4:40" hidden="1">
      <c r="D208" s="1">
        <v>45520</v>
      </c>
      <c r="E208">
        <v>1205455</v>
      </c>
      <c r="F208">
        <v>101017</v>
      </c>
      <c r="G208">
        <v>267822412500</v>
      </c>
      <c r="H208">
        <v>-879702500000</v>
      </c>
      <c r="I208">
        <v>420319840000</v>
      </c>
      <c r="J208">
        <v>0</v>
      </c>
      <c r="K208" s="1">
        <v>45520</v>
      </c>
      <c r="L208">
        <v>2697.23</v>
      </c>
      <c r="M208">
        <v>786.33</v>
      </c>
      <c r="N208">
        <v>385851</v>
      </c>
      <c r="O208">
        <v>369.25</v>
      </c>
      <c r="P208">
        <v>105.95</v>
      </c>
      <c r="Q208" s="1">
        <v>45523</v>
      </c>
      <c r="R208">
        <v>2.927</v>
      </c>
      <c r="S208">
        <v>2.9420000000000002</v>
      </c>
      <c r="T208">
        <v>2.9849999999999999</v>
      </c>
      <c r="U208">
        <v>3.4239999999999999</v>
      </c>
      <c r="V208">
        <v>3.51</v>
      </c>
      <c r="W208">
        <f t="shared" si="1"/>
        <v>45520</v>
      </c>
      <c r="X208">
        <f>IF($X$99=TRUE,SUM(E208:E$350),"")</f>
        <v>19744927</v>
      </c>
      <c r="Y208">
        <f>IF($Y$99=TRUE,SUM(F208:F$350),"")</f>
        <v>1497475</v>
      </c>
      <c r="Z208">
        <f>IF($Z$99=TRUE,SUM(G208:G$350)/1000000,"")</f>
        <v>1560966.425</v>
      </c>
      <c r="AA208">
        <f>IF($AA$99=TRUE,SUM(H208:H$350)/1000000,"")</f>
        <v>8041325.5899999999</v>
      </c>
      <c r="AB208">
        <f>IF($AB$99=TRUE,SUM(AH208:AH$350)/1000,"")</f>
        <v>28990469.228999998</v>
      </c>
      <c r="AD208" s="1">
        <v>45520</v>
      </c>
      <c r="AE208">
        <v>369.25</v>
      </c>
      <c r="AF208">
        <v>105.95</v>
      </c>
      <c r="AG208" s="1">
        <v>45523</v>
      </c>
      <c r="AH208">
        <v>692577220</v>
      </c>
      <c r="AI208" s="1">
        <v>45581</v>
      </c>
      <c r="AJ208">
        <v>5565.2120000000004</v>
      </c>
      <c r="AK208">
        <v>66.185000000000002</v>
      </c>
      <c r="AL208">
        <v>3980.8969999999999</v>
      </c>
      <c r="AM208">
        <v>1289.4469999999999</v>
      </c>
      <c r="AN208">
        <v>1112.758</v>
      </c>
    </row>
    <row r="209" spans="4:40" hidden="1">
      <c r="D209" s="1">
        <v>45518</v>
      </c>
      <c r="E209">
        <v>390110</v>
      </c>
      <c r="F209">
        <v>82808</v>
      </c>
      <c r="G209">
        <v>-272397950000</v>
      </c>
      <c r="H209">
        <v>-328298870000</v>
      </c>
      <c r="I209">
        <v>8696830000</v>
      </c>
      <c r="J209">
        <v>0</v>
      </c>
      <c r="K209" s="1">
        <v>45518</v>
      </c>
      <c r="L209">
        <v>2644.5</v>
      </c>
      <c r="M209">
        <v>776.83</v>
      </c>
      <c r="N209">
        <v>328748</v>
      </c>
      <c r="O209">
        <v>360.95</v>
      </c>
      <c r="P209">
        <v>106.07</v>
      </c>
      <c r="Q209" s="1">
        <v>45520</v>
      </c>
      <c r="R209">
        <v>2.9279999999999999</v>
      </c>
      <c r="S209">
        <v>2.9329999999999998</v>
      </c>
      <c r="T209">
        <v>2.9729999999999999</v>
      </c>
      <c r="U209">
        <v>3.415</v>
      </c>
      <c r="V209">
        <v>3.51</v>
      </c>
      <c r="W209">
        <f t="shared" si="1"/>
        <v>45518</v>
      </c>
      <c r="X209">
        <f>IF($X$99=TRUE,SUM(E209:E$350),"")</f>
        <v>18539472</v>
      </c>
      <c r="Y209">
        <f>IF($Y$99=TRUE,SUM(F209:F$350),"")</f>
        <v>1396458</v>
      </c>
      <c r="Z209">
        <f>IF($Z$99=TRUE,SUM(G209:G$350)/1000000,"")</f>
        <v>1293144.0125</v>
      </c>
      <c r="AA209">
        <f>IF($AA$99=TRUE,SUM(H209:H$350)/1000000,"")</f>
        <v>8921028.0899999999</v>
      </c>
      <c r="AB209">
        <f>IF($AB$99=TRUE,SUM(AH209:AH$350)/1000,"")</f>
        <v>28297892.009</v>
      </c>
      <c r="AD209" s="1">
        <v>45518</v>
      </c>
      <c r="AE209">
        <v>360.95</v>
      </c>
      <c r="AF209">
        <v>106.07</v>
      </c>
      <c r="AG209" s="1">
        <v>45520</v>
      </c>
      <c r="AH209">
        <v>317092735</v>
      </c>
      <c r="AI209" s="1">
        <v>45580</v>
      </c>
      <c r="AJ209">
        <v>5539.1689999999999</v>
      </c>
      <c r="AK209">
        <v>66.349000000000004</v>
      </c>
      <c r="AL209">
        <v>4043.7069999999999</v>
      </c>
      <c r="AM209">
        <v>1285.7380000000001</v>
      </c>
      <c r="AN209">
        <v>1115.848</v>
      </c>
    </row>
    <row r="210" spans="4:40" hidden="1">
      <c r="D210" s="1">
        <v>45517</v>
      </c>
      <c r="E210">
        <v>131829</v>
      </c>
      <c r="F210">
        <v>-174166</v>
      </c>
      <c r="G210">
        <v>264085912500</v>
      </c>
      <c r="H210">
        <v>314586340000</v>
      </c>
      <c r="I210">
        <v>85473910000</v>
      </c>
      <c r="J210">
        <v>0</v>
      </c>
      <c r="K210" s="1">
        <v>45517</v>
      </c>
      <c r="L210">
        <v>2621.5</v>
      </c>
      <c r="M210">
        <v>764.86</v>
      </c>
      <c r="N210">
        <v>378532</v>
      </c>
      <c r="O210">
        <v>357.35</v>
      </c>
      <c r="P210">
        <v>105.98</v>
      </c>
      <c r="Q210" s="1">
        <v>45518</v>
      </c>
      <c r="R210">
        <v>2.8879999999999999</v>
      </c>
      <c r="S210">
        <v>2.899</v>
      </c>
      <c r="T210">
        <v>2.9449999999999998</v>
      </c>
      <c r="U210">
        <v>3.37</v>
      </c>
      <c r="V210">
        <v>3.49</v>
      </c>
      <c r="W210">
        <f t="shared" si="1"/>
        <v>45517</v>
      </c>
      <c r="X210">
        <f>IF($X$99=TRUE,SUM(E210:E$350),"")</f>
        <v>18149362</v>
      </c>
      <c r="Y210">
        <f>IF($Y$99=TRUE,SUM(F210:F$350),"")</f>
        <v>1313650</v>
      </c>
      <c r="Z210">
        <f>IF($Z$99=TRUE,SUM(G210:G$350)/1000000,"")</f>
        <v>1565541.9624999999</v>
      </c>
      <c r="AA210">
        <f>IF($AA$99=TRUE,SUM(H210:H$350)/1000000,"")</f>
        <v>9249326.9600000009</v>
      </c>
      <c r="AB210">
        <f>IF($AB$99=TRUE,SUM(AH210:AH$350)/1000,"")</f>
        <v>27980799.274</v>
      </c>
      <c r="AD210" s="1">
        <v>45517</v>
      </c>
      <c r="AE210">
        <v>357.35</v>
      </c>
      <c r="AF210">
        <v>105.98</v>
      </c>
      <c r="AG210" s="1">
        <v>45518</v>
      </c>
      <c r="AH210">
        <v>1083987723</v>
      </c>
      <c r="AI210" s="1">
        <v>45579</v>
      </c>
      <c r="AJ210">
        <v>5581.6719999999996</v>
      </c>
      <c r="AK210">
        <v>69.331999999999994</v>
      </c>
      <c r="AL210">
        <v>4004.223</v>
      </c>
      <c r="AM210">
        <v>1289.1020000000001</v>
      </c>
      <c r="AN210">
        <v>1116.941</v>
      </c>
    </row>
    <row r="211" spans="4:40" hidden="1">
      <c r="D211" s="1">
        <v>45516</v>
      </c>
      <c r="E211">
        <v>78096</v>
      </c>
      <c r="F211">
        <v>-154966</v>
      </c>
      <c r="G211">
        <v>-96233312500</v>
      </c>
      <c r="H211">
        <v>106921510000</v>
      </c>
      <c r="I211">
        <v>787880370000</v>
      </c>
      <c r="J211">
        <v>0</v>
      </c>
      <c r="K211" s="1">
        <v>45516</v>
      </c>
      <c r="L211">
        <v>2618.3000000000002</v>
      </c>
      <c r="M211">
        <v>772.72</v>
      </c>
      <c r="N211">
        <v>293083</v>
      </c>
      <c r="O211">
        <v>355.85</v>
      </c>
      <c r="P211">
        <v>105.9</v>
      </c>
      <c r="Q211" s="1">
        <v>45517</v>
      </c>
      <c r="R211">
        <v>2.9180000000000001</v>
      </c>
      <c r="S211">
        <v>2.93</v>
      </c>
      <c r="T211">
        <v>2.9740000000000002</v>
      </c>
      <c r="U211">
        <v>3.395</v>
      </c>
      <c r="V211">
        <v>3.49</v>
      </c>
      <c r="W211">
        <f t="shared" si="1"/>
        <v>45516</v>
      </c>
      <c r="X211">
        <f>IF($X$99=TRUE,SUM(E211:E$350),"")</f>
        <v>18017533</v>
      </c>
      <c r="Y211">
        <f>IF($Y$99=TRUE,SUM(F211:F$350),"")</f>
        <v>1487816</v>
      </c>
      <c r="Z211">
        <f>IF($Z$99=TRUE,SUM(G211:G$350)/1000000,"")</f>
        <v>1301456.05</v>
      </c>
      <c r="AA211">
        <f>IF($AA$99=TRUE,SUM(H211:H$350)/1000000,"")</f>
        <v>8934740.6199999992</v>
      </c>
      <c r="AB211">
        <f>IF($AB$99=TRUE,SUM(AH211:AH$350)/1000,"")</f>
        <v>26896811.550999999</v>
      </c>
      <c r="AD211" s="1">
        <v>45516</v>
      </c>
      <c r="AE211">
        <v>355.85</v>
      </c>
      <c r="AF211">
        <v>105.9</v>
      </c>
      <c r="AG211" s="1">
        <v>45517</v>
      </c>
      <c r="AH211">
        <v>569258810</v>
      </c>
      <c r="AI211" s="1">
        <v>45578</v>
      </c>
      <c r="AJ211">
        <v>5539.2950000000001</v>
      </c>
      <c r="AK211">
        <v>69.802000000000007</v>
      </c>
      <c r="AL211">
        <v>4020.05</v>
      </c>
      <c r="AM211">
        <v>1284.6179999999999</v>
      </c>
      <c r="AN211">
        <v>1112.175</v>
      </c>
    </row>
    <row r="212" spans="4:40" hidden="1">
      <c r="D212" s="1">
        <v>45513</v>
      </c>
      <c r="E212">
        <v>1720</v>
      </c>
      <c r="F212">
        <v>50777</v>
      </c>
      <c r="G212">
        <v>-271727650000</v>
      </c>
      <c r="H212">
        <v>50330220000</v>
      </c>
      <c r="I212">
        <v>264823260000</v>
      </c>
      <c r="J212">
        <v>0</v>
      </c>
      <c r="K212" s="1">
        <v>45513</v>
      </c>
      <c r="L212">
        <v>2588.4299999999998</v>
      </c>
      <c r="M212">
        <v>764.43</v>
      </c>
      <c r="N212">
        <v>475012</v>
      </c>
      <c r="O212">
        <v>352.95</v>
      </c>
      <c r="P212">
        <v>105.91</v>
      </c>
      <c r="Q212" s="1">
        <v>45516</v>
      </c>
      <c r="R212">
        <v>2.9460000000000002</v>
      </c>
      <c r="S212">
        <v>2.9540000000000002</v>
      </c>
      <c r="T212">
        <v>3</v>
      </c>
      <c r="U212">
        <v>3.4209999999999998</v>
      </c>
      <c r="V212">
        <v>3.46</v>
      </c>
      <c r="W212">
        <f t="shared" si="1"/>
        <v>45513</v>
      </c>
      <c r="X212">
        <f>IF($X$99=TRUE,SUM(E212:E$350),"")</f>
        <v>17939437</v>
      </c>
      <c r="Y212">
        <f>IF($Y$99=TRUE,SUM(F212:F$350),"")</f>
        <v>1642782</v>
      </c>
      <c r="Z212">
        <f>IF($Z$99=TRUE,SUM(G212:G$350)/1000000,"")</f>
        <v>1397689.3625</v>
      </c>
      <c r="AA212">
        <f>IF($AA$99=TRUE,SUM(H212:H$350)/1000000,"")</f>
        <v>8827819.1099999994</v>
      </c>
      <c r="AB212">
        <f>IF($AB$99=TRUE,SUM(AH212:AH$350)/1000,"")</f>
        <v>26327552.741</v>
      </c>
      <c r="AD212" s="1">
        <v>45513</v>
      </c>
      <c r="AE212">
        <v>352.95</v>
      </c>
      <c r="AF212">
        <v>105.91</v>
      </c>
      <c r="AG212" s="1">
        <v>45516</v>
      </c>
      <c r="AH212">
        <v>805630111</v>
      </c>
      <c r="AI212" s="1">
        <v>45577</v>
      </c>
      <c r="AJ212">
        <v>5539.2950000000001</v>
      </c>
      <c r="AK212">
        <v>69.802000000000007</v>
      </c>
      <c r="AL212">
        <v>4020.05</v>
      </c>
      <c r="AM212">
        <v>1284.6179999999999</v>
      </c>
      <c r="AN212">
        <v>1112.175</v>
      </c>
    </row>
    <row r="213" spans="4:40" hidden="1">
      <c r="D213" s="1">
        <v>45512</v>
      </c>
      <c r="E213">
        <v>-516734</v>
      </c>
      <c r="F213">
        <v>-198786</v>
      </c>
      <c r="G213">
        <v>-506537362500</v>
      </c>
      <c r="H213">
        <v>837470020000</v>
      </c>
      <c r="I213">
        <v>-499690890000</v>
      </c>
      <c r="J213">
        <v>0</v>
      </c>
      <c r="K213" s="1">
        <v>45512</v>
      </c>
      <c r="L213">
        <v>2556.73</v>
      </c>
      <c r="M213">
        <v>745.28</v>
      </c>
      <c r="N213">
        <v>495299</v>
      </c>
      <c r="O213">
        <v>346.05</v>
      </c>
      <c r="P213">
        <v>105.98</v>
      </c>
      <c r="Q213" s="1">
        <v>45513</v>
      </c>
      <c r="R213">
        <v>2.9409999999999998</v>
      </c>
      <c r="S213">
        <v>2.9580000000000002</v>
      </c>
      <c r="T213">
        <v>3.012</v>
      </c>
      <c r="U213">
        <v>3.4089999999999998</v>
      </c>
      <c r="V213">
        <v>3.47</v>
      </c>
      <c r="W213">
        <f t="shared" si="1"/>
        <v>45512</v>
      </c>
      <c r="X213">
        <f>IF($X$99=TRUE,SUM(E213:E$350),"")</f>
        <v>17937717</v>
      </c>
      <c r="Y213">
        <f>IF($Y$99=TRUE,SUM(F213:F$350),"")</f>
        <v>1592005</v>
      </c>
      <c r="Z213">
        <f>IF($Z$99=TRUE,SUM(G213:G$350)/1000000,"")</f>
        <v>1669417.0125</v>
      </c>
      <c r="AA213">
        <f>IF($AA$99=TRUE,SUM(H213:H$350)/1000000,"")</f>
        <v>8777488.8900000006</v>
      </c>
      <c r="AB213">
        <f>IF($AB$99=TRUE,SUM(AH213:AH$350)/1000,"")</f>
        <v>25521922.629999999</v>
      </c>
      <c r="AD213" s="1">
        <v>45512</v>
      </c>
      <c r="AE213">
        <v>346.05</v>
      </c>
      <c r="AF213">
        <v>105.98</v>
      </c>
      <c r="AG213" s="1">
        <v>45513</v>
      </c>
      <c r="AH213">
        <v>-557820788</v>
      </c>
      <c r="AI213" s="1">
        <v>45576</v>
      </c>
      <c r="AJ213">
        <v>5539.2950000000001</v>
      </c>
      <c r="AK213">
        <v>69.802000000000007</v>
      </c>
      <c r="AL213">
        <v>4020.05</v>
      </c>
      <c r="AM213">
        <v>1284.6179999999999</v>
      </c>
      <c r="AN213">
        <v>1112.175</v>
      </c>
    </row>
    <row r="214" spans="4:40" hidden="1">
      <c r="D214" s="1">
        <v>45511</v>
      </c>
      <c r="E214">
        <v>-17492</v>
      </c>
      <c r="F214">
        <v>-158274</v>
      </c>
      <c r="G214">
        <v>-251953887500</v>
      </c>
      <c r="H214">
        <v>156494870000</v>
      </c>
      <c r="I214">
        <v>-126452280000</v>
      </c>
      <c r="J214">
        <v>0</v>
      </c>
      <c r="K214" s="1">
        <v>45511</v>
      </c>
      <c r="L214">
        <v>2568.41</v>
      </c>
      <c r="M214">
        <v>748.54</v>
      </c>
      <c r="N214">
        <v>476990</v>
      </c>
      <c r="O214">
        <v>350.5</v>
      </c>
      <c r="P214">
        <v>105.94</v>
      </c>
      <c r="Q214" s="1">
        <v>45512</v>
      </c>
      <c r="R214">
        <v>2.911</v>
      </c>
      <c r="S214">
        <v>2.9340000000000002</v>
      </c>
      <c r="T214">
        <v>2.9969999999999999</v>
      </c>
      <c r="U214">
        <v>3.38</v>
      </c>
      <c r="V214">
        <v>3.47</v>
      </c>
      <c r="W214">
        <f t="shared" si="1"/>
        <v>45511</v>
      </c>
      <c r="X214">
        <f>IF($X$99=TRUE,SUM(E214:E$350),"")</f>
        <v>18454451</v>
      </c>
      <c r="Y214">
        <f>IF($Y$99=TRUE,SUM(F214:F$350),"")</f>
        <v>1790791</v>
      </c>
      <c r="Z214">
        <f>IF($Z$99=TRUE,SUM(G214:G$350)/1000000,"")</f>
        <v>2175954.375</v>
      </c>
      <c r="AA214">
        <f>IF($AA$99=TRUE,SUM(H214:H$350)/1000000,"")</f>
        <v>7940018.8700000001</v>
      </c>
      <c r="AB214">
        <f>IF($AB$99=TRUE,SUM(AH214:AH$350)/1000,"")</f>
        <v>26079743.418000001</v>
      </c>
      <c r="AD214" s="1">
        <v>45511</v>
      </c>
      <c r="AE214">
        <v>350.5</v>
      </c>
      <c r="AF214">
        <v>105.94</v>
      </c>
      <c r="AG214" s="1">
        <v>45512</v>
      </c>
      <c r="AH214">
        <v>507484146</v>
      </c>
      <c r="AI214" s="1">
        <v>45575</v>
      </c>
      <c r="AJ214">
        <v>5504.32</v>
      </c>
      <c r="AK214">
        <v>69.983999999999995</v>
      </c>
      <c r="AL214">
        <v>4041.498</v>
      </c>
      <c r="AM214">
        <v>1280.1969999999999</v>
      </c>
      <c r="AN214">
        <v>1113.5239999999999</v>
      </c>
    </row>
    <row r="215" spans="4:40" hidden="1">
      <c r="D215" s="1">
        <v>45510</v>
      </c>
      <c r="E215">
        <v>-167709</v>
      </c>
      <c r="F215">
        <v>357691</v>
      </c>
      <c r="G215">
        <v>-215150237500</v>
      </c>
      <c r="H215">
        <v>-1138163040000</v>
      </c>
      <c r="I215">
        <v>-453640180000</v>
      </c>
      <c r="J215">
        <v>0</v>
      </c>
      <c r="K215" s="1">
        <v>45510</v>
      </c>
      <c r="L215">
        <v>2522.15</v>
      </c>
      <c r="M215">
        <v>732.87</v>
      </c>
      <c r="N215">
        <v>567266</v>
      </c>
      <c r="O215">
        <v>340</v>
      </c>
      <c r="P215">
        <v>105.91</v>
      </c>
      <c r="Q215" s="1">
        <v>45511</v>
      </c>
      <c r="R215">
        <v>2.9289999999999998</v>
      </c>
      <c r="S215">
        <v>2.9510000000000001</v>
      </c>
      <c r="T215">
        <v>3.0009999999999999</v>
      </c>
      <c r="U215">
        <v>3.3969999999999998</v>
      </c>
      <c r="V215">
        <v>3.48</v>
      </c>
      <c r="W215">
        <f t="shared" si="1"/>
        <v>45510</v>
      </c>
      <c r="X215">
        <f>IF($X$99=TRUE,SUM(E215:E$350),"")</f>
        <v>18471943</v>
      </c>
      <c r="Y215">
        <f>IF($Y$99=TRUE,SUM(F215:F$350),"")</f>
        <v>1949065</v>
      </c>
      <c r="Z215">
        <f>IF($Z$99=TRUE,SUM(G215:G$350)/1000000,"")</f>
        <v>2427908.2625000002</v>
      </c>
      <c r="AA215">
        <f>IF($AA$99=TRUE,SUM(H215:H$350)/1000000,"")</f>
        <v>7783524</v>
      </c>
      <c r="AB215">
        <f>IF($AB$99=TRUE,SUM(AH215:AH$350)/1000,"")</f>
        <v>25572259.272</v>
      </c>
      <c r="AD215" s="1">
        <v>45510</v>
      </c>
      <c r="AE215">
        <v>340</v>
      </c>
      <c r="AF215">
        <v>105.91</v>
      </c>
      <c r="AG215" s="1">
        <v>45511</v>
      </c>
      <c r="AH215">
        <v>993161562</v>
      </c>
      <c r="AI215" s="1">
        <v>45574</v>
      </c>
      <c r="AJ215">
        <v>5514.1729999999998</v>
      </c>
      <c r="AK215">
        <v>68.197000000000003</v>
      </c>
      <c r="AL215">
        <v>4017.3710000000001</v>
      </c>
      <c r="AM215">
        <v>1283</v>
      </c>
      <c r="AN215">
        <v>1115.009</v>
      </c>
    </row>
    <row r="216" spans="4:40" hidden="1">
      <c r="D216" s="1">
        <v>45509</v>
      </c>
      <c r="E216">
        <v>-1519801</v>
      </c>
      <c r="F216">
        <v>545664</v>
      </c>
      <c r="G216">
        <v>944086400000</v>
      </c>
      <c r="H216">
        <v>1838958990000</v>
      </c>
      <c r="I216">
        <v>61908100000</v>
      </c>
      <c r="J216">
        <v>0</v>
      </c>
      <c r="K216" s="1">
        <v>45509</v>
      </c>
      <c r="L216">
        <v>2441.5500000000002</v>
      </c>
      <c r="M216">
        <v>691.28</v>
      </c>
      <c r="N216">
        <v>763777</v>
      </c>
      <c r="O216">
        <v>330.45</v>
      </c>
      <c r="P216">
        <v>106.3</v>
      </c>
      <c r="Q216" s="1">
        <v>45510</v>
      </c>
      <c r="R216">
        <v>2.9350000000000001</v>
      </c>
      <c r="S216">
        <v>2.9529999999999998</v>
      </c>
      <c r="T216">
        <v>2.9929999999999999</v>
      </c>
      <c r="U216">
        <v>3.3980000000000001</v>
      </c>
      <c r="V216">
        <v>3.47</v>
      </c>
      <c r="W216">
        <f t="shared" si="1"/>
        <v>45509</v>
      </c>
      <c r="X216">
        <f>IF($X$99=TRUE,SUM(E216:E$350),"")</f>
        <v>18639652</v>
      </c>
      <c r="Y216">
        <f>IF($Y$99=TRUE,SUM(F216:F$350),"")</f>
        <v>1591374</v>
      </c>
      <c r="Z216">
        <f>IF($Z$99=TRUE,SUM(G216:G$350)/1000000,"")</f>
        <v>2643058.5</v>
      </c>
      <c r="AA216">
        <f>IF($AA$99=TRUE,SUM(H216:H$350)/1000000,"")</f>
        <v>8921687.0399999991</v>
      </c>
      <c r="AB216">
        <f>IF($AB$99=TRUE,SUM(AH216:AH$350)/1000,"")</f>
        <v>24579097.710000001</v>
      </c>
      <c r="AD216" s="1">
        <v>45509</v>
      </c>
      <c r="AE216">
        <v>330.45</v>
      </c>
      <c r="AF216">
        <v>106.3</v>
      </c>
      <c r="AG216" s="1">
        <v>45510</v>
      </c>
      <c r="AH216">
        <v>678573921</v>
      </c>
      <c r="AI216" s="1">
        <v>45573</v>
      </c>
      <c r="AJ216">
        <v>5474.8860000000004</v>
      </c>
      <c r="AK216">
        <v>70.045000000000002</v>
      </c>
      <c r="AL216">
        <v>4025.9609999999998</v>
      </c>
      <c r="AM216">
        <v>1276.9259999999999</v>
      </c>
      <c r="AN216">
        <v>1110.9649999999999</v>
      </c>
    </row>
    <row r="217" spans="4:40" hidden="1">
      <c r="D217" s="1">
        <v>45506</v>
      </c>
      <c r="E217">
        <v>-844885</v>
      </c>
      <c r="F217">
        <v>-150532</v>
      </c>
      <c r="G217">
        <v>-1892286962500</v>
      </c>
      <c r="H217">
        <v>-381129490000</v>
      </c>
      <c r="I217">
        <v>303952660000</v>
      </c>
      <c r="J217">
        <v>0</v>
      </c>
      <c r="K217" s="1">
        <v>45506</v>
      </c>
      <c r="L217">
        <v>2676.19</v>
      </c>
      <c r="M217">
        <v>779.33</v>
      </c>
      <c r="N217">
        <v>531785</v>
      </c>
      <c r="O217">
        <v>366.7</v>
      </c>
      <c r="P217">
        <v>105.91</v>
      </c>
      <c r="Q217" s="1">
        <v>45509</v>
      </c>
      <c r="R217">
        <v>2.806</v>
      </c>
      <c r="S217">
        <v>2.8170000000000002</v>
      </c>
      <c r="T217">
        <v>2.8780000000000001</v>
      </c>
      <c r="U217">
        <v>3.2709999999999999</v>
      </c>
      <c r="V217">
        <v>3.48</v>
      </c>
      <c r="W217">
        <f t="shared" si="1"/>
        <v>45506</v>
      </c>
      <c r="X217">
        <f>IF($X$99=TRUE,SUM(E217:E$350),"")</f>
        <v>20159453</v>
      </c>
      <c r="Y217">
        <f>IF($Y$99=TRUE,SUM(F217:F$350),"")</f>
        <v>1045710</v>
      </c>
      <c r="Z217">
        <f>IF($Z$99=TRUE,SUM(G217:G$350)/1000000,"")</f>
        <v>1698972.1</v>
      </c>
      <c r="AA217">
        <f>IF($AA$99=TRUE,SUM(H217:H$350)/1000000,"")</f>
        <v>7082728.0499999998</v>
      </c>
      <c r="AB217">
        <f>IF($AB$99=TRUE,SUM(AH217:AH$350)/1000,"")</f>
        <v>23900523.789000001</v>
      </c>
      <c r="AD217" s="1">
        <v>45506</v>
      </c>
      <c r="AE217">
        <v>366.7</v>
      </c>
      <c r="AF217">
        <v>105.91</v>
      </c>
      <c r="AG217" s="1">
        <v>45509</v>
      </c>
      <c r="AH217">
        <v>440189017</v>
      </c>
      <c r="AI217" s="1">
        <v>45572</v>
      </c>
      <c r="AJ217">
        <v>5423.2489999999998</v>
      </c>
      <c r="AK217">
        <v>76.064999999999998</v>
      </c>
      <c r="AL217">
        <v>4090.0540000000001</v>
      </c>
      <c r="AM217">
        <v>1293.248</v>
      </c>
      <c r="AN217">
        <v>1096.72</v>
      </c>
    </row>
    <row r="218" spans="4:40" hidden="1">
      <c r="D218" s="1">
        <v>45505</v>
      </c>
      <c r="E218">
        <v>441189</v>
      </c>
      <c r="F218">
        <v>32827</v>
      </c>
      <c r="G218">
        <v>-290363387500</v>
      </c>
      <c r="H218">
        <v>727302560000</v>
      </c>
      <c r="I218">
        <v>808646400000</v>
      </c>
      <c r="J218">
        <v>0</v>
      </c>
      <c r="K218" s="1">
        <v>45505</v>
      </c>
      <c r="L218">
        <v>2777.68</v>
      </c>
      <c r="M218">
        <v>813.53</v>
      </c>
      <c r="N218">
        <v>480834</v>
      </c>
      <c r="O218">
        <v>382.55</v>
      </c>
      <c r="P218">
        <v>105.77</v>
      </c>
      <c r="Q218" s="1">
        <v>45506</v>
      </c>
      <c r="R218">
        <v>2.9390000000000001</v>
      </c>
      <c r="S218">
        <v>2.948</v>
      </c>
      <c r="T218">
        <v>2.976</v>
      </c>
      <c r="U218">
        <v>3.3940000000000001</v>
      </c>
      <c r="V218">
        <v>3.48</v>
      </c>
      <c r="W218">
        <f t="shared" si="1"/>
        <v>45505</v>
      </c>
      <c r="X218">
        <f>IF($X$99=TRUE,SUM(E218:E$350),"")</f>
        <v>21004338</v>
      </c>
      <c r="Y218">
        <f>IF($Y$99=TRUE,SUM(F218:F$350),"")</f>
        <v>1196242</v>
      </c>
      <c r="Z218">
        <f>IF($Z$99=TRUE,SUM(G218:G$350)/1000000,"")</f>
        <v>3591259.0625</v>
      </c>
      <c r="AA218">
        <f>IF($AA$99=TRUE,SUM(H218:H$350)/1000000,"")</f>
        <v>7463857.54</v>
      </c>
      <c r="AB218">
        <f>IF($AB$99=TRUE,SUM(AH218:AH$350)/1000,"")</f>
        <v>23460334.772</v>
      </c>
      <c r="AD218" s="1">
        <v>45505</v>
      </c>
      <c r="AE218">
        <v>382.55</v>
      </c>
      <c r="AF218">
        <v>105.77</v>
      </c>
      <c r="AG218" s="1">
        <v>45506</v>
      </c>
      <c r="AH218">
        <v>-1712264072</v>
      </c>
      <c r="AI218" s="1">
        <v>45571</v>
      </c>
      <c r="AJ218">
        <v>5474.6019999999999</v>
      </c>
      <c r="AK218">
        <v>75.058000000000007</v>
      </c>
      <c r="AL218">
        <v>4009.0210000000002</v>
      </c>
      <c r="AM218">
        <v>1292.4390000000001</v>
      </c>
      <c r="AN218">
        <v>1110.1679999999999</v>
      </c>
    </row>
    <row r="219" spans="4:40" hidden="1">
      <c r="D219" s="1">
        <v>45504</v>
      </c>
      <c r="E219">
        <v>150307</v>
      </c>
      <c r="F219">
        <v>-60416</v>
      </c>
      <c r="G219">
        <v>146227637500</v>
      </c>
      <c r="H219">
        <v>-486549100000</v>
      </c>
      <c r="I219">
        <v>417395310000</v>
      </c>
      <c r="J219">
        <v>0</v>
      </c>
      <c r="K219" s="1">
        <v>45504</v>
      </c>
      <c r="L219">
        <v>2770.69</v>
      </c>
      <c r="M219">
        <v>803.15</v>
      </c>
      <c r="N219">
        <v>557090</v>
      </c>
      <c r="O219">
        <v>382</v>
      </c>
      <c r="P219">
        <v>105.69</v>
      </c>
      <c r="Q219" s="1">
        <v>45505</v>
      </c>
      <c r="R219">
        <v>2.976</v>
      </c>
      <c r="S219">
        <v>2.9870000000000001</v>
      </c>
      <c r="T219">
        <v>3.01</v>
      </c>
      <c r="U219">
        <v>3.431</v>
      </c>
      <c r="V219">
        <v>3.49</v>
      </c>
      <c r="W219">
        <f t="shared" si="1"/>
        <v>45504</v>
      </c>
      <c r="X219">
        <f>IF($X$99=TRUE,SUM(E219:E$350),"")</f>
        <v>20563149</v>
      </c>
      <c r="Y219">
        <f>IF($Y$99=TRUE,SUM(F219:F$350),"")</f>
        <v>1163415</v>
      </c>
      <c r="Z219">
        <f>IF($Z$99=TRUE,SUM(G219:G$350)/1000000,"")</f>
        <v>3881622.45</v>
      </c>
      <c r="AA219">
        <f>IF($AA$99=TRUE,SUM(H219:H$350)/1000000,"")</f>
        <v>6736554.9800000004</v>
      </c>
      <c r="AB219">
        <f>IF($AB$99=TRUE,SUM(AH219:AH$350)/1000,"")</f>
        <v>25172598.844000001</v>
      </c>
      <c r="AD219" s="1">
        <v>45504</v>
      </c>
      <c r="AE219">
        <v>382</v>
      </c>
      <c r="AF219">
        <v>105.69</v>
      </c>
      <c r="AG219" s="1">
        <v>45505</v>
      </c>
      <c r="AH219">
        <v>-193479405</v>
      </c>
      <c r="AI219" s="1">
        <v>45570</v>
      </c>
      <c r="AJ219">
        <v>5474.6019999999999</v>
      </c>
      <c r="AK219">
        <v>75.058000000000007</v>
      </c>
      <c r="AL219">
        <v>4009.0210000000002</v>
      </c>
      <c r="AM219">
        <v>1292.4390000000001</v>
      </c>
      <c r="AN219">
        <v>1110.1679999999999</v>
      </c>
    </row>
    <row r="220" spans="4:40" hidden="1">
      <c r="D220" s="1">
        <v>45503</v>
      </c>
      <c r="E220">
        <v>-240727</v>
      </c>
      <c r="F220">
        <v>-102624</v>
      </c>
      <c r="G220">
        <v>-521406512500</v>
      </c>
      <c r="H220">
        <v>-478791640000</v>
      </c>
      <c r="I220">
        <v>834548190000</v>
      </c>
      <c r="J220">
        <v>0</v>
      </c>
      <c r="K220" s="1">
        <v>45503</v>
      </c>
      <c r="L220">
        <v>2738.19</v>
      </c>
      <c r="M220">
        <v>803.78</v>
      </c>
      <c r="N220">
        <v>392868</v>
      </c>
      <c r="O220">
        <v>376.9</v>
      </c>
      <c r="P220">
        <v>105.72</v>
      </c>
      <c r="Q220" s="1">
        <v>45504</v>
      </c>
      <c r="R220">
        <v>3.004</v>
      </c>
      <c r="S220">
        <v>3.0230000000000001</v>
      </c>
      <c r="T220">
        <v>3.0640000000000001</v>
      </c>
      <c r="U220">
        <v>3.4590000000000001</v>
      </c>
      <c r="V220">
        <v>3.5</v>
      </c>
      <c r="W220">
        <f t="shared" si="1"/>
        <v>45503</v>
      </c>
      <c r="X220">
        <f>IF($X$99=TRUE,SUM(E220:E$350),"")</f>
        <v>20412842</v>
      </c>
      <c r="Y220">
        <f>IF($Y$99=TRUE,SUM(F220:F$350),"")</f>
        <v>1223831</v>
      </c>
      <c r="Z220">
        <f>IF($Z$99=TRUE,SUM(G220:G$350)/1000000,"")</f>
        <v>3735394.8125</v>
      </c>
      <c r="AA220">
        <f>IF($AA$99=TRUE,SUM(H220:H$350)/1000000,"")</f>
        <v>7223104.0800000001</v>
      </c>
      <c r="AB220">
        <f>IF($AB$99=TRUE,SUM(AH220:AH$350)/1000,"")</f>
        <v>25366078.249000002</v>
      </c>
      <c r="AD220" s="1">
        <v>45503</v>
      </c>
      <c r="AE220">
        <v>376.9</v>
      </c>
      <c r="AF220">
        <v>105.72</v>
      </c>
      <c r="AG220" s="1">
        <v>45504</v>
      </c>
      <c r="AH220">
        <v>-74397900</v>
      </c>
      <c r="AI220" s="1">
        <v>45569</v>
      </c>
      <c r="AJ220">
        <v>5474.6019999999999</v>
      </c>
      <c r="AK220">
        <v>75.058000000000007</v>
      </c>
      <c r="AL220">
        <v>4009.0210000000002</v>
      </c>
      <c r="AM220">
        <v>1292.4390000000001</v>
      </c>
      <c r="AN220">
        <v>1110.1679999999999</v>
      </c>
    </row>
    <row r="221" spans="4:40" hidden="1">
      <c r="D221" s="1">
        <v>45502</v>
      </c>
      <c r="E221">
        <v>444367</v>
      </c>
      <c r="F221">
        <v>104336</v>
      </c>
      <c r="G221">
        <v>-224049025000</v>
      </c>
      <c r="H221">
        <v>-110146470000</v>
      </c>
      <c r="I221">
        <v>696979390000</v>
      </c>
      <c r="J221">
        <v>0</v>
      </c>
      <c r="K221" s="1">
        <v>45502</v>
      </c>
      <c r="L221">
        <v>2765.53</v>
      </c>
      <c r="M221">
        <v>807.99</v>
      </c>
      <c r="N221">
        <v>456515</v>
      </c>
      <c r="O221">
        <v>380.25</v>
      </c>
      <c r="P221">
        <v>105.8</v>
      </c>
      <c r="Q221" s="1">
        <v>45503</v>
      </c>
      <c r="R221">
        <v>2.9940000000000002</v>
      </c>
      <c r="S221">
        <v>3.0049999999999999</v>
      </c>
      <c r="T221">
        <v>3.052</v>
      </c>
      <c r="U221">
        <v>3.4510000000000001</v>
      </c>
      <c r="V221">
        <v>3.5</v>
      </c>
      <c r="W221">
        <f t="shared" si="1"/>
        <v>45502</v>
      </c>
      <c r="X221">
        <f>IF($X$99=TRUE,SUM(E221:E$350),"")</f>
        <v>20653569</v>
      </c>
      <c r="Y221">
        <f>IF($Y$99=TRUE,SUM(F221:F$350),"")</f>
        <v>1326455</v>
      </c>
      <c r="Z221">
        <f>IF($Z$99=TRUE,SUM(G221:G$350)/1000000,"")</f>
        <v>4256801.3250000002</v>
      </c>
      <c r="AA221">
        <f>IF($AA$99=TRUE,SUM(H221:H$350)/1000000,"")</f>
        <v>7701895.7199999997</v>
      </c>
      <c r="AB221">
        <f>IF($AB$99=TRUE,SUM(AH221:AH$350)/1000,"")</f>
        <v>25440476.149</v>
      </c>
      <c r="AD221" s="1">
        <v>45502</v>
      </c>
      <c r="AE221">
        <v>380.25</v>
      </c>
      <c r="AF221">
        <v>105.8</v>
      </c>
      <c r="AG221" s="1">
        <v>45503</v>
      </c>
      <c r="AH221">
        <v>-231255073</v>
      </c>
      <c r="AI221" s="1">
        <v>45568</v>
      </c>
      <c r="AJ221">
        <v>5424.4229999999998</v>
      </c>
      <c r="AK221">
        <v>73.171999999999997</v>
      </c>
      <c r="AL221">
        <v>4043.9720000000002</v>
      </c>
      <c r="AM221">
        <v>1292.627</v>
      </c>
      <c r="AN221">
        <v>1120.874</v>
      </c>
    </row>
    <row r="222" spans="4:40" hidden="1">
      <c r="D222" s="1">
        <v>45499</v>
      </c>
      <c r="E222">
        <v>-47472</v>
      </c>
      <c r="F222">
        <v>42100</v>
      </c>
      <c r="G222">
        <v>-4417412500</v>
      </c>
      <c r="H222">
        <v>2513840000</v>
      </c>
      <c r="I222">
        <v>361019020000</v>
      </c>
      <c r="J222">
        <v>0</v>
      </c>
      <c r="K222" s="1">
        <v>45499</v>
      </c>
      <c r="L222">
        <v>2731.9</v>
      </c>
      <c r="M222">
        <v>797.56</v>
      </c>
      <c r="N222">
        <v>516467</v>
      </c>
      <c r="O222">
        <v>375.95</v>
      </c>
      <c r="P222">
        <v>105.66</v>
      </c>
      <c r="Q222" s="1">
        <v>45502</v>
      </c>
      <c r="R222">
        <v>2.9780000000000002</v>
      </c>
      <c r="S222">
        <v>2.99</v>
      </c>
      <c r="T222">
        <v>3.0459999999999998</v>
      </c>
      <c r="U222">
        <v>3.4340000000000002</v>
      </c>
      <c r="V222">
        <v>3.5</v>
      </c>
      <c r="W222">
        <f t="shared" si="1"/>
        <v>45499</v>
      </c>
      <c r="X222">
        <f>IF($X$99=TRUE,SUM(E222:E$350),"")</f>
        <v>20209202</v>
      </c>
      <c r="Y222">
        <f>IF($Y$99=TRUE,SUM(F222:F$350),"")</f>
        <v>1222119</v>
      </c>
      <c r="Z222">
        <f>IF($Z$99=TRUE,SUM(G222:G$350)/1000000,"")</f>
        <v>4480850.3499999996</v>
      </c>
      <c r="AA222">
        <f>IF($AA$99=TRUE,SUM(H222:H$350)/1000000,"")</f>
        <v>7812042.1900000004</v>
      </c>
      <c r="AB222">
        <f>IF($AB$99=TRUE,SUM(AH222:AH$350)/1000,"")</f>
        <v>25671731.221999999</v>
      </c>
      <c r="AD222" s="1">
        <v>45499</v>
      </c>
      <c r="AE222">
        <v>375.95</v>
      </c>
      <c r="AF222">
        <v>105.66</v>
      </c>
      <c r="AG222" s="1">
        <v>45502</v>
      </c>
      <c r="AH222">
        <v>151230058</v>
      </c>
      <c r="AI222" s="1">
        <v>45567</v>
      </c>
      <c r="AJ222">
        <v>5433.125</v>
      </c>
      <c r="AK222">
        <v>74.338999999999999</v>
      </c>
      <c r="AL222">
        <v>4006.3409999999999</v>
      </c>
      <c r="AM222">
        <v>1307.527</v>
      </c>
      <c r="AN222">
        <v>1148.383</v>
      </c>
    </row>
    <row r="223" spans="4:40" hidden="1">
      <c r="D223" s="1">
        <v>45498</v>
      </c>
      <c r="E223">
        <v>-678522</v>
      </c>
      <c r="F223">
        <v>-139522</v>
      </c>
      <c r="G223">
        <v>-903304350000</v>
      </c>
      <c r="H223">
        <v>481568950000</v>
      </c>
      <c r="I223">
        <v>-1098844910000</v>
      </c>
      <c r="J223">
        <v>0</v>
      </c>
      <c r="K223" s="1">
        <v>45498</v>
      </c>
      <c r="L223">
        <v>2710.65</v>
      </c>
      <c r="M223">
        <v>797.29</v>
      </c>
      <c r="N223">
        <v>440318</v>
      </c>
      <c r="O223">
        <v>374.35</v>
      </c>
      <c r="P223">
        <v>105.65</v>
      </c>
      <c r="Q223" s="1">
        <v>45499</v>
      </c>
      <c r="R223">
        <v>3.024</v>
      </c>
      <c r="S223">
        <v>3.0449999999999999</v>
      </c>
      <c r="T223">
        <v>3.1080000000000001</v>
      </c>
      <c r="U223">
        <v>3.4820000000000002</v>
      </c>
      <c r="V223">
        <v>3.5</v>
      </c>
      <c r="W223">
        <f t="shared" si="1"/>
        <v>45498</v>
      </c>
      <c r="X223">
        <f>IF($X$99=TRUE,SUM(E223:E$350),"")</f>
        <v>20256674</v>
      </c>
      <c r="Y223">
        <f>IF($Y$99=TRUE,SUM(F223:F$350),"")</f>
        <v>1180019</v>
      </c>
      <c r="Z223">
        <f>IF($Z$99=TRUE,SUM(G223:G$350)/1000000,"")</f>
        <v>4485267.7625000002</v>
      </c>
      <c r="AA223">
        <f>IF($AA$99=TRUE,SUM(H223:H$350)/1000000,"")</f>
        <v>7809528.3499999996</v>
      </c>
      <c r="AB223">
        <f>IF($AB$99=TRUE,SUM(AH223:AH$350)/1000,"")</f>
        <v>25520501.164000001</v>
      </c>
      <c r="AD223" s="1">
        <v>45498</v>
      </c>
      <c r="AE223">
        <v>374.35</v>
      </c>
      <c r="AF223">
        <v>105.65</v>
      </c>
      <c r="AG223" s="1">
        <v>45499</v>
      </c>
      <c r="AH223">
        <v>499768525</v>
      </c>
      <c r="AI223" s="1">
        <v>45566</v>
      </c>
      <c r="AJ223">
        <v>5432.2759999999998</v>
      </c>
      <c r="AK223">
        <v>70.225999999999999</v>
      </c>
      <c r="AL223">
        <v>4142.7489999999998</v>
      </c>
      <c r="AM223">
        <v>1308.624</v>
      </c>
      <c r="AN223">
        <v>1148.383</v>
      </c>
    </row>
    <row r="224" spans="4:40" hidden="1">
      <c r="D224" s="1">
        <v>45497</v>
      </c>
      <c r="E224">
        <v>-265379</v>
      </c>
      <c r="F224">
        <v>-32046</v>
      </c>
      <c r="G224">
        <v>138163337500</v>
      </c>
      <c r="H224">
        <v>561666440000</v>
      </c>
      <c r="I224">
        <v>439055740000</v>
      </c>
      <c r="J224">
        <v>0</v>
      </c>
      <c r="K224" s="1">
        <v>45497</v>
      </c>
      <c r="L224">
        <v>2758.71</v>
      </c>
      <c r="M224">
        <v>814.25</v>
      </c>
      <c r="N224">
        <v>469221</v>
      </c>
      <c r="O224">
        <v>380.95</v>
      </c>
      <c r="P224">
        <v>105.59</v>
      </c>
      <c r="Q224" s="1">
        <v>45498</v>
      </c>
      <c r="R224">
        <v>3.024</v>
      </c>
      <c r="S224">
        <v>3.0590000000000002</v>
      </c>
      <c r="T224">
        <v>3.1280000000000001</v>
      </c>
      <c r="U224">
        <v>3.484</v>
      </c>
      <c r="V224">
        <v>3.51</v>
      </c>
      <c r="W224">
        <f t="shared" si="1"/>
        <v>45497</v>
      </c>
      <c r="X224">
        <f>IF($X$99=TRUE,SUM(E224:E$350),"")</f>
        <v>20935196</v>
      </c>
      <c r="Y224">
        <f>IF($Y$99=TRUE,SUM(F224:F$350),"")</f>
        <v>1319541</v>
      </c>
      <c r="Z224">
        <f>IF($Z$99=TRUE,SUM(G224:G$350)/1000000,"")</f>
        <v>5388572.1124999998</v>
      </c>
      <c r="AA224">
        <f>IF($AA$99=TRUE,SUM(H224:H$350)/1000000,"")</f>
        <v>7327959.4000000004</v>
      </c>
      <c r="AB224">
        <f>IF($AB$99=TRUE,SUM(AH224:AH$350)/1000,"")</f>
        <v>25020732.638999999</v>
      </c>
      <c r="AD224" s="1">
        <v>45497</v>
      </c>
      <c r="AE224">
        <v>380.95</v>
      </c>
      <c r="AF224">
        <v>105.59</v>
      </c>
      <c r="AG224" s="1">
        <v>45498</v>
      </c>
      <c r="AH224">
        <v>299035613</v>
      </c>
      <c r="AI224" s="1">
        <v>45565</v>
      </c>
      <c r="AJ224">
        <v>5482.5159999999996</v>
      </c>
      <c r="AK224">
        <v>69.965000000000003</v>
      </c>
      <c r="AL224">
        <v>4083.3029999999999</v>
      </c>
      <c r="AM224">
        <v>1313.991</v>
      </c>
      <c r="AN224">
        <v>1148.3109999999999</v>
      </c>
    </row>
    <row r="225" spans="4:40" hidden="1">
      <c r="D225" s="1">
        <v>45496</v>
      </c>
      <c r="E225">
        <v>250172</v>
      </c>
      <c r="F225">
        <v>122235</v>
      </c>
      <c r="G225">
        <v>-260472575000</v>
      </c>
      <c r="H225">
        <v>-440271590000</v>
      </c>
      <c r="I225">
        <v>-75324780000</v>
      </c>
      <c r="J225">
        <v>0</v>
      </c>
      <c r="K225" s="1">
        <v>45496</v>
      </c>
      <c r="L225">
        <v>2774.29</v>
      </c>
      <c r="M225">
        <v>812.12</v>
      </c>
      <c r="N225">
        <v>423403</v>
      </c>
      <c r="O225">
        <v>383.2</v>
      </c>
      <c r="P225">
        <v>105.47</v>
      </c>
      <c r="Q225" s="1">
        <v>45497</v>
      </c>
      <c r="R225">
        <v>3.0459999999999998</v>
      </c>
      <c r="S225">
        <v>3.073</v>
      </c>
      <c r="T225">
        <v>3.1309999999999998</v>
      </c>
      <c r="U225">
        <v>3.5089999999999999</v>
      </c>
      <c r="V225">
        <v>3.51</v>
      </c>
      <c r="W225">
        <f t="shared" si="1"/>
        <v>45496</v>
      </c>
      <c r="X225">
        <f>IF($X$99=TRUE,SUM(E225:E$350),"")</f>
        <v>21200575</v>
      </c>
      <c r="Y225">
        <f>IF($Y$99=TRUE,SUM(F225:F$350),"")</f>
        <v>1351587</v>
      </c>
      <c r="Z225">
        <f>IF($Z$99=TRUE,SUM(G225:G$350)/1000000,"")</f>
        <v>5250408.7750000004</v>
      </c>
      <c r="AA225">
        <f>IF($AA$99=TRUE,SUM(H225:H$350)/1000000,"")</f>
        <v>6766292.96</v>
      </c>
      <c r="AB225">
        <f>IF($AB$99=TRUE,SUM(AH225:AH$350)/1000,"")</f>
        <v>24721697.026000001</v>
      </c>
      <c r="AD225" s="1">
        <v>45496</v>
      </c>
      <c r="AE225">
        <v>383.2</v>
      </c>
      <c r="AF225">
        <v>105.47</v>
      </c>
      <c r="AG225" s="1">
        <v>45497</v>
      </c>
      <c r="AH225">
        <v>343834116</v>
      </c>
      <c r="AI225" s="1">
        <v>45564</v>
      </c>
      <c r="AJ225">
        <v>5460.759</v>
      </c>
      <c r="AK225">
        <v>67.299000000000007</v>
      </c>
      <c r="AL225">
        <v>4251.8050000000003</v>
      </c>
      <c r="AM225">
        <v>1325.9469999999999</v>
      </c>
      <c r="AN225">
        <v>1164.239</v>
      </c>
    </row>
    <row r="226" spans="4:40" hidden="1">
      <c r="D226" s="1">
        <v>45495</v>
      </c>
      <c r="E226">
        <v>-84459</v>
      </c>
      <c r="F226">
        <v>-180878</v>
      </c>
      <c r="G226">
        <v>-210919912500</v>
      </c>
      <c r="H226">
        <v>573985810000</v>
      </c>
      <c r="I226">
        <v>-209913520000</v>
      </c>
      <c r="J226">
        <v>0</v>
      </c>
      <c r="K226" s="1">
        <v>45495</v>
      </c>
      <c r="L226">
        <v>2763.51</v>
      </c>
      <c r="M226">
        <v>809.96</v>
      </c>
      <c r="N226">
        <v>463878</v>
      </c>
      <c r="O226">
        <v>382.2</v>
      </c>
      <c r="P226">
        <v>105.53</v>
      </c>
      <c r="Q226" s="1">
        <v>45496</v>
      </c>
      <c r="R226">
        <v>3.0840000000000001</v>
      </c>
      <c r="S226">
        <v>3.11</v>
      </c>
      <c r="T226">
        <v>3.1709999999999998</v>
      </c>
      <c r="U226">
        <v>3.5329999999999999</v>
      </c>
      <c r="V226">
        <v>3.52</v>
      </c>
      <c r="W226">
        <f t="shared" si="1"/>
        <v>45495</v>
      </c>
      <c r="X226">
        <f>IF($X$99=TRUE,SUM(E226:E$350),"")</f>
        <v>20950403</v>
      </c>
      <c r="Y226">
        <f>IF($Y$99=TRUE,SUM(F226:F$350),"")</f>
        <v>1229352</v>
      </c>
      <c r="Z226">
        <f>IF($Z$99=TRUE,SUM(G226:G$350)/1000000,"")</f>
        <v>5510881.3499999996</v>
      </c>
      <c r="AA226">
        <f>IF($AA$99=TRUE,SUM(H226:H$350)/1000000,"")</f>
        <v>7206564.5499999998</v>
      </c>
      <c r="AB226">
        <f>IF($AB$99=TRUE,SUM(AH226:AH$350)/1000,"")</f>
        <v>24377862.91</v>
      </c>
      <c r="AD226" s="1">
        <v>45495</v>
      </c>
      <c r="AE226">
        <v>382.2</v>
      </c>
      <c r="AF226">
        <v>105.53</v>
      </c>
      <c r="AG226" s="1">
        <v>45496</v>
      </c>
      <c r="AH226">
        <v>131782960</v>
      </c>
      <c r="AI226" s="1">
        <v>45563</v>
      </c>
      <c r="AJ226">
        <v>5460.759</v>
      </c>
      <c r="AK226">
        <v>67.299000000000007</v>
      </c>
      <c r="AL226">
        <v>4251.8050000000003</v>
      </c>
      <c r="AM226">
        <v>1325.9469999999999</v>
      </c>
      <c r="AN226">
        <v>1164.239</v>
      </c>
    </row>
    <row r="227" spans="4:40" hidden="1">
      <c r="D227" s="1">
        <v>45492</v>
      </c>
      <c r="E227">
        <v>-422893</v>
      </c>
      <c r="F227">
        <v>-31177</v>
      </c>
      <c r="G227">
        <v>-1050439487500</v>
      </c>
      <c r="H227">
        <v>226819700000</v>
      </c>
      <c r="I227">
        <v>135166780000</v>
      </c>
      <c r="J227">
        <v>0</v>
      </c>
      <c r="K227" s="1">
        <v>45492</v>
      </c>
      <c r="L227">
        <v>2795.46</v>
      </c>
      <c r="M227">
        <v>828.72</v>
      </c>
      <c r="N227">
        <v>426208</v>
      </c>
      <c r="O227">
        <v>386</v>
      </c>
      <c r="P227">
        <v>105.5</v>
      </c>
      <c r="Q227" s="1">
        <v>45495</v>
      </c>
      <c r="R227">
        <v>3.0710000000000002</v>
      </c>
      <c r="S227">
        <v>3.0910000000000002</v>
      </c>
      <c r="T227">
        <v>3.145</v>
      </c>
      <c r="U227">
        <v>3.5219999999999998</v>
      </c>
      <c r="V227">
        <v>3.52</v>
      </c>
      <c r="W227">
        <f t="shared" si="1"/>
        <v>45492</v>
      </c>
      <c r="X227">
        <f>IF($X$99=TRUE,SUM(E227:E$350),"")</f>
        <v>21034862</v>
      </c>
      <c r="Y227">
        <f>IF($Y$99=TRUE,SUM(F227:F$350),"")</f>
        <v>1410230</v>
      </c>
      <c r="Z227">
        <f>IF($Z$99=TRUE,SUM(G227:G$350)/1000000,"")</f>
        <v>5721801.2625000002</v>
      </c>
      <c r="AA227">
        <f>IF($AA$99=TRUE,SUM(H227:H$350)/1000000,"")</f>
        <v>6632578.7400000002</v>
      </c>
      <c r="AB227">
        <f>IF($AB$99=TRUE,SUM(AH227:AH$350)/1000,"")</f>
        <v>24246079.949999999</v>
      </c>
      <c r="AD227" s="1">
        <v>45492</v>
      </c>
      <c r="AE227">
        <v>386</v>
      </c>
      <c r="AF227">
        <v>105.5</v>
      </c>
      <c r="AG227" s="1">
        <v>45495</v>
      </c>
      <c r="AH227">
        <v>307766623</v>
      </c>
      <c r="AI227" s="1">
        <v>45562</v>
      </c>
      <c r="AJ227">
        <v>5460.759</v>
      </c>
      <c r="AK227">
        <v>67.299000000000007</v>
      </c>
      <c r="AL227">
        <v>4251.8050000000003</v>
      </c>
      <c r="AM227">
        <v>1325.9469999999999</v>
      </c>
      <c r="AN227">
        <v>1164.239</v>
      </c>
    </row>
    <row r="228" spans="4:40" hidden="1">
      <c r="D228" s="1">
        <v>45491</v>
      </c>
      <c r="E228">
        <v>-349071</v>
      </c>
      <c r="F228">
        <v>82291</v>
      </c>
      <c r="G228">
        <v>-724824225000</v>
      </c>
      <c r="H228">
        <v>424845520000</v>
      </c>
      <c r="I228">
        <v>-31907810000</v>
      </c>
      <c r="J228">
        <v>0</v>
      </c>
      <c r="K228" s="1">
        <v>45491</v>
      </c>
      <c r="L228">
        <v>2824.35</v>
      </c>
      <c r="M228">
        <v>822.48</v>
      </c>
      <c r="N228">
        <v>658374</v>
      </c>
      <c r="O228">
        <v>390.3</v>
      </c>
      <c r="P228">
        <v>105.57</v>
      </c>
      <c r="Q228" s="1">
        <v>45492</v>
      </c>
      <c r="R228">
        <v>3.0739999999999998</v>
      </c>
      <c r="S228">
        <v>3.0990000000000002</v>
      </c>
      <c r="T228">
        <v>3.1560000000000001</v>
      </c>
      <c r="U228">
        <v>3.5249999999999999</v>
      </c>
      <c r="V228">
        <v>3.52</v>
      </c>
      <c r="W228">
        <f t="shared" si="1"/>
        <v>45491</v>
      </c>
      <c r="X228">
        <f>IF($X$99=TRUE,SUM(E228:E$350),"")</f>
        <v>21457755</v>
      </c>
      <c r="Y228">
        <f>IF($Y$99=TRUE,SUM(F228:F$350),"")</f>
        <v>1441407</v>
      </c>
      <c r="Z228">
        <f>IF($Z$99=TRUE,SUM(G228:G$350)/1000000,"")</f>
        <v>6772240.75</v>
      </c>
      <c r="AA228">
        <f>IF($AA$99=TRUE,SUM(H228:H$350)/1000000,"")</f>
        <v>6405759.04</v>
      </c>
      <c r="AB228">
        <f>IF($AB$99=TRUE,SUM(AH228:AH$350)/1000,"")</f>
        <v>23938313.327</v>
      </c>
      <c r="AD228" s="1">
        <v>45491</v>
      </c>
      <c r="AE228">
        <v>390.3</v>
      </c>
      <c r="AF228">
        <v>105.57</v>
      </c>
      <c r="AG228" s="1">
        <v>45492</v>
      </c>
      <c r="AH228">
        <v>159282459</v>
      </c>
      <c r="AI228" s="1">
        <v>45561</v>
      </c>
      <c r="AJ228">
        <v>5467.4229999999998</v>
      </c>
      <c r="AK228">
        <v>64.777000000000001</v>
      </c>
      <c r="AL228">
        <v>4153.5190000000002</v>
      </c>
      <c r="AM228">
        <v>1319.347</v>
      </c>
      <c r="AN228">
        <v>1163.9069999999999</v>
      </c>
    </row>
    <row r="229" spans="4:40" hidden="1">
      <c r="D229" s="1">
        <v>45490</v>
      </c>
      <c r="E229">
        <v>-254235</v>
      </c>
      <c r="F229">
        <v>-22121</v>
      </c>
      <c r="G229">
        <v>50591637500</v>
      </c>
      <c r="H229">
        <v>1049110710000</v>
      </c>
      <c r="I229">
        <v>594795880000</v>
      </c>
      <c r="J229">
        <v>0</v>
      </c>
      <c r="K229" s="1">
        <v>45490</v>
      </c>
      <c r="L229">
        <v>2843.29</v>
      </c>
      <c r="M229">
        <v>829.41</v>
      </c>
      <c r="N229">
        <v>549094</v>
      </c>
      <c r="O229">
        <v>394.2</v>
      </c>
      <c r="P229">
        <v>105.57</v>
      </c>
      <c r="Q229" s="1">
        <v>45491</v>
      </c>
      <c r="R229">
        <v>3.0579999999999998</v>
      </c>
      <c r="S229">
        <v>3.081</v>
      </c>
      <c r="T229">
        <v>3.1379999999999999</v>
      </c>
      <c r="U229">
        <v>3.5129999999999999</v>
      </c>
      <c r="V229">
        <v>3.52</v>
      </c>
      <c r="W229">
        <f t="shared" ref="W229:W292" si="2">D229</f>
        <v>45490</v>
      </c>
      <c r="X229">
        <f>IF($X$99=TRUE,SUM(E229:E$350),"")</f>
        <v>21806826</v>
      </c>
      <c r="Y229">
        <f>IF($Y$99=TRUE,SUM(F229:F$350),"")</f>
        <v>1359116</v>
      </c>
      <c r="Z229">
        <f>IF($Z$99=TRUE,SUM(G229:G$350)/1000000,"")</f>
        <v>7497064.9749999996</v>
      </c>
      <c r="AA229">
        <f>IF($AA$99=TRUE,SUM(H229:H$350)/1000000,"")</f>
        <v>5980913.5199999996</v>
      </c>
      <c r="AB229">
        <f>IF($AB$99=TRUE,SUM(AH229:AH$350)/1000,"")</f>
        <v>23779030.868000001</v>
      </c>
      <c r="AD229" s="1">
        <v>45490</v>
      </c>
      <c r="AE229">
        <v>394.2</v>
      </c>
      <c r="AF229">
        <v>105.57</v>
      </c>
      <c r="AG229" s="1">
        <v>45491</v>
      </c>
      <c r="AH229">
        <v>-35177036</v>
      </c>
      <c r="AI229" s="1">
        <v>45560</v>
      </c>
      <c r="AJ229">
        <v>5445.848</v>
      </c>
      <c r="AK229">
        <v>60.945999999999998</v>
      </c>
      <c r="AL229">
        <v>4056.0430000000001</v>
      </c>
      <c r="AM229">
        <v>1314.8030000000001</v>
      </c>
      <c r="AN229">
        <v>1156.537</v>
      </c>
    </row>
    <row r="230" spans="4:40" hidden="1">
      <c r="D230" s="1">
        <v>45489</v>
      </c>
      <c r="E230">
        <v>189604</v>
      </c>
      <c r="F230">
        <v>-90068</v>
      </c>
      <c r="G230">
        <v>84718825000</v>
      </c>
      <c r="H230">
        <v>422194200000</v>
      </c>
      <c r="I230">
        <v>413697590000</v>
      </c>
      <c r="J230">
        <v>0</v>
      </c>
      <c r="K230" s="1">
        <v>45489</v>
      </c>
      <c r="L230">
        <v>2866.09</v>
      </c>
      <c r="M230">
        <v>839.61</v>
      </c>
      <c r="N230">
        <v>677904</v>
      </c>
      <c r="O230">
        <v>397.2</v>
      </c>
      <c r="P230">
        <v>105.63</v>
      </c>
      <c r="Q230" s="1">
        <v>45490</v>
      </c>
      <c r="R230">
        <v>3.05</v>
      </c>
      <c r="S230">
        <v>3.0720000000000001</v>
      </c>
      <c r="T230">
        <v>3.1389999999999998</v>
      </c>
      <c r="U230">
        <v>3.5089999999999999</v>
      </c>
      <c r="V230">
        <v>3.54</v>
      </c>
      <c r="W230">
        <f t="shared" si="2"/>
        <v>45489</v>
      </c>
      <c r="X230">
        <f>IF($X$99=TRUE,SUM(E230:E$350),"")</f>
        <v>22061061</v>
      </c>
      <c r="Y230">
        <f>IF($Y$99=TRUE,SUM(F230:F$350),"")</f>
        <v>1381237</v>
      </c>
      <c r="Z230">
        <f>IF($Z$99=TRUE,SUM(G230:G$350)/1000000,"")</f>
        <v>7446473.3375000004</v>
      </c>
      <c r="AA230">
        <f>IF($AA$99=TRUE,SUM(H230:H$350)/1000000,"")</f>
        <v>4931802.8099999996</v>
      </c>
      <c r="AB230">
        <f>IF($AB$99=TRUE,SUM(AH230:AH$350)/1000,"")</f>
        <v>23814207.903999999</v>
      </c>
      <c r="AD230" s="1">
        <v>45489</v>
      </c>
      <c r="AE230">
        <v>397.2</v>
      </c>
      <c r="AF230">
        <v>105.63</v>
      </c>
      <c r="AG230" s="1">
        <v>45490</v>
      </c>
      <c r="AH230">
        <v>172990650</v>
      </c>
      <c r="AI230" s="1">
        <v>45559</v>
      </c>
      <c r="AJ230">
        <v>5456.3509999999997</v>
      </c>
      <c r="AK230">
        <v>60.566000000000003</v>
      </c>
      <c r="AL230">
        <v>4087.4780000000001</v>
      </c>
      <c r="AM230">
        <v>1318.576</v>
      </c>
      <c r="AN230">
        <v>1156.3399999999999</v>
      </c>
    </row>
    <row r="231" spans="4:40" hidden="1">
      <c r="D231" s="1">
        <v>45488</v>
      </c>
      <c r="E231">
        <v>-77421</v>
      </c>
      <c r="F231">
        <v>108269</v>
      </c>
      <c r="G231">
        <v>-50136612500</v>
      </c>
      <c r="H231">
        <v>1525211860000</v>
      </c>
      <c r="I231">
        <v>994777250000</v>
      </c>
      <c r="J231">
        <v>0</v>
      </c>
      <c r="K231" s="1">
        <v>45488</v>
      </c>
      <c r="L231">
        <v>2860.92</v>
      </c>
      <c r="M231">
        <v>852.88</v>
      </c>
      <c r="N231">
        <v>424457</v>
      </c>
      <c r="O231">
        <v>397.25</v>
      </c>
      <c r="P231">
        <v>105.53</v>
      </c>
      <c r="Q231" s="1">
        <v>45489</v>
      </c>
      <c r="R231">
        <v>3.0350000000000001</v>
      </c>
      <c r="S231">
        <v>3.0609999999999999</v>
      </c>
      <c r="T231">
        <v>3.137</v>
      </c>
      <c r="U231">
        <v>3.496</v>
      </c>
      <c r="V231">
        <v>3.55</v>
      </c>
      <c r="W231">
        <f t="shared" si="2"/>
        <v>45488</v>
      </c>
      <c r="X231">
        <f>IF($X$99=TRUE,SUM(E231:E$350),"")</f>
        <v>21871457</v>
      </c>
      <c r="Y231">
        <f>IF($Y$99=TRUE,SUM(F231:F$350),"")</f>
        <v>1471305</v>
      </c>
      <c r="Z231">
        <f>IF($Z$99=TRUE,SUM(G231:G$350)/1000000,"")</f>
        <v>7361754.5125000002</v>
      </c>
      <c r="AA231">
        <f>IF($AA$99=TRUE,SUM(H231:H$350)/1000000,"")</f>
        <v>4509608.6100000003</v>
      </c>
      <c r="AB231">
        <f>IF($AB$99=TRUE,SUM(AH231:AH$350)/1000,"")</f>
        <v>23641217.254000001</v>
      </c>
      <c r="AD231" s="1">
        <v>45488</v>
      </c>
      <c r="AE231">
        <v>397.25</v>
      </c>
      <c r="AF231">
        <v>105.53</v>
      </c>
      <c r="AG231" s="1">
        <v>45489</v>
      </c>
      <c r="AH231">
        <v>-128702932</v>
      </c>
      <c r="AI231" s="1">
        <v>45558</v>
      </c>
      <c r="AJ231">
        <v>5442.5730000000003</v>
      </c>
      <c r="AK231">
        <v>57.555999999999997</v>
      </c>
      <c r="AL231">
        <v>4061.5030000000002</v>
      </c>
      <c r="AM231">
        <v>1311.088</v>
      </c>
      <c r="AN231">
        <v>1157.491</v>
      </c>
    </row>
    <row r="232" spans="4:40" hidden="1">
      <c r="D232" s="1">
        <v>45485</v>
      </c>
      <c r="E232">
        <v>-551053</v>
      </c>
      <c r="F232">
        <v>85092</v>
      </c>
      <c r="G232">
        <v>69308650000</v>
      </c>
      <c r="H232">
        <v>673532720000</v>
      </c>
      <c r="I232">
        <v>401469290000</v>
      </c>
      <c r="J232">
        <v>0</v>
      </c>
      <c r="K232" s="1">
        <v>45485</v>
      </c>
      <c r="L232">
        <v>2857</v>
      </c>
      <c r="M232">
        <v>850.37</v>
      </c>
      <c r="N232">
        <v>408178</v>
      </c>
      <c r="O232">
        <v>395.25</v>
      </c>
      <c r="P232">
        <v>105.48</v>
      </c>
      <c r="Q232" s="1">
        <v>45488</v>
      </c>
      <c r="R232">
        <v>3.0760000000000001</v>
      </c>
      <c r="S232">
        <v>3.1030000000000002</v>
      </c>
      <c r="T232">
        <v>3.177</v>
      </c>
      <c r="U232">
        <v>3.5379999999999998</v>
      </c>
      <c r="V232">
        <v>3.54</v>
      </c>
      <c r="W232">
        <f t="shared" si="2"/>
        <v>45485</v>
      </c>
      <c r="X232">
        <f>IF($X$99=TRUE,SUM(E232:E$350),"")</f>
        <v>21948878</v>
      </c>
      <c r="Y232">
        <f>IF($Y$99=TRUE,SUM(F232:F$350),"")</f>
        <v>1363036</v>
      </c>
      <c r="Z232">
        <f>IF($Z$99=TRUE,SUM(G232:G$350)/1000000,"")</f>
        <v>7411891.125</v>
      </c>
      <c r="AA232">
        <f>IF($AA$99=TRUE,SUM(H232:H$350)/1000000,"")</f>
        <v>2984396.75</v>
      </c>
      <c r="AB232">
        <f>IF($AB$99=TRUE,SUM(AH232:AH$350)/1000,"")</f>
        <v>23769920.186000001</v>
      </c>
      <c r="AD232" s="1">
        <v>45485</v>
      </c>
      <c r="AE232">
        <v>395.25</v>
      </c>
      <c r="AF232">
        <v>105.48</v>
      </c>
      <c r="AG232" s="1">
        <v>45488</v>
      </c>
      <c r="AH232">
        <v>251538725</v>
      </c>
      <c r="AI232" s="1">
        <v>45557</v>
      </c>
      <c r="AJ232">
        <v>5427.2089999999998</v>
      </c>
      <c r="AK232">
        <v>57.438000000000002</v>
      </c>
      <c r="AL232">
        <v>4042.1010000000001</v>
      </c>
      <c r="AM232">
        <v>1299.201</v>
      </c>
      <c r="AN232">
        <v>1148.5609999999999</v>
      </c>
    </row>
    <row r="233" spans="4:40" hidden="1">
      <c r="D233" s="1">
        <v>45484</v>
      </c>
      <c r="E233">
        <v>609857</v>
      </c>
      <c r="F233">
        <v>-4675</v>
      </c>
      <c r="G233">
        <v>-177083587500</v>
      </c>
      <c r="H233">
        <v>340552370000</v>
      </c>
      <c r="I233">
        <v>216358250000</v>
      </c>
      <c r="J233">
        <v>6817000000</v>
      </c>
      <c r="K233" s="1">
        <v>45484</v>
      </c>
      <c r="L233">
        <v>2891.35</v>
      </c>
      <c r="M233">
        <v>852.42</v>
      </c>
      <c r="N233">
        <v>462216</v>
      </c>
      <c r="O233">
        <v>400.55</v>
      </c>
      <c r="P233">
        <v>105.27</v>
      </c>
      <c r="Q233" s="1">
        <v>45485</v>
      </c>
      <c r="R233">
        <v>3.101</v>
      </c>
      <c r="S233">
        <v>3.117</v>
      </c>
      <c r="T233">
        <v>3.177</v>
      </c>
      <c r="U233">
        <v>3.552</v>
      </c>
      <c r="V233">
        <v>3.55</v>
      </c>
      <c r="W233">
        <f t="shared" si="2"/>
        <v>45484</v>
      </c>
      <c r="X233">
        <f>IF($X$99=TRUE,SUM(E233:E$350),"")</f>
        <v>22499931</v>
      </c>
      <c r="Y233">
        <f>IF($Y$99=TRUE,SUM(F233:F$350),"")</f>
        <v>1277944</v>
      </c>
      <c r="Z233">
        <f>IF($Z$99=TRUE,SUM(G233:G$350)/1000000,"")</f>
        <v>7342582.4749999996</v>
      </c>
      <c r="AA233">
        <f>IF($AA$99=TRUE,SUM(H233:H$350)/1000000,"")</f>
        <v>2310864.0299999998</v>
      </c>
      <c r="AB233">
        <f>IF($AB$99=TRUE,SUM(AH233:AH$350)/1000,"")</f>
        <v>23518381.460999999</v>
      </c>
      <c r="AD233" s="1">
        <v>45484</v>
      </c>
      <c r="AE233">
        <v>400.55</v>
      </c>
      <c r="AF233">
        <v>105.27</v>
      </c>
      <c r="AG233" s="1">
        <v>45485</v>
      </c>
      <c r="AH233">
        <v>-835514011</v>
      </c>
      <c r="AI233" s="1">
        <v>45556</v>
      </c>
      <c r="AJ233">
        <v>5427.2089999999998</v>
      </c>
      <c r="AK233">
        <v>57.438000000000002</v>
      </c>
      <c r="AL233">
        <v>4042.1010000000001</v>
      </c>
      <c r="AM233">
        <v>1299.201</v>
      </c>
      <c r="AN233">
        <v>1148.5609999999999</v>
      </c>
    </row>
    <row r="234" spans="4:40" hidden="1">
      <c r="D234" s="1">
        <v>45483</v>
      </c>
      <c r="E234">
        <v>527495</v>
      </c>
      <c r="F234">
        <v>-51379</v>
      </c>
      <c r="G234">
        <v>-128455012500</v>
      </c>
      <c r="H234">
        <v>1390497770000</v>
      </c>
      <c r="I234">
        <v>161674870000</v>
      </c>
      <c r="J234">
        <v>0</v>
      </c>
      <c r="K234" s="1">
        <v>45483</v>
      </c>
      <c r="L234">
        <v>2867.99</v>
      </c>
      <c r="M234">
        <v>858.55</v>
      </c>
      <c r="N234">
        <v>472472</v>
      </c>
      <c r="O234">
        <v>398.35</v>
      </c>
      <c r="P234">
        <v>105.41</v>
      </c>
      <c r="Q234" s="1">
        <v>45484</v>
      </c>
      <c r="R234">
        <v>3.1629999999999998</v>
      </c>
      <c r="S234">
        <v>3.1779999999999999</v>
      </c>
      <c r="T234">
        <v>3.234</v>
      </c>
      <c r="U234">
        <v>3.6139999999999999</v>
      </c>
      <c r="V234">
        <v>3.55</v>
      </c>
      <c r="W234">
        <f t="shared" si="2"/>
        <v>45483</v>
      </c>
      <c r="X234">
        <f>IF($X$99=TRUE,SUM(E234:E$350),"")</f>
        <v>21890074</v>
      </c>
      <c r="Y234">
        <f>IF($Y$99=TRUE,SUM(F234:F$350),"")</f>
        <v>1282619</v>
      </c>
      <c r="Z234">
        <f>IF($Z$99=TRUE,SUM(G234:G$350)/1000000,"")</f>
        <v>7519666.0625</v>
      </c>
      <c r="AA234">
        <f>IF($AA$99=TRUE,SUM(H234:H$350)/1000000,"")</f>
        <v>1970311.66</v>
      </c>
      <c r="AB234">
        <f>IF($AB$99=TRUE,SUM(AH234:AH$350)/1000,"")</f>
        <v>24353895.471999999</v>
      </c>
      <c r="AD234" s="1">
        <v>45483</v>
      </c>
      <c r="AE234">
        <v>398.35</v>
      </c>
      <c r="AF234">
        <v>105.41</v>
      </c>
      <c r="AG234" s="1">
        <v>45484</v>
      </c>
      <c r="AH234">
        <v>-102940737</v>
      </c>
      <c r="AI234" s="1">
        <v>45555</v>
      </c>
      <c r="AJ234">
        <v>5427.2089999999998</v>
      </c>
      <c r="AK234">
        <v>57.438000000000002</v>
      </c>
      <c r="AL234">
        <v>4042.1010000000001</v>
      </c>
      <c r="AM234">
        <v>1299.201</v>
      </c>
      <c r="AN234">
        <v>1148.5609999999999</v>
      </c>
    </row>
    <row r="235" spans="4:40" hidden="1">
      <c r="D235" s="1">
        <v>45482</v>
      </c>
      <c r="E235">
        <v>327042</v>
      </c>
      <c r="F235">
        <v>-61603</v>
      </c>
      <c r="G235">
        <v>668636575000</v>
      </c>
      <c r="H235">
        <v>732985320000</v>
      </c>
      <c r="I235">
        <v>994795070000</v>
      </c>
      <c r="J235">
        <v>13672000000</v>
      </c>
      <c r="K235" s="1">
        <v>45482</v>
      </c>
      <c r="L235">
        <v>2867.38</v>
      </c>
      <c r="M235">
        <v>860.42</v>
      </c>
      <c r="N235">
        <v>456429</v>
      </c>
      <c r="O235">
        <v>398.05</v>
      </c>
      <c r="P235">
        <v>105.39</v>
      </c>
      <c r="Q235" s="1">
        <v>45483</v>
      </c>
      <c r="R235">
        <v>3.12</v>
      </c>
      <c r="S235">
        <v>3.1309999999999998</v>
      </c>
      <c r="T235">
        <v>3.198</v>
      </c>
      <c r="U235">
        <v>3.5760000000000001</v>
      </c>
      <c r="V235">
        <v>3.55</v>
      </c>
      <c r="W235">
        <f t="shared" si="2"/>
        <v>45482</v>
      </c>
      <c r="X235">
        <f>IF($X$99=TRUE,SUM(E235:E$350),"")</f>
        <v>21362579</v>
      </c>
      <c r="Y235">
        <f>IF($Y$99=TRUE,SUM(F235:F$350),"")</f>
        <v>1333998</v>
      </c>
      <c r="Z235">
        <f>IF($Z$99=TRUE,SUM(G235:G$350)/1000000,"")</f>
        <v>7648121.0750000002</v>
      </c>
      <c r="AA235">
        <f>IF($AA$99=TRUE,SUM(H235:H$350)/1000000,"")</f>
        <v>579813.89</v>
      </c>
      <c r="AB235">
        <f>IF($AB$99=TRUE,SUM(AH235:AH$350)/1000,"")</f>
        <v>24456836.208999999</v>
      </c>
      <c r="AD235" s="1">
        <v>45482</v>
      </c>
      <c r="AE235">
        <v>398.05</v>
      </c>
      <c r="AF235">
        <v>105.39</v>
      </c>
      <c r="AG235" s="1">
        <v>45483</v>
      </c>
      <c r="AH235">
        <v>-49524551</v>
      </c>
      <c r="AI235" s="1">
        <v>45554</v>
      </c>
      <c r="AJ235">
        <v>5437.9089999999997</v>
      </c>
      <c r="AK235">
        <v>56.895000000000003</v>
      </c>
      <c r="AL235">
        <v>4039.53</v>
      </c>
      <c r="AM235">
        <v>1311.6130000000001</v>
      </c>
      <c r="AN235">
        <v>1129.579</v>
      </c>
    </row>
    <row r="236" spans="4:40" hidden="1">
      <c r="D236" s="1">
        <v>45481</v>
      </c>
      <c r="E236">
        <v>529788</v>
      </c>
      <c r="F236">
        <v>79177</v>
      </c>
      <c r="G236">
        <v>320916737500</v>
      </c>
      <c r="H236">
        <v>1230332950000</v>
      </c>
      <c r="I236">
        <v>793154940000</v>
      </c>
      <c r="J236">
        <v>0</v>
      </c>
      <c r="K236" s="1">
        <v>45481</v>
      </c>
      <c r="L236">
        <v>2857.76</v>
      </c>
      <c r="M236">
        <v>859.27</v>
      </c>
      <c r="N236">
        <v>425055</v>
      </c>
      <c r="O236">
        <v>396.7</v>
      </c>
      <c r="P236">
        <v>105.39</v>
      </c>
      <c r="Q236" s="1">
        <v>45482</v>
      </c>
      <c r="R236">
        <v>3.1139999999999999</v>
      </c>
      <c r="S236">
        <v>3.1320000000000001</v>
      </c>
      <c r="T236">
        <v>3.1909999999999998</v>
      </c>
      <c r="U236">
        <v>3.5720000000000001</v>
      </c>
      <c r="V236">
        <v>3.56</v>
      </c>
      <c r="W236">
        <f t="shared" si="2"/>
        <v>45481</v>
      </c>
      <c r="X236">
        <f>IF($X$99=TRUE,SUM(E236:E$350),"")</f>
        <v>21035537</v>
      </c>
      <c r="Y236">
        <f>IF($Y$99=TRUE,SUM(F236:F$350),"")</f>
        <v>1395601</v>
      </c>
      <c r="Z236">
        <f>IF($Z$99=TRUE,SUM(G236:G$350)/1000000,"")</f>
        <v>6979484.5</v>
      </c>
      <c r="AA236">
        <f>IF($AA$99=TRUE,SUM(H236:H$350)/1000000,"")</f>
        <v>-153171.43</v>
      </c>
      <c r="AB236">
        <f>IF($AB$99=TRUE,SUM(AH236:AH$350)/1000,"")</f>
        <v>24506360.760000002</v>
      </c>
      <c r="AD236" s="1">
        <v>45481</v>
      </c>
      <c r="AE236">
        <v>396.7</v>
      </c>
      <c r="AF236">
        <v>105.39</v>
      </c>
      <c r="AG236" s="1">
        <v>45482</v>
      </c>
      <c r="AH236">
        <v>169092134</v>
      </c>
      <c r="AI236" s="1">
        <v>45553</v>
      </c>
      <c r="AJ236">
        <v>5345.817</v>
      </c>
      <c r="AK236">
        <v>55.688000000000002</v>
      </c>
      <c r="AL236">
        <v>3975.8890000000001</v>
      </c>
      <c r="AM236">
        <v>1296.385</v>
      </c>
      <c r="AN236">
        <v>1129.664</v>
      </c>
    </row>
    <row r="237" spans="4:40" hidden="1">
      <c r="D237" s="1">
        <v>45478</v>
      </c>
      <c r="E237">
        <v>1308637</v>
      </c>
      <c r="F237">
        <v>51304</v>
      </c>
      <c r="G237">
        <v>957146300000</v>
      </c>
      <c r="H237">
        <v>390036140000</v>
      </c>
      <c r="I237">
        <v>225475780000</v>
      </c>
      <c r="J237">
        <v>0</v>
      </c>
      <c r="K237" s="1">
        <v>45478</v>
      </c>
      <c r="L237">
        <v>2862.23</v>
      </c>
      <c r="M237">
        <v>847.49</v>
      </c>
      <c r="N237">
        <v>378159</v>
      </c>
      <c r="O237">
        <v>398</v>
      </c>
      <c r="P237">
        <v>105.38</v>
      </c>
      <c r="Q237" s="1">
        <v>45481</v>
      </c>
      <c r="R237">
        <v>3.1190000000000002</v>
      </c>
      <c r="S237">
        <v>3.14</v>
      </c>
      <c r="T237">
        <v>3.2120000000000002</v>
      </c>
      <c r="U237">
        <v>3.58</v>
      </c>
      <c r="V237">
        <v>3.57</v>
      </c>
      <c r="W237">
        <f t="shared" si="2"/>
        <v>45478</v>
      </c>
      <c r="X237">
        <f>IF($X$99=TRUE,SUM(E237:E$350),"")</f>
        <v>20505749</v>
      </c>
      <c r="Y237">
        <f>IF($Y$99=TRUE,SUM(F237:F$350),"")</f>
        <v>1316424</v>
      </c>
      <c r="Z237">
        <f>IF($Z$99=TRUE,SUM(G237:G$350)/1000000,"")</f>
        <v>6658567.7625000002</v>
      </c>
      <c r="AA237">
        <f>IF($AA$99=TRUE,SUM(H237:H$350)/1000000,"")</f>
        <v>-1383504.38</v>
      </c>
      <c r="AB237">
        <f>IF($AB$99=TRUE,SUM(AH237:AH$350)/1000,"")</f>
        <v>24337268.625999998</v>
      </c>
      <c r="AD237" s="1">
        <v>45478</v>
      </c>
      <c r="AE237">
        <v>398</v>
      </c>
      <c r="AF237">
        <v>105.38</v>
      </c>
      <c r="AG237" s="1">
        <v>45481</v>
      </c>
      <c r="AH237">
        <v>263395803</v>
      </c>
      <c r="AI237" s="1">
        <v>45552</v>
      </c>
      <c r="AJ237">
        <v>5360.6760000000004</v>
      </c>
      <c r="AK237">
        <v>55.637</v>
      </c>
      <c r="AL237">
        <v>3970.1570000000002</v>
      </c>
      <c r="AM237">
        <v>1302.7049999999999</v>
      </c>
      <c r="AN237">
        <v>1134.2360000000001</v>
      </c>
    </row>
    <row r="238" spans="4:40" hidden="1">
      <c r="D238" s="1">
        <v>45477</v>
      </c>
      <c r="E238">
        <v>322011</v>
      </c>
      <c r="F238">
        <v>21903</v>
      </c>
      <c r="G238">
        <v>1796483650000</v>
      </c>
      <c r="H238">
        <v>301167730000</v>
      </c>
      <c r="I238">
        <v>349871670000</v>
      </c>
      <c r="J238">
        <v>13417500000</v>
      </c>
      <c r="K238" s="1">
        <v>45477</v>
      </c>
      <c r="L238">
        <v>2824.94</v>
      </c>
      <c r="M238">
        <v>840.81</v>
      </c>
      <c r="N238">
        <v>393738</v>
      </c>
      <c r="O238">
        <v>391.05</v>
      </c>
      <c r="P238">
        <v>105.36</v>
      </c>
      <c r="Q238" s="1">
        <v>45478</v>
      </c>
      <c r="R238">
        <v>3.1150000000000002</v>
      </c>
      <c r="S238">
        <v>3.1589999999999998</v>
      </c>
      <c r="T238">
        <v>3.2269999999999999</v>
      </c>
      <c r="U238">
        <v>3.5819999999999999</v>
      </c>
      <c r="V238">
        <v>3.57</v>
      </c>
      <c r="W238">
        <f t="shared" si="2"/>
        <v>45477</v>
      </c>
      <c r="X238">
        <f>IF($X$99=TRUE,SUM(E238:E$350),"")</f>
        <v>19197112</v>
      </c>
      <c r="Y238">
        <f>IF($Y$99=TRUE,SUM(F238:F$350),"")</f>
        <v>1265120</v>
      </c>
      <c r="Z238">
        <f>IF($Z$99=TRUE,SUM(G238:G$350)/1000000,"")</f>
        <v>5701421.4625000004</v>
      </c>
      <c r="AA238">
        <f>IF($AA$99=TRUE,SUM(H238:H$350)/1000000,"")</f>
        <v>-1773540.52</v>
      </c>
      <c r="AB238">
        <f>IF($AB$99=TRUE,SUM(AH238:AH$350)/1000,"")</f>
        <v>24073872.822999999</v>
      </c>
      <c r="AD238" s="1">
        <v>45477</v>
      </c>
      <c r="AE238">
        <v>391.05</v>
      </c>
      <c r="AF238">
        <v>105.36</v>
      </c>
      <c r="AG238" s="1">
        <v>45478</v>
      </c>
      <c r="AH238">
        <v>167976712</v>
      </c>
      <c r="AI238" s="1">
        <v>45551</v>
      </c>
      <c r="AJ238">
        <v>5359.4179999999997</v>
      </c>
      <c r="AK238">
        <v>55.176000000000002</v>
      </c>
      <c r="AL238">
        <v>4040.7730000000001</v>
      </c>
      <c r="AM238">
        <v>1299.6479999999999</v>
      </c>
      <c r="AN238">
        <v>1131.33</v>
      </c>
    </row>
    <row r="239" spans="4:40" hidden="1">
      <c r="D239" s="1">
        <v>45476</v>
      </c>
      <c r="E239">
        <v>100727</v>
      </c>
      <c r="F239">
        <v>186567</v>
      </c>
      <c r="G239">
        <v>157305562500</v>
      </c>
      <c r="H239">
        <v>206473450000</v>
      </c>
      <c r="I239">
        <v>-327859930000</v>
      </c>
      <c r="J239">
        <v>0</v>
      </c>
      <c r="K239" s="1">
        <v>45476</v>
      </c>
      <c r="L239">
        <v>2794.01</v>
      </c>
      <c r="M239">
        <v>836.1</v>
      </c>
      <c r="N239">
        <v>340338</v>
      </c>
      <c r="O239">
        <v>385.3</v>
      </c>
      <c r="P239">
        <v>105.26</v>
      </c>
      <c r="Q239" s="1">
        <v>45477</v>
      </c>
      <c r="R239">
        <v>3.1280000000000001</v>
      </c>
      <c r="S239">
        <v>3.161</v>
      </c>
      <c r="T239">
        <v>3.234</v>
      </c>
      <c r="U239">
        <v>3.5910000000000002</v>
      </c>
      <c r="V239">
        <v>3.58</v>
      </c>
      <c r="W239">
        <f t="shared" si="2"/>
        <v>45476</v>
      </c>
      <c r="X239">
        <f>IF($X$99=TRUE,SUM(E239:E$350),"")</f>
        <v>18875101</v>
      </c>
      <c r="Y239">
        <f>IF($Y$99=TRUE,SUM(F239:F$350),"")</f>
        <v>1243217</v>
      </c>
      <c r="Z239">
        <f>IF($Z$99=TRUE,SUM(G239:G$350)/1000000,"")</f>
        <v>3904937.8125</v>
      </c>
      <c r="AA239">
        <f>IF($AA$99=TRUE,SUM(H239:H$350)/1000000,"")</f>
        <v>-2074708.25</v>
      </c>
      <c r="AB239">
        <f>IF($AB$99=TRUE,SUM(AH239:AH$350)/1000,"")</f>
        <v>23905896.111000001</v>
      </c>
      <c r="AD239" s="1">
        <v>45476</v>
      </c>
      <c r="AE239">
        <v>385.3</v>
      </c>
      <c r="AF239">
        <v>105.26</v>
      </c>
      <c r="AG239" s="1">
        <v>45477</v>
      </c>
      <c r="AH239">
        <v>56667257</v>
      </c>
      <c r="AI239" s="1">
        <v>45550</v>
      </c>
      <c r="AJ239">
        <v>5352.0209999999997</v>
      </c>
      <c r="AK239">
        <v>54.936999999999998</v>
      </c>
      <c r="AL239">
        <v>4034.596</v>
      </c>
      <c r="AM239">
        <v>1294.473</v>
      </c>
      <c r="AN239">
        <v>1129.4480000000001</v>
      </c>
    </row>
    <row r="240" spans="4:40" hidden="1">
      <c r="D240" s="1">
        <v>45475</v>
      </c>
      <c r="E240">
        <v>-30116</v>
      </c>
      <c r="F240">
        <v>-104881</v>
      </c>
      <c r="G240">
        <v>-777727300000</v>
      </c>
      <c r="H240">
        <v>194090550000</v>
      </c>
      <c r="I240">
        <v>-675672540000</v>
      </c>
      <c r="J240">
        <v>0</v>
      </c>
      <c r="K240" s="1">
        <v>45475</v>
      </c>
      <c r="L240">
        <v>2780.86</v>
      </c>
      <c r="M240">
        <v>829.91</v>
      </c>
      <c r="N240">
        <v>538842</v>
      </c>
      <c r="O240">
        <v>383.5</v>
      </c>
      <c r="P240">
        <v>105.26</v>
      </c>
      <c r="Q240" s="1">
        <v>45476</v>
      </c>
      <c r="R240">
        <v>3.16</v>
      </c>
      <c r="S240">
        <v>3.1880000000000002</v>
      </c>
      <c r="T240">
        <v>3.274</v>
      </c>
      <c r="U240">
        <v>3.6240000000000001</v>
      </c>
      <c r="V240">
        <v>3.58</v>
      </c>
      <c r="W240">
        <f t="shared" si="2"/>
        <v>45475</v>
      </c>
      <c r="X240">
        <f>IF($X$99=TRUE,SUM(E240:E$350),"")</f>
        <v>18774374</v>
      </c>
      <c r="Y240">
        <f>IF($Y$99=TRUE,SUM(F240:F$350),"")</f>
        <v>1056650</v>
      </c>
      <c r="Z240">
        <f>IF($Z$99=TRUE,SUM(G240:G$350)/1000000,"")</f>
        <v>3747632.25</v>
      </c>
      <c r="AA240">
        <f>IF($AA$99=TRUE,SUM(H240:H$350)/1000000,"")</f>
        <v>-2281181.7000000002</v>
      </c>
      <c r="AB240">
        <f>IF($AB$99=TRUE,SUM(AH240:AH$350)/1000,"")</f>
        <v>23849228.853999998</v>
      </c>
      <c r="AD240" s="1">
        <v>45475</v>
      </c>
      <c r="AE240">
        <v>383.5</v>
      </c>
      <c r="AF240">
        <v>105.26</v>
      </c>
      <c r="AG240" s="1">
        <v>45476</v>
      </c>
      <c r="AH240">
        <v>214957651</v>
      </c>
      <c r="AI240" s="1">
        <v>45549</v>
      </c>
      <c r="AJ240">
        <v>5352.0209999999997</v>
      </c>
      <c r="AK240">
        <v>54.936999999999998</v>
      </c>
      <c r="AL240">
        <v>4034.596</v>
      </c>
      <c r="AM240">
        <v>1294.473</v>
      </c>
      <c r="AN240">
        <v>1129.4480000000001</v>
      </c>
    </row>
    <row r="241" spans="4:40" hidden="1">
      <c r="D241" s="1">
        <v>45474</v>
      </c>
      <c r="E241">
        <v>-64175</v>
      </c>
      <c r="F241">
        <v>10365</v>
      </c>
      <c r="G241">
        <v>187832737500</v>
      </c>
      <c r="H241">
        <v>145623050000</v>
      </c>
      <c r="I241">
        <v>-83842900000</v>
      </c>
      <c r="J241">
        <v>0</v>
      </c>
      <c r="K241" s="1">
        <v>45474</v>
      </c>
      <c r="L241">
        <v>2804.31</v>
      </c>
      <c r="M241">
        <v>847.15</v>
      </c>
      <c r="N241">
        <v>459218</v>
      </c>
      <c r="O241">
        <v>386.7</v>
      </c>
      <c r="P241">
        <v>105.11</v>
      </c>
      <c r="Q241" s="1">
        <v>45475</v>
      </c>
      <c r="R241">
        <v>3.169</v>
      </c>
      <c r="S241">
        <v>3.2040000000000002</v>
      </c>
      <c r="T241">
        <v>3.2890000000000001</v>
      </c>
      <c r="U241">
        <v>3.6339999999999999</v>
      </c>
      <c r="V241">
        <v>3.6</v>
      </c>
      <c r="W241">
        <f t="shared" si="2"/>
        <v>45474</v>
      </c>
      <c r="X241">
        <f>IF($X$99=TRUE,SUM(E241:E$350),"")</f>
        <v>18804490</v>
      </c>
      <c r="Y241">
        <f>IF($Y$99=TRUE,SUM(F241:F$350),"")</f>
        <v>1161531</v>
      </c>
      <c r="Z241">
        <f>IF($Z$99=TRUE,SUM(G241:G$350)/1000000,"")</f>
        <v>4525359.55</v>
      </c>
      <c r="AA241">
        <f>IF($AA$99=TRUE,SUM(H241:H$350)/1000000,"")</f>
        <v>-2475272.25</v>
      </c>
      <c r="AB241">
        <f>IF($AB$99=TRUE,SUM(AH241:AH$350)/1000,"")</f>
        <v>23634271.203000002</v>
      </c>
      <c r="AD241" s="1">
        <v>45474</v>
      </c>
      <c r="AE241">
        <v>386.7</v>
      </c>
      <c r="AF241">
        <v>105.11</v>
      </c>
      <c r="AG241" s="1">
        <v>45475</v>
      </c>
      <c r="AH241">
        <v>-7092539</v>
      </c>
      <c r="AI241" s="1">
        <v>45548</v>
      </c>
      <c r="AJ241">
        <v>5352.0209999999997</v>
      </c>
      <c r="AK241">
        <v>54.936999999999998</v>
      </c>
      <c r="AL241">
        <v>4034.596</v>
      </c>
      <c r="AM241">
        <v>1294.473</v>
      </c>
      <c r="AN241">
        <v>1129.4480000000001</v>
      </c>
    </row>
    <row r="242" spans="4:40" hidden="1">
      <c r="D242" s="1">
        <v>45471</v>
      </c>
      <c r="E242">
        <v>29511</v>
      </c>
      <c r="F242">
        <v>56452</v>
      </c>
      <c r="G242">
        <v>-63885025000</v>
      </c>
      <c r="H242">
        <v>17118560000</v>
      </c>
      <c r="I242">
        <v>-474410290000</v>
      </c>
      <c r="J242">
        <v>0</v>
      </c>
      <c r="K242" s="1">
        <v>45471</v>
      </c>
      <c r="L242">
        <v>2797.82</v>
      </c>
      <c r="M242">
        <v>840.44</v>
      </c>
      <c r="N242">
        <v>610550</v>
      </c>
      <c r="O242">
        <v>386.35</v>
      </c>
      <c r="P242">
        <v>105.2</v>
      </c>
      <c r="Q242" s="1">
        <v>45474</v>
      </c>
      <c r="R242">
        <v>3.21</v>
      </c>
      <c r="S242">
        <v>3.24</v>
      </c>
      <c r="T242">
        <v>3.3119999999999998</v>
      </c>
      <c r="U242">
        <v>3.681</v>
      </c>
      <c r="V242">
        <v>3.6</v>
      </c>
      <c r="W242">
        <f t="shared" si="2"/>
        <v>45471</v>
      </c>
      <c r="X242">
        <f>IF($X$99=TRUE,SUM(E242:E$350),"")</f>
        <v>18868665</v>
      </c>
      <c r="Y242">
        <f>IF($Y$99=TRUE,SUM(F242:F$350),"")</f>
        <v>1151166</v>
      </c>
      <c r="Z242">
        <f>IF($Z$99=TRUE,SUM(G242:G$350)/1000000,"")</f>
        <v>4337526.8125</v>
      </c>
      <c r="AA242">
        <f>IF($AA$99=TRUE,SUM(H242:H$350)/1000000,"")</f>
        <v>-2620895.2999999998</v>
      </c>
      <c r="AB242">
        <f>IF($AB$99=TRUE,SUM(AH242:AH$350)/1000,"")</f>
        <v>23641363.741999999</v>
      </c>
      <c r="AD242" s="1">
        <v>45471</v>
      </c>
      <c r="AE242">
        <v>386.35</v>
      </c>
      <c r="AF242">
        <v>105.2</v>
      </c>
      <c r="AG242" s="1">
        <v>45474</v>
      </c>
      <c r="AH242">
        <v>752064822</v>
      </c>
      <c r="AI242" s="1">
        <v>45547</v>
      </c>
      <c r="AJ242">
        <v>5322.2740000000003</v>
      </c>
      <c r="AK242">
        <v>54.679000000000002</v>
      </c>
      <c r="AL242">
        <v>4015.9380000000001</v>
      </c>
      <c r="AM242">
        <v>1282.7660000000001</v>
      </c>
      <c r="AN242">
        <v>1129.2560000000001</v>
      </c>
    </row>
    <row r="243" spans="4:40" hidden="1">
      <c r="D243" s="1">
        <v>45470</v>
      </c>
      <c r="E243">
        <v>515565</v>
      </c>
      <c r="F243">
        <v>-51101</v>
      </c>
      <c r="G243">
        <v>-381515237500</v>
      </c>
      <c r="H243">
        <v>-271953270000</v>
      </c>
      <c r="I243">
        <v>-752947910000</v>
      </c>
      <c r="J243">
        <v>2677200000</v>
      </c>
      <c r="K243" s="1">
        <v>45470</v>
      </c>
      <c r="L243">
        <v>2784.06</v>
      </c>
      <c r="M243">
        <v>838.65</v>
      </c>
      <c r="N243">
        <v>397169</v>
      </c>
      <c r="O243">
        <v>383.8</v>
      </c>
      <c r="P243">
        <v>105.09</v>
      </c>
      <c r="Q243" s="1">
        <v>45471</v>
      </c>
      <c r="R243">
        <v>3.1819999999999999</v>
      </c>
      <c r="S243">
        <v>3.2040000000000002</v>
      </c>
      <c r="T243">
        <v>3.266</v>
      </c>
      <c r="U243">
        <v>3.6579999999999999</v>
      </c>
      <c r="V243">
        <v>3.6</v>
      </c>
      <c r="W243">
        <f t="shared" si="2"/>
        <v>45470</v>
      </c>
      <c r="X243">
        <f>IF($X$99=TRUE,SUM(E243:E$350),"")</f>
        <v>18839154</v>
      </c>
      <c r="Y243">
        <f>IF($Y$99=TRUE,SUM(F243:F$350),"")</f>
        <v>1094714</v>
      </c>
      <c r="Z243">
        <f>IF($Z$99=TRUE,SUM(G243:G$350)/1000000,"")</f>
        <v>4401411.8375000004</v>
      </c>
      <c r="AA243">
        <f>IF($AA$99=TRUE,SUM(H243:H$350)/1000000,"")</f>
        <v>-2638013.86</v>
      </c>
      <c r="AB243">
        <f>IF($AB$99=TRUE,SUM(AH243:AH$350)/1000,"")</f>
        <v>22889298.920000002</v>
      </c>
      <c r="AD243" s="1">
        <v>45470</v>
      </c>
      <c r="AE243">
        <v>383.8</v>
      </c>
      <c r="AF243">
        <v>105.09</v>
      </c>
      <c r="AG243" s="1">
        <v>45471</v>
      </c>
      <c r="AH243">
        <v>268806122</v>
      </c>
      <c r="AI243" s="1">
        <v>45546</v>
      </c>
      <c r="AJ243">
        <v>5281.6419999999998</v>
      </c>
      <c r="AK243">
        <v>54.406999999999996</v>
      </c>
      <c r="AL243">
        <v>3943.241</v>
      </c>
      <c r="AM243">
        <v>1269.7560000000001</v>
      </c>
      <c r="AN243">
        <v>1109.354</v>
      </c>
    </row>
    <row r="244" spans="4:40" hidden="1">
      <c r="D244" s="1">
        <v>45469</v>
      </c>
      <c r="E244">
        <v>433497</v>
      </c>
      <c r="F244">
        <v>-111770</v>
      </c>
      <c r="G244">
        <v>-184466450000</v>
      </c>
      <c r="H244">
        <v>173905320000</v>
      </c>
      <c r="I244">
        <v>495738610000</v>
      </c>
      <c r="J244">
        <v>0</v>
      </c>
      <c r="K244" s="1">
        <v>45469</v>
      </c>
      <c r="L244">
        <v>2792.05</v>
      </c>
      <c r="M244">
        <v>842.12</v>
      </c>
      <c r="N244">
        <v>535034</v>
      </c>
      <c r="O244">
        <v>384.75</v>
      </c>
      <c r="P244">
        <v>105.14</v>
      </c>
      <c r="Q244" s="1">
        <v>45470</v>
      </c>
      <c r="R244">
        <v>3.22</v>
      </c>
      <c r="S244">
        <v>3.2410000000000001</v>
      </c>
      <c r="T244">
        <v>3.3</v>
      </c>
      <c r="U244">
        <v>3.6840000000000002</v>
      </c>
      <c r="V244">
        <v>3.6</v>
      </c>
      <c r="W244">
        <f t="shared" si="2"/>
        <v>45469</v>
      </c>
      <c r="X244">
        <f>IF($X$99=TRUE,SUM(E244:E$350),"")</f>
        <v>18323589</v>
      </c>
      <c r="Y244">
        <f>IF($Y$99=TRUE,SUM(F244:F$350),"")</f>
        <v>1145815</v>
      </c>
      <c r="Z244">
        <f>IF($Z$99=TRUE,SUM(G244:G$350)/1000000,"")</f>
        <v>4782927.0750000002</v>
      </c>
      <c r="AA244">
        <f>IF($AA$99=TRUE,SUM(H244:H$350)/1000000,"")</f>
        <v>-2366060.59</v>
      </c>
      <c r="AB244">
        <f>IF($AB$99=TRUE,SUM(AH244:AH$350)/1000,"")</f>
        <v>22620492.798</v>
      </c>
      <c r="AD244" s="1">
        <v>45469</v>
      </c>
      <c r="AE244">
        <v>384.75</v>
      </c>
      <c r="AF244">
        <v>105.14</v>
      </c>
      <c r="AG244" s="1">
        <v>45470</v>
      </c>
      <c r="AH244">
        <v>123039916</v>
      </c>
      <c r="AI244" s="1">
        <v>45545</v>
      </c>
      <c r="AJ244">
        <v>5224.8580000000002</v>
      </c>
      <c r="AK244">
        <v>54.512</v>
      </c>
      <c r="AL244">
        <v>3974.9789999999998</v>
      </c>
      <c r="AM244">
        <v>1275.461</v>
      </c>
      <c r="AN244">
        <v>1114.001</v>
      </c>
    </row>
    <row r="245" spans="4:40" hidden="1">
      <c r="D245" s="1">
        <v>45468</v>
      </c>
      <c r="E245">
        <v>58999</v>
      </c>
      <c r="F245">
        <v>81873</v>
      </c>
      <c r="G245">
        <v>277920337500</v>
      </c>
      <c r="H245">
        <v>826369830000</v>
      </c>
      <c r="I245">
        <v>461367600000</v>
      </c>
      <c r="J245">
        <v>0</v>
      </c>
      <c r="K245" s="1">
        <v>45468</v>
      </c>
      <c r="L245">
        <v>2774.39</v>
      </c>
      <c r="M245">
        <v>841.99</v>
      </c>
      <c r="N245">
        <v>714242</v>
      </c>
      <c r="O245">
        <v>381.95</v>
      </c>
      <c r="P245">
        <v>105.16</v>
      </c>
      <c r="Q245" s="1">
        <v>45469</v>
      </c>
      <c r="R245">
        <v>3.2149999999999999</v>
      </c>
      <c r="S245">
        <v>3.23</v>
      </c>
      <c r="T245">
        <v>3.278</v>
      </c>
      <c r="U245">
        <v>3.6760000000000002</v>
      </c>
      <c r="V245">
        <v>3.6</v>
      </c>
      <c r="W245">
        <f t="shared" si="2"/>
        <v>45468</v>
      </c>
      <c r="X245">
        <f>IF($X$99=TRUE,SUM(E245:E$350),"")</f>
        <v>17890092</v>
      </c>
      <c r="Y245">
        <f>IF($Y$99=TRUE,SUM(F245:F$350),"")</f>
        <v>1257585</v>
      </c>
      <c r="Z245">
        <f>IF($Z$99=TRUE,SUM(G245:G$350)/1000000,"")</f>
        <v>4967393.5250000004</v>
      </c>
      <c r="AA245">
        <f>IF($AA$99=TRUE,SUM(H245:H$350)/1000000,"")</f>
        <v>-2539965.91</v>
      </c>
      <c r="AB245">
        <f>IF($AB$99=TRUE,SUM(AH245:AH$350)/1000,"")</f>
        <v>22497452.881999999</v>
      </c>
      <c r="AD245" s="1">
        <v>45468</v>
      </c>
      <c r="AE245">
        <v>381.95</v>
      </c>
      <c r="AF245">
        <v>105.16</v>
      </c>
      <c r="AG245" s="1">
        <v>45469</v>
      </c>
      <c r="AH245">
        <v>433692798</v>
      </c>
      <c r="AI245" s="1">
        <v>45544</v>
      </c>
      <c r="AJ245">
        <v>5201.5789999999997</v>
      </c>
      <c r="AK245">
        <v>54.405000000000001</v>
      </c>
      <c r="AL245">
        <v>3985.4340000000002</v>
      </c>
      <c r="AM245">
        <v>1288.806</v>
      </c>
      <c r="AN245">
        <v>1108.9749999999999</v>
      </c>
    </row>
    <row r="246" spans="4:40" hidden="1">
      <c r="D246" s="1">
        <v>45467</v>
      </c>
      <c r="E246">
        <v>-528888</v>
      </c>
      <c r="F246">
        <v>5642</v>
      </c>
      <c r="G246">
        <v>-659444687500</v>
      </c>
      <c r="H246">
        <v>571269800000</v>
      </c>
      <c r="I246">
        <v>351977300000</v>
      </c>
      <c r="J246">
        <v>0</v>
      </c>
      <c r="K246" s="1">
        <v>45467</v>
      </c>
      <c r="L246">
        <v>2764.73</v>
      </c>
      <c r="M246">
        <v>841.52</v>
      </c>
      <c r="N246">
        <v>594166</v>
      </c>
      <c r="O246">
        <v>380.7</v>
      </c>
      <c r="P246">
        <v>105.18</v>
      </c>
      <c r="Q246" s="1">
        <v>45468</v>
      </c>
      <c r="R246">
        <v>3.2010000000000001</v>
      </c>
      <c r="S246">
        <v>3.2170000000000001</v>
      </c>
      <c r="T246">
        <v>3.2709999999999999</v>
      </c>
      <c r="U246">
        <v>3.6619999999999999</v>
      </c>
      <c r="V246">
        <v>3.6</v>
      </c>
      <c r="W246">
        <f t="shared" si="2"/>
        <v>45467</v>
      </c>
      <c r="X246">
        <f>IF($X$99=TRUE,SUM(E246:E$350),"")</f>
        <v>17831093</v>
      </c>
      <c r="Y246">
        <f>IF($Y$99=TRUE,SUM(F246:F$350),"")</f>
        <v>1175712</v>
      </c>
      <c r="Z246">
        <f>IF($Z$99=TRUE,SUM(G246:G$350)/1000000,"")</f>
        <v>4689473.1875</v>
      </c>
      <c r="AA246">
        <f>IF($AA$99=TRUE,SUM(H246:H$350)/1000000,"")</f>
        <v>-3366335.74</v>
      </c>
      <c r="AB246">
        <f>IF($AB$99=TRUE,SUM(AH246:AH$350)/1000,"")</f>
        <v>22063760.083999999</v>
      </c>
      <c r="AD246" s="1">
        <v>45467</v>
      </c>
      <c r="AE246">
        <v>380.7</v>
      </c>
      <c r="AF246">
        <v>105.18</v>
      </c>
      <c r="AG246" s="1">
        <v>45468</v>
      </c>
      <c r="AH246">
        <v>186147477</v>
      </c>
      <c r="AI246" s="1">
        <v>45543</v>
      </c>
      <c r="AJ246">
        <v>5141.5940000000001</v>
      </c>
      <c r="AK246">
        <v>55.210999999999999</v>
      </c>
      <c r="AL246">
        <v>4027.2660000000001</v>
      </c>
      <c r="AM246">
        <v>1284.9110000000001</v>
      </c>
      <c r="AN246">
        <v>1107.386</v>
      </c>
    </row>
    <row r="247" spans="4:40" hidden="1">
      <c r="D247" s="1">
        <v>45464</v>
      </c>
      <c r="E247">
        <v>-340323</v>
      </c>
      <c r="F247">
        <v>95832</v>
      </c>
      <c r="G247">
        <v>-99506137500</v>
      </c>
      <c r="H247">
        <v>1354664950000</v>
      </c>
      <c r="I247">
        <v>331547980000</v>
      </c>
      <c r="J247">
        <v>0</v>
      </c>
      <c r="K247" s="1">
        <v>45464</v>
      </c>
      <c r="L247">
        <v>2784.26</v>
      </c>
      <c r="M247">
        <v>852.67</v>
      </c>
      <c r="N247">
        <v>631143</v>
      </c>
      <c r="O247">
        <v>383.45</v>
      </c>
      <c r="P247">
        <v>105.27</v>
      </c>
      <c r="Q247" s="1">
        <v>45467</v>
      </c>
      <c r="R247">
        <v>3.194</v>
      </c>
      <c r="S247">
        <v>3.2149999999999999</v>
      </c>
      <c r="T247">
        <v>3.2639999999999998</v>
      </c>
      <c r="U247">
        <v>3.6560000000000001</v>
      </c>
      <c r="V247">
        <v>3.6</v>
      </c>
      <c r="W247">
        <f t="shared" si="2"/>
        <v>45464</v>
      </c>
      <c r="X247">
        <f>IF($X$99=TRUE,SUM(E247:E$350),"")</f>
        <v>18359981</v>
      </c>
      <c r="Y247">
        <f>IF($Y$99=TRUE,SUM(F247:F$350),"")</f>
        <v>1170070</v>
      </c>
      <c r="Z247">
        <f>IF($Z$99=TRUE,SUM(G247:G$350)/1000000,"")</f>
        <v>5348917.875</v>
      </c>
      <c r="AA247">
        <f>IF($AA$99=TRUE,SUM(H247:H$350)/1000000,"")</f>
        <v>-3937605.54</v>
      </c>
      <c r="AB247">
        <f>IF($AB$99=TRUE,SUM(AH247:AH$350)/1000,"")</f>
        <v>21877612.607000001</v>
      </c>
      <c r="AD247" s="1">
        <v>45464</v>
      </c>
      <c r="AE247">
        <v>383.45</v>
      </c>
      <c r="AF247">
        <v>105.27</v>
      </c>
      <c r="AG247" s="1">
        <v>45467</v>
      </c>
      <c r="AH247">
        <v>-192965789</v>
      </c>
      <c r="AI247" s="1">
        <v>45542</v>
      </c>
      <c r="AJ247">
        <v>5141.5940000000001</v>
      </c>
      <c r="AK247">
        <v>55.210999999999999</v>
      </c>
      <c r="AL247">
        <v>4027.2660000000001</v>
      </c>
      <c r="AM247">
        <v>1284.9110000000001</v>
      </c>
      <c r="AN247">
        <v>1107.386</v>
      </c>
    </row>
    <row r="248" spans="4:40" hidden="1">
      <c r="D248" s="1">
        <v>45463</v>
      </c>
      <c r="E248">
        <v>494063</v>
      </c>
      <c r="F248">
        <v>-57444</v>
      </c>
      <c r="G248">
        <v>178629037500</v>
      </c>
      <c r="H248">
        <v>-21686770000</v>
      </c>
      <c r="I248">
        <v>784909270000</v>
      </c>
      <c r="J248">
        <v>1359600000</v>
      </c>
      <c r="K248" s="1">
        <v>45463</v>
      </c>
      <c r="L248">
        <v>2807.63</v>
      </c>
      <c r="M248">
        <v>857.51</v>
      </c>
      <c r="N248">
        <v>758165</v>
      </c>
      <c r="O248">
        <v>386.8</v>
      </c>
      <c r="P248">
        <v>105.16</v>
      </c>
      <c r="Q248" s="1">
        <v>45464</v>
      </c>
      <c r="R248">
        <v>3.1760000000000002</v>
      </c>
      <c r="S248">
        <v>3.1989999999999998</v>
      </c>
      <c r="T248">
        <v>3.2549999999999999</v>
      </c>
      <c r="U248">
        <v>3.637</v>
      </c>
      <c r="V248">
        <v>3.6</v>
      </c>
      <c r="W248">
        <f t="shared" si="2"/>
        <v>45463</v>
      </c>
      <c r="X248">
        <f>IF($X$99=TRUE,SUM(E248:E$350),"")</f>
        <v>18700304</v>
      </c>
      <c r="Y248">
        <f>IF($Y$99=TRUE,SUM(F248:F$350),"")</f>
        <v>1074238</v>
      </c>
      <c r="Z248">
        <f>IF($Z$99=TRUE,SUM(G248:G$350)/1000000,"")</f>
        <v>5448424.0125000002</v>
      </c>
      <c r="AA248">
        <f>IF($AA$99=TRUE,SUM(H248:H$350)/1000000,"")</f>
        <v>-5292270.49</v>
      </c>
      <c r="AB248">
        <f>IF($AB$99=TRUE,SUM(AH248:AH$350)/1000,"")</f>
        <v>22070578.396000002</v>
      </c>
      <c r="AD248" s="1">
        <v>45463</v>
      </c>
      <c r="AE248">
        <v>386.8</v>
      </c>
      <c r="AF248">
        <v>105.16</v>
      </c>
      <c r="AG248" s="1">
        <v>45464</v>
      </c>
      <c r="AH248">
        <v>278182441</v>
      </c>
      <c r="AI248" s="1">
        <v>45541</v>
      </c>
      <c r="AJ248">
        <v>5141.5940000000001</v>
      </c>
      <c r="AK248">
        <v>55.210999999999999</v>
      </c>
      <c r="AL248">
        <v>4027.2660000000001</v>
      </c>
      <c r="AM248">
        <v>1284.9110000000001</v>
      </c>
      <c r="AN248">
        <v>1107.386</v>
      </c>
    </row>
    <row r="249" spans="4:40" hidden="1">
      <c r="D249" s="1">
        <v>45462</v>
      </c>
      <c r="E249">
        <v>273596</v>
      </c>
      <c r="F249">
        <v>104509</v>
      </c>
      <c r="G249">
        <v>1402238762500</v>
      </c>
      <c r="H249">
        <v>1992204740000</v>
      </c>
      <c r="I249">
        <v>794795120000</v>
      </c>
      <c r="J249">
        <v>0</v>
      </c>
      <c r="K249" s="1">
        <v>45462</v>
      </c>
      <c r="L249">
        <v>2797.33</v>
      </c>
      <c r="M249">
        <v>861.17</v>
      </c>
      <c r="N249">
        <v>646706</v>
      </c>
      <c r="O249">
        <v>385.7</v>
      </c>
      <c r="P249">
        <v>105.29</v>
      </c>
      <c r="Q249" s="1">
        <v>45463</v>
      </c>
      <c r="R249">
        <v>3.1960000000000002</v>
      </c>
      <c r="S249">
        <v>3.22</v>
      </c>
      <c r="T249">
        <v>3.2690000000000001</v>
      </c>
      <c r="U249">
        <v>3.6480000000000001</v>
      </c>
      <c r="V249">
        <v>3.6</v>
      </c>
      <c r="W249">
        <f t="shared" si="2"/>
        <v>45462</v>
      </c>
      <c r="X249">
        <f>IF($X$99=TRUE,SUM(E249:E$350),"")</f>
        <v>18206241</v>
      </c>
      <c r="Y249">
        <f>IF($Y$99=TRUE,SUM(F249:F$350),"")</f>
        <v>1131682</v>
      </c>
      <c r="Z249">
        <f>IF($Z$99=TRUE,SUM(G249:G$350)/1000000,"")</f>
        <v>5269794.9749999996</v>
      </c>
      <c r="AA249">
        <f>IF($AA$99=TRUE,SUM(H249:H$350)/1000000,"")</f>
        <v>-5270583.72</v>
      </c>
      <c r="AB249">
        <f>IF($AB$99=TRUE,SUM(AH249:AH$350)/1000,"")</f>
        <v>21792395.954999998</v>
      </c>
      <c r="AD249" s="1">
        <v>45462</v>
      </c>
      <c r="AE249">
        <v>385.7</v>
      </c>
      <c r="AF249">
        <v>105.29</v>
      </c>
      <c r="AG249" s="1">
        <v>45463</v>
      </c>
      <c r="AH249">
        <v>57951934</v>
      </c>
      <c r="AI249" s="1">
        <v>45540</v>
      </c>
      <c r="AJ249">
        <v>5232.1279999999997</v>
      </c>
      <c r="AK249">
        <v>55.274000000000001</v>
      </c>
      <c r="AL249">
        <v>4023.0749999999998</v>
      </c>
      <c r="AM249">
        <v>1291.8109999999999</v>
      </c>
      <c r="AN249">
        <v>1120.1210000000001</v>
      </c>
    </row>
    <row r="250" spans="4:40" hidden="1">
      <c r="D250" s="1">
        <v>45461</v>
      </c>
      <c r="E250">
        <v>651083</v>
      </c>
      <c r="F250">
        <v>-8023</v>
      </c>
      <c r="G250">
        <v>777433025000</v>
      </c>
      <c r="H250">
        <v>1834020520000</v>
      </c>
      <c r="I250">
        <v>939754620000</v>
      </c>
      <c r="J250">
        <v>135360000</v>
      </c>
      <c r="K250" s="1">
        <v>45461</v>
      </c>
      <c r="L250">
        <v>2763.92</v>
      </c>
      <c r="M250">
        <v>858.95</v>
      </c>
      <c r="N250">
        <v>561975</v>
      </c>
      <c r="O250">
        <v>379.6</v>
      </c>
      <c r="P250">
        <v>105.12</v>
      </c>
      <c r="Q250" s="1">
        <v>45462</v>
      </c>
      <c r="R250">
        <v>3.1619999999999999</v>
      </c>
      <c r="S250">
        <v>3.1880000000000002</v>
      </c>
      <c r="T250">
        <v>3.2309999999999999</v>
      </c>
      <c r="U250">
        <v>3.62</v>
      </c>
      <c r="V250">
        <v>3.6</v>
      </c>
      <c r="W250">
        <f t="shared" si="2"/>
        <v>45461</v>
      </c>
      <c r="X250">
        <f>IF($X$99=TRUE,SUM(E250:E$350),"")</f>
        <v>17932645</v>
      </c>
      <c r="Y250">
        <f>IF($Y$99=TRUE,SUM(F250:F$350),"")</f>
        <v>1027173</v>
      </c>
      <c r="Z250">
        <f>IF($Z$99=TRUE,SUM(G250:G$350)/1000000,"")</f>
        <v>3867556.2124999999</v>
      </c>
      <c r="AA250">
        <f>IF($AA$99=TRUE,SUM(H250:H$350)/1000000,"")</f>
        <v>-7262788.46</v>
      </c>
      <c r="AB250">
        <f>IF($AB$99=TRUE,SUM(AH250:AH$350)/1000,"")</f>
        <v>21734444.021000002</v>
      </c>
      <c r="AD250" s="1">
        <v>45461</v>
      </c>
      <c r="AE250">
        <v>379.6</v>
      </c>
      <c r="AF250">
        <v>105.12</v>
      </c>
      <c r="AG250" s="1">
        <v>45462</v>
      </c>
      <c r="AH250">
        <v>339249406</v>
      </c>
      <c r="AI250" s="1">
        <v>45539</v>
      </c>
      <c r="AJ250">
        <v>5247.0280000000002</v>
      </c>
      <c r="AK250">
        <v>55.31</v>
      </c>
      <c r="AL250">
        <v>4046.0239999999999</v>
      </c>
      <c r="AM250">
        <v>1297.0060000000001</v>
      </c>
      <c r="AN250">
        <v>1121.694</v>
      </c>
    </row>
    <row r="251" spans="4:40" hidden="1">
      <c r="D251" s="1">
        <v>45460</v>
      </c>
      <c r="E251">
        <v>-137360</v>
      </c>
      <c r="F251">
        <v>346</v>
      </c>
      <c r="G251">
        <v>-478509575000</v>
      </c>
      <c r="H251">
        <v>2312883250000</v>
      </c>
      <c r="I251">
        <v>2131857610000</v>
      </c>
      <c r="J251">
        <v>0</v>
      </c>
      <c r="K251" s="1">
        <v>45460</v>
      </c>
      <c r="L251">
        <v>2744.1</v>
      </c>
      <c r="M251">
        <v>858.96</v>
      </c>
      <c r="N251">
        <v>593985</v>
      </c>
      <c r="O251">
        <v>375.95</v>
      </c>
      <c r="P251">
        <v>105.02</v>
      </c>
      <c r="Q251" s="1">
        <v>45461</v>
      </c>
      <c r="R251">
        <v>3.214</v>
      </c>
      <c r="S251">
        <v>3.2370000000000001</v>
      </c>
      <c r="T251">
        <v>3.2789999999999999</v>
      </c>
      <c r="U251">
        <v>3.6659999999999999</v>
      </c>
      <c r="V251">
        <v>3.6</v>
      </c>
      <c r="W251">
        <f t="shared" si="2"/>
        <v>45460</v>
      </c>
      <c r="X251">
        <f>IF($X$99=TRUE,SUM(E251:E$350),"")</f>
        <v>17281562</v>
      </c>
      <c r="Y251">
        <f>IF($Y$99=TRUE,SUM(F251:F$350),"")</f>
        <v>1035196</v>
      </c>
      <c r="Z251">
        <f>IF($Z$99=TRUE,SUM(G251:G$350)/1000000,"")</f>
        <v>3090123.1875</v>
      </c>
      <c r="AA251">
        <f>IF($AA$99=TRUE,SUM(H251:H$350)/1000000,"")</f>
        <v>-9096808.9800000004</v>
      </c>
      <c r="AB251">
        <f>IF($AB$99=TRUE,SUM(AH251:AH$350)/1000,"")</f>
        <v>21395194.614999998</v>
      </c>
      <c r="AD251" s="1">
        <v>45460</v>
      </c>
      <c r="AE251">
        <v>375.95</v>
      </c>
      <c r="AF251">
        <v>105.02</v>
      </c>
      <c r="AG251" s="1">
        <v>45461</v>
      </c>
      <c r="AH251">
        <v>993442753</v>
      </c>
      <c r="AI251" s="1">
        <v>45538</v>
      </c>
      <c r="AJ251">
        <v>5256.6890000000003</v>
      </c>
      <c r="AK251">
        <v>55.798999999999999</v>
      </c>
      <c r="AL251">
        <v>4168.0990000000002</v>
      </c>
      <c r="AM251">
        <v>1294.538</v>
      </c>
      <c r="AN251">
        <v>1124.0540000000001</v>
      </c>
    </row>
    <row r="252" spans="4:40" hidden="1">
      <c r="D252" s="1">
        <v>45457</v>
      </c>
      <c r="E252">
        <v>729521</v>
      </c>
      <c r="F252">
        <v>-164379</v>
      </c>
      <c r="G252">
        <v>141051062500</v>
      </c>
      <c r="H252">
        <v>1695936280000</v>
      </c>
      <c r="I252">
        <v>1621278240000</v>
      </c>
      <c r="J252">
        <v>0</v>
      </c>
      <c r="K252" s="1">
        <v>45457</v>
      </c>
      <c r="L252">
        <v>2758.42</v>
      </c>
      <c r="M252">
        <v>862.19</v>
      </c>
      <c r="N252">
        <v>644979</v>
      </c>
      <c r="O252">
        <v>377.45</v>
      </c>
      <c r="P252">
        <v>104.93</v>
      </c>
      <c r="Q252" s="1">
        <v>45460</v>
      </c>
      <c r="R252">
        <v>3.2120000000000002</v>
      </c>
      <c r="S252">
        <v>3.23</v>
      </c>
      <c r="T252">
        <v>3.2829999999999999</v>
      </c>
      <c r="U252">
        <v>3.6619999999999999</v>
      </c>
      <c r="V252">
        <v>3.6</v>
      </c>
      <c r="W252">
        <f t="shared" si="2"/>
        <v>45457</v>
      </c>
      <c r="X252">
        <f>IF($X$99=TRUE,SUM(E252:E$350),"")</f>
        <v>17418922</v>
      </c>
      <c r="Y252">
        <f>IF($Y$99=TRUE,SUM(F252:F$350),"")</f>
        <v>1034850</v>
      </c>
      <c r="Z252">
        <f>IF($Z$99=TRUE,SUM(G252:G$350)/1000000,"")</f>
        <v>3568632.7625000002</v>
      </c>
      <c r="AA252">
        <f>IF($AA$99=TRUE,SUM(H252:H$350)/1000000,"")</f>
        <v>-11409692.23</v>
      </c>
      <c r="AB252">
        <f>IF($AB$99=TRUE,SUM(AH252:AH$350)/1000,"")</f>
        <v>20401751.862</v>
      </c>
      <c r="AD252" s="1">
        <v>45457</v>
      </c>
      <c r="AE252">
        <v>377.45</v>
      </c>
      <c r="AF252">
        <v>104.93</v>
      </c>
      <c r="AG252" s="1">
        <v>45460</v>
      </c>
      <c r="AH252">
        <v>87274403</v>
      </c>
      <c r="AI252" s="1">
        <v>45537</v>
      </c>
      <c r="AJ252">
        <v>5373.1469999999999</v>
      </c>
      <c r="AK252">
        <v>55.851999999999997</v>
      </c>
      <c r="AL252">
        <v>4107.7219999999998</v>
      </c>
      <c r="AM252">
        <v>1310.4380000000001</v>
      </c>
      <c r="AN252">
        <v>1124.5940000000001</v>
      </c>
    </row>
    <row r="253" spans="4:40" hidden="1">
      <c r="D253" s="1">
        <v>45456</v>
      </c>
      <c r="E253">
        <v>1538715</v>
      </c>
      <c r="F253">
        <v>191805</v>
      </c>
      <c r="G253">
        <v>743922000000</v>
      </c>
      <c r="H253">
        <v>1759489790000</v>
      </c>
      <c r="I253">
        <v>239576460000</v>
      </c>
      <c r="J253">
        <v>0</v>
      </c>
      <c r="K253" s="1">
        <v>45456</v>
      </c>
      <c r="L253">
        <v>2754.89</v>
      </c>
      <c r="M253">
        <v>871.33</v>
      </c>
      <c r="N253">
        <v>700027</v>
      </c>
      <c r="O253">
        <v>375.75</v>
      </c>
      <c r="P253">
        <v>104.79</v>
      </c>
      <c r="Q253" s="1">
        <v>45457</v>
      </c>
      <c r="R253">
        <v>3.2519999999999998</v>
      </c>
      <c r="S253">
        <v>3.266</v>
      </c>
      <c r="T253">
        <v>3.302</v>
      </c>
      <c r="U253">
        <v>3.694</v>
      </c>
      <c r="V253">
        <v>3.6</v>
      </c>
      <c r="W253">
        <f t="shared" si="2"/>
        <v>45456</v>
      </c>
      <c r="X253">
        <f>IF($X$99=TRUE,SUM(E253:E$350),"")</f>
        <v>16689401</v>
      </c>
      <c r="Y253">
        <f>IF($Y$99=TRUE,SUM(F253:F$350),"")</f>
        <v>1199229</v>
      </c>
      <c r="Z253">
        <f>IF($Z$99=TRUE,SUM(G253:G$350)/1000000,"")</f>
        <v>3427581.7</v>
      </c>
      <c r="AA253">
        <f>IF($AA$99=TRUE,SUM(H253:H$350)/1000000,"")</f>
        <v>-13105628.51</v>
      </c>
      <c r="AB253">
        <f>IF($AB$99=TRUE,SUM(AH253:AH$350)/1000,"")</f>
        <v>20314477.458999999</v>
      </c>
      <c r="AD253" s="1">
        <v>45456</v>
      </c>
      <c r="AE253">
        <v>375.75</v>
      </c>
      <c r="AF253">
        <v>104.79</v>
      </c>
      <c r="AG253" s="1">
        <v>45457</v>
      </c>
      <c r="AH253">
        <v>25156916</v>
      </c>
      <c r="AI253" s="1">
        <v>45536</v>
      </c>
      <c r="AJ253">
        <v>5373.1469999999999</v>
      </c>
      <c r="AK253">
        <v>56.610999999999997</v>
      </c>
      <c r="AL253">
        <v>4138.8040000000001</v>
      </c>
      <c r="AM253">
        <v>1312.3489999999999</v>
      </c>
      <c r="AN253">
        <v>1124.4770000000001</v>
      </c>
    </row>
    <row r="254" spans="4:40" hidden="1">
      <c r="D254" s="1">
        <v>45455</v>
      </c>
      <c r="E254">
        <v>235948</v>
      </c>
      <c r="F254">
        <v>31416</v>
      </c>
      <c r="G254">
        <v>539403400000</v>
      </c>
      <c r="H254">
        <v>-63800290000</v>
      </c>
      <c r="I254">
        <v>94079390000</v>
      </c>
      <c r="J254">
        <v>0</v>
      </c>
      <c r="K254" s="1">
        <v>45455</v>
      </c>
      <c r="L254">
        <v>2728.17</v>
      </c>
      <c r="M254">
        <v>870.67</v>
      </c>
      <c r="N254">
        <v>511008</v>
      </c>
      <c r="O254">
        <v>371.7</v>
      </c>
      <c r="P254">
        <v>104.73</v>
      </c>
      <c r="Q254" s="1">
        <v>45456</v>
      </c>
      <c r="R254">
        <v>3.2770000000000001</v>
      </c>
      <c r="S254">
        <v>3.2959999999999998</v>
      </c>
      <c r="T254">
        <v>3.3450000000000002</v>
      </c>
      <c r="U254">
        <v>3.718</v>
      </c>
      <c r="V254">
        <v>3.6</v>
      </c>
      <c r="W254">
        <f t="shared" si="2"/>
        <v>45455</v>
      </c>
      <c r="X254">
        <f>IF($X$99=TRUE,SUM(E254:E$350),"")</f>
        <v>15150686</v>
      </c>
      <c r="Y254">
        <f>IF($Y$99=TRUE,SUM(F254:F$350),"")</f>
        <v>1007424</v>
      </c>
      <c r="Z254">
        <f>IF($Z$99=TRUE,SUM(G254:G$350)/1000000,"")</f>
        <v>2683659.7000000002</v>
      </c>
      <c r="AA254">
        <f>IF($AA$99=TRUE,SUM(H254:H$350)/1000000,"")</f>
        <v>-14865118.300000001</v>
      </c>
      <c r="AB254">
        <f>IF($AB$99=TRUE,SUM(AH254:AH$350)/1000,"")</f>
        <v>20289320.543000001</v>
      </c>
      <c r="AD254" s="1">
        <v>45455</v>
      </c>
      <c r="AE254">
        <v>371.7</v>
      </c>
      <c r="AF254">
        <v>104.73</v>
      </c>
      <c r="AG254" s="1">
        <v>45456</v>
      </c>
      <c r="AH254">
        <v>307200214</v>
      </c>
      <c r="AI254" s="1">
        <v>45535</v>
      </c>
      <c r="AJ254">
        <v>5373.1469999999999</v>
      </c>
      <c r="AK254">
        <v>56.610999999999997</v>
      </c>
      <c r="AL254">
        <v>4138.8040000000001</v>
      </c>
      <c r="AM254">
        <v>1312.3489999999999</v>
      </c>
      <c r="AN254">
        <v>1124.4770000000001</v>
      </c>
    </row>
    <row r="255" spans="4:40" hidden="1">
      <c r="D255" s="1">
        <v>45454</v>
      </c>
      <c r="E255">
        <v>-223452</v>
      </c>
      <c r="F255">
        <v>15153</v>
      </c>
      <c r="G255">
        <v>-31540925000</v>
      </c>
      <c r="H255">
        <v>-594058910000</v>
      </c>
      <c r="I255">
        <v>-453186650000</v>
      </c>
      <c r="J255">
        <v>-6624000000</v>
      </c>
      <c r="K255" s="1">
        <v>45454</v>
      </c>
      <c r="L255">
        <v>2705.32</v>
      </c>
      <c r="M255">
        <v>868.36</v>
      </c>
      <c r="N255">
        <v>558893</v>
      </c>
      <c r="O255">
        <v>368.85</v>
      </c>
      <c r="P255">
        <v>104.62</v>
      </c>
      <c r="Q255" s="1">
        <v>45455</v>
      </c>
      <c r="R255">
        <v>3.3069999999999999</v>
      </c>
      <c r="S255">
        <v>3.3319999999999999</v>
      </c>
      <c r="T255">
        <v>3.3820000000000001</v>
      </c>
      <c r="U255">
        <v>3.7450000000000001</v>
      </c>
      <c r="V255">
        <v>3.6</v>
      </c>
      <c r="W255">
        <f t="shared" si="2"/>
        <v>45454</v>
      </c>
      <c r="X255">
        <f>IF($X$99=TRUE,SUM(E255:E$350),"")</f>
        <v>14914738</v>
      </c>
      <c r="Y255">
        <f>IF($Y$99=TRUE,SUM(F255:F$350),"")</f>
        <v>976008</v>
      </c>
      <c r="Z255">
        <f>IF($Z$99=TRUE,SUM(G255:G$350)/1000000,"")</f>
        <v>2144256.2999999998</v>
      </c>
      <c r="AA255">
        <f>IF($AA$99=TRUE,SUM(H255:H$350)/1000000,"")</f>
        <v>-14801318.01</v>
      </c>
      <c r="AB255">
        <f>IF($AB$99=TRUE,SUM(AH255:AH$350)/1000,"")</f>
        <v>19982120.329</v>
      </c>
      <c r="AD255" s="1">
        <v>45454</v>
      </c>
      <c r="AE255">
        <v>368.85</v>
      </c>
      <c r="AF255">
        <v>104.62</v>
      </c>
      <c r="AG255" s="1">
        <v>45455</v>
      </c>
      <c r="AH255">
        <v>223793581</v>
      </c>
      <c r="AI255" s="1">
        <v>45534</v>
      </c>
      <c r="AJ255">
        <v>5373.1469999999999</v>
      </c>
      <c r="AK255">
        <v>56.610999999999997</v>
      </c>
      <c r="AL255">
        <v>4138.8040000000001</v>
      </c>
      <c r="AM255">
        <v>1312.3489999999999</v>
      </c>
      <c r="AN255">
        <v>1124.4770000000001</v>
      </c>
    </row>
    <row r="256" spans="4:40" hidden="1">
      <c r="D256" s="1">
        <v>45453</v>
      </c>
      <c r="E256">
        <v>17915</v>
      </c>
      <c r="F256">
        <v>-140835</v>
      </c>
      <c r="G256">
        <v>-1105792330000</v>
      </c>
      <c r="H256">
        <v>577459170000</v>
      </c>
      <c r="I256">
        <v>-192323900000</v>
      </c>
      <c r="J256">
        <v>0</v>
      </c>
      <c r="K256" s="1">
        <v>45453</v>
      </c>
      <c r="L256">
        <v>2701.17</v>
      </c>
      <c r="M256">
        <v>864.71</v>
      </c>
      <c r="N256">
        <v>506891</v>
      </c>
      <c r="O256">
        <v>368</v>
      </c>
      <c r="P256">
        <v>104.57</v>
      </c>
      <c r="Q256" s="1">
        <v>45454</v>
      </c>
      <c r="R256">
        <v>3.3410000000000002</v>
      </c>
      <c r="S256">
        <v>3.3690000000000002</v>
      </c>
      <c r="T256">
        <v>3.4249999999999998</v>
      </c>
      <c r="U256">
        <v>3.7749999999999999</v>
      </c>
      <c r="V256">
        <v>3.6</v>
      </c>
      <c r="W256">
        <f t="shared" si="2"/>
        <v>45453</v>
      </c>
      <c r="X256">
        <f>IF($X$99=TRUE,SUM(E256:E$350),"")</f>
        <v>15138190</v>
      </c>
      <c r="Y256">
        <f>IF($Y$99=TRUE,SUM(F256:F$350),"")</f>
        <v>960855</v>
      </c>
      <c r="Z256">
        <f>IF($Z$99=TRUE,SUM(G256:G$350)/1000000,"")</f>
        <v>2175797.2250000001</v>
      </c>
      <c r="AA256">
        <f>IF($AA$99=TRUE,SUM(H256:H$350)/1000000,"")</f>
        <v>-14207259.1</v>
      </c>
      <c r="AB256">
        <f>IF($AB$99=TRUE,SUM(AH256:AH$350)/1000,"")</f>
        <v>19758326.748</v>
      </c>
      <c r="AD256" s="1">
        <v>45453</v>
      </c>
      <c r="AE256">
        <v>368</v>
      </c>
      <c r="AF256">
        <v>104.57</v>
      </c>
      <c r="AG256" s="1">
        <v>45454</v>
      </c>
      <c r="AH256">
        <v>362305211</v>
      </c>
      <c r="AI256" s="1">
        <v>45533</v>
      </c>
      <c r="AJ256">
        <v>5319.15</v>
      </c>
      <c r="AK256">
        <v>55.848999999999997</v>
      </c>
      <c r="AL256">
        <v>4114.0619999999999</v>
      </c>
      <c r="AM256">
        <v>1313.92</v>
      </c>
      <c r="AN256">
        <v>1119.537</v>
      </c>
    </row>
    <row r="257" spans="4:40" hidden="1">
      <c r="D257" s="1">
        <v>45450</v>
      </c>
      <c r="E257">
        <v>287289</v>
      </c>
      <c r="F257">
        <v>325549</v>
      </c>
      <c r="G257">
        <v>533056437500</v>
      </c>
      <c r="H257">
        <v>844077190000</v>
      </c>
      <c r="I257">
        <v>1614537270000</v>
      </c>
      <c r="J257">
        <v>-19935000000</v>
      </c>
      <c r="K257" s="1">
        <v>45450</v>
      </c>
      <c r="L257">
        <v>2722.67</v>
      </c>
      <c r="M257">
        <v>866.18</v>
      </c>
      <c r="N257">
        <v>783870</v>
      </c>
      <c r="O257">
        <v>371.9</v>
      </c>
      <c r="P257">
        <v>104.74</v>
      </c>
      <c r="Q257" s="1">
        <v>45453</v>
      </c>
      <c r="R257">
        <v>3.3530000000000002</v>
      </c>
      <c r="S257">
        <v>3.3860000000000001</v>
      </c>
      <c r="T257">
        <v>3.4329999999999998</v>
      </c>
      <c r="U257">
        <v>3.782</v>
      </c>
      <c r="V257">
        <v>3.6</v>
      </c>
      <c r="W257">
        <f t="shared" si="2"/>
        <v>45450</v>
      </c>
      <c r="X257">
        <f>IF($X$99=TRUE,SUM(E257:E$350),"")</f>
        <v>15120275</v>
      </c>
      <c r="Y257">
        <f>IF($Y$99=TRUE,SUM(F257:F$350),"")</f>
        <v>1101690</v>
      </c>
      <c r="Z257">
        <f>IF($Z$99=TRUE,SUM(G257:G$350)/1000000,"")</f>
        <v>3281589.5550000002</v>
      </c>
      <c r="AA257">
        <f>IF($AA$99=TRUE,SUM(H257:H$350)/1000000,"")</f>
        <v>-14784718.27</v>
      </c>
      <c r="AB257">
        <f>IF($AB$99=TRUE,SUM(AH257:AH$350)/1000,"")</f>
        <v>19396021.537</v>
      </c>
      <c r="AD257" s="1">
        <v>45450</v>
      </c>
      <c r="AE257">
        <v>371.9</v>
      </c>
      <c r="AF257">
        <v>104.74</v>
      </c>
      <c r="AG257" s="1">
        <v>45453</v>
      </c>
      <c r="AH257">
        <v>298411746</v>
      </c>
      <c r="AI257" s="1">
        <v>45532</v>
      </c>
      <c r="AJ257">
        <v>5318.5829999999996</v>
      </c>
      <c r="AK257">
        <v>55.494</v>
      </c>
      <c r="AL257">
        <v>4136.0280000000002</v>
      </c>
      <c r="AM257">
        <v>1313.91</v>
      </c>
      <c r="AN257">
        <v>1116.5</v>
      </c>
    </row>
    <row r="258" spans="4:40" hidden="1">
      <c r="D258" s="1">
        <v>45448</v>
      </c>
      <c r="E258">
        <v>590086</v>
      </c>
      <c r="F258">
        <v>53899</v>
      </c>
      <c r="G258">
        <v>177170137500</v>
      </c>
      <c r="H258">
        <v>1371766620000</v>
      </c>
      <c r="I258">
        <v>1500989860000</v>
      </c>
      <c r="J258">
        <v>0</v>
      </c>
      <c r="K258" s="1">
        <v>45448</v>
      </c>
      <c r="L258">
        <v>2689.5</v>
      </c>
      <c r="M258">
        <v>850.75</v>
      </c>
      <c r="N258">
        <v>881481</v>
      </c>
      <c r="O258">
        <v>366.5</v>
      </c>
      <c r="P258">
        <v>104.64</v>
      </c>
      <c r="Q258" s="1">
        <v>45450</v>
      </c>
      <c r="R258">
        <v>3.3079999999999998</v>
      </c>
      <c r="S258">
        <v>3.3290000000000002</v>
      </c>
      <c r="T258">
        <v>3.3849999999999998</v>
      </c>
      <c r="U258">
        <v>3.7360000000000002</v>
      </c>
      <c r="V258">
        <v>3.6</v>
      </c>
      <c r="W258">
        <f t="shared" si="2"/>
        <v>45448</v>
      </c>
      <c r="X258">
        <f>IF($X$99=TRUE,SUM(E258:E$350),"")</f>
        <v>14832986</v>
      </c>
      <c r="Y258">
        <f>IF($Y$99=TRUE,SUM(F258:F$350),"")</f>
        <v>776141</v>
      </c>
      <c r="Z258">
        <f>IF($Z$99=TRUE,SUM(G258:G$350)/1000000,"")</f>
        <v>2748533.1175000002</v>
      </c>
      <c r="AA258">
        <f>IF($AA$99=TRUE,SUM(H258:H$350)/1000000,"")</f>
        <v>-15628795.460000001</v>
      </c>
      <c r="AB258">
        <f>IF($AB$99=TRUE,SUM(AH258:AH$350)/1000,"")</f>
        <v>19097609.791000001</v>
      </c>
      <c r="AD258" s="1">
        <v>45448</v>
      </c>
      <c r="AE258">
        <v>366.5</v>
      </c>
      <c r="AF258">
        <v>104.64</v>
      </c>
      <c r="AG258" s="1">
        <v>45450</v>
      </c>
      <c r="AH258">
        <v>-104435168</v>
      </c>
      <c r="AI258" s="1">
        <v>45531</v>
      </c>
      <c r="AJ258">
        <v>5352.3789999999999</v>
      </c>
      <c r="AK258">
        <v>56.335000000000001</v>
      </c>
      <c r="AL258">
        <v>4119.6120000000001</v>
      </c>
      <c r="AM258">
        <v>1316.502</v>
      </c>
      <c r="AN258">
        <v>1115.6110000000001</v>
      </c>
    </row>
    <row r="259" spans="4:40" hidden="1">
      <c r="D259" s="1">
        <v>45447</v>
      </c>
      <c r="E259">
        <v>-203755</v>
      </c>
      <c r="F259">
        <v>103274</v>
      </c>
      <c r="G259">
        <v>-757145087500</v>
      </c>
      <c r="H259">
        <v>343419000000</v>
      </c>
      <c r="I259">
        <v>1107881600000</v>
      </c>
      <c r="J259">
        <v>-6582000000</v>
      </c>
      <c r="K259" s="1">
        <v>45447</v>
      </c>
      <c r="L259">
        <v>2662.1</v>
      </c>
      <c r="M259">
        <v>845.84</v>
      </c>
      <c r="N259">
        <v>773459</v>
      </c>
      <c r="O259">
        <v>363.3</v>
      </c>
      <c r="P259">
        <v>104.49</v>
      </c>
      <c r="Q259" s="1">
        <v>45448</v>
      </c>
      <c r="R259">
        <v>3.3450000000000002</v>
      </c>
      <c r="S259">
        <v>3.3679999999999999</v>
      </c>
      <c r="T259">
        <v>3.43</v>
      </c>
      <c r="U259">
        <v>3.7709999999999999</v>
      </c>
      <c r="V259">
        <v>3.6</v>
      </c>
      <c r="W259">
        <f t="shared" si="2"/>
        <v>45447</v>
      </c>
      <c r="X259">
        <f>IF($X$99=TRUE,SUM(E259:E$350),"")</f>
        <v>14242900</v>
      </c>
      <c r="Y259">
        <f>IF($Y$99=TRUE,SUM(F259:F$350),"")</f>
        <v>722242</v>
      </c>
      <c r="Z259">
        <f>IF($Z$99=TRUE,SUM(G259:G$350)/1000000,"")</f>
        <v>2571362.98</v>
      </c>
      <c r="AA259">
        <f>IF($AA$99=TRUE,SUM(H259:H$350)/1000000,"")</f>
        <v>-17000562.079999998</v>
      </c>
      <c r="AB259">
        <f>IF($AB$99=TRUE,SUM(AH259:AH$350)/1000,"")</f>
        <v>19202044.958999999</v>
      </c>
      <c r="AD259" s="1">
        <v>45447</v>
      </c>
      <c r="AE259">
        <v>363.3</v>
      </c>
      <c r="AF259">
        <v>104.49</v>
      </c>
      <c r="AG259" s="1">
        <v>45448</v>
      </c>
      <c r="AH259">
        <v>743713809</v>
      </c>
      <c r="AI259" s="1">
        <v>45530</v>
      </c>
      <c r="AJ259">
        <v>5344.51</v>
      </c>
      <c r="AK259">
        <v>56.500999999999998</v>
      </c>
      <c r="AL259">
        <v>4095.3879999999999</v>
      </c>
      <c r="AM259">
        <v>1309.8920000000001</v>
      </c>
      <c r="AN259">
        <v>1114.8889999999999</v>
      </c>
    </row>
    <row r="260" spans="4:40" hidden="1">
      <c r="D260" s="1">
        <v>45446</v>
      </c>
      <c r="E260">
        <v>182825</v>
      </c>
      <c r="F260">
        <v>133357</v>
      </c>
      <c r="G260">
        <v>805323350000</v>
      </c>
      <c r="H260">
        <v>683177790000</v>
      </c>
      <c r="I260">
        <v>1204661100000</v>
      </c>
      <c r="J260">
        <v>0</v>
      </c>
      <c r="K260" s="1">
        <v>45446</v>
      </c>
      <c r="L260">
        <v>2682.52</v>
      </c>
      <c r="M260">
        <v>844.72</v>
      </c>
      <c r="N260">
        <v>782329</v>
      </c>
      <c r="O260">
        <v>366.1</v>
      </c>
      <c r="P260">
        <v>104.35</v>
      </c>
      <c r="Q260" s="1">
        <v>45447</v>
      </c>
      <c r="R260">
        <v>3.39</v>
      </c>
      <c r="S260">
        <v>3.4119999999999999</v>
      </c>
      <c r="T260">
        <v>3.47</v>
      </c>
      <c r="U260">
        <v>3.81</v>
      </c>
      <c r="V260">
        <v>3.6</v>
      </c>
      <c r="W260">
        <f t="shared" si="2"/>
        <v>45446</v>
      </c>
      <c r="X260">
        <f>IF($X$99=TRUE,SUM(E260:E$350),"")</f>
        <v>14446655</v>
      </c>
      <c r="Y260">
        <f>IF($Y$99=TRUE,SUM(F260:F$350),"")</f>
        <v>618968</v>
      </c>
      <c r="Z260">
        <f>IF($Z$99=TRUE,SUM(G260:G$350)/1000000,"")</f>
        <v>3328508.0674999999</v>
      </c>
      <c r="AA260">
        <f>IF($AA$99=TRUE,SUM(H260:H$350)/1000000,"")</f>
        <v>-17343981.079999998</v>
      </c>
      <c r="AB260">
        <f>IF($AB$99=TRUE,SUM(AH260:AH$350)/1000,"")</f>
        <v>18458331.149999999</v>
      </c>
      <c r="AD260" s="1">
        <v>45446</v>
      </c>
      <c r="AE260">
        <v>366.1</v>
      </c>
      <c r="AF260">
        <v>104.35</v>
      </c>
      <c r="AG260" s="1">
        <v>45447</v>
      </c>
      <c r="AH260">
        <v>289983168</v>
      </c>
      <c r="AI260" s="1">
        <v>45529</v>
      </c>
      <c r="AJ260">
        <v>5361.7569999999996</v>
      </c>
      <c r="AK260">
        <v>56.765999999999998</v>
      </c>
      <c r="AL260">
        <v>4109.4459999999999</v>
      </c>
      <c r="AM260">
        <v>1308.6030000000001</v>
      </c>
      <c r="AN260">
        <v>1106.9639999999999</v>
      </c>
    </row>
    <row r="261" spans="4:40" hidden="1">
      <c r="D261" s="1">
        <v>45443</v>
      </c>
      <c r="E261">
        <v>-1339927</v>
      </c>
      <c r="F261">
        <v>257495</v>
      </c>
      <c r="G261">
        <v>580583660000</v>
      </c>
      <c r="H261">
        <v>273315280000</v>
      </c>
      <c r="I261">
        <v>-670703150000</v>
      </c>
      <c r="J261">
        <v>0</v>
      </c>
      <c r="K261" s="1">
        <v>45443</v>
      </c>
      <c r="L261">
        <v>2636.52</v>
      </c>
      <c r="M261">
        <v>839.98</v>
      </c>
      <c r="N261">
        <v>613717</v>
      </c>
      <c r="O261">
        <v>360.05</v>
      </c>
      <c r="P261">
        <v>104.27</v>
      </c>
      <c r="Q261" s="1">
        <v>45446</v>
      </c>
      <c r="R261">
        <v>3.4340000000000002</v>
      </c>
      <c r="S261">
        <v>3.4660000000000002</v>
      </c>
      <c r="T261">
        <v>3.532</v>
      </c>
      <c r="U261">
        <v>3.8530000000000002</v>
      </c>
      <c r="V261">
        <v>3.61</v>
      </c>
      <c r="W261">
        <f t="shared" si="2"/>
        <v>45443</v>
      </c>
      <c r="X261">
        <f>IF($X$99=TRUE,SUM(E261:E$350),"")</f>
        <v>14263830</v>
      </c>
      <c r="Y261">
        <f>IF($Y$99=TRUE,SUM(F261:F$350),"")</f>
        <v>485611</v>
      </c>
      <c r="Z261">
        <f>IF($Z$99=TRUE,SUM(G261:G$350)/1000000,"")</f>
        <v>2523184.7174999998</v>
      </c>
      <c r="AA261">
        <f>IF($AA$99=TRUE,SUM(H261:H$350)/1000000,"")</f>
        <v>-18027158.870000001</v>
      </c>
      <c r="AB261">
        <f>IF($AB$99=TRUE,SUM(AH261:AH$350)/1000,"")</f>
        <v>18168347.982000001</v>
      </c>
      <c r="AD261" s="1">
        <v>45443</v>
      </c>
      <c r="AE261">
        <v>360.05</v>
      </c>
      <c r="AF261">
        <v>104.27</v>
      </c>
      <c r="AG261" s="1">
        <v>45446</v>
      </c>
      <c r="AH261">
        <v>279114368</v>
      </c>
      <c r="AI261" s="1">
        <v>45528</v>
      </c>
      <c r="AJ261">
        <v>5361.7569999999996</v>
      </c>
      <c r="AK261">
        <v>56.765999999999998</v>
      </c>
      <c r="AL261">
        <v>4109.4459999999999</v>
      </c>
      <c r="AM261">
        <v>1308.6030000000001</v>
      </c>
      <c r="AN261">
        <v>1106.9639999999999</v>
      </c>
    </row>
    <row r="262" spans="4:40" hidden="1">
      <c r="D262" s="1">
        <v>45442</v>
      </c>
      <c r="E262">
        <v>-777613</v>
      </c>
      <c r="F262">
        <v>39027</v>
      </c>
      <c r="G262">
        <v>-549031537500</v>
      </c>
      <c r="H262">
        <v>-800575380000</v>
      </c>
      <c r="I262">
        <v>-1342388500000</v>
      </c>
      <c r="J262">
        <v>0</v>
      </c>
      <c r="K262" s="1">
        <v>45442</v>
      </c>
      <c r="L262">
        <v>2635.44</v>
      </c>
      <c r="M262">
        <v>831.99</v>
      </c>
      <c r="N262">
        <v>372742</v>
      </c>
      <c r="O262">
        <v>360.1</v>
      </c>
      <c r="P262">
        <v>104.3</v>
      </c>
      <c r="Q262" s="1">
        <v>45443</v>
      </c>
      <c r="R262">
        <v>3.452</v>
      </c>
      <c r="S262">
        <v>3.5019999999999998</v>
      </c>
      <c r="T262">
        <v>3.5779999999999998</v>
      </c>
      <c r="U262">
        <v>3.871</v>
      </c>
      <c r="V262">
        <v>3.61</v>
      </c>
      <c r="W262">
        <f t="shared" si="2"/>
        <v>45442</v>
      </c>
      <c r="X262">
        <f>IF($X$99=TRUE,SUM(E262:E$350),"")</f>
        <v>15603757</v>
      </c>
      <c r="Y262">
        <f>IF($Y$99=TRUE,SUM(F262:F$350),"")</f>
        <v>228116</v>
      </c>
      <c r="Z262">
        <f>IF($Z$99=TRUE,SUM(G262:G$350)/1000000,"")</f>
        <v>1942601.0575000001</v>
      </c>
      <c r="AA262">
        <f>IF($AA$99=TRUE,SUM(H262:H$350)/1000000,"")</f>
        <v>-18300474.149999999</v>
      </c>
      <c r="AB262">
        <f>IF($AB$99=TRUE,SUM(AH262:AH$350)/1000,"")</f>
        <v>17889233.614</v>
      </c>
      <c r="AD262" s="1">
        <v>45442</v>
      </c>
      <c r="AE262">
        <v>360.1</v>
      </c>
      <c r="AF262">
        <v>104.3</v>
      </c>
      <c r="AG262" s="1">
        <v>45443</v>
      </c>
      <c r="AH262">
        <v>231649612</v>
      </c>
      <c r="AI262" s="1">
        <v>45527</v>
      </c>
      <c r="AJ262">
        <v>5361.7569999999996</v>
      </c>
      <c r="AK262">
        <v>56.765999999999998</v>
      </c>
      <c r="AL262">
        <v>4109.4459999999999</v>
      </c>
      <c r="AM262">
        <v>1308.6030000000001</v>
      </c>
      <c r="AN262">
        <v>1106.9639999999999</v>
      </c>
    </row>
    <row r="263" spans="4:40" hidden="1">
      <c r="D263" s="1">
        <v>45441</v>
      </c>
      <c r="E263">
        <v>-1022024</v>
      </c>
      <c r="F263">
        <v>-70623</v>
      </c>
      <c r="G263">
        <v>-1505616400000</v>
      </c>
      <c r="H263">
        <v>-1260628140000</v>
      </c>
      <c r="I263">
        <v>-1277929980000</v>
      </c>
      <c r="J263">
        <v>0</v>
      </c>
      <c r="K263" s="1">
        <v>45441</v>
      </c>
      <c r="L263">
        <v>2677.3</v>
      </c>
      <c r="M263">
        <v>838.45</v>
      </c>
      <c r="N263">
        <v>438980</v>
      </c>
      <c r="O263">
        <v>366.35</v>
      </c>
      <c r="P263">
        <v>104.39</v>
      </c>
      <c r="Q263" s="1">
        <v>45442</v>
      </c>
      <c r="R263">
        <v>3.44</v>
      </c>
      <c r="S263">
        <v>3.488</v>
      </c>
      <c r="T263">
        <v>3.5640000000000001</v>
      </c>
      <c r="U263">
        <v>3.867</v>
      </c>
      <c r="V263">
        <v>3.6</v>
      </c>
      <c r="W263">
        <f t="shared" si="2"/>
        <v>45441</v>
      </c>
      <c r="X263">
        <f>IF($X$99=TRUE,SUM(E263:E$350),"")</f>
        <v>16381370</v>
      </c>
      <c r="Y263">
        <f>IF($Y$99=TRUE,SUM(F263:F$350),"")</f>
        <v>189089</v>
      </c>
      <c r="Z263">
        <f>IF($Z$99=TRUE,SUM(G263:G$350)/1000000,"")</f>
        <v>2491632.5950000002</v>
      </c>
      <c r="AA263">
        <f>IF($AA$99=TRUE,SUM(H263:H$350)/1000000,"")</f>
        <v>-17499898.77</v>
      </c>
      <c r="AB263">
        <f>IF($AB$99=TRUE,SUM(AH263:AH$350)/1000,"")</f>
        <v>17657584.002</v>
      </c>
      <c r="AD263" s="1">
        <v>45441</v>
      </c>
      <c r="AE263">
        <v>366.35</v>
      </c>
      <c r="AF263">
        <v>104.39</v>
      </c>
      <c r="AG263" s="1">
        <v>45442</v>
      </c>
      <c r="AH263">
        <v>224406985</v>
      </c>
      <c r="AI263" s="1">
        <v>45526</v>
      </c>
      <c r="AJ263">
        <v>5298.6610000000001</v>
      </c>
      <c r="AK263">
        <v>57.072000000000003</v>
      </c>
      <c r="AL263">
        <v>4058.5889999999999</v>
      </c>
      <c r="AM263">
        <v>1294.1759999999999</v>
      </c>
      <c r="AN263">
        <v>1107.4780000000001</v>
      </c>
    </row>
    <row r="264" spans="4:40" hidden="1">
      <c r="D264" s="1">
        <v>45440</v>
      </c>
      <c r="E264">
        <v>45321</v>
      </c>
      <c r="F264">
        <v>97110</v>
      </c>
      <c r="G264">
        <v>108072650000</v>
      </c>
      <c r="H264">
        <v>-231534640000</v>
      </c>
      <c r="I264">
        <v>-25924750000</v>
      </c>
      <c r="J264">
        <v>0</v>
      </c>
      <c r="K264" s="1">
        <v>45440</v>
      </c>
      <c r="L264">
        <v>2722.85</v>
      </c>
      <c r="M264">
        <v>851.01</v>
      </c>
      <c r="N264">
        <v>440956</v>
      </c>
      <c r="O264">
        <v>372.05</v>
      </c>
      <c r="P264">
        <v>104.5</v>
      </c>
      <c r="Q264" s="1">
        <v>45441</v>
      </c>
      <c r="R264">
        <v>3.4249999999999998</v>
      </c>
      <c r="S264">
        <v>3.4649999999999999</v>
      </c>
      <c r="T264">
        <v>3.536</v>
      </c>
      <c r="U264">
        <v>3.855</v>
      </c>
      <c r="V264">
        <v>3.61</v>
      </c>
      <c r="W264">
        <f t="shared" si="2"/>
        <v>45440</v>
      </c>
      <c r="X264">
        <f>IF($X$99=TRUE,SUM(E264:E$350),"")</f>
        <v>17403394</v>
      </c>
      <c r="Y264">
        <f>IF($Y$99=TRUE,SUM(F264:F$350),"")</f>
        <v>259712</v>
      </c>
      <c r="Z264">
        <f>IF($Z$99=TRUE,SUM(G264:G$350)/1000000,"")</f>
        <v>3997248.9950000001</v>
      </c>
      <c r="AA264">
        <f>IF($AA$99=TRUE,SUM(H264:H$350)/1000000,"")</f>
        <v>-16239270.630000001</v>
      </c>
      <c r="AB264">
        <f>IF($AB$99=TRUE,SUM(AH264:AH$350)/1000,"")</f>
        <v>17433177.017000001</v>
      </c>
      <c r="AD264" s="1">
        <v>45440</v>
      </c>
      <c r="AE264">
        <v>372.05</v>
      </c>
      <c r="AF264">
        <v>104.5</v>
      </c>
      <c r="AG264" s="1">
        <v>45441</v>
      </c>
      <c r="AH264">
        <v>-145018515</v>
      </c>
      <c r="AI264" s="1">
        <v>45525</v>
      </c>
      <c r="AJ264">
        <v>5347.8389999999999</v>
      </c>
      <c r="AK264">
        <v>56.533999999999999</v>
      </c>
      <c r="AL264">
        <v>4067.0239999999999</v>
      </c>
      <c r="AM264">
        <v>1289.4960000000001</v>
      </c>
      <c r="AN264">
        <v>1104.357</v>
      </c>
    </row>
    <row r="265" spans="4:40" hidden="1">
      <c r="D265" s="1">
        <v>45439</v>
      </c>
      <c r="E265">
        <v>-141030</v>
      </c>
      <c r="F265">
        <v>64189</v>
      </c>
      <c r="G265">
        <v>510768000000</v>
      </c>
      <c r="H265">
        <v>-416860260000</v>
      </c>
      <c r="I265">
        <v>163954140000</v>
      </c>
      <c r="J265">
        <v>0</v>
      </c>
      <c r="K265" s="1">
        <v>45439</v>
      </c>
      <c r="L265">
        <v>2722.99</v>
      </c>
      <c r="M265">
        <v>847.99</v>
      </c>
      <c r="N265">
        <v>556709</v>
      </c>
      <c r="O265">
        <v>371.75</v>
      </c>
      <c r="P265">
        <v>104.44</v>
      </c>
      <c r="Q265" s="1">
        <v>45440</v>
      </c>
      <c r="R265">
        <v>3.3940000000000001</v>
      </c>
      <c r="S265">
        <v>3.4209999999999998</v>
      </c>
      <c r="T265">
        <v>3.4809999999999999</v>
      </c>
      <c r="U265">
        <v>3.8279999999999998</v>
      </c>
      <c r="V265">
        <v>3.62</v>
      </c>
      <c r="W265">
        <f t="shared" si="2"/>
        <v>45439</v>
      </c>
      <c r="X265">
        <f>IF($X$99=TRUE,SUM(E265:E$350),"")</f>
        <v>17358073</v>
      </c>
      <c r="Y265">
        <f>IF($Y$99=TRUE,SUM(F265:F$350),"")</f>
        <v>162602</v>
      </c>
      <c r="Z265">
        <f>IF($Z$99=TRUE,SUM(G265:G$350)/1000000,"")</f>
        <v>3889176.3450000002</v>
      </c>
      <c r="AA265">
        <f>IF($AA$99=TRUE,SUM(H265:H$350)/1000000,"")</f>
        <v>-16007735.99</v>
      </c>
      <c r="AB265">
        <f>IF($AB$99=TRUE,SUM(AH265:AH$350)/1000,"")</f>
        <v>17578195.532000002</v>
      </c>
      <c r="AD265" s="1">
        <v>45439</v>
      </c>
      <c r="AE265">
        <v>371.75</v>
      </c>
      <c r="AF265">
        <v>104.44</v>
      </c>
      <c r="AG265" s="1">
        <v>45440</v>
      </c>
      <c r="AH265">
        <v>47693461</v>
      </c>
      <c r="AI265" s="1">
        <v>45524</v>
      </c>
      <c r="AJ265">
        <v>5322.982</v>
      </c>
      <c r="AK265">
        <v>56.779000000000003</v>
      </c>
      <c r="AL265">
        <v>4072.7689999999998</v>
      </c>
      <c r="AM265">
        <v>1285.2280000000001</v>
      </c>
      <c r="AN265">
        <v>1103.309</v>
      </c>
    </row>
    <row r="266" spans="4:40" hidden="1">
      <c r="D266" s="1">
        <v>45436</v>
      </c>
      <c r="E266">
        <v>-308015</v>
      </c>
      <c r="F266">
        <v>-7727</v>
      </c>
      <c r="G266">
        <v>-1033217600000</v>
      </c>
      <c r="H266">
        <v>-331496000000</v>
      </c>
      <c r="I266">
        <v>-788221020000</v>
      </c>
      <c r="J266">
        <v>0</v>
      </c>
      <c r="K266" s="1">
        <v>45436</v>
      </c>
      <c r="L266">
        <v>2687.6</v>
      </c>
      <c r="M266">
        <v>839.41</v>
      </c>
      <c r="N266">
        <v>501638</v>
      </c>
      <c r="O266">
        <v>366.55</v>
      </c>
      <c r="P266">
        <v>104.43</v>
      </c>
      <c r="Q266" s="1">
        <v>45439</v>
      </c>
      <c r="R266">
        <v>3.4129999999999998</v>
      </c>
      <c r="S266">
        <v>3.4390000000000001</v>
      </c>
      <c r="T266">
        <v>3.4980000000000002</v>
      </c>
      <c r="U266">
        <v>3.851</v>
      </c>
      <c r="V266">
        <v>3.61</v>
      </c>
      <c r="W266">
        <f t="shared" si="2"/>
        <v>45436</v>
      </c>
      <c r="X266">
        <f>IF($X$99=TRUE,SUM(E266:E$350),"")</f>
        <v>17499103</v>
      </c>
      <c r="Y266">
        <f>IF($Y$99=TRUE,SUM(F266:F$350),"")</f>
        <v>98413</v>
      </c>
      <c r="Z266">
        <f>IF($Z$99=TRUE,SUM(G266:G$350)/1000000,"")</f>
        <v>3378408.3450000002</v>
      </c>
      <c r="AA266">
        <f>IF($AA$99=TRUE,SUM(H266:H$350)/1000000,"")</f>
        <v>-15590875.73</v>
      </c>
      <c r="AB266">
        <f>IF($AB$99=TRUE,SUM(AH266:AH$350)/1000,"")</f>
        <v>17530502.070999999</v>
      </c>
      <c r="AD266" s="1">
        <v>45436</v>
      </c>
      <c r="AE266">
        <v>366.55</v>
      </c>
      <c r="AF266">
        <v>104.43</v>
      </c>
      <c r="AG266" s="1">
        <v>45439</v>
      </c>
      <c r="AH266">
        <v>45976612</v>
      </c>
      <c r="AI266" s="1">
        <v>45523</v>
      </c>
      <c r="AJ266">
        <v>5335.1779999999999</v>
      </c>
      <c r="AK266">
        <v>57.284999999999997</v>
      </c>
      <c r="AL266">
        <v>4010.4160000000002</v>
      </c>
      <c r="AM266">
        <v>1293.9490000000001</v>
      </c>
      <c r="AN266">
        <v>1094.6220000000001</v>
      </c>
    </row>
    <row r="267" spans="4:40" hidden="1">
      <c r="D267" s="1">
        <v>45435</v>
      </c>
      <c r="E267">
        <v>356731</v>
      </c>
      <c r="F267">
        <v>60752</v>
      </c>
      <c r="G267">
        <v>-263329025000</v>
      </c>
      <c r="H267">
        <v>968775130000</v>
      </c>
      <c r="I267">
        <v>590728800000</v>
      </c>
      <c r="J267">
        <v>0</v>
      </c>
      <c r="K267" s="1">
        <v>45435</v>
      </c>
      <c r="L267">
        <v>2721.81</v>
      </c>
      <c r="M267">
        <v>846.58</v>
      </c>
      <c r="N267">
        <v>428079</v>
      </c>
      <c r="O267">
        <v>372.75</v>
      </c>
      <c r="P267">
        <v>104.49</v>
      </c>
      <c r="Q267" s="1">
        <v>45436</v>
      </c>
      <c r="R267">
        <v>3.423</v>
      </c>
      <c r="S267">
        <v>3.4510000000000001</v>
      </c>
      <c r="T267">
        <v>3.5150000000000001</v>
      </c>
      <c r="U267">
        <v>3.8610000000000002</v>
      </c>
      <c r="V267">
        <v>3.6</v>
      </c>
      <c r="W267">
        <f t="shared" si="2"/>
        <v>45435</v>
      </c>
      <c r="X267">
        <f>IF($X$99=TRUE,SUM(E267:E$350),"")</f>
        <v>17807118</v>
      </c>
      <c r="Y267">
        <f>IF($Y$99=TRUE,SUM(F267:F$350),"")</f>
        <v>106140</v>
      </c>
      <c r="Z267">
        <f>IF($Z$99=TRUE,SUM(G267:G$350)/1000000,"")</f>
        <v>4411625.9450000003</v>
      </c>
      <c r="AA267">
        <f>IF($AA$99=TRUE,SUM(H267:H$350)/1000000,"")</f>
        <v>-15259379.73</v>
      </c>
      <c r="AB267">
        <f>IF($AB$99=TRUE,SUM(AH267:AH$350)/1000,"")</f>
        <v>17484525.458999999</v>
      </c>
      <c r="AD267" s="1">
        <v>45435</v>
      </c>
      <c r="AE267">
        <v>372.75</v>
      </c>
      <c r="AF267">
        <v>104.49</v>
      </c>
      <c r="AG267" s="1">
        <v>45436</v>
      </c>
      <c r="AH267">
        <v>604973936</v>
      </c>
      <c r="AI267" s="1">
        <v>45522</v>
      </c>
      <c r="AJ267">
        <v>5283.2849999999999</v>
      </c>
      <c r="AK267">
        <v>56.728999999999999</v>
      </c>
      <c r="AL267">
        <v>4026.6370000000002</v>
      </c>
      <c r="AM267">
        <v>1277.837</v>
      </c>
      <c r="AN267">
        <v>1091.096</v>
      </c>
    </row>
    <row r="268" spans="4:40" hidden="1">
      <c r="D268" s="1">
        <v>45434</v>
      </c>
      <c r="E268">
        <v>296794</v>
      </c>
      <c r="F268">
        <v>-15140</v>
      </c>
      <c r="G268">
        <v>-31383037500</v>
      </c>
      <c r="H268">
        <v>-575449760000</v>
      </c>
      <c r="I268">
        <v>35096370000</v>
      </c>
      <c r="J268">
        <v>0</v>
      </c>
      <c r="K268" s="1">
        <v>45434</v>
      </c>
      <c r="L268">
        <v>2723.46</v>
      </c>
      <c r="M268">
        <v>845.72</v>
      </c>
      <c r="N268">
        <v>484723</v>
      </c>
      <c r="O268">
        <v>372.85</v>
      </c>
      <c r="P268">
        <v>104.41</v>
      </c>
      <c r="Q268" s="1">
        <v>45435</v>
      </c>
      <c r="R268">
        <v>3.4020000000000001</v>
      </c>
      <c r="S268">
        <v>3.4209999999999998</v>
      </c>
      <c r="T268">
        <v>3.472</v>
      </c>
      <c r="U268">
        <v>3.84</v>
      </c>
      <c r="V268">
        <v>3.6</v>
      </c>
      <c r="W268">
        <f t="shared" si="2"/>
        <v>45434</v>
      </c>
      <c r="X268">
        <f>IF($X$99=TRUE,SUM(E268:E$350),"")</f>
        <v>17450387</v>
      </c>
      <c r="Y268">
        <f>IF($Y$99=TRUE,SUM(F268:F$350),"")</f>
        <v>45388</v>
      </c>
      <c r="Z268">
        <f>IF($Z$99=TRUE,SUM(G268:G$350)/1000000,"")</f>
        <v>4674954.97</v>
      </c>
      <c r="AA268">
        <f>IF($AA$99=TRUE,SUM(H268:H$350)/1000000,"")</f>
        <v>-16228154.859999999</v>
      </c>
      <c r="AB268">
        <f>IF($AB$99=TRUE,SUM(AH268:AH$350)/1000,"")</f>
        <v>16879551.522999998</v>
      </c>
      <c r="AD268" s="1">
        <v>45434</v>
      </c>
      <c r="AE268">
        <v>372.85</v>
      </c>
      <c r="AF268">
        <v>104.41</v>
      </c>
      <c r="AG268" s="1">
        <v>45435</v>
      </c>
      <c r="AH268">
        <v>154210072</v>
      </c>
      <c r="AI268" s="1">
        <v>45521</v>
      </c>
      <c r="AJ268">
        <v>5283.2849999999999</v>
      </c>
      <c r="AK268">
        <v>56.728999999999999</v>
      </c>
      <c r="AL268">
        <v>4026.6370000000002</v>
      </c>
      <c r="AM268">
        <v>1277.837</v>
      </c>
      <c r="AN268">
        <v>1091.096</v>
      </c>
    </row>
    <row r="269" spans="4:40" hidden="1">
      <c r="D269" s="1">
        <v>45433</v>
      </c>
      <c r="E269">
        <v>-105786</v>
      </c>
      <c r="F269">
        <v>-4977</v>
      </c>
      <c r="G269">
        <v>-274902662500</v>
      </c>
      <c r="H269">
        <v>-530101020000</v>
      </c>
      <c r="I269">
        <v>-326041210000</v>
      </c>
      <c r="J269">
        <v>0</v>
      </c>
      <c r="K269" s="1">
        <v>45433</v>
      </c>
      <c r="L269">
        <v>2724.18</v>
      </c>
      <c r="M269">
        <v>846.51</v>
      </c>
      <c r="N269">
        <v>560819</v>
      </c>
      <c r="O269">
        <v>373.25</v>
      </c>
      <c r="P269">
        <v>104.43</v>
      </c>
      <c r="Q269" s="1">
        <v>45434</v>
      </c>
      <c r="R269">
        <v>3.4089999999999998</v>
      </c>
      <c r="S269">
        <v>3.4359999999999999</v>
      </c>
      <c r="T269">
        <v>3.4780000000000002</v>
      </c>
      <c r="U269">
        <v>3.8479999999999999</v>
      </c>
      <c r="V269">
        <v>3.6</v>
      </c>
      <c r="W269">
        <f t="shared" si="2"/>
        <v>45433</v>
      </c>
      <c r="X269">
        <f>IF($X$99=TRUE,SUM(E269:E$350),"")</f>
        <v>17153593</v>
      </c>
      <c r="Y269">
        <f>IF($Y$99=TRUE,SUM(F269:F$350),"")</f>
        <v>60528</v>
      </c>
      <c r="Z269">
        <f>IF($Z$99=TRUE,SUM(G269:G$350)/1000000,"")</f>
        <v>4706338.0075000003</v>
      </c>
      <c r="AA269">
        <f>IF($AA$99=TRUE,SUM(H269:H$350)/1000000,"")</f>
        <v>-15652705.1</v>
      </c>
      <c r="AB269">
        <f>IF($AB$99=TRUE,SUM(AH269:AH$350)/1000,"")</f>
        <v>16725341.450999999</v>
      </c>
      <c r="AD269" s="1">
        <v>45433</v>
      </c>
      <c r="AE269">
        <v>373.25</v>
      </c>
      <c r="AF269">
        <v>104.43</v>
      </c>
      <c r="AG269" s="1">
        <v>45434</v>
      </c>
      <c r="AH269">
        <v>181370238</v>
      </c>
      <c r="AI269" s="1">
        <v>45520</v>
      </c>
      <c r="AJ269">
        <v>5283.2849999999999</v>
      </c>
      <c r="AK269">
        <v>56.728999999999999</v>
      </c>
      <c r="AL269">
        <v>4026.6370000000002</v>
      </c>
      <c r="AM269">
        <v>1277.837</v>
      </c>
      <c r="AN269">
        <v>1091.096</v>
      </c>
    </row>
    <row r="270" spans="4:40" hidden="1">
      <c r="D270" s="1">
        <v>45432</v>
      </c>
      <c r="E270">
        <v>-16860</v>
      </c>
      <c r="F270">
        <v>-47663</v>
      </c>
      <c r="G270">
        <v>744313187500</v>
      </c>
      <c r="H270">
        <v>-4303850000</v>
      </c>
      <c r="I270">
        <v>-115345880000</v>
      </c>
      <c r="J270">
        <v>0</v>
      </c>
      <c r="K270" s="1">
        <v>45432</v>
      </c>
      <c r="L270">
        <v>2742.14</v>
      </c>
      <c r="M270">
        <v>847.08</v>
      </c>
      <c r="N270">
        <v>582071</v>
      </c>
      <c r="O270">
        <v>374.65</v>
      </c>
      <c r="P270">
        <v>104.43</v>
      </c>
      <c r="Q270" s="1">
        <v>45433</v>
      </c>
      <c r="R270">
        <v>3.411</v>
      </c>
      <c r="S270">
        <v>3.4409999999999998</v>
      </c>
      <c r="T270">
        <v>3.4910000000000001</v>
      </c>
      <c r="U270">
        <v>3.8530000000000002</v>
      </c>
      <c r="V270">
        <v>3.6</v>
      </c>
      <c r="W270">
        <f t="shared" si="2"/>
        <v>45432</v>
      </c>
      <c r="X270">
        <f>IF($X$99=TRUE,SUM(E270:E$350),"")</f>
        <v>17259379</v>
      </c>
      <c r="Y270">
        <f>IF($Y$99=TRUE,SUM(F270:F$350),"")</f>
        <v>65505</v>
      </c>
      <c r="Z270">
        <f>IF($Z$99=TRUE,SUM(G270:G$350)/1000000,"")</f>
        <v>4981240.67</v>
      </c>
      <c r="AA270">
        <f>IF($AA$99=TRUE,SUM(H270:H$350)/1000000,"")</f>
        <v>-15122604.08</v>
      </c>
      <c r="AB270">
        <f>IF($AB$99=TRUE,SUM(AH270:AH$350)/1000,"")</f>
        <v>16543971.213</v>
      </c>
      <c r="AD270" s="1">
        <v>45432</v>
      </c>
      <c r="AE270">
        <v>374.65</v>
      </c>
      <c r="AF270">
        <v>104.43</v>
      </c>
      <c r="AG270" s="1">
        <v>45433</v>
      </c>
      <c r="AH270">
        <v>276939750</v>
      </c>
      <c r="AI270" s="1">
        <v>45519</v>
      </c>
      <c r="AJ270">
        <v>5272.9639999999999</v>
      </c>
      <c r="AK270">
        <v>55.841000000000001</v>
      </c>
      <c r="AL270">
        <v>3874.71</v>
      </c>
      <c r="AM270">
        <v>1279.404</v>
      </c>
      <c r="AN270">
        <v>1072.4190000000001</v>
      </c>
    </row>
    <row r="271" spans="4:40" hidden="1">
      <c r="D271" s="1">
        <v>45429</v>
      </c>
      <c r="E271">
        <v>-240947</v>
      </c>
      <c r="F271">
        <v>-132736</v>
      </c>
      <c r="G271">
        <v>-372495275000</v>
      </c>
      <c r="H271">
        <v>-145115810000</v>
      </c>
      <c r="I271">
        <v>1074089930000</v>
      </c>
      <c r="J271">
        <v>0</v>
      </c>
      <c r="K271" s="1">
        <v>45429</v>
      </c>
      <c r="L271">
        <v>2724.62</v>
      </c>
      <c r="M271">
        <v>855.06</v>
      </c>
      <c r="N271">
        <v>575936</v>
      </c>
      <c r="O271">
        <v>371.35</v>
      </c>
      <c r="P271">
        <v>104.54</v>
      </c>
      <c r="Q271" s="1">
        <v>45432</v>
      </c>
      <c r="R271">
        <v>3.4119999999999999</v>
      </c>
      <c r="S271">
        <v>3.444</v>
      </c>
      <c r="T271">
        <v>3.4969999999999999</v>
      </c>
      <c r="U271">
        <v>3.8530000000000002</v>
      </c>
      <c r="V271">
        <v>3.6</v>
      </c>
      <c r="W271">
        <f t="shared" si="2"/>
        <v>45429</v>
      </c>
      <c r="X271">
        <f>IF($X$99=TRUE,SUM(E271:E$350),"")</f>
        <v>17276239</v>
      </c>
      <c r="Y271">
        <f>IF($Y$99=TRUE,SUM(F271:F$350),"")</f>
        <v>113168</v>
      </c>
      <c r="Z271">
        <f>IF($Z$99=TRUE,SUM(G271:G$350)/1000000,"")</f>
        <v>4236927.4824999999</v>
      </c>
      <c r="AA271">
        <f>IF($AA$99=TRUE,SUM(H271:H$350)/1000000,"")</f>
        <v>-15118300.23</v>
      </c>
      <c r="AB271">
        <f>IF($AB$99=TRUE,SUM(AH271:AH$350)/1000,"")</f>
        <v>16267031.463</v>
      </c>
      <c r="AD271" s="1">
        <v>45429</v>
      </c>
      <c r="AE271">
        <v>371.35</v>
      </c>
      <c r="AF271">
        <v>104.54</v>
      </c>
      <c r="AG271" s="1">
        <v>45432</v>
      </c>
      <c r="AH271">
        <v>-14174325</v>
      </c>
      <c r="AI271" s="1">
        <v>45518</v>
      </c>
      <c r="AJ271">
        <v>5187.5190000000002</v>
      </c>
      <c r="AK271">
        <v>55.831000000000003</v>
      </c>
      <c r="AL271">
        <v>3907.1819999999998</v>
      </c>
      <c r="AM271">
        <v>1270.3109999999999</v>
      </c>
      <c r="AN271">
        <v>1072.4190000000001</v>
      </c>
    </row>
    <row r="272" spans="4:40" hidden="1">
      <c r="D272" s="1">
        <v>45428</v>
      </c>
      <c r="E272">
        <v>425869</v>
      </c>
      <c r="F272">
        <v>37904</v>
      </c>
      <c r="G272">
        <v>133446350000</v>
      </c>
      <c r="H272">
        <v>-1403577070000</v>
      </c>
      <c r="I272">
        <v>1194158930000</v>
      </c>
      <c r="J272">
        <v>0</v>
      </c>
      <c r="K272" s="1">
        <v>45428</v>
      </c>
      <c r="L272">
        <v>2753</v>
      </c>
      <c r="M272">
        <v>870.37</v>
      </c>
      <c r="N272">
        <v>521841</v>
      </c>
      <c r="O272">
        <v>376</v>
      </c>
      <c r="P272">
        <v>104.54</v>
      </c>
      <c r="Q272" s="1">
        <v>45429</v>
      </c>
      <c r="R272">
        <v>3.379</v>
      </c>
      <c r="S272">
        <v>3.4129999999999998</v>
      </c>
      <c r="T272">
        <v>3.4540000000000002</v>
      </c>
      <c r="U272">
        <v>3.8250000000000002</v>
      </c>
      <c r="V272">
        <v>3.6</v>
      </c>
      <c r="W272">
        <f t="shared" si="2"/>
        <v>45428</v>
      </c>
      <c r="X272">
        <f>IF($X$99=TRUE,SUM(E272:E$350),"")</f>
        <v>17517186</v>
      </c>
      <c r="Y272">
        <f>IF($Y$99=TRUE,SUM(F272:F$350),"")</f>
        <v>245904</v>
      </c>
      <c r="Z272">
        <f>IF($Z$99=TRUE,SUM(G272:G$350)/1000000,"")</f>
        <v>4609422.7575000003</v>
      </c>
      <c r="AA272">
        <f>IF($AA$99=TRUE,SUM(H272:H$350)/1000000,"")</f>
        <v>-14973184.42</v>
      </c>
      <c r="AB272">
        <f>IF($AB$99=TRUE,SUM(AH272:AH$350)/1000,"")</f>
        <v>16281205.788000001</v>
      </c>
      <c r="AD272" s="1">
        <v>45428</v>
      </c>
      <c r="AE272">
        <v>376</v>
      </c>
      <c r="AF272">
        <v>104.54</v>
      </c>
      <c r="AG272" s="1">
        <v>45429</v>
      </c>
      <c r="AH272">
        <v>-96253758</v>
      </c>
      <c r="AI272" s="1">
        <v>45517</v>
      </c>
      <c r="AJ272">
        <v>5168.0889999999999</v>
      </c>
      <c r="AK272">
        <v>56.331000000000003</v>
      </c>
      <c r="AL272">
        <v>3858.5940000000001</v>
      </c>
      <c r="AM272">
        <v>1258.8219999999999</v>
      </c>
      <c r="AN272">
        <v>1072.8800000000001</v>
      </c>
    </row>
    <row r="273" spans="4:40" hidden="1">
      <c r="D273" s="1">
        <v>45426</v>
      </c>
      <c r="E273">
        <v>80109</v>
      </c>
      <c r="F273">
        <v>214201</v>
      </c>
      <c r="G273">
        <v>118629362500</v>
      </c>
      <c r="H273">
        <v>-64523650000</v>
      </c>
      <c r="I273">
        <v>112292900000</v>
      </c>
      <c r="J273">
        <v>0</v>
      </c>
      <c r="K273" s="1">
        <v>45426</v>
      </c>
      <c r="L273">
        <v>2730.34</v>
      </c>
      <c r="M273">
        <v>862.15</v>
      </c>
      <c r="N273">
        <v>443295</v>
      </c>
      <c r="O273">
        <v>371.85</v>
      </c>
      <c r="P273">
        <v>104.31</v>
      </c>
      <c r="Q273" s="1">
        <v>45428</v>
      </c>
      <c r="R273">
        <v>3.375</v>
      </c>
      <c r="S273">
        <v>3.4079999999999999</v>
      </c>
      <c r="T273">
        <v>3.4580000000000002</v>
      </c>
      <c r="U273">
        <v>3.82</v>
      </c>
      <c r="V273">
        <v>3.6</v>
      </c>
      <c r="W273">
        <f t="shared" si="2"/>
        <v>45426</v>
      </c>
      <c r="X273">
        <f>IF($X$99=TRUE,SUM(E273:E$350),"")</f>
        <v>17091317</v>
      </c>
      <c r="Y273">
        <f>IF($Y$99=TRUE,SUM(F273:F$350),"")</f>
        <v>208000</v>
      </c>
      <c r="Z273">
        <f>IF($Z$99=TRUE,SUM(G273:G$350)/1000000,"")</f>
        <v>4475976.4074999997</v>
      </c>
      <c r="AA273">
        <f>IF($AA$99=TRUE,SUM(H273:H$350)/1000000,"")</f>
        <v>-13569607.35</v>
      </c>
      <c r="AB273">
        <f>IF($AB$99=TRUE,SUM(AH273:AH$350)/1000,"")</f>
        <v>16377459.546</v>
      </c>
      <c r="AD273" s="1">
        <v>45426</v>
      </c>
      <c r="AE273">
        <v>371.85</v>
      </c>
      <c r="AF273">
        <v>104.31</v>
      </c>
      <c r="AG273" s="1">
        <v>45428</v>
      </c>
      <c r="AH273">
        <v>-4063508</v>
      </c>
      <c r="AI273" s="1">
        <v>45516</v>
      </c>
      <c r="AJ273">
        <v>5081.2179999999998</v>
      </c>
      <c r="AK273">
        <v>56.122999999999998</v>
      </c>
      <c r="AL273">
        <v>3719.3180000000002</v>
      </c>
      <c r="AM273">
        <v>1251.287</v>
      </c>
      <c r="AN273">
        <v>1080.797</v>
      </c>
    </row>
    <row r="274" spans="4:40" hidden="1">
      <c r="D274" s="1">
        <v>45425</v>
      </c>
      <c r="E274">
        <v>17496</v>
      </c>
      <c r="F274">
        <v>-86892</v>
      </c>
      <c r="G274">
        <v>-8840137500</v>
      </c>
      <c r="H274">
        <v>219439660000</v>
      </c>
      <c r="I274">
        <v>758702050000</v>
      </c>
      <c r="J274">
        <v>0</v>
      </c>
      <c r="K274" s="1">
        <v>45425</v>
      </c>
      <c r="L274">
        <v>2727.21</v>
      </c>
      <c r="M274">
        <v>854.43</v>
      </c>
      <c r="N274">
        <v>625277</v>
      </c>
      <c r="O274">
        <v>371.65</v>
      </c>
      <c r="P274">
        <v>104.32</v>
      </c>
      <c r="Q274" s="1">
        <v>45426</v>
      </c>
      <c r="R274">
        <v>3.4540000000000002</v>
      </c>
      <c r="S274">
        <v>3.4889999999999999</v>
      </c>
      <c r="T274">
        <v>3.5459999999999998</v>
      </c>
      <c r="U274">
        <v>3.9</v>
      </c>
      <c r="V274">
        <v>3.6</v>
      </c>
      <c r="W274">
        <f t="shared" si="2"/>
        <v>45425</v>
      </c>
      <c r="X274">
        <f>IF($X$99=TRUE,SUM(E274:E$350),"")</f>
        <v>17011208</v>
      </c>
      <c r="Y274">
        <f>IF($Y$99=TRUE,SUM(F274:F$350),"")</f>
        <v>-6201</v>
      </c>
      <c r="Z274">
        <f>IF($Z$99=TRUE,SUM(G274:G$350)/1000000,"")</f>
        <v>4357347.0449999999</v>
      </c>
      <c r="AA274">
        <f>IF($AA$99=TRUE,SUM(H274:H$350)/1000000,"")</f>
        <v>-13505083.699999999</v>
      </c>
      <c r="AB274">
        <f>IF($AB$99=TRUE,SUM(AH274:AH$350)/1000,"")</f>
        <v>16381523.054</v>
      </c>
      <c r="AD274" s="1">
        <v>45425</v>
      </c>
      <c r="AE274">
        <v>371.65</v>
      </c>
      <c r="AF274">
        <v>104.32</v>
      </c>
      <c r="AG274" s="1">
        <v>45426</v>
      </c>
      <c r="AH274">
        <v>250720088</v>
      </c>
      <c r="AI274" s="1">
        <v>45515</v>
      </c>
      <c r="AJ274">
        <v>5081.8230000000003</v>
      </c>
      <c r="AK274">
        <v>55.79</v>
      </c>
      <c r="AL274">
        <v>3752.3020000000001</v>
      </c>
      <c r="AM274">
        <v>1242.6510000000001</v>
      </c>
      <c r="AN274">
        <v>1082.684</v>
      </c>
    </row>
    <row r="275" spans="4:40" hidden="1">
      <c r="D275" s="1">
        <v>45422</v>
      </c>
      <c r="E275">
        <v>148202</v>
      </c>
      <c r="F275">
        <v>-19937</v>
      </c>
      <c r="G275">
        <v>162704750000</v>
      </c>
      <c r="H275">
        <v>1681457130000</v>
      </c>
      <c r="I275">
        <v>289150330000</v>
      </c>
      <c r="J275">
        <v>0</v>
      </c>
      <c r="K275" s="1">
        <v>45422</v>
      </c>
      <c r="L275">
        <v>2727.63</v>
      </c>
      <c r="M275">
        <v>864.16</v>
      </c>
      <c r="N275">
        <v>586133</v>
      </c>
      <c r="O275">
        <v>372.4</v>
      </c>
      <c r="P275">
        <v>104.36</v>
      </c>
      <c r="Q275" s="1">
        <v>45425</v>
      </c>
      <c r="R275">
        <v>3.452</v>
      </c>
      <c r="S275">
        <v>3.4929999999999999</v>
      </c>
      <c r="T275">
        <v>3.5539999999999998</v>
      </c>
      <c r="U275">
        <v>3.9039999999999999</v>
      </c>
      <c r="V275">
        <v>3.59</v>
      </c>
      <c r="W275">
        <f t="shared" si="2"/>
        <v>45422</v>
      </c>
      <c r="X275">
        <f>IF($X$99=TRUE,SUM(E275:E$350),"")</f>
        <v>16993712</v>
      </c>
      <c r="Y275">
        <f>IF($Y$99=TRUE,SUM(F275:F$350),"")</f>
        <v>80691</v>
      </c>
      <c r="Z275">
        <f>IF($Z$99=TRUE,SUM(G275:G$350)/1000000,"")</f>
        <v>4366187.1825000001</v>
      </c>
      <c r="AA275">
        <f>IF($AA$99=TRUE,SUM(H275:H$350)/1000000,"")</f>
        <v>-13724523.359999999</v>
      </c>
      <c r="AB275">
        <f>IF($AB$99=TRUE,SUM(AH275:AH$350)/1000,"")</f>
        <v>16130802.966</v>
      </c>
      <c r="AD275" s="1">
        <v>45422</v>
      </c>
      <c r="AE275">
        <v>372.4</v>
      </c>
      <c r="AF275">
        <v>104.36</v>
      </c>
      <c r="AG275" s="1">
        <v>45425</v>
      </c>
      <c r="AH275">
        <v>111625109</v>
      </c>
      <c r="AI275" s="1">
        <v>45514</v>
      </c>
      <c r="AJ275">
        <v>5081.8230000000003</v>
      </c>
      <c r="AK275">
        <v>55.79</v>
      </c>
      <c r="AL275">
        <v>3752.3020000000001</v>
      </c>
      <c r="AM275">
        <v>1242.6510000000001</v>
      </c>
      <c r="AN275">
        <v>1082.684</v>
      </c>
    </row>
    <row r="276" spans="4:40" hidden="1">
      <c r="D276" s="1">
        <v>45421</v>
      </c>
      <c r="E276">
        <v>-354636</v>
      </c>
      <c r="F276">
        <v>-23609</v>
      </c>
      <c r="G276">
        <v>-603206025000</v>
      </c>
      <c r="H276">
        <v>-987803050000</v>
      </c>
      <c r="I276">
        <v>149109670000</v>
      </c>
      <c r="J276">
        <v>-5445860000</v>
      </c>
      <c r="K276" s="1">
        <v>45421</v>
      </c>
      <c r="L276">
        <v>2712.14</v>
      </c>
      <c r="M276">
        <v>870.15</v>
      </c>
      <c r="N276">
        <v>423810</v>
      </c>
      <c r="O276">
        <v>370.95</v>
      </c>
      <c r="P276">
        <v>104.3</v>
      </c>
      <c r="Q276" s="1">
        <v>45422</v>
      </c>
      <c r="R276">
        <v>3.44</v>
      </c>
      <c r="S276">
        <v>3.4780000000000002</v>
      </c>
      <c r="T276">
        <v>3.5379999999999998</v>
      </c>
      <c r="U276">
        <v>3.8940000000000001</v>
      </c>
      <c r="V276">
        <v>3.58</v>
      </c>
      <c r="W276">
        <f t="shared" si="2"/>
        <v>45421</v>
      </c>
      <c r="X276">
        <f>IF($X$99=TRUE,SUM(E276:E$350),"")</f>
        <v>16845510</v>
      </c>
      <c r="Y276">
        <f>IF($Y$99=TRUE,SUM(F276:F$350),"")</f>
        <v>100628</v>
      </c>
      <c r="Z276">
        <f>IF($Z$99=TRUE,SUM(G276:G$350)/1000000,"")</f>
        <v>4203482.4325000001</v>
      </c>
      <c r="AA276">
        <f>IF($AA$99=TRUE,SUM(H276:H$350)/1000000,"")</f>
        <v>-15405980.49</v>
      </c>
      <c r="AB276">
        <f>IF($AB$99=TRUE,SUM(AH276:AH$350)/1000,"")</f>
        <v>16019177.857000001</v>
      </c>
      <c r="AD276" s="1">
        <v>45421</v>
      </c>
      <c r="AE276">
        <v>370.95</v>
      </c>
      <c r="AF276">
        <v>104.3</v>
      </c>
      <c r="AG276" s="1">
        <v>45422</v>
      </c>
      <c r="AH276">
        <v>63860151</v>
      </c>
      <c r="AI276" s="1">
        <v>45513</v>
      </c>
      <c r="AJ276">
        <v>5081.8230000000003</v>
      </c>
      <c r="AK276">
        <v>55.79</v>
      </c>
      <c r="AL276">
        <v>3752.3020000000001</v>
      </c>
      <c r="AM276">
        <v>1242.6510000000001</v>
      </c>
      <c r="AN276">
        <v>1082.684</v>
      </c>
    </row>
    <row r="277" spans="4:40" hidden="1">
      <c r="D277" s="1">
        <v>45420</v>
      </c>
      <c r="E277">
        <v>399580</v>
      </c>
      <c r="F277">
        <v>1477</v>
      </c>
      <c r="G277">
        <v>782824400000</v>
      </c>
      <c r="H277">
        <v>-189228330000</v>
      </c>
      <c r="I277">
        <v>912630630000</v>
      </c>
      <c r="J277">
        <v>-387040000</v>
      </c>
      <c r="K277" s="1">
        <v>45420</v>
      </c>
      <c r="L277">
        <v>2745.05</v>
      </c>
      <c r="M277">
        <v>872.42</v>
      </c>
      <c r="N277">
        <v>436315</v>
      </c>
      <c r="O277">
        <v>375.3</v>
      </c>
      <c r="P277">
        <v>104.37</v>
      </c>
      <c r="Q277" s="1">
        <v>45421</v>
      </c>
      <c r="R277">
        <v>3.4529999999999998</v>
      </c>
      <c r="S277">
        <v>3.49</v>
      </c>
      <c r="T277">
        <v>3.556</v>
      </c>
      <c r="U277">
        <v>3.9129999999999998</v>
      </c>
      <c r="V277">
        <v>3.58</v>
      </c>
      <c r="W277">
        <f t="shared" si="2"/>
        <v>45420</v>
      </c>
      <c r="X277">
        <f>IF($X$99=TRUE,SUM(E277:E$350),"")</f>
        <v>17200146</v>
      </c>
      <c r="Y277">
        <f>IF($Y$99=TRUE,SUM(F277:F$350),"")</f>
        <v>124237</v>
      </c>
      <c r="Z277">
        <f>IF($Z$99=TRUE,SUM(G277:G$350)/1000000,"")</f>
        <v>4806688.4574999996</v>
      </c>
      <c r="AA277">
        <f>IF($AA$99=TRUE,SUM(H277:H$350)/1000000,"")</f>
        <v>-14418177.439999999</v>
      </c>
      <c r="AB277">
        <f>IF($AB$99=TRUE,SUM(AH277:AH$350)/1000,"")</f>
        <v>15955317.706</v>
      </c>
      <c r="AD277" s="1">
        <v>45420</v>
      </c>
      <c r="AE277">
        <v>375.3</v>
      </c>
      <c r="AF277">
        <v>104.37</v>
      </c>
      <c r="AG277" s="1">
        <v>45421</v>
      </c>
      <c r="AH277">
        <v>186925164</v>
      </c>
      <c r="AI277" s="1">
        <v>45512</v>
      </c>
      <c r="AJ277">
        <v>5057.6949999999997</v>
      </c>
      <c r="AK277">
        <v>55.35</v>
      </c>
      <c r="AL277">
        <v>3704.7269999999999</v>
      </c>
      <c r="AM277">
        <v>1234.3689999999999</v>
      </c>
      <c r="AN277">
        <v>1071.2619999999999</v>
      </c>
    </row>
    <row r="278" spans="4:40" hidden="1">
      <c r="D278" s="1">
        <v>45419</v>
      </c>
      <c r="E278">
        <v>1107283</v>
      </c>
      <c r="F278">
        <v>120391</v>
      </c>
      <c r="G278">
        <v>2344733587500</v>
      </c>
      <c r="H278">
        <v>-1509442180000</v>
      </c>
      <c r="I278">
        <v>900118940000</v>
      </c>
      <c r="J278">
        <v>-4680000000</v>
      </c>
      <c r="K278" s="1">
        <v>45419</v>
      </c>
      <c r="L278">
        <v>2734.36</v>
      </c>
      <c r="M278">
        <v>871.26</v>
      </c>
      <c r="N278">
        <v>532203</v>
      </c>
      <c r="O278">
        <v>373.7</v>
      </c>
      <c r="P278">
        <v>104.33</v>
      </c>
      <c r="Q278" s="1">
        <v>45420</v>
      </c>
      <c r="R278">
        <v>3.4390000000000001</v>
      </c>
      <c r="S278">
        <v>3.4729999999999999</v>
      </c>
      <c r="T278">
        <v>3.53</v>
      </c>
      <c r="U278">
        <v>3.9009999999999998</v>
      </c>
      <c r="V278">
        <v>3.58</v>
      </c>
      <c r="W278">
        <f t="shared" si="2"/>
        <v>45419</v>
      </c>
      <c r="X278">
        <f>IF($X$99=TRUE,SUM(E278:E$350),"")</f>
        <v>16800566</v>
      </c>
      <c r="Y278">
        <f>IF($Y$99=TRUE,SUM(F278:F$350),"")</f>
        <v>122760</v>
      </c>
      <c r="Z278">
        <f>IF($Z$99=TRUE,SUM(G278:G$350)/1000000,"")</f>
        <v>4023864.0575000001</v>
      </c>
      <c r="AA278">
        <f>IF($AA$99=TRUE,SUM(H278:H$350)/1000000,"")</f>
        <v>-14228949.109999999</v>
      </c>
      <c r="AB278">
        <f>IF($AB$99=TRUE,SUM(AH278:AH$350)/1000,"")</f>
        <v>15768392.541999999</v>
      </c>
      <c r="AD278" s="1">
        <v>45419</v>
      </c>
      <c r="AE278">
        <v>373.7</v>
      </c>
      <c r="AF278">
        <v>104.33</v>
      </c>
      <c r="AG278" s="1">
        <v>45420</v>
      </c>
      <c r="AH278">
        <v>551439612</v>
      </c>
      <c r="AI278" s="1">
        <v>45511</v>
      </c>
      <c r="AJ278">
        <v>4941.6059999999998</v>
      </c>
      <c r="AK278">
        <v>55.142000000000003</v>
      </c>
      <c r="AL278">
        <v>3749.0439999999999</v>
      </c>
      <c r="AM278">
        <v>1238.2159999999999</v>
      </c>
      <c r="AN278">
        <v>1080.02</v>
      </c>
    </row>
    <row r="279" spans="4:40" hidden="1">
      <c r="D279" s="1">
        <v>45415</v>
      </c>
      <c r="E279">
        <v>89817</v>
      </c>
      <c r="F279">
        <v>-37061</v>
      </c>
      <c r="G279">
        <v>-547180100000</v>
      </c>
      <c r="H279">
        <v>716540030000</v>
      </c>
      <c r="I279">
        <v>518474720000</v>
      </c>
      <c r="J279">
        <v>0</v>
      </c>
      <c r="K279" s="1">
        <v>45415</v>
      </c>
      <c r="L279">
        <v>2676.63</v>
      </c>
      <c r="M279">
        <v>865.59</v>
      </c>
      <c r="N279">
        <v>338612</v>
      </c>
      <c r="O279">
        <v>364.5</v>
      </c>
      <c r="P279">
        <v>104.14</v>
      </c>
      <c r="Q279" s="1">
        <v>45419</v>
      </c>
      <c r="R279">
        <v>3.448</v>
      </c>
      <c r="S279">
        <v>3.4820000000000002</v>
      </c>
      <c r="T279">
        <v>3.536</v>
      </c>
      <c r="U279">
        <v>3.9119999999999999</v>
      </c>
      <c r="V279">
        <v>3.58</v>
      </c>
      <c r="W279">
        <f t="shared" si="2"/>
        <v>45415</v>
      </c>
      <c r="X279">
        <f>IF($X$99=TRUE,SUM(E279:E$350),"")</f>
        <v>15693283</v>
      </c>
      <c r="Y279">
        <f>IF($Y$99=TRUE,SUM(F279:F$350),"")</f>
        <v>2369</v>
      </c>
      <c r="Z279">
        <f>IF($Z$99=TRUE,SUM(G279:G$350)/1000000,"")</f>
        <v>1679130.47</v>
      </c>
      <c r="AA279">
        <f>IF($AA$99=TRUE,SUM(H279:H$350)/1000000,"")</f>
        <v>-12719506.93</v>
      </c>
      <c r="AB279">
        <f>IF($AB$99=TRUE,SUM(AH279:AH$350)/1000,"")</f>
        <v>15216952.93</v>
      </c>
      <c r="AD279" s="1">
        <v>45415</v>
      </c>
      <c r="AE279">
        <v>364.5</v>
      </c>
      <c r="AF279">
        <v>104.14</v>
      </c>
      <c r="AG279" s="1">
        <v>45419</v>
      </c>
      <c r="AH279">
        <v>304031479</v>
      </c>
      <c r="AI279" s="1">
        <v>45510</v>
      </c>
      <c r="AJ279">
        <v>4980.7340000000004</v>
      </c>
      <c r="AK279">
        <v>54.506</v>
      </c>
      <c r="AL279">
        <v>3735.643</v>
      </c>
      <c r="AM279">
        <v>1215.796</v>
      </c>
      <c r="AN279">
        <v>1060.8240000000001</v>
      </c>
    </row>
    <row r="280" spans="4:40" hidden="1">
      <c r="D280" s="1">
        <v>45414</v>
      </c>
      <c r="E280">
        <v>6349</v>
      </c>
      <c r="F280">
        <v>-68935</v>
      </c>
      <c r="G280">
        <v>-534550475000</v>
      </c>
      <c r="H280">
        <v>-479940730000</v>
      </c>
      <c r="I280">
        <v>-583541490000</v>
      </c>
      <c r="J280">
        <v>0</v>
      </c>
      <c r="K280" s="1">
        <v>45414</v>
      </c>
      <c r="L280">
        <v>2683.65</v>
      </c>
      <c r="M280">
        <v>867.48</v>
      </c>
      <c r="N280">
        <v>351087</v>
      </c>
      <c r="O280">
        <v>365.35</v>
      </c>
      <c r="P280">
        <v>104.13</v>
      </c>
      <c r="Q280" s="1">
        <v>45415</v>
      </c>
      <c r="R280">
        <v>3.5</v>
      </c>
      <c r="S280">
        <v>3.5489999999999999</v>
      </c>
      <c r="T280">
        <v>3.6139999999999999</v>
      </c>
      <c r="U280">
        <v>3.9580000000000002</v>
      </c>
      <c r="V280">
        <v>3.58</v>
      </c>
      <c r="W280">
        <f t="shared" si="2"/>
        <v>45414</v>
      </c>
      <c r="X280">
        <f>IF($X$99=TRUE,SUM(E280:E$350),"")</f>
        <v>15603466</v>
      </c>
      <c r="Y280">
        <f>IF($Y$99=TRUE,SUM(F280:F$350),"")</f>
        <v>39430</v>
      </c>
      <c r="Z280">
        <f>IF($Z$99=TRUE,SUM(G280:G$350)/1000000,"")</f>
        <v>2226310.5699999998</v>
      </c>
      <c r="AA280">
        <f>IF($AA$99=TRUE,SUM(H280:H$350)/1000000,"")</f>
        <v>-13436046.960000001</v>
      </c>
      <c r="AB280">
        <f>IF($AB$99=TRUE,SUM(AH280:AH$350)/1000,"")</f>
        <v>14912921.450999999</v>
      </c>
      <c r="AD280" s="1">
        <v>45414</v>
      </c>
      <c r="AE280">
        <v>365.35</v>
      </c>
      <c r="AF280">
        <v>104.13</v>
      </c>
      <c r="AG280" s="1">
        <v>45415</v>
      </c>
      <c r="AH280">
        <v>115248893</v>
      </c>
      <c r="AI280" s="1">
        <v>45509</v>
      </c>
      <c r="AJ280">
        <v>4929.7939999999999</v>
      </c>
      <c r="AK280">
        <v>54.45</v>
      </c>
      <c r="AL280">
        <v>3453.1509999999998</v>
      </c>
      <c r="AM280">
        <v>1217.8130000000001</v>
      </c>
      <c r="AN280">
        <v>1066.942</v>
      </c>
    </row>
    <row r="281" spans="4:40" hidden="1">
      <c r="D281" s="1">
        <v>45412</v>
      </c>
      <c r="E281">
        <v>241205</v>
      </c>
      <c r="F281">
        <v>-60470</v>
      </c>
      <c r="G281">
        <v>515751025000</v>
      </c>
      <c r="H281">
        <v>-658116450000</v>
      </c>
      <c r="I281">
        <v>-43291760000</v>
      </c>
      <c r="J281">
        <v>0</v>
      </c>
      <c r="K281" s="1">
        <v>45412</v>
      </c>
      <c r="L281">
        <v>2692.06</v>
      </c>
      <c r="M281">
        <v>868.93</v>
      </c>
      <c r="N281">
        <v>460083</v>
      </c>
      <c r="O281">
        <v>367.45</v>
      </c>
      <c r="P281">
        <v>104.07</v>
      </c>
      <c r="Q281" s="1">
        <v>45414</v>
      </c>
      <c r="R281">
        <v>3.5089999999999999</v>
      </c>
      <c r="S281">
        <v>3.5630000000000002</v>
      </c>
      <c r="T281">
        <v>3.6379999999999999</v>
      </c>
      <c r="U281">
        <v>3.972</v>
      </c>
      <c r="V281">
        <v>3.57</v>
      </c>
      <c r="W281">
        <f t="shared" si="2"/>
        <v>45412</v>
      </c>
      <c r="X281">
        <f>IF($X$99=TRUE,SUM(E281:E$350),"")</f>
        <v>15597117</v>
      </c>
      <c r="Y281">
        <f>IF($Y$99=TRUE,SUM(F281:F$350),"")</f>
        <v>108365</v>
      </c>
      <c r="Z281">
        <f>IF($Z$99=TRUE,SUM(G281:G$350)/1000000,"")</f>
        <v>2760861.0449999999</v>
      </c>
      <c r="AA281">
        <f>IF($AA$99=TRUE,SUM(H281:H$350)/1000000,"")</f>
        <v>-12956106.23</v>
      </c>
      <c r="AB281">
        <f>IF($AB$99=TRUE,SUM(AH281:AH$350)/1000,"")</f>
        <v>14797672.558</v>
      </c>
      <c r="AD281" s="1">
        <v>45412</v>
      </c>
      <c r="AE281">
        <v>367.45</v>
      </c>
      <c r="AF281">
        <v>104.07</v>
      </c>
      <c r="AG281" s="1">
        <v>45414</v>
      </c>
      <c r="AH281">
        <v>398040582</v>
      </c>
      <c r="AI281" s="1">
        <v>45508</v>
      </c>
      <c r="AJ281">
        <v>5081.5140000000001</v>
      </c>
      <c r="AK281">
        <v>54.878999999999998</v>
      </c>
      <c r="AL281">
        <v>3835.0920000000001</v>
      </c>
      <c r="AM281">
        <v>1247.569</v>
      </c>
      <c r="AN281">
        <v>1100.318</v>
      </c>
    </row>
    <row r="282" spans="4:40" hidden="1">
      <c r="D282" s="1">
        <v>45411</v>
      </c>
      <c r="E282">
        <v>342248</v>
      </c>
      <c r="F282">
        <v>139653</v>
      </c>
      <c r="G282">
        <v>577918012500</v>
      </c>
      <c r="H282">
        <v>-30414230000</v>
      </c>
      <c r="I282">
        <v>864322130000</v>
      </c>
      <c r="J282">
        <v>0</v>
      </c>
      <c r="K282" s="1">
        <v>45411</v>
      </c>
      <c r="L282">
        <v>2687.44</v>
      </c>
      <c r="M282">
        <v>869.72</v>
      </c>
      <c r="N282">
        <v>470546</v>
      </c>
      <c r="O282">
        <v>365.65</v>
      </c>
      <c r="P282">
        <v>104.01</v>
      </c>
      <c r="Q282" s="1">
        <v>45412</v>
      </c>
      <c r="R282">
        <v>3.5289999999999999</v>
      </c>
      <c r="S282">
        <v>3.5859999999999999</v>
      </c>
      <c r="T282">
        <v>3.6560000000000001</v>
      </c>
      <c r="U282">
        <v>3.9950000000000001</v>
      </c>
      <c r="V282">
        <v>3.57</v>
      </c>
      <c r="W282">
        <f t="shared" si="2"/>
        <v>45411</v>
      </c>
      <c r="X282">
        <f>IF($X$99=TRUE,SUM(E282:E$350),"")</f>
        <v>15355912</v>
      </c>
      <c r="Y282">
        <f>IF($Y$99=TRUE,SUM(F282:F$350),"")</f>
        <v>168835</v>
      </c>
      <c r="Z282">
        <f>IF($Z$99=TRUE,SUM(G282:G$350)/1000000,"")</f>
        <v>2245110.02</v>
      </c>
      <c r="AA282">
        <f>IF($AA$99=TRUE,SUM(H282:H$350)/1000000,"")</f>
        <v>-12297989.779999999</v>
      </c>
      <c r="AB282">
        <f>IF($AB$99=TRUE,SUM(AH282:AH$350)/1000,"")</f>
        <v>14399631.976</v>
      </c>
      <c r="AD282" s="1">
        <v>45411</v>
      </c>
      <c r="AE282">
        <v>365.65</v>
      </c>
      <c r="AF282">
        <v>104.01</v>
      </c>
      <c r="AG282" s="1">
        <v>45412</v>
      </c>
      <c r="AH282">
        <v>368168663</v>
      </c>
      <c r="AI282" s="1">
        <v>45507</v>
      </c>
      <c r="AJ282">
        <v>5081.5140000000001</v>
      </c>
      <c r="AK282">
        <v>54.878999999999998</v>
      </c>
      <c r="AL282">
        <v>3835.0920000000001</v>
      </c>
      <c r="AM282">
        <v>1247.569</v>
      </c>
      <c r="AN282">
        <v>1100.318</v>
      </c>
    </row>
    <row r="283" spans="4:40" hidden="1">
      <c r="D283" s="1">
        <v>45408</v>
      </c>
      <c r="E283">
        <v>470447</v>
      </c>
      <c r="F283">
        <v>-74618</v>
      </c>
      <c r="G283">
        <v>423655025000</v>
      </c>
      <c r="H283">
        <v>-77319580000</v>
      </c>
      <c r="I283">
        <v>-151850550000</v>
      </c>
      <c r="J283">
        <v>0</v>
      </c>
      <c r="K283" s="1">
        <v>45408</v>
      </c>
      <c r="L283">
        <v>2656.33</v>
      </c>
      <c r="M283">
        <v>856.82</v>
      </c>
      <c r="N283">
        <v>450520</v>
      </c>
      <c r="O283">
        <v>361.9</v>
      </c>
      <c r="P283">
        <v>104.07</v>
      </c>
      <c r="Q283" s="1">
        <v>45411</v>
      </c>
      <c r="R283">
        <v>3.552</v>
      </c>
      <c r="S283">
        <v>3.62</v>
      </c>
      <c r="T283">
        <v>3.7040000000000002</v>
      </c>
      <c r="U283">
        <v>4.024</v>
      </c>
      <c r="V283">
        <v>3.57</v>
      </c>
      <c r="W283">
        <f t="shared" si="2"/>
        <v>45408</v>
      </c>
      <c r="X283">
        <f>IF($X$99=TRUE,SUM(E283:E$350),"")</f>
        <v>15013664</v>
      </c>
      <c r="Y283">
        <f>IF($Y$99=TRUE,SUM(F283:F$350),"")</f>
        <v>29182</v>
      </c>
      <c r="Z283">
        <f>IF($Z$99=TRUE,SUM(G283:G$350)/1000000,"")</f>
        <v>1667192.0075000001</v>
      </c>
      <c r="AA283">
        <f>IF($AA$99=TRUE,SUM(H283:H$350)/1000000,"")</f>
        <v>-12267575.550000001</v>
      </c>
      <c r="AB283">
        <f>IF($AB$99=TRUE,SUM(AH283:AH$350)/1000,"")</f>
        <v>14031463.312999999</v>
      </c>
      <c r="AD283" s="1">
        <v>45408</v>
      </c>
      <c r="AE283">
        <v>361.9</v>
      </c>
      <c r="AF283">
        <v>104.07</v>
      </c>
      <c r="AG283" s="1">
        <v>45411</v>
      </c>
      <c r="AH283">
        <v>479558984</v>
      </c>
      <c r="AI283" s="1">
        <v>45506</v>
      </c>
      <c r="AJ283">
        <v>5081.5140000000001</v>
      </c>
      <c r="AK283">
        <v>54.878999999999998</v>
      </c>
      <c r="AL283">
        <v>3835.0920000000001</v>
      </c>
      <c r="AM283">
        <v>1247.569</v>
      </c>
      <c r="AN283">
        <v>1100.318</v>
      </c>
    </row>
    <row r="284" spans="4:40" hidden="1">
      <c r="D284" s="1">
        <v>45407</v>
      </c>
      <c r="E284">
        <v>-284452</v>
      </c>
      <c r="F284">
        <v>-244316</v>
      </c>
      <c r="G284">
        <v>-601767200000</v>
      </c>
      <c r="H284">
        <v>604186250000</v>
      </c>
      <c r="I284">
        <v>-684291490000</v>
      </c>
      <c r="J284">
        <v>0</v>
      </c>
      <c r="K284" s="1">
        <v>45407</v>
      </c>
      <c r="L284">
        <v>2628.62</v>
      </c>
      <c r="M284">
        <v>853.26</v>
      </c>
      <c r="N284">
        <v>334062</v>
      </c>
      <c r="O284">
        <v>358.6</v>
      </c>
      <c r="P284">
        <v>103.95</v>
      </c>
      <c r="Q284" s="1">
        <v>45408</v>
      </c>
      <c r="R284">
        <v>3.5310000000000001</v>
      </c>
      <c r="S284">
        <v>3.6019999999999999</v>
      </c>
      <c r="T284">
        <v>3.694</v>
      </c>
      <c r="U284">
        <v>4.0119999999999996</v>
      </c>
      <c r="V284">
        <v>3.57</v>
      </c>
      <c r="W284">
        <f t="shared" si="2"/>
        <v>45407</v>
      </c>
      <c r="X284">
        <f>IF($X$99=TRUE,SUM(E284:E$350),"")</f>
        <v>14543217</v>
      </c>
      <c r="Y284">
        <f>IF($Y$99=TRUE,SUM(F284:F$350),"")</f>
        <v>103800</v>
      </c>
      <c r="Z284">
        <f>IF($Z$99=TRUE,SUM(G284:G$350)/1000000,"")</f>
        <v>1243536.9824999999</v>
      </c>
      <c r="AA284">
        <f>IF($AA$99=TRUE,SUM(H284:H$350)/1000000,"")</f>
        <v>-12190255.970000001</v>
      </c>
      <c r="AB284">
        <f>IF($AB$99=TRUE,SUM(AH284:AH$350)/1000,"")</f>
        <v>13551904.329</v>
      </c>
      <c r="AD284" s="1">
        <v>45407</v>
      </c>
      <c r="AE284">
        <v>358.6</v>
      </c>
      <c r="AF284">
        <v>103.95</v>
      </c>
      <c r="AG284" s="1">
        <v>45408</v>
      </c>
      <c r="AH284">
        <v>202910986</v>
      </c>
      <c r="AI284" s="1">
        <v>45505</v>
      </c>
      <c r="AJ284">
        <v>5178.9040000000005</v>
      </c>
      <c r="AK284">
        <v>55.718000000000004</v>
      </c>
      <c r="AL284">
        <v>3996.8409999999999</v>
      </c>
      <c r="AM284">
        <v>1262.184</v>
      </c>
      <c r="AN284">
        <v>1114.0129999999999</v>
      </c>
    </row>
    <row r="285" spans="4:40" hidden="1">
      <c r="D285" s="1">
        <v>45406</v>
      </c>
      <c r="E285">
        <v>489048</v>
      </c>
      <c r="F285">
        <v>182629</v>
      </c>
      <c r="G285">
        <v>489175275000</v>
      </c>
      <c r="H285">
        <v>-388847480000</v>
      </c>
      <c r="I285">
        <v>232769060000</v>
      </c>
      <c r="J285">
        <v>-1285000000</v>
      </c>
      <c r="K285" s="1">
        <v>45406</v>
      </c>
      <c r="L285">
        <v>2675.75</v>
      </c>
      <c r="M285">
        <v>862.23</v>
      </c>
      <c r="N285">
        <v>325739</v>
      </c>
      <c r="O285">
        <v>364.55</v>
      </c>
      <c r="P285">
        <v>104.06</v>
      </c>
      <c r="Q285" s="1">
        <v>45407</v>
      </c>
      <c r="R285">
        <v>3.5430000000000001</v>
      </c>
      <c r="S285">
        <v>3.625</v>
      </c>
      <c r="T285">
        <v>3.7069999999999999</v>
      </c>
      <c r="U285">
        <v>4.0289999999999999</v>
      </c>
      <c r="V285">
        <v>3.57</v>
      </c>
      <c r="W285">
        <f t="shared" si="2"/>
        <v>45406</v>
      </c>
      <c r="X285">
        <f>IF($X$99=TRUE,SUM(E285:E$350),"")</f>
        <v>14827669</v>
      </c>
      <c r="Y285">
        <f>IF($Y$99=TRUE,SUM(F285:F$350),"")</f>
        <v>348116</v>
      </c>
      <c r="Z285">
        <f>IF($Z$99=TRUE,SUM(G285:G$350)/1000000,"")</f>
        <v>1845304.1825000001</v>
      </c>
      <c r="AA285">
        <f>IF($AA$99=TRUE,SUM(H285:H$350)/1000000,"")</f>
        <v>-12794442.220000001</v>
      </c>
      <c r="AB285">
        <f>IF($AB$99=TRUE,SUM(AH285:AH$350)/1000,"")</f>
        <v>13348993.343</v>
      </c>
      <c r="AD285" s="1">
        <v>45406</v>
      </c>
      <c r="AE285">
        <v>364.55</v>
      </c>
      <c r="AF285">
        <v>104.06</v>
      </c>
      <c r="AG285" s="1">
        <v>45407</v>
      </c>
      <c r="AH285">
        <v>284001055</v>
      </c>
      <c r="AI285" s="1">
        <v>45504</v>
      </c>
      <c r="AJ285">
        <v>5253.7790000000005</v>
      </c>
      <c r="AK285">
        <v>56.091000000000001</v>
      </c>
      <c r="AL285">
        <v>4118.7740000000003</v>
      </c>
      <c r="AM285">
        <v>1280.01</v>
      </c>
      <c r="AN285">
        <v>1114.5709999999999</v>
      </c>
    </row>
    <row r="286" spans="4:40" hidden="1">
      <c r="D286" s="1">
        <v>45405</v>
      </c>
      <c r="E286">
        <v>-24720</v>
      </c>
      <c r="F286">
        <v>-48048</v>
      </c>
      <c r="G286">
        <v>-322828137500</v>
      </c>
      <c r="H286">
        <v>-147864980000</v>
      </c>
      <c r="I286">
        <v>531911260000</v>
      </c>
      <c r="J286">
        <v>0</v>
      </c>
      <c r="K286" s="1">
        <v>45405</v>
      </c>
      <c r="L286">
        <v>2623.02</v>
      </c>
      <c r="M286">
        <v>845.44</v>
      </c>
      <c r="N286">
        <v>430275</v>
      </c>
      <c r="O286">
        <v>358.5</v>
      </c>
      <c r="P286">
        <v>104.13</v>
      </c>
      <c r="Q286" s="1">
        <v>45406</v>
      </c>
      <c r="R286">
        <v>3.5089999999999999</v>
      </c>
      <c r="S286">
        <v>3.5790000000000002</v>
      </c>
      <c r="T286">
        <v>3.645</v>
      </c>
      <c r="U286">
        <v>4.0039999999999996</v>
      </c>
      <c r="V286">
        <v>3.56</v>
      </c>
      <c r="W286">
        <f t="shared" si="2"/>
        <v>45405</v>
      </c>
      <c r="X286">
        <f>IF($X$99=TRUE,SUM(E286:E$350),"")</f>
        <v>14338621</v>
      </c>
      <c r="Y286">
        <f>IF($Y$99=TRUE,SUM(F286:F$350),"")</f>
        <v>165487</v>
      </c>
      <c r="Z286">
        <f>IF($Z$99=TRUE,SUM(G286:G$350)/1000000,"")</f>
        <v>1356128.9075</v>
      </c>
      <c r="AA286">
        <f>IF($AA$99=TRUE,SUM(H286:H$350)/1000000,"")</f>
        <v>-12405594.74</v>
      </c>
      <c r="AB286">
        <f>IF($AB$99=TRUE,SUM(AH286:AH$350)/1000,"")</f>
        <v>13064992.288000001</v>
      </c>
      <c r="AD286" s="1">
        <v>45405</v>
      </c>
      <c r="AE286">
        <v>358.5</v>
      </c>
      <c r="AF286">
        <v>104.13</v>
      </c>
      <c r="AG286" s="1">
        <v>45406</v>
      </c>
      <c r="AH286">
        <v>398873796</v>
      </c>
      <c r="AI286" s="1">
        <v>45503</v>
      </c>
      <c r="AJ286">
        <v>5171.3609999999999</v>
      </c>
      <c r="AK286">
        <v>54.75</v>
      </c>
      <c r="AL286">
        <v>3954.5410000000002</v>
      </c>
      <c r="AM286">
        <v>1263.9059999999999</v>
      </c>
      <c r="AN286">
        <v>1109.5</v>
      </c>
    </row>
    <row r="287" spans="4:40" hidden="1">
      <c r="D287" s="1">
        <v>45404</v>
      </c>
      <c r="E287">
        <v>-749501</v>
      </c>
      <c r="F287">
        <v>-74621</v>
      </c>
      <c r="G287">
        <v>283936812500</v>
      </c>
      <c r="H287">
        <v>151190210000</v>
      </c>
      <c r="I287">
        <v>-595858300000</v>
      </c>
      <c r="J287">
        <v>0</v>
      </c>
      <c r="K287" s="1">
        <v>45404</v>
      </c>
      <c r="L287">
        <v>2629.44</v>
      </c>
      <c r="M287">
        <v>845.82</v>
      </c>
      <c r="N287">
        <v>401892</v>
      </c>
      <c r="O287">
        <v>358.8</v>
      </c>
      <c r="P287">
        <v>104.06</v>
      </c>
      <c r="Q287" s="1">
        <v>45405</v>
      </c>
      <c r="R287">
        <v>3.4889999999999999</v>
      </c>
      <c r="S287">
        <v>3.556</v>
      </c>
      <c r="T287">
        <v>3.625</v>
      </c>
      <c r="U287">
        <v>3.992</v>
      </c>
      <c r="V287">
        <v>3.56</v>
      </c>
      <c r="W287">
        <f t="shared" si="2"/>
        <v>45404</v>
      </c>
      <c r="X287">
        <f>IF($X$99=TRUE,SUM(E287:E$350),"")</f>
        <v>14363341</v>
      </c>
      <c r="Y287">
        <f>IF($Y$99=TRUE,SUM(F287:F$350),"")</f>
        <v>213535</v>
      </c>
      <c r="Z287">
        <f>IF($Z$99=TRUE,SUM(G287:G$350)/1000000,"")</f>
        <v>1678957.0449999999</v>
      </c>
      <c r="AA287">
        <f>IF($AA$99=TRUE,SUM(H287:H$350)/1000000,"")</f>
        <v>-12257729.76</v>
      </c>
      <c r="AB287">
        <f>IF($AB$99=TRUE,SUM(AH287:AH$350)/1000,"")</f>
        <v>12666118.492000001</v>
      </c>
      <c r="AD287" s="1">
        <v>45404</v>
      </c>
      <c r="AE287">
        <v>358.8</v>
      </c>
      <c r="AF287">
        <v>104.06</v>
      </c>
      <c r="AG287" s="1">
        <v>45405</v>
      </c>
      <c r="AH287">
        <v>421660477</v>
      </c>
      <c r="AI287" s="1">
        <v>45502</v>
      </c>
      <c r="AJ287">
        <v>5197.49</v>
      </c>
      <c r="AK287">
        <v>55.491</v>
      </c>
      <c r="AL287">
        <v>3972.518</v>
      </c>
      <c r="AM287">
        <v>1268.864</v>
      </c>
      <c r="AN287">
        <v>1108.8979999999999</v>
      </c>
    </row>
    <row r="288" spans="4:40" hidden="1">
      <c r="D288" s="1">
        <v>45401</v>
      </c>
      <c r="E288">
        <v>-343623</v>
      </c>
      <c r="F288">
        <v>-358323</v>
      </c>
      <c r="G288">
        <v>-1501729125000</v>
      </c>
      <c r="H288">
        <v>1284197260000</v>
      </c>
      <c r="I288">
        <v>-680937000000</v>
      </c>
      <c r="J288">
        <v>0</v>
      </c>
      <c r="K288" s="1">
        <v>45401</v>
      </c>
      <c r="L288">
        <v>2591.86</v>
      </c>
      <c r="M288">
        <v>841.91</v>
      </c>
      <c r="N288">
        <v>809473</v>
      </c>
      <c r="O288">
        <v>354.05</v>
      </c>
      <c r="P288">
        <v>104.18</v>
      </c>
      <c r="Q288" s="1">
        <v>45404</v>
      </c>
      <c r="R288">
        <v>3.512</v>
      </c>
      <c r="S288">
        <v>3.585</v>
      </c>
      <c r="T288">
        <v>3.65</v>
      </c>
      <c r="U288">
        <v>4.0190000000000001</v>
      </c>
      <c r="V288">
        <v>3.56</v>
      </c>
      <c r="W288">
        <f t="shared" si="2"/>
        <v>45401</v>
      </c>
      <c r="X288">
        <f>IF($X$99=TRUE,SUM(E288:E$350),"")</f>
        <v>15112842</v>
      </c>
      <c r="Y288">
        <f>IF($Y$99=TRUE,SUM(F288:F$350),"")</f>
        <v>288156</v>
      </c>
      <c r="Z288">
        <f>IF($Z$99=TRUE,SUM(G288:G$350)/1000000,"")</f>
        <v>1395020.2324999999</v>
      </c>
      <c r="AA288">
        <f>IF($AA$99=TRUE,SUM(H288:H$350)/1000000,"")</f>
        <v>-12408919.970000001</v>
      </c>
      <c r="AB288">
        <f>IF($AB$99=TRUE,SUM(AH288:AH$350)/1000,"")</f>
        <v>12244458.015000001</v>
      </c>
      <c r="AD288" s="1">
        <v>45401</v>
      </c>
      <c r="AE288">
        <v>354.05</v>
      </c>
      <c r="AF288">
        <v>104.18</v>
      </c>
      <c r="AG288" s="1">
        <v>45404</v>
      </c>
      <c r="AH288">
        <v>234083701</v>
      </c>
      <c r="AI288" s="1">
        <v>45501</v>
      </c>
      <c r="AJ288">
        <v>5193.7550000000001</v>
      </c>
      <c r="AK288">
        <v>55.210999999999999</v>
      </c>
      <c r="AL288">
        <v>3899.3910000000001</v>
      </c>
      <c r="AM288">
        <v>1268.5940000000001</v>
      </c>
      <c r="AN288">
        <v>1105.3910000000001</v>
      </c>
    </row>
    <row r="289" spans="4:40" hidden="1">
      <c r="D289" s="1">
        <v>45400</v>
      </c>
      <c r="E289">
        <v>574231</v>
      </c>
      <c r="F289">
        <v>259699</v>
      </c>
      <c r="G289">
        <v>492065300000</v>
      </c>
      <c r="H289">
        <v>280209470000</v>
      </c>
      <c r="I289">
        <v>-295545500000</v>
      </c>
      <c r="J289">
        <v>0</v>
      </c>
      <c r="K289" s="1">
        <v>45400</v>
      </c>
      <c r="L289">
        <v>2634.7</v>
      </c>
      <c r="M289">
        <v>855.65</v>
      </c>
      <c r="N289">
        <v>478786</v>
      </c>
      <c r="O289">
        <v>360.35</v>
      </c>
      <c r="P289">
        <v>104.35</v>
      </c>
      <c r="Q289" s="1">
        <v>45401</v>
      </c>
      <c r="R289">
        <v>3.468</v>
      </c>
      <c r="S289">
        <v>3.536</v>
      </c>
      <c r="T289">
        <v>3.5830000000000002</v>
      </c>
      <c r="U289">
        <v>3.9820000000000002</v>
      </c>
      <c r="V289">
        <v>3.55</v>
      </c>
      <c r="W289">
        <f t="shared" si="2"/>
        <v>45400</v>
      </c>
      <c r="X289">
        <f>IF($X$99=TRUE,SUM(E289:E$350),"")</f>
        <v>15456465</v>
      </c>
      <c r="Y289">
        <f>IF($Y$99=TRUE,SUM(F289:F$350),"")</f>
        <v>646479</v>
      </c>
      <c r="Z289">
        <f>IF($Z$99=TRUE,SUM(G289:G$350)/1000000,"")</f>
        <v>2896749.3574999999</v>
      </c>
      <c r="AA289">
        <f>IF($AA$99=TRUE,SUM(H289:H$350)/1000000,"")</f>
        <v>-13693117.23</v>
      </c>
      <c r="AB289">
        <f>IF($AB$99=TRUE,SUM(AH289:AH$350)/1000,"")</f>
        <v>12010374.313999999</v>
      </c>
      <c r="AD289" s="1">
        <v>45400</v>
      </c>
      <c r="AE289">
        <v>360.35</v>
      </c>
      <c r="AF289">
        <v>104.35</v>
      </c>
      <c r="AG289" s="1">
        <v>45401</v>
      </c>
      <c r="AH289">
        <v>180526904</v>
      </c>
      <c r="AI289" s="1">
        <v>45500</v>
      </c>
      <c r="AJ289">
        <v>5193.7550000000001</v>
      </c>
      <c r="AK289">
        <v>55.210999999999999</v>
      </c>
      <c r="AL289">
        <v>3899.3910000000001</v>
      </c>
      <c r="AM289">
        <v>1268.5940000000001</v>
      </c>
      <c r="AN289">
        <v>1105.3910000000001</v>
      </c>
    </row>
    <row r="290" spans="4:40" hidden="1">
      <c r="D290" s="1">
        <v>45399</v>
      </c>
      <c r="E290">
        <v>-165070</v>
      </c>
      <c r="F290">
        <v>-30657</v>
      </c>
      <c r="G290">
        <v>-356210900000</v>
      </c>
      <c r="H290">
        <v>-405636400000</v>
      </c>
      <c r="I290">
        <v>-762176720000</v>
      </c>
      <c r="J290">
        <v>0</v>
      </c>
      <c r="K290" s="1">
        <v>45399</v>
      </c>
      <c r="L290">
        <v>2584.1799999999998</v>
      </c>
      <c r="M290">
        <v>833.03</v>
      </c>
      <c r="N290">
        <v>414348</v>
      </c>
      <c r="O290">
        <v>354.7</v>
      </c>
      <c r="P290">
        <v>104.2</v>
      </c>
      <c r="Q290" s="1">
        <v>45400</v>
      </c>
      <c r="R290">
        <v>3.427</v>
      </c>
      <c r="S290">
        <v>3.4910000000000001</v>
      </c>
      <c r="T290">
        <v>3.5619999999999998</v>
      </c>
      <c r="U290">
        <v>3.96</v>
      </c>
      <c r="V290">
        <v>3.55</v>
      </c>
      <c r="W290">
        <f t="shared" si="2"/>
        <v>45399</v>
      </c>
      <c r="X290">
        <f>IF($X$99=TRUE,SUM(E290:E$350),"")</f>
        <v>14882234</v>
      </c>
      <c r="Y290">
        <f>IF($Y$99=TRUE,SUM(F290:F$350),"")</f>
        <v>386780</v>
      </c>
      <c r="Z290">
        <f>IF($Z$99=TRUE,SUM(G290:G$350)/1000000,"")</f>
        <v>2404684.0575000001</v>
      </c>
      <c r="AA290">
        <f>IF($AA$99=TRUE,SUM(H290:H$350)/1000000,"")</f>
        <v>-13973326.699999999</v>
      </c>
      <c r="AB290">
        <f>IF($AB$99=TRUE,SUM(AH290:AH$350)/1000,"")</f>
        <v>11829847.41</v>
      </c>
      <c r="AD290" s="1">
        <v>45399</v>
      </c>
      <c r="AE290">
        <v>354.7</v>
      </c>
      <c r="AF290">
        <v>104.2</v>
      </c>
      <c r="AG290" s="1">
        <v>45400</v>
      </c>
      <c r="AH290">
        <v>291116968</v>
      </c>
      <c r="AI290" s="1">
        <v>45499</v>
      </c>
      <c r="AJ290">
        <v>5193.7550000000001</v>
      </c>
      <c r="AK290">
        <v>55.210999999999999</v>
      </c>
      <c r="AL290">
        <v>3899.3910000000001</v>
      </c>
      <c r="AM290">
        <v>1268.5940000000001</v>
      </c>
      <c r="AN290">
        <v>1105.3910000000001</v>
      </c>
    </row>
    <row r="291" spans="4:40" hidden="1">
      <c r="D291" s="1">
        <v>45398</v>
      </c>
      <c r="E291">
        <v>-267775</v>
      </c>
      <c r="F291">
        <v>-158018</v>
      </c>
      <c r="G291">
        <v>-1139683925000</v>
      </c>
      <c r="H291">
        <v>-833538100000</v>
      </c>
      <c r="I291">
        <v>-1313881740000</v>
      </c>
      <c r="J291">
        <v>2593400000</v>
      </c>
      <c r="K291" s="1">
        <v>45398</v>
      </c>
      <c r="L291">
        <v>2609.63</v>
      </c>
      <c r="M291">
        <v>832.81</v>
      </c>
      <c r="N291">
        <v>570212</v>
      </c>
      <c r="O291">
        <v>358.15</v>
      </c>
      <c r="P291">
        <v>104.16</v>
      </c>
      <c r="Q291" s="1">
        <v>45399</v>
      </c>
      <c r="R291">
        <v>3.4750000000000001</v>
      </c>
      <c r="S291">
        <v>3.5409999999999999</v>
      </c>
      <c r="T291">
        <v>3.6320000000000001</v>
      </c>
      <c r="U291">
        <v>4.0069999999999997</v>
      </c>
      <c r="V291">
        <v>3.55</v>
      </c>
      <c r="W291">
        <f t="shared" si="2"/>
        <v>45398</v>
      </c>
      <c r="X291">
        <f>IF($X$99=TRUE,SUM(E291:E$350),"")</f>
        <v>15047304</v>
      </c>
      <c r="Y291">
        <f>IF($Y$99=TRUE,SUM(F291:F$350),"")</f>
        <v>417437</v>
      </c>
      <c r="Z291">
        <f>IF($Z$99=TRUE,SUM(G291:G$350)/1000000,"")</f>
        <v>2760894.9575</v>
      </c>
      <c r="AA291">
        <f>IF($AA$99=TRUE,SUM(H291:H$350)/1000000,"")</f>
        <v>-13567690.300000001</v>
      </c>
      <c r="AB291">
        <f>IF($AB$99=TRUE,SUM(AH291:AH$350)/1000,"")</f>
        <v>11538730.442</v>
      </c>
      <c r="AD291" s="1">
        <v>45398</v>
      </c>
      <c r="AE291">
        <v>358.15</v>
      </c>
      <c r="AF291">
        <v>104.16</v>
      </c>
      <c r="AG291" s="1">
        <v>45399</v>
      </c>
      <c r="AH291">
        <v>263657550</v>
      </c>
      <c r="AI291" s="1">
        <v>45498</v>
      </c>
      <c r="AJ291">
        <v>5136.5630000000001</v>
      </c>
      <c r="AK291">
        <v>55.052999999999997</v>
      </c>
      <c r="AL291">
        <v>3914.3130000000001</v>
      </c>
      <c r="AM291">
        <v>1255.472</v>
      </c>
      <c r="AN291">
        <v>1085.33</v>
      </c>
    </row>
    <row r="292" spans="4:40" hidden="1">
      <c r="D292" s="1">
        <v>45397</v>
      </c>
      <c r="E292">
        <v>-238737</v>
      </c>
      <c r="F292">
        <v>-68435</v>
      </c>
      <c r="G292">
        <v>-433945387500</v>
      </c>
      <c r="H292">
        <v>976562380000</v>
      </c>
      <c r="I292">
        <v>673264050000</v>
      </c>
      <c r="J292">
        <v>0</v>
      </c>
      <c r="K292" s="1">
        <v>45397</v>
      </c>
      <c r="L292">
        <v>2670.43</v>
      </c>
      <c r="M292">
        <v>852.42</v>
      </c>
      <c r="N292">
        <v>561950</v>
      </c>
      <c r="O292">
        <v>367.2</v>
      </c>
      <c r="P292">
        <v>104.31</v>
      </c>
      <c r="Q292" s="1">
        <v>45398</v>
      </c>
      <c r="R292">
        <v>3.4689999999999999</v>
      </c>
      <c r="S292">
        <v>3.532</v>
      </c>
      <c r="T292">
        <v>3.6179999999999999</v>
      </c>
      <c r="U292">
        <v>4.01</v>
      </c>
      <c r="V292">
        <v>3.56</v>
      </c>
      <c r="W292">
        <f t="shared" si="2"/>
        <v>45397</v>
      </c>
      <c r="X292">
        <f>IF($X$99=TRUE,SUM(E292:E$350),"")</f>
        <v>15315079</v>
      </c>
      <c r="Y292">
        <f>IF($Y$99=TRUE,SUM(F292:F$350),"")</f>
        <v>575455</v>
      </c>
      <c r="Z292">
        <f>IF($Z$99=TRUE,SUM(G292:G$350)/1000000,"")</f>
        <v>3900578.8824999998</v>
      </c>
      <c r="AA292">
        <f>IF($AA$99=TRUE,SUM(H292:H$350)/1000000,"")</f>
        <v>-12734152.199999999</v>
      </c>
      <c r="AB292">
        <f>IF($AB$99=TRUE,SUM(AH292:AH$350)/1000,"")</f>
        <v>11275072.892000001</v>
      </c>
      <c r="AD292" s="1">
        <v>45397</v>
      </c>
      <c r="AE292">
        <v>367.2</v>
      </c>
      <c r="AF292">
        <v>104.31</v>
      </c>
      <c r="AG292" s="1">
        <v>45398</v>
      </c>
      <c r="AH292">
        <v>1641490</v>
      </c>
      <c r="AI292" s="1">
        <v>45497</v>
      </c>
      <c r="AJ292">
        <v>5160.6909999999998</v>
      </c>
      <c r="AK292">
        <v>56.031999999999996</v>
      </c>
      <c r="AL292">
        <v>4058.5659999999998</v>
      </c>
      <c r="AM292">
        <v>1253.99</v>
      </c>
      <c r="AN292">
        <v>1084.789</v>
      </c>
    </row>
    <row r="293" spans="4:40" hidden="1">
      <c r="D293" s="1">
        <v>45394</v>
      </c>
      <c r="E293">
        <v>16642</v>
      </c>
      <c r="F293">
        <v>-25756</v>
      </c>
      <c r="G293">
        <v>-1246898755000</v>
      </c>
      <c r="H293">
        <v>217266120000</v>
      </c>
      <c r="I293">
        <v>-1029538510000</v>
      </c>
      <c r="J293">
        <v>0</v>
      </c>
      <c r="K293" s="1">
        <v>45394</v>
      </c>
      <c r="L293">
        <v>2681.82</v>
      </c>
      <c r="M293">
        <v>860.47</v>
      </c>
      <c r="N293">
        <v>514575</v>
      </c>
      <c r="O293">
        <v>369.35</v>
      </c>
      <c r="P293">
        <v>104.43</v>
      </c>
      <c r="Q293" s="1">
        <v>45397</v>
      </c>
      <c r="R293">
        <v>3.44</v>
      </c>
      <c r="S293">
        <v>3.4940000000000002</v>
      </c>
      <c r="T293">
        <v>3.5609999999999999</v>
      </c>
      <c r="U293">
        <v>3.9830000000000001</v>
      </c>
      <c r="V293">
        <v>3.56</v>
      </c>
      <c r="W293">
        <f t="shared" ref="W293:W350" si="3">D293</f>
        <v>45394</v>
      </c>
      <c r="X293">
        <f>IF($X$99=TRUE,SUM(E293:E$350),"")</f>
        <v>15553816</v>
      </c>
      <c r="Y293">
        <f>IF($Y$99=TRUE,SUM(F293:F$350),"")</f>
        <v>643890</v>
      </c>
      <c r="Z293">
        <f>IF($Z$99=TRUE,SUM(G293:G$350)/1000000,"")</f>
        <v>4334524.2699999996</v>
      </c>
      <c r="AA293">
        <f>IF($AA$99=TRUE,SUM(H293:H$350)/1000000,"")</f>
        <v>-13710714.58</v>
      </c>
      <c r="AB293">
        <f>IF($AB$99=TRUE,SUM(AH293:AH$350)/1000,"")</f>
        <v>11273431.402000001</v>
      </c>
      <c r="AD293" s="1">
        <v>45394</v>
      </c>
      <c r="AE293">
        <v>369.35</v>
      </c>
      <c r="AF293">
        <v>104.43</v>
      </c>
      <c r="AG293" s="1">
        <v>45397</v>
      </c>
      <c r="AH293">
        <v>384705965</v>
      </c>
      <c r="AI293" s="1">
        <v>45496</v>
      </c>
      <c r="AJ293">
        <v>5286.1880000000001</v>
      </c>
      <c r="AK293">
        <v>56.44</v>
      </c>
      <c r="AL293">
        <v>4042.375</v>
      </c>
      <c r="AM293">
        <v>1255.1780000000001</v>
      </c>
      <c r="AN293">
        <v>1085.027</v>
      </c>
    </row>
    <row r="294" spans="4:40" hidden="1">
      <c r="D294" s="1">
        <v>45393</v>
      </c>
      <c r="E294">
        <v>1062810</v>
      </c>
      <c r="F294">
        <v>-24789</v>
      </c>
      <c r="G294">
        <v>-282675475000</v>
      </c>
      <c r="H294">
        <v>-1913443270000</v>
      </c>
      <c r="I294">
        <v>-1206062140000</v>
      </c>
      <c r="J294">
        <v>0</v>
      </c>
      <c r="K294" s="1">
        <v>45393</v>
      </c>
      <c r="L294">
        <v>2706.96</v>
      </c>
      <c r="M294">
        <v>858.1</v>
      </c>
      <c r="N294">
        <v>561333</v>
      </c>
      <c r="O294">
        <v>372.8</v>
      </c>
      <c r="P294">
        <v>104.23</v>
      </c>
      <c r="Q294" s="1">
        <v>45394</v>
      </c>
      <c r="R294">
        <v>3.403</v>
      </c>
      <c r="S294">
        <v>3.4540000000000002</v>
      </c>
      <c r="T294">
        <v>3.5379999999999998</v>
      </c>
      <c r="U294">
        <v>3.9609999999999999</v>
      </c>
      <c r="V294">
        <v>3.56</v>
      </c>
      <c r="W294">
        <f t="shared" si="3"/>
        <v>45393</v>
      </c>
      <c r="X294">
        <f>IF($X$99=TRUE,SUM(E294:E$350),"")</f>
        <v>15537174</v>
      </c>
      <c r="Y294">
        <f>IF($Y$99=TRUE,SUM(F294:F$350),"")</f>
        <v>669646</v>
      </c>
      <c r="Z294">
        <f>IF($Z$99=TRUE,SUM(G294:G$350)/1000000,"")</f>
        <v>5581423.0250000004</v>
      </c>
      <c r="AA294">
        <f>IF($AA$99=TRUE,SUM(H294:H$350)/1000000,"")</f>
        <v>-13927980.699999999</v>
      </c>
      <c r="AB294">
        <f>IF($AB$99=TRUE,SUM(AH294:AH$350)/1000,"")</f>
        <v>10888725.437000001</v>
      </c>
      <c r="AD294" s="1">
        <v>45393</v>
      </c>
      <c r="AE294">
        <v>372.8</v>
      </c>
      <c r="AF294">
        <v>104.23</v>
      </c>
      <c r="AG294" s="1">
        <v>45394</v>
      </c>
      <c r="AH294">
        <v>159752385</v>
      </c>
      <c r="AI294" s="1">
        <v>45495</v>
      </c>
      <c r="AJ294">
        <v>5293.5559999999996</v>
      </c>
      <c r="AK294">
        <v>57.281999999999996</v>
      </c>
      <c r="AL294">
        <v>4015.1970000000001</v>
      </c>
      <c r="AM294">
        <v>1260.511</v>
      </c>
      <c r="AN294">
        <v>1088.6300000000001</v>
      </c>
    </row>
    <row r="295" spans="4:40" hidden="1">
      <c r="D295" s="1">
        <v>45391</v>
      </c>
      <c r="E295">
        <v>306915</v>
      </c>
      <c r="F295">
        <v>-20641</v>
      </c>
      <c r="G295">
        <v>-251007600000</v>
      </c>
      <c r="H295">
        <v>-886204830000</v>
      </c>
      <c r="I295">
        <v>-465408430000</v>
      </c>
      <c r="J295">
        <v>10508640000</v>
      </c>
      <c r="K295" s="1">
        <v>45391</v>
      </c>
      <c r="L295">
        <v>2705.16</v>
      </c>
      <c r="M295">
        <v>859.33</v>
      </c>
      <c r="N295">
        <v>470183</v>
      </c>
      <c r="O295">
        <v>372.8</v>
      </c>
      <c r="P295">
        <v>104.52</v>
      </c>
      <c r="Q295" s="1">
        <v>45393</v>
      </c>
      <c r="R295">
        <v>3.4660000000000002</v>
      </c>
      <c r="S295">
        <v>3.5110000000000001</v>
      </c>
      <c r="T295">
        <v>3.585</v>
      </c>
      <c r="U295">
        <v>4.016</v>
      </c>
      <c r="V295">
        <v>3.57</v>
      </c>
      <c r="W295">
        <f t="shared" si="3"/>
        <v>45391</v>
      </c>
      <c r="X295">
        <f>IF($X$99=TRUE,SUM(E295:E$350),"")</f>
        <v>14474364</v>
      </c>
      <c r="Y295">
        <f>IF($Y$99=TRUE,SUM(F295:F$350),"")</f>
        <v>694435</v>
      </c>
      <c r="Z295">
        <f>IF($Z$99=TRUE,SUM(G295:G$350)/1000000,"")</f>
        <v>5864098.5</v>
      </c>
      <c r="AA295">
        <f>IF($AA$99=TRUE,SUM(H295:H$350)/1000000,"")</f>
        <v>-12014537.43</v>
      </c>
      <c r="AB295">
        <f>IF($AB$99=TRUE,SUM(AH295:AH$350)/1000,"")</f>
        <v>10728973.051999999</v>
      </c>
      <c r="AD295" s="1">
        <v>45391</v>
      </c>
      <c r="AE295">
        <v>372.8</v>
      </c>
      <c r="AF295">
        <v>104.52</v>
      </c>
      <c r="AG295" s="1">
        <v>45393</v>
      </c>
      <c r="AH295">
        <v>108257247</v>
      </c>
      <c r="AI295" s="1">
        <v>45494</v>
      </c>
      <c r="AJ295">
        <v>5236.3090000000002</v>
      </c>
      <c r="AK295">
        <v>56.515000000000001</v>
      </c>
      <c r="AL295">
        <v>4052.431</v>
      </c>
      <c r="AM295">
        <v>1253.877</v>
      </c>
      <c r="AN295">
        <v>1085.5260000000001</v>
      </c>
    </row>
    <row r="296" spans="4:40" hidden="1">
      <c r="D296" s="1">
        <v>45390</v>
      </c>
      <c r="E296">
        <v>206402</v>
      </c>
      <c r="F296">
        <v>-148908</v>
      </c>
      <c r="G296">
        <v>154815812500</v>
      </c>
      <c r="H296">
        <v>-1978798470000</v>
      </c>
      <c r="I296">
        <v>-195825920000</v>
      </c>
      <c r="J296">
        <v>5124600000</v>
      </c>
      <c r="K296" s="1">
        <v>45390</v>
      </c>
      <c r="L296">
        <v>2717.65</v>
      </c>
      <c r="M296">
        <v>860.57</v>
      </c>
      <c r="N296">
        <v>620652</v>
      </c>
      <c r="O296">
        <v>375.2</v>
      </c>
      <c r="P296">
        <v>104.56</v>
      </c>
      <c r="Q296" s="1">
        <v>45391</v>
      </c>
      <c r="R296">
        <v>3.391</v>
      </c>
      <c r="S296">
        <v>3.4359999999999999</v>
      </c>
      <c r="T296">
        <v>3.5030000000000001</v>
      </c>
      <c r="U296">
        <v>3.9529999999999998</v>
      </c>
      <c r="V296">
        <v>3.57</v>
      </c>
      <c r="W296">
        <f t="shared" si="3"/>
        <v>45390</v>
      </c>
      <c r="X296">
        <f>IF($X$99=TRUE,SUM(E296:E$350),"")</f>
        <v>14167449</v>
      </c>
      <c r="Y296">
        <f>IF($Y$99=TRUE,SUM(F296:F$350),"")</f>
        <v>715076</v>
      </c>
      <c r="Z296">
        <f>IF($Z$99=TRUE,SUM(G296:G$350)/1000000,"")</f>
        <v>6115106.0999999996</v>
      </c>
      <c r="AA296">
        <f>IF($AA$99=TRUE,SUM(H296:H$350)/1000000,"")</f>
        <v>-11128332.6</v>
      </c>
      <c r="AB296">
        <f>IF($AB$99=TRUE,SUM(AH296:AH$350)/1000,"")</f>
        <v>10620715.805</v>
      </c>
      <c r="AD296" s="1">
        <v>45390</v>
      </c>
      <c r="AE296">
        <v>375.2</v>
      </c>
      <c r="AF296">
        <v>104.56</v>
      </c>
      <c r="AG296" s="1">
        <v>45391</v>
      </c>
      <c r="AH296">
        <v>400384858</v>
      </c>
      <c r="AI296" s="1">
        <v>45493</v>
      </c>
      <c r="AJ296">
        <v>5236.3090000000002</v>
      </c>
      <c r="AK296">
        <v>56.515000000000001</v>
      </c>
      <c r="AL296">
        <v>4052.431</v>
      </c>
      <c r="AM296">
        <v>1253.877</v>
      </c>
      <c r="AN296">
        <v>1085.5260000000001</v>
      </c>
    </row>
    <row r="297" spans="4:40" hidden="1">
      <c r="D297" s="1">
        <v>45387</v>
      </c>
      <c r="E297">
        <v>-115361</v>
      </c>
      <c r="F297">
        <v>-110887</v>
      </c>
      <c r="G297">
        <v>-635131912500</v>
      </c>
      <c r="H297">
        <v>17419100000</v>
      </c>
      <c r="I297">
        <v>207271420000</v>
      </c>
      <c r="J297">
        <v>3694340000</v>
      </c>
      <c r="K297" s="1">
        <v>45387</v>
      </c>
      <c r="L297">
        <v>2714.21</v>
      </c>
      <c r="M297">
        <v>872.29</v>
      </c>
      <c r="N297">
        <v>621030</v>
      </c>
      <c r="O297">
        <v>373.75</v>
      </c>
      <c r="P297">
        <v>104.74</v>
      </c>
      <c r="Q297" s="1">
        <v>45390</v>
      </c>
      <c r="R297">
        <v>3.383</v>
      </c>
      <c r="S297">
        <v>3.423</v>
      </c>
      <c r="T297">
        <v>3.488</v>
      </c>
      <c r="U297">
        <v>3.9449999999999998</v>
      </c>
      <c r="V297">
        <v>3.56</v>
      </c>
      <c r="W297">
        <f t="shared" si="3"/>
        <v>45387</v>
      </c>
      <c r="X297">
        <f>IF($X$99=TRUE,SUM(E297:E$350),"")</f>
        <v>13961047</v>
      </c>
      <c r="Y297">
        <f>IF($Y$99=TRUE,SUM(F297:F$350),"")</f>
        <v>863984</v>
      </c>
      <c r="Z297">
        <f>IF($Z$99=TRUE,SUM(G297:G$350)/1000000,"")</f>
        <v>5960290.2874999996</v>
      </c>
      <c r="AA297">
        <f>IF($AA$99=TRUE,SUM(H297:H$350)/1000000,"")</f>
        <v>-9149534.1300000008</v>
      </c>
      <c r="AB297">
        <f>IF($AB$99=TRUE,SUM(AH297:AH$350)/1000,"")</f>
        <v>10220330.947000001</v>
      </c>
      <c r="AD297" s="1">
        <v>45387</v>
      </c>
      <c r="AE297">
        <v>373.75</v>
      </c>
      <c r="AF297">
        <v>104.74</v>
      </c>
      <c r="AG297" s="1">
        <v>45390</v>
      </c>
      <c r="AH297">
        <v>239266694</v>
      </c>
      <c r="AI297" s="1">
        <v>45492</v>
      </c>
      <c r="AJ297">
        <v>5236.3090000000002</v>
      </c>
      <c r="AK297">
        <v>56.515000000000001</v>
      </c>
      <c r="AL297">
        <v>4052.431</v>
      </c>
      <c r="AM297">
        <v>1253.877</v>
      </c>
      <c r="AN297">
        <v>1085.5260000000001</v>
      </c>
    </row>
    <row r="298" spans="4:40" hidden="1">
      <c r="D298" s="1">
        <v>45386</v>
      </c>
      <c r="E298">
        <v>587525</v>
      </c>
      <c r="F298">
        <v>102896</v>
      </c>
      <c r="G298">
        <v>378608950000</v>
      </c>
      <c r="H298">
        <v>79640650000</v>
      </c>
      <c r="I298">
        <v>-528236120000</v>
      </c>
      <c r="J298">
        <v>2637200000</v>
      </c>
      <c r="K298" s="1">
        <v>45386</v>
      </c>
      <c r="L298">
        <v>2742</v>
      </c>
      <c r="M298">
        <v>882.9</v>
      </c>
      <c r="N298">
        <v>477952</v>
      </c>
      <c r="O298">
        <v>378.25</v>
      </c>
      <c r="P298">
        <v>104.72</v>
      </c>
      <c r="Q298" s="1">
        <v>45387</v>
      </c>
      <c r="R298">
        <v>3.3290000000000002</v>
      </c>
      <c r="S298">
        <v>3.3679999999999999</v>
      </c>
      <c r="T298">
        <v>3.4329999999999998</v>
      </c>
      <c r="U298">
        <v>3.9020000000000001</v>
      </c>
      <c r="V298">
        <v>3.58</v>
      </c>
      <c r="W298">
        <f t="shared" si="3"/>
        <v>45386</v>
      </c>
      <c r="X298">
        <f>IF($X$99=TRUE,SUM(E298:E$350),"")</f>
        <v>14076408</v>
      </c>
      <c r="Y298">
        <f>IF($Y$99=TRUE,SUM(F298:F$350),"")</f>
        <v>974871</v>
      </c>
      <c r="Z298">
        <f>IF($Z$99=TRUE,SUM(G298:G$350)/1000000,"")</f>
        <v>6595422.2000000002</v>
      </c>
      <c r="AA298">
        <f>IF($AA$99=TRUE,SUM(H298:H$350)/1000000,"")</f>
        <v>-9166953.2300000004</v>
      </c>
      <c r="AB298">
        <f>IF($AB$99=TRUE,SUM(AH298:AH$350)/1000,"")</f>
        <v>9981064.2530000005</v>
      </c>
      <c r="AD298" s="1">
        <v>45386</v>
      </c>
      <c r="AE298">
        <v>378.25</v>
      </c>
      <c r="AF298">
        <v>104.72</v>
      </c>
      <c r="AG298" s="1">
        <v>45387</v>
      </c>
      <c r="AH298">
        <v>78751918</v>
      </c>
      <c r="AI298" s="1">
        <v>45491</v>
      </c>
      <c r="AJ298">
        <v>5271.7420000000002</v>
      </c>
      <c r="AK298">
        <v>57.423000000000002</v>
      </c>
      <c r="AL298">
        <v>4077.2139999999999</v>
      </c>
      <c r="AM298">
        <v>1267.4380000000001</v>
      </c>
      <c r="AN298">
        <v>1102.7929999999999</v>
      </c>
    </row>
    <row r="299" spans="4:40" hidden="1">
      <c r="D299" s="1">
        <v>45385</v>
      </c>
      <c r="E299">
        <v>3413</v>
      </c>
      <c r="F299">
        <v>-41818</v>
      </c>
      <c r="G299">
        <v>-1222788700000</v>
      </c>
      <c r="H299">
        <v>-1414374470000</v>
      </c>
      <c r="I299">
        <v>-1781475310000</v>
      </c>
      <c r="J299">
        <v>7916000000</v>
      </c>
      <c r="K299" s="1">
        <v>45385</v>
      </c>
      <c r="L299">
        <v>2706.97</v>
      </c>
      <c r="M299">
        <v>879.96</v>
      </c>
      <c r="N299">
        <v>640806</v>
      </c>
      <c r="O299">
        <v>373.05</v>
      </c>
      <c r="P299">
        <v>104.73</v>
      </c>
      <c r="Q299" s="1">
        <v>45386</v>
      </c>
      <c r="R299">
        <v>3.3380000000000001</v>
      </c>
      <c r="S299">
        <v>3.3780000000000001</v>
      </c>
      <c r="T299">
        <v>3.4569999999999999</v>
      </c>
      <c r="U299">
        <v>3.919</v>
      </c>
      <c r="V299">
        <v>3.62</v>
      </c>
      <c r="W299">
        <f t="shared" si="3"/>
        <v>45385</v>
      </c>
      <c r="X299">
        <f>IF($X$99=TRUE,SUM(E299:E$350),"")</f>
        <v>13488883</v>
      </c>
      <c r="Y299">
        <f>IF($Y$99=TRUE,SUM(F299:F$350),"")</f>
        <v>871975</v>
      </c>
      <c r="Z299">
        <f>IF($Z$99=TRUE,SUM(G299:G$350)/1000000,"")</f>
        <v>6216813.25</v>
      </c>
      <c r="AA299">
        <f>IF($AA$99=TRUE,SUM(H299:H$350)/1000000,"")</f>
        <v>-9246593.8800000008</v>
      </c>
      <c r="AB299">
        <f>IF($AB$99=TRUE,SUM(AH299:AH$350)/1000,"")</f>
        <v>9902312.3350000009</v>
      </c>
      <c r="AD299" s="1">
        <v>45385</v>
      </c>
      <c r="AE299">
        <v>373.05</v>
      </c>
      <c r="AF299">
        <v>104.73</v>
      </c>
      <c r="AG299" s="1">
        <v>45386</v>
      </c>
      <c r="AH299">
        <v>-16087154</v>
      </c>
      <c r="AI299" s="1">
        <v>45490</v>
      </c>
      <c r="AJ299">
        <v>5314.3059999999996</v>
      </c>
      <c r="AK299">
        <v>57.445</v>
      </c>
      <c r="AL299">
        <v>4160.3310000000001</v>
      </c>
      <c r="AM299">
        <v>1268.376</v>
      </c>
      <c r="AN299">
        <v>1100.3499999999999</v>
      </c>
    </row>
    <row r="300" spans="4:40" hidden="1">
      <c r="D300" s="1">
        <v>45384</v>
      </c>
      <c r="E300">
        <v>1006444</v>
      </c>
      <c r="F300">
        <v>-228414</v>
      </c>
      <c r="G300">
        <v>485128600000</v>
      </c>
      <c r="H300">
        <v>-944226860000</v>
      </c>
      <c r="I300">
        <v>-775470070000</v>
      </c>
      <c r="J300">
        <v>5409700000</v>
      </c>
      <c r="K300" s="1">
        <v>45384</v>
      </c>
      <c r="L300">
        <v>2753.16</v>
      </c>
      <c r="M300">
        <v>891.59</v>
      </c>
      <c r="N300">
        <v>630392</v>
      </c>
      <c r="O300">
        <v>378.55</v>
      </c>
      <c r="P300">
        <v>104.74</v>
      </c>
      <c r="Q300" s="1">
        <v>45385</v>
      </c>
      <c r="R300">
        <v>3.3410000000000002</v>
      </c>
      <c r="S300">
        <v>3.3809999999999998</v>
      </c>
      <c r="T300">
        <v>3.452</v>
      </c>
      <c r="U300">
        <v>3.927</v>
      </c>
      <c r="V300">
        <v>3.62</v>
      </c>
      <c r="W300">
        <f t="shared" si="3"/>
        <v>45384</v>
      </c>
      <c r="X300">
        <f>IF($X$99=TRUE,SUM(E300:E$350),"")</f>
        <v>13485470</v>
      </c>
      <c r="Y300">
        <f>IF($Y$99=TRUE,SUM(F300:F$350),"")</f>
        <v>913793</v>
      </c>
      <c r="Z300">
        <f>IF($Z$99=TRUE,SUM(G300:G$350)/1000000,"")</f>
        <v>7439601.9500000002</v>
      </c>
      <c r="AA300">
        <f>IF($AA$99=TRUE,SUM(H300:H$350)/1000000,"")</f>
        <v>-7832219.4100000001</v>
      </c>
      <c r="AB300">
        <f>IF($AB$99=TRUE,SUM(AH300:AH$350)/1000,"")</f>
        <v>9918399.4890000001</v>
      </c>
      <c r="AD300" s="1">
        <v>45384</v>
      </c>
      <c r="AE300">
        <v>378.55</v>
      </c>
      <c r="AF300">
        <v>104.74</v>
      </c>
      <c r="AG300" s="1">
        <v>45385</v>
      </c>
      <c r="AH300">
        <v>529684861</v>
      </c>
      <c r="AI300" s="1">
        <v>45489</v>
      </c>
      <c r="AJ300">
        <v>5393.2969999999996</v>
      </c>
      <c r="AK300">
        <v>57.656999999999996</v>
      </c>
      <c r="AL300">
        <v>4095.154</v>
      </c>
      <c r="AM300">
        <v>1258.028</v>
      </c>
      <c r="AN300">
        <v>1100.3499999999999</v>
      </c>
    </row>
    <row r="301" spans="4:40" hidden="1">
      <c r="D301" s="1">
        <v>45383</v>
      </c>
      <c r="E301">
        <v>268286</v>
      </c>
      <c r="F301">
        <v>67496</v>
      </c>
      <c r="G301">
        <v>-90113112500</v>
      </c>
      <c r="H301">
        <v>233235750000</v>
      </c>
      <c r="I301">
        <v>599854790000</v>
      </c>
      <c r="J301">
        <v>2630000000</v>
      </c>
      <c r="K301" s="1">
        <v>45383</v>
      </c>
      <c r="L301">
        <v>2747.86</v>
      </c>
      <c r="M301">
        <v>912.45</v>
      </c>
      <c r="N301">
        <v>397600</v>
      </c>
      <c r="O301">
        <v>377</v>
      </c>
      <c r="P301">
        <v>104.86</v>
      </c>
      <c r="Q301" s="1">
        <v>45384</v>
      </c>
      <c r="R301">
        <v>3.3330000000000002</v>
      </c>
      <c r="S301">
        <v>3.3679999999999999</v>
      </c>
      <c r="T301">
        <v>3.4249999999999998</v>
      </c>
      <c r="U301">
        <v>3.9260000000000002</v>
      </c>
      <c r="V301">
        <v>3.63</v>
      </c>
      <c r="W301">
        <f t="shared" si="3"/>
        <v>45383</v>
      </c>
      <c r="X301">
        <f>IF($X$99=TRUE,SUM(E301:E$350),"")</f>
        <v>12479026</v>
      </c>
      <c r="Y301">
        <f>IF($Y$99=TRUE,SUM(F301:F$350),"")</f>
        <v>1142207</v>
      </c>
      <c r="Z301">
        <f>IF($Z$99=TRUE,SUM(G301:G$350)/1000000,"")</f>
        <v>6954473.3499999996</v>
      </c>
      <c r="AA301">
        <f>IF($AA$99=TRUE,SUM(H301:H$350)/1000000,"")</f>
        <v>-6887992.5499999998</v>
      </c>
      <c r="AB301">
        <f>IF($AB$99=TRUE,SUM(AH301:AH$350)/1000,"")</f>
        <v>9388714.6280000005</v>
      </c>
      <c r="AD301" s="1">
        <v>45383</v>
      </c>
      <c r="AE301">
        <v>377</v>
      </c>
      <c r="AF301">
        <v>104.86</v>
      </c>
      <c r="AG301" s="1">
        <v>45384</v>
      </c>
      <c r="AH301">
        <v>304570736</v>
      </c>
      <c r="AI301" s="1">
        <v>45488</v>
      </c>
      <c r="AJ301">
        <v>5357.4620000000004</v>
      </c>
      <c r="AK301">
        <v>58.463000000000001</v>
      </c>
      <c r="AL301">
        <v>4097.0919999999996</v>
      </c>
      <c r="AM301">
        <v>1264.6079999999999</v>
      </c>
      <c r="AN301">
        <v>1101.2270000000001</v>
      </c>
    </row>
    <row r="302" spans="4:40" hidden="1">
      <c r="D302" s="1">
        <v>45380</v>
      </c>
      <c r="E302">
        <v>782981</v>
      </c>
      <c r="F302">
        <v>28358</v>
      </c>
      <c r="G302">
        <v>121021887500</v>
      </c>
      <c r="H302">
        <v>-700181720000</v>
      </c>
      <c r="I302">
        <v>-376257750000</v>
      </c>
      <c r="J302">
        <v>7886000000</v>
      </c>
      <c r="K302" s="1">
        <v>45380</v>
      </c>
      <c r="L302">
        <v>2746.63</v>
      </c>
      <c r="M302">
        <v>905.5</v>
      </c>
      <c r="N302">
        <v>495495</v>
      </c>
      <c r="O302">
        <v>376.95</v>
      </c>
      <c r="P302">
        <v>104.78</v>
      </c>
      <c r="Q302" s="1">
        <v>45383</v>
      </c>
      <c r="R302">
        <v>3.2909999999999999</v>
      </c>
      <c r="S302">
        <v>3.3260000000000001</v>
      </c>
      <c r="T302">
        <v>3.3809999999999998</v>
      </c>
      <c r="U302">
        <v>3.8959999999999999</v>
      </c>
      <c r="V302">
        <v>3.63</v>
      </c>
      <c r="W302">
        <f t="shared" si="3"/>
        <v>45380</v>
      </c>
      <c r="X302">
        <f>IF($X$99=TRUE,SUM(E302:E$350),"")</f>
        <v>12210740</v>
      </c>
      <c r="Y302">
        <f>IF($Y$99=TRUE,SUM(F302:F$350),"")</f>
        <v>1074711</v>
      </c>
      <c r="Z302">
        <f>IF($Z$99=TRUE,SUM(G302:G$350)/1000000,"")</f>
        <v>7044586.4625000004</v>
      </c>
      <c r="AA302">
        <f>IF($AA$99=TRUE,SUM(H302:H$350)/1000000,"")</f>
        <v>-7121228.2999999998</v>
      </c>
      <c r="AB302">
        <f>IF($AB$99=TRUE,SUM(AH302:AH$350)/1000,"")</f>
        <v>9084143.8920000009</v>
      </c>
      <c r="AD302" s="1">
        <v>45380</v>
      </c>
      <c r="AE302">
        <v>376.95</v>
      </c>
      <c r="AF302">
        <v>104.78</v>
      </c>
      <c r="AG302" s="1">
        <v>45383</v>
      </c>
      <c r="AH302">
        <v>255133026</v>
      </c>
      <c r="AI302" s="1">
        <v>45487</v>
      </c>
      <c r="AJ302">
        <v>5341.3810000000003</v>
      </c>
      <c r="AK302">
        <v>59.405000000000001</v>
      </c>
      <c r="AL302">
        <v>4101.1180000000004</v>
      </c>
      <c r="AM302">
        <v>1276.076</v>
      </c>
      <c r="AN302">
        <v>1096.7080000000001</v>
      </c>
    </row>
    <row r="303" spans="4:40" hidden="1">
      <c r="D303" s="1">
        <v>45379</v>
      </c>
      <c r="E303">
        <v>74388</v>
      </c>
      <c r="F303">
        <v>-6653</v>
      </c>
      <c r="G303">
        <v>172600375000</v>
      </c>
      <c r="H303">
        <v>215365030000</v>
      </c>
      <c r="I303">
        <v>185072640000</v>
      </c>
      <c r="J303">
        <v>0</v>
      </c>
      <c r="K303" s="1">
        <v>45379</v>
      </c>
      <c r="L303">
        <v>2745.82</v>
      </c>
      <c r="M303">
        <v>910.05</v>
      </c>
      <c r="N303">
        <v>419277</v>
      </c>
      <c r="O303">
        <v>375.7</v>
      </c>
      <c r="P303">
        <v>104.85</v>
      </c>
      <c r="Q303" s="1">
        <v>45380</v>
      </c>
      <c r="R303">
        <v>3.3220000000000001</v>
      </c>
      <c r="S303">
        <v>3.3540000000000001</v>
      </c>
      <c r="T303">
        <v>3.4129999999999998</v>
      </c>
      <c r="U303">
        <v>3.9260000000000002</v>
      </c>
      <c r="V303">
        <v>3.64</v>
      </c>
      <c r="W303">
        <f t="shared" si="3"/>
        <v>45379</v>
      </c>
      <c r="X303">
        <f>IF($X$99=TRUE,SUM(E303:E$350),"")</f>
        <v>11427759</v>
      </c>
      <c r="Y303">
        <f>IF($Y$99=TRUE,SUM(F303:F$350),"")</f>
        <v>1046353</v>
      </c>
      <c r="Z303">
        <f>IF($Z$99=TRUE,SUM(G303:G$350)/1000000,"")</f>
        <v>6923564.5750000002</v>
      </c>
      <c r="AA303">
        <f>IF($AA$99=TRUE,SUM(H303:H$350)/1000000,"")</f>
        <v>-6421046.5800000001</v>
      </c>
      <c r="AB303">
        <f>IF($AB$99=TRUE,SUM(AH303:AH$350)/1000,"")</f>
        <v>8829010.8660000004</v>
      </c>
      <c r="AD303" s="1">
        <v>45379</v>
      </c>
      <c r="AE303">
        <v>375.7</v>
      </c>
      <c r="AF303">
        <v>104.85</v>
      </c>
      <c r="AG303" s="1">
        <v>45380</v>
      </c>
      <c r="AH303">
        <v>851264567</v>
      </c>
      <c r="AI303" s="1">
        <v>45486</v>
      </c>
      <c r="AJ303">
        <v>5341.3810000000003</v>
      </c>
      <c r="AK303">
        <v>59.405000000000001</v>
      </c>
      <c r="AL303">
        <v>4101.1180000000004</v>
      </c>
      <c r="AM303">
        <v>1276.076</v>
      </c>
      <c r="AN303">
        <v>1096.7080000000001</v>
      </c>
    </row>
    <row r="304" spans="4:40" hidden="1">
      <c r="D304" s="1">
        <v>45378</v>
      </c>
      <c r="E304">
        <v>292021</v>
      </c>
      <c r="F304">
        <v>54623</v>
      </c>
      <c r="G304">
        <v>187310887500</v>
      </c>
      <c r="H304">
        <v>90786190000</v>
      </c>
      <c r="I304">
        <v>370486610000</v>
      </c>
      <c r="J304">
        <v>0</v>
      </c>
      <c r="K304" s="1">
        <v>45378</v>
      </c>
      <c r="L304">
        <v>2755.11</v>
      </c>
      <c r="M304">
        <v>911.25</v>
      </c>
      <c r="N304">
        <v>510644</v>
      </c>
      <c r="O304">
        <v>376.3</v>
      </c>
      <c r="P304">
        <v>104.89</v>
      </c>
      <c r="Q304" s="1">
        <v>45379</v>
      </c>
      <c r="R304">
        <v>3.2930000000000001</v>
      </c>
      <c r="S304">
        <v>3.3239999999999998</v>
      </c>
      <c r="T304">
        <v>3.3769999999999998</v>
      </c>
      <c r="U304">
        <v>3.903</v>
      </c>
      <c r="V304">
        <v>3.64</v>
      </c>
      <c r="W304">
        <f t="shared" si="3"/>
        <v>45378</v>
      </c>
      <c r="X304">
        <f>IF($X$99=TRUE,SUM(E304:E$350),"")</f>
        <v>11353371</v>
      </c>
      <c r="Y304">
        <f>IF($Y$99=TRUE,SUM(F304:F$350),"")</f>
        <v>1053006</v>
      </c>
      <c r="Z304">
        <f>IF($Z$99=TRUE,SUM(G304:G$350)/1000000,"")</f>
        <v>6750964.2000000002</v>
      </c>
      <c r="AA304">
        <f>IF($AA$99=TRUE,SUM(H304:H$350)/1000000,"")</f>
        <v>-6636411.6100000003</v>
      </c>
      <c r="AB304">
        <f>IF($AB$99=TRUE,SUM(AH304:AH$350)/1000,"")</f>
        <v>7977746.2989999996</v>
      </c>
      <c r="AD304" s="1">
        <v>45378</v>
      </c>
      <c r="AE304">
        <v>376.3</v>
      </c>
      <c r="AF304">
        <v>104.89</v>
      </c>
      <c r="AG304" s="1">
        <v>45379</v>
      </c>
      <c r="AH304">
        <v>476893691</v>
      </c>
      <c r="AI304" s="1">
        <v>45485</v>
      </c>
      <c r="AJ304">
        <v>5341.3810000000003</v>
      </c>
      <c r="AK304">
        <v>59.405000000000001</v>
      </c>
      <c r="AL304">
        <v>4101.1180000000004</v>
      </c>
      <c r="AM304">
        <v>1276.076</v>
      </c>
      <c r="AN304">
        <v>1096.7080000000001</v>
      </c>
    </row>
    <row r="305" spans="4:40" hidden="1">
      <c r="D305" s="1">
        <v>45377</v>
      </c>
      <c r="E305">
        <v>620795</v>
      </c>
      <c r="F305">
        <v>73341</v>
      </c>
      <c r="G305">
        <v>342731987500</v>
      </c>
      <c r="H305">
        <v>49661150000</v>
      </c>
      <c r="I305">
        <v>-130384830000</v>
      </c>
      <c r="J305">
        <v>6603400000</v>
      </c>
      <c r="K305" s="1">
        <v>45377</v>
      </c>
      <c r="L305">
        <v>2757.09</v>
      </c>
      <c r="M305">
        <v>916.09</v>
      </c>
      <c r="N305">
        <v>448300</v>
      </c>
      <c r="O305">
        <v>376</v>
      </c>
      <c r="P305">
        <v>104.82</v>
      </c>
      <c r="Q305" s="1">
        <v>45378</v>
      </c>
      <c r="R305">
        <v>3.2879999999999998</v>
      </c>
      <c r="S305">
        <v>3.3220000000000001</v>
      </c>
      <c r="T305">
        <v>3.3730000000000002</v>
      </c>
      <c r="U305">
        <v>3.903</v>
      </c>
      <c r="V305">
        <v>3.63</v>
      </c>
      <c r="W305">
        <f t="shared" si="3"/>
        <v>45377</v>
      </c>
      <c r="X305">
        <f>IF($X$99=TRUE,SUM(E305:E$350),"")</f>
        <v>11061350</v>
      </c>
      <c r="Y305">
        <f>IF($Y$99=TRUE,SUM(F305:F$350),"")</f>
        <v>998383</v>
      </c>
      <c r="Z305">
        <f>IF($Z$99=TRUE,SUM(G305:G$350)/1000000,"")</f>
        <v>6563653.3125</v>
      </c>
      <c r="AA305">
        <f>IF($AA$99=TRUE,SUM(H305:H$350)/1000000,"")</f>
        <v>-6727197.7999999998</v>
      </c>
      <c r="AB305">
        <f>IF($AB$99=TRUE,SUM(AH305:AH$350)/1000,"")</f>
        <v>7500852.608</v>
      </c>
      <c r="AD305" s="1">
        <v>45377</v>
      </c>
      <c r="AE305">
        <v>376</v>
      </c>
      <c r="AF305">
        <v>104.82</v>
      </c>
      <c r="AG305" s="1">
        <v>45378</v>
      </c>
      <c r="AH305">
        <v>420095601</v>
      </c>
      <c r="AI305" s="1">
        <v>45484</v>
      </c>
      <c r="AJ305">
        <v>5310.7340000000004</v>
      </c>
      <c r="AK305">
        <v>58.218000000000004</v>
      </c>
      <c r="AL305">
        <v>4146.4380000000001</v>
      </c>
      <c r="AM305">
        <v>1264.8989999999999</v>
      </c>
      <c r="AN305">
        <v>1091.4680000000001</v>
      </c>
    </row>
    <row r="306" spans="4:40" hidden="1">
      <c r="D306" s="1">
        <v>45376</v>
      </c>
      <c r="E306">
        <v>-42837</v>
      </c>
      <c r="F306">
        <v>195857</v>
      </c>
      <c r="G306">
        <v>-351330650000</v>
      </c>
      <c r="H306">
        <v>372498420000</v>
      </c>
      <c r="I306">
        <v>250648730000</v>
      </c>
      <c r="J306">
        <v>0</v>
      </c>
      <c r="K306" s="1">
        <v>45376</v>
      </c>
      <c r="L306">
        <v>2737.57</v>
      </c>
      <c r="M306">
        <v>913.69</v>
      </c>
      <c r="N306">
        <v>489620</v>
      </c>
      <c r="O306">
        <v>372.6</v>
      </c>
      <c r="P306">
        <v>104.87</v>
      </c>
      <c r="Q306" s="1">
        <v>45377</v>
      </c>
      <c r="R306">
        <v>3.3010000000000002</v>
      </c>
      <c r="S306">
        <v>3.34</v>
      </c>
      <c r="T306">
        <v>3.3969999999999998</v>
      </c>
      <c r="U306">
        <v>3.923</v>
      </c>
      <c r="V306">
        <v>3.64</v>
      </c>
      <c r="W306">
        <f t="shared" si="3"/>
        <v>45376</v>
      </c>
      <c r="X306">
        <f>IF($X$99=TRUE,SUM(E306:E$350),"")</f>
        <v>10440555</v>
      </c>
      <c r="Y306">
        <f>IF($Y$99=TRUE,SUM(F306:F$350),"")</f>
        <v>925042</v>
      </c>
      <c r="Z306">
        <f>IF($Z$99=TRUE,SUM(G306:G$350)/1000000,"")</f>
        <v>6220921.3250000002</v>
      </c>
      <c r="AA306">
        <f>IF($AA$99=TRUE,SUM(H306:H$350)/1000000,"")</f>
        <v>-6776858.9500000002</v>
      </c>
      <c r="AB306">
        <f>IF($AB$99=TRUE,SUM(AH306:AH$350)/1000,"")</f>
        <v>7080757.0070000002</v>
      </c>
      <c r="AD306" s="1">
        <v>45376</v>
      </c>
      <c r="AE306">
        <v>372.6</v>
      </c>
      <c r="AF306">
        <v>104.87</v>
      </c>
      <c r="AG306" s="1">
        <v>45377</v>
      </c>
      <c r="AH306">
        <v>-95073883</v>
      </c>
      <c r="AI306" s="1">
        <v>45483</v>
      </c>
      <c r="AJ306">
        <v>5355.0730000000003</v>
      </c>
      <c r="AK306">
        <v>57.186999999999998</v>
      </c>
      <c r="AL306">
        <v>4039.9009999999998</v>
      </c>
      <c r="AM306">
        <v>1251.528</v>
      </c>
      <c r="AN306">
        <v>1091.8679999999999</v>
      </c>
    </row>
    <row r="307" spans="4:40" hidden="1">
      <c r="D307" s="1">
        <v>45373</v>
      </c>
      <c r="E307">
        <v>665921</v>
      </c>
      <c r="F307">
        <v>-49595</v>
      </c>
      <c r="G307">
        <v>-80701825000</v>
      </c>
      <c r="H307">
        <v>-1205352610000</v>
      </c>
      <c r="I307">
        <v>513428170000</v>
      </c>
      <c r="J307">
        <v>0</v>
      </c>
      <c r="K307" s="1">
        <v>45373</v>
      </c>
      <c r="L307">
        <v>2748.56</v>
      </c>
      <c r="M307">
        <v>903.98</v>
      </c>
      <c r="N307">
        <v>509545</v>
      </c>
      <c r="O307">
        <v>373.4</v>
      </c>
      <c r="P307">
        <v>104.88</v>
      </c>
      <c r="Q307" s="1">
        <v>45376</v>
      </c>
      <c r="R307">
        <v>3.29</v>
      </c>
      <c r="S307">
        <v>3.331</v>
      </c>
      <c r="T307">
        <v>3.37</v>
      </c>
      <c r="U307">
        <v>3.915</v>
      </c>
      <c r="V307">
        <v>3.65</v>
      </c>
      <c r="W307">
        <f t="shared" si="3"/>
        <v>45373</v>
      </c>
      <c r="X307">
        <f>IF($X$99=TRUE,SUM(E307:E$350),"")</f>
        <v>10483392</v>
      </c>
      <c r="Y307">
        <f>IF($Y$99=TRUE,SUM(F307:F$350),"")</f>
        <v>729185</v>
      </c>
      <c r="Z307">
        <f>IF($Z$99=TRUE,SUM(G307:G$350)/1000000,"")</f>
        <v>6572251.9749999996</v>
      </c>
      <c r="AA307">
        <f>IF($AA$99=TRUE,SUM(H307:H$350)/1000000,"")</f>
        <v>-7149357.3700000001</v>
      </c>
      <c r="AB307">
        <f>IF($AB$99=TRUE,SUM(AH307:AH$350)/1000,"")</f>
        <v>7175830.8899999997</v>
      </c>
      <c r="AD307" s="1">
        <v>45373</v>
      </c>
      <c r="AE307">
        <v>373.4</v>
      </c>
      <c r="AF307">
        <v>104.88</v>
      </c>
      <c r="AG307" s="1">
        <v>45376</v>
      </c>
      <c r="AH307">
        <v>-801397311</v>
      </c>
      <c r="AI307" s="1">
        <v>45482</v>
      </c>
      <c r="AJ307">
        <v>5302.0370000000003</v>
      </c>
      <c r="AK307">
        <v>57.347000000000001</v>
      </c>
      <c r="AL307">
        <v>4023.261</v>
      </c>
      <c r="AM307">
        <v>1240.5309999999999</v>
      </c>
      <c r="AN307">
        <v>1096.0170000000001</v>
      </c>
    </row>
    <row r="308" spans="4:40" hidden="1">
      <c r="D308" s="1">
        <v>45372</v>
      </c>
      <c r="E308">
        <v>1870646</v>
      </c>
      <c r="F308">
        <v>368245</v>
      </c>
      <c r="G308">
        <v>1503298850000</v>
      </c>
      <c r="H308">
        <v>55336660000</v>
      </c>
      <c r="I308">
        <v>-378127250000</v>
      </c>
      <c r="J308">
        <v>0</v>
      </c>
      <c r="K308" s="1">
        <v>45372</v>
      </c>
      <c r="L308">
        <v>2754.86</v>
      </c>
      <c r="M308">
        <v>904.29</v>
      </c>
      <c r="N308">
        <v>825226</v>
      </c>
      <c r="O308">
        <v>375.45</v>
      </c>
      <c r="P308">
        <v>104.82</v>
      </c>
      <c r="Q308" s="1">
        <v>45373</v>
      </c>
      <c r="R308">
        <v>3.2839999999999998</v>
      </c>
      <c r="S308">
        <v>3.3170000000000002</v>
      </c>
      <c r="T308">
        <v>3.3620000000000001</v>
      </c>
      <c r="U308">
        <v>3.9180000000000001</v>
      </c>
      <c r="V308">
        <v>3.65</v>
      </c>
      <c r="W308">
        <f t="shared" si="3"/>
        <v>45372</v>
      </c>
      <c r="X308">
        <f>IF($X$99=TRUE,SUM(E308:E$350),"")</f>
        <v>9817471</v>
      </c>
      <c r="Y308">
        <f>IF($Y$99=TRUE,SUM(F308:F$350),"")</f>
        <v>778780</v>
      </c>
      <c r="Z308">
        <f>IF($Z$99=TRUE,SUM(G308:G$350)/1000000,"")</f>
        <v>6652953.7999999998</v>
      </c>
      <c r="AA308">
        <f>IF($AA$99=TRUE,SUM(H308:H$350)/1000000,"")</f>
        <v>-5944004.7599999998</v>
      </c>
      <c r="AB308">
        <f>IF($AB$99=TRUE,SUM(AH308:AH$350)/1000,"")</f>
        <v>7977228.2010000004</v>
      </c>
      <c r="AD308" s="1">
        <v>45372</v>
      </c>
      <c r="AE308">
        <v>375.45</v>
      </c>
      <c r="AF308">
        <v>104.82</v>
      </c>
      <c r="AG308" s="1">
        <v>45373</v>
      </c>
      <c r="AH308">
        <v>1100380909</v>
      </c>
      <c r="AI308" s="1">
        <v>45481</v>
      </c>
      <c r="AJ308">
        <v>5299.1559999999999</v>
      </c>
      <c r="AK308">
        <v>57.057000000000002</v>
      </c>
      <c r="AL308">
        <v>3999.067</v>
      </c>
      <c r="AM308">
        <v>1251.808</v>
      </c>
      <c r="AN308">
        <v>1090.615</v>
      </c>
    </row>
    <row r="309" spans="4:40" hidden="1">
      <c r="D309" s="1">
        <v>45371</v>
      </c>
      <c r="E309">
        <v>851617</v>
      </c>
      <c r="F309">
        <v>5127</v>
      </c>
      <c r="G309">
        <v>1103348800000</v>
      </c>
      <c r="H309">
        <v>-859814070000</v>
      </c>
      <c r="I309">
        <v>-724661390000</v>
      </c>
      <c r="J309">
        <v>0</v>
      </c>
      <c r="K309" s="1">
        <v>45371</v>
      </c>
      <c r="L309">
        <v>2690.14</v>
      </c>
      <c r="M309">
        <v>891.45</v>
      </c>
      <c r="N309">
        <v>720451</v>
      </c>
      <c r="O309">
        <v>365.05</v>
      </c>
      <c r="P309">
        <v>104.65</v>
      </c>
      <c r="Q309" s="1">
        <v>45372</v>
      </c>
      <c r="R309">
        <v>3.306</v>
      </c>
      <c r="S309">
        <v>3.3490000000000002</v>
      </c>
      <c r="T309">
        <v>3.411</v>
      </c>
      <c r="U309">
        <v>3.9420000000000002</v>
      </c>
      <c r="V309">
        <v>3.65</v>
      </c>
      <c r="W309">
        <f t="shared" si="3"/>
        <v>45371</v>
      </c>
      <c r="X309">
        <f>IF($X$99=TRUE,SUM(E309:E$350),"")</f>
        <v>7946825</v>
      </c>
      <c r="Y309">
        <f>IF($Y$99=TRUE,SUM(F309:F$350),"")</f>
        <v>410535</v>
      </c>
      <c r="Z309">
        <f>IF($Z$99=TRUE,SUM(G309:G$350)/1000000,"")</f>
        <v>5149654.95</v>
      </c>
      <c r="AA309">
        <f>IF($AA$99=TRUE,SUM(H309:H$350)/1000000,"")</f>
        <v>-5999341.4199999999</v>
      </c>
      <c r="AB309">
        <f>IF($AB$99=TRUE,SUM(AH309:AH$350)/1000,"")</f>
        <v>6876847.2920000004</v>
      </c>
      <c r="AD309" s="1">
        <v>45371</v>
      </c>
      <c r="AE309">
        <v>365.05</v>
      </c>
      <c r="AF309">
        <v>104.65</v>
      </c>
      <c r="AG309" s="1">
        <v>45372</v>
      </c>
      <c r="AH309">
        <v>-17991314</v>
      </c>
      <c r="AI309" s="1">
        <v>45480</v>
      </c>
      <c r="AJ309">
        <v>5293.4870000000001</v>
      </c>
      <c r="AK309">
        <v>57.795000000000002</v>
      </c>
      <c r="AL309">
        <v>4014.5439999999999</v>
      </c>
      <c r="AM309">
        <v>1250.25</v>
      </c>
      <c r="AN309">
        <v>1091.375</v>
      </c>
    </row>
    <row r="310" spans="4:40" hidden="1">
      <c r="D310" s="1">
        <v>45370</v>
      </c>
      <c r="E310">
        <v>-238794</v>
      </c>
      <c r="F310">
        <v>-84197</v>
      </c>
      <c r="G310">
        <v>-464864125000</v>
      </c>
      <c r="H310">
        <v>-1906023780000</v>
      </c>
      <c r="I310">
        <v>-1109202590000</v>
      </c>
      <c r="J310">
        <v>0</v>
      </c>
      <c r="K310" s="1">
        <v>45370</v>
      </c>
      <c r="L310">
        <v>2656.17</v>
      </c>
      <c r="M310">
        <v>891.91</v>
      </c>
      <c r="N310">
        <v>695865</v>
      </c>
      <c r="O310">
        <v>358.95</v>
      </c>
      <c r="P310">
        <v>104.55</v>
      </c>
      <c r="Q310" s="1">
        <v>45371</v>
      </c>
      <c r="R310">
        <v>3.371</v>
      </c>
      <c r="S310">
        <v>3.399</v>
      </c>
      <c r="T310">
        <v>3.4510000000000001</v>
      </c>
      <c r="U310">
        <v>4.0060000000000002</v>
      </c>
      <c r="V310">
        <v>3.64</v>
      </c>
      <c r="W310">
        <f t="shared" si="3"/>
        <v>45370</v>
      </c>
      <c r="X310">
        <f>IF($X$99=TRUE,SUM(E310:E$350),"")</f>
        <v>7095208</v>
      </c>
      <c r="Y310">
        <f>IF($Y$99=TRUE,SUM(F310:F$350),"")</f>
        <v>405408</v>
      </c>
      <c r="Z310">
        <f>IF($Z$99=TRUE,SUM(G310:G$350)/1000000,"")</f>
        <v>4046306.15</v>
      </c>
      <c r="AA310">
        <f>IF($AA$99=TRUE,SUM(H310:H$350)/1000000,"")</f>
        <v>-5139527.3499999996</v>
      </c>
      <c r="AB310">
        <f>IF($AB$99=TRUE,SUM(AH310:AH$350)/1000,"")</f>
        <v>6894838.6059999997</v>
      </c>
      <c r="AD310" s="1">
        <v>45370</v>
      </c>
      <c r="AE310">
        <v>358.95</v>
      </c>
      <c r="AF310">
        <v>104.55</v>
      </c>
      <c r="AG310" s="1">
        <v>45371</v>
      </c>
      <c r="AH310">
        <v>-33182436</v>
      </c>
      <c r="AI310" s="1">
        <v>45479</v>
      </c>
      <c r="AJ310">
        <v>5293.4870000000001</v>
      </c>
      <c r="AK310">
        <v>57.795000000000002</v>
      </c>
      <c r="AL310">
        <v>4014.5439999999999</v>
      </c>
      <c r="AM310">
        <v>1250.25</v>
      </c>
      <c r="AN310">
        <v>1091.375</v>
      </c>
    </row>
    <row r="311" spans="4:40" hidden="1">
      <c r="D311" s="1">
        <v>45369</v>
      </c>
      <c r="E311">
        <v>-84700</v>
      </c>
      <c r="F311">
        <v>188169</v>
      </c>
      <c r="G311">
        <v>-6817600000</v>
      </c>
      <c r="H311">
        <v>-2376683540000</v>
      </c>
      <c r="I311">
        <v>363747530000</v>
      </c>
      <c r="J311">
        <v>0</v>
      </c>
      <c r="K311" s="1">
        <v>45369</v>
      </c>
      <c r="L311">
        <v>2685.84</v>
      </c>
      <c r="M311">
        <v>894.48</v>
      </c>
      <c r="N311">
        <v>408182</v>
      </c>
      <c r="O311">
        <v>362.95</v>
      </c>
      <c r="P311">
        <v>104.48</v>
      </c>
      <c r="Q311" s="1">
        <v>45370</v>
      </c>
      <c r="R311">
        <v>3.383</v>
      </c>
      <c r="S311">
        <v>3.419</v>
      </c>
      <c r="T311">
        <v>3.472</v>
      </c>
      <c r="U311">
        <v>4.0220000000000002</v>
      </c>
      <c r="V311">
        <v>3.64</v>
      </c>
      <c r="W311">
        <f t="shared" si="3"/>
        <v>45369</v>
      </c>
      <c r="X311">
        <f>IF($X$99=TRUE,SUM(E311:E$350),"")</f>
        <v>7334002</v>
      </c>
      <c r="Y311">
        <f>IF($Y$99=TRUE,SUM(F311:F$350),"")</f>
        <v>489605</v>
      </c>
      <c r="Z311">
        <f>IF($Z$99=TRUE,SUM(G311:G$350)/1000000,"")</f>
        <v>4511170.2750000004</v>
      </c>
      <c r="AA311">
        <f>IF($AA$99=TRUE,SUM(H311:H$350)/1000000,"")</f>
        <v>-3233503.57</v>
      </c>
      <c r="AB311">
        <f>IF($AB$99=TRUE,SUM(AH311:AH$350)/1000,"")</f>
        <v>6928021.0420000004</v>
      </c>
      <c r="AD311" s="1">
        <v>45369</v>
      </c>
      <c r="AE311">
        <v>362.95</v>
      </c>
      <c r="AF311">
        <v>104.48</v>
      </c>
      <c r="AG311" s="1">
        <v>45370</v>
      </c>
      <c r="AH311">
        <v>-279582834</v>
      </c>
      <c r="AI311" s="1">
        <v>45478</v>
      </c>
      <c r="AJ311">
        <v>5293.4870000000001</v>
      </c>
      <c r="AK311">
        <v>57.795000000000002</v>
      </c>
      <c r="AL311">
        <v>4014.5439999999999</v>
      </c>
      <c r="AM311">
        <v>1250.25</v>
      </c>
      <c r="AN311">
        <v>1091.375</v>
      </c>
    </row>
    <row r="312" spans="4:40" hidden="1">
      <c r="D312" s="1">
        <v>45366</v>
      </c>
      <c r="E312">
        <v>-1032319</v>
      </c>
      <c r="F312">
        <v>-76141</v>
      </c>
      <c r="G312">
        <v>-1023118500000</v>
      </c>
      <c r="H312">
        <v>-1293989100000</v>
      </c>
      <c r="I312">
        <v>-899858870000</v>
      </c>
      <c r="J312">
        <v>0</v>
      </c>
      <c r="K312" s="1">
        <v>45366</v>
      </c>
      <c r="L312">
        <v>2666.84</v>
      </c>
      <c r="M312">
        <v>880.46</v>
      </c>
      <c r="N312">
        <v>584947</v>
      </c>
      <c r="O312">
        <v>361.1</v>
      </c>
      <c r="P312">
        <v>104.57</v>
      </c>
      <c r="Q312" s="1">
        <v>45369</v>
      </c>
      <c r="R312">
        <v>3.3479999999999999</v>
      </c>
      <c r="S312">
        <v>3.3820000000000001</v>
      </c>
      <c r="T312">
        <v>3.4350000000000001</v>
      </c>
      <c r="U312">
        <v>3.9929999999999999</v>
      </c>
      <c r="V312">
        <v>3.64</v>
      </c>
      <c r="W312">
        <f t="shared" si="3"/>
        <v>45366</v>
      </c>
      <c r="X312">
        <f>IF($X$99=TRUE,SUM(E312:E$350),"")</f>
        <v>7418702</v>
      </c>
      <c r="Y312">
        <f>IF($Y$99=TRUE,SUM(F312:F$350),"")</f>
        <v>301436</v>
      </c>
      <c r="Z312">
        <f>IF($Z$99=TRUE,SUM(G312:G$350)/1000000,"")</f>
        <v>4517987.875</v>
      </c>
      <c r="AA312">
        <f>IF($AA$99=TRUE,SUM(H312:H$350)/1000000,"")</f>
        <v>-856820.03</v>
      </c>
      <c r="AB312">
        <f>IF($AB$99=TRUE,SUM(AH312:AH$350)/1000,"")</f>
        <v>7207603.8760000002</v>
      </c>
      <c r="AD312" s="1">
        <v>45366</v>
      </c>
      <c r="AE312">
        <v>361.1</v>
      </c>
      <c r="AF312">
        <v>104.57</v>
      </c>
      <c r="AG312" s="1">
        <v>45369</v>
      </c>
      <c r="AH312">
        <v>194723986</v>
      </c>
      <c r="AI312" s="1">
        <v>45477</v>
      </c>
      <c r="AJ312">
        <v>5265.143</v>
      </c>
      <c r="AK312">
        <v>58.374000000000002</v>
      </c>
      <c r="AL312">
        <v>4027.4920000000002</v>
      </c>
      <c r="AM312">
        <v>1253.32</v>
      </c>
      <c r="AN312">
        <v>1086.1030000000001</v>
      </c>
    </row>
    <row r="313" spans="4:40" hidden="1">
      <c r="D313" s="1">
        <v>45365</v>
      </c>
      <c r="E313">
        <v>472248</v>
      </c>
      <c r="F313">
        <v>-162000</v>
      </c>
      <c r="G313">
        <v>438786425000</v>
      </c>
      <c r="H313">
        <v>-936354990000</v>
      </c>
      <c r="I313">
        <v>-621213160000</v>
      </c>
      <c r="J313">
        <v>0</v>
      </c>
      <c r="K313" s="1">
        <v>45365</v>
      </c>
      <c r="L313">
        <v>2718.76</v>
      </c>
      <c r="M313">
        <v>887.52</v>
      </c>
      <c r="N313">
        <v>609288</v>
      </c>
      <c r="O313">
        <v>366.35</v>
      </c>
      <c r="P313">
        <v>104.72</v>
      </c>
      <c r="Q313" s="1">
        <v>45366</v>
      </c>
      <c r="R313">
        <v>3.3079999999999998</v>
      </c>
      <c r="S313">
        <v>3.3439999999999999</v>
      </c>
      <c r="T313">
        <v>3.41</v>
      </c>
      <c r="U313">
        <v>3.9529999999999998</v>
      </c>
      <c r="V313">
        <v>3.64</v>
      </c>
      <c r="W313">
        <f t="shared" si="3"/>
        <v>45365</v>
      </c>
      <c r="X313">
        <f>IF($X$99=TRUE,SUM(E313:E$350),"")</f>
        <v>8451021</v>
      </c>
      <c r="Y313">
        <f>IF($Y$99=TRUE,SUM(F313:F$350),"")</f>
        <v>377577</v>
      </c>
      <c r="Z313">
        <f>IF($Z$99=TRUE,SUM(G313:G$350)/1000000,"")</f>
        <v>5541106.375</v>
      </c>
      <c r="AA313">
        <f>IF($AA$99=TRUE,SUM(H313:H$350)/1000000,"")</f>
        <v>437169.07</v>
      </c>
      <c r="AB313">
        <f>IF($AB$99=TRUE,SUM(AH313:AH$350)/1000,"")</f>
        <v>7012879.8899999997</v>
      </c>
      <c r="AD313" s="1">
        <v>45365</v>
      </c>
      <c r="AE313">
        <v>366.35</v>
      </c>
      <c r="AF313">
        <v>104.72</v>
      </c>
      <c r="AG313" s="1">
        <v>45366</v>
      </c>
      <c r="AH313">
        <v>-132493475</v>
      </c>
      <c r="AI313" s="1">
        <v>45476</v>
      </c>
      <c r="AJ313">
        <v>5265.143</v>
      </c>
      <c r="AK313">
        <v>58.206000000000003</v>
      </c>
      <c r="AL313">
        <v>3979.0360000000001</v>
      </c>
      <c r="AM313">
        <v>1242.049</v>
      </c>
      <c r="AN313">
        <v>1082.05</v>
      </c>
    </row>
    <row r="314" spans="4:40" hidden="1">
      <c r="D314" s="1">
        <v>45364</v>
      </c>
      <c r="E314">
        <v>333847</v>
      </c>
      <c r="F314">
        <v>-122663</v>
      </c>
      <c r="G314">
        <v>-218863312500</v>
      </c>
      <c r="H314">
        <v>-642652810000</v>
      </c>
      <c r="I314">
        <v>-579516090000</v>
      </c>
      <c r="J314">
        <v>0</v>
      </c>
      <c r="K314" s="1">
        <v>45364</v>
      </c>
      <c r="L314">
        <v>2693.57</v>
      </c>
      <c r="M314">
        <v>889.93</v>
      </c>
      <c r="N314">
        <v>498759</v>
      </c>
      <c r="O314">
        <v>363.55</v>
      </c>
      <c r="P314">
        <v>104.83</v>
      </c>
      <c r="Q314" s="1">
        <v>45365</v>
      </c>
      <c r="R314">
        <v>3.2730000000000001</v>
      </c>
      <c r="S314">
        <v>3.302</v>
      </c>
      <c r="T314">
        <v>3.3540000000000001</v>
      </c>
      <c r="U314">
        <v>3.9220000000000002</v>
      </c>
      <c r="V314">
        <v>3.64</v>
      </c>
      <c r="W314">
        <f t="shared" si="3"/>
        <v>45364</v>
      </c>
      <c r="X314">
        <f>IF($X$99=TRUE,SUM(E314:E$350),"")</f>
        <v>7978773</v>
      </c>
      <c r="Y314">
        <f>IF($Y$99=TRUE,SUM(F314:F$350),"")</f>
        <v>539577</v>
      </c>
      <c r="Z314">
        <f>IF($Z$99=TRUE,SUM(G314:G$350)/1000000,"")</f>
        <v>5102319.95</v>
      </c>
      <c r="AA314">
        <f>IF($AA$99=TRUE,SUM(H314:H$350)/1000000,"")</f>
        <v>1373524.06</v>
      </c>
      <c r="AB314">
        <f>IF($AB$99=TRUE,SUM(AH314:AH$350)/1000,"")</f>
        <v>7145373.3650000002</v>
      </c>
      <c r="AD314" s="1">
        <v>45364</v>
      </c>
      <c r="AE314">
        <v>363.55</v>
      </c>
      <c r="AF314">
        <v>104.83</v>
      </c>
      <c r="AG314" s="1">
        <v>45365</v>
      </c>
      <c r="AH314">
        <v>-17303178</v>
      </c>
      <c r="AI314" s="1">
        <v>45475</v>
      </c>
      <c r="AJ314">
        <v>5238.2079999999996</v>
      </c>
      <c r="AK314">
        <v>57.43</v>
      </c>
      <c r="AL314">
        <v>3953.027</v>
      </c>
      <c r="AM314">
        <v>1226.4380000000001</v>
      </c>
      <c r="AN314">
        <v>1075.2349999999999</v>
      </c>
    </row>
    <row r="315" spans="4:40" hidden="1">
      <c r="D315" s="1">
        <v>45363</v>
      </c>
      <c r="E315">
        <v>-371913</v>
      </c>
      <c r="F315">
        <v>118936</v>
      </c>
      <c r="G315">
        <v>521217612500</v>
      </c>
      <c r="H315">
        <v>495065560000</v>
      </c>
      <c r="I315">
        <v>-82557310000</v>
      </c>
      <c r="J315">
        <v>-132600000</v>
      </c>
      <c r="K315" s="1">
        <v>45363</v>
      </c>
      <c r="L315">
        <v>2681.81</v>
      </c>
      <c r="M315">
        <v>889.71</v>
      </c>
      <c r="N315">
        <v>403969</v>
      </c>
      <c r="O315">
        <v>361.7</v>
      </c>
      <c r="P315">
        <v>104.79</v>
      </c>
      <c r="Q315" s="1">
        <v>45364</v>
      </c>
      <c r="R315">
        <v>3.2509999999999999</v>
      </c>
      <c r="S315">
        <v>3.2719999999999998</v>
      </c>
      <c r="T315">
        <v>3.331</v>
      </c>
      <c r="U315">
        <v>3.899</v>
      </c>
      <c r="V315">
        <v>3.65</v>
      </c>
      <c r="W315">
        <f t="shared" si="3"/>
        <v>45363</v>
      </c>
      <c r="X315">
        <f>IF($X$99=TRUE,SUM(E315:E$350),"")</f>
        <v>7644926</v>
      </c>
      <c r="Y315">
        <f>IF($Y$99=TRUE,SUM(F315:F$350),"")</f>
        <v>662240</v>
      </c>
      <c r="Z315">
        <f>IF($Z$99=TRUE,SUM(G315:G$350)/1000000,"")</f>
        <v>5321183.2625000002</v>
      </c>
      <c r="AA315">
        <f>IF($AA$99=TRUE,SUM(H315:H$350)/1000000,"")</f>
        <v>2016176.87</v>
      </c>
      <c r="AB315">
        <f>IF($AB$99=TRUE,SUM(AH315:AH$350)/1000,"")</f>
        <v>7162676.5429999996</v>
      </c>
      <c r="AD315" s="1">
        <v>45363</v>
      </c>
      <c r="AE315">
        <v>361.7</v>
      </c>
      <c r="AF315">
        <v>104.79</v>
      </c>
      <c r="AG315" s="1">
        <v>45364</v>
      </c>
      <c r="AH315">
        <v>690530314</v>
      </c>
      <c r="AI315" s="1">
        <v>45474</v>
      </c>
      <c r="AJ315">
        <v>5206.3620000000001</v>
      </c>
      <c r="AK315">
        <v>57.445</v>
      </c>
      <c r="AL315">
        <v>3894.7020000000002</v>
      </c>
      <c r="AM315">
        <v>1229.922</v>
      </c>
      <c r="AN315">
        <v>1079.018</v>
      </c>
    </row>
    <row r="316" spans="4:40" hidden="1">
      <c r="D316" s="1">
        <v>45362</v>
      </c>
      <c r="E316">
        <v>-105287</v>
      </c>
      <c r="F316">
        <v>-80810</v>
      </c>
      <c r="G316">
        <v>-138885062500</v>
      </c>
      <c r="H316">
        <v>251626010000</v>
      </c>
      <c r="I316">
        <v>320185950000</v>
      </c>
      <c r="J316">
        <v>0</v>
      </c>
      <c r="K316" s="1">
        <v>45362</v>
      </c>
      <c r="L316">
        <v>2659.84</v>
      </c>
      <c r="M316">
        <v>875.93</v>
      </c>
      <c r="N316">
        <v>391384</v>
      </c>
      <c r="O316">
        <v>359.05</v>
      </c>
      <c r="P316">
        <v>104.8</v>
      </c>
      <c r="Q316" s="1">
        <v>45363</v>
      </c>
      <c r="R316">
        <v>3.2730000000000001</v>
      </c>
      <c r="S316">
        <v>3.2839999999999998</v>
      </c>
      <c r="T316">
        <v>3.335</v>
      </c>
      <c r="U316">
        <v>3.9169999999999998</v>
      </c>
      <c r="V316">
        <v>3.66</v>
      </c>
      <c r="W316">
        <f t="shared" si="3"/>
        <v>45362</v>
      </c>
      <c r="X316">
        <f>IF($X$99=TRUE,SUM(E316:E$350),"")</f>
        <v>8016839</v>
      </c>
      <c r="Y316">
        <f>IF($Y$99=TRUE,SUM(F316:F$350),"")</f>
        <v>543304</v>
      </c>
      <c r="Z316">
        <f>IF($Z$99=TRUE,SUM(G316:G$350)/1000000,"")</f>
        <v>4799965.6500000004</v>
      </c>
      <c r="AA316">
        <f>IF($AA$99=TRUE,SUM(H316:H$350)/1000000,"")</f>
        <v>1521111.31</v>
      </c>
      <c r="AB316">
        <f>IF($AB$99=TRUE,SUM(AH316:AH$350)/1000,"")</f>
        <v>6472146.2290000003</v>
      </c>
      <c r="AD316" s="1">
        <v>45362</v>
      </c>
      <c r="AE316">
        <v>359.05</v>
      </c>
      <c r="AF316">
        <v>104.8</v>
      </c>
      <c r="AG316" s="1">
        <v>45363</v>
      </c>
      <c r="AH316">
        <v>391572314</v>
      </c>
      <c r="AI316" s="1">
        <v>45473</v>
      </c>
      <c r="AJ316">
        <v>5192.9369999999999</v>
      </c>
      <c r="AK316">
        <v>57.386000000000003</v>
      </c>
      <c r="AL316">
        <v>3893.2669999999998</v>
      </c>
      <c r="AM316">
        <v>1228.8340000000001</v>
      </c>
      <c r="AN316">
        <v>1072.9880000000001</v>
      </c>
    </row>
    <row r="317" spans="4:40" hidden="1">
      <c r="D317" s="1">
        <v>45359</v>
      </c>
      <c r="E317">
        <v>178791</v>
      </c>
      <c r="F317">
        <v>293025</v>
      </c>
      <c r="G317">
        <v>350123587500</v>
      </c>
      <c r="H317">
        <v>-200778890000</v>
      </c>
      <c r="I317">
        <v>455729270000</v>
      </c>
      <c r="J317">
        <v>0</v>
      </c>
      <c r="K317" s="1">
        <v>45359</v>
      </c>
      <c r="L317">
        <v>2680.35</v>
      </c>
      <c r="M317">
        <v>873.18</v>
      </c>
      <c r="N317">
        <v>454259</v>
      </c>
      <c r="O317">
        <v>362.15</v>
      </c>
      <c r="P317">
        <v>104.85</v>
      </c>
      <c r="Q317" s="1">
        <v>45362</v>
      </c>
      <c r="R317">
        <v>3.2749999999999999</v>
      </c>
      <c r="S317">
        <v>3.2839999999999998</v>
      </c>
      <c r="T317">
        <v>3.3420000000000001</v>
      </c>
      <c r="U317">
        <v>3.9140000000000001</v>
      </c>
      <c r="V317">
        <v>3.67</v>
      </c>
      <c r="W317">
        <f t="shared" si="3"/>
        <v>45359</v>
      </c>
      <c r="X317">
        <f>IF($X$99=TRUE,SUM(E317:E$350),"")</f>
        <v>8122126</v>
      </c>
      <c r="Y317">
        <f>IF($Y$99=TRUE,SUM(F317:F$350),"")</f>
        <v>624114</v>
      </c>
      <c r="Z317">
        <f>IF($Z$99=TRUE,SUM(G317:G$350)/1000000,"")</f>
        <v>4938850.7125000004</v>
      </c>
      <c r="AA317">
        <f>IF($AA$99=TRUE,SUM(H317:H$350)/1000000,"")</f>
        <v>1269485.3</v>
      </c>
      <c r="AB317">
        <f>IF($AB$99=TRUE,SUM(AH317:AH$350)/1000,"")</f>
        <v>6080573.915</v>
      </c>
      <c r="AD317" s="1">
        <v>45359</v>
      </c>
      <c r="AE317">
        <v>362.15</v>
      </c>
      <c r="AF317">
        <v>104.85</v>
      </c>
      <c r="AG317" s="1">
        <v>45362</v>
      </c>
      <c r="AH317">
        <v>74183735</v>
      </c>
      <c r="AI317" s="1">
        <v>45472</v>
      </c>
      <c r="AJ317">
        <v>5192.9369999999999</v>
      </c>
      <c r="AK317">
        <v>57.386000000000003</v>
      </c>
      <c r="AL317">
        <v>3893.2669999999998</v>
      </c>
      <c r="AM317">
        <v>1228.8340000000001</v>
      </c>
      <c r="AN317">
        <v>1072.9880000000001</v>
      </c>
    </row>
    <row r="318" spans="4:40" hidden="1">
      <c r="D318" s="1">
        <v>45358</v>
      </c>
      <c r="E318">
        <v>-325580</v>
      </c>
      <c r="F318">
        <v>-197210</v>
      </c>
      <c r="G318">
        <v>301470100000</v>
      </c>
      <c r="H318">
        <v>722419060000</v>
      </c>
      <c r="I318">
        <v>4307000000</v>
      </c>
      <c r="J318">
        <v>0</v>
      </c>
      <c r="K318" s="1">
        <v>45358</v>
      </c>
      <c r="L318">
        <v>2647.62</v>
      </c>
      <c r="M318">
        <v>863.37</v>
      </c>
      <c r="N318">
        <v>462910</v>
      </c>
      <c r="O318">
        <v>357.1</v>
      </c>
      <c r="P318">
        <v>104.7</v>
      </c>
      <c r="Q318" s="1">
        <v>45359</v>
      </c>
      <c r="R318">
        <v>3.2709999999999999</v>
      </c>
      <c r="S318">
        <v>3.306</v>
      </c>
      <c r="T318">
        <v>3.3340000000000001</v>
      </c>
      <c r="U318">
        <v>3.91</v>
      </c>
      <c r="V318">
        <v>3.68</v>
      </c>
      <c r="W318">
        <f t="shared" si="3"/>
        <v>45358</v>
      </c>
      <c r="X318">
        <f>IF($X$99=TRUE,SUM(E318:E$350),"")</f>
        <v>7943335</v>
      </c>
      <c r="Y318">
        <f>IF($Y$99=TRUE,SUM(F318:F$350),"")</f>
        <v>331089</v>
      </c>
      <c r="Z318">
        <f>IF($Z$99=TRUE,SUM(G318:G$350)/1000000,"")</f>
        <v>4588727.125</v>
      </c>
      <c r="AA318">
        <f>IF($AA$99=TRUE,SUM(H318:H$350)/1000000,"")</f>
        <v>1470264.19</v>
      </c>
      <c r="AB318">
        <f>IF($AB$99=TRUE,SUM(AH318:AH$350)/1000,"")</f>
        <v>6006390.1799999997</v>
      </c>
      <c r="AD318" s="1">
        <v>45358</v>
      </c>
      <c r="AE318">
        <v>357.1</v>
      </c>
      <c r="AF318">
        <v>104.7</v>
      </c>
      <c r="AG318" s="1">
        <v>45359</v>
      </c>
      <c r="AH318">
        <v>-205451284</v>
      </c>
      <c r="AI318" s="1">
        <v>45471</v>
      </c>
      <c r="AJ318">
        <v>5192.9369999999999</v>
      </c>
      <c r="AK318">
        <v>57.386000000000003</v>
      </c>
      <c r="AL318">
        <v>3893.2669999999998</v>
      </c>
      <c r="AM318">
        <v>1228.8340000000001</v>
      </c>
      <c r="AN318">
        <v>1072.9880000000001</v>
      </c>
    </row>
    <row r="319" spans="4:40" hidden="1">
      <c r="D319" s="1">
        <v>45357</v>
      </c>
      <c r="E319">
        <v>-374875</v>
      </c>
      <c r="F319">
        <v>-4218</v>
      </c>
      <c r="G319">
        <v>141004300000</v>
      </c>
      <c r="H319">
        <v>251394590000</v>
      </c>
      <c r="I319">
        <v>760125440000</v>
      </c>
      <c r="J319">
        <v>0</v>
      </c>
      <c r="K319" s="1">
        <v>45357</v>
      </c>
      <c r="L319">
        <v>2641.49</v>
      </c>
      <c r="M319">
        <v>870.67</v>
      </c>
      <c r="N319">
        <v>378994</v>
      </c>
      <c r="O319">
        <v>356.6</v>
      </c>
      <c r="P319">
        <v>104.71</v>
      </c>
      <c r="Q319" s="1">
        <v>45358</v>
      </c>
      <c r="R319">
        <v>3.3210000000000002</v>
      </c>
      <c r="S319">
        <v>3.3639999999999999</v>
      </c>
      <c r="T319">
        <v>3.399</v>
      </c>
      <c r="U319">
        <v>3.9590000000000001</v>
      </c>
      <c r="V319">
        <v>3.68</v>
      </c>
      <c r="W319">
        <f t="shared" si="3"/>
        <v>45357</v>
      </c>
      <c r="X319">
        <f>IF($X$99=TRUE,SUM(E319:E$350),"")</f>
        <v>8268915</v>
      </c>
      <c r="Y319">
        <f>IF($Y$99=TRUE,SUM(F319:F$350),"")</f>
        <v>528299</v>
      </c>
      <c r="Z319">
        <f>IF($Z$99=TRUE,SUM(G319:G$350)/1000000,"")</f>
        <v>4287257.0250000004</v>
      </c>
      <c r="AA319">
        <f>IF($AA$99=TRUE,SUM(H319:H$350)/1000000,"")</f>
        <v>747845.13</v>
      </c>
      <c r="AB319">
        <f>IF($AB$99=TRUE,SUM(AH319:AH$350)/1000,"")</f>
        <v>6211841.4639999997</v>
      </c>
      <c r="AD319" s="1">
        <v>45357</v>
      </c>
      <c r="AE319">
        <v>356.6</v>
      </c>
      <c r="AF319">
        <v>104.71</v>
      </c>
      <c r="AG319" s="1">
        <v>45358</v>
      </c>
      <c r="AH319">
        <v>19021602</v>
      </c>
      <c r="AI319" s="1">
        <v>45470</v>
      </c>
      <c r="AJ319">
        <v>5213.6639999999998</v>
      </c>
      <c r="AK319">
        <v>57.465000000000003</v>
      </c>
      <c r="AL319">
        <v>3871.9859999999999</v>
      </c>
      <c r="AM319">
        <v>1231.758</v>
      </c>
      <c r="AN319">
        <v>1071.6849999999999</v>
      </c>
    </row>
    <row r="320" spans="4:40" hidden="1">
      <c r="D320" s="1">
        <v>45356</v>
      </c>
      <c r="E320">
        <v>85518</v>
      </c>
      <c r="F320">
        <v>-69489</v>
      </c>
      <c r="G320">
        <v>-472606212500</v>
      </c>
      <c r="H320">
        <v>677564480000</v>
      </c>
      <c r="I320">
        <v>292530470000</v>
      </c>
      <c r="J320">
        <v>0</v>
      </c>
      <c r="K320" s="1">
        <v>45356</v>
      </c>
      <c r="L320">
        <v>2649.4</v>
      </c>
      <c r="M320">
        <v>866.37</v>
      </c>
      <c r="N320">
        <v>457237</v>
      </c>
      <c r="O320">
        <v>357.65</v>
      </c>
      <c r="P320">
        <v>104.6</v>
      </c>
      <c r="Q320" s="1">
        <v>45357</v>
      </c>
      <c r="R320">
        <v>3.3250000000000002</v>
      </c>
      <c r="S320">
        <v>3.3620000000000001</v>
      </c>
      <c r="T320">
        <v>3.3809999999999998</v>
      </c>
      <c r="U320">
        <v>3.9620000000000002</v>
      </c>
      <c r="V320">
        <v>3.68</v>
      </c>
      <c r="W320">
        <f t="shared" si="3"/>
        <v>45356</v>
      </c>
      <c r="X320">
        <f>IF($X$99=TRUE,SUM(E320:E$350),"")</f>
        <v>8643790</v>
      </c>
      <c r="Y320">
        <f>IF($Y$99=TRUE,SUM(F320:F$350),"")</f>
        <v>532517</v>
      </c>
      <c r="Z320">
        <f>IF($Z$99=TRUE,SUM(G320:G$350)/1000000,"")</f>
        <v>4146252.7250000001</v>
      </c>
      <c r="AA320">
        <f>IF($AA$99=TRUE,SUM(H320:H$350)/1000000,"")</f>
        <v>496450.54</v>
      </c>
      <c r="AB320">
        <f>IF($AB$99=TRUE,SUM(AH320:AH$350)/1000,"")</f>
        <v>6192819.8619999997</v>
      </c>
      <c r="AD320" s="1">
        <v>45356</v>
      </c>
      <c r="AE320">
        <v>357.65</v>
      </c>
      <c r="AF320">
        <v>104.6</v>
      </c>
      <c r="AG320" s="1">
        <v>45357</v>
      </c>
      <c r="AH320">
        <v>444095902</v>
      </c>
      <c r="AI320" s="1">
        <v>45469</v>
      </c>
      <c r="AJ320">
        <v>5206.8630000000003</v>
      </c>
      <c r="AK320">
        <v>58.741</v>
      </c>
      <c r="AL320">
        <v>3889.26</v>
      </c>
      <c r="AM320">
        <v>1237.0350000000001</v>
      </c>
      <c r="AN320">
        <v>1062.491</v>
      </c>
    </row>
    <row r="321" spans="4:40" hidden="1">
      <c r="D321" s="1">
        <v>45355</v>
      </c>
      <c r="E321">
        <v>767106</v>
      </c>
      <c r="F321">
        <v>222552</v>
      </c>
      <c r="G321">
        <v>-257386525000</v>
      </c>
      <c r="H321">
        <v>193761970000</v>
      </c>
      <c r="I321">
        <v>1795358040000</v>
      </c>
      <c r="J321">
        <v>0</v>
      </c>
      <c r="K321" s="1">
        <v>45355</v>
      </c>
      <c r="L321">
        <v>2674.27</v>
      </c>
      <c r="M321">
        <v>872.97</v>
      </c>
      <c r="N321">
        <v>404014</v>
      </c>
      <c r="O321">
        <v>361.4</v>
      </c>
      <c r="P321">
        <v>104.59</v>
      </c>
      <c r="Q321" s="1">
        <v>45356</v>
      </c>
      <c r="R321">
        <v>3.3490000000000002</v>
      </c>
      <c r="S321">
        <v>3.387</v>
      </c>
      <c r="T321">
        <v>3.4089999999999998</v>
      </c>
      <c r="U321">
        <v>3.992</v>
      </c>
      <c r="V321">
        <v>3.68</v>
      </c>
      <c r="W321">
        <f t="shared" si="3"/>
        <v>45355</v>
      </c>
      <c r="X321">
        <f>IF($X$99=TRUE,SUM(E321:E$350),"")</f>
        <v>8558272</v>
      </c>
      <c r="Y321">
        <f>IF($Y$99=TRUE,SUM(F321:F$350),"")</f>
        <v>602006</v>
      </c>
      <c r="Z321">
        <f>IF($Z$99=TRUE,SUM(G321:G$350)/1000000,"")</f>
        <v>4618858.9375</v>
      </c>
      <c r="AA321">
        <f>IF($AA$99=TRUE,SUM(H321:H$350)/1000000,"")</f>
        <v>-181113.94</v>
      </c>
      <c r="AB321">
        <f>IF($AB$99=TRUE,SUM(AH321:AH$350)/1000,"")</f>
        <v>5748723.96</v>
      </c>
      <c r="AD321" s="1">
        <v>45355</v>
      </c>
      <c r="AE321">
        <v>361.4</v>
      </c>
      <c r="AF321">
        <v>104.59</v>
      </c>
      <c r="AG321" s="1">
        <v>45356</v>
      </c>
      <c r="AH321">
        <v>89381939</v>
      </c>
      <c r="AI321" s="1">
        <v>45468</v>
      </c>
      <c r="AJ321">
        <v>5198.7470000000003</v>
      </c>
      <c r="AK321">
        <v>58.637</v>
      </c>
      <c r="AL321">
        <v>3885.6469999999999</v>
      </c>
      <c r="AM321">
        <v>1245.421</v>
      </c>
      <c r="AN321">
        <v>1060.5150000000001</v>
      </c>
    </row>
    <row r="322" spans="4:40" hidden="1">
      <c r="D322" s="1">
        <v>45351</v>
      </c>
      <c r="E322">
        <v>176022</v>
      </c>
      <c r="F322">
        <v>70293</v>
      </c>
      <c r="G322">
        <v>-544437712500</v>
      </c>
      <c r="H322">
        <v>598089040000</v>
      </c>
      <c r="I322">
        <v>-554946470000</v>
      </c>
      <c r="J322">
        <v>0</v>
      </c>
      <c r="K322" s="1">
        <v>45351</v>
      </c>
      <c r="L322">
        <v>2642.36</v>
      </c>
      <c r="M322">
        <v>862.96</v>
      </c>
      <c r="N322">
        <v>496064</v>
      </c>
      <c r="O322">
        <v>355.75</v>
      </c>
      <c r="P322">
        <v>104.5</v>
      </c>
      <c r="Q322" s="1">
        <v>45355</v>
      </c>
      <c r="R322">
        <v>3.36</v>
      </c>
      <c r="S322">
        <v>3.403</v>
      </c>
      <c r="T322">
        <v>3.4340000000000002</v>
      </c>
      <c r="U322">
        <v>4.008</v>
      </c>
      <c r="V322">
        <v>3.68</v>
      </c>
      <c r="W322">
        <f t="shared" si="3"/>
        <v>45351</v>
      </c>
      <c r="X322">
        <f>IF($X$99=TRUE,SUM(E322:E$350),"")</f>
        <v>7791166</v>
      </c>
      <c r="Y322">
        <f>IF($Y$99=TRUE,SUM(F322:F$350),"")</f>
        <v>379454</v>
      </c>
      <c r="Z322">
        <f>IF($Z$99=TRUE,SUM(G322:G$350)/1000000,"")</f>
        <v>4876245.4625000004</v>
      </c>
      <c r="AA322">
        <f>IF($AA$99=TRUE,SUM(H322:H$350)/1000000,"")</f>
        <v>-374875.91</v>
      </c>
      <c r="AB322">
        <f>IF($AB$99=TRUE,SUM(AH322:AH$350)/1000,"")</f>
        <v>5659342.0209999997</v>
      </c>
      <c r="AD322" s="1">
        <v>45351</v>
      </c>
      <c r="AE322">
        <v>355.75</v>
      </c>
      <c r="AF322">
        <v>104.5</v>
      </c>
      <c r="AG322" s="1">
        <v>45355</v>
      </c>
      <c r="AH322">
        <v>201884157</v>
      </c>
      <c r="AI322" s="1">
        <v>45467</v>
      </c>
      <c r="AJ322">
        <v>5177.6459999999997</v>
      </c>
      <c r="AK322">
        <v>58.555999999999997</v>
      </c>
      <c r="AL322">
        <v>3815.5120000000002</v>
      </c>
      <c r="AM322">
        <v>1251.133</v>
      </c>
      <c r="AN322">
        <v>1056.5899999999999</v>
      </c>
    </row>
    <row r="323" spans="4:40" hidden="1">
      <c r="D323" s="1">
        <v>45350</v>
      </c>
      <c r="E323">
        <v>477456</v>
      </c>
      <c r="F323">
        <v>155048</v>
      </c>
      <c r="G323">
        <v>474412975000</v>
      </c>
      <c r="H323">
        <v>-236305940000</v>
      </c>
      <c r="I323">
        <v>-226018600000</v>
      </c>
      <c r="J323">
        <v>0</v>
      </c>
      <c r="K323" s="1">
        <v>45350</v>
      </c>
      <c r="L323">
        <v>2652.29</v>
      </c>
      <c r="M323">
        <v>863.39</v>
      </c>
      <c r="N323">
        <v>421552</v>
      </c>
      <c r="O323">
        <v>357.2</v>
      </c>
      <c r="P323">
        <v>104.58</v>
      </c>
      <c r="Q323" s="1">
        <v>45351</v>
      </c>
      <c r="R323">
        <v>3.3849999999999998</v>
      </c>
      <c r="S323">
        <v>3.4319999999999999</v>
      </c>
      <c r="T323">
        <v>3.4750000000000001</v>
      </c>
      <c r="U323">
        <v>4.0369999999999999</v>
      </c>
      <c r="V323">
        <v>3.69</v>
      </c>
      <c r="W323">
        <f t="shared" si="3"/>
        <v>45350</v>
      </c>
      <c r="X323">
        <f>IF($X$99=TRUE,SUM(E323:E$350),"")</f>
        <v>7615144</v>
      </c>
      <c r="Y323">
        <f>IF($Y$99=TRUE,SUM(F323:F$350),"")</f>
        <v>309161</v>
      </c>
      <c r="Z323">
        <f>IF($Z$99=TRUE,SUM(G323:G$350)/1000000,"")</f>
        <v>5420683.1749999998</v>
      </c>
      <c r="AA323">
        <f>IF($AA$99=TRUE,SUM(H323:H$350)/1000000,"")</f>
        <v>-972964.95</v>
      </c>
      <c r="AB323">
        <f>IF($AB$99=TRUE,SUM(AH323:AH$350)/1000,"")</f>
        <v>5457457.8640000001</v>
      </c>
      <c r="AD323" s="1">
        <v>45350</v>
      </c>
      <c r="AE323">
        <v>357.2</v>
      </c>
      <c r="AF323">
        <v>104.58</v>
      </c>
      <c r="AG323" s="1">
        <v>45351</v>
      </c>
      <c r="AH323">
        <v>447784836</v>
      </c>
      <c r="AI323" s="1">
        <v>45466</v>
      </c>
      <c r="AJ323">
        <v>5193.7619999999997</v>
      </c>
      <c r="AK323">
        <v>58.651000000000003</v>
      </c>
      <c r="AL323">
        <v>3797.9189999999999</v>
      </c>
      <c r="AM323">
        <v>1239.204</v>
      </c>
      <c r="AN323">
        <v>1052.2339999999999</v>
      </c>
    </row>
    <row r="324" spans="4:40" hidden="1">
      <c r="D324" s="1">
        <v>45349</v>
      </c>
      <c r="E324">
        <v>34749</v>
      </c>
      <c r="F324">
        <v>-15977</v>
      </c>
      <c r="G324">
        <v>211576162500</v>
      </c>
      <c r="H324">
        <v>-766358850000</v>
      </c>
      <c r="I324">
        <v>-471546360000</v>
      </c>
      <c r="J324">
        <v>0</v>
      </c>
      <c r="K324" s="1">
        <v>45349</v>
      </c>
      <c r="L324">
        <v>2625.05</v>
      </c>
      <c r="M324">
        <v>853.75</v>
      </c>
      <c r="N324">
        <v>574301</v>
      </c>
      <c r="O324">
        <v>352.6</v>
      </c>
      <c r="P324">
        <v>104.6</v>
      </c>
      <c r="Q324" s="1">
        <v>45350</v>
      </c>
      <c r="R324">
        <v>3.359</v>
      </c>
      <c r="S324">
        <v>3.4</v>
      </c>
      <c r="T324">
        <v>3.4420000000000002</v>
      </c>
      <c r="U324">
        <v>4.0149999999999997</v>
      </c>
      <c r="V324">
        <v>3.7</v>
      </c>
      <c r="W324">
        <f t="shared" si="3"/>
        <v>45349</v>
      </c>
      <c r="X324">
        <f>IF($X$99=TRUE,SUM(E324:E$350),"")</f>
        <v>7137688</v>
      </c>
      <c r="Y324">
        <f>IF($Y$99=TRUE,SUM(F324:F$350),"")</f>
        <v>154113</v>
      </c>
      <c r="Z324">
        <f>IF($Z$99=TRUE,SUM(G324:G$350)/1000000,"")</f>
        <v>4946270.2</v>
      </c>
      <c r="AA324">
        <f>IF($AA$99=TRUE,SUM(H324:H$350)/1000000,"")</f>
        <v>-736659.01</v>
      </c>
      <c r="AB324">
        <f>IF($AB$99=TRUE,SUM(AH324:AH$350)/1000,"")</f>
        <v>5009673.0279999999</v>
      </c>
      <c r="AD324" s="1">
        <v>45349</v>
      </c>
      <c r="AE324">
        <v>352.6</v>
      </c>
      <c r="AF324">
        <v>104.6</v>
      </c>
      <c r="AG324" s="1">
        <v>45350</v>
      </c>
      <c r="AH324">
        <v>459278904</v>
      </c>
      <c r="AI324" s="1">
        <v>45465</v>
      </c>
      <c r="AJ324">
        <v>5193.7619999999997</v>
      </c>
      <c r="AK324">
        <v>58.651000000000003</v>
      </c>
      <c r="AL324">
        <v>3797.9189999999999</v>
      </c>
      <c r="AM324">
        <v>1239.204</v>
      </c>
      <c r="AN324">
        <v>1052.2339999999999</v>
      </c>
    </row>
    <row r="325" spans="4:40" hidden="1">
      <c r="D325" s="1">
        <v>45348</v>
      </c>
      <c r="E325">
        <v>114727</v>
      </c>
      <c r="F325">
        <v>-2195</v>
      </c>
      <c r="G325">
        <v>234476862500</v>
      </c>
      <c r="H325">
        <v>226932690000</v>
      </c>
      <c r="I325">
        <v>592764290000</v>
      </c>
      <c r="J325">
        <v>0</v>
      </c>
      <c r="K325" s="1">
        <v>45348</v>
      </c>
      <c r="L325">
        <v>2647.08</v>
      </c>
      <c r="M325">
        <v>867.4</v>
      </c>
      <c r="N325">
        <v>531661</v>
      </c>
      <c r="O325">
        <v>355.25</v>
      </c>
      <c r="P325">
        <v>104.67</v>
      </c>
      <c r="Q325" s="1">
        <v>45349</v>
      </c>
      <c r="R325">
        <v>3.3639999999999999</v>
      </c>
      <c r="S325">
        <v>3.4</v>
      </c>
      <c r="T325">
        <v>3.43</v>
      </c>
      <c r="U325">
        <v>4.0250000000000004</v>
      </c>
      <c r="V325">
        <v>3.7</v>
      </c>
      <c r="W325">
        <f t="shared" si="3"/>
        <v>45348</v>
      </c>
      <c r="X325">
        <f>IF($X$99=TRUE,SUM(E325:E$350),"")</f>
        <v>7102939</v>
      </c>
      <c r="Y325">
        <f>IF($Y$99=TRUE,SUM(F325:F$350),"")</f>
        <v>170090</v>
      </c>
      <c r="Z325">
        <f>IF($Z$99=TRUE,SUM(G325:G$350)/1000000,"")</f>
        <v>4734694.0374999996</v>
      </c>
      <c r="AA325">
        <f>IF($AA$99=TRUE,SUM(H325:H$350)/1000000,"")</f>
        <v>29699.84</v>
      </c>
      <c r="AB325">
        <f>IF($AB$99=TRUE,SUM(AH325:AH$350)/1000,"")</f>
        <v>4550394.1239999998</v>
      </c>
      <c r="AD325" s="1">
        <v>45348</v>
      </c>
      <c r="AE325">
        <v>355.25</v>
      </c>
      <c r="AF325">
        <v>104.67</v>
      </c>
      <c r="AG325" s="1">
        <v>45349</v>
      </c>
      <c r="AH325">
        <v>68927874</v>
      </c>
      <c r="AI325" s="1">
        <v>45464</v>
      </c>
      <c r="AJ325">
        <v>5193.7619999999997</v>
      </c>
      <c r="AK325">
        <v>58.651000000000003</v>
      </c>
      <c r="AL325">
        <v>3797.9189999999999</v>
      </c>
      <c r="AM325">
        <v>1239.204</v>
      </c>
      <c r="AN325">
        <v>1052.2339999999999</v>
      </c>
    </row>
    <row r="326" spans="4:40" hidden="1">
      <c r="D326" s="1">
        <v>45345</v>
      </c>
      <c r="E326">
        <v>149374</v>
      </c>
      <c r="F326">
        <v>-90742</v>
      </c>
      <c r="G326">
        <v>156554787500</v>
      </c>
      <c r="H326">
        <v>-372343610000</v>
      </c>
      <c r="I326">
        <v>309469400000</v>
      </c>
      <c r="J326">
        <v>261660000</v>
      </c>
      <c r="K326" s="1">
        <v>45345</v>
      </c>
      <c r="L326">
        <v>2667.7</v>
      </c>
      <c r="M326">
        <v>868.57</v>
      </c>
      <c r="N326">
        <v>415376</v>
      </c>
      <c r="O326">
        <v>359.05</v>
      </c>
      <c r="P326">
        <v>104.52</v>
      </c>
      <c r="Q326" s="1">
        <v>45348</v>
      </c>
      <c r="R326">
        <v>3.34</v>
      </c>
      <c r="S326">
        <v>3.379</v>
      </c>
      <c r="T326">
        <v>3.4020000000000001</v>
      </c>
      <c r="U326">
        <v>4.0049999999999999</v>
      </c>
      <c r="V326">
        <v>3.7</v>
      </c>
      <c r="W326">
        <f t="shared" si="3"/>
        <v>45345</v>
      </c>
      <c r="X326">
        <f>IF($X$99=TRUE,SUM(E326:E$350),"")</f>
        <v>6988212</v>
      </c>
      <c r="Y326">
        <f>IF($Y$99=TRUE,SUM(F326:F$350),"")</f>
        <v>172285</v>
      </c>
      <c r="Z326">
        <f>IF($Z$99=TRUE,SUM(G326:G$350)/1000000,"")</f>
        <v>4500217.1749999998</v>
      </c>
      <c r="AA326">
        <f>IF($AA$99=TRUE,SUM(H326:H$350)/1000000,"")</f>
        <v>-197232.85</v>
      </c>
      <c r="AB326">
        <f>IF($AB$99=TRUE,SUM(AH326:AH$350)/1000,"")</f>
        <v>4481466.25</v>
      </c>
      <c r="AD326" s="1">
        <v>45345</v>
      </c>
      <c r="AE326">
        <v>359.05</v>
      </c>
      <c r="AF326">
        <v>104.52</v>
      </c>
      <c r="AG326" s="1">
        <v>45348</v>
      </c>
      <c r="AH326">
        <v>180692032</v>
      </c>
      <c r="AI326" s="1">
        <v>45463</v>
      </c>
      <c r="AJ326">
        <v>5201.8180000000002</v>
      </c>
      <c r="AK326">
        <v>59.518000000000001</v>
      </c>
      <c r="AL326">
        <v>3819.35</v>
      </c>
      <c r="AM326">
        <v>1249.096</v>
      </c>
      <c r="AN326">
        <v>1054.769</v>
      </c>
    </row>
    <row r="327" spans="4:40" hidden="1">
      <c r="D327" s="1">
        <v>45344</v>
      </c>
      <c r="E327">
        <v>165719</v>
      </c>
      <c r="F327">
        <v>83187</v>
      </c>
      <c r="G327">
        <v>-132983187500</v>
      </c>
      <c r="H327">
        <v>1393481300000</v>
      </c>
      <c r="I327">
        <v>-25476340000</v>
      </c>
      <c r="J327">
        <v>0</v>
      </c>
      <c r="K327" s="1">
        <v>45344</v>
      </c>
      <c r="L327">
        <v>2664.27</v>
      </c>
      <c r="M327">
        <v>870.11</v>
      </c>
      <c r="N327">
        <v>456396</v>
      </c>
      <c r="O327">
        <v>357.9</v>
      </c>
      <c r="P327">
        <v>104.65</v>
      </c>
      <c r="Q327" s="1">
        <v>45345</v>
      </c>
      <c r="R327">
        <v>3.3740000000000001</v>
      </c>
      <c r="S327">
        <v>3.43</v>
      </c>
      <c r="T327">
        <v>3.468</v>
      </c>
      <c r="U327">
        <v>4.0449999999999999</v>
      </c>
      <c r="V327">
        <v>3.7</v>
      </c>
      <c r="W327">
        <f t="shared" si="3"/>
        <v>45344</v>
      </c>
      <c r="X327">
        <f>IF($X$99=TRUE,SUM(E327:E$350),"")</f>
        <v>6838838</v>
      </c>
      <c r="Y327">
        <f>IF($Y$99=TRUE,SUM(F327:F$350),"")</f>
        <v>263027</v>
      </c>
      <c r="Z327">
        <f>IF($Z$99=TRUE,SUM(G327:G$350)/1000000,"")</f>
        <v>4343662.3875000002</v>
      </c>
      <c r="AA327">
        <f>IF($AA$99=TRUE,SUM(H327:H$350)/1000000,"")</f>
        <v>175110.76</v>
      </c>
      <c r="AB327">
        <f>IF($AB$99=TRUE,SUM(AH327:AH$350)/1000,"")</f>
        <v>4300774.2180000003</v>
      </c>
      <c r="AD327" s="1">
        <v>45344</v>
      </c>
      <c r="AE327">
        <v>357.9</v>
      </c>
      <c r="AF327">
        <v>104.65</v>
      </c>
      <c r="AG327" s="1">
        <v>45345</v>
      </c>
      <c r="AH327">
        <v>434245724</v>
      </c>
      <c r="AI327" s="1">
        <v>45462</v>
      </c>
      <c r="AJ327">
        <v>5215.3770000000004</v>
      </c>
      <c r="AK327">
        <v>59.972000000000001</v>
      </c>
      <c r="AL327">
        <v>3843.248</v>
      </c>
      <c r="AM327">
        <v>1243.3630000000001</v>
      </c>
      <c r="AN327">
        <v>1054.479</v>
      </c>
    </row>
    <row r="328" spans="4:40" hidden="1">
      <c r="D328" s="1">
        <v>45343</v>
      </c>
      <c r="E328">
        <v>-65206</v>
      </c>
      <c r="F328">
        <v>-112917</v>
      </c>
      <c r="G328">
        <v>296347875000</v>
      </c>
      <c r="H328">
        <v>381107500000</v>
      </c>
      <c r="I328">
        <v>171667220000</v>
      </c>
      <c r="J328">
        <v>-130060000</v>
      </c>
      <c r="K328" s="1">
        <v>45343</v>
      </c>
      <c r="L328">
        <v>2653.31</v>
      </c>
      <c r="M328">
        <v>864.07</v>
      </c>
      <c r="N328">
        <v>562144</v>
      </c>
      <c r="O328">
        <v>355.95</v>
      </c>
      <c r="P328">
        <v>104.49</v>
      </c>
      <c r="Q328" s="1">
        <v>45344</v>
      </c>
      <c r="R328">
        <v>3.3420000000000001</v>
      </c>
      <c r="S328">
        <v>3.391</v>
      </c>
      <c r="T328">
        <v>3.4239999999999999</v>
      </c>
      <c r="U328">
        <v>4.0229999999999997</v>
      </c>
      <c r="V328">
        <v>3.7</v>
      </c>
      <c r="W328">
        <f t="shared" si="3"/>
        <v>45343</v>
      </c>
      <c r="X328">
        <f>IF($X$99=TRUE,SUM(E328:E$350),"")</f>
        <v>6673119</v>
      </c>
      <c r="Y328">
        <f>IF($Y$99=TRUE,SUM(F328:F$350),"")</f>
        <v>179840</v>
      </c>
      <c r="Z328">
        <f>IF($Z$99=TRUE,SUM(G328:G$350)/1000000,"")</f>
        <v>4476645.5750000002</v>
      </c>
      <c r="AA328">
        <f>IF($AA$99=TRUE,SUM(H328:H$350)/1000000,"")</f>
        <v>-1218370.54</v>
      </c>
      <c r="AB328">
        <f>IF($AB$99=TRUE,SUM(AH328:AH$350)/1000,"")</f>
        <v>3866528.4939999999</v>
      </c>
      <c r="AD328" s="1">
        <v>45343</v>
      </c>
      <c r="AE328">
        <v>355.95</v>
      </c>
      <c r="AF328">
        <v>104.49</v>
      </c>
      <c r="AG328" s="1">
        <v>45344</v>
      </c>
      <c r="AH328">
        <v>42700271</v>
      </c>
      <c r="AI328" s="1">
        <v>45461</v>
      </c>
      <c r="AJ328">
        <v>5215.3770000000004</v>
      </c>
      <c r="AK328">
        <v>58.701999999999998</v>
      </c>
      <c r="AL328">
        <v>3820.5830000000001</v>
      </c>
      <c r="AM328">
        <v>1237.164</v>
      </c>
      <c r="AN328">
        <v>1061.6199999999999</v>
      </c>
    </row>
    <row r="329" spans="4:40" hidden="1">
      <c r="D329" s="1">
        <v>45342</v>
      </c>
      <c r="E329">
        <v>108428</v>
      </c>
      <c r="F329">
        <v>82432</v>
      </c>
      <c r="G329">
        <v>-662190587500</v>
      </c>
      <c r="H329">
        <v>-271621150000</v>
      </c>
      <c r="I329">
        <v>-172967020000</v>
      </c>
      <c r="J329">
        <v>0</v>
      </c>
      <c r="K329" s="1">
        <v>45342</v>
      </c>
      <c r="L329">
        <v>2657.79</v>
      </c>
      <c r="M329">
        <v>866.17</v>
      </c>
      <c r="N329">
        <v>612668</v>
      </c>
      <c r="O329">
        <v>356.65</v>
      </c>
      <c r="P329">
        <v>104.44</v>
      </c>
      <c r="Q329" s="1">
        <v>45343</v>
      </c>
      <c r="R329">
        <v>3.4020000000000001</v>
      </c>
      <c r="S329">
        <v>3.4430000000000001</v>
      </c>
      <c r="T329">
        <v>3.4740000000000002</v>
      </c>
      <c r="U329">
        <v>4.09</v>
      </c>
      <c r="V329">
        <v>3.7</v>
      </c>
      <c r="W329">
        <f t="shared" si="3"/>
        <v>45342</v>
      </c>
      <c r="X329">
        <f>IF($X$99=TRUE,SUM(E329:E$350),"")</f>
        <v>6738325</v>
      </c>
      <c r="Y329">
        <f>IF($Y$99=TRUE,SUM(F329:F$350),"")</f>
        <v>292757</v>
      </c>
      <c r="Z329">
        <f>IF($Z$99=TRUE,SUM(G329:G$350)/1000000,"")</f>
        <v>4180297.7</v>
      </c>
      <c r="AA329">
        <f>IF($AA$99=TRUE,SUM(H329:H$350)/1000000,"")</f>
        <v>-1599478.04</v>
      </c>
      <c r="AB329">
        <f>IF($AB$99=TRUE,SUM(AH329:AH$350)/1000,"")</f>
        <v>3823828.2230000002</v>
      </c>
      <c r="AD329" s="1">
        <v>45342</v>
      </c>
      <c r="AE329">
        <v>356.65</v>
      </c>
      <c r="AF329">
        <v>104.44</v>
      </c>
      <c r="AG329" s="1">
        <v>45343</v>
      </c>
      <c r="AH329">
        <v>423275382</v>
      </c>
      <c r="AI329" s="1">
        <v>45460</v>
      </c>
      <c r="AJ329">
        <v>5201.6409999999996</v>
      </c>
      <c r="AK329">
        <v>58.929000000000002</v>
      </c>
      <c r="AL329">
        <v>3799.2620000000002</v>
      </c>
      <c r="AM329">
        <v>1229.251</v>
      </c>
      <c r="AN329">
        <v>1054.71</v>
      </c>
    </row>
    <row r="330" spans="4:40" hidden="1">
      <c r="D330" s="1">
        <v>45341</v>
      </c>
      <c r="E330">
        <v>613876</v>
      </c>
      <c r="F330">
        <v>52864</v>
      </c>
      <c r="G330">
        <v>885970087500</v>
      </c>
      <c r="H330">
        <v>1543779760000</v>
      </c>
      <c r="I330">
        <v>84351240000</v>
      </c>
      <c r="J330">
        <v>0</v>
      </c>
      <c r="K330" s="1">
        <v>45341</v>
      </c>
      <c r="L330">
        <v>2680.26</v>
      </c>
      <c r="M330">
        <v>858.47</v>
      </c>
      <c r="N330">
        <v>422699</v>
      </c>
      <c r="O330">
        <v>361.1</v>
      </c>
      <c r="P330">
        <v>104.51</v>
      </c>
      <c r="Q330" s="1">
        <v>45342</v>
      </c>
      <c r="R330">
        <v>3.4049999999999998</v>
      </c>
      <c r="S330">
        <v>3.452</v>
      </c>
      <c r="T330">
        <v>3.4889999999999999</v>
      </c>
      <c r="U330">
        <v>4.1050000000000004</v>
      </c>
      <c r="V330">
        <v>3.69</v>
      </c>
      <c r="W330">
        <f t="shared" si="3"/>
        <v>45341</v>
      </c>
      <c r="X330">
        <f>IF($X$99=TRUE,SUM(E330:E$350),"")</f>
        <v>6629897</v>
      </c>
      <c r="Y330">
        <f>IF($Y$99=TRUE,SUM(F330:F$350),"")</f>
        <v>210325</v>
      </c>
      <c r="Z330">
        <f>IF($Z$99=TRUE,SUM(G330:G$350)/1000000,"")</f>
        <v>4842488.2874999996</v>
      </c>
      <c r="AA330">
        <f>IF($AA$99=TRUE,SUM(H330:H$350)/1000000,"")</f>
        <v>-1327856.8899999999</v>
      </c>
      <c r="AB330">
        <f>IF($AB$99=TRUE,SUM(AH330:AH$350)/1000,"")</f>
        <v>3400552.841</v>
      </c>
      <c r="AD330" s="1">
        <v>45341</v>
      </c>
      <c r="AE330">
        <v>361.1</v>
      </c>
      <c r="AF330">
        <v>104.51</v>
      </c>
      <c r="AG330" s="1">
        <v>45342</v>
      </c>
      <c r="AH330">
        <v>108421478</v>
      </c>
      <c r="AI330" s="1">
        <v>45459</v>
      </c>
      <c r="AJ330">
        <v>5162.1809999999996</v>
      </c>
      <c r="AK330">
        <v>59.026000000000003</v>
      </c>
      <c r="AL330">
        <v>3880.5169999999998</v>
      </c>
      <c r="AM330">
        <v>1228.106</v>
      </c>
      <c r="AN330">
        <v>1054.71</v>
      </c>
    </row>
    <row r="331" spans="4:40" hidden="1">
      <c r="D331" s="1">
        <v>45338</v>
      </c>
      <c r="E331">
        <v>558200</v>
      </c>
      <c r="F331">
        <v>-216620</v>
      </c>
      <c r="G331">
        <v>598497112500</v>
      </c>
      <c r="H331">
        <v>566892970000</v>
      </c>
      <c r="I331">
        <v>-251967930000</v>
      </c>
      <c r="K331" s="1">
        <v>45338</v>
      </c>
      <c r="L331">
        <v>2648.76</v>
      </c>
      <c r="M331">
        <v>857.6</v>
      </c>
      <c r="N331">
        <v>593841</v>
      </c>
      <c r="O331">
        <v>355.8</v>
      </c>
      <c r="P331">
        <v>104.46</v>
      </c>
      <c r="Q331" s="1">
        <v>45341</v>
      </c>
      <c r="R331">
        <v>3.3969999999999998</v>
      </c>
      <c r="S331">
        <v>3.4369999999999998</v>
      </c>
      <c r="T331">
        <v>3.4670000000000001</v>
      </c>
      <c r="U331">
        <v>4.1020000000000003</v>
      </c>
      <c r="V331">
        <v>3.69</v>
      </c>
      <c r="W331">
        <f t="shared" si="3"/>
        <v>45338</v>
      </c>
      <c r="X331">
        <f>IF($X$99=TRUE,SUM(E331:E$350),"")</f>
        <v>6016021</v>
      </c>
      <c r="Y331">
        <f>IF($Y$99=TRUE,SUM(F331:F$350),"")</f>
        <v>157461</v>
      </c>
      <c r="Z331">
        <f>IF($Z$99=TRUE,SUM(G331:G$350)/1000000,"")</f>
        <v>3956518.2</v>
      </c>
      <c r="AA331">
        <f>IF($AA$99=TRUE,SUM(H331:H$350)/1000000,"")</f>
        <v>-2871636.65</v>
      </c>
      <c r="AB331">
        <f>IF($AB$99=TRUE,SUM(AH331:AH$350)/1000,"")</f>
        <v>3292131.3629999999</v>
      </c>
      <c r="AD331" s="1">
        <v>45338</v>
      </c>
      <c r="AE331">
        <v>355.8</v>
      </c>
      <c r="AF331">
        <v>104.46</v>
      </c>
      <c r="AG331" s="1">
        <v>45341</v>
      </c>
      <c r="AH331">
        <v>88410338</v>
      </c>
      <c r="AI331" s="1">
        <v>45458</v>
      </c>
      <c r="AJ331">
        <v>5162.1809999999996</v>
      </c>
      <c r="AK331">
        <v>59.026000000000003</v>
      </c>
      <c r="AL331">
        <v>3880.5169999999998</v>
      </c>
      <c r="AM331">
        <v>1228.106</v>
      </c>
      <c r="AN331">
        <v>1054.71</v>
      </c>
    </row>
    <row r="332" spans="4:40" hidden="1">
      <c r="D332" s="1">
        <v>45337</v>
      </c>
      <c r="E332">
        <v>-16201</v>
      </c>
      <c r="F332">
        <v>-87400</v>
      </c>
      <c r="G332">
        <v>53165312500</v>
      </c>
      <c r="H332">
        <v>171601890000</v>
      </c>
      <c r="I332">
        <v>2304270000</v>
      </c>
      <c r="K332" s="1">
        <v>45337</v>
      </c>
      <c r="L332">
        <v>2613.8000000000002</v>
      </c>
      <c r="M332">
        <v>859.21</v>
      </c>
      <c r="N332">
        <v>621363</v>
      </c>
      <c r="O332">
        <v>352.15</v>
      </c>
      <c r="P332">
        <v>104.45</v>
      </c>
      <c r="Q332" s="1">
        <v>45338</v>
      </c>
      <c r="R332">
        <v>3.4049999999999998</v>
      </c>
      <c r="S332">
        <v>3.4470000000000001</v>
      </c>
      <c r="T332">
        <v>3.4820000000000002</v>
      </c>
      <c r="U332">
        <v>4.1150000000000002</v>
      </c>
      <c r="V332">
        <v>3.68</v>
      </c>
      <c r="W332">
        <f t="shared" si="3"/>
        <v>45337</v>
      </c>
      <c r="X332">
        <f>IF($X$99=TRUE,SUM(E332:E$350),"")</f>
        <v>5457821</v>
      </c>
      <c r="Y332">
        <f>IF($Y$99=TRUE,SUM(F332:F$350),"")</f>
        <v>374081</v>
      </c>
      <c r="Z332">
        <f>IF($Z$99=TRUE,SUM(G332:G$350)/1000000,"")</f>
        <v>3358021.0874999999</v>
      </c>
      <c r="AA332">
        <f>IF($AA$99=TRUE,SUM(H332:H$350)/1000000,"")</f>
        <v>-3438529.62</v>
      </c>
      <c r="AB332">
        <f>IF($AB$99=TRUE,SUM(AH332:AH$350)/1000,"")</f>
        <v>3203721.0249999999</v>
      </c>
      <c r="AD332" s="1">
        <v>45337</v>
      </c>
      <c r="AE332">
        <v>352.15</v>
      </c>
      <c r="AF332">
        <v>104.45</v>
      </c>
      <c r="AG332" s="1">
        <v>45338</v>
      </c>
      <c r="AH332">
        <v>191635150</v>
      </c>
      <c r="AI332" s="1">
        <v>45457</v>
      </c>
      <c r="AJ332">
        <v>5162.1809999999996</v>
      </c>
      <c r="AK332">
        <v>59.026000000000003</v>
      </c>
      <c r="AL332">
        <v>3880.5169999999998</v>
      </c>
      <c r="AM332">
        <v>1228.106</v>
      </c>
      <c r="AN332">
        <v>1054.71</v>
      </c>
    </row>
    <row r="333" spans="4:40" hidden="1">
      <c r="D333" s="1">
        <v>45336</v>
      </c>
      <c r="E333">
        <v>108757</v>
      </c>
      <c r="F333">
        <v>-58474</v>
      </c>
      <c r="G333">
        <v>-266255250000</v>
      </c>
      <c r="H333">
        <v>-1845430540000</v>
      </c>
      <c r="I333">
        <v>-910720390000</v>
      </c>
      <c r="K333" s="1">
        <v>45336</v>
      </c>
      <c r="L333">
        <v>2620.42</v>
      </c>
      <c r="M333">
        <v>853.3</v>
      </c>
      <c r="N333">
        <v>543525</v>
      </c>
      <c r="O333">
        <v>352.5</v>
      </c>
      <c r="P333">
        <v>104.43</v>
      </c>
      <c r="Q333" s="1">
        <v>45337</v>
      </c>
      <c r="R333">
        <v>3.4049999999999998</v>
      </c>
      <c r="S333">
        <v>3.4409999999999998</v>
      </c>
      <c r="T333">
        <v>3.4769999999999999</v>
      </c>
      <c r="U333">
        <v>4.117</v>
      </c>
      <c r="V333">
        <v>3.68</v>
      </c>
      <c r="W333">
        <f t="shared" si="3"/>
        <v>45336</v>
      </c>
      <c r="X333">
        <f>IF($X$99=TRUE,SUM(E333:E$350),"")</f>
        <v>5474022</v>
      </c>
      <c r="Y333">
        <f>IF($Y$99=TRUE,SUM(F333:F$350),"")</f>
        <v>461481</v>
      </c>
      <c r="Z333">
        <f>IF($Z$99=TRUE,SUM(G333:G$350)/1000000,"")</f>
        <v>3304855.7749999999</v>
      </c>
      <c r="AA333">
        <f>IF($AA$99=TRUE,SUM(H333:H$350)/1000000,"")</f>
        <v>-3610131.51</v>
      </c>
      <c r="AB333">
        <f>IF($AB$99=TRUE,SUM(AH333:AH$350)/1000,"")</f>
        <v>3012085.875</v>
      </c>
      <c r="AD333" s="1">
        <v>45336</v>
      </c>
      <c r="AE333">
        <v>352.5</v>
      </c>
      <c r="AF333">
        <v>104.43</v>
      </c>
      <c r="AG333" s="1">
        <v>45337</v>
      </c>
      <c r="AH333">
        <v>108694589</v>
      </c>
      <c r="AI333" s="1">
        <v>45456</v>
      </c>
      <c r="AJ333">
        <v>5165.1040000000003</v>
      </c>
      <c r="AK333">
        <v>59.298000000000002</v>
      </c>
      <c r="AL333">
        <v>3880.7069999999999</v>
      </c>
      <c r="AM333">
        <v>1240.5</v>
      </c>
      <c r="AN333">
        <v>1048.769</v>
      </c>
    </row>
    <row r="334" spans="4:40" hidden="1">
      <c r="D334" s="1">
        <v>45335</v>
      </c>
      <c r="E334">
        <v>948793</v>
      </c>
      <c r="F334">
        <v>257469</v>
      </c>
      <c r="G334">
        <v>949890850000</v>
      </c>
      <c r="H334">
        <v>-1465085880000</v>
      </c>
      <c r="I334">
        <v>-232558200000</v>
      </c>
      <c r="K334" s="1">
        <v>45335</v>
      </c>
      <c r="L334">
        <v>2649.64</v>
      </c>
      <c r="M334">
        <v>845.15</v>
      </c>
      <c r="N334">
        <v>559385</v>
      </c>
      <c r="O334">
        <v>357.25</v>
      </c>
      <c r="P334">
        <v>104.64</v>
      </c>
      <c r="Q334" s="1">
        <v>45336</v>
      </c>
      <c r="R334">
        <v>3.4249999999999998</v>
      </c>
      <c r="S334">
        <v>3.4569999999999999</v>
      </c>
      <c r="T334">
        <v>3.5019999999999998</v>
      </c>
      <c r="U334">
        <v>4.141</v>
      </c>
      <c r="V334">
        <v>3.68</v>
      </c>
      <c r="W334">
        <f t="shared" si="3"/>
        <v>45335</v>
      </c>
      <c r="X334">
        <f>IF($X$99=TRUE,SUM(E334:E$350),"")</f>
        <v>5365265</v>
      </c>
      <c r="Y334">
        <f>IF($Y$99=TRUE,SUM(F334:F$350),"")</f>
        <v>519955</v>
      </c>
      <c r="Z334">
        <f>IF($Z$99=TRUE,SUM(G334:G$350)/1000000,"")</f>
        <v>3571111.0249999999</v>
      </c>
      <c r="AA334">
        <f>IF($AA$99=TRUE,SUM(H334:H$350)/1000000,"")</f>
        <v>-1764700.97</v>
      </c>
      <c r="AB334">
        <f>IF($AB$99=TRUE,SUM(AH334:AH$350)/1000,"")</f>
        <v>2903391.2859999998</v>
      </c>
      <c r="AD334" s="1">
        <v>45335</v>
      </c>
      <c r="AE334">
        <v>357.25</v>
      </c>
      <c r="AF334">
        <v>104.64</v>
      </c>
      <c r="AG334" s="1">
        <v>45336</v>
      </c>
      <c r="AH334">
        <v>467917265</v>
      </c>
      <c r="AI334" s="1">
        <v>45455</v>
      </c>
      <c r="AJ334">
        <v>5155.3959999999997</v>
      </c>
      <c r="AK334">
        <v>58.793999999999997</v>
      </c>
      <c r="AL334">
        <v>3940.6909999999998</v>
      </c>
      <c r="AM334">
        <v>1255.2159999999999</v>
      </c>
      <c r="AN334">
        <v>1043.768</v>
      </c>
    </row>
    <row r="335" spans="4:40" hidden="1">
      <c r="D335" s="1">
        <v>45330</v>
      </c>
      <c r="E335">
        <v>405494</v>
      </c>
      <c r="F335">
        <v>146229</v>
      </c>
      <c r="G335">
        <v>564396112500</v>
      </c>
      <c r="H335">
        <v>86032750000</v>
      </c>
      <c r="I335">
        <v>118455410000</v>
      </c>
      <c r="K335" s="1">
        <v>45330</v>
      </c>
      <c r="L335">
        <v>2620.3200000000002</v>
      </c>
      <c r="M335">
        <v>826.58</v>
      </c>
      <c r="N335">
        <v>430009</v>
      </c>
      <c r="O335">
        <v>353.4</v>
      </c>
      <c r="P335">
        <v>104.78</v>
      </c>
      <c r="Q335" s="1">
        <v>45335</v>
      </c>
      <c r="R335">
        <v>3.3530000000000002</v>
      </c>
      <c r="S335">
        <v>3.391</v>
      </c>
      <c r="T335">
        <v>3.4529999999999998</v>
      </c>
      <c r="U335">
        <v>4.0739999999999998</v>
      </c>
      <c r="V335">
        <v>3.67</v>
      </c>
      <c r="W335">
        <f t="shared" si="3"/>
        <v>45330</v>
      </c>
      <c r="X335">
        <f>IF($X$99=TRUE,SUM(E335:E$350),"")</f>
        <v>4416472</v>
      </c>
      <c r="Y335">
        <f>IF($Y$99=TRUE,SUM(F335:F$350),"")</f>
        <v>262486</v>
      </c>
      <c r="Z335">
        <f>IF($Z$99=TRUE,SUM(G335:G$350)/1000000,"")</f>
        <v>2621220.1749999998</v>
      </c>
      <c r="AA335">
        <f>IF($AA$99=TRUE,SUM(H335:H$350)/1000000,"")</f>
        <v>-299615.09000000003</v>
      </c>
      <c r="AB335">
        <f>IF($AB$99=TRUE,SUM(AH335:AH$350)/1000,"")</f>
        <v>2435474.0210000002</v>
      </c>
      <c r="AD335" s="1">
        <v>45330</v>
      </c>
      <c r="AE335">
        <v>353.4</v>
      </c>
      <c r="AF335">
        <v>104.78</v>
      </c>
      <c r="AG335" s="1">
        <v>45335</v>
      </c>
      <c r="AH335">
        <v>84869897</v>
      </c>
      <c r="AI335" s="1">
        <v>45454</v>
      </c>
      <c r="AJ335">
        <v>5110.7939999999999</v>
      </c>
      <c r="AK335">
        <v>59.258000000000003</v>
      </c>
      <c r="AL335">
        <v>3934.4050000000002</v>
      </c>
      <c r="AM335">
        <v>1233.2460000000001</v>
      </c>
      <c r="AN335">
        <v>1039.075</v>
      </c>
    </row>
    <row r="336" spans="4:40" hidden="1">
      <c r="D336" s="1">
        <v>45329</v>
      </c>
      <c r="E336">
        <v>535963</v>
      </c>
      <c r="F336">
        <v>52116</v>
      </c>
      <c r="G336">
        <v>1135634850000</v>
      </c>
      <c r="H336">
        <v>-358694340000</v>
      </c>
      <c r="I336">
        <v>-168765120000</v>
      </c>
      <c r="K336" s="1">
        <v>45329</v>
      </c>
      <c r="L336">
        <v>2609.58</v>
      </c>
      <c r="M336">
        <v>811.92</v>
      </c>
      <c r="N336">
        <v>518182</v>
      </c>
      <c r="O336">
        <v>352.7</v>
      </c>
      <c r="P336">
        <v>104.84</v>
      </c>
      <c r="Q336" s="1">
        <v>45330</v>
      </c>
      <c r="R336">
        <v>3.3050000000000002</v>
      </c>
      <c r="S336">
        <v>3.3370000000000002</v>
      </c>
      <c r="T336">
        <v>3.4</v>
      </c>
      <c r="U336">
        <v>4.0339999999999998</v>
      </c>
      <c r="V336">
        <v>3.67</v>
      </c>
      <c r="W336">
        <f t="shared" si="3"/>
        <v>45329</v>
      </c>
      <c r="X336">
        <f>IF($X$99=TRUE,SUM(E336:E$350),"")</f>
        <v>4010978</v>
      </c>
      <c r="Y336">
        <f>IF($Y$99=TRUE,SUM(F336:F$350),"")</f>
        <v>116257</v>
      </c>
      <c r="Z336">
        <f>IF($Z$99=TRUE,SUM(G336:G$350)/1000000,"")</f>
        <v>2056824.0625</v>
      </c>
      <c r="AA336">
        <f>IF($AA$99=TRUE,SUM(H336:H$350)/1000000,"")</f>
        <v>-385647.84</v>
      </c>
      <c r="AB336">
        <f>IF($AB$99=TRUE,SUM(AH336:AH$350)/1000,"")</f>
        <v>2350604.1239999998</v>
      </c>
      <c r="AD336" s="1">
        <v>45329</v>
      </c>
      <c r="AE336">
        <v>352.7</v>
      </c>
      <c r="AF336">
        <v>104.84</v>
      </c>
      <c r="AG336" s="1">
        <v>45330</v>
      </c>
      <c r="AH336">
        <v>86845879</v>
      </c>
      <c r="AI336" s="1">
        <v>45453</v>
      </c>
      <c r="AJ336">
        <v>5097.3220000000001</v>
      </c>
      <c r="AK336">
        <v>59.915999999999997</v>
      </c>
      <c r="AL336">
        <v>3952.4760000000001</v>
      </c>
      <c r="AM336">
        <v>1246.374</v>
      </c>
      <c r="AN336">
        <v>1039.04</v>
      </c>
    </row>
    <row r="337" spans="4:40" hidden="1">
      <c r="D337" s="1">
        <v>45328</v>
      </c>
      <c r="E337">
        <v>332008</v>
      </c>
      <c r="F337">
        <v>-27508</v>
      </c>
      <c r="G337">
        <v>-286052625000</v>
      </c>
      <c r="H337">
        <v>-236567360000</v>
      </c>
      <c r="I337">
        <v>-861754480000</v>
      </c>
      <c r="K337" s="1">
        <v>45328</v>
      </c>
      <c r="L337">
        <v>2576.1999999999998</v>
      </c>
      <c r="M337">
        <v>807.03</v>
      </c>
      <c r="N337">
        <v>411617</v>
      </c>
      <c r="O337">
        <v>348.05</v>
      </c>
      <c r="P337">
        <v>104.85</v>
      </c>
      <c r="Q337" s="1">
        <v>45329</v>
      </c>
      <c r="R337">
        <v>3.286</v>
      </c>
      <c r="S337">
        <v>3.3180000000000001</v>
      </c>
      <c r="T337">
        <v>3.3780000000000001</v>
      </c>
      <c r="U337">
        <v>4.0190000000000001</v>
      </c>
      <c r="V337">
        <v>3.67</v>
      </c>
      <c r="W337">
        <f t="shared" si="3"/>
        <v>45328</v>
      </c>
      <c r="X337">
        <f>IF($X$99=TRUE,SUM(E337:E$350),"")</f>
        <v>3475015</v>
      </c>
      <c r="Y337">
        <f>IF($Y$99=TRUE,SUM(F337:F$350),"")</f>
        <v>64141</v>
      </c>
      <c r="Z337">
        <f>IF($Z$99=TRUE,SUM(G337:G$350)/1000000,"")</f>
        <v>921189.21250000002</v>
      </c>
      <c r="AA337">
        <f>IF($AA$99=TRUE,SUM(H337:H$350)/1000000,"")</f>
        <v>-26953.5</v>
      </c>
      <c r="AB337">
        <f>IF($AB$99=TRUE,SUM(AH337:AH$350)/1000,"")</f>
        <v>2263758.2450000001</v>
      </c>
      <c r="AD337" s="1">
        <v>45328</v>
      </c>
      <c r="AE337">
        <v>348.05</v>
      </c>
      <c r="AF337">
        <v>104.85</v>
      </c>
      <c r="AG337" s="1">
        <v>45329</v>
      </c>
      <c r="AH337">
        <v>515451154</v>
      </c>
      <c r="AI337" s="1">
        <v>45452</v>
      </c>
      <c r="AJ337">
        <v>5082.1629999999996</v>
      </c>
      <c r="AK337">
        <v>59.851999999999997</v>
      </c>
      <c r="AL337">
        <v>3916.1329999999998</v>
      </c>
      <c r="AM337">
        <v>1249.019</v>
      </c>
      <c r="AN337">
        <v>1039.98</v>
      </c>
    </row>
    <row r="338" spans="4:40" hidden="1">
      <c r="D338" s="1">
        <v>45327</v>
      </c>
      <c r="E338">
        <v>179304</v>
      </c>
      <c r="F338">
        <v>-118102</v>
      </c>
      <c r="G338">
        <v>-740027212500</v>
      </c>
      <c r="H338">
        <v>-1148654850000</v>
      </c>
      <c r="I338">
        <v>-64274330000</v>
      </c>
      <c r="K338" s="1">
        <v>45327</v>
      </c>
      <c r="L338">
        <v>2591.31</v>
      </c>
      <c r="M338">
        <v>807.99</v>
      </c>
      <c r="N338">
        <v>511677</v>
      </c>
      <c r="O338">
        <v>349.25</v>
      </c>
      <c r="P338">
        <v>104.78</v>
      </c>
      <c r="Q338" s="1">
        <v>45328</v>
      </c>
      <c r="R338">
        <v>3.2919999999999998</v>
      </c>
      <c r="S338">
        <v>3.3220000000000001</v>
      </c>
      <c r="T338">
        <v>3.3820000000000001</v>
      </c>
      <c r="U338">
        <v>4.0279999999999996</v>
      </c>
      <c r="V338">
        <v>3.67</v>
      </c>
      <c r="W338">
        <f t="shared" si="3"/>
        <v>45327</v>
      </c>
      <c r="X338">
        <f>IF($X$99=TRUE,SUM(E338:E$350),"")</f>
        <v>3143007</v>
      </c>
      <c r="Y338">
        <f>IF($Y$99=TRUE,SUM(F338:F$350),"")</f>
        <v>91649</v>
      </c>
      <c r="Z338">
        <f>IF($Z$99=TRUE,SUM(G338:G$350)/1000000,"")</f>
        <v>1207241.8374999999</v>
      </c>
      <c r="AA338">
        <f>IF($AA$99=TRUE,SUM(H338:H$350)/1000000,"")</f>
        <v>209613.86</v>
      </c>
      <c r="AB338">
        <f>IF($AB$99=TRUE,SUM(AH338:AH$350)/1000,"")</f>
        <v>1748307.091</v>
      </c>
      <c r="AD338" s="1">
        <v>45327</v>
      </c>
      <c r="AE338">
        <v>349.25</v>
      </c>
      <c r="AF338">
        <v>104.78</v>
      </c>
      <c r="AG338" s="1">
        <v>45328</v>
      </c>
      <c r="AH338">
        <v>1086168718</v>
      </c>
      <c r="AI338" s="1">
        <v>45451</v>
      </c>
      <c r="AJ338">
        <v>5082.1629999999996</v>
      </c>
      <c r="AK338">
        <v>59.851999999999997</v>
      </c>
      <c r="AL338">
        <v>3916.1329999999998</v>
      </c>
      <c r="AM338">
        <v>1249.019</v>
      </c>
      <c r="AN338">
        <v>1039.98</v>
      </c>
    </row>
    <row r="339" spans="4:40" hidden="1">
      <c r="D339" s="1">
        <v>45324</v>
      </c>
      <c r="E339">
        <v>1924660</v>
      </c>
      <c r="F339">
        <v>70324</v>
      </c>
      <c r="G339">
        <v>1379493312500</v>
      </c>
      <c r="H339">
        <v>876583600000</v>
      </c>
      <c r="I339">
        <v>822253980000</v>
      </c>
      <c r="K339" s="1">
        <v>45324</v>
      </c>
      <c r="L339">
        <v>2615.31</v>
      </c>
      <c r="M339">
        <v>814.77</v>
      </c>
      <c r="N339">
        <v>596121</v>
      </c>
      <c r="O339">
        <v>354.05</v>
      </c>
      <c r="P339">
        <v>105.03</v>
      </c>
      <c r="Q339" s="1">
        <v>45327</v>
      </c>
      <c r="R339">
        <v>3.3119999999999998</v>
      </c>
      <c r="S339">
        <v>3.339</v>
      </c>
      <c r="T339">
        <v>3.3740000000000001</v>
      </c>
      <c r="U339">
        <v>4.0469999999999997</v>
      </c>
      <c r="V339">
        <v>3.67</v>
      </c>
      <c r="W339">
        <f t="shared" si="3"/>
        <v>45324</v>
      </c>
      <c r="X339">
        <f>IF($X$99=TRUE,SUM(E339:E$350),"")</f>
        <v>2963703</v>
      </c>
      <c r="Y339">
        <f>IF($Y$99=TRUE,SUM(F339:F$350),"")</f>
        <v>209751</v>
      </c>
      <c r="Z339">
        <f>IF($Z$99=TRUE,SUM(G339:G$350)/1000000,"")</f>
        <v>1947269.05</v>
      </c>
      <c r="AA339">
        <f>IF($AA$99=TRUE,SUM(H339:H$350)/1000000,"")</f>
        <v>1358268.71</v>
      </c>
      <c r="AB339">
        <f>IF($AB$99=TRUE,SUM(AH339:AH$350)/1000,"")</f>
        <v>662138.37300000002</v>
      </c>
      <c r="AD339" s="1">
        <v>45324</v>
      </c>
      <c r="AE339">
        <v>354.05</v>
      </c>
      <c r="AF339">
        <v>105.03</v>
      </c>
      <c r="AG339" s="1">
        <v>45327</v>
      </c>
      <c r="AH339">
        <v>279386821</v>
      </c>
      <c r="AI339" s="1">
        <v>45450</v>
      </c>
      <c r="AJ339">
        <v>5082.1629999999996</v>
      </c>
      <c r="AK339">
        <v>59.851999999999997</v>
      </c>
      <c r="AL339">
        <v>3916.1329999999998</v>
      </c>
      <c r="AM339">
        <v>1249.019</v>
      </c>
      <c r="AN339">
        <v>1039.98</v>
      </c>
    </row>
    <row r="340" spans="4:40" hidden="1">
      <c r="D340" s="1">
        <v>45323</v>
      </c>
      <c r="E340">
        <v>1039043</v>
      </c>
      <c r="F340">
        <v>139427</v>
      </c>
      <c r="G340">
        <v>567775737500</v>
      </c>
      <c r="H340">
        <v>481685110000</v>
      </c>
      <c r="I340">
        <v>-133045600000</v>
      </c>
      <c r="K340" s="1">
        <v>45323</v>
      </c>
      <c r="L340">
        <v>2542.46</v>
      </c>
      <c r="M340">
        <v>798.73</v>
      </c>
      <c r="N340">
        <v>751074</v>
      </c>
      <c r="O340">
        <v>342.15</v>
      </c>
      <c r="P340">
        <v>104.93</v>
      </c>
      <c r="Q340" s="1">
        <v>45324</v>
      </c>
      <c r="R340">
        <v>3.2480000000000002</v>
      </c>
      <c r="S340">
        <v>3.26</v>
      </c>
      <c r="T340">
        <v>3.2869999999999999</v>
      </c>
      <c r="U340">
        <v>3.9820000000000002</v>
      </c>
      <c r="V340">
        <v>3.68</v>
      </c>
      <c r="W340">
        <f t="shared" si="3"/>
        <v>45323</v>
      </c>
      <c r="X340">
        <f>IF($X$99=TRUE,SUM(E340:E$350),"")</f>
        <v>1039043</v>
      </c>
      <c r="Y340">
        <f>IF($Y$99=TRUE,SUM(F340:F$350),"")</f>
        <v>139427</v>
      </c>
      <c r="Z340">
        <f>IF($Z$99=TRUE,SUM(G340:G$350)/1000000,"")</f>
        <v>567775.73750000005</v>
      </c>
      <c r="AA340">
        <f>IF($AA$99=TRUE,SUM(H340:H$350)/1000000,"")</f>
        <v>481685.11</v>
      </c>
      <c r="AB340">
        <f>IF($AB$99=TRUE,SUM(AH340:AH$350)/1000,"")</f>
        <v>382751.55200000003</v>
      </c>
      <c r="AD340" s="1">
        <v>45323</v>
      </c>
      <c r="AE340">
        <v>342.15</v>
      </c>
      <c r="AF340">
        <v>104.93</v>
      </c>
      <c r="AG340" s="1">
        <v>45324</v>
      </c>
      <c r="AH340">
        <v>165651331</v>
      </c>
      <c r="AI340" s="1">
        <v>45449</v>
      </c>
      <c r="AJ340">
        <v>5089.3950000000004</v>
      </c>
      <c r="AK340">
        <v>60.274999999999999</v>
      </c>
      <c r="AL340">
        <v>3942.8939999999998</v>
      </c>
      <c r="AM340">
        <v>1259.971</v>
      </c>
      <c r="AN340">
        <v>1018.78</v>
      </c>
    </row>
    <row r="341" spans="4:40" hidden="1">
      <c r="D341" s="1"/>
      <c r="K341" s="1"/>
      <c r="Q341" s="1">
        <v>45323</v>
      </c>
      <c r="R341">
        <v>3.2669999999999999</v>
      </c>
      <c r="S341">
        <v>3.2930000000000001</v>
      </c>
      <c r="T341">
        <v>3.339</v>
      </c>
      <c r="U341">
        <v>4.0010000000000003</v>
      </c>
      <c r="V341">
        <v>3.68</v>
      </c>
      <c r="W341">
        <f t="shared" si="3"/>
        <v>0</v>
      </c>
      <c r="X341">
        <f>IF($X$99=TRUE,SUM(E341:E$350),"")</f>
        <v>0</v>
      </c>
      <c r="Y341">
        <f>IF($Y$99=TRUE,SUM(F341:F$350),"")</f>
        <v>0</v>
      </c>
      <c r="Z341">
        <f>IF($Z$99=TRUE,SUM(G341:G$350)/1000000,"")</f>
        <v>0</v>
      </c>
      <c r="AA341">
        <f>IF($AA$99=TRUE,SUM(H341:H$350)/1000000,"")</f>
        <v>0</v>
      </c>
      <c r="AB341">
        <f>IF($AB$99=TRUE,SUM(AH341:AH$350)/1000,"")</f>
        <v>217100.22099999999</v>
      </c>
      <c r="AD341" s="1"/>
      <c r="AG341" s="1">
        <v>45323</v>
      </c>
      <c r="AH341">
        <v>217100221</v>
      </c>
      <c r="AI341" s="1">
        <v>45448</v>
      </c>
      <c r="AJ341">
        <v>5091.067</v>
      </c>
      <c r="AK341">
        <v>60.151000000000003</v>
      </c>
      <c r="AL341">
        <v>3915.3330000000001</v>
      </c>
      <c r="AM341">
        <v>1252.367</v>
      </c>
      <c r="AN341">
        <v>1007.9160000000001</v>
      </c>
    </row>
    <row r="342" spans="4:40" hidden="1">
      <c r="D342" s="1"/>
      <c r="K342" s="1"/>
      <c r="Q342" s="1"/>
      <c r="W342">
        <f t="shared" si="3"/>
        <v>0</v>
      </c>
      <c r="X342">
        <f>IF($X$99=TRUE,SUM(E342:E$350),"")</f>
        <v>0</v>
      </c>
      <c r="Y342">
        <f>IF($Y$99=TRUE,SUM(F342:F$350),"")</f>
        <v>0</v>
      </c>
      <c r="Z342">
        <f>IF($Z$99=TRUE,SUM(G342:G$350)/1000000,"")</f>
        <v>0</v>
      </c>
      <c r="AA342">
        <f>IF($AA$99=TRUE,SUM(H342:H$350)/1000000,"")</f>
        <v>0</v>
      </c>
      <c r="AB342">
        <f>IF($AB$99=TRUE,SUM(AH342:AH$350)/1000,"")</f>
        <v>0</v>
      </c>
      <c r="AD342" s="1"/>
      <c r="AG342" s="1"/>
      <c r="AI342" s="1">
        <v>45447</v>
      </c>
      <c r="AJ342">
        <v>5030.1019999999999</v>
      </c>
      <c r="AK342">
        <v>60.238</v>
      </c>
      <c r="AL342">
        <v>4009.087</v>
      </c>
      <c r="AM342">
        <v>1252.4259999999999</v>
      </c>
      <c r="AN342">
        <v>970.91600000000005</v>
      </c>
    </row>
    <row r="343" spans="4:40" hidden="1">
      <c r="D343" s="1"/>
      <c r="K343" s="1"/>
      <c r="Q343" s="1"/>
      <c r="W343">
        <f t="shared" si="3"/>
        <v>0</v>
      </c>
      <c r="X343">
        <f>IF($X$99=TRUE,SUM(E343:E$350),"")</f>
        <v>0</v>
      </c>
      <c r="Y343">
        <f>IF($Y$99=TRUE,SUM(F343:F$350),"")</f>
        <v>0</v>
      </c>
      <c r="Z343">
        <f>IF($Z$99=TRUE,SUM(G343:G$350)/1000000,"")</f>
        <v>0</v>
      </c>
      <c r="AA343">
        <f>IF($AA$99=TRUE,SUM(H343:H$350)/1000000,"")</f>
        <v>0</v>
      </c>
      <c r="AB343">
        <f>IF($AB$99=TRUE,SUM(AH343:AH$350)/1000,"")</f>
        <v>0</v>
      </c>
      <c r="AD343" s="1"/>
      <c r="AG343" s="1"/>
      <c r="AI343" s="1">
        <v>45446</v>
      </c>
      <c r="AJ343">
        <v>5023.7039999999997</v>
      </c>
      <c r="AK343">
        <v>59.948</v>
      </c>
      <c r="AL343">
        <v>3990.34</v>
      </c>
      <c r="AM343">
        <v>1256.173</v>
      </c>
      <c r="AN343">
        <v>1042.421</v>
      </c>
    </row>
    <row r="344" spans="4:40" hidden="1">
      <c r="D344" s="1"/>
      <c r="K344" s="1"/>
      <c r="Q344" s="1"/>
      <c r="W344">
        <f t="shared" si="3"/>
        <v>0</v>
      </c>
      <c r="X344">
        <f>IF($X$99=TRUE,SUM(E344:E$350),"")</f>
        <v>0</v>
      </c>
      <c r="Y344">
        <f>IF($Y$99=TRUE,SUM(F344:F$350),"")</f>
        <v>0</v>
      </c>
      <c r="Z344">
        <f>IF($Z$99=TRUE,SUM(G344:G$350)/1000000,"")</f>
        <v>0</v>
      </c>
      <c r="AA344">
        <f>IF($AA$99=TRUE,SUM(H344:H$350)/1000000,"")</f>
        <v>0</v>
      </c>
      <c r="AB344">
        <f>IF($AB$99=TRUE,SUM(AH344:AH$350)/1000,"")</f>
        <v>0</v>
      </c>
      <c r="AD344" s="1"/>
      <c r="AG344" s="1"/>
      <c r="AI344" s="1">
        <v>45445</v>
      </c>
      <c r="AJ344">
        <v>5019.4979999999996</v>
      </c>
      <c r="AK344">
        <v>58.94</v>
      </c>
      <c r="AL344">
        <v>3924.8980000000001</v>
      </c>
      <c r="AM344">
        <v>1254.586</v>
      </c>
      <c r="AN344">
        <v>1004.026</v>
      </c>
    </row>
    <row r="345" spans="4:40" hidden="1">
      <c r="D345" s="1"/>
      <c r="K345" s="1"/>
      <c r="Q345" s="1"/>
      <c r="W345">
        <f t="shared" si="3"/>
        <v>0</v>
      </c>
      <c r="X345">
        <f>IF($X$99=TRUE,SUM(E345:E$350),"")</f>
        <v>0</v>
      </c>
      <c r="Y345">
        <f>IF($Y$99=TRUE,SUM(F345:F$350),"")</f>
        <v>0</v>
      </c>
      <c r="Z345">
        <f>IF($Z$99=TRUE,SUM(G345:G$350)/1000000,"")</f>
        <v>0</v>
      </c>
      <c r="AA345">
        <f>IF($AA$99=TRUE,SUM(H345:H$350)/1000000,"")</f>
        <v>0</v>
      </c>
      <c r="AB345">
        <f>IF($AB$99=TRUE,SUM(AH345:AH$350)/1000,"")</f>
        <v>0</v>
      </c>
      <c r="AD345" s="1"/>
      <c r="AG345" s="1"/>
      <c r="AI345" s="1">
        <v>45444</v>
      </c>
      <c r="AJ345">
        <v>5019.4979999999996</v>
      </c>
      <c r="AK345">
        <v>58.94</v>
      </c>
      <c r="AL345">
        <v>3924.8980000000001</v>
      </c>
      <c r="AM345">
        <v>1254.586</v>
      </c>
      <c r="AN345">
        <v>1004.026</v>
      </c>
    </row>
    <row r="346" spans="4:40" hidden="1">
      <c r="D346" s="1"/>
      <c r="K346" s="1"/>
      <c r="Q346" s="1"/>
      <c r="W346">
        <f t="shared" si="3"/>
        <v>0</v>
      </c>
      <c r="X346">
        <f>IF($X$99=TRUE,SUM(E346:E$350),"")</f>
        <v>0</v>
      </c>
      <c r="Y346">
        <f>IF($Y$99=TRUE,SUM(F346:F$350),"")</f>
        <v>0</v>
      </c>
      <c r="Z346">
        <f>IF($Z$99=TRUE,SUM(G346:G$350)/1000000,"")</f>
        <v>0</v>
      </c>
      <c r="AA346">
        <f>IF($AA$99=TRUE,SUM(H346:H$350)/1000000,"")</f>
        <v>0</v>
      </c>
      <c r="AB346">
        <f>IF($AB$99=TRUE,SUM(AH346:AH$350)/1000,"")</f>
        <v>0</v>
      </c>
      <c r="AD346" s="1"/>
      <c r="AG346" s="1"/>
      <c r="AI346" s="1">
        <v>45443</v>
      </c>
      <c r="AJ346">
        <v>5019.4979999999996</v>
      </c>
      <c r="AK346">
        <v>58.94</v>
      </c>
      <c r="AL346">
        <v>3924.8980000000001</v>
      </c>
      <c r="AM346">
        <v>1254.586</v>
      </c>
      <c r="AN346">
        <v>1004.026</v>
      </c>
    </row>
    <row r="347" spans="4:40" hidden="1">
      <c r="D347" s="1"/>
      <c r="K347" s="1"/>
      <c r="Q347" s="1"/>
      <c r="W347">
        <f t="shared" si="3"/>
        <v>0</v>
      </c>
      <c r="X347">
        <f>IF($X$99=TRUE,SUM(E347:E$350),"")</f>
        <v>0</v>
      </c>
      <c r="Y347">
        <f>IF($Y$99=TRUE,SUM(F347:F$350),"")</f>
        <v>0</v>
      </c>
      <c r="Z347">
        <f>IF($Z$99=TRUE,SUM(G347:G$350)/1000000,"")</f>
        <v>0</v>
      </c>
      <c r="AA347">
        <f>IF($AA$99=TRUE,SUM(H347:H$350)/1000000,"")</f>
        <v>0</v>
      </c>
      <c r="AB347">
        <f>IF($AB$99=TRUE,SUM(AH347:AH$350)/1000,"")</f>
        <v>0</v>
      </c>
      <c r="AD347" s="1"/>
      <c r="AG347" s="1"/>
      <c r="AI347" s="1">
        <v>45442</v>
      </c>
      <c r="AJ347">
        <v>4983.6390000000001</v>
      </c>
      <c r="AK347">
        <v>59.81</v>
      </c>
      <c r="AL347">
        <v>3874.4070000000002</v>
      </c>
      <c r="AM347">
        <v>1248.51</v>
      </c>
      <c r="AN347">
        <v>1005.254</v>
      </c>
    </row>
    <row r="348" spans="4:40" hidden="1">
      <c r="D348" s="1"/>
      <c r="K348" s="1"/>
      <c r="Q348" s="1"/>
      <c r="W348">
        <f t="shared" si="3"/>
        <v>0</v>
      </c>
      <c r="X348">
        <f>IF($X$99=TRUE,SUM(E348:E$350),"")</f>
        <v>0</v>
      </c>
      <c r="Y348">
        <f>IF($Y$99=TRUE,SUM(F348:F$350),"")</f>
        <v>0</v>
      </c>
      <c r="Z348">
        <f>IF($Z$99=TRUE,SUM(G348:G$350)/1000000,"")</f>
        <v>0</v>
      </c>
      <c r="AA348">
        <f>IF($AA$99=TRUE,SUM(H348:H$350)/1000000,"")</f>
        <v>0</v>
      </c>
      <c r="AB348">
        <f>IF($AB$99=TRUE,SUM(AH348:AH$350)/1000,"")</f>
        <v>0</v>
      </c>
      <c r="AD348" s="1"/>
      <c r="AG348" s="1"/>
      <c r="AI348" s="1">
        <v>45441</v>
      </c>
      <c r="AJ348">
        <v>5014.1819999999998</v>
      </c>
      <c r="AK348">
        <v>60.316000000000003</v>
      </c>
      <c r="AL348">
        <v>3882.116</v>
      </c>
      <c r="AM348">
        <v>1238.7670000000001</v>
      </c>
      <c r="AN348">
        <v>1016.212</v>
      </c>
    </row>
    <row r="349" spans="4:40" hidden="1">
      <c r="D349" s="1"/>
      <c r="K349" s="1"/>
      <c r="Q349" s="1"/>
      <c r="W349">
        <f t="shared" si="3"/>
        <v>0</v>
      </c>
      <c r="X349">
        <f>IF($X$99=TRUE,SUM(E349:E$350),"")</f>
        <v>0</v>
      </c>
      <c r="Y349">
        <f>IF($Y$99=TRUE,SUM(F349:F$350),"")</f>
        <v>0</v>
      </c>
      <c r="Z349">
        <f>IF($Z$99=TRUE,SUM(G349:G$350)/1000000,"")</f>
        <v>0</v>
      </c>
      <c r="AA349">
        <f>IF($AA$99=TRUE,SUM(H349:H$350)/1000000,"")</f>
        <v>0</v>
      </c>
      <c r="AB349">
        <f>IF($AB$99=TRUE,SUM(AH349:AH$350)/1000,"")</f>
        <v>0</v>
      </c>
      <c r="AD349" s="1"/>
      <c r="AG349" s="1"/>
      <c r="AI349" s="1">
        <v>45440</v>
      </c>
      <c r="AJ349">
        <v>5051.6390000000001</v>
      </c>
      <c r="AK349">
        <v>61.3</v>
      </c>
      <c r="AL349">
        <v>3934.9409999999998</v>
      </c>
      <c r="AM349">
        <v>1256.133</v>
      </c>
      <c r="AN349">
        <v>1025.6959999999999</v>
      </c>
    </row>
    <row r="350" spans="4:40" hidden="1">
      <c r="D350" s="1"/>
      <c r="K350" s="1"/>
      <c r="Q350" s="1"/>
      <c r="W350">
        <f t="shared" si="3"/>
        <v>0</v>
      </c>
      <c r="X350">
        <f>IF($X$99=TRUE,SUM(E350:E$350)/1000000,"")</f>
        <v>0</v>
      </c>
      <c r="Y350">
        <f>IF($Y$99=TRUE,SUM(F350:F$350)/1000000,"")</f>
        <v>0</v>
      </c>
      <c r="Z350">
        <f>IF($Z$99=TRUE,SUM(G350:G$350)/1000000,"")</f>
        <v>0</v>
      </c>
      <c r="AA350">
        <f>IF($AA$99=TRUE,SUM(H350:H$350)/1000000,"")</f>
        <v>0</v>
      </c>
      <c r="AB350">
        <f>IF($AB$99=TRUE,SUM(AH350:AH$350)/1000,"")</f>
        <v>0</v>
      </c>
      <c r="AD350" s="1"/>
      <c r="AG350" s="1"/>
      <c r="AI350" s="1">
        <v>45439</v>
      </c>
      <c r="AJ350">
        <v>5051.8329999999996</v>
      </c>
      <c r="AK350">
        <v>61.448999999999998</v>
      </c>
      <c r="AL350">
        <v>3934.4189999999999</v>
      </c>
      <c r="AM350">
        <v>1266.5309999999999</v>
      </c>
      <c r="AN350">
        <v>1030.5260000000001</v>
      </c>
    </row>
    <row r="351" spans="4:40" hidden="1">
      <c r="D351" s="1"/>
      <c r="K351" s="1"/>
      <c r="Q351" s="1"/>
      <c r="AD351" s="1"/>
      <c r="AG351" s="1"/>
      <c r="AI351" s="1">
        <v>45438</v>
      </c>
      <c r="AJ351">
        <v>5051.8329999999996</v>
      </c>
      <c r="AK351">
        <v>60.83</v>
      </c>
      <c r="AL351">
        <v>3893.1790000000001</v>
      </c>
      <c r="AM351">
        <v>1262.7149999999999</v>
      </c>
      <c r="AN351">
        <v>1030.92</v>
      </c>
    </row>
    <row r="352" spans="4:40" hidden="1">
      <c r="D352" s="1"/>
      <c r="K352" s="1"/>
      <c r="Q352" s="1"/>
      <c r="AD352" s="1"/>
      <c r="AG352" s="1"/>
      <c r="AI352" s="1">
        <v>45437</v>
      </c>
      <c r="AJ352">
        <v>5051.8329999999996</v>
      </c>
      <c r="AK352">
        <v>60.83</v>
      </c>
      <c r="AL352">
        <v>3893.1790000000001</v>
      </c>
      <c r="AM352">
        <v>1262.7149999999999</v>
      </c>
      <c r="AN352">
        <v>1030.92</v>
      </c>
    </row>
    <row r="353" spans="4:40" hidden="1">
      <c r="D353" s="1"/>
      <c r="K353" s="1"/>
      <c r="Q353" s="1"/>
      <c r="AD353" s="1"/>
      <c r="AG353" s="1"/>
      <c r="AI353" s="1">
        <v>45436</v>
      </c>
      <c r="AJ353">
        <v>5051.8329999999996</v>
      </c>
      <c r="AK353">
        <v>60.83</v>
      </c>
      <c r="AL353">
        <v>3893.1790000000001</v>
      </c>
      <c r="AM353">
        <v>1262.7149999999999</v>
      </c>
      <c r="AN353">
        <v>1030.92</v>
      </c>
    </row>
    <row r="354" spans="4:40" hidden="1">
      <c r="D354" s="1"/>
      <c r="K354" s="1"/>
      <c r="Q354" s="1"/>
      <c r="AD354" s="1"/>
      <c r="AG354" s="1"/>
      <c r="AI354" s="1">
        <v>45435</v>
      </c>
      <c r="AJ354">
        <v>5016.8090000000002</v>
      </c>
      <c r="AK354">
        <v>61.601999999999997</v>
      </c>
      <c r="AL354">
        <v>3911.5529999999999</v>
      </c>
      <c r="AM354">
        <v>1263.21</v>
      </c>
      <c r="AN354">
        <v>1029.7</v>
      </c>
    </row>
    <row r="355" spans="4:40" hidden="1">
      <c r="D355" s="1"/>
      <c r="K355" s="1"/>
      <c r="Q355" s="1"/>
      <c r="AD355" s="1"/>
      <c r="AG355" s="1"/>
      <c r="AI355" s="1">
        <v>45434</v>
      </c>
      <c r="AJ355">
        <v>5055.1580000000004</v>
      </c>
      <c r="AK355">
        <v>62.732999999999997</v>
      </c>
      <c r="AL355">
        <v>3893.2249999999999</v>
      </c>
      <c r="AM355">
        <v>1268.973</v>
      </c>
      <c r="AN355">
        <v>1016.82</v>
      </c>
    </row>
    <row r="356" spans="4:40" hidden="1">
      <c r="D356" s="1"/>
      <c r="K356" s="1"/>
      <c r="Q356" s="1"/>
      <c r="AD356" s="1"/>
      <c r="AG356" s="1"/>
      <c r="AI356" s="1">
        <v>45433</v>
      </c>
      <c r="AJ356">
        <v>5070.0320000000002</v>
      </c>
      <c r="AK356">
        <v>62.838000000000001</v>
      </c>
      <c r="AL356">
        <v>3938.7190000000001</v>
      </c>
      <c r="AM356">
        <v>1276.393</v>
      </c>
      <c r="AN356">
        <v>1013.348</v>
      </c>
    </row>
    <row r="357" spans="4:40" hidden="1">
      <c r="D357" s="1"/>
      <c r="K357" s="1"/>
      <c r="Q357" s="1"/>
      <c r="AD357" s="1"/>
      <c r="AG357" s="1"/>
      <c r="AI357" s="1">
        <v>45432</v>
      </c>
      <c r="AJ357">
        <v>5059.09</v>
      </c>
      <c r="AK357">
        <v>64.122</v>
      </c>
      <c r="AL357">
        <v>3947.692</v>
      </c>
      <c r="AM357">
        <v>1275.6120000000001</v>
      </c>
      <c r="AN357">
        <v>1010.297</v>
      </c>
    </row>
    <row r="358" spans="4:40" hidden="1">
      <c r="D358" s="1"/>
      <c r="K358" s="1"/>
      <c r="Q358" s="1"/>
      <c r="AD358" s="1"/>
      <c r="AG358" s="1"/>
      <c r="AI358" s="1">
        <v>45431</v>
      </c>
      <c r="AJ358">
        <v>5053.4459999999999</v>
      </c>
      <c r="AK358">
        <v>63.935000000000002</v>
      </c>
      <c r="AL358">
        <v>3932.5369999999998</v>
      </c>
      <c r="AM358">
        <v>1274.306</v>
      </c>
      <c r="AN358">
        <v>1007.274</v>
      </c>
    </row>
    <row r="359" spans="4:40" hidden="1">
      <c r="D359" s="1"/>
      <c r="K359" s="1"/>
      <c r="Q359" s="1"/>
      <c r="AD359" s="1"/>
      <c r="AG359" s="1"/>
      <c r="AI359" s="1">
        <v>45430</v>
      </c>
      <c r="AJ359">
        <v>5053.4459999999999</v>
      </c>
      <c r="AK359">
        <v>63.935000000000002</v>
      </c>
      <c r="AL359">
        <v>3932.5369999999998</v>
      </c>
      <c r="AM359">
        <v>1274.306</v>
      </c>
      <c r="AN359">
        <v>1007.274</v>
      </c>
    </row>
    <row r="360" spans="4:40" hidden="1">
      <c r="D360" s="1"/>
      <c r="K360" s="1"/>
      <c r="Q360" s="1"/>
      <c r="AD360" s="1"/>
      <c r="AG360" s="1"/>
      <c r="AI360" s="1">
        <v>45429</v>
      </c>
      <c r="AJ360">
        <v>5053.4459999999999</v>
      </c>
      <c r="AK360">
        <v>63.935000000000002</v>
      </c>
      <c r="AL360">
        <v>3932.5369999999998</v>
      </c>
      <c r="AM360">
        <v>1274.306</v>
      </c>
      <c r="AN360">
        <v>1007.274</v>
      </c>
    </row>
    <row r="361" spans="4:40" hidden="1">
      <c r="D361" s="1"/>
      <c r="K361" s="1"/>
      <c r="Q361" s="1"/>
      <c r="AD361" s="1"/>
      <c r="AG361" s="1"/>
      <c r="AI361" s="1">
        <v>45428</v>
      </c>
      <c r="AJ361">
        <v>5047.1710000000003</v>
      </c>
      <c r="AK361">
        <v>63.222000000000001</v>
      </c>
      <c r="AL361">
        <v>3924.1770000000001</v>
      </c>
      <c r="AM361">
        <v>1274.3969999999999</v>
      </c>
      <c r="AN361">
        <v>1000.701</v>
      </c>
    </row>
    <row r="362" spans="4:40" hidden="1">
      <c r="D362" s="1"/>
      <c r="K362" s="1"/>
      <c r="Q362" s="1"/>
      <c r="AD362" s="1"/>
      <c r="AG362" s="1"/>
      <c r="AI362" s="1">
        <v>45427</v>
      </c>
      <c r="AJ362">
        <v>5058.3440000000001</v>
      </c>
      <c r="AK362">
        <v>62.226999999999997</v>
      </c>
      <c r="AL362">
        <v>3907.5929999999998</v>
      </c>
      <c r="AM362">
        <v>1273.739</v>
      </c>
      <c r="AN362">
        <v>991.32</v>
      </c>
    </row>
    <row r="363" spans="4:40" hidden="1">
      <c r="D363" s="1"/>
      <c r="K363" s="1"/>
      <c r="Q363" s="1"/>
      <c r="AD363" s="1"/>
      <c r="AG363" s="1"/>
      <c r="AI363" s="1">
        <v>45426</v>
      </c>
      <c r="AJ363">
        <v>4998.1869999999999</v>
      </c>
      <c r="AK363">
        <v>62.234999999999999</v>
      </c>
      <c r="AL363">
        <v>3872.4319999999998</v>
      </c>
      <c r="AM363">
        <v>1265.1020000000001</v>
      </c>
      <c r="AN363">
        <v>988.67600000000004</v>
      </c>
    </row>
    <row r="364" spans="4:40" hidden="1">
      <c r="D364" s="1"/>
      <c r="K364" s="1"/>
      <c r="Q364" s="1"/>
      <c r="AD364" s="1"/>
      <c r="AG364" s="1"/>
      <c r="AI364" s="1">
        <v>45425</v>
      </c>
      <c r="AJ364">
        <v>4973.393</v>
      </c>
      <c r="AK364">
        <v>62.158999999999999</v>
      </c>
      <c r="AL364">
        <v>3868.2339999999999</v>
      </c>
      <c r="AM364">
        <v>1260.828</v>
      </c>
      <c r="AN364">
        <v>982.15300000000002</v>
      </c>
    </row>
    <row r="365" spans="4:40" hidden="1">
      <c r="D365" s="1"/>
      <c r="K365" s="1"/>
      <c r="Q365" s="1"/>
      <c r="AD365" s="1"/>
      <c r="AG365" s="1"/>
      <c r="AI365" s="1">
        <v>45424</v>
      </c>
      <c r="AJ365">
        <v>4974.9769999999999</v>
      </c>
      <c r="AK365">
        <v>61.414000000000001</v>
      </c>
      <c r="AL365">
        <v>3877.6860000000001</v>
      </c>
      <c r="AM365">
        <v>1259.08</v>
      </c>
      <c r="AN365">
        <v>980.11599999999999</v>
      </c>
    </row>
    <row r="366" spans="4:40" hidden="1">
      <c r="D366" s="1"/>
      <c r="K366" s="1"/>
      <c r="Q366" s="1"/>
      <c r="AD366" s="1"/>
      <c r="AG366" s="1"/>
      <c r="AI366" s="1">
        <v>45423</v>
      </c>
      <c r="AJ366">
        <v>4974.9769999999999</v>
      </c>
      <c r="AK366">
        <v>61.414000000000001</v>
      </c>
      <c r="AL366">
        <v>3877.6860000000001</v>
      </c>
      <c r="AM366">
        <v>1259.08</v>
      </c>
      <c r="AN366">
        <v>980.11599999999999</v>
      </c>
    </row>
    <row r="367" spans="4:40" hidden="1">
      <c r="D367" s="1"/>
      <c r="K367" s="1"/>
      <c r="Q367" s="1"/>
      <c r="AD367" s="1"/>
      <c r="AG367" s="1"/>
      <c r="AI367" s="1">
        <v>45422</v>
      </c>
      <c r="AJ367">
        <v>4974.9769999999999</v>
      </c>
      <c r="AK367">
        <v>61.414000000000001</v>
      </c>
      <c r="AL367">
        <v>3877.6860000000001</v>
      </c>
      <c r="AM367">
        <v>1259.08</v>
      </c>
      <c r="AN367">
        <v>980.11599999999999</v>
      </c>
    </row>
    <row r="368" spans="4:40" hidden="1">
      <c r="D368" s="1"/>
      <c r="K368" s="1"/>
      <c r="Q368" s="1"/>
      <c r="AD368" s="1"/>
      <c r="AG368" s="1"/>
      <c r="AI368" s="1">
        <v>45421</v>
      </c>
      <c r="AJ368">
        <v>4967.82</v>
      </c>
      <c r="AK368">
        <v>60.564999999999998</v>
      </c>
      <c r="AL368">
        <v>3864.7829999999999</v>
      </c>
      <c r="AM368">
        <v>1250.1279999999999</v>
      </c>
      <c r="AN368">
        <v>974.05700000000002</v>
      </c>
    </row>
    <row r="369" spans="4:40" hidden="1">
      <c r="D369" s="1"/>
      <c r="K369" s="1"/>
      <c r="Q369" s="1"/>
      <c r="AD369" s="1"/>
      <c r="AG369" s="1"/>
      <c r="AI369" s="1">
        <v>45420</v>
      </c>
      <c r="AJ369">
        <v>4942.777</v>
      </c>
      <c r="AK369">
        <v>59.613</v>
      </c>
      <c r="AL369">
        <v>3859.0039999999999</v>
      </c>
      <c r="AM369">
        <v>1245.9829999999999</v>
      </c>
      <c r="AN369">
        <v>988.553</v>
      </c>
    </row>
    <row r="370" spans="4:40" hidden="1">
      <c r="D370" s="1"/>
      <c r="K370" s="1"/>
      <c r="Q370" s="1"/>
      <c r="AD370" s="1"/>
      <c r="AG370" s="1"/>
      <c r="AI370" s="1">
        <v>45419</v>
      </c>
      <c r="AJ370">
        <v>4943.7240000000002</v>
      </c>
      <c r="AK370">
        <v>60.232999999999997</v>
      </c>
      <c r="AL370">
        <v>3953.7069999999999</v>
      </c>
      <c r="AM370">
        <v>1246.4480000000001</v>
      </c>
      <c r="AN370">
        <v>983.95500000000004</v>
      </c>
    </row>
    <row r="371" spans="4:40" hidden="1">
      <c r="D371" s="1"/>
      <c r="K371" s="1"/>
      <c r="Q371" s="1"/>
      <c r="AD371" s="1"/>
      <c r="AG371" s="1"/>
      <c r="AI371" s="1">
        <v>45418</v>
      </c>
      <c r="AJ371">
        <v>4938.8249999999998</v>
      </c>
      <c r="AK371">
        <v>60.725999999999999</v>
      </c>
      <c r="AL371">
        <v>3939.9140000000002</v>
      </c>
      <c r="AM371">
        <v>1234.3209999999999</v>
      </c>
      <c r="AN371">
        <v>993.226</v>
      </c>
    </row>
    <row r="372" spans="4:40" hidden="1">
      <c r="D372" s="1"/>
      <c r="K372" s="1"/>
      <c r="Q372" s="1"/>
      <c r="AD372" s="1"/>
      <c r="AG372" s="1"/>
      <c r="AI372" s="1">
        <v>45417</v>
      </c>
      <c r="AJ372">
        <v>4887.1670000000004</v>
      </c>
      <c r="AK372">
        <v>60.261000000000003</v>
      </c>
      <c r="AL372">
        <v>3967.36</v>
      </c>
      <c r="AM372">
        <v>1231.23</v>
      </c>
      <c r="AN372">
        <v>996.99300000000005</v>
      </c>
    </row>
    <row r="373" spans="4:40" hidden="1">
      <c r="D373" s="1"/>
      <c r="K373" s="1"/>
      <c r="Q373" s="1"/>
      <c r="AD373" s="1"/>
      <c r="AG373" s="1"/>
      <c r="AI373" s="1">
        <v>45416</v>
      </c>
      <c r="AJ373">
        <v>4887.1670000000004</v>
      </c>
      <c r="AK373">
        <v>60.261000000000003</v>
      </c>
      <c r="AL373">
        <v>3967.36</v>
      </c>
      <c r="AM373">
        <v>1231.23</v>
      </c>
      <c r="AN373">
        <v>996.99300000000005</v>
      </c>
    </row>
    <row r="374" spans="4:40" hidden="1">
      <c r="D374" s="1"/>
      <c r="K374" s="1"/>
      <c r="Q374" s="1"/>
      <c r="AD374" s="1"/>
      <c r="AG374" s="1"/>
      <c r="AI374" s="1">
        <v>45415</v>
      </c>
      <c r="AJ374">
        <v>4887.1670000000004</v>
      </c>
      <c r="AK374">
        <v>60.261000000000003</v>
      </c>
      <c r="AL374">
        <v>3967.36</v>
      </c>
      <c r="AM374">
        <v>1231.23</v>
      </c>
      <c r="AN374">
        <v>996.99300000000005</v>
      </c>
    </row>
    <row r="375" spans="4:40" hidden="1">
      <c r="D375" s="1"/>
      <c r="K375" s="1"/>
      <c r="Q375" s="1"/>
      <c r="AD375" s="1"/>
      <c r="AG375" s="1"/>
      <c r="AI375" s="1">
        <v>45414</v>
      </c>
      <c r="AJ375">
        <v>4827.7719999999999</v>
      </c>
      <c r="AK375">
        <v>59.264000000000003</v>
      </c>
      <c r="AL375">
        <v>3937.1010000000001</v>
      </c>
      <c r="AM375">
        <v>1219.0419999999999</v>
      </c>
      <c r="AN375">
        <v>1002.698</v>
      </c>
    </row>
    <row r="376" spans="4:40" hidden="1">
      <c r="D376" s="1"/>
      <c r="K376" s="1"/>
      <c r="Q376" s="1"/>
      <c r="AD376" s="1"/>
      <c r="AG376" s="1"/>
      <c r="AI376" s="1">
        <v>45413</v>
      </c>
      <c r="AJ376">
        <v>4782.1170000000002</v>
      </c>
      <c r="AK376">
        <v>57.744999999999997</v>
      </c>
      <c r="AL376">
        <v>3848.8580000000002</v>
      </c>
      <c r="AM376">
        <v>1212.5940000000001</v>
      </c>
      <c r="AN376">
        <v>998.66200000000003</v>
      </c>
    </row>
    <row r="377" spans="4:40" hidden="1">
      <c r="D377" s="1"/>
      <c r="K377" s="1"/>
      <c r="Q377" s="1"/>
      <c r="AD377" s="1"/>
      <c r="AG377" s="1"/>
      <c r="AI377" s="1">
        <v>45412</v>
      </c>
      <c r="AJ377">
        <v>4797.6819999999998</v>
      </c>
      <c r="AK377">
        <v>57.744</v>
      </c>
      <c r="AL377">
        <v>3875.346</v>
      </c>
      <c r="AM377">
        <v>1218.7090000000001</v>
      </c>
      <c r="AN377">
        <v>998.66200000000003</v>
      </c>
    </row>
    <row r="378" spans="4:40" hidden="1">
      <c r="D378" s="1"/>
      <c r="K378" s="1"/>
      <c r="Q378" s="1"/>
      <c r="AD378" s="1"/>
      <c r="AG378" s="1"/>
      <c r="AI378" s="1">
        <v>45411</v>
      </c>
      <c r="AJ378">
        <v>4875.6949999999997</v>
      </c>
      <c r="AK378">
        <v>58.024000000000001</v>
      </c>
      <c r="AL378">
        <v>3805.2669999999998</v>
      </c>
      <c r="AM378">
        <v>1222.2249999999999</v>
      </c>
      <c r="AN378">
        <v>997.31799999999998</v>
      </c>
    </row>
    <row r="379" spans="4:40" hidden="1">
      <c r="D379" s="1"/>
      <c r="K379" s="1"/>
      <c r="Q379" s="1"/>
      <c r="AD379" s="1"/>
      <c r="AG379" s="1"/>
      <c r="AI379" s="1">
        <v>45410</v>
      </c>
      <c r="AJ379">
        <v>4859.5820000000003</v>
      </c>
      <c r="AK379">
        <v>57.856000000000002</v>
      </c>
      <c r="AL379">
        <v>3790.9929999999999</v>
      </c>
      <c r="AM379">
        <v>1212.6210000000001</v>
      </c>
      <c r="AN379">
        <v>990.56100000000004</v>
      </c>
    </row>
    <row r="380" spans="4:40" hidden="1">
      <c r="D380" s="1"/>
      <c r="K380" s="1"/>
      <c r="Q380" s="1"/>
      <c r="AD380" s="1"/>
      <c r="AG380" s="1"/>
      <c r="AI380" s="1">
        <v>45409</v>
      </c>
      <c r="AJ380">
        <v>4859.5820000000003</v>
      </c>
      <c r="AK380">
        <v>57.856000000000002</v>
      </c>
      <c r="AL380">
        <v>3790.9929999999999</v>
      </c>
      <c r="AM380">
        <v>1212.6210000000001</v>
      </c>
      <c r="AN380">
        <v>990.56100000000004</v>
      </c>
    </row>
    <row r="381" spans="4:40" hidden="1">
      <c r="D381" s="1"/>
      <c r="K381" s="1"/>
      <c r="Q381" s="1"/>
      <c r="AD381" s="1"/>
      <c r="AG381" s="1"/>
      <c r="AI381" s="1">
        <v>45408</v>
      </c>
      <c r="AJ381">
        <v>4859.5820000000003</v>
      </c>
      <c r="AK381">
        <v>57.856000000000002</v>
      </c>
      <c r="AL381">
        <v>3790.9929999999999</v>
      </c>
      <c r="AM381">
        <v>1212.6210000000001</v>
      </c>
      <c r="AN381">
        <v>990.56100000000004</v>
      </c>
    </row>
    <row r="382" spans="4:40" hidden="1">
      <c r="D382" s="1"/>
      <c r="K382" s="1"/>
      <c r="Q382" s="1"/>
      <c r="AD382" s="1"/>
      <c r="AG382" s="1"/>
      <c r="AI382" s="1">
        <v>45407</v>
      </c>
      <c r="AJ382">
        <v>4809.7219999999998</v>
      </c>
      <c r="AK382">
        <v>56.499000000000002</v>
      </c>
      <c r="AL382">
        <v>3801.5320000000002</v>
      </c>
      <c r="AM382">
        <v>1206.106</v>
      </c>
      <c r="AN382">
        <v>994.024</v>
      </c>
    </row>
    <row r="383" spans="4:40" hidden="1">
      <c r="D383" s="1"/>
      <c r="K383" s="1"/>
      <c r="Q383" s="1"/>
      <c r="AD383" s="1"/>
      <c r="AG383" s="1"/>
      <c r="AI383" s="1">
        <v>45406</v>
      </c>
      <c r="AJ383">
        <v>4830.8959999999997</v>
      </c>
      <c r="AK383">
        <v>56.470999999999997</v>
      </c>
      <c r="AL383">
        <v>3886.8560000000002</v>
      </c>
      <c r="AM383">
        <v>1193.923</v>
      </c>
      <c r="AN383">
        <v>987.91</v>
      </c>
    </row>
    <row r="384" spans="4:40" hidden="1">
      <c r="D384" s="1"/>
      <c r="K384" s="1"/>
      <c r="Q384" s="1"/>
      <c r="AD384" s="1"/>
      <c r="AG384" s="1"/>
      <c r="AI384" s="1">
        <v>45405</v>
      </c>
      <c r="AJ384">
        <v>4830.0360000000001</v>
      </c>
      <c r="AK384">
        <v>55.295000000000002</v>
      </c>
      <c r="AL384">
        <v>3819.3809999999999</v>
      </c>
      <c r="AM384">
        <v>1194.318</v>
      </c>
      <c r="AN384">
        <v>984.495</v>
      </c>
    </row>
    <row r="385" spans="4:40" hidden="1">
      <c r="D385" s="1"/>
      <c r="K385" s="1"/>
      <c r="Q385" s="1"/>
      <c r="AD385" s="1"/>
      <c r="AG385" s="1"/>
      <c r="AI385" s="1">
        <v>45404</v>
      </c>
      <c r="AJ385">
        <v>4770.6019999999999</v>
      </c>
      <c r="AK385">
        <v>54.414000000000001</v>
      </c>
      <c r="AL385">
        <v>3814.0569999999998</v>
      </c>
      <c r="AM385">
        <v>1181.2560000000001</v>
      </c>
      <c r="AN385">
        <v>982.255</v>
      </c>
    </row>
    <row r="386" spans="4:40" hidden="1">
      <c r="D386" s="1"/>
      <c r="K386" s="1"/>
      <c r="Q386" s="1"/>
      <c r="AD386" s="1"/>
      <c r="AG386" s="1"/>
      <c r="AI386" s="1">
        <v>45403</v>
      </c>
      <c r="AJ386">
        <v>4729.076</v>
      </c>
      <c r="AK386">
        <v>53.45</v>
      </c>
      <c r="AL386">
        <v>3767.8939999999998</v>
      </c>
      <c r="AM386">
        <v>1172.45</v>
      </c>
      <c r="AN386">
        <v>971.13599999999997</v>
      </c>
    </row>
    <row r="387" spans="4:40" hidden="1">
      <c r="D387" s="1"/>
      <c r="K387" s="1"/>
      <c r="Q387" s="1"/>
      <c r="AD387" s="1"/>
      <c r="AG387" s="1"/>
      <c r="AI387" s="1">
        <v>45402</v>
      </c>
      <c r="AJ387">
        <v>4729.076</v>
      </c>
      <c r="AK387">
        <v>53.45</v>
      </c>
      <c r="AL387">
        <v>3767.8939999999998</v>
      </c>
      <c r="AM387">
        <v>1172.45</v>
      </c>
      <c r="AN387">
        <v>971.13599999999997</v>
      </c>
    </row>
    <row r="388" spans="4:40" hidden="1">
      <c r="D388" s="1"/>
      <c r="K388" s="1"/>
      <c r="Q388" s="1"/>
      <c r="AD388" s="1"/>
      <c r="AG388" s="1"/>
      <c r="AI388" s="1">
        <v>45401</v>
      </c>
      <c r="AJ388">
        <v>4729.076</v>
      </c>
      <c r="AK388">
        <v>53.45</v>
      </c>
      <c r="AL388">
        <v>3767.8939999999998</v>
      </c>
      <c r="AM388">
        <v>1172.45</v>
      </c>
      <c r="AN388">
        <v>971.13599999999997</v>
      </c>
    </row>
    <row r="389" spans="4:40" hidden="1">
      <c r="D389" s="1"/>
      <c r="K389" s="1"/>
      <c r="Q389" s="1"/>
      <c r="AD389" s="1"/>
      <c r="AG389" s="1"/>
      <c r="AI389" s="1">
        <v>45400</v>
      </c>
      <c r="AJ389">
        <v>4771.973</v>
      </c>
      <c r="AK389">
        <v>53.942</v>
      </c>
      <c r="AL389">
        <v>3842.4409999999998</v>
      </c>
      <c r="AM389">
        <v>1169.9739999999999</v>
      </c>
      <c r="AN389">
        <v>967.32799999999997</v>
      </c>
    </row>
    <row r="390" spans="4:40" hidden="1">
      <c r="D390" s="1"/>
      <c r="K390" s="1"/>
      <c r="Q390" s="1"/>
      <c r="AD390" s="1"/>
      <c r="AG390" s="1"/>
      <c r="AI390" s="1">
        <v>45399</v>
      </c>
      <c r="AJ390">
        <v>4782.7780000000002</v>
      </c>
      <c r="AK390">
        <v>53.545999999999999</v>
      </c>
      <c r="AL390">
        <v>3826.7089999999998</v>
      </c>
      <c r="AM390">
        <v>1166.9659999999999</v>
      </c>
      <c r="AN390">
        <v>972.298</v>
      </c>
    </row>
    <row r="391" spans="4:40" hidden="1">
      <c r="D391" s="1"/>
      <c r="K391" s="1"/>
      <c r="Q391" s="1"/>
      <c r="AD391" s="1"/>
      <c r="AG391" s="1"/>
      <c r="AI391" s="1">
        <v>45398</v>
      </c>
      <c r="AJ391">
        <v>4811.7719999999999</v>
      </c>
      <c r="AK391">
        <v>53.338999999999999</v>
      </c>
      <c r="AL391">
        <v>3877.84</v>
      </c>
      <c r="AM391">
        <v>1162.279</v>
      </c>
      <c r="AN391">
        <v>972.298</v>
      </c>
    </row>
    <row r="392" spans="4:40" hidden="1">
      <c r="D392" s="1"/>
      <c r="K392" s="1"/>
      <c r="Q392" s="1"/>
      <c r="AD392" s="1"/>
      <c r="AG392" s="1"/>
      <c r="AI392" s="1">
        <v>45397</v>
      </c>
      <c r="AJ392">
        <v>4821.6790000000001</v>
      </c>
      <c r="AK392">
        <v>54.319000000000003</v>
      </c>
      <c r="AL392">
        <v>3962.0120000000002</v>
      </c>
      <c r="AM392">
        <v>1184.52</v>
      </c>
      <c r="AN392">
        <v>977.73199999999997</v>
      </c>
    </row>
    <row r="393" spans="4:40" hidden="1">
      <c r="D393" s="1"/>
      <c r="K393" s="1"/>
      <c r="Q393" s="1"/>
      <c r="AD393" s="1"/>
      <c r="AG393" s="1"/>
      <c r="AI393" s="1">
        <v>45396</v>
      </c>
      <c r="AJ393">
        <v>4882.9089999999997</v>
      </c>
      <c r="AK393">
        <v>54.475999999999999</v>
      </c>
      <c r="AL393">
        <v>4009.598</v>
      </c>
      <c r="AM393">
        <v>1188.5650000000001</v>
      </c>
      <c r="AN393">
        <v>990.072</v>
      </c>
    </row>
    <row r="394" spans="4:40" hidden="1">
      <c r="D394" s="1"/>
      <c r="K394" s="1"/>
      <c r="Q394" s="1"/>
      <c r="AD394" s="1"/>
      <c r="AG394" s="1"/>
      <c r="AI394" s="1">
        <v>45395</v>
      </c>
      <c r="AJ394">
        <v>4882.9089999999997</v>
      </c>
      <c r="AK394">
        <v>54.475999999999999</v>
      </c>
      <c r="AL394">
        <v>4009.598</v>
      </c>
      <c r="AM394">
        <v>1188.5650000000001</v>
      </c>
      <c r="AN394">
        <v>990.072</v>
      </c>
    </row>
    <row r="395" spans="4:40" hidden="1">
      <c r="D395" s="1"/>
      <c r="K395" s="1"/>
      <c r="Q395" s="1"/>
      <c r="AD395" s="1"/>
      <c r="AG395" s="1"/>
      <c r="AI395" s="1">
        <v>45394</v>
      </c>
      <c r="AJ395">
        <v>4882.9089999999997</v>
      </c>
      <c r="AK395">
        <v>54.475999999999999</v>
      </c>
      <c r="AL395">
        <v>4009.598</v>
      </c>
      <c r="AM395">
        <v>1188.5650000000001</v>
      </c>
      <c r="AN395">
        <v>990.072</v>
      </c>
    </row>
    <row r="396" spans="4:40" hidden="1">
      <c r="D396" s="1"/>
      <c r="K396" s="1"/>
      <c r="Q396" s="1"/>
      <c r="AD396" s="1"/>
      <c r="AG396" s="1"/>
      <c r="AI396" s="1">
        <v>45393</v>
      </c>
      <c r="AJ396">
        <v>4956.4679999999998</v>
      </c>
      <c r="AK396">
        <v>55.572000000000003</v>
      </c>
      <c r="AL396">
        <v>3984.3159999999998</v>
      </c>
      <c r="AM396">
        <v>1185.0540000000001</v>
      </c>
      <c r="AN396">
        <v>1001.199</v>
      </c>
    </row>
    <row r="397" spans="4:40" hidden="1">
      <c r="D397" s="1"/>
      <c r="K397" s="1"/>
      <c r="Q397" s="1"/>
      <c r="AD397" s="1"/>
      <c r="AG397" s="1"/>
      <c r="AI397" s="1">
        <v>45392</v>
      </c>
      <c r="AJ397">
        <v>4919.5879999999997</v>
      </c>
      <c r="AK397">
        <v>55.622999999999998</v>
      </c>
      <c r="AL397">
        <v>3992.9630000000002</v>
      </c>
      <c r="AM397">
        <v>1194.538</v>
      </c>
      <c r="AN397">
        <v>1001.199</v>
      </c>
    </row>
    <row r="398" spans="4:40" hidden="1">
      <c r="D398" s="1"/>
      <c r="K398" s="1"/>
      <c r="Q398" s="1"/>
      <c r="AD398" s="1"/>
      <c r="AG398" s="1"/>
      <c r="AI398" s="1">
        <v>45391</v>
      </c>
      <c r="AJ398">
        <v>4966.4970000000003</v>
      </c>
      <c r="AK398">
        <v>54.878999999999998</v>
      </c>
      <c r="AL398">
        <v>4045.076</v>
      </c>
      <c r="AM398">
        <v>1200.867</v>
      </c>
      <c r="AN398">
        <v>993.65099999999995</v>
      </c>
    </row>
    <row r="399" spans="4:40" hidden="1">
      <c r="D399" s="1"/>
      <c r="K399" s="1"/>
      <c r="Q399" s="1"/>
      <c r="AD399" s="1"/>
      <c r="AG399" s="1"/>
      <c r="AI399" s="1">
        <v>45390</v>
      </c>
      <c r="AJ399">
        <v>4959.76</v>
      </c>
      <c r="AK399">
        <v>54.545000000000002</v>
      </c>
      <c r="AL399">
        <v>4000.1419999999998</v>
      </c>
      <c r="AM399">
        <v>1199.5909999999999</v>
      </c>
      <c r="AN399">
        <v>994.99699999999996</v>
      </c>
    </row>
    <row r="400" spans="4:40" hidden="1">
      <c r="D400" s="1"/>
      <c r="K400" s="1"/>
      <c r="Q400" s="1"/>
      <c r="AD400" s="1"/>
      <c r="AG400" s="1"/>
      <c r="AI400" s="1">
        <v>45389</v>
      </c>
      <c r="AJ400">
        <v>4960.8149999999996</v>
      </c>
      <c r="AK400">
        <v>54.57</v>
      </c>
      <c r="AL400">
        <v>3966.828</v>
      </c>
      <c r="AM400">
        <v>1192.0830000000001</v>
      </c>
      <c r="AN400">
        <v>989.51900000000001</v>
      </c>
    </row>
    <row r="401" spans="4:40" hidden="1">
      <c r="D401" s="1"/>
      <c r="K401" s="1"/>
      <c r="Q401" s="1"/>
      <c r="AD401" s="1"/>
      <c r="AG401" s="1"/>
      <c r="AI401" s="1">
        <v>45388</v>
      </c>
      <c r="AJ401">
        <v>4960.8149999999996</v>
      </c>
      <c r="AK401">
        <v>54.57</v>
      </c>
      <c r="AL401">
        <v>3966.828</v>
      </c>
      <c r="AM401">
        <v>1192.0830000000001</v>
      </c>
      <c r="AN401">
        <v>989.51900000000001</v>
      </c>
    </row>
    <row r="402" spans="4:40" hidden="1">
      <c r="D402" s="1"/>
      <c r="K402" s="1"/>
      <c r="Q402" s="1"/>
      <c r="AD402" s="1"/>
      <c r="AG402" s="1"/>
      <c r="AI402" s="1">
        <v>45387</v>
      </c>
      <c r="AJ402">
        <v>4960.8149999999996</v>
      </c>
      <c r="AK402">
        <v>54.57</v>
      </c>
      <c r="AL402">
        <v>3966.828</v>
      </c>
      <c r="AM402">
        <v>1192.0830000000001</v>
      </c>
      <c r="AN402">
        <v>989.51900000000001</v>
      </c>
    </row>
    <row r="403" spans="4:40" hidden="1">
      <c r="D403" s="1"/>
      <c r="K403" s="1"/>
      <c r="Q403" s="1"/>
      <c r="AD403" s="1"/>
      <c r="AG403" s="1"/>
      <c r="AI403" s="1">
        <v>45386</v>
      </c>
      <c r="AJ403">
        <v>4905.741</v>
      </c>
      <c r="AK403">
        <v>54.787999999999997</v>
      </c>
      <c r="AL403">
        <v>4014.7150000000001</v>
      </c>
      <c r="AM403">
        <v>1206.316</v>
      </c>
      <c r="AN403">
        <v>986.65499999999997</v>
      </c>
    </row>
    <row r="404" spans="4:40" hidden="1">
      <c r="D404" s="1"/>
      <c r="K404" s="1"/>
      <c r="Q404" s="1"/>
      <c r="AD404" s="1"/>
      <c r="AG404" s="1"/>
      <c r="AI404" s="1">
        <v>45385</v>
      </c>
      <c r="AJ404">
        <v>4966.8450000000003</v>
      </c>
      <c r="AK404">
        <v>54.841000000000001</v>
      </c>
      <c r="AL404">
        <v>3972.3719999999998</v>
      </c>
      <c r="AM404">
        <v>1195.98</v>
      </c>
      <c r="AN404">
        <v>985.33100000000002</v>
      </c>
    </row>
    <row r="405" spans="4:40" hidden="1">
      <c r="D405" s="1"/>
      <c r="K405" s="1"/>
      <c r="Q405" s="1"/>
      <c r="AD405" s="1"/>
      <c r="AG405" s="1"/>
      <c r="AI405" s="1">
        <v>45384</v>
      </c>
      <c r="AJ405">
        <v>4960.607</v>
      </c>
      <c r="AK405">
        <v>55.258000000000003</v>
      </c>
      <c r="AL405">
        <v>3995.0709999999999</v>
      </c>
      <c r="AM405">
        <v>1190.568</v>
      </c>
      <c r="AN405">
        <v>985.84699999999998</v>
      </c>
    </row>
    <row r="406" spans="4:40" hidden="1">
      <c r="D406" s="1"/>
      <c r="K406" s="1"/>
      <c r="Q406" s="1"/>
      <c r="AD406" s="1"/>
      <c r="AG406" s="1"/>
      <c r="AI406" s="1">
        <v>45383</v>
      </c>
      <c r="AJ406">
        <v>4997.3620000000001</v>
      </c>
      <c r="AK406">
        <v>54.494999999999997</v>
      </c>
      <c r="AL406">
        <v>3995.5540000000001</v>
      </c>
      <c r="AM406">
        <v>1192.7829999999999</v>
      </c>
      <c r="AN406">
        <v>983.79499999999996</v>
      </c>
    </row>
    <row r="407" spans="4:40" hidden="1">
      <c r="D407" s="1"/>
      <c r="K407" s="1"/>
      <c r="Q407" s="1"/>
      <c r="AD407" s="1"/>
      <c r="AG407" s="1"/>
      <c r="AI407" s="1">
        <v>45382</v>
      </c>
      <c r="AJ407">
        <v>5008.1750000000002</v>
      </c>
      <c r="AK407">
        <v>54.222999999999999</v>
      </c>
      <c r="AL407">
        <v>4073.7689999999998</v>
      </c>
      <c r="AM407">
        <v>1199.4290000000001</v>
      </c>
      <c r="AN407">
        <v>976.101</v>
      </c>
    </row>
    <row r="408" spans="4:40" hidden="1">
      <c r="D408" s="1"/>
      <c r="K408" s="1"/>
      <c r="Q408" s="1"/>
      <c r="AD408" s="1"/>
      <c r="AG408" s="1"/>
      <c r="AI408" s="1">
        <v>45381</v>
      </c>
      <c r="AJ408">
        <v>5008.1750000000002</v>
      </c>
      <c r="AK408">
        <v>54.222999999999999</v>
      </c>
      <c r="AL408">
        <v>4073.7689999999998</v>
      </c>
      <c r="AM408">
        <v>1199.4290000000001</v>
      </c>
      <c r="AN408">
        <v>976.101</v>
      </c>
    </row>
    <row r="409" spans="4:40" hidden="1">
      <c r="D409" s="1"/>
      <c r="K409" s="1"/>
      <c r="Q409" s="1"/>
      <c r="AD409" s="1"/>
      <c r="AG409" s="1"/>
      <c r="AI409" s="1">
        <v>45380</v>
      </c>
      <c r="AJ409">
        <v>5008.1750000000002</v>
      </c>
      <c r="AK409">
        <v>54.222999999999999</v>
      </c>
      <c r="AL409">
        <v>4073.7689999999998</v>
      </c>
      <c r="AM409">
        <v>1199.4290000000001</v>
      </c>
      <c r="AN409">
        <v>976.101</v>
      </c>
    </row>
    <row r="410" spans="4:40" hidden="1">
      <c r="D410" s="1"/>
      <c r="K410" s="1"/>
      <c r="Q410" s="1"/>
      <c r="AD410" s="1"/>
      <c r="AG410" s="1"/>
      <c r="AI410" s="1">
        <v>45379</v>
      </c>
      <c r="AJ410">
        <v>5008.1750000000002</v>
      </c>
      <c r="AK410">
        <v>54.167999999999999</v>
      </c>
      <c r="AL410">
        <v>4054.8440000000001</v>
      </c>
      <c r="AM410">
        <v>1199.4290000000001</v>
      </c>
      <c r="AN410">
        <v>976.101</v>
      </c>
    </row>
    <row r="411" spans="4:40" hidden="1">
      <c r="D411" s="1"/>
      <c r="K411" s="1"/>
      <c r="Q411" s="1"/>
      <c r="AD411" s="1"/>
      <c r="AG411" s="1"/>
      <c r="AI411" s="1">
        <v>45378</v>
      </c>
      <c r="AJ411">
        <v>5003.1459999999997</v>
      </c>
      <c r="AK411">
        <v>53.676000000000002</v>
      </c>
      <c r="AL411">
        <v>4121.6509999999998</v>
      </c>
      <c r="AM411">
        <v>1196.376</v>
      </c>
      <c r="AN411">
        <v>966.93</v>
      </c>
    </row>
    <row r="412" spans="4:40" hidden="1">
      <c r="D412" s="1"/>
      <c r="K412" s="1"/>
      <c r="Q412" s="1"/>
      <c r="AD412" s="1"/>
      <c r="AG412" s="1"/>
      <c r="AI412" s="1">
        <v>45377</v>
      </c>
      <c r="AJ412">
        <v>4962.1840000000002</v>
      </c>
      <c r="AK412">
        <v>54.337000000000003</v>
      </c>
      <c r="AL412">
        <v>4087.3670000000002</v>
      </c>
      <c r="AM412">
        <v>1196.7919999999999</v>
      </c>
      <c r="AN412">
        <v>963.84900000000005</v>
      </c>
    </row>
    <row r="413" spans="4:40" hidden="1">
      <c r="D413" s="1"/>
      <c r="K413" s="1"/>
      <c r="Q413" s="1"/>
      <c r="AD413" s="1"/>
      <c r="AG413" s="1"/>
      <c r="AI413" s="1">
        <v>45376</v>
      </c>
      <c r="AJ413">
        <v>4975.2759999999998</v>
      </c>
      <c r="AK413">
        <v>53.904000000000003</v>
      </c>
      <c r="AL413">
        <v>4087.62</v>
      </c>
      <c r="AM413">
        <v>1196.6130000000001</v>
      </c>
      <c r="AN413">
        <v>962.07100000000003</v>
      </c>
    </row>
    <row r="414" spans="4:40" hidden="1">
      <c r="D414" s="1"/>
      <c r="K414" s="1"/>
      <c r="Q414" s="1"/>
      <c r="AD414" s="1"/>
      <c r="AG414" s="1"/>
      <c r="AI414" s="1">
        <v>45375</v>
      </c>
      <c r="AJ414">
        <v>4989.1440000000002</v>
      </c>
      <c r="AK414">
        <v>54.064</v>
      </c>
      <c r="AL414">
        <v>4145.3469999999998</v>
      </c>
      <c r="AM414">
        <v>1194.3119999999999</v>
      </c>
      <c r="AN414">
        <v>962.07100000000003</v>
      </c>
    </row>
    <row r="415" spans="4:40" hidden="1">
      <c r="D415" s="1"/>
      <c r="K415" s="1"/>
      <c r="Q415" s="1"/>
      <c r="AD415" s="1"/>
      <c r="AG415" s="1"/>
      <c r="AI415" s="1">
        <v>45374</v>
      </c>
      <c r="AJ415">
        <v>4989.1440000000002</v>
      </c>
      <c r="AK415">
        <v>54.064</v>
      </c>
      <c r="AL415">
        <v>4145.3469999999998</v>
      </c>
      <c r="AM415">
        <v>1194.3119999999999</v>
      </c>
      <c r="AN415">
        <v>962.07100000000003</v>
      </c>
    </row>
    <row r="416" spans="4:40" hidden="1">
      <c r="D416" s="1"/>
      <c r="K416" s="1"/>
      <c r="Q416" s="1"/>
      <c r="AD416" s="1"/>
      <c r="AG416" s="1"/>
      <c r="AI416" s="1">
        <v>45373</v>
      </c>
      <c r="AJ416">
        <v>4989.1440000000002</v>
      </c>
      <c r="AK416">
        <v>54.064</v>
      </c>
      <c r="AL416">
        <v>4145.3469999999998</v>
      </c>
      <c r="AM416">
        <v>1194.3119999999999</v>
      </c>
      <c r="AN416">
        <v>962.07100000000003</v>
      </c>
    </row>
    <row r="417" spans="4:40" hidden="1">
      <c r="D417" s="1"/>
      <c r="K417" s="1"/>
      <c r="Q417" s="1"/>
      <c r="AD417" s="1"/>
      <c r="AG417" s="1"/>
      <c r="AI417" s="1">
        <v>45372</v>
      </c>
      <c r="AJ417">
        <v>4996.9809999999998</v>
      </c>
      <c r="AK417">
        <v>55.183999999999997</v>
      </c>
      <c r="AL417">
        <v>4115.0749999999998</v>
      </c>
      <c r="AM417">
        <v>1192.8810000000001</v>
      </c>
      <c r="AN417">
        <v>961.35400000000004</v>
      </c>
    </row>
    <row r="418" spans="4:40" hidden="1">
      <c r="D418" s="1"/>
      <c r="K418" s="1"/>
      <c r="Q418" s="1"/>
      <c r="AD418" s="1"/>
      <c r="AG418" s="1"/>
      <c r="AI418" s="1">
        <v>45371</v>
      </c>
      <c r="AJ418">
        <v>4979.5259999999998</v>
      </c>
      <c r="AK418">
        <v>54.787999999999997</v>
      </c>
      <c r="AL418">
        <v>4039.6930000000002</v>
      </c>
      <c r="AM418">
        <v>1175.1949999999999</v>
      </c>
      <c r="AN418">
        <v>949.46400000000006</v>
      </c>
    </row>
    <row r="419" spans="4:40" hidden="1">
      <c r="D419" s="1"/>
      <c r="K419" s="1"/>
      <c r="Q419" s="1"/>
      <c r="AD419" s="1"/>
      <c r="AG419" s="1"/>
      <c r="AI419" s="1">
        <v>45370</v>
      </c>
      <c r="AJ419">
        <v>4934.0569999999998</v>
      </c>
      <c r="AK419">
        <v>54.447000000000003</v>
      </c>
      <c r="AL419">
        <v>4064.8870000000002</v>
      </c>
      <c r="AM419">
        <v>1175.1990000000001</v>
      </c>
      <c r="AN419">
        <v>949.44899999999996</v>
      </c>
    </row>
    <row r="420" spans="4:40" hidden="1">
      <c r="D420" s="1"/>
      <c r="K420" s="1"/>
      <c r="Q420" s="1"/>
      <c r="AD420" s="1"/>
      <c r="AG420" s="1"/>
      <c r="AI420" s="1">
        <v>45369</v>
      </c>
      <c r="AJ420">
        <v>4906.9049999999997</v>
      </c>
      <c r="AK420">
        <v>55.212000000000003</v>
      </c>
      <c r="AL420">
        <v>4062.2449999999999</v>
      </c>
      <c r="AM420">
        <v>1174.5730000000001</v>
      </c>
      <c r="AN420">
        <v>963.221</v>
      </c>
    </row>
    <row r="421" spans="4:40" hidden="1">
      <c r="D421" s="1"/>
      <c r="K421" s="1"/>
      <c r="Q421" s="1"/>
      <c r="AD421" s="1"/>
      <c r="AG421" s="1"/>
      <c r="AI421" s="1">
        <v>45368</v>
      </c>
      <c r="AJ421">
        <v>4876.3469999999998</v>
      </c>
      <c r="AK421">
        <v>54.764000000000003</v>
      </c>
      <c r="AL421">
        <v>3978.777</v>
      </c>
      <c r="AM421">
        <v>1175.933</v>
      </c>
      <c r="AN421">
        <v>961.38599999999997</v>
      </c>
    </row>
    <row r="422" spans="4:40" hidden="1">
      <c r="D422" s="1"/>
      <c r="K422" s="1"/>
      <c r="Q422" s="1"/>
      <c r="AD422" s="1"/>
      <c r="AG422" s="1"/>
      <c r="AI422" s="1">
        <v>45367</v>
      </c>
      <c r="AJ422">
        <v>4876.3469999999998</v>
      </c>
      <c r="AK422">
        <v>54.764000000000003</v>
      </c>
      <c r="AL422">
        <v>3978.777</v>
      </c>
      <c r="AM422">
        <v>1175.933</v>
      </c>
      <c r="AN422">
        <v>961.38599999999997</v>
      </c>
    </row>
    <row r="423" spans="4:40" hidden="1">
      <c r="D423" s="1"/>
      <c r="K423" s="1"/>
      <c r="Q423" s="1"/>
      <c r="AD423" s="1"/>
      <c r="AG423" s="1"/>
      <c r="AI423" s="1">
        <v>45366</v>
      </c>
      <c r="AJ423">
        <v>4876.3469999999998</v>
      </c>
      <c r="AK423">
        <v>54.764000000000003</v>
      </c>
      <c r="AL423">
        <v>3978.777</v>
      </c>
      <c r="AM423">
        <v>1175.933</v>
      </c>
      <c r="AN423">
        <v>961.38599999999997</v>
      </c>
    </row>
    <row r="424" spans="4:40" hidden="1">
      <c r="D424" s="1"/>
      <c r="K424" s="1"/>
      <c r="Q424" s="1"/>
      <c r="AD424" s="1"/>
      <c r="AG424" s="1"/>
      <c r="AI424" s="1">
        <v>45365</v>
      </c>
      <c r="AJ424">
        <v>4908.9250000000002</v>
      </c>
      <c r="AK424">
        <v>55.332000000000001</v>
      </c>
      <c r="AL424">
        <v>3990.2060000000001</v>
      </c>
      <c r="AM424">
        <v>1180.2239999999999</v>
      </c>
      <c r="AN424">
        <v>967.65899999999999</v>
      </c>
    </row>
    <row r="425" spans="4:40" hidden="1">
      <c r="D425" s="1"/>
      <c r="K425" s="1"/>
      <c r="Q425" s="1"/>
      <c r="AD425" s="1"/>
      <c r="AG425" s="1"/>
      <c r="AI425" s="1">
        <v>45364</v>
      </c>
      <c r="AJ425">
        <v>4925.4009999999998</v>
      </c>
      <c r="AK425">
        <v>55.579000000000001</v>
      </c>
      <c r="AL425">
        <v>3986.567</v>
      </c>
      <c r="AM425">
        <v>1189.3209999999999</v>
      </c>
      <c r="AN425">
        <v>955.79200000000003</v>
      </c>
    </row>
    <row r="426" spans="4:40" hidden="1">
      <c r="D426" s="1"/>
      <c r="K426" s="1"/>
      <c r="Q426" s="1"/>
      <c r="AD426" s="1"/>
      <c r="AG426" s="1"/>
      <c r="AI426" s="1">
        <v>45363</v>
      </c>
      <c r="AJ426">
        <v>4934.2039999999997</v>
      </c>
      <c r="AK426">
        <v>55.604999999999997</v>
      </c>
      <c r="AL426">
        <v>3999.6909999999998</v>
      </c>
      <c r="AM426">
        <v>1183.8309999999999</v>
      </c>
      <c r="AN426">
        <v>980.90800000000002</v>
      </c>
    </row>
    <row r="427" spans="4:40" hidden="1">
      <c r="D427" s="1"/>
      <c r="K427" s="1"/>
      <c r="Q427" s="1"/>
      <c r="AD427" s="1"/>
      <c r="AG427" s="1"/>
      <c r="AI427" s="1">
        <v>45362</v>
      </c>
      <c r="AJ427">
        <v>4879.6790000000001</v>
      </c>
      <c r="AK427">
        <v>54.052</v>
      </c>
      <c r="AL427">
        <v>4043.0369999999998</v>
      </c>
      <c r="AM427">
        <v>1173.72</v>
      </c>
      <c r="AN427">
        <v>984.95100000000002</v>
      </c>
    </row>
    <row r="428" spans="4:40" hidden="1">
      <c r="D428" s="1"/>
      <c r="K428" s="1"/>
      <c r="Q428" s="1"/>
      <c r="AD428" s="1"/>
      <c r="AG428" s="1"/>
      <c r="AI428" s="1">
        <v>45361</v>
      </c>
      <c r="AJ428">
        <v>4886.0360000000001</v>
      </c>
      <c r="AK428">
        <v>53.072000000000003</v>
      </c>
      <c r="AL428">
        <v>4132.991</v>
      </c>
      <c r="AM428">
        <v>1179.2280000000001</v>
      </c>
      <c r="AN428">
        <v>988.66</v>
      </c>
    </row>
    <row r="429" spans="4:40" hidden="1">
      <c r="D429" s="1"/>
      <c r="K429" s="1"/>
      <c r="Q429" s="1"/>
      <c r="AD429" s="1"/>
      <c r="AG429" s="1"/>
      <c r="AI429" s="1">
        <v>45360</v>
      </c>
      <c r="AJ429">
        <v>4886.0360000000001</v>
      </c>
      <c r="AK429">
        <v>53.072000000000003</v>
      </c>
      <c r="AL429">
        <v>4132.991</v>
      </c>
      <c r="AM429">
        <v>1179.2280000000001</v>
      </c>
      <c r="AN429">
        <v>988.66</v>
      </c>
    </row>
    <row r="430" spans="4:40" hidden="1">
      <c r="D430" s="1"/>
      <c r="K430" s="1"/>
      <c r="Q430" s="1"/>
      <c r="AD430" s="1"/>
      <c r="AG430" s="1"/>
      <c r="AI430" s="1">
        <v>45359</v>
      </c>
      <c r="AJ430">
        <v>4886.0360000000001</v>
      </c>
      <c r="AK430">
        <v>53.072000000000003</v>
      </c>
      <c r="AL430">
        <v>4132.991</v>
      </c>
      <c r="AM430">
        <v>1179.2280000000001</v>
      </c>
      <c r="AN430">
        <v>988.66</v>
      </c>
    </row>
    <row r="431" spans="4:40" hidden="1">
      <c r="D431" s="1"/>
      <c r="K431" s="1"/>
      <c r="Q431" s="1"/>
      <c r="AD431" s="1"/>
      <c r="AG431" s="1"/>
      <c r="AI431" s="1">
        <v>45358</v>
      </c>
      <c r="AJ431">
        <v>4919.0069999999996</v>
      </c>
      <c r="AK431">
        <v>52.853000000000002</v>
      </c>
      <c r="AL431">
        <v>4091.0940000000001</v>
      </c>
      <c r="AM431">
        <v>1176.4000000000001</v>
      </c>
      <c r="AN431">
        <v>988.66</v>
      </c>
    </row>
    <row r="432" spans="4:40" hidden="1">
      <c r="D432" s="1"/>
      <c r="K432" s="1"/>
      <c r="Q432" s="1"/>
      <c r="AD432" s="1"/>
      <c r="AG432" s="1"/>
      <c r="AI432" s="1">
        <v>45357</v>
      </c>
      <c r="AJ432">
        <v>4868.1440000000002</v>
      </c>
      <c r="AK432">
        <v>53.372999999999998</v>
      </c>
      <c r="AL432">
        <v>4082.473</v>
      </c>
      <c r="AM432">
        <v>1170.5899999999999</v>
      </c>
      <c r="AN432">
        <v>986.30200000000002</v>
      </c>
    </row>
    <row r="433" spans="4:40" hidden="1">
      <c r="D433" s="1"/>
      <c r="K433" s="1"/>
      <c r="Q433" s="1"/>
      <c r="AD433" s="1"/>
      <c r="AG433" s="1"/>
      <c r="AI433" s="1">
        <v>45356</v>
      </c>
      <c r="AJ433">
        <v>4841.4219999999996</v>
      </c>
      <c r="AK433">
        <v>52.658999999999999</v>
      </c>
      <c r="AL433">
        <v>4057.0839999999998</v>
      </c>
      <c r="AM433">
        <v>1164.971</v>
      </c>
      <c r="AN433">
        <v>982.81399999999996</v>
      </c>
    </row>
    <row r="434" spans="4:40" hidden="1">
      <c r="D434" s="1"/>
      <c r="K434" s="1"/>
      <c r="Q434" s="1"/>
      <c r="AD434" s="1"/>
      <c r="AG434" s="1"/>
      <c r="AI434" s="1">
        <v>45355</v>
      </c>
      <c r="AJ434">
        <v>4893.491</v>
      </c>
      <c r="AK434">
        <v>53.8</v>
      </c>
      <c r="AL434">
        <v>4021.7240000000002</v>
      </c>
      <c r="AM434">
        <v>1161.5260000000001</v>
      </c>
      <c r="AN434">
        <v>985.64</v>
      </c>
    </row>
    <row r="435" spans="4:40" hidden="1">
      <c r="D435" s="1"/>
      <c r="K435" s="1"/>
      <c r="Q435" s="1"/>
      <c r="AD435" s="1"/>
      <c r="AG435" s="1"/>
      <c r="AI435" s="1">
        <v>45354</v>
      </c>
      <c r="AJ435">
        <v>4898.4769999999999</v>
      </c>
      <c r="AK435">
        <v>54.05</v>
      </c>
      <c r="AL435">
        <v>4029.7370000000001</v>
      </c>
      <c r="AM435">
        <v>1163.373</v>
      </c>
      <c r="AN435">
        <v>981.1</v>
      </c>
    </row>
    <row r="436" spans="4:40" hidden="1">
      <c r="D436" s="1"/>
      <c r="K436" s="1"/>
      <c r="Q436" s="1"/>
      <c r="AD436" s="1"/>
      <c r="AG436" s="1"/>
      <c r="AI436" s="1">
        <v>45353</v>
      </c>
      <c r="AJ436">
        <v>4898.4769999999999</v>
      </c>
      <c r="AK436">
        <v>54.05</v>
      </c>
      <c r="AL436">
        <v>4029.7370000000001</v>
      </c>
      <c r="AM436">
        <v>1163.373</v>
      </c>
      <c r="AN436">
        <v>981.1</v>
      </c>
    </row>
    <row r="437" spans="4:40" hidden="1">
      <c r="D437" s="1"/>
      <c r="K437" s="1"/>
      <c r="Q437" s="1"/>
      <c r="AD437" s="1"/>
      <c r="AG437" s="1"/>
      <c r="AI437" s="1">
        <v>45352</v>
      </c>
      <c r="AJ437">
        <v>4898.4769999999999</v>
      </c>
      <c r="AK437">
        <v>54.05</v>
      </c>
      <c r="AL437">
        <v>4029.7370000000001</v>
      </c>
      <c r="AM437">
        <v>1163.373</v>
      </c>
      <c r="AN437">
        <v>981.1</v>
      </c>
    </row>
    <row r="438" spans="4:40" hidden="1">
      <c r="D438" s="1"/>
      <c r="K438" s="1"/>
      <c r="Q438" s="1"/>
      <c r="AD438" s="1"/>
      <c r="AG438" s="1"/>
      <c r="AI438" s="1">
        <v>45351</v>
      </c>
      <c r="AJ438">
        <v>4859.2299999999996</v>
      </c>
      <c r="AK438">
        <v>53.734000000000002</v>
      </c>
      <c r="AL438">
        <v>3983.7190000000001</v>
      </c>
      <c r="AM438">
        <v>1155.174</v>
      </c>
      <c r="AN438">
        <v>968.39300000000003</v>
      </c>
    </row>
    <row r="439" spans="4:40" hidden="1">
      <c r="D439" s="1"/>
      <c r="K439" s="1"/>
      <c r="Q439" s="1"/>
      <c r="AD439" s="1"/>
      <c r="AG439" s="1"/>
      <c r="AI439" s="1">
        <v>45350</v>
      </c>
      <c r="AJ439">
        <v>4833.7290000000003</v>
      </c>
      <c r="AK439">
        <v>53.567</v>
      </c>
      <c r="AL439">
        <v>3951.27</v>
      </c>
      <c r="AM439">
        <v>1153.3820000000001</v>
      </c>
      <c r="AN439">
        <v>964.19100000000003</v>
      </c>
    </row>
    <row r="440" spans="4:40" hidden="1">
      <c r="D440" s="1"/>
      <c r="K440" s="1"/>
      <c r="Q440" s="1"/>
      <c r="AD440" s="1"/>
      <c r="AG440" s="1"/>
      <c r="AI440" s="1">
        <v>45349</v>
      </c>
      <c r="AJ440">
        <v>4842.2380000000003</v>
      </c>
      <c r="AK440">
        <v>54.57</v>
      </c>
      <c r="AL440">
        <v>3970.1219999999998</v>
      </c>
      <c r="AM440">
        <v>1165.0350000000001</v>
      </c>
      <c r="AN440">
        <v>977.01800000000003</v>
      </c>
    </row>
    <row r="441" spans="4:40" hidden="1">
      <c r="D441" s="1"/>
      <c r="K441" s="1"/>
      <c r="Q441" s="1"/>
      <c r="AD441" s="1"/>
      <c r="AG441" s="1"/>
      <c r="AI441" s="1">
        <v>45348</v>
      </c>
      <c r="AJ441">
        <v>4833.3609999999999</v>
      </c>
      <c r="AK441">
        <v>54.01</v>
      </c>
      <c r="AL441">
        <v>3955.462</v>
      </c>
      <c r="AM441">
        <v>1165.5029999999999</v>
      </c>
      <c r="AN441">
        <v>974.53499999999997</v>
      </c>
    </row>
    <row r="442" spans="4:40" hidden="1">
      <c r="D442" s="1"/>
      <c r="K442" s="1"/>
      <c r="Q442" s="1"/>
      <c r="AD442" s="1"/>
      <c r="AG442" s="1"/>
      <c r="AI442" s="1">
        <v>45347</v>
      </c>
      <c r="AJ442">
        <v>4849.5420000000004</v>
      </c>
      <c r="AK442">
        <v>54.427999999999997</v>
      </c>
      <c r="AL442">
        <v>3938.8870000000002</v>
      </c>
      <c r="AM442">
        <v>1168.125</v>
      </c>
      <c r="AN442">
        <v>977.99</v>
      </c>
    </row>
    <row r="443" spans="4:40" hidden="1">
      <c r="D443" s="1"/>
      <c r="K443" s="1"/>
      <c r="Q443" s="1"/>
      <c r="AD443" s="1"/>
      <c r="AG443" s="1"/>
      <c r="AI443" s="1">
        <v>45346</v>
      </c>
      <c r="AJ443">
        <v>4849.5420000000004</v>
      </c>
      <c r="AK443">
        <v>54.427999999999997</v>
      </c>
      <c r="AL443">
        <v>3938.8870000000002</v>
      </c>
      <c r="AM443">
        <v>1168.125</v>
      </c>
      <c r="AN443">
        <v>977.99</v>
      </c>
    </row>
    <row r="444" spans="4:40" hidden="1">
      <c r="D444" s="1"/>
      <c r="K444" s="1"/>
      <c r="Q444" s="1"/>
      <c r="AD444" s="1"/>
      <c r="AG444" s="1"/>
      <c r="AI444" s="1">
        <v>45345</v>
      </c>
      <c r="AJ444">
        <v>4849.5420000000004</v>
      </c>
      <c r="AK444">
        <v>54.427999999999997</v>
      </c>
      <c r="AL444">
        <v>3938.8870000000002</v>
      </c>
      <c r="AM444">
        <v>1168.125</v>
      </c>
      <c r="AN444">
        <v>977.99</v>
      </c>
    </row>
    <row r="445" spans="4:40" hidden="1">
      <c r="D445" s="1"/>
      <c r="K445" s="1"/>
      <c r="Q445" s="1"/>
      <c r="AD445" s="1"/>
      <c r="AG445" s="1"/>
      <c r="AI445" s="1">
        <v>45344</v>
      </c>
      <c r="AJ445">
        <v>4849.0219999999999</v>
      </c>
      <c r="AK445">
        <v>54.396000000000001</v>
      </c>
      <c r="AL445">
        <v>3939.672</v>
      </c>
      <c r="AM445">
        <v>1159.2819999999999</v>
      </c>
      <c r="AN445">
        <v>976.85299999999995</v>
      </c>
    </row>
    <row r="446" spans="4:40" hidden="1">
      <c r="D446" s="1"/>
      <c r="K446" s="1"/>
      <c r="Q446" s="1"/>
      <c r="AD446" s="1"/>
      <c r="AG446" s="1"/>
      <c r="AI446" s="1">
        <v>45343</v>
      </c>
      <c r="AJ446">
        <v>4747.7250000000004</v>
      </c>
      <c r="AK446">
        <v>53.542999999999999</v>
      </c>
      <c r="AL446">
        <v>3891.1210000000001</v>
      </c>
      <c r="AM446">
        <v>1156.3219999999999</v>
      </c>
      <c r="AN446">
        <v>966.14</v>
      </c>
    </row>
    <row r="447" spans="4:40" hidden="1">
      <c r="D447" s="1"/>
      <c r="K447" s="1"/>
      <c r="Q447" s="1"/>
      <c r="AD447" s="1"/>
      <c r="AG447" s="1"/>
      <c r="AI447" s="1">
        <v>45342</v>
      </c>
      <c r="AJ447">
        <v>4744.277</v>
      </c>
      <c r="AK447">
        <v>52.673000000000002</v>
      </c>
      <c r="AL447">
        <v>3911.9279999999999</v>
      </c>
      <c r="AM447">
        <v>1169.0139999999999</v>
      </c>
      <c r="AN447">
        <v>972.56100000000004</v>
      </c>
    </row>
    <row r="448" spans="4:40" hidden="1">
      <c r="D448" s="1"/>
      <c r="K448" s="1"/>
      <c r="Q448" s="1"/>
      <c r="AD448" s="1"/>
      <c r="AG448" s="1"/>
      <c r="AI448" s="1">
        <v>45341</v>
      </c>
      <c r="AJ448">
        <v>4775.0990000000002</v>
      </c>
      <c r="AK448">
        <v>52.472999999999999</v>
      </c>
      <c r="AL448">
        <v>3912.4430000000002</v>
      </c>
      <c r="AM448">
        <v>1163.3230000000001</v>
      </c>
      <c r="AN448">
        <v>969.90099999999995</v>
      </c>
    </row>
    <row r="449" spans="4:40" hidden="1">
      <c r="D449" s="1"/>
      <c r="K449" s="1"/>
      <c r="Q449" s="1"/>
      <c r="AD449" s="1"/>
      <c r="AG449" s="1"/>
      <c r="AI449" s="1">
        <v>45340</v>
      </c>
      <c r="AJ449">
        <v>4775.0990000000002</v>
      </c>
      <c r="AK449">
        <v>52.973999999999997</v>
      </c>
      <c r="AL449">
        <v>3893.759</v>
      </c>
      <c r="AM449">
        <v>1160.2170000000001</v>
      </c>
      <c r="AN449">
        <v>967.02800000000002</v>
      </c>
    </row>
    <row r="450" spans="4:40" hidden="1">
      <c r="D450" s="1"/>
      <c r="K450" s="1"/>
      <c r="Q450" s="1"/>
      <c r="AD450" s="1"/>
      <c r="AG450" s="1"/>
      <c r="AI450" s="1">
        <v>45339</v>
      </c>
      <c r="AJ450">
        <v>4775.0990000000002</v>
      </c>
      <c r="AK450">
        <v>52.973999999999997</v>
      </c>
      <c r="AL450">
        <v>3893.759</v>
      </c>
      <c r="AM450">
        <v>1160.2170000000001</v>
      </c>
      <c r="AN450">
        <v>967.02800000000002</v>
      </c>
    </row>
    <row r="451" spans="4:40" hidden="1">
      <c r="D451" s="1"/>
      <c r="K451" s="1"/>
      <c r="Q451" s="1"/>
      <c r="AD451" s="1"/>
      <c r="AG451" s="1"/>
      <c r="AI451" s="1">
        <v>45338</v>
      </c>
      <c r="AJ451">
        <v>4775.0990000000002</v>
      </c>
      <c r="AK451">
        <v>52.973999999999997</v>
      </c>
      <c r="AL451">
        <v>3893.759</v>
      </c>
      <c r="AM451">
        <v>1160.2170000000001</v>
      </c>
      <c r="AN451">
        <v>967.02800000000002</v>
      </c>
    </row>
    <row r="452" spans="4:40" hidden="1">
      <c r="D452" s="1"/>
      <c r="K452" s="1"/>
      <c r="Q452" s="1"/>
      <c r="AD452" s="1"/>
      <c r="AG452" s="1"/>
      <c r="AI452" s="1">
        <v>45337</v>
      </c>
      <c r="AJ452">
        <v>4799.8540000000003</v>
      </c>
      <c r="AK452">
        <v>51.832000000000001</v>
      </c>
      <c r="AL452">
        <v>3851.7840000000001</v>
      </c>
      <c r="AM452">
        <v>1142.961</v>
      </c>
      <c r="AN452">
        <v>960.55899999999997</v>
      </c>
    </row>
    <row r="453" spans="4:40" hidden="1">
      <c r="D453" s="1"/>
      <c r="K453" s="1"/>
      <c r="Q453" s="1"/>
      <c r="AD453" s="1"/>
      <c r="AG453" s="1"/>
      <c r="AI453" s="1">
        <v>45336</v>
      </c>
      <c r="AJ453">
        <v>4771.835</v>
      </c>
      <c r="AK453">
        <v>51.664999999999999</v>
      </c>
      <c r="AL453">
        <v>3821.817</v>
      </c>
      <c r="AM453">
        <v>1134.74</v>
      </c>
      <c r="AN453">
        <v>957.15599999999995</v>
      </c>
    </row>
    <row r="454" spans="4:40" hidden="1">
      <c r="D454" s="1"/>
      <c r="K454" s="1"/>
      <c r="Q454" s="1"/>
      <c r="AD454" s="1"/>
      <c r="AG454" s="1"/>
      <c r="AI454" s="1">
        <v>45335</v>
      </c>
      <c r="AJ454">
        <v>4723.732</v>
      </c>
      <c r="AK454">
        <v>51.073</v>
      </c>
      <c r="AL454">
        <v>3863.576</v>
      </c>
      <c r="AM454">
        <v>1130.663</v>
      </c>
      <c r="AN454">
        <v>951.36699999999996</v>
      </c>
    </row>
    <row r="455" spans="4:40" hidden="1">
      <c r="D455" s="1"/>
      <c r="K455" s="1"/>
      <c r="Q455" s="1"/>
      <c r="AD455" s="1"/>
      <c r="AG455" s="1"/>
      <c r="AI455" s="1">
        <v>45334</v>
      </c>
      <c r="AJ455">
        <v>4790.0860000000002</v>
      </c>
      <c r="AK455">
        <v>51.201999999999998</v>
      </c>
      <c r="AL455">
        <v>3804.15</v>
      </c>
      <c r="AM455">
        <v>1140.626</v>
      </c>
      <c r="AN455">
        <v>946.01300000000003</v>
      </c>
    </row>
    <row r="456" spans="4:40" hidden="1">
      <c r="D456" s="1"/>
      <c r="K456" s="1"/>
      <c r="Q456" s="1"/>
      <c r="AD456" s="1"/>
      <c r="AG456" s="1"/>
      <c r="AI456" s="1">
        <v>45333</v>
      </c>
      <c r="AJ456">
        <v>4794.4669999999996</v>
      </c>
      <c r="AK456">
        <v>51.061999999999998</v>
      </c>
      <c r="AL456">
        <v>3807.462</v>
      </c>
      <c r="AM456">
        <v>1142.925</v>
      </c>
      <c r="AN456">
        <v>954.60599999999999</v>
      </c>
    </row>
    <row r="457" spans="4:40" hidden="1">
      <c r="D457" s="1"/>
      <c r="K457" s="1"/>
      <c r="Q457" s="1"/>
      <c r="AD457" s="1"/>
      <c r="AG457" s="1"/>
      <c r="AI457" s="1">
        <v>45332</v>
      </c>
      <c r="AJ457">
        <v>4794.4669999999996</v>
      </c>
      <c r="AK457">
        <v>51.061999999999998</v>
      </c>
      <c r="AL457">
        <v>3807.462</v>
      </c>
      <c r="AM457">
        <v>1142.925</v>
      </c>
      <c r="AN457">
        <v>954.60599999999999</v>
      </c>
    </row>
    <row r="458" spans="4:40" hidden="1">
      <c r="D458" s="1"/>
      <c r="K458" s="1"/>
      <c r="Q458" s="1"/>
      <c r="AD458" s="1"/>
      <c r="AG458" s="1"/>
      <c r="AI458" s="1">
        <v>45331</v>
      </c>
      <c r="AJ458">
        <v>4794.4669999999996</v>
      </c>
      <c r="AK458">
        <v>51.061999999999998</v>
      </c>
      <c r="AL458">
        <v>3807.462</v>
      </c>
      <c r="AM458">
        <v>1142.925</v>
      </c>
      <c r="AN458">
        <v>954.60599999999999</v>
      </c>
    </row>
    <row r="459" spans="4:40" hidden="1">
      <c r="D459" s="1"/>
      <c r="K459" s="1"/>
      <c r="Q459" s="1"/>
      <c r="AD459" s="1"/>
      <c r="AG459" s="1"/>
      <c r="AI459" s="1">
        <v>45330</v>
      </c>
      <c r="AJ459">
        <v>4766.0659999999998</v>
      </c>
      <c r="AK459">
        <v>51.399000000000001</v>
      </c>
      <c r="AL459">
        <v>3810.1669999999999</v>
      </c>
      <c r="AM459">
        <v>1144.019</v>
      </c>
      <c r="AN459">
        <v>955.10699999999997</v>
      </c>
    </row>
    <row r="460" spans="4:40" hidden="1">
      <c r="D460" s="1"/>
      <c r="K460" s="1"/>
      <c r="Q460" s="1"/>
      <c r="AD460" s="1"/>
      <c r="AG460" s="1"/>
      <c r="AI460" s="1">
        <v>45329</v>
      </c>
      <c r="AJ460">
        <v>4761.2969999999996</v>
      </c>
      <c r="AK460">
        <v>51.917000000000002</v>
      </c>
      <c r="AL460">
        <v>3816.442</v>
      </c>
      <c r="AM460">
        <v>1151.9949999999999</v>
      </c>
      <c r="AN460">
        <v>960.36300000000006</v>
      </c>
    </row>
    <row r="461" spans="4:40" hidden="1">
      <c r="D461" s="1"/>
      <c r="K461" s="1"/>
      <c r="Q461" s="1"/>
      <c r="AD461" s="1"/>
      <c r="AG461" s="1"/>
      <c r="AI461" s="1">
        <v>45328</v>
      </c>
      <c r="AJ461">
        <v>4722.2910000000002</v>
      </c>
      <c r="AK461">
        <v>51.954000000000001</v>
      </c>
      <c r="AL461">
        <v>3797.7719999999999</v>
      </c>
      <c r="AM461">
        <v>1154.8389999999999</v>
      </c>
      <c r="AN461">
        <v>955.88099999999997</v>
      </c>
    </row>
    <row r="462" spans="4:40" hidden="1">
      <c r="D462" s="1"/>
      <c r="K462" s="1"/>
      <c r="Q462" s="1"/>
      <c r="AD462" s="1"/>
      <c r="AG462" s="1"/>
      <c r="AI462" s="1">
        <v>45327</v>
      </c>
      <c r="AJ462">
        <v>4710.0720000000001</v>
      </c>
      <c r="AK462">
        <v>49.539000000000001</v>
      </c>
      <c r="AL462">
        <v>3803.2710000000002</v>
      </c>
      <c r="AM462">
        <v>1139.5139999999999</v>
      </c>
      <c r="AN462">
        <v>947.55</v>
      </c>
    </row>
    <row r="463" spans="4:40" hidden="1">
      <c r="D463" s="1"/>
      <c r="K463" s="1"/>
      <c r="Q463" s="1"/>
      <c r="AD463" s="1"/>
      <c r="AG463" s="1"/>
      <c r="AI463" s="1">
        <v>45326</v>
      </c>
      <c r="AJ463">
        <v>4726.2860000000001</v>
      </c>
      <c r="AK463">
        <v>49.640999999999998</v>
      </c>
      <c r="AL463">
        <v>3791.9160000000002</v>
      </c>
      <c r="AM463">
        <v>1152.01</v>
      </c>
      <c r="AN463">
        <v>951.327</v>
      </c>
    </row>
    <row r="464" spans="4:40" hidden="1">
      <c r="D464" s="1"/>
      <c r="K464" s="1"/>
      <c r="Q464" s="1"/>
      <c r="AD464" s="1"/>
      <c r="AG464" s="1"/>
      <c r="AI464" s="1">
        <v>45325</v>
      </c>
      <c r="AJ464">
        <v>4726.2860000000001</v>
      </c>
      <c r="AK464">
        <v>49.640999999999998</v>
      </c>
      <c r="AL464">
        <v>3791.9160000000002</v>
      </c>
      <c r="AM464">
        <v>1152.01</v>
      </c>
      <c r="AN464">
        <v>951.327</v>
      </c>
    </row>
    <row r="465" spans="4:40" hidden="1">
      <c r="D465" s="1"/>
      <c r="K465" s="1"/>
      <c r="Q465" s="1"/>
      <c r="AD465" s="1"/>
      <c r="AG465" s="1"/>
      <c r="AI465" s="1">
        <v>45324</v>
      </c>
      <c r="AJ465">
        <v>4726.2860000000001</v>
      </c>
      <c r="AK465">
        <v>49.640999999999998</v>
      </c>
      <c r="AL465">
        <v>3791.9160000000002</v>
      </c>
      <c r="AM465">
        <v>1152.01</v>
      </c>
      <c r="AN465">
        <v>951.327</v>
      </c>
    </row>
    <row r="466" spans="4:40" hidden="1">
      <c r="D466" s="1"/>
      <c r="K466" s="1"/>
      <c r="Q466" s="1"/>
      <c r="AD466" s="1"/>
      <c r="AG466" s="1"/>
      <c r="AI466" s="1">
        <v>45323</v>
      </c>
      <c r="AJ466">
        <v>4676.8469999999998</v>
      </c>
      <c r="AK466">
        <v>49.912999999999997</v>
      </c>
      <c r="AL466">
        <v>3837.134</v>
      </c>
      <c r="AM466">
        <v>1154.759</v>
      </c>
      <c r="AN466">
        <v>943.303</v>
      </c>
    </row>
    <row r="467" spans="4:40" hidden="1">
      <c r="D467" s="1"/>
      <c r="K467" s="1"/>
      <c r="Q467" s="1"/>
      <c r="AD467" s="1"/>
      <c r="AG467" s="1"/>
      <c r="AI467" s="1"/>
    </row>
    <row r="468" spans="4:40" hidden="1">
      <c r="D468" s="1"/>
      <c r="K468" s="1"/>
      <c r="Q468" s="1"/>
      <c r="AD468" s="1"/>
      <c r="AG468" s="1"/>
      <c r="AI468" s="1"/>
    </row>
    <row r="469" spans="4:40" hidden="1">
      <c r="D469" s="1"/>
      <c r="K469" s="1"/>
      <c r="Q469" s="1"/>
      <c r="AD469" s="1"/>
      <c r="AG469" s="1"/>
      <c r="AI469" s="1"/>
    </row>
    <row r="470" spans="4:40" hidden="1">
      <c r="D470" s="1"/>
      <c r="K470" s="1"/>
      <c r="Q470" s="1"/>
      <c r="AD470" s="1"/>
      <c r="AG470" s="1"/>
      <c r="AI470" s="1"/>
    </row>
    <row r="471" spans="4:40" hidden="1">
      <c r="D471" s="1"/>
      <c r="K471" s="1"/>
      <c r="Q471" s="1"/>
      <c r="AD471" s="1"/>
      <c r="AG471" s="1"/>
      <c r="AI471" s="1"/>
    </row>
    <row r="472" spans="4:40" hidden="1">
      <c r="D472" s="1"/>
      <c r="K472" s="1"/>
      <c r="Q472" s="1"/>
      <c r="AD472" s="1"/>
      <c r="AG472" s="1"/>
      <c r="AI472" s="1"/>
    </row>
    <row r="473" spans="4:40" hidden="1">
      <c r="D473" s="1"/>
      <c r="K473" s="1"/>
      <c r="Q473" s="1"/>
      <c r="AD473" s="1"/>
      <c r="AG473" s="1"/>
      <c r="AI473" s="1"/>
    </row>
    <row r="474" spans="4:40" hidden="1">
      <c r="D474" s="1"/>
      <c r="K474" s="1"/>
      <c r="Q474" s="1"/>
      <c r="AD474" s="1"/>
      <c r="AG474" s="1"/>
      <c r="AI474" s="1"/>
    </row>
    <row r="475" spans="4:40" hidden="1">
      <c r="D475" s="1"/>
      <c r="K475" s="1"/>
      <c r="Q475" s="1"/>
      <c r="AD475" s="1"/>
      <c r="AG475" s="1"/>
      <c r="AI475" s="1"/>
    </row>
    <row r="476" spans="4:40" hidden="1">
      <c r="D476" s="1"/>
      <c r="K476" s="1"/>
      <c r="Q476" s="1"/>
      <c r="AD476" s="1"/>
      <c r="AG476" s="1"/>
      <c r="AI476" s="1"/>
    </row>
    <row r="477" spans="4:40" hidden="1">
      <c r="D477" s="1"/>
      <c r="K477" s="1"/>
      <c r="Q477" s="1"/>
      <c r="AD477" s="1"/>
      <c r="AG477" s="1"/>
      <c r="AI477" s="1"/>
    </row>
    <row r="478" spans="4:40" hidden="1">
      <c r="D478" s="1"/>
      <c r="K478" s="1"/>
      <c r="Q478" s="1"/>
      <c r="AD478" s="1"/>
      <c r="AG478" s="1"/>
      <c r="AI478" s="1"/>
    </row>
    <row r="479" spans="4:40" hidden="1">
      <c r="D479" s="1"/>
      <c r="K479" s="1"/>
      <c r="Q479" s="1"/>
      <c r="AD479" s="1"/>
      <c r="AG479" s="1"/>
      <c r="AI479" s="1"/>
    </row>
    <row r="480" spans="4:40" hidden="1">
      <c r="D480" s="1"/>
      <c r="K480" s="1"/>
      <c r="Q480" s="1"/>
      <c r="AD480" s="1"/>
      <c r="AG480" s="1"/>
      <c r="AI480" s="1"/>
    </row>
    <row r="481" spans="4:35" hidden="1">
      <c r="D481" s="1"/>
      <c r="K481" s="1"/>
      <c r="Q481" s="1"/>
      <c r="AD481" s="1"/>
      <c r="AG481" s="1"/>
      <c r="AI481" s="1"/>
    </row>
    <row r="482" spans="4:35" hidden="1">
      <c r="D482" s="1"/>
      <c r="K482" s="1"/>
      <c r="Q482" s="1"/>
      <c r="AD482" s="1"/>
      <c r="AG482" s="1"/>
      <c r="AI482" s="1"/>
    </row>
    <row r="483" spans="4:35" hidden="1">
      <c r="D483" s="1"/>
      <c r="K483" s="1"/>
      <c r="Q483" s="1"/>
      <c r="AD483" s="1"/>
      <c r="AG483" s="1"/>
      <c r="AI483" s="1"/>
    </row>
    <row r="484" spans="4:35" hidden="1">
      <c r="D484" s="1"/>
      <c r="K484" s="1"/>
      <c r="Q484" s="1"/>
      <c r="AD484" s="1"/>
      <c r="AG484" s="1"/>
      <c r="AI484" s="1"/>
    </row>
    <row r="485" spans="4:35" hidden="1">
      <c r="D485" s="1"/>
      <c r="K485" s="1"/>
      <c r="Q485" s="1"/>
      <c r="AD485" s="1"/>
      <c r="AG485" s="1"/>
      <c r="AI485" s="1"/>
    </row>
    <row r="486" spans="4:35" hidden="1">
      <c r="D486" s="1"/>
      <c r="K486" s="1"/>
      <c r="Q486" s="1"/>
      <c r="AD486" s="1"/>
      <c r="AG486" s="1"/>
      <c r="AI486" s="1"/>
    </row>
    <row r="487" spans="4:35" hidden="1">
      <c r="D487" s="1"/>
      <c r="K487" s="1"/>
      <c r="Q487" s="1"/>
      <c r="AD487" s="1"/>
      <c r="AG487" s="1"/>
      <c r="AI487" s="1"/>
    </row>
    <row r="488" spans="4:35" hidden="1">
      <c r="D488" s="1"/>
      <c r="K488" s="1"/>
      <c r="Q488" s="1"/>
      <c r="AD488" s="1"/>
      <c r="AG488" s="1"/>
      <c r="AI488" s="1"/>
    </row>
    <row r="489" spans="4:35" hidden="1">
      <c r="D489" s="1"/>
      <c r="K489" s="1"/>
      <c r="Q489" s="1"/>
      <c r="AD489" s="1"/>
      <c r="AG489" s="1"/>
      <c r="AI489" s="1"/>
    </row>
    <row r="490" spans="4:35" hidden="1">
      <c r="D490" s="1"/>
      <c r="K490" s="1"/>
      <c r="Q490" s="1"/>
      <c r="AD490" s="1"/>
      <c r="AG490" s="1"/>
      <c r="AI490" s="1"/>
    </row>
    <row r="491" spans="4:35" hidden="1">
      <c r="D491" s="1"/>
      <c r="K491" s="1"/>
      <c r="Q491" s="1"/>
      <c r="AD491" s="1"/>
      <c r="AG491" s="1"/>
      <c r="AI491" s="1"/>
    </row>
    <row r="492" spans="4:35" hidden="1">
      <c r="D492" s="1"/>
      <c r="K492" s="1"/>
      <c r="Q492" s="1"/>
      <c r="AD492" s="1"/>
      <c r="AG492" s="1"/>
      <c r="AI492" s="1"/>
    </row>
    <row r="493" spans="4:35" hidden="1">
      <c r="D493" s="1"/>
      <c r="K493" s="1"/>
      <c r="Q493" s="1"/>
      <c r="AD493" s="1"/>
      <c r="AG493" s="1"/>
      <c r="AI493" s="1"/>
    </row>
    <row r="494" spans="4:35" hidden="1">
      <c r="D494" s="1"/>
      <c r="K494" s="1"/>
      <c r="Q494" s="1"/>
      <c r="AD494" s="1"/>
      <c r="AG494" s="1"/>
      <c r="AI494" s="1"/>
    </row>
    <row r="495" spans="4:35" hidden="1">
      <c r="D495" s="1"/>
      <c r="K495" s="1"/>
      <c r="Q495" s="1"/>
      <c r="AD495" s="1"/>
      <c r="AG495" s="1"/>
      <c r="AI495" s="1"/>
    </row>
    <row r="496" spans="4:35" hidden="1">
      <c r="D496" s="1"/>
      <c r="K496" s="1"/>
      <c r="Q496" s="1"/>
      <c r="AD496" s="1"/>
      <c r="AG496" s="1"/>
      <c r="AI496" s="1"/>
    </row>
    <row r="497" spans="4:35" hidden="1">
      <c r="D497" s="1"/>
      <c r="K497" s="1"/>
      <c r="Q497" s="1"/>
      <c r="AD497" s="1"/>
      <c r="AG497" s="1"/>
      <c r="AI497" s="1"/>
    </row>
    <row r="498" spans="4:35" hidden="1">
      <c r="D498" s="1"/>
      <c r="K498" s="1"/>
      <c r="Q498" s="1"/>
      <c r="AD498" s="1"/>
      <c r="AG498" s="1"/>
      <c r="AI498" s="1"/>
    </row>
    <row r="499" spans="4:35" hidden="1">
      <c r="D499" s="1"/>
      <c r="K499" s="1"/>
      <c r="Q499" s="1"/>
      <c r="AD499" s="1"/>
      <c r="AG499" s="1"/>
      <c r="AI499" s="1"/>
    </row>
    <row r="500" spans="4:35" hidden="1">
      <c r="D500" s="1"/>
      <c r="K500" s="1"/>
      <c r="Q500" s="1"/>
      <c r="AD500" s="1"/>
      <c r="AG500" s="1"/>
      <c r="AI500" s="1"/>
    </row>
    <row r="501" spans="4:35" hidden="1">
      <c r="D501" s="1"/>
      <c r="K501" s="1"/>
      <c r="Q501" s="1"/>
      <c r="AD501" s="1"/>
      <c r="AG501" s="1"/>
      <c r="AI501" s="1"/>
    </row>
    <row r="502" spans="4:35" hidden="1">
      <c r="D502" s="1"/>
      <c r="K502" s="1"/>
      <c r="Q502" s="1"/>
      <c r="AD502" s="1"/>
      <c r="AG502" s="1"/>
      <c r="AI502" s="1"/>
    </row>
    <row r="503" spans="4:35" hidden="1">
      <c r="D503" s="1"/>
      <c r="K503" s="1"/>
      <c r="Q503" s="1"/>
      <c r="AD503" s="1"/>
      <c r="AG503" s="1"/>
      <c r="AI503" s="1"/>
    </row>
    <row r="504" spans="4:35" hidden="1">
      <c r="D504" s="1"/>
      <c r="K504" s="1"/>
      <c r="Q504" s="1"/>
      <c r="AD504" s="1"/>
      <c r="AG504" s="1"/>
      <c r="AI504" s="1"/>
    </row>
    <row r="505" spans="4:35" hidden="1">
      <c r="D505" s="1"/>
      <c r="K505" s="1"/>
      <c r="Q505" s="1"/>
      <c r="AD505" s="1"/>
      <c r="AG505" s="1"/>
      <c r="AI505" s="1"/>
    </row>
    <row r="506" spans="4:35" hidden="1">
      <c r="D506" s="1"/>
      <c r="K506" s="1"/>
      <c r="Q506" s="1"/>
      <c r="AD506" s="1"/>
      <c r="AG506" s="1"/>
      <c r="AI506" s="1"/>
    </row>
    <row r="507" spans="4:35" hidden="1">
      <c r="D507" s="1"/>
      <c r="K507" s="1"/>
      <c r="Q507" s="1"/>
      <c r="AD507" s="1"/>
      <c r="AG507" s="1"/>
      <c r="AI507" s="1"/>
    </row>
    <row r="508" spans="4:35" hidden="1">
      <c r="D508" s="1"/>
      <c r="K508" s="1"/>
      <c r="Q508" s="1"/>
      <c r="AD508" s="1"/>
      <c r="AG508" s="1"/>
      <c r="AI508" s="1"/>
    </row>
    <row r="509" spans="4:35" hidden="1">
      <c r="D509" s="1"/>
      <c r="K509" s="1"/>
      <c r="Q509" s="1"/>
      <c r="AD509" s="1"/>
      <c r="AG509" s="1"/>
      <c r="AI509" s="1"/>
    </row>
    <row r="510" spans="4:35" hidden="1">
      <c r="D510" s="1"/>
      <c r="K510" s="1"/>
      <c r="Q510" s="1"/>
      <c r="AD510" s="1"/>
      <c r="AG510" s="1"/>
      <c r="AI510" s="1"/>
    </row>
    <row r="511" spans="4:35" hidden="1">
      <c r="D511" s="1"/>
      <c r="K511" s="1"/>
      <c r="Q511" s="1"/>
      <c r="AD511" s="1"/>
      <c r="AG511" s="1"/>
      <c r="AI511" s="1"/>
    </row>
    <row r="512" spans="4:35" hidden="1">
      <c r="D512" s="1"/>
      <c r="K512" s="1"/>
      <c r="Q512" s="1"/>
      <c r="AD512" s="1"/>
      <c r="AG512" s="1"/>
      <c r="AI512" s="1"/>
    </row>
    <row r="513" spans="4:35" hidden="1">
      <c r="D513" s="1"/>
      <c r="K513" s="1"/>
      <c r="Q513" s="1"/>
      <c r="AD513" s="1"/>
      <c r="AG513" s="1"/>
      <c r="AI513" s="1"/>
    </row>
    <row r="514" spans="4:35" hidden="1">
      <c r="D514" s="1"/>
      <c r="K514" s="1"/>
      <c r="Q514" s="1"/>
      <c r="AD514" s="1"/>
      <c r="AG514" s="1"/>
      <c r="AI514" s="1"/>
    </row>
    <row r="515" spans="4:35" hidden="1">
      <c r="D515" s="1"/>
      <c r="K515" s="1"/>
      <c r="Q515" s="1"/>
      <c r="AD515" s="1"/>
      <c r="AG515" s="1"/>
      <c r="AI515" s="1"/>
    </row>
    <row r="516" spans="4:35" hidden="1">
      <c r="D516" s="1"/>
      <c r="K516" s="1"/>
      <c r="Q516" s="1"/>
      <c r="AD516" s="1"/>
      <c r="AG516" s="1"/>
      <c r="AI516" s="1"/>
    </row>
    <row r="517" spans="4:35" hidden="1">
      <c r="D517" s="1"/>
      <c r="K517" s="1"/>
      <c r="Q517" s="1"/>
      <c r="AD517" s="1"/>
      <c r="AG517" s="1"/>
      <c r="AI517" s="1"/>
    </row>
    <row r="518" spans="4:35" hidden="1">
      <c r="D518" s="1"/>
      <c r="K518" s="1"/>
      <c r="Q518" s="1"/>
      <c r="AD518" s="1"/>
      <c r="AG518" s="1"/>
      <c r="AI518" s="1"/>
    </row>
    <row r="519" spans="4:35" hidden="1">
      <c r="D519" s="1"/>
      <c r="K519" s="1"/>
      <c r="Q519" s="1"/>
      <c r="AD519" s="1"/>
      <c r="AG519" s="1"/>
      <c r="AI519" s="1"/>
    </row>
    <row r="520" spans="4:35" hidden="1">
      <c r="D520" s="1"/>
      <c r="K520" s="1"/>
      <c r="Q520" s="1"/>
      <c r="AD520" s="1"/>
      <c r="AG520" s="1"/>
      <c r="AI520" s="1"/>
    </row>
    <row r="521" spans="4:35" hidden="1">
      <c r="D521" s="1"/>
      <c r="K521" s="1"/>
      <c r="Q521" s="1"/>
      <c r="AD521" s="1"/>
      <c r="AG521" s="1"/>
      <c r="AI521" s="1"/>
    </row>
    <row r="522" spans="4:35" hidden="1">
      <c r="D522" s="1"/>
      <c r="K522" s="1"/>
      <c r="Q522" s="1"/>
      <c r="AD522" s="1"/>
      <c r="AG522" s="1"/>
      <c r="AI522" s="1"/>
    </row>
    <row r="523" spans="4:35" hidden="1">
      <c r="D523" s="1"/>
      <c r="K523" s="1"/>
      <c r="Q523" s="1"/>
      <c r="AD523" s="1"/>
      <c r="AG523" s="1"/>
      <c r="AI523" s="1"/>
    </row>
    <row r="524" spans="4:35" hidden="1">
      <c r="D524" s="1"/>
      <c r="K524" s="1"/>
      <c r="Q524" s="1"/>
      <c r="AD524" s="1"/>
      <c r="AG524" s="1"/>
      <c r="AI524" s="1"/>
    </row>
    <row r="525" spans="4:35" hidden="1">
      <c r="D525" s="1"/>
      <c r="K525" s="1"/>
      <c r="Q525" s="1"/>
      <c r="AD525" s="1"/>
      <c r="AG525" s="1"/>
      <c r="AI525" s="1"/>
    </row>
    <row r="526" spans="4:35" hidden="1">
      <c r="D526" s="1"/>
      <c r="K526" s="1"/>
      <c r="Q526" s="1"/>
      <c r="AD526" s="1"/>
      <c r="AG526" s="1"/>
      <c r="AI526" s="1"/>
    </row>
    <row r="527" spans="4:35" hidden="1">
      <c r="D527" s="1"/>
      <c r="K527" s="1"/>
      <c r="Q527" s="1"/>
      <c r="AD527" s="1"/>
      <c r="AG527" s="1"/>
      <c r="AI527" s="1"/>
    </row>
    <row r="528" spans="4:35" hidden="1">
      <c r="D528" s="1"/>
      <c r="K528" s="1"/>
      <c r="Q528" s="1"/>
      <c r="AD528" s="1"/>
      <c r="AG528" s="1"/>
      <c r="AI528" s="1"/>
    </row>
    <row r="529" spans="4:35" hidden="1">
      <c r="D529" s="1"/>
      <c r="K529" s="1"/>
      <c r="Q529" s="1"/>
      <c r="AD529" s="1"/>
      <c r="AG529" s="1"/>
      <c r="AI529" s="1"/>
    </row>
    <row r="530" spans="4:35" hidden="1">
      <c r="D530" s="1"/>
      <c r="K530" s="1"/>
      <c r="Q530" s="1"/>
      <c r="AD530" s="1"/>
      <c r="AG530" s="1"/>
      <c r="AI530" s="1"/>
    </row>
    <row r="531" spans="4:35" hidden="1">
      <c r="D531" s="1"/>
      <c r="K531" s="1"/>
      <c r="Q531" s="1"/>
      <c r="AD531" s="1"/>
      <c r="AG531" s="1"/>
      <c r="AI531" s="1"/>
    </row>
    <row r="532" spans="4:35" hidden="1">
      <c r="D532" s="1"/>
      <c r="K532" s="1"/>
      <c r="Q532" s="1"/>
      <c r="AD532" s="1"/>
      <c r="AG532" s="1"/>
      <c r="AI532" s="1"/>
    </row>
    <row r="533" spans="4:35" hidden="1">
      <c r="D533" s="1"/>
      <c r="K533" s="1"/>
      <c r="Q533" s="1"/>
      <c r="AD533" s="1"/>
      <c r="AG533" s="1"/>
      <c r="AI533" s="1"/>
    </row>
    <row r="534" spans="4:35" hidden="1">
      <c r="D534" s="1"/>
      <c r="K534" s="1"/>
      <c r="Q534" s="1"/>
      <c r="AD534" s="1"/>
      <c r="AG534" s="1"/>
      <c r="AI534" s="1"/>
    </row>
    <row r="535" spans="4:35" hidden="1">
      <c r="D535" s="1"/>
      <c r="K535" s="1"/>
      <c r="Q535" s="1"/>
      <c r="AD535" s="1"/>
      <c r="AG535" s="1"/>
      <c r="AI535" s="1"/>
    </row>
    <row r="536" spans="4:35" hidden="1">
      <c r="D536" s="1"/>
      <c r="K536" s="1"/>
      <c r="Q536" s="1"/>
      <c r="AD536" s="1"/>
      <c r="AG536" s="1"/>
      <c r="AI536" s="1"/>
    </row>
    <row r="537" spans="4:35" hidden="1">
      <c r="D537" s="1"/>
      <c r="K537" s="1"/>
      <c r="Q537" s="1"/>
      <c r="AD537" s="1"/>
      <c r="AG537" s="1"/>
      <c r="AI537" s="1"/>
    </row>
    <row r="538" spans="4:35" hidden="1">
      <c r="D538" s="1"/>
      <c r="K538" s="1"/>
      <c r="Q538" s="1"/>
      <c r="AD538" s="1"/>
      <c r="AG538" s="1"/>
      <c r="AI538" s="1"/>
    </row>
    <row r="539" spans="4:35" hidden="1">
      <c r="D539" s="1"/>
      <c r="K539" s="1"/>
      <c r="Q539" s="1"/>
      <c r="AD539" s="1"/>
      <c r="AG539" s="1"/>
      <c r="AI539" s="1"/>
    </row>
    <row r="540" spans="4:35" hidden="1">
      <c r="D540" s="1"/>
      <c r="K540" s="1"/>
      <c r="Q540" s="1"/>
      <c r="AD540" s="1"/>
      <c r="AG540" s="1"/>
      <c r="AI540" s="1"/>
    </row>
    <row r="541" spans="4:35" hidden="1">
      <c r="D541" s="1"/>
      <c r="K541" s="1"/>
      <c r="Q541" s="1"/>
      <c r="AD541" s="1"/>
      <c r="AG541" s="1"/>
      <c r="AI541" s="1"/>
    </row>
    <row r="542" spans="4:35" hidden="1">
      <c r="D542" s="1"/>
      <c r="K542" s="1"/>
      <c r="Q542" s="1"/>
      <c r="AD542" s="1"/>
      <c r="AG542" s="1"/>
      <c r="AI542" s="1"/>
    </row>
    <row r="543" spans="4:35" hidden="1">
      <c r="D543" s="1"/>
      <c r="K543" s="1"/>
      <c r="Q543" s="1"/>
      <c r="AD543" s="1"/>
      <c r="AG543" s="1"/>
      <c r="AI543" s="1"/>
    </row>
    <row r="544" spans="4:35" hidden="1">
      <c r="D544" s="1"/>
      <c r="K544" s="1"/>
      <c r="Q544" s="1"/>
      <c r="AD544" s="1"/>
      <c r="AG544" s="1"/>
      <c r="AI544" s="1"/>
    </row>
    <row r="545" spans="4:35" hidden="1">
      <c r="D545" s="1"/>
      <c r="K545" s="1"/>
      <c r="Q545" s="1"/>
      <c r="AD545" s="1"/>
      <c r="AG545" s="1"/>
      <c r="AI545" s="1"/>
    </row>
    <row r="546" spans="4:35" hidden="1">
      <c r="D546" s="1"/>
      <c r="K546" s="1"/>
      <c r="Q546" s="1"/>
      <c r="AD546" s="1"/>
      <c r="AG546" s="1"/>
      <c r="AI546" s="1"/>
    </row>
    <row r="547" spans="4:35" hidden="1">
      <c r="D547" s="1"/>
      <c r="K547" s="1"/>
      <c r="Q547" s="1"/>
      <c r="AD547" s="1"/>
      <c r="AG547" s="1"/>
      <c r="AI547" s="1"/>
    </row>
    <row r="548" spans="4:35" hidden="1">
      <c r="D548" s="1"/>
      <c r="K548" s="1"/>
      <c r="Q548" s="1"/>
      <c r="AD548" s="1"/>
      <c r="AG548" s="1"/>
      <c r="AI548" s="1"/>
    </row>
    <row r="549" spans="4:35" hidden="1">
      <c r="D549" s="1"/>
      <c r="K549" s="1"/>
      <c r="Q549" s="1"/>
      <c r="AD549" s="1"/>
      <c r="AG549" s="1"/>
      <c r="AI549" s="1"/>
    </row>
    <row r="550" spans="4:35" hidden="1">
      <c r="D550" s="1"/>
      <c r="K550" s="1"/>
      <c r="Q550" s="1"/>
      <c r="AD550" s="1"/>
      <c r="AG550" s="1"/>
      <c r="AI550" s="1"/>
    </row>
    <row r="551" spans="4:35" hidden="1">
      <c r="D551" s="1"/>
      <c r="K551" s="1"/>
      <c r="Q551" s="1"/>
      <c r="AD551" s="1"/>
      <c r="AG551" s="1"/>
      <c r="AI551" s="1"/>
    </row>
    <row r="552" spans="4:35" hidden="1">
      <c r="D552" s="1"/>
      <c r="K552" s="1"/>
      <c r="Q552" s="1"/>
      <c r="AD552" s="1"/>
      <c r="AG552" s="1"/>
      <c r="AI552" s="1"/>
    </row>
    <row r="553" spans="4:35" hidden="1">
      <c r="D553" s="1"/>
      <c r="K553" s="1"/>
      <c r="Q553" s="1"/>
      <c r="AD553" s="1"/>
      <c r="AG553" s="1"/>
      <c r="AI553" s="1"/>
    </row>
    <row r="554" spans="4:35" hidden="1">
      <c r="D554" s="1"/>
      <c r="K554" s="1"/>
      <c r="Q554" s="1"/>
      <c r="AD554" s="1"/>
      <c r="AG554" s="1"/>
      <c r="AI554" s="1"/>
    </row>
    <row r="555" spans="4:35" hidden="1">
      <c r="D555" s="1"/>
      <c r="K555" s="1"/>
      <c r="Q555" s="1"/>
      <c r="AD555" s="1"/>
      <c r="AG555" s="1"/>
      <c r="AI555" s="1"/>
    </row>
    <row r="556" spans="4:35" hidden="1">
      <c r="D556" s="1"/>
      <c r="K556" s="1"/>
      <c r="Q556" s="1"/>
      <c r="AD556" s="1"/>
      <c r="AG556" s="1"/>
      <c r="AI556" s="1"/>
    </row>
    <row r="557" spans="4:35" hidden="1">
      <c r="D557" s="1"/>
      <c r="K557" s="1"/>
      <c r="Q557" s="1"/>
      <c r="AD557" s="1"/>
      <c r="AG557" s="1"/>
      <c r="AI557" s="1"/>
    </row>
    <row r="558" spans="4:35" hidden="1">
      <c r="D558" s="1"/>
      <c r="K558" s="1"/>
      <c r="Q558" s="1"/>
      <c r="AD558" s="1"/>
      <c r="AG558" s="1"/>
      <c r="AI558" s="1"/>
    </row>
    <row r="559" spans="4:35" hidden="1">
      <c r="D559" s="1"/>
      <c r="K559" s="1"/>
      <c r="Q559" s="1"/>
      <c r="AD559" s="1"/>
      <c r="AG559" s="1"/>
      <c r="AI559" s="1"/>
    </row>
    <row r="560" spans="4:35" hidden="1">
      <c r="D560" s="1"/>
      <c r="K560" s="1"/>
      <c r="Q560" s="1"/>
      <c r="AD560" s="1"/>
      <c r="AG560" s="1"/>
      <c r="AI560" s="1"/>
    </row>
    <row r="561" spans="4:35" hidden="1">
      <c r="D561" s="1"/>
      <c r="K561" s="1"/>
      <c r="Q561" s="1"/>
      <c r="AD561" s="1"/>
      <c r="AG561" s="1"/>
      <c r="AI561" s="1"/>
    </row>
    <row r="562" spans="4:35" hidden="1">
      <c r="D562" s="1"/>
      <c r="K562" s="1"/>
      <c r="Q562" s="1"/>
      <c r="AD562" s="1"/>
      <c r="AG562" s="1"/>
      <c r="AI562" s="1"/>
    </row>
    <row r="563" spans="4:35" hidden="1">
      <c r="D563" s="1"/>
      <c r="K563" s="1"/>
      <c r="Q563" s="1"/>
      <c r="AD563" s="1"/>
      <c r="AG563" s="1"/>
      <c r="AI563" s="1"/>
    </row>
    <row r="564" spans="4:35" hidden="1">
      <c r="D564" s="1"/>
      <c r="K564" s="1"/>
      <c r="Q564" s="1"/>
      <c r="AD564" s="1"/>
      <c r="AG564" s="1"/>
      <c r="AI564" s="1"/>
    </row>
    <row r="565" spans="4:35" hidden="1">
      <c r="D565" s="1"/>
      <c r="K565" s="1"/>
      <c r="Q565" s="1"/>
      <c r="AD565" s="1"/>
      <c r="AG565" s="1"/>
      <c r="AI565" s="1"/>
    </row>
    <row r="566" spans="4:35" hidden="1">
      <c r="D566" s="1"/>
      <c r="K566" s="1"/>
      <c r="Q566" s="1"/>
      <c r="AD566" s="1"/>
      <c r="AG566" s="1"/>
      <c r="AI566" s="1"/>
    </row>
    <row r="567" spans="4:35" hidden="1">
      <c r="D567" s="1"/>
      <c r="K567" s="1"/>
      <c r="Q567" s="1"/>
      <c r="AD567" s="1"/>
      <c r="AG567" s="1"/>
      <c r="AI567" s="1"/>
    </row>
    <row r="568" spans="4:35" hidden="1">
      <c r="D568" s="1"/>
      <c r="K568" s="1"/>
      <c r="Q568" s="1"/>
      <c r="AD568" s="1"/>
      <c r="AG568" s="1"/>
      <c r="AI568" s="1"/>
    </row>
    <row r="569" spans="4:35" hidden="1">
      <c r="D569" s="1"/>
      <c r="K569" s="1"/>
      <c r="Q569" s="1"/>
      <c r="AD569" s="1"/>
      <c r="AG569" s="1"/>
      <c r="AI569" s="1"/>
    </row>
    <row r="570" spans="4:35" hidden="1">
      <c r="D570" s="1"/>
      <c r="K570" s="1"/>
      <c r="Q570" s="1"/>
      <c r="AD570" s="1"/>
      <c r="AG570" s="1"/>
      <c r="AI570" s="1"/>
    </row>
    <row r="571" spans="4:35" hidden="1">
      <c r="D571" s="1"/>
      <c r="K571" s="1"/>
      <c r="Q571" s="1"/>
      <c r="AD571" s="1"/>
      <c r="AG571" s="1"/>
      <c r="AI571" s="1"/>
    </row>
    <row r="572" spans="4:35" hidden="1">
      <c r="D572" s="1"/>
      <c r="K572" s="1"/>
      <c r="Q572" s="1"/>
      <c r="AD572" s="1"/>
      <c r="AG572" s="1"/>
      <c r="AI572" s="1"/>
    </row>
    <row r="573" spans="4:35" hidden="1">
      <c r="D573" s="1"/>
      <c r="K573" s="1"/>
      <c r="Q573" s="1"/>
      <c r="AD573" s="1"/>
      <c r="AG573" s="1"/>
      <c r="AI573" s="1"/>
    </row>
    <row r="574" spans="4:35" hidden="1">
      <c r="D574" s="1"/>
      <c r="K574" s="1"/>
      <c r="Q574" s="1"/>
      <c r="AD574" s="1"/>
      <c r="AG574" s="1"/>
      <c r="AI574" s="1"/>
    </row>
    <row r="575" spans="4:35" hidden="1">
      <c r="D575" s="1"/>
      <c r="K575" s="1"/>
      <c r="Q575" s="1"/>
      <c r="AD575" s="1"/>
      <c r="AG575" s="1"/>
      <c r="AI575" s="1"/>
    </row>
    <row r="576" spans="4:35" hidden="1">
      <c r="D576" s="1"/>
      <c r="K576" s="1"/>
      <c r="Q576" s="1"/>
      <c r="AD576" s="1"/>
      <c r="AG576" s="1"/>
      <c r="AI576" s="1"/>
    </row>
    <row r="577" spans="4:35" hidden="1">
      <c r="D577" s="1"/>
      <c r="K577" s="1"/>
      <c r="Q577" s="1"/>
      <c r="AD577" s="1"/>
      <c r="AG577" s="1"/>
      <c r="AI577" s="1"/>
    </row>
    <row r="578" spans="4:35" hidden="1">
      <c r="D578" s="1"/>
      <c r="K578" s="1"/>
      <c r="Q578" s="1"/>
      <c r="AD578" s="1"/>
      <c r="AG578" s="1"/>
      <c r="AI578" s="1"/>
    </row>
    <row r="579" spans="4:35" hidden="1">
      <c r="D579" s="1"/>
      <c r="K579" s="1"/>
      <c r="Q579" s="1"/>
      <c r="AD579" s="1"/>
      <c r="AG579" s="1"/>
      <c r="AI579" s="1"/>
    </row>
    <row r="580" spans="4:35" hidden="1">
      <c r="D580" s="1"/>
      <c r="K580" s="1"/>
      <c r="Q580" s="1"/>
      <c r="AD580" s="1"/>
      <c r="AG580" s="1"/>
      <c r="AI580" s="1"/>
    </row>
    <row r="581" spans="4:35" hidden="1">
      <c r="D581" s="1"/>
      <c r="K581" s="1"/>
      <c r="Q581" s="1"/>
      <c r="AD581" s="1"/>
      <c r="AG581" s="1"/>
      <c r="AI581" s="1"/>
    </row>
    <row r="582" spans="4:35" hidden="1">
      <c r="D582" s="1"/>
      <c r="K582" s="1"/>
      <c r="Q582" s="1"/>
      <c r="AD582" s="1"/>
      <c r="AG582" s="1"/>
      <c r="AI582" s="1"/>
    </row>
    <row r="583" spans="4:35" hidden="1">
      <c r="D583" s="1"/>
      <c r="K583" s="1"/>
      <c r="Q583" s="1"/>
      <c r="AD583" s="1"/>
      <c r="AG583" s="1"/>
      <c r="AI583" s="1"/>
    </row>
    <row r="584" spans="4:35" hidden="1">
      <c r="D584" s="1"/>
      <c r="K584" s="1"/>
      <c r="Q584" s="1"/>
      <c r="AD584" s="1"/>
      <c r="AG584" s="1"/>
      <c r="AI584" s="1"/>
    </row>
    <row r="585" spans="4:35" hidden="1">
      <c r="D585" s="1"/>
      <c r="K585" s="1"/>
      <c r="Q585" s="1"/>
      <c r="AD585" s="1"/>
      <c r="AG585" s="1"/>
      <c r="AI585" s="1"/>
    </row>
    <row r="586" spans="4:35" hidden="1">
      <c r="D586" s="1"/>
      <c r="K586" s="1"/>
      <c r="Q586" s="1"/>
      <c r="AD586" s="1"/>
      <c r="AG586" s="1"/>
      <c r="AI586" s="1"/>
    </row>
    <row r="587" spans="4:35" hidden="1">
      <c r="D587" s="1"/>
      <c r="K587" s="1"/>
      <c r="Q587" s="1"/>
      <c r="AD587" s="1"/>
      <c r="AG587" s="1"/>
      <c r="AI587" s="1"/>
    </row>
    <row r="588" spans="4:35" hidden="1">
      <c r="D588" s="1"/>
      <c r="K588" s="1"/>
      <c r="Q588" s="1"/>
      <c r="AD588" s="1"/>
      <c r="AG588" s="1"/>
      <c r="AI588" s="1"/>
    </row>
    <row r="589" spans="4:35" hidden="1">
      <c r="D589" s="1"/>
      <c r="K589" s="1"/>
      <c r="Q589" s="1"/>
      <c r="AD589" s="1"/>
      <c r="AG589" s="1"/>
      <c r="AI589" s="1"/>
    </row>
    <row r="590" spans="4:35" hidden="1">
      <c r="D590" s="1"/>
      <c r="K590" s="1"/>
      <c r="Q590" s="1"/>
      <c r="AD590" s="1"/>
      <c r="AG590" s="1"/>
      <c r="AI590" s="1"/>
    </row>
    <row r="591" spans="4:35" hidden="1">
      <c r="D591" s="1"/>
      <c r="K591" s="1"/>
      <c r="Q591" s="1"/>
      <c r="AD591" s="1"/>
      <c r="AG591" s="1"/>
      <c r="AI591" s="1"/>
    </row>
    <row r="592" spans="4:35" hidden="1">
      <c r="D592" s="1"/>
      <c r="K592" s="1"/>
      <c r="Q592" s="1"/>
      <c r="AD592" s="1"/>
      <c r="AG592" s="1"/>
      <c r="AI592" s="1"/>
    </row>
    <row r="593" spans="4:35" hidden="1">
      <c r="D593" s="1"/>
      <c r="K593" s="1"/>
      <c r="Q593" s="1"/>
      <c r="AD593" s="1"/>
      <c r="AG593" s="1"/>
      <c r="AI593" s="1"/>
    </row>
    <row r="594" spans="4:35" hidden="1">
      <c r="D594" s="1"/>
      <c r="K594" s="1"/>
      <c r="Q594" s="1"/>
      <c r="AD594" s="1"/>
      <c r="AG594" s="1"/>
      <c r="AI594" s="1"/>
    </row>
    <row r="595" spans="4:35" hidden="1">
      <c r="D595" s="1"/>
      <c r="K595" s="1"/>
      <c r="Q595" s="1"/>
      <c r="AD595" s="1"/>
      <c r="AG595" s="1"/>
      <c r="AI595" s="1"/>
    </row>
    <row r="596" spans="4:35" hidden="1">
      <c r="D596" s="1"/>
      <c r="K596" s="1"/>
      <c r="Q596" s="1"/>
      <c r="AD596" s="1"/>
      <c r="AG596" s="1"/>
      <c r="AI596" s="1"/>
    </row>
    <row r="597" spans="4:35" hidden="1">
      <c r="D597" s="1"/>
      <c r="K597" s="1"/>
      <c r="Q597" s="1"/>
      <c r="AD597" s="1"/>
      <c r="AG597" s="1"/>
      <c r="AI597" s="1"/>
    </row>
    <row r="598" spans="4:35" hidden="1">
      <c r="D598" s="1"/>
      <c r="K598" s="1"/>
      <c r="Q598" s="1"/>
      <c r="AD598" s="1"/>
      <c r="AG598" s="1"/>
      <c r="AI598" s="1"/>
    </row>
    <row r="599" spans="4:35" hidden="1">
      <c r="D599" s="1"/>
      <c r="K599" s="1"/>
      <c r="Q599" s="1"/>
      <c r="AD599" s="1"/>
      <c r="AG599" s="1"/>
      <c r="AI599" s="1"/>
    </row>
    <row r="600" spans="4:35" hidden="1">
      <c r="D600" s="1"/>
      <c r="K600" s="1"/>
      <c r="Q600" s="1"/>
      <c r="AD600" s="1"/>
      <c r="AG600" s="1"/>
      <c r="AI600" s="1"/>
    </row>
    <row r="601" spans="4:35" hidden="1">
      <c r="D601" s="1"/>
      <c r="K601" s="1"/>
      <c r="Q601" s="1"/>
      <c r="AD601" s="1"/>
      <c r="AG601" s="1"/>
      <c r="AI601" s="1"/>
    </row>
    <row r="602" spans="4:35" hidden="1">
      <c r="D602" s="1"/>
      <c r="K602" s="1"/>
      <c r="Q602" s="1"/>
      <c r="AD602" s="1"/>
      <c r="AG602" s="1"/>
      <c r="AI602" s="1"/>
    </row>
    <row r="603" spans="4:35" hidden="1">
      <c r="D603" s="1"/>
      <c r="K603" s="1"/>
      <c r="Q603" s="1"/>
      <c r="AD603" s="1"/>
      <c r="AG603" s="1"/>
      <c r="AI603" s="1"/>
    </row>
    <row r="604" spans="4:35" hidden="1">
      <c r="D604" s="1"/>
      <c r="K604" s="1"/>
      <c r="Q604" s="1"/>
      <c r="AD604" s="1"/>
      <c r="AG604" s="1"/>
      <c r="AI604" s="1"/>
    </row>
    <row r="605" spans="4:35" hidden="1">
      <c r="D605" s="1"/>
      <c r="K605" s="1"/>
      <c r="Q605" s="1"/>
      <c r="AD605" s="1"/>
      <c r="AG605" s="1"/>
      <c r="AI605" s="1"/>
    </row>
    <row r="606" spans="4:35" hidden="1">
      <c r="D606" s="1"/>
      <c r="K606" s="1"/>
      <c r="Q606" s="1"/>
      <c r="AD606" s="1"/>
      <c r="AG606" s="1"/>
      <c r="AI606" s="1"/>
    </row>
    <row r="607" spans="4:35" hidden="1">
      <c r="D607" s="1"/>
      <c r="K607" s="1"/>
      <c r="Q607" s="1"/>
      <c r="AD607" s="1"/>
      <c r="AG607" s="1"/>
      <c r="AI607" s="1"/>
    </row>
    <row r="608" spans="4:35" hidden="1">
      <c r="D608" s="1"/>
      <c r="K608" s="1"/>
      <c r="Q608" s="1"/>
      <c r="AD608" s="1"/>
      <c r="AG608" s="1"/>
      <c r="AI608" s="1"/>
    </row>
    <row r="609" spans="4:35" hidden="1">
      <c r="D609" s="1"/>
      <c r="K609" s="1"/>
      <c r="Q609" s="1"/>
      <c r="AD609" s="1"/>
      <c r="AG609" s="1"/>
      <c r="AI609" s="1"/>
    </row>
    <row r="610" spans="4:35" hidden="1">
      <c r="D610" s="1"/>
      <c r="K610" s="1"/>
      <c r="Q610" s="1"/>
      <c r="AD610" s="1"/>
      <c r="AG610" s="1"/>
      <c r="AI610" s="1"/>
    </row>
    <row r="611" spans="4:35" hidden="1">
      <c r="D611" s="1"/>
      <c r="K611" s="1"/>
      <c r="Q611" s="1"/>
      <c r="AD611" s="1"/>
      <c r="AG611" s="1"/>
      <c r="AI611" s="1"/>
    </row>
    <row r="612" spans="4:35" hidden="1">
      <c r="D612" s="1"/>
      <c r="K612" s="1"/>
      <c r="Q612" s="1"/>
      <c r="AD612" s="1"/>
      <c r="AG612" s="1"/>
      <c r="AI612" s="1"/>
    </row>
    <row r="613" spans="4:35" hidden="1">
      <c r="D613" s="1"/>
      <c r="K613" s="1"/>
      <c r="Q613" s="1"/>
      <c r="AD613" s="1"/>
      <c r="AG613" s="1"/>
      <c r="AI613" s="1"/>
    </row>
    <row r="614" spans="4:35" hidden="1">
      <c r="D614" s="1"/>
      <c r="K614" s="1"/>
      <c r="Q614" s="1"/>
      <c r="AD614" s="1"/>
      <c r="AG614" s="1"/>
      <c r="AI614" s="1"/>
    </row>
    <row r="615" spans="4:35" hidden="1">
      <c r="D615" s="1"/>
      <c r="K615" s="1"/>
      <c r="Q615" s="1"/>
      <c r="AD615" s="1"/>
      <c r="AG615" s="1"/>
      <c r="AI615" s="1"/>
    </row>
    <row r="616" spans="4:35" hidden="1">
      <c r="D616" s="1"/>
      <c r="K616" s="1"/>
      <c r="Q616" s="1"/>
      <c r="AD616" s="1"/>
      <c r="AG616" s="1"/>
      <c r="AI616" s="1"/>
    </row>
    <row r="617" spans="4:35" hidden="1">
      <c r="D617" s="1"/>
      <c r="K617" s="1"/>
      <c r="Q617" s="1"/>
      <c r="AD617" s="1"/>
      <c r="AG617" s="1"/>
      <c r="AI617" s="1"/>
    </row>
    <row r="618" spans="4:35" hidden="1">
      <c r="D618" s="1"/>
      <c r="K618" s="1"/>
      <c r="Q618" s="1"/>
      <c r="AD618" s="1"/>
      <c r="AG618" s="1"/>
      <c r="AI618" s="1"/>
    </row>
    <row r="619" spans="4:35" hidden="1">
      <c r="D619" s="1"/>
      <c r="K619" s="1"/>
      <c r="Q619" s="1"/>
      <c r="AD619" s="1"/>
      <c r="AG619" s="1"/>
      <c r="AI619" s="1"/>
    </row>
    <row r="620" spans="4:35" hidden="1">
      <c r="D620" s="1"/>
      <c r="K620" s="1"/>
      <c r="Q620" s="1"/>
      <c r="AD620" s="1"/>
      <c r="AG620" s="1"/>
      <c r="AI620" s="1"/>
    </row>
    <row r="621" spans="4:35" hidden="1">
      <c r="D621" s="1"/>
      <c r="K621" s="1"/>
      <c r="Q621" s="1"/>
      <c r="AD621" s="1"/>
      <c r="AG621" s="1"/>
      <c r="AI621" s="1"/>
    </row>
    <row r="622" spans="4:35" hidden="1">
      <c r="D622" s="1"/>
      <c r="K622" s="1"/>
      <c r="Q622" s="1"/>
      <c r="AD622" s="1"/>
      <c r="AG622" s="1"/>
      <c r="AI622" s="1"/>
    </row>
    <row r="623" spans="4:35" hidden="1">
      <c r="D623" s="1"/>
      <c r="K623" s="1"/>
      <c r="Q623" s="1"/>
      <c r="AD623" s="1"/>
      <c r="AG623" s="1"/>
      <c r="AI623" s="1"/>
    </row>
    <row r="624" spans="4:35" hidden="1">
      <c r="D624" s="1"/>
      <c r="K624" s="1"/>
      <c r="Q624" s="1"/>
      <c r="AD624" s="1"/>
      <c r="AG624" s="1"/>
      <c r="AI624" s="1"/>
    </row>
    <row r="625" spans="4:35" hidden="1">
      <c r="D625" s="1"/>
      <c r="K625" s="1"/>
      <c r="Q625" s="1"/>
      <c r="AD625" s="1"/>
      <c r="AG625" s="1"/>
      <c r="AI625" s="1"/>
    </row>
    <row r="626" spans="4:35" hidden="1">
      <c r="D626" s="1"/>
      <c r="K626" s="1"/>
      <c r="Q626" s="1"/>
      <c r="AD626" s="1"/>
      <c r="AG626" s="1"/>
      <c r="AI626" s="1"/>
    </row>
    <row r="627" spans="4:35" hidden="1">
      <c r="D627" s="1"/>
      <c r="K627" s="1"/>
      <c r="Q627" s="1"/>
      <c r="AD627" s="1"/>
      <c r="AG627" s="1"/>
      <c r="AI627" s="1"/>
    </row>
    <row r="628" spans="4:35" hidden="1">
      <c r="D628" s="1"/>
      <c r="K628" s="1"/>
      <c r="Q628" s="1"/>
      <c r="AD628" s="1"/>
      <c r="AG628" s="1"/>
      <c r="AI628" s="1"/>
    </row>
    <row r="629" spans="4:35" hidden="1">
      <c r="D629" s="1"/>
      <c r="K629" s="1"/>
      <c r="Q629" s="1"/>
      <c r="AD629" s="1"/>
      <c r="AG629" s="1"/>
      <c r="AI629" s="1"/>
    </row>
    <row r="630" spans="4:35" hidden="1">
      <c r="D630" s="1"/>
      <c r="K630" s="1"/>
      <c r="Q630" s="1"/>
      <c r="AD630" s="1"/>
      <c r="AG630" s="1"/>
      <c r="AI630" s="1"/>
    </row>
    <row r="631" spans="4:35" hidden="1">
      <c r="D631" s="1"/>
      <c r="K631" s="1"/>
      <c r="Q631" s="1"/>
      <c r="AD631" s="1"/>
      <c r="AG631" s="1"/>
      <c r="AI631" s="1"/>
    </row>
    <row r="632" spans="4:35" hidden="1">
      <c r="D632" s="1"/>
      <c r="K632" s="1"/>
      <c r="Q632" s="1"/>
      <c r="AD632" s="1"/>
      <c r="AG632" s="1"/>
      <c r="AI632" s="1"/>
    </row>
    <row r="633" spans="4:35" hidden="1">
      <c r="D633" s="1"/>
      <c r="K633" s="1"/>
      <c r="Q633" s="1"/>
      <c r="AD633" s="1"/>
      <c r="AG633" s="1"/>
      <c r="AI633" s="1"/>
    </row>
    <row r="634" spans="4:35" hidden="1">
      <c r="D634" s="1"/>
      <c r="K634" s="1"/>
      <c r="Q634" s="1"/>
      <c r="AD634" s="1"/>
      <c r="AG634" s="1"/>
      <c r="AI634" s="1"/>
    </row>
    <row r="635" spans="4:35" hidden="1">
      <c r="D635" s="1"/>
      <c r="K635" s="1"/>
      <c r="Q635" s="1"/>
      <c r="AD635" s="1"/>
      <c r="AG635" s="1"/>
      <c r="AI635" s="1"/>
    </row>
    <row r="636" spans="4:35" hidden="1">
      <c r="D636" s="1"/>
      <c r="K636" s="1"/>
      <c r="Q636" s="1"/>
      <c r="AD636" s="1"/>
      <c r="AG636" s="1"/>
      <c r="AI636" s="1"/>
    </row>
    <row r="637" spans="4:35" hidden="1">
      <c r="D637" s="1"/>
      <c r="K637" s="1"/>
      <c r="Q637" s="1"/>
      <c r="AD637" s="1"/>
      <c r="AG637" s="1"/>
      <c r="AI637" s="1"/>
    </row>
    <row r="638" spans="4:35" hidden="1">
      <c r="D638" s="1"/>
      <c r="K638" s="1"/>
      <c r="Q638" s="1"/>
      <c r="AD638" s="1"/>
      <c r="AG638" s="1"/>
      <c r="AI638" s="1"/>
    </row>
    <row r="639" spans="4:35" hidden="1">
      <c r="D639" s="1"/>
      <c r="K639" s="1"/>
      <c r="Q639" s="1"/>
      <c r="AD639" s="1"/>
      <c r="AG639" s="1"/>
      <c r="AI639" s="1"/>
    </row>
    <row r="640" spans="4:35" hidden="1">
      <c r="D640" s="1"/>
      <c r="K640" s="1"/>
      <c r="Q640" s="1"/>
      <c r="AD640" s="1"/>
      <c r="AG640" s="1"/>
      <c r="AI640" s="1"/>
    </row>
    <row r="641" spans="4:35" hidden="1">
      <c r="D641" s="1"/>
      <c r="K641" s="1"/>
      <c r="Q641" s="1"/>
      <c r="AD641" s="1"/>
      <c r="AG641" s="1"/>
      <c r="AI641" s="1"/>
    </row>
    <row r="642" spans="4:35" hidden="1">
      <c r="D642" s="1"/>
      <c r="K642" s="1"/>
      <c r="Q642" s="1"/>
      <c r="AD642" s="1"/>
      <c r="AG642" s="1"/>
      <c r="AI642" s="1"/>
    </row>
    <row r="643" spans="4:35" hidden="1">
      <c r="D643" s="1"/>
      <c r="K643" s="1"/>
      <c r="Q643" s="1"/>
      <c r="AD643" s="1"/>
      <c r="AG643" s="1"/>
      <c r="AI643" s="1"/>
    </row>
    <row r="644" spans="4:35" hidden="1">
      <c r="D644" s="1"/>
      <c r="K644" s="1"/>
      <c r="Q644" s="1"/>
      <c r="AD644" s="1"/>
      <c r="AG644" s="1"/>
      <c r="AI644" s="1"/>
    </row>
    <row r="645" spans="4:35" hidden="1">
      <c r="D645" s="1"/>
      <c r="K645" s="1"/>
      <c r="Q645" s="1"/>
      <c r="AD645" s="1"/>
      <c r="AG645" s="1"/>
      <c r="AI645" s="1"/>
    </row>
    <row r="646" spans="4:35" hidden="1">
      <c r="D646" s="1"/>
      <c r="K646" s="1"/>
      <c r="Q646" s="1"/>
      <c r="AD646" s="1"/>
      <c r="AG646" s="1"/>
      <c r="AI646" s="1"/>
    </row>
    <row r="647" spans="4:35" hidden="1">
      <c r="D647" s="1"/>
      <c r="K647" s="1"/>
      <c r="Q647" s="1"/>
      <c r="AD647" s="1"/>
      <c r="AG647" s="1"/>
      <c r="AI647" s="1"/>
    </row>
    <row r="648" spans="4:35" hidden="1">
      <c r="D648" s="1"/>
      <c r="K648" s="1"/>
      <c r="Q648" s="1"/>
      <c r="AD648" s="1"/>
      <c r="AG648" s="1"/>
      <c r="AI648" s="1"/>
    </row>
    <row r="649" spans="4:35" hidden="1">
      <c r="D649" s="1"/>
      <c r="K649" s="1"/>
      <c r="Q649" s="1"/>
      <c r="AD649" s="1"/>
      <c r="AG649" s="1"/>
      <c r="AI649" s="1"/>
    </row>
    <row r="650" spans="4:35" hidden="1">
      <c r="D650" s="1"/>
      <c r="K650" s="1"/>
      <c r="Q650" s="1"/>
      <c r="AD650" s="1"/>
      <c r="AG650" s="1"/>
      <c r="AI650" s="1"/>
    </row>
    <row r="651" spans="4:35" hidden="1">
      <c r="D651" s="1"/>
      <c r="K651" s="1"/>
      <c r="Q651" s="1"/>
      <c r="AD651" s="1"/>
      <c r="AG651" s="1"/>
      <c r="AI651" s="1"/>
    </row>
    <row r="652" spans="4:35" hidden="1">
      <c r="D652" s="1"/>
      <c r="K652" s="1"/>
      <c r="Q652" s="1"/>
      <c r="AD652" s="1"/>
      <c r="AG652" s="1"/>
      <c r="AI652" s="1"/>
    </row>
    <row r="653" spans="4:35" hidden="1">
      <c r="D653" s="1"/>
      <c r="K653" s="1"/>
      <c r="Q653" s="1"/>
      <c r="AD653" s="1"/>
      <c r="AG653" s="1"/>
      <c r="AI653" s="1"/>
    </row>
    <row r="654" spans="4:35" hidden="1">
      <c r="D654" s="1"/>
      <c r="K654" s="1"/>
      <c r="Q654" s="1"/>
      <c r="AD654" s="1"/>
      <c r="AG654" s="1"/>
      <c r="AI654" s="1"/>
    </row>
    <row r="655" spans="4:35" hidden="1">
      <c r="D655" s="1"/>
      <c r="K655" s="1"/>
      <c r="Q655" s="1"/>
      <c r="AD655" s="1"/>
      <c r="AG655" s="1"/>
      <c r="AI655" s="1"/>
    </row>
    <row r="656" spans="4:35" hidden="1">
      <c r="D656" s="1"/>
      <c r="K656" s="1"/>
      <c r="Q656" s="1"/>
      <c r="AD656" s="1"/>
      <c r="AG656" s="1"/>
      <c r="AI656" s="1"/>
    </row>
    <row r="657" spans="4:35" hidden="1">
      <c r="D657" s="1"/>
      <c r="K657" s="1"/>
      <c r="Q657" s="1"/>
      <c r="AD657" s="1"/>
      <c r="AG657" s="1"/>
      <c r="AI657" s="1"/>
    </row>
    <row r="658" spans="4:35" hidden="1">
      <c r="D658" s="1"/>
      <c r="K658" s="1"/>
      <c r="Q658" s="1"/>
      <c r="AD658" s="1"/>
      <c r="AG658" s="1"/>
      <c r="AI658" s="1"/>
    </row>
    <row r="659" spans="4:35" hidden="1">
      <c r="D659" s="1"/>
      <c r="K659" s="1"/>
      <c r="Q659" s="1"/>
      <c r="AD659" s="1"/>
      <c r="AG659" s="1"/>
      <c r="AI659" s="1"/>
    </row>
    <row r="660" spans="4:35" hidden="1">
      <c r="D660" s="1"/>
      <c r="K660" s="1"/>
      <c r="Q660" s="1"/>
      <c r="AD660" s="1"/>
      <c r="AG660" s="1"/>
      <c r="AI660" s="1"/>
    </row>
    <row r="661" spans="4:35" hidden="1">
      <c r="D661" s="1"/>
      <c r="K661" s="1"/>
      <c r="Q661" s="1"/>
      <c r="AD661" s="1"/>
      <c r="AG661" s="1"/>
      <c r="AI661" s="1"/>
    </row>
    <row r="662" spans="4:35" hidden="1">
      <c r="D662" s="1"/>
      <c r="K662" s="1"/>
      <c r="Q662" s="1"/>
      <c r="AD662" s="1"/>
      <c r="AG662" s="1"/>
      <c r="AI662" s="1"/>
    </row>
    <row r="663" spans="4:35" hidden="1">
      <c r="D663" s="1"/>
      <c r="K663" s="1"/>
      <c r="Q663" s="1"/>
      <c r="AD663" s="1"/>
      <c r="AG663" s="1"/>
      <c r="AI663" s="1"/>
    </row>
    <row r="664" spans="4:35" hidden="1">
      <c r="D664" s="1"/>
      <c r="K664" s="1"/>
      <c r="Q664" s="1"/>
      <c r="AD664" s="1"/>
      <c r="AG664" s="1"/>
      <c r="AI664" s="1"/>
    </row>
    <row r="665" spans="4:35" hidden="1">
      <c r="D665" s="1"/>
      <c r="K665" s="1"/>
      <c r="Q665" s="1"/>
      <c r="AD665" s="1"/>
      <c r="AG665" s="1"/>
      <c r="AI665" s="1"/>
    </row>
    <row r="666" spans="4:35" hidden="1">
      <c r="D666" s="1"/>
      <c r="K666" s="1"/>
      <c r="Q666" s="1"/>
      <c r="AD666" s="1"/>
      <c r="AG666" s="1"/>
      <c r="AI666" s="1"/>
    </row>
    <row r="667" spans="4:35" hidden="1">
      <c r="D667" s="1"/>
      <c r="K667" s="1"/>
      <c r="Q667" s="1"/>
      <c r="AD667" s="1"/>
      <c r="AG667" s="1"/>
      <c r="AI667" s="1"/>
    </row>
    <row r="668" spans="4:35" hidden="1">
      <c r="D668" s="1"/>
      <c r="K668" s="1"/>
      <c r="Q668" s="1"/>
      <c r="AD668" s="1"/>
      <c r="AG668" s="1"/>
      <c r="AI668" s="1"/>
    </row>
    <row r="669" spans="4:35" hidden="1">
      <c r="D669" s="1"/>
      <c r="K669" s="1"/>
      <c r="Q669" s="1"/>
      <c r="AD669" s="1"/>
      <c r="AG669" s="1"/>
      <c r="AI669" s="1"/>
    </row>
    <row r="670" spans="4:35" hidden="1">
      <c r="D670" s="1"/>
      <c r="K670" s="1"/>
      <c r="Q670" s="1"/>
      <c r="AD670" s="1"/>
      <c r="AG670" s="1"/>
      <c r="AI670" s="1"/>
    </row>
    <row r="671" spans="4:35" hidden="1">
      <c r="D671" s="1"/>
      <c r="K671" s="1"/>
      <c r="Q671" s="1"/>
      <c r="AD671" s="1"/>
      <c r="AG671" s="1"/>
      <c r="AI671" s="1"/>
    </row>
    <row r="672" spans="4:35" hidden="1">
      <c r="D672" s="1"/>
      <c r="K672" s="1"/>
      <c r="Q672" s="1"/>
      <c r="AD672" s="1"/>
      <c r="AG672" s="1"/>
      <c r="AI672" s="1"/>
    </row>
    <row r="673" spans="4:35" hidden="1">
      <c r="D673" s="1"/>
      <c r="K673" s="1"/>
      <c r="Q673" s="1"/>
      <c r="AD673" s="1"/>
      <c r="AG673" s="1"/>
      <c r="AI673" s="1"/>
    </row>
    <row r="674" spans="4:35" hidden="1">
      <c r="D674" s="1"/>
      <c r="K674" s="1"/>
      <c r="Q674" s="1"/>
      <c r="AD674" s="1"/>
      <c r="AG674" s="1"/>
      <c r="AI674" s="1"/>
    </row>
    <row r="675" spans="4:35" hidden="1">
      <c r="D675" s="1"/>
      <c r="K675" s="1"/>
      <c r="Q675" s="1"/>
      <c r="AD675" s="1"/>
      <c r="AG675" s="1"/>
      <c r="AI675" s="1"/>
    </row>
    <row r="676" spans="4:35" hidden="1">
      <c r="D676" s="1"/>
      <c r="K676" s="1"/>
      <c r="Q676" s="1"/>
      <c r="AD676" s="1"/>
      <c r="AG676" s="1"/>
      <c r="AI676" s="1"/>
    </row>
    <row r="677" spans="4:35" hidden="1">
      <c r="D677" s="1"/>
      <c r="K677" s="1"/>
      <c r="Q677" s="1"/>
      <c r="AD677" s="1"/>
      <c r="AG677" s="1"/>
      <c r="AI677" s="1"/>
    </row>
    <row r="678" spans="4:35" hidden="1">
      <c r="D678" s="1"/>
      <c r="K678" s="1"/>
      <c r="Q678" s="1"/>
      <c r="AD678" s="1"/>
      <c r="AG678" s="1"/>
      <c r="AI678" s="1"/>
    </row>
    <row r="679" spans="4:35" hidden="1">
      <c r="D679" s="1"/>
      <c r="K679" s="1"/>
      <c r="Q679" s="1"/>
      <c r="AD679" s="1"/>
      <c r="AG679" s="1"/>
      <c r="AI679" s="1"/>
    </row>
    <row r="680" spans="4:35" hidden="1">
      <c r="D680" s="1"/>
      <c r="K680" s="1"/>
      <c r="Q680" s="1"/>
      <c r="AD680" s="1"/>
      <c r="AG680" s="1"/>
      <c r="AI680" s="1"/>
    </row>
    <row r="681" spans="4:35" hidden="1">
      <c r="D681" s="1"/>
      <c r="K681" s="1"/>
      <c r="Q681" s="1"/>
      <c r="AD681" s="1"/>
      <c r="AG681" s="1"/>
      <c r="AI681" s="1"/>
    </row>
    <row r="682" spans="4:35" hidden="1">
      <c r="D682" s="1"/>
      <c r="K682" s="1"/>
      <c r="Q682" s="1"/>
      <c r="AD682" s="1"/>
      <c r="AG682" s="1"/>
      <c r="AI682" s="1"/>
    </row>
    <row r="683" spans="4:35" hidden="1">
      <c r="D683" s="1"/>
      <c r="K683" s="1"/>
      <c r="Q683" s="1"/>
      <c r="AD683" s="1"/>
      <c r="AG683" s="1"/>
      <c r="AI683" s="1"/>
    </row>
    <row r="684" spans="4:35" hidden="1">
      <c r="D684" s="1"/>
      <c r="K684" s="1"/>
      <c r="Q684" s="1"/>
      <c r="AD684" s="1"/>
      <c r="AG684" s="1"/>
      <c r="AI684" s="1"/>
    </row>
    <row r="685" spans="4:35" hidden="1">
      <c r="D685" s="1"/>
      <c r="K685" s="1"/>
      <c r="Q685" s="1"/>
      <c r="AD685" s="1"/>
      <c r="AG685" s="1"/>
      <c r="AI685" s="1"/>
    </row>
    <row r="686" spans="4:35" hidden="1">
      <c r="D686" s="1"/>
      <c r="K686" s="1"/>
      <c r="Q686" s="1"/>
      <c r="AD686" s="1"/>
      <c r="AG686" s="1"/>
      <c r="AI686" s="1"/>
    </row>
    <row r="687" spans="4:35" hidden="1">
      <c r="D687" s="1"/>
      <c r="K687" s="1"/>
      <c r="Q687" s="1"/>
      <c r="AD687" s="1"/>
      <c r="AG687" s="1"/>
      <c r="AI687" s="1"/>
    </row>
    <row r="688" spans="4:35" hidden="1">
      <c r="D688" s="1"/>
      <c r="K688" s="1"/>
      <c r="Q688" s="1"/>
      <c r="AD688" s="1"/>
      <c r="AG688" s="1"/>
      <c r="AI688" s="1"/>
    </row>
    <row r="689" spans="4:35" hidden="1">
      <c r="D689" s="1"/>
      <c r="K689" s="1"/>
      <c r="Q689" s="1"/>
      <c r="AD689" s="1"/>
      <c r="AG689" s="1"/>
      <c r="AI689" s="1"/>
    </row>
    <row r="690" spans="4:35" hidden="1">
      <c r="D690" s="1"/>
      <c r="K690" s="1"/>
      <c r="Q690" s="1"/>
      <c r="AD690" s="1"/>
      <c r="AG690" s="1"/>
      <c r="AI690" s="1"/>
    </row>
    <row r="691" spans="4:35" hidden="1">
      <c r="D691" s="1"/>
      <c r="K691" s="1"/>
      <c r="Q691" s="1"/>
      <c r="AD691" s="1"/>
      <c r="AG691" s="1"/>
      <c r="AI691" s="1"/>
    </row>
    <row r="692" spans="4:35" hidden="1">
      <c r="D692" s="1"/>
      <c r="K692" s="1"/>
      <c r="Q692" s="1"/>
      <c r="AD692" s="1"/>
      <c r="AG692" s="1"/>
      <c r="AI692" s="1"/>
    </row>
    <row r="693" spans="4:35" hidden="1">
      <c r="D693" s="1"/>
      <c r="K693" s="1"/>
      <c r="Q693" s="1"/>
      <c r="AD693" s="1"/>
      <c r="AG693" s="1"/>
      <c r="AI693" s="1"/>
    </row>
    <row r="694" spans="4:35" hidden="1">
      <c r="D694" s="1"/>
      <c r="K694" s="1"/>
      <c r="Q694" s="1"/>
      <c r="AD694" s="1"/>
      <c r="AG694" s="1"/>
      <c r="AI694" s="1"/>
    </row>
    <row r="695" spans="4:35" hidden="1">
      <c r="D695" s="1"/>
      <c r="K695" s="1"/>
      <c r="Q695" s="1"/>
      <c r="AD695" s="1"/>
      <c r="AG695" s="1"/>
      <c r="AI695" s="1"/>
    </row>
    <row r="696" spans="4:35" hidden="1">
      <c r="D696" s="1"/>
      <c r="K696" s="1"/>
      <c r="Q696" s="1"/>
      <c r="AD696" s="1"/>
      <c r="AG696" s="1"/>
      <c r="AI696" s="1"/>
    </row>
    <row r="697" spans="4:35" hidden="1">
      <c r="D697" s="1"/>
      <c r="K697" s="1"/>
      <c r="Q697" s="1"/>
      <c r="AD697" s="1"/>
      <c r="AG697" s="1"/>
      <c r="AI697" s="1"/>
    </row>
    <row r="698" spans="4:35" hidden="1">
      <c r="D698" s="1"/>
      <c r="K698" s="1"/>
      <c r="Q698" s="1"/>
      <c r="AD698" s="1"/>
      <c r="AG698" s="1"/>
      <c r="AI698" s="1"/>
    </row>
    <row r="699" spans="4:35" hidden="1">
      <c r="D699" s="1"/>
      <c r="K699" s="1"/>
      <c r="Q699" s="1"/>
      <c r="AD699" s="1"/>
      <c r="AG699" s="1"/>
      <c r="AI699" s="1"/>
    </row>
    <row r="700" spans="4:35" hidden="1">
      <c r="D700" s="1"/>
      <c r="K700" s="1"/>
      <c r="Q700" s="1"/>
      <c r="AD700" s="1"/>
      <c r="AG700" s="1"/>
      <c r="AI700" s="1"/>
    </row>
    <row r="701" spans="4:35" hidden="1">
      <c r="D701" s="1"/>
      <c r="K701" s="1"/>
      <c r="Q701" s="1"/>
      <c r="AD701" s="1"/>
      <c r="AG701" s="1"/>
      <c r="AI701" s="1"/>
    </row>
    <row r="702" spans="4:35" hidden="1">
      <c r="D702" s="1"/>
      <c r="K702" s="1"/>
      <c r="Q702" s="1"/>
      <c r="AD702" s="1"/>
      <c r="AG702" s="1"/>
      <c r="AI702" s="1"/>
    </row>
    <row r="703" spans="4:35" hidden="1">
      <c r="D703" s="1"/>
      <c r="K703" s="1"/>
      <c r="Q703" s="1"/>
      <c r="AD703" s="1"/>
      <c r="AG703" s="1"/>
      <c r="AI703" s="1"/>
    </row>
    <row r="704" spans="4:35" hidden="1">
      <c r="D704" s="1"/>
      <c r="K704" s="1"/>
      <c r="Q704" s="1"/>
      <c r="AD704" s="1"/>
      <c r="AG704" s="1"/>
      <c r="AI704" s="1"/>
    </row>
    <row r="705" spans="4:35" hidden="1">
      <c r="D705" s="1"/>
      <c r="K705" s="1"/>
      <c r="Q705" s="1"/>
      <c r="AD705" s="1"/>
      <c r="AG705" s="1"/>
      <c r="AI705" s="1"/>
    </row>
    <row r="706" spans="4:35" hidden="1">
      <c r="D706" s="1"/>
      <c r="K706" s="1"/>
      <c r="Q706" s="1"/>
      <c r="AD706" s="1"/>
      <c r="AG706" s="1"/>
      <c r="AI706" s="1"/>
    </row>
    <row r="707" spans="4:35" hidden="1">
      <c r="D707" s="1"/>
      <c r="K707" s="1"/>
      <c r="Q707" s="1"/>
      <c r="AD707" s="1"/>
      <c r="AG707" s="1"/>
      <c r="AI707" s="1"/>
    </row>
    <row r="708" spans="4:35" hidden="1">
      <c r="D708" s="1"/>
      <c r="K708" s="1"/>
      <c r="Q708" s="1"/>
      <c r="AD708" s="1"/>
      <c r="AG708" s="1"/>
      <c r="AI708" s="1"/>
    </row>
    <row r="709" spans="4:35" hidden="1">
      <c r="D709" s="1"/>
      <c r="K709" s="1"/>
      <c r="Q709" s="1"/>
      <c r="AD709" s="1"/>
      <c r="AG709" s="1"/>
      <c r="AI709" s="1"/>
    </row>
    <row r="710" spans="4:35" hidden="1">
      <c r="D710" s="1"/>
      <c r="K710" s="1"/>
      <c r="Q710" s="1"/>
      <c r="AD710" s="1"/>
      <c r="AG710" s="1"/>
      <c r="AI710" s="1"/>
    </row>
    <row r="711" spans="4:35" hidden="1">
      <c r="D711" s="1"/>
      <c r="K711" s="1"/>
      <c r="Q711" s="1"/>
      <c r="AD711" s="1"/>
      <c r="AG711" s="1"/>
      <c r="AI711" s="1"/>
    </row>
    <row r="712" spans="4:35" hidden="1">
      <c r="D712" s="1"/>
      <c r="K712" s="1"/>
      <c r="Q712" s="1"/>
      <c r="AD712" s="1"/>
      <c r="AG712" s="1"/>
      <c r="AI712" s="1"/>
    </row>
    <row r="713" spans="4:35" hidden="1">
      <c r="D713" s="1"/>
      <c r="K713" s="1"/>
      <c r="Q713" s="1"/>
      <c r="AD713" s="1"/>
      <c r="AG713" s="1"/>
      <c r="AI713" s="1"/>
    </row>
    <row r="714" spans="4:35" hidden="1">
      <c r="D714" s="1"/>
      <c r="K714" s="1"/>
      <c r="Q714" s="1"/>
      <c r="AD714" s="1"/>
      <c r="AG714" s="1"/>
      <c r="AI714" s="1"/>
    </row>
    <row r="715" spans="4:35" hidden="1">
      <c r="D715" s="1"/>
      <c r="K715" s="1"/>
      <c r="Q715" s="1"/>
      <c r="AD715" s="1"/>
      <c r="AG715" s="1"/>
      <c r="AI715" s="1"/>
    </row>
    <row r="716" spans="4:35" hidden="1">
      <c r="D716" s="1"/>
      <c r="K716" s="1"/>
      <c r="Q716" s="1"/>
      <c r="AD716" s="1"/>
      <c r="AG716" s="1"/>
      <c r="AI716" s="1"/>
    </row>
    <row r="717" spans="4:35" hidden="1">
      <c r="D717" s="1"/>
      <c r="K717" s="1"/>
      <c r="Q717" s="1"/>
      <c r="AD717" s="1"/>
      <c r="AG717" s="1"/>
      <c r="AI717" s="1"/>
    </row>
    <row r="718" spans="4:35" hidden="1">
      <c r="D718" s="1"/>
      <c r="K718" s="1"/>
      <c r="Q718" s="1"/>
      <c r="AD718" s="1"/>
      <c r="AG718" s="1"/>
      <c r="AI718" s="1"/>
    </row>
    <row r="719" spans="4:35" hidden="1">
      <c r="D719" s="1"/>
      <c r="K719" s="1"/>
      <c r="Q719" s="1"/>
      <c r="AD719" s="1"/>
      <c r="AG719" s="1"/>
      <c r="AI719" s="1"/>
    </row>
    <row r="720" spans="4:35" hidden="1">
      <c r="D720" s="1"/>
      <c r="K720" s="1"/>
      <c r="Q720" s="1"/>
      <c r="AD720" s="1"/>
      <c r="AG720" s="1"/>
      <c r="AI720" s="1"/>
    </row>
    <row r="721" spans="4:35" hidden="1">
      <c r="D721" s="1"/>
      <c r="K721" s="1"/>
      <c r="Q721" s="1"/>
      <c r="AD721" s="1"/>
      <c r="AG721" s="1"/>
      <c r="AI721" s="1"/>
    </row>
    <row r="722" spans="4:35" hidden="1">
      <c r="D722" s="1"/>
      <c r="K722" s="1"/>
      <c r="Q722" s="1"/>
      <c r="AD722" s="1"/>
      <c r="AG722" s="1"/>
      <c r="AI722" s="1"/>
    </row>
    <row r="723" spans="4:35" hidden="1">
      <c r="D723" s="1"/>
      <c r="K723" s="1"/>
      <c r="Q723" s="1"/>
      <c r="AD723" s="1"/>
      <c r="AG723" s="1"/>
      <c r="AI723" s="1"/>
    </row>
    <row r="724" spans="4:35" hidden="1">
      <c r="D724" s="1"/>
      <c r="K724" s="1"/>
      <c r="Q724" s="1"/>
      <c r="AD724" s="1"/>
      <c r="AG724" s="1"/>
      <c r="AI724" s="1"/>
    </row>
    <row r="725" spans="4:35" hidden="1">
      <c r="D725" s="1"/>
      <c r="K725" s="1"/>
      <c r="Q725" s="1"/>
      <c r="AD725" s="1"/>
      <c r="AG725" s="1"/>
      <c r="AI725" s="1"/>
    </row>
    <row r="726" spans="4:35" hidden="1">
      <c r="D726" s="1"/>
      <c r="K726" s="1"/>
      <c r="Q726" s="1"/>
      <c r="AD726" s="1"/>
      <c r="AG726" s="1"/>
      <c r="AI726" s="1"/>
    </row>
    <row r="727" spans="4:35" hidden="1">
      <c r="D727" s="1"/>
      <c r="K727" s="1"/>
      <c r="Q727" s="1"/>
      <c r="AD727" s="1"/>
      <c r="AG727" s="1"/>
      <c r="AI727" s="1"/>
    </row>
    <row r="728" spans="4:35" hidden="1">
      <c r="D728" s="1"/>
      <c r="K728" s="1"/>
      <c r="Q728" s="1"/>
      <c r="AD728" s="1"/>
      <c r="AG728" s="1"/>
      <c r="AI728" s="1"/>
    </row>
    <row r="729" spans="4:35" hidden="1">
      <c r="D729" s="1"/>
      <c r="K729" s="1"/>
      <c r="Q729" s="1"/>
      <c r="AD729" s="1"/>
      <c r="AG729" s="1"/>
      <c r="AI729" s="1"/>
    </row>
    <row r="730" spans="4:35" hidden="1">
      <c r="D730" s="1"/>
      <c r="K730" s="1"/>
      <c r="Q730" s="1"/>
      <c r="AD730" s="1"/>
      <c r="AG730" s="1"/>
      <c r="AI730" s="1"/>
    </row>
    <row r="731" spans="4:35" hidden="1">
      <c r="D731" s="1"/>
      <c r="K731" s="1"/>
      <c r="Q731" s="1"/>
      <c r="AD731" s="1"/>
      <c r="AG731" s="1"/>
      <c r="AI731" s="1"/>
    </row>
    <row r="732" spans="4:35" hidden="1">
      <c r="D732" s="1"/>
      <c r="K732" s="1"/>
      <c r="Q732" s="1"/>
      <c r="AD732" s="1"/>
      <c r="AG732" s="1"/>
      <c r="AI732" s="1"/>
    </row>
    <row r="733" spans="4:35" hidden="1">
      <c r="D733" s="1"/>
      <c r="K733" s="1"/>
      <c r="Q733" s="1"/>
      <c r="AD733" s="1"/>
      <c r="AG733" s="1"/>
      <c r="AI733" s="1"/>
    </row>
    <row r="734" spans="4:35" hidden="1">
      <c r="D734" s="1"/>
      <c r="K734" s="1"/>
      <c r="Q734" s="1"/>
      <c r="AD734" s="1"/>
      <c r="AG734" s="1"/>
      <c r="AI734" s="1"/>
    </row>
    <row r="735" spans="4:35" hidden="1">
      <c r="D735" s="1"/>
      <c r="K735" s="1"/>
      <c r="Q735" s="1"/>
      <c r="AD735" s="1"/>
      <c r="AG735" s="1"/>
      <c r="AI735" s="1"/>
    </row>
    <row r="736" spans="4:35" hidden="1">
      <c r="D736" s="1"/>
      <c r="K736" s="1"/>
      <c r="Q736" s="1"/>
      <c r="AD736" s="1"/>
      <c r="AG736" s="1"/>
      <c r="AI736" s="1"/>
    </row>
    <row r="737" spans="4:35" hidden="1">
      <c r="D737" s="1"/>
      <c r="K737" s="1"/>
      <c r="Q737" s="1"/>
      <c r="AD737" s="1"/>
      <c r="AG737" s="1"/>
      <c r="AI737" s="1"/>
    </row>
    <row r="738" spans="4:35" hidden="1">
      <c r="D738" s="1"/>
      <c r="K738" s="1"/>
      <c r="Q738" s="1"/>
      <c r="AD738" s="1"/>
      <c r="AG738" s="1"/>
      <c r="AI738" s="1"/>
    </row>
    <row r="739" spans="4:35" hidden="1">
      <c r="D739" s="1"/>
      <c r="K739" s="1"/>
      <c r="Q739" s="1"/>
      <c r="AD739" s="1"/>
      <c r="AG739" s="1"/>
      <c r="AI739" s="1"/>
    </row>
    <row r="740" spans="4:35" hidden="1">
      <c r="D740" s="1"/>
      <c r="K740" s="1"/>
      <c r="Q740" s="1"/>
      <c r="AD740" s="1"/>
      <c r="AG740" s="1"/>
      <c r="AI740" s="1"/>
    </row>
    <row r="741" spans="4:35" hidden="1">
      <c r="D741" s="1"/>
      <c r="K741" s="1"/>
      <c r="Q741" s="1"/>
      <c r="AD741" s="1"/>
      <c r="AG741" s="1"/>
      <c r="AI741" s="1"/>
    </row>
    <row r="742" spans="4:35" hidden="1">
      <c r="D742" s="1"/>
      <c r="K742" s="1"/>
      <c r="Q742" s="1"/>
      <c r="AD742" s="1"/>
      <c r="AG742" s="1"/>
      <c r="AI742" s="1"/>
    </row>
    <row r="743" spans="4:35" hidden="1">
      <c r="D743" s="1"/>
      <c r="K743" s="1"/>
      <c r="Q743" s="1"/>
      <c r="AD743" s="1"/>
      <c r="AG743" s="1"/>
      <c r="AI743" s="1"/>
    </row>
    <row r="744" spans="4:35" hidden="1">
      <c r="D744" s="1"/>
      <c r="K744" s="1"/>
      <c r="Q744" s="1"/>
      <c r="AD744" s="1"/>
      <c r="AG744" s="1"/>
      <c r="AI744" s="1"/>
    </row>
    <row r="745" spans="4:35" hidden="1">
      <c r="D745" s="1"/>
      <c r="K745" s="1"/>
      <c r="Q745" s="1"/>
      <c r="AD745" s="1"/>
      <c r="AG745" s="1"/>
      <c r="AI745" s="1"/>
    </row>
    <row r="746" spans="4:35" hidden="1">
      <c r="D746" s="1"/>
      <c r="K746" s="1"/>
      <c r="Q746" s="1"/>
      <c r="AD746" s="1"/>
      <c r="AG746" s="1"/>
      <c r="AI746" s="1"/>
    </row>
    <row r="747" spans="4:35" hidden="1">
      <c r="D747" s="1"/>
      <c r="K747" s="1"/>
      <c r="Q747" s="1"/>
      <c r="AD747" s="1"/>
      <c r="AG747" s="1"/>
      <c r="AI747" s="1"/>
    </row>
    <row r="748" spans="4:35" hidden="1">
      <c r="D748" s="1"/>
      <c r="K748" s="1"/>
      <c r="Q748" s="1"/>
      <c r="AD748" s="1"/>
      <c r="AG748" s="1"/>
      <c r="AI748" s="1"/>
    </row>
    <row r="749" spans="4:35" hidden="1">
      <c r="D749" s="1"/>
      <c r="K749" s="1"/>
      <c r="Q749" s="1"/>
      <c r="AD749" s="1"/>
      <c r="AG749" s="1"/>
      <c r="AI749" s="1"/>
    </row>
    <row r="750" spans="4:35" hidden="1">
      <c r="D750" s="1"/>
      <c r="K750" s="1"/>
      <c r="Q750" s="1"/>
      <c r="AD750" s="1"/>
      <c r="AG750" s="1"/>
      <c r="AI750" s="1"/>
    </row>
    <row r="751" spans="4:35" hidden="1">
      <c r="D751" s="1"/>
      <c r="K751" s="1"/>
      <c r="Q751" s="1"/>
      <c r="AD751" s="1"/>
      <c r="AG751" s="1"/>
      <c r="AI751" s="1"/>
    </row>
    <row r="752" spans="4:35" hidden="1">
      <c r="D752" s="1"/>
      <c r="K752" s="1"/>
      <c r="Q752" s="1"/>
      <c r="AD752" s="1"/>
      <c r="AG752" s="1"/>
      <c r="AI752" s="1"/>
    </row>
    <row r="753" spans="4:35" hidden="1">
      <c r="D753" s="1"/>
      <c r="K753" s="1"/>
      <c r="Q753" s="1"/>
      <c r="AD753" s="1"/>
      <c r="AG753" s="1"/>
      <c r="AI753" s="1"/>
    </row>
    <row r="754" spans="4:35" hidden="1">
      <c r="D754" s="1"/>
      <c r="K754" s="1"/>
      <c r="Q754" s="1"/>
      <c r="AD754" s="1"/>
      <c r="AG754" s="1"/>
      <c r="AI754" s="1"/>
    </row>
    <row r="755" spans="4:35" hidden="1">
      <c r="D755" s="1"/>
      <c r="K755" s="1"/>
      <c r="Q755" s="1"/>
      <c r="AD755" s="1"/>
      <c r="AG755" s="1"/>
      <c r="AI755" s="1"/>
    </row>
    <row r="756" spans="4:35" hidden="1">
      <c r="D756" s="1"/>
      <c r="K756" s="1"/>
      <c r="Q756" s="1"/>
      <c r="AD756" s="1"/>
      <c r="AG756" s="1"/>
      <c r="AI756" s="1"/>
    </row>
    <row r="757" spans="4:35" hidden="1">
      <c r="D757" s="1"/>
      <c r="K757" s="1"/>
      <c r="Q757" s="1"/>
      <c r="AD757" s="1"/>
      <c r="AG757" s="1"/>
      <c r="AI757" s="1"/>
    </row>
    <row r="758" spans="4:35" hidden="1">
      <c r="D758" s="1"/>
      <c r="K758" s="1"/>
      <c r="Q758" s="1"/>
      <c r="AD758" s="1"/>
      <c r="AG758" s="1"/>
      <c r="AI758" s="1"/>
    </row>
    <row r="759" spans="4:35" hidden="1">
      <c r="D759" s="1"/>
      <c r="K759" s="1"/>
      <c r="Q759" s="1"/>
      <c r="AD759" s="1"/>
      <c r="AG759" s="1"/>
      <c r="AI759" s="1"/>
    </row>
    <row r="760" spans="4:35" hidden="1">
      <c r="D760" s="1"/>
      <c r="K760" s="1"/>
      <c r="Q760" s="1"/>
      <c r="AD760" s="1"/>
      <c r="AG760" s="1"/>
      <c r="AI760" s="1"/>
    </row>
    <row r="761" spans="4:35" hidden="1">
      <c r="D761" s="1"/>
      <c r="K761" s="1"/>
      <c r="Q761" s="1"/>
      <c r="AD761" s="1"/>
      <c r="AG761" s="1"/>
      <c r="AI761" s="1"/>
    </row>
    <row r="762" spans="4:35" hidden="1">
      <c r="D762" s="1"/>
      <c r="K762" s="1"/>
      <c r="Q762" s="1"/>
      <c r="AD762" s="1"/>
      <c r="AG762" s="1"/>
      <c r="AI762" s="1"/>
    </row>
    <row r="763" spans="4:35" hidden="1">
      <c r="D763" s="1"/>
      <c r="K763" s="1"/>
      <c r="Q763" s="1"/>
      <c r="AD763" s="1"/>
      <c r="AG763" s="1"/>
      <c r="AI763" s="1"/>
    </row>
    <row r="764" spans="4:35" hidden="1">
      <c r="D764" s="1"/>
      <c r="K764" s="1"/>
      <c r="Q764" s="1"/>
      <c r="AD764" s="1"/>
      <c r="AG764" s="1"/>
      <c r="AI764" s="1"/>
    </row>
    <row r="765" spans="4:35" hidden="1">
      <c r="D765" s="1"/>
      <c r="K765" s="1"/>
      <c r="Q765" s="1"/>
      <c r="AD765" s="1"/>
      <c r="AG765" s="1"/>
      <c r="AI765" s="1"/>
    </row>
    <row r="766" spans="4:35" hidden="1">
      <c r="D766" s="1"/>
      <c r="K766" s="1"/>
      <c r="Q766" s="1"/>
      <c r="AD766" s="1"/>
      <c r="AG766" s="1"/>
      <c r="AI766" s="1"/>
    </row>
    <row r="767" spans="4:35" hidden="1">
      <c r="D767" s="1"/>
      <c r="K767" s="1"/>
      <c r="Q767" s="1"/>
      <c r="AD767" s="1"/>
      <c r="AG767" s="1"/>
      <c r="AI767" s="1"/>
    </row>
    <row r="768" spans="4:35" hidden="1">
      <c r="D768" s="1"/>
      <c r="K768" s="1"/>
      <c r="Q768" s="1"/>
      <c r="AD768" s="1"/>
      <c r="AG768" s="1"/>
      <c r="AI768" s="1"/>
    </row>
    <row r="769" spans="4:35" hidden="1">
      <c r="D769" s="1"/>
      <c r="K769" s="1"/>
      <c r="Q769" s="1"/>
      <c r="AD769" s="1"/>
      <c r="AG769" s="1"/>
      <c r="AI769" s="1"/>
    </row>
    <row r="770" spans="4:35" hidden="1">
      <c r="D770" s="1"/>
      <c r="K770" s="1"/>
      <c r="Q770" s="1"/>
      <c r="AD770" s="1"/>
      <c r="AG770" s="1"/>
      <c r="AI770" s="1"/>
    </row>
    <row r="771" spans="4:35" hidden="1">
      <c r="D771" s="1"/>
      <c r="K771" s="1"/>
      <c r="Q771" s="1"/>
      <c r="AD771" s="1"/>
      <c r="AG771" s="1"/>
      <c r="AI771" s="1"/>
    </row>
    <row r="772" spans="4:35" hidden="1">
      <c r="D772" s="1"/>
      <c r="K772" s="1"/>
      <c r="Q772" s="1"/>
      <c r="AD772" s="1"/>
      <c r="AG772" s="1"/>
      <c r="AI772" s="1"/>
    </row>
    <row r="773" spans="4:35" hidden="1">
      <c r="D773" s="1"/>
      <c r="K773" s="1"/>
      <c r="Q773" s="1"/>
      <c r="AD773" s="1"/>
      <c r="AG773" s="1"/>
      <c r="AI773" s="1"/>
    </row>
    <row r="774" spans="4:35" hidden="1">
      <c r="D774" s="1"/>
      <c r="K774" s="1"/>
      <c r="Q774" s="1"/>
      <c r="AD774" s="1"/>
      <c r="AG774" s="1"/>
      <c r="AI774" s="1"/>
    </row>
    <row r="775" spans="4:35" hidden="1">
      <c r="D775" s="1"/>
      <c r="K775" s="1"/>
      <c r="Q775" s="1"/>
      <c r="AD775" s="1"/>
      <c r="AG775" s="1"/>
      <c r="AI775" s="1"/>
    </row>
    <row r="776" spans="4:35" hidden="1">
      <c r="D776" s="1"/>
      <c r="K776" s="1"/>
      <c r="Q776" s="1"/>
      <c r="AD776" s="1"/>
      <c r="AG776" s="1"/>
      <c r="AI776" s="1"/>
    </row>
    <row r="777" spans="4:35" hidden="1">
      <c r="D777" s="1"/>
      <c r="K777" s="1"/>
      <c r="Q777" s="1"/>
      <c r="AD777" s="1"/>
      <c r="AG777" s="1"/>
      <c r="AI777" s="1"/>
    </row>
    <row r="778" spans="4:35" hidden="1">
      <c r="D778" s="1"/>
      <c r="K778" s="1"/>
      <c r="Q778" s="1"/>
      <c r="AD778" s="1"/>
      <c r="AG778" s="1"/>
      <c r="AI778" s="1"/>
    </row>
    <row r="779" spans="4:35" hidden="1">
      <c r="D779" s="1"/>
      <c r="K779" s="1"/>
      <c r="Q779" s="1"/>
      <c r="AD779" s="1"/>
      <c r="AG779" s="1"/>
      <c r="AI779" s="1"/>
    </row>
    <row r="780" spans="4:35" hidden="1">
      <c r="D780" s="1"/>
      <c r="K780" s="1"/>
      <c r="Q780" s="1"/>
      <c r="AD780" s="1"/>
      <c r="AG780" s="1"/>
      <c r="AI780" s="1"/>
    </row>
    <row r="781" spans="4:35" hidden="1">
      <c r="D781" s="1"/>
      <c r="K781" s="1"/>
      <c r="Q781" s="1"/>
      <c r="AD781" s="1"/>
      <c r="AG781" s="1"/>
      <c r="AI781" s="1"/>
    </row>
    <row r="782" spans="4:35" hidden="1">
      <c r="D782" s="1"/>
      <c r="K782" s="1"/>
      <c r="Q782" s="1"/>
      <c r="AD782" s="1"/>
      <c r="AG782" s="1"/>
      <c r="AI782" s="1"/>
    </row>
    <row r="783" spans="4:35" hidden="1">
      <c r="D783" s="1"/>
      <c r="K783" s="1"/>
      <c r="Q783" s="1"/>
      <c r="AD783" s="1"/>
      <c r="AG783" s="1"/>
      <c r="AI783" s="1"/>
    </row>
    <row r="784" spans="4:35" hidden="1">
      <c r="D784" s="1"/>
      <c r="K784" s="1"/>
      <c r="Q784" s="1"/>
      <c r="AD784" s="1"/>
      <c r="AG784" s="1"/>
      <c r="AI784" s="1"/>
    </row>
    <row r="785" spans="4:35" hidden="1">
      <c r="D785" s="1"/>
      <c r="K785" s="1"/>
      <c r="Q785" s="1"/>
      <c r="AD785" s="1"/>
      <c r="AG785" s="1"/>
      <c r="AI785" s="1"/>
    </row>
    <row r="786" spans="4:35" hidden="1">
      <c r="D786" s="1"/>
      <c r="K786" s="1"/>
      <c r="Q786" s="1"/>
      <c r="AD786" s="1"/>
      <c r="AG786" s="1"/>
      <c r="AI786" s="1"/>
    </row>
    <row r="787" spans="4:35" hidden="1">
      <c r="D787" s="1"/>
      <c r="K787" s="1"/>
      <c r="Q787" s="1"/>
      <c r="AD787" s="1"/>
      <c r="AG787" s="1"/>
      <c r="AI787" s="1"/>
    </row>
    <row r="788" spans="4:35" hidden="1">
      <c r="D788" s="1"/>
      <c r="K788" s="1"/>
      <c r="Q788" s="1"/>
      <c r="AD788" s="1"/>
      <c r="AG788" s="1"/>
      <c r="AI788" s="1"/>
    </row>
    <row r="789" spans="4:35" hidden="1">
      <c r="D789" s="1"/>
      <c r="K789" s="1"/>
      <c r="Q789" s="1"/>
      <c r="AD789" s="1"/>
      <c r="AG789" s="1"/>
      <c r="AI789" s="1"/>
    </row>
    <row r="790" spans="4:35" hidden="1">
      <c r="D790" s="1"/>
      <c r="K790" s="1"/>
      <c r="Q790" s="1"/>
      <c r="AD790" s="1"/>
      <c r="AG790" s="1"/>
      <c r="AI790" s="1"/>
    </row>
    <row r="791" spans="4:35" hidden="1">
      <c r="D791" s="1"/>
      <c r="K791" s="1"/>
      <c r="Q791" s="1"/>
      <c r="AD791" s="1"/>
      <c r="AG791" s="1"/>
      <c r="AI791" s="1"/>
    </row>
    <row r="792" spans="4:35" hidden="1">
      <c r="D792" s="1"/>
      <c r="K792" s="1"/>
      <c r="Q792" s="1"/>
      <c r="AD792" s="1"/>
      <c r="AG792" s="1"/>
      <c r="AI792" s="1"/>
    </row>
    <row r="793" spans="4:35" hidden="1">
      <c r="D793" s="1"/>
      <c r="K793" s="1"/>
      <c r="Q793" s="1"/>
      <c r="AD793" s="1"/>
      <c r="AG793" s="1"/>
      <c r="AI793" s="1"/>
    </row>
    <row r="794" spans="4:35" hidden="1">
      <c r="D794" s="1"/>
      <c r="K794" s="1"/>
      <c r="Q794" s="1"/>
      <c r="AD794" s="1"/>
      <c r="AG794" s="1"/>
      <c r="AI794" s="1"/>
    </row>
    <row r="795" spans="4:35" hidden="1">
      <c r="D795" s="1"/>
      <c r="K795" s="1"/>
      <c r="Q795" s="1"/>
      <c r="AD795" s="1"/>
      <c r="AG795" s="1"/>
      <c r="AI795" s="1"/>
    </row>
    <row r="796" spans="4:35" hidden="1">
      <c r="D796" s="1"/>
      <c r="K796" s="1"/>
      <c r="Q796" s="1"/>
      <c r="AD796" s="1"/>
      <c r="AG796" s="1"/>
      <c r="AI796" s="1"/>
    </row>
    <row r="797" spans="4:35" hidden="1">
      <c r="D797" s="1"/>
      <c r="K797" s="1"/>
      <c r="Q797" s="1"/>
      <c r="AD797" s="1"/>
      <c r="AG797" s="1"/>
      <c r="AI797" s="1"/>
    </row>
    <row r="798" spans="4:35" hidden="1">
      <c r="D798" s="1"/>
      <c r="K798" s="1"/>
      <c r="Q798" s="1"/>
      <c r="AD798" s="1"/>
      <c r="AG798" s="1"/>
      <c r="AI798" s="1"/>
    </row>
    <row r="799" spans="4:35" hidden="1">
      <c r="D799" s="1"/>
      <c r="K799" s="1"/>
      <c r="Q799" s="1"/>
      <c r="AD799" s="1"/>
      <c r="AG799" s="1"/>
      <c r="AI799" s="1"/>
    </row>
    <row r="800" spans="4:35" hidden="1">
      <c r="D800" s="1"/>
      <c r="K800" s="1"/>
      <c r="Q800" s="1"/>
      <c r="AD800" s="1"/>
      <c r="AG800" s="1"/>
      <c r="AI800" s="1"/>
    </row>
    <row r="801" spans="4:35" hidden="1">
      <c r="D801" s="1"/>
      <c r="K801" s="1"/>
      <c r="Q801" s="1"/>
      <c r="AD801" s="1"/>
      <c r="AG801" s="1"/>
      <c r="AI801" s="1"/>
    </row>
    <row r="802" spans="4:35" hidden="1">
      <c r="D802" s="1"/>
      <c r="K802" s="1"/>
      <c r="Q802" s="1"/>
      <c r="AD802" s="1"/>
      <c r="AG802" s="1"/>
      <c r="AI802" s="1"/>
    </row>
    <row r="803" spans="4:35" hidden="1">
      <c r="D803" s="1"/>
      <c r="K803" s="1"/>
      <c r="Q803" s="1"/>
      <c r="AD803" s="1"/>
      <c r="AG803" s="1"/>
      <c r="AI803" s="1"/>
    </row>
    <row r="804" spans="4:35" hidden="1">
      <c r="D804" s="1"/>
      <c r="K804" s="1"/>
      <c r="Q804" s="1"/>
      <c r="AD804" s="1"/>
      <c r="AG804" s="1"/>
      <c r="AI804" s="1"/>
    </row>
    <row r="805" spans="4:35" hidden="1">
      <c r="D805" s="1"/>
      <c r="K805" s="1"/>
      <c r="Q805" s="1"/>
      <c r="AD805" s="1"/>
      <c r="AG805" s="1"/>
      <c r="AI805" s="1"/>
    </row>
    <row r="806" spans="4:35" hidden="1">
      <c r="D806" s="1"/>
      <c r="K806" s="1"/>
      <c r="Q806" s="1"/>
      <c r="AD806" s="1"/>
      <c r="AG806" s="1"/>
      <c r="AI806" s="1"/>
    </row>
    <row r="807" spans="4:35" hidden="1">
      <c r="D807" s="1"/>
      <c r="K807" s="1"/>
      <c r="Q807" s="1"/>
      <c r="AD807" s="1"/>
      <c r="AG807" s="1"/>
      <c r="AI807" s="1"/>
    </row>
    <row r="808" spans="4:35" hidden="1">
      <c r="D808" s="1"/>
      <c r="K808" s="1"/>
      <c r="Q808" s="1"/>
      <c r="AD808" s="1"/>
      <c r="AG808" s="1"/>
      <c r="AI808" s="1"/>
    </row>
    <row r="809" spans="4:35" hidden="1">
      <c r="D809" s="1"/>
      <c r="K809" s="1"/>
      <c r="Q809" s="1"/>
      <c r="AD809" s="1"/>
      <c r="AG809" s="1"/>
      <c r="AI809" s="1"/>
    </row>
    <row r="810" spans="4:35" hidden="1">
      <c r="D810" s="1"/>
      <c r="K810" s="1"/>
      <c r="Q810" s="1"/>
      <c r="AD810" s="1"/>
      <c r="AG810" s="1"/>
      <c r="AI810" s="1"/>
    </row>
    <row r="811" spans="4:35" hidden="1">
      <c r="D811" s="1"/>
      <c r="K811" s="1"/>
      <c r="Q811" s="1"/>
      <c r="AD811" s="1"/>
      <c r="AG811" s="1"/>
      <c r="AI811" s="1"/>
    </row>
    <row r="812" spans="4:35" hidden="1">
      <c r="D812" s="1"/>
      <c r="K812" s="1"/>
      <c r="Q812" s="1"/>
      <c r="AD812" s="1"/>
      <c r="AG812" s="1"/>
      <c r="AI812" s="1"/>
    </row>
    <row r="813" spans="4:35" hidden="1">
      <c r="D813" s="1"/>
      <c r="K813" s="1"/>
      <c r="Q813" s="1"/>
      <c r="AD813" s="1"/>
      <c r="AG813" s="1"/>
      <c r="AI813" s="1"/>
    </row>
    <row r="814" spans="4:35" hidden="1">
      <c r="D814" s="1"/>
      <c r="K814" s="1"/>
      <c r="Q814" s="1"/>
      <c r="AD814" s="1"/>
      <c r="AG814" s="1"/>
      <c r="AI814" s="1"/>
    </row>
    <row r="815" spans="4:35" hidden="1">
      <c r="D815" s="1"/>
      <c r="K815" s="1"/>
      <c r="Q815" s="1"/>
      <c r="AD815" s="1"/>
      <c r="AG815" s="1"/>
      <c r="AI815" s="1"/>
    </row>
    <row r="816" spans="4:35" hidden="1">
      <c r="D816" s="1"/>
      <c r="K816" s="1"/>
      <c r="Q816" s="1"/>
      <c r="AD816" s="1"/>
      <c r="AG816" s="1"/>
      <c r="AI816" s="1"/>
    </row>
    <row r="817" spans="4:35" hidden="1">
      <c r="D817" s="1"/>
      <c r="K817" s="1"/>
      <c r="Q817" s="1"/>
      <c r="AD817" s="1"/>
      <c r="AG817" s="1"/>
      <c r="AI817" s="1"/>
    </row>
    <row r="818" spans="4:35" hidden="1">
      <c r="D818" s="1"/>
      <c r="K818" s="1"/>
      <c r="Q818" s="1"/>
      <c r="AD818" s="1"/>
      <c r="AG818" s="1"/>
      <c r="AI818" s="1"/>
    </row>
    <row r="819" spans="4:35" hidden="1">
      <c r="D819" s="1"/>
      <c r="K819" s="1"/>
      <c r="Q819" s="1"/>
      <c r="AD819" s="1"/>
      <c r="AG819" s="1"/>
      <c r="AI819" s="1"/>
    </row>
    <row r="820" spans="4:35" hidden="1">
      <c r="D820" s="1"/>
      <c r="K820" s="1"/>
      <c r="Q820" s="1"/>
      <c r="AD820" s="1"/>
      <c r="AG820" s="1"/>
      <c r="AI820" s="1"/>
    </row>
    <row r="821" spans="4:35" hidden="1">
      <c r="D821" s="1"/>
      <c r="K821" s="1"/>
      <c r="Q821" s="1"/>
      <c r="AD821" s="1"/>
      <c r="AG821" s="1"/>
      <c r="AI821" s="1"/>
    </row>
    <row r="822" spans="4:35" hidden="1">
      <c r="D822" s="1"/>
      <c r="K822" s="1"/>
      <c r="Q822" s="1"/>
      <c r="AD822" s="1"/>
      <c r="AG822" s="1"/>
      <c r="AI822" s="1"/>
    </row>
    <row r="823" spans="4:35" hidden="1">
      <c r="D823" s="1"/>
      <c r="K823" s="1"/>
      <c r="Q823" s="1"/>
      <c r="AD823" s="1"/>
      <c r="AG823" s="1"/>
      <c r="AI823" s="1"/>
    </row>
    <row r="824" spans="4:35" hidden="1">
      <c r="D824" s="1"/>
      <c r="K824" s="1"/>
      <c r="Q824" s="1"/>
      <c r="AD824" s="1"/>
      <c r="AG824" s="1"/>
      <c r="AI824" s="1"/>
    </row>
    <row r="825" spans="4:35" hidden="1">
      <c r="D825" s="1"/>
      <c r="K825" s="1"/>
      <c r="Q825" s="1"/>
      <c r="AD825" s="1"/>
      <c r="AG825" s="1"/>
      <c r="AI825" s="1"/>
    </row>
    <row r="826" spans="4:35" hidden="1">
      <c r="D826" s="1"/>
      <c r="K826" s="1"/>
      <c r="Q826" s="1"/>
      <c r="AD826" s="1"/>
      <c r="AG826" s="1"/>
      <c r="AI826" s="1"/>
    </row>
    <row r="827" spans="4:35" hidden="1">
      <c r="D827" s="1"/>
      <c r="K827" s="1"/>
      <c r="Q827" s="1"/>
      <c r="AD827" s="1"/>
      <c r="AG827" s="1"/>
      <c r="AI827" s="1"/>
    </row>
    <row r="828" spans="4:35" hidden="1">
      <c r="D828" s="1"/>
      <c r="K828" s="1"/>
      <c r="Q828" s="1"/>
      <c r="AD828" s="1"/>
      <c r="AG828" s="1"/>
      <c r="AI828" s="1"/>
    </row>
    <row r="829" spans="4:35" hidden="1">
      <c r="D829" s="1"/>
      <c r="K829" s="1"/>
      <c r="Q829" s="1"/>
      <c r="AD829" s="1"/>
      <c r="AG829" s="1"/>
      <c r="AI829" s="1"/>
    </row>
    <row r="830" spans="4:35" hidden="1">
      <c r="D830" s="1"/>
      <c r="K830" s="1"/>
      <c r="Q830" s="1"/>
      <c r="AD830" s="1"/>
      <c r="AG830" s="1"/>
      <c r="AI830" s="1"/>
    </row>
    <row r="831" spans="4:35" hidden="1">
      <c r="D831" s="1"/>
      <c r="K831" s="1"/>
      <c r="Q831" s="1"/>
      <c r="AD831" s="1"/>
      <c r="AG831" s="1"/>
      <c r="AI831" s="1"/>
    </row>
    <row r="832" spans="4:35" hidden="1">
      <c r="D832" s="1"/>
      <c r="K832" s="1"/>
      <c r="Q832" s="1"/>
      <c r="AD832" s="1"/>
      <c r="AG832" s="1"/>
      <c r="AI832" s="1"/>
    </row>
    <row r="833" spans="4:35" hidden="1">
      <c r="D833" s="1"/>
      <c r="K833" s="1"/>
      <c r="Q833" s="1"/>
      <c r="AD833" s="1"/>
      <c r="AG833" s="1"/>
      <c r="AI833" s="1"/>
    </row>
    <row r="834" spans="4:35" hidden="1">
      <c r="D834" s="1"/>
      <c r="K834" s="1"/>
      <c r="Q834" s="1"/>
      <c r="AD834" s="1"/>
      <c r="AG834" s="1"/>
      <c r="AI834" s="1"/>
    </row>
    <row r="835" spans="4:35" hidden="1">
      <c r="D835" s="1"/>
      <c r="K835" s="1"/>
      <c r="Q835" s="1"/>
      <c r="AD835" s="1"/>
      <c r="AG835" s="1"/>
      <c r="AI835" s="1"/>
    </row>
    <row r="836" spans="4:35" hidden="1">
      <c r="D836" s="1"/>
      <c r="K836" s="1"/>
      <c r="Q836" s="1"/>
      <c r="AD836" s="1"/>
      <c r="AG836" s="1"/>
      <c r="AI836" s="1"/>
    </row>
    <row r="837" spans="4:35" hidden="1">
      <c r="D837" s="1"/>
      <c r="K837" s="1"/>
      <c r="Q837" s="1"/>
      <c r="AD837" s="1"/>
      <c r="AG837" s="1"/>
      <c r="AI837" s="1"/>
    </row>
    <row r="838" spans="4:35" hidden="1">
      <c r="D838" s="1"/>
      <c r="K838" s="1"/>
      <c r="Q838" s="1"/>
      <c r="AD838" s="1"/>
      <c r="AG838" s="1"/>
      <c r="AI838" s="1"/>
    </row>
    <row r="839" spans="4:35" hidden="1">
      <c r="D839" s="1"/>
      <c r="K839" s="1"/>
      <c r="Q839" s="1"/>
      <c r="AD839" s="1"/>
      <c r="AG839" s="1"/>
      <c r="AI839" s="1"/>
    </row>
    <row r="840" spans="4:35" hidden="1">
      <c r="D840" s="1"/>
      <c r="K840" s="1"/>
      <c r="Q840" s="1"/>
      <c r="AD840" s="1"/>
      <c r="AG840" s="1"/>
      <c r="AI840" s="1"/>
    </row>
    <row r="841" spans="4:35" hidden="1">
      <c r="D841" s="1"/>
      <c r="K841" s="1"/>
      <c r="Q841" s="1"/>
      <c r="AD841" s="1"/>
      <c r="AG841" s="1"/>
      <c r="AI841" s="1"/>
    </row>
    <row r="842" spans="4:35" hidden="1">
      <c r="D842" s="1"/>
      <c r="K842" s="1"/>
      <c r="Q842" s="1"/>
      <c r="AD842" s="1"/>
      <c r="AG842" s="1"/>
      <c r="AI842" s="1"/>
    </row>
    <row r="843" spans="4:35" hidden="1">
      <c r="D843" s="1"/>
      <c r="K843" s="1"/>
      <c r="Q843" s="1"/>
      <c r="AD843" s="1"/>
      <c r="AG843" s="1"/>
      <c r="AI843" s="1"/>
    </row>
    <row r="844" spans="4:35" hidden="1">
      <c r="D844" s="1"/>
      <c r="K844" s="1"/>
      <c r="Q844" s="1"/>
      <c r="AD844" s="1"/>
      <c r="AG844" s="1"/>
      <c r="AI844" s="1"/>
    </row>
    <row r="845" spans="4:35" hidden="1">
      <c r="D845" s="1"/>
      <c r="K845" s="1"/>
      <c r="Q845" s="1"/>
      <c r="AD845" s="1"/>
      <c r="AG845" s="1"/>
      <c r="AI845" s="1"/>
    </row>
    <row r="846" spans="4:35" hidden="1">
      <c r="D846" s="1"/>
      <c r="K846" s="1"/>
      <c r="Q846" s="1"/>
      <c r="AD846" s="1"/>
      <c r="AG846" s="1"/>
      <c r="AI846" s="1"/>
    </row>
    <row r="847" spans="4:35" hidden="1">
      <c r="D847" s="1"/>
      <c r="K847" s="1"/>
      <c r="Q847" s="1"/>
      <c r="AD847" s="1"/>
      <c r="AG847" s="1"/>
      <c r="AI847" s="1"/>
    </row>
    <row r="848" spans="4:35" hidden="1">
      <c r="D848" s="1"/>
      <c r="K848" s="1"/>
      <c r="Q848" s="1"/>
      <c r="AD848" s="1"/>
      <c r="AG848" s="1"/>
      <c r="AI848" s="1"/>
    </row>
    <row r="849" spans="4:35" hidden="1">
      <c r="D849" s="1"/>
      <c r="K849" s="1"/>
      <c r="Q849" s="1"/>
      <c r="AD849" s="1"/>
      <c r="AG849" s="1"/>
      <c r="AI849" s="1"/>
    </row>
    <row r="850" spans="4:35" hidden="1">
      <c r="D850" s="1"/>
      <c r="K850" s="1"/>
      <c r="Q850" s="1"/>
      <c r="AD850" s="1"/>
      <c r="AG850" s="1"/>
      <c r="AI850" s="1"/>
    </row>
    <row r="851" spans="4:35" hidden="1">
      <c r="D851" s="1"/>
      <c r="K851" s="1"/>
      <c r="Q851" s="1"/>
      <c r="AD851" s="1"/>
      <c r="AG851" s="1"/>
      <c r="AI851" s="1"/>
    </row>
    <row r="852" spans="4:35" hidden="1">
      <c r="D852" s="1"/>
      <c r="K852" s="1"/>
      <c r="Q852" s="1"/>
      <c r="AD852" s="1"/>
      <c r="AG852" s="1"/>
      <c r="AI852" s="1"/>
    </row>
    <row r="853" spans="4:35" hidden="1">
      <c r="D853" s="1"/>
      <c r="K853" s="1"/>
      <c r="Q853" s="1"/>
      <c r="AD853" s="1"/>
      <c r="AG853" s="1"/>
      <c r="AI853" s="1"/>
    </row>
    <row r="854" spans="4:35" hidden="1">
      <c r="D854" s="1"/>
      <c r="K854" s="1"/>
      <c r="Q854" s="1"/>
      <c r="AD854" s="1"/>
      <c r="AG854" s="1"/>
      <c r="AI854" s="1"/>
    </row>
    <row r="855" spans="4:35" hidden="1">
      <c r="D855" s="1"/>
      <c r="K855" s="1"/>
      <c r="Q855" s="1"/>
      <c r="AD855" s="1"/>
      <c r="AG855" s="1"/>
      <c r="AI855" s="1"/>
    </row>
    <row r="856" spans="4:35" hidden="1">
      <c r="D856" s="1"/>
      <c r="K856" s="1"/>
      <c r="Q856" s="1"/>
      <c r="AD856" s="1"/>
      <c r="AG856" s="1"/>
      <c r="AI856" s="1"/>
    </row>
    <row r="857" spans="4:35" hidden="1">
      <c r="D857" s="1"/>
      <c r="K857" s="1"/>
      <c r="Q857" s="1"/>
      <c r="AD857" s="1"/>
      <c r="AG857" s="1"/>
      <c r="AI857" s="1"/>
    </row>
    <row r="858" spans="4:35" hidden="1">
      <c r="D858" s="1"/>
      <c r="K858" s="1"/>
      <c r="Q858" s="1"/>
      <c r="AD858" s="1"/>
      <c r="AG858" s="1"/>
      <c r="AI858" s="1"/>
    </row>
    <row r="859" spans="4:35" hidden="1">
      <c r="D859" s="1"/>
      <c r="K859" s="1"/>
      <c r="Q859" s="1"/>
      <c r="AD859" s="1"/>
      <c r="AG859" s="1"/>
      <c r="AI859" s="1"/>
    </row>
    <row r="860" spans="4:35" hidden="1">
      <c r="D860" s="1"/>
      <c r="K860" s="1"/>
      <c r="Q860" s="1"/>
      <c r="AD860" s="1"/>
      <c r="AG860" s="1"/>
      <c r="AI860" s="1"/>
    </row>
    <row r="861" spans="4:35" hidden="1">
      <c r="D861" s="1"/>
      <c r="K861" s="1"/>
      <c r="Q861" s="1"/>
      <c r="AD861" s="1"/>
      <c r="AG861" s="1"/>
      <c r="AI861" s="1"/>
    </row>
    <row r="862" spans="4:35" hidden="1">
      <c r="D862" s="1"/>
      <c r="K862" s="1"/>
      <c r="Q862" s="1"/>
      <c r="AD862" s="1"/>
      <c r="AG862" s="1"/>
      <c r="AI862" s="1"/>
    </row>
    <row r="863" spans="4:35" hidden="1">
      <c r="D863" s="1"/>
      <c r="K863" s="1"/>
      <c r="Q863" s="1"/>
      <c r="AD863" s="1"/>
      <c r="AG863" s="1"/>
      <c r="AI863" s="1"/>
    </row>
    <row r="864" spans="4:35" hidden="1">
      <c r="D864" s="1"/>
      <c r="K864" s="1"/>
      <c r="Q864" s="1"/>
      <c r="AD864" s="1"/>
      <c r="AG864" s="1"/>
      <c r="AI864" s="1"/>
    </row>
    <row r="865" spans="4:35" hidden="1">
      <c r="D865" s="1"/>
      <c r="K865" s="1"/>
      <c r="Q865" s="1"/>
      <c r="AD865" s="1"/>
      <c r="AG865" s="1"/>
      <c r="AI865" s="1"/>
    </row>
    <row r="866" spans="4:35" hidden="1">
      <c r="D866" s="1"/>
      <c r="K866" s="1"/>
      <c r="Q866" s="1"/>
      <c r="AD866" s="1"/>
      <c r="AG866" s="1"/>
      <c r="AI866" s="1"/>
    </row>
    <row r="867" spans="4:35" hidden="1">
      <c r="D867" s="1"/>
      <c r="K867" s="1"/>
      <c r="Q867" s="1"/>
      <c r="AD867" s="1"/>
      <c r="AG867" s="1"/>
      <c r="AI867" s="1"/>
    </row>
    <row r="868" spans="4:35" hidden="1">
      <c r="D868" s="1"/>
      <c r="K868" s="1"/>
      <c r="Q868" s="1"/>
      <c r="AD868" s="1"/>
      <c r="AG868" s="1"/>
      <c r="AI868" s="1"/>
    </row>
    <row r="869" spans="4:35" hidden="1">
      <c r="D869" s="1"/>
      <c r="K869" s="1"/>
      <c r="Q869" s="1"/>
      <c r="AD869" s="1"/>
      <c r="AG869" s="1"/>
      <c r="AI869" s="1"/>
    </row>
    <row r="870" spans="4:35" hidden="1">
      <c r="D870" s="1"/>
      <c r="K870" s="1"/>
      <c r="Q870" s="1"/>
      <c r="AD870" s="1"/>
      <c r="AG870" s="1"/>
      <c r="AI870" s="1"/>
    </row>
    <row r="871" spans="4:35" hidden="1">
      <c r="D871" s="1"/>
      <c r="K871" s="1"/>
      <c r="Q871" s="1"/>
      <c r="AD871" s="1"/>
      <c r="AG871" s="1"/>
      <c r="AI871" s="1"/>
    </row>
    <row r="872" spans="4:35" hidden="1">
      <c r="D872" s="1"/>
      <c r="K872" s="1"/>
      <c r="Q872" s="1"/>
      <c r="AD872" s="1"/>
      <c r="AG872" s="1"/>
      <c r="AI872" s="1"/>
    </row>
    <row r="873" spans="4:35" hidden="1">
      <c r="D873" s="1"/>
      <c r="K873" s="1"/>
      <c r="Q873" s="1"/>
      <c r="AD873" s="1"/>
      <c r="AG873" s="1"/>
      <c r="AI873" s="1"/>
    </row>
    <row r="874" spans="4:35" hidden="1">
      <c r="D874" s="1"/>
      <c r="K874" s="1"/>
      <c r="Q874" s="1"/>
      <c r="AD874" s="1"/>
      <c r="AG874" s="1"/>
      <c r="AI874" s="1"/>
    </row>
    <row r="875" spans="4:35" hidden="1">
      <c r="D875" s="1"/>
      <c r="K875" s="1"/>
      <c r="Q875" s="1"/>
      <c r="AD875" s="1"/>
      <c r="AG875" s="1"/>
      <c r="AI875" s="1"/>
    </row>
    <row r="876" spans="4:35" hidden="1">
      <c r="D876" s="1"/>
      <c r="K876" s="1"/>
      <c r="Q876" s="1"/>
      <c r="AD876" s="1"/>
      <c r="AG876" s="1"/>
      <c r="AI876" s="1"/>
    </row>
    <row r="877" spans="4:35" hidden="1">
      <c r="D877" s="1"/>
      <c r="K877" s="1"/>
      <c r="Q877" s="1"/>
      <c r="AD877" s="1"/>
      <c r="AG877" s="1"/>
      <c r="AI877" s="1"/>
    </row>
    <row r="878" spans="4:35" hidden="1">
      <c r="D878" s="1"/>
      <c r="K878" s="1"/>
      <c r="Q878" s="1"/>
      <c r="AD878" s="1"/>
      <c r="AG878" s="1"/>
      <c r="AI878" s="1"/>
    </row>
    <row r="879" spans="4:35" hidden="1">
      <c r="D879" s="1"/>
      <c r="K879" s="1"/>
      <c r="Q879" s="1"/>
      <c r="AD879" s="1"/>
      <c r="AG879" s="1"/>
      <c r="AI879" s="1"/>
    </row>
    <row r="880" spans="4:35" hidden="1">
      <c r="D880" s="1"/>
      <c r="K880" s="1"/>
      <c r="Q880" s="1"/>
      <c r="AD880" s="1"/>
      <c r="AG880" s="1"/>
      <c r="AI880" s="1"/>
    </row>
    <row r="881" spans="4:35" hidden="1">
      <c r="D881" s="1"/>
      <c r="K881" s="1"/>
      <c r="Q881" s="1"/>
      <c r="AD881" s="1"/>
      <c r="AG881" s="1"/>
      <c r="AI881" s="1"/>
    </row>
    <row r="882" spans="4:35" hidden="1">
      <c r="D882" s="1"/>
      <c r="K882" s="1"/>
      <c r="Q882" s="1"/>
      <c r="AD882" s="1"/>
      <c r="AG882" s="1"/>
      <c r="AI882" s="1"/>
    </row>
    <row r="883" spans="4:35" hidden="1">
      <c r="D883" s="1"/>
      <c r="K883" s="1"/>
      <c r="Q883" s="1"/>
      <c r="AD883" s="1"/>
      <c r="AG883" s="1"/>
      <c r="AI883" s="1"/>
    </row>
    <row r="884" spans="4:35" hidden="1">
      <c r="D884" s="1"/>
      <c r="K884" s="1"/>
      <c r="Q884" s="1"/>
      <c r="AD884" s="1"/>
      <c r="AG884" s="1"/>
      <c r="AI884" s="1"/>
    </row>
    <row r="885" spans="4:35" hidden="1">
      <c r="D885" s="1"/>
      <c r="K885" s="1"/>
      <c r="Q885" s="1"/>
      <c r="AD885" s="1"/>
      <c r="AG885" s="1"/>
      <c r="AI885" s="1"/>
    </row>
    <row r="886" spans="4:35" hidden="1">
      <c r="D886" s="1"/>
      <c r="K886" s="1"/>
      <c r="Q886" s="1"/>
      <c r="AD886" s="1"/>
      <c r="AG886" s="1"/>
      <c r="AI886" s="1"/>
    </row>
    <row r="887" spans="4:35" hidden="1">
      <c r="D887" s="1"/>
      <c r="K887" s="1"/>
      <c r="Q887" s="1"/>
      <c r="AD887" s="1"/>
      <c r="AG887" s="1"/>
      <c r="AI887" s="1"/>
    </row>
    <row r="888" spans="4:35" hidden="1">
      <c r="D888" s="1"/>
      <c r="K888" s="1"/>
      <c r="Q888" s="1"/>
      <c r="AD888" s="1"/>
      <c r="AG888" s="1"/>
      <c r="AI888" s="1"/>
    </row>
    <row r="889" spans="4:35" hidden="1">
      <c r="D889" s="1"/>
      <c r="K889" s="1"/>
      <c r="Q889" s="1"/>
      <c r="AD889" s="1"/>
      <c r="AG889" s="1"/>
      <c r="AI889" s="1"/>
    </row>
    <row r="890" spans="4:35" hidden="1">
      <c r="D890" s="1"/>
      <c r="K890" s="1"/>
      <c r="Q890" s="1"/>
      <c r="AD890" s="1"/>
      <c r="AG890" s="1"/>
      <c r="AI890" s="1"/>
    </row>
    <row r="891" spans="4:35" hidden="1">
      <c r="D891" s="1"/>
      <c r="K891" s="1"/>
      <c r="Q891" s="1"/>
      <c r="AD891" s="1"/>
      <c r="AG891" s="1"/>
      <c r="AI891" s="1"/>
    </row>
    <row r="892" spans="4:35" hidden="1">
      <c r="D892" s="1"/>
      <c r="K892" s="1"/>
      <c r="Q892" s="1"/>
      <c r="AD892" s="1"/>
      <c r="AG892" s="1"/>
      <c r="AI892" s="1"/>
    </row>
    <row r="893" spans="4:35" hidden="1">
      <c r="D893" s="1"/>
      <c r="K893" s="1"/>
      <c r="Q893" s="1"/>
      <c r="AD893" s="1"/>
      <c r="AG893" s="1"/>
      <c r="AI893" s="1"/>
    </row>
    <row r="894" spans="4:35" hidden="1">
      <c r="D894" s="1"/>
      <c r="K894" s="1"/>
      <c r="Q894" s="1"/>
      <c r="AD894" s="1"/>
      <c r="AG894" s="1"/>
      <c r="AI894" s="1"/>
    </row>
    <row r="895" spans="4:35" hidden="1">
      <c r="D895" s="1"/>
      <c r="K895" s="1"/>
      <c r="Q895" s="1"/>
      <c r="AD895" s="1"/>
      <c r="AG895" s="1"/>
      <c r="AI895" s="1"/>
    </row>
    <row r="896" spans="4:35" hidden="1">
      <c r="D896" s="1"/>
      <c r="K896" s="1"/>
      <c r="Q896" s="1"/>
      <c r="AD896" s="1"/>
      <c r="AG896" s="1"/>
      <c r="AI896" s="1"/>
    </row>
    <row r="897" spans="4:35" hidden="1">
      <c r="D897" s="1"/>
      <c r="K897" s="1"/>
      <c r="Q897" s="1"/>
      <c r="AD897" s="1"/>
      <c r="AG897" s="1"/>
      <c r="AI897" s="1"/>
    </row>
    <row r="898" spans="4:35" hidden="1">
      <c r="D898" s="1"/>
      <c r="K898" s="1"/>
      <c r="Q898" s="1"/>
      <c r="AD898" s="1"/>
      <c r="AG898" s="1"/>
      <c r="AI898" s="1"/>
    </row>
    <row r="899" spans="4:35" hidden="1">
      <c r="D899" s="1"/>
      <c r="K899" s="1"/>
      <c r="Q899" s="1"/>
      <c r="AD899" s="1"/>
      <c r="AG899" s="1"/>
      <c r="AI899" s="1"/>
    </row>
    <row r="900" spans="4:35" hidden="1">
      <c r="D900" s="1"/>
      <c r="K900" s="1"/>
      <c r="Q900" s="1"/>
      <c r="AD900" s="1"/>
      <c r="AG900" s="1"/>
      <c r="AI900" s="1"/>
    </row>
    <row r="901" spans="4:35" hidden="1">
      <c r="D901" s="1"/>
      <c r="K901" s="1"/>
      <c r="Q901" s="1"/>
      <c r="AD901" s="1"/>
      <c r="AG901" s="1"/>
      <c r="AI901" s="1"/>
    </row>
    <row r="902" spans="4:35" hidden="1">
      <c r="D902" s="1"/>
      <c r="K902" s="1"/>
      <c r="Q902" s="1"/>
      <c r="AD902" s="1"/>
      <c r="AG902" s="1"/>
      <c r="AI902" s="1"/>
    </row>
    <row r="903" spans="4:35" hidden="1">
      <c r="D903" s="1"/>
      <c r="K903" s="1"/>
      <c r="Q903" s="1"/>
      <c r="AD903" s="1"/>
      <c r="AG903" s="1"/>
      <c r="AI903" s="1"/>
    </row>
    <row r="904" spans="4:35" hidden="1">
      <c r="D904" s="1"/>
      <c r="K904" s="1"/>
      <c r="Q904" s="1"/>
      <c r="AD904" s="1"/>
      <c r="AG904" s="1"/>
      <c r="AI904" s="1"/>
    </row>
    <row r="905" spans="4:35" hidden="1">
      <c r="D905" s="1"/>
      <c r="K905" s="1"/>
      <c r="Q905" s="1"/>
      <c r="AD905" s="1"/>
      <c r="AG905" s="1"/>
      <c r="AI905" s="1"/>
    </row>
    <row r="906" spans="4:35" hidden="1">
      <c r="D906" s="1"/>
      <c r="K906" s="1"/>
      <c r="Q906" s="1"/>
      <c r="AD906" s="1"/>
      <c r="AG906" s="1"/>
      <c r="AI906" s="1"/>
    </row>
    <row r="907" spans="4:35" hidden="1">
      <c r="D907" s="1"/>
      <c r="K907" s="1"/>
      <c r="Q907" s="1"/>
      <c r="AD907" s="1"/>
      <c r="AG907" s="1"/>
      <c r="AI907" s="1"/>
    </row>
    <row r="908" spans="4:35" hidden="1">
      <c r="D908" s="1"/>
      <c r="K908" s="1"/>
      <c r="Q908" s="1"/>
      <c r="AD908" s="1"/>
      <c r="AG908" s="1"/>
      <c r="AI908" s="1"/>
    </row>
    <row r="909" spans="4:35" hidden="1">
      <c r="D909" s="1"/>
      <c r="K909" s="1"/>
      <c r="Q909" s="1"/>
      <c r="AD909" s="1"/>
      <c r="AG909" s="1"/>
      <c r="AI909" s="1"/>
    </row>
    <row r="910" spans="4:35" hidden="1">
      <c r="D910" s="1"/>
      <c r="K910" s="1"/>
      <c r="Q910" s="1"/>
      <c r="AD910" s="1"/>
      <c r="AG910" s="1"/>
      <c r="AI910" s="1"/>
    </row>
    <row r="911" spans="4:35" hidden="1">
      <c r="D911" s="1"/>
      <c r="K911" s="1"/>
      <c r="Q911" s="1"/>
      <c r="AD911" s="1"/>
      <c r="AG911" s="1"/>
      <c r="AI911" s="1"/>
    </row>
    <row r="912" spans="4:35" hidden="1">
      <c r="D912" s="1"/>
      <c r="K912" s="1"/>
      <c r="Q912" s="1"/>
      <c r="AD912" s="1"/>
      <c r="AG912" s="1"/>
      <c r="AI912" s="1"/>
    </row>
    <row r="913" spans="4:35" hidden="1">
      <c r="D913" s="1"/>
      <c r="K913" s="1"/>
      <c r="Q913" s="1"/>
      <c r="AD913" s="1"/>
      <c r="AG913" s="1"/>
      <c r="AI913" s="1"/>
    </row>
    <row r="914" spans="4:35" hidden="1">
      <c r="D914" s="1"/>
      <c r="K914" s="1"/>
      <c r="Q914" s="1"/>
      <c r="AD914" s="1"/>
      <c r="AG914" s="1"/>
      <c r="AI914" s="1"/>
    </row>
    <row r="915" spans="4:35" hidden="1">
      <c r="D915" s="1"/>
      <c r="K915" s="1"/>
      <c r="Q915" s="1"/>
      <c r="AD915" s="1"/>
      <c r="AG915" s="1"/>
      <c r="AI915" s="1"/>
    </row>
    <row r="916" spans="4:35" hidden="1">
      <c r="D916" s="1"/>
      <c r="K916" s="1"/>
      <c r="Q916" s="1"/>
      <c r="AD916" s="1"/>
      <c r="AG916" s="1"/>
      <c r="AI916" s="1"/>
    </row>
    <row r="917" spans="4:35" hidden="1">
      <c r="D917" s="1"/>
      <c r="K917" s="1"/>
      <c r="Q917" s="1"/>
      <c r="AD917" s="1"/>
      <c r="AG917" s="1"/>
      <c r="AI917" s="1"/>
    </row>
    <row r="918" spans="4:35" hidden="1">
      <c r="D918" s="1"/>
      <c r="K918" s="1"/>
      <c r="Q918" s="1"/>
      <c r="AD918" s="1"/>
      <c r="AG918" s="1"/>
      <c r="AI918" s="1"/>
    </row>
    <row r="919" spans="4:35" hidden="1">
      <c r="D919" s="1"/>
      <c r="K919" s="1"/>
      <c r="Q919" s="1"/>
      <c r="AD919" s="1"/>
      <c r="AG919" s="1"/>
      <c r="AI919" s="1"/>
    </row>
    <row r="920" spans="4:35" hidden="1">
      <c r="D920" s="1"/>
      <c r="K920" s="1"/>
      <c r="Q920" s="1"/>
      <c r="AD920" s="1"/>
      <c r="AG920" s="1"/>
      <c r="AI920" s="1"/>
    </row>
    <row r="921" spans="4:35" hidden="1">
      <c r="D921" s="1"/>
      <c r="K921" s="1"/>
      <c r="Q921" s="1"/>
      <c r="AD921" s="1"/>
      <c r="AG921" s="1"/>
      <c r="AI921" s="1"/>
    </row>
    <row r="922" spans="4:35" hidden="1">
      <c r="D922" s="1"/>
      <c r="K922" s="1"/>
      <c r="Q922" s="1"/>
      <c r="AD922" s="1"/>
      <c r="AG922" s="1"/>
      <c r="AI922" s="1"/>
    </row>
    <row r="923" spans="4:35" hidden="1">
      <c r="D923" s="1"/>
      <c r="K923" s="1"/>
      <c r="Q923" s="1"/>
      <c r="AD923" s="1"/>
      <c r="AG923" s="1"/>
      <c r="AI923" s="1"/>
    </row>
    <row r="924" spans="4:35" hidden="1">
      <c r="D924" s="1"/>
      <c r="K924" s="1"/>
      <c r="Q924" s="1"/>
      <c r="AD924" s="1"/>
      <c r="AG924" s="1"/>
      <c r="AI924" s="1"/>
    </row>
    <row r="925" spans="4:35" hidden="1">
      <c r="D925" s="1"/>
      <c r="K925" s="1"/>
      <c r="Q925" s="1"/>
      <c r="AD925" s="1"/>
      <c r="AG925" s="1"/>
      <c r="AI925" s="1"/>
    </row>
    <row r="926" spans="4:35" hidden="1">
      <c r="D926" s="1"/>
      <c r="K926" s="1"/>
      <c r="Q926" s="1"/>
      <c r="AD926" s="1"/>
      <c r="AG926" s="1"/>
      <c r="AI926" s="1"/>
    </row>
    <row r="927" spans="4:35" hidden="1">
      <c r="D927" s="1"/>
      <c r="K927" s="1"/>
      <c r="Q927" s="1"/>
      <c r="AD927" s="1"/>
      <c r="AG927" s="1"/>
      <c r="AI927" s="1"/>
    </row>
    <row r="928" spans="4:35" hidden="1">
      <c r="D928" s="1"/>
      <c r="K928" s="1"/>
      <c r="Q928" s="1"/>
      <c r="AD928" s="1"/>
      <c r="AG928" s="1"/>
      <c r="AI928" s="1"/>
    </row>
    <row r="929" spans="4:35" hidden="1">
      <c r="D929" s="1"/>
      <c r="K929" s="1"/>
      <c r="Q929" s="1"/>
      <c r="AD929" s="1"/>
      <c r="AG929" s="1"/>
      <c r="AI929" s="1"/>
    </row>
    <row r="930" spans="4:35" hidden="1">
      <c r="D930" s="1"/>
      <c r="K930" s="1"/>
      <c r="Q930" s="1"/>
      <c r="AD930" s="1"/>
      <c r="AG930" s="1"/>
      <c r="AI930" s="1"/>
    </row>
    <row r="931" spans="4:35" hidden="1">
      <c r="D931" s="1"/>
      <c r="K931" s="1"/>
      <c r="Q931" s="1"/>
      <c r="AD931" s="1"/>
      <c r="AG931" s="1"/>
      <c r="AI931" s="1"/>
    </row>
    <row r="932" spans="4:35" hidden="1">
      <c r="D932" s="1"/>
      <c r="K932" s="1"/>
      <c r="Q932" s="1"/>
      <c r="AD932" s="1"/>
      <c r="AG932" s="1"/>
      <c r="AI932" s="1"/>
    </row>
    <row r="933" spans="4:35" hidden="1">
      <c r="D933" s="1"/>
      <c r="K933" s="1"/>
      <c r="Q933" s="1"/>
      <c r="AD933" s="1"/>
      <c r="AG933" s="1"/>
      <c r="AI933" s="1"/>
    </row>
    <row r="934" spans="4:35" hidden="1">
      <c r="D934" s="1"/>
      <c r="K934" s="1"/>
      <c r="Q934" s="1"/>
      <c r="AD934" s="1"/>
      <c r="AG934" s="1"/>
      <c r="AI934" s="1"/>
    </row>
    <row r="935" spans="4:35" hidden="1">
      <c r="D935" s="1"/>
      <c r="K935" s="1"/>
      <c r="Q935" s="1"/>
      <c r="AD935" s="1"/>
      <c r="AG935" s="1"/>
      <c r="AI935" s="1"/>
    </row>
    <row r="936" spans="4:35" hidden="1">
      <c r="D936" s="1"/>
      <c r="K936" s="1"/>
      <c r="Q936" s="1"/>
      <c r="AD936" s="1"/>
      <c r="AG936" s="1"/>
      <c r="AI936" s="1"/>
    </row>
    <row r="937" spans="4:35" hidden="1">
      <c r="D937" s="1"/>
      <c r="K937" s="1"/>
      <c r="Q937" s="1"/>
      <c r="AD937" s="1"/>
      <c r="AG937" s="1"/>
      <c r="AI937" s="1"/>
    </row>
    <row r="938" spans="4:35" hidden="1">
      <c r="D938" s="1"/>
      <c r="K938" s="1"/>
      <c r="Q938" s="1"/>
      <c r="AD938" s="1"/>
      <c r="AG938" s="1"/>
      <c r="AI938" s="1"/>
    </row>
    <row r="939" spans="4:35" hidden="1">
      <c r="D939" s="1"/>
      <c r="K939" s="1"/>
      <c r="Q939" s="1"/>
      <c r="AD939" s="1"/>
      <c r="AG939" s="1"/>
      <c r="AI939" s="1"/>
    </row>
    <row r="940" spans="4:35" hidden="1">
      <c r="D940" s="1"/>
      <c r="K940" s="1"/>
      <c r="Q940" s="1"/>
      <c r="AD940" s="1"/>
      <c r="AG940" s="1"/>
      <c r="AI940" s="1"/>
    </row>
    <row r="941" spans="4:35" hidden="1">
      <c r="D941" s="1"/>
      <c r="K941" s="1"/>
      <c r="Q941" s="1"/>
      <c r="AD941" s="1"/>
      <c r="AG941" s="1"/>
      <c r="AI941" s="1"/>
    </row>
    <row r="942" spans="4:35" hidden="1">
      <c r="D942" s="1"/>
      <c r="K942" s="1"/>
      <c r="Q942" s="1"/>
      <c r="AD942" s="1"/>
      <c r="AG942" s="1"/>
      <c r="AI942" s="1"/>
    </row>
    <row r="943" spans="4:35" hidden="1">
      <c r="D943" s="1"/>
      <c r="K943" s="1"/>
      <c r="Q943" s="1"/>
      <c r="AD943" s="1"/>
      <c r="AG943" s="1"/>
      <c r="AI943" s="1"/>
    </row>
    <row r="944" spans="4:35" hidden="1">
      <c r="D944" s="1"/>
      <c r="K944" s="1"/>
      <c r="Q944" s="1"/>
      <c r="AD944" s="1"/>
      <c r="AG944" s="1"/>
      <c r="AI944" s="1"/>
    </row>
    <row r="945" spans="4:35" hidden="1">
      <c r="D945" s="1"/>
      <c r="K945" s="1"/>
      <c r="Q945" s="1"/>
      <c r="AD945" s="1"/>
      <c r="AG945" s="1"/>
      <c r="AI945" s="1"/>
    </row>
    <row r="946" spans="4:35" hidden="1">
      <c r="D946" s="1"/>
      <c r="K946" s="1"/>
      <c r="Q946" s="1"/>
      <c r="AD946" s="1"/>
      <c r="AG946" s="1"/>
      <c r="AI946" s="1"/>
    </row>
    <row r="947" spans="4:35" hidden="1">
      <c r="D947" s="1"/>
      <c r="K947" s="1"/>
      <c r="Q947" s="1"/>
      <c r="AD947" s="1"/>
      <c r="AG947" s="1"/>
      <c r="AI947" s="1"/>
    </row>
    <row r="948" spans="4:35" hidden="1">
      <c r="D948" s="1"/>
      <c r="K948" s="1"/>
      <c r="Q948" s="1"/>
      <c r="AD948" s="1"/>
      <c r="AG948" s="1"/>
      <c r="AI948" s="1"/>
    </row>
    <row r="949" spans="4:35" hidden="1">
      <c r="D949" s="1"/>
      <c r="K949" s="1"/>
      <c r="Q949" s="1"/>
      <c r="AD949" s="1"/>
      <c r="AG949" s="1"/>
      <c r="AI949" s="1"/>
    </row>
    <row r="950" spans="4:35" hidden="1">
      <c r="D950" s="1"/>
      <c r="K950" s="1"/>
      <c r="Q950" s="1"/>
      <c r="AD950" s="1"/>
      <c r="AG950" s="1"/>
      <c r="AI950" s="1"/>
    </row>
    <row r="951" spans="4:35" hidden="1">
      <c r="D951" s="1"/>
      <c r="K951" s="1"/>
      <c r="Q951" s="1"/>
      <c r="AD951" s="1"/>
      <c r="AG951" s="1"/>
      <c r="AI951" s="1"/>
    </row>
    <row r="952" spans="4:35" hidden="1">
      <c r="D952" s="1"/>
      <c r="K952" s="1"/>
      <c r="Q952" s="1"/>
      <c r="AD952" s="1"/>
      <c r="AG952" s="1"/>
      <c r="AI952" s="1"/>
    </row>
    <row r="953" spans="4:35" hidden="1">
      <c r="D953" s="1"/>
      <c r="K953" s="1"/>
      <c r="Q953" s="1"/>
      <c r="AD953" s="1"/>
      <c r="AG953" s="1"/>
      <c r="AI953" s="1"/>
    </row>
    <row r="954" spans="4:35" hidden="1">
      <c r="D954" s="1"/>
      <c r="K954" s="1"/>
      <c r="Q954" s="1"/>
      <c r="AD954" s="1"/>
      <c r="AG954" s="1"/>
      <c r="AI954" s="1"/>
    </row>
    <row r="955" spans="4:35" hidden="1">
      <c r="D955" s="1"/>
      <c r="K955" s="1"/>
      <c r="Q955" s="1"/>
      <c r="AD955" s="1"/>
      <c r="AG955" s="1"/>
      <c r="AI955" s="1"/>
    </row>
    <row r="956" spans="4:35" hidden="1">
      <c r="D956" s="1"/>
      <c r="K956" s="1"/>
      <c r="Q956" s="1"/>
      <c r="AD956" s="1"/>
      <c r="AG956" s="1"/>
      <c r="AI956" s="1"/>
    </row>
    <row r="957" spans="4:35" hidden="1">
      <c r="D957" s="1"/>
      <c r="K957" s="1"/>
      <c r="Q957" s="1"/>
      <c r="AD957" s="1"/>
      <c r="AG957" s="1"/>
      <c r="AI957" s="1"/>
    </row>
    <row r="958" spans="4:35" hidden="1">
      <c r="D958" s="1"/>
      <c r="K958" s="1"/>
      <c r="Q958" s="1"/>
      <c r="AD958" s="1"/>
      <c r="AG958" s="1"/>
      <c r="AI958" s="1"/>
    </row>
    <row r="959" spans="4:35" hidden="1">
      <c r="D959" s="1"/>
      <c r="K959" s="1"/>
      <c r="Q959" s="1"/>
      <c r="AD959" s="1"/>
      <c r="AG959" s="1"/>
      <c r="AI959" s="1"/>
    </row>
    <row r="960" spans="4:35" hidden="1">
      <c r="D960" s="1"/>
      <c r="K960" s="1"/>
      <c r="Q960" s="1"/>
      <c r="AD960" s="1"/>
      <c r="AG960" s="1"/>
      <c r="AI960" s="1"/>
    </row>
    <row r="961" spans="4:35" hidden="1">
      <c r="D961" s="1"/>
      <c r="K961" s="1"/>
      <c r="Q961" s="1"/>
      <c r="AD961" s="1"/>
      <c r="AG961" s="1"/>
      <c r="AI961" s="1"/>
    </row>
    <row r="962" spans="4:35" hidden="1">
      <c r="D962" s="1"/>
      <c r="K962" s="1"/>
      <c r="Q962" s="1"/>
      <c r="AD962" s="1"/>
      <c r="AG962" s="1"/>
      <c r="AI962" s="1"/>
    </row>
    <row r="963" spans="4:35" hidden="1">
      <c r="D963" s="1"/>
      <c r="K963" s="1"/>
      <c r="Q963" s="1"/>
      <c r="AD963" s="1"/>
      <c r="AG963" s="1"/>
      <c r="AI963" s="1"/>
    </row>
    <row r="964" spans="4:35" hidden="1">
      <c r="D964" s="1"/>
      <c r="K964" s="1"/>
      <c r="Q964" s="1"/>
      <c r="AD964" s="1"/>
      <c r="AG964" s="1"/>
      <c r="AI964" s="1"/>
    </row>
    <row r="965" spans="4:35" hidden="1">
      <c r="D965" s="1"/>
      <c r="K965" s="1"/>
      <c r="Q965" s="1"/>
      <c r="AD965" s="1"/>
      <c r="AG965" s="1"/>
      <c r="AI965" s="1"/>
    </row>
    <row r="966" spans="4:35" hidden="1">
      <c r="D966" s="1"/>
      <c r="K966" s="1"/>
      <c r="Q966" s="1"/>
      <c r="AD966" s="1"/>
      <c r="AG966" s="1"/>
      <c r="AI966" s="1"/>
    </row>
    <row r="967" spans="4:35" hidden="1">
      <c r="D967" s="1"/>
      <c r="K967" s="1"/>
      <c r="Q967" s="1"/>
      <c r="AD967" s="1"/>
      <c r="AG967" s="1"/>
      <c r="AI967" s="1"/>
    </row>
    <row r="968" spans="4:35" hidden="1">
      <c r="D968" s="1"/>
      <c r="K968" s="1"/>
      <c r="Q968" s="1"/>
      <c r="AD968" s="1"/>
      <c r="AG968" s="1"/>
      <c r="AI968" s="1"/>
    </row>
    <row r="969" spans="4:35" hidden="1">
      <c r="D969" s="1"/>
      <c r="K969" s="1"/>
      <c r="Q969" s="1"/>
      <c r="AD969" s="1"/>
      <c r="AG969" s="1"/>
      <c r="AI969" s="1"/>
    </row>
    <row r="970" spans="4:35" hidden="1">
      <c r="D970" s="1"/>
      <c r="K970" s="1"/>
      <c r="Q970" s="1"/>
      <c r="AD970" s="1"/>
      <c r="AG970" s="1"/>
      <c r="AI970" s="1"/>
    </row>
    <row r="971" spans="4:35" hidden="1">
      <c r="D971" s="1"/>
      <c r="K971" s="1"/>
      <c r="Q971" s="1"/>
      <c r="AD971" s="1"/>
      <c r="AG971" s="1"/>
      <c r="AI971" s="1"/>
    </row>
    <row r="972" spans="4:35" hidden="1">
      <c r="D972" s="1"/>
      <c r="K972" s="1"/>
      <c r="Q972" s="1"/>
      <c r="AD972" s="1"/>
      <c r="AG972" s="1"/>
      <c r="AI972" s="1"/>
    </row>
    <row r="973" spans="4:35" hidden="1">
      <c r="D973" s="1"/>
      <c r="K973" s="1"/>
      <c r="Q973" s="1"/>
      <c r="AD973" s="1"/>
      <c r="AG973" s="1"/>
      <c r="AI973" s="1"/>
    </row>
    <row r="974" spans="4:35" hidden="1">
      <c r="D974" s="1"/>
      <c r="K974" s="1"/>
      <c r="Q974" s="1"/>
      <c r="AD974" s="1"/>
      <c r="AG974" s="1"/>
      <c r="AI974" s="1"/>
    </row>
    <row r="975" spans="4:35" hidden="1">
      <c r="D975" s="1"/>
      <c r="K975" s="1"/>
      <c r="Q975" s="1"/>
      <c r="AD975" s="1"/>
      <c r="AG975" s="1"/>
      <c r="AI975" s="1"/>
    </row>
    <row r="976" spans="4:35" hidden="1">
      <c r="D976" s="1"/>
      <c r="K976" s="1"/>
      <c r="Q976" s="1"/>
      <c r="AD976" s="1"/>
      <c r="AG976" s="1"/>
      <c r="AI976" s="1"/>
    </row>
    <row r="977" spans="4:35" hidden="1">
      <c r="D977" s="1"/>
      <c r="K977" s="1"/>
      <c r="Q977" s="1"/>
      <c r="AD977" s="1"/>
      <c r="AG977" s="1"/>
      <c r="AI977" s="1"/>
    </row>
    <row r="978" spans="4:35" hidden="1">
      <c r="D978" s="1"/>
      <c r="K978" s="1"/>
      <c r="Q978" s="1"/>
      <c r="AD978" s="1"/>
      <c r="AG978" s="1"/>
      <c r="AI978" s="1"/>
    </row>
    <row r="979" spans="4:35" hidden="1">
      <c r="D979" s="1"/>
      <c r="K979" s="1"/>
      <c r="Q979" s="1"/>
      <c r="AD979" s="1"/>
      <c r="AG979" s="1"/>
      <c r="AI979" s="1"/>
    </row>
    <row r="980" spans="4:35" hidden="1">
      <c r="D980" s="1"/>
      <c r="K980" s="1"/>
      <c r="Q980" s="1"/>
      <c r="AD980" s="1"/>
      <c r="AG980" s="1"/>
      <c r="AI980" s="1"/>
    </row>
    <row r="981" spans="4:35" hidden="1">
      <c r="D981" s="1"/>
      <c r="K981" s="1"/>
      <c r="Q981" s="1"/>
      <c r="AD981" s="1"/>
      <c r="AG981" s="1"/>
      <c r="AI981" s="1"/>
    </row>
    <row r="982" spans="4:35" hidden="1">
      <c r="D982" s="1"/>
      <c r="K982" s="1"/>
      <c r="Q982" s="1"/>
      <c r="AD982" s="1"/>
      <c r="AG982" s="1"/>
      <c r="AI982" s="1"/>
    </row>
    <row r="983" spans="4:35" hidden="1">
      <c r="D983" s="1"/>
      <c r="K983" s="1"/>
      <c r="Q983" s="1"/>
      <c r="AD983" s="1"/>
      <c r="AG983" s="1"/>
      <c r="AI983" s="1"/>
    </row>
    <row r="984" spans="4:35" hidden="1">
      <c r="D984" s="1"/>
      <c r="K984" s="1"/>
      <c r="Q984" s="1"/>
      <c r="AD984" s="1"/>
      <c r="AG984" s="1"/>
      <c r="AI984" s="1"/>
    </row>
    <row r="985" spans="4:35" hidden="1">
      <c r="D985" s="1"/>
      <c r="K985" s="1"/>
      <c r="Q985" s="1"/>
      <c r="AD985" s="1"/>
      <c r="AG985" s="1"/>
      <c r="AI985" s="1"/>
    </row>
    <row r="986" spans="4:35" hidden="1">
      <c r="D986" s="1"/>
      <c r="K986" s="1"/>
      <c r="Q986" s="1"/>
      <c r="AD986" s="1"/>
      <c r="AG986" s="1"/>
      <c r="AI986" s="1"/>
    </row>
    <row r="987" spans="4:35" hidden="1">
      <c r="D987" s="1"/>
      <c r="K987" s="1"/>
      <c r="Q987" s="1"/>
      <c r="AD987" s="1"/>
      <c r="AG987" s="1"/>
      <c r="AI987" s="1"/>
    </row>
    <row r="988" spans="4:35" hidden="1">
      <c r="D988" s="1"/>
      <c r="K988" s="1"/>
      <c r="Q988" s="1"/>
      <c r="AD988" s="1"/>
      <c r="AG988" s="1"/>
      <c r="AI988" s="1"/>
    </row>
    <row r="989" spans="4:35" hidden="1">
      <c r="D989" s="1"/>
      <c r="K989" s="1"/>
      <c r="Q989" s="1"/>
      <c r="AD989" s="1"/>
      <c r="AG989" s="1"/>
      <c r="AI989" s="1"/>
    </row>
    <row r="990" spans="4:35" hidden="1">
      <c r="D990" s="1"/>
      <c r="K990" s="1"/>
      <c r="Q990" s="1"/>
      <c r="AD990" s="1"/>
      <c r="AG990" s="1"/>
      <c r="AI990" s="1"/>
    </row>
    <row r="991" spans="4:35" hidden="1">
      <c r="D991" s="1"/>
      <c r="K991" s="1"/>
      <c r="Q991" s="1"/>
      <c r="AD991" s="1"/>
      <c r="AG991" s="1"/>
      <c r="AI991" s="1"/>
    </row>
    <row r="992" spans="4:35" hidden="1">
      <c r="D992" s="1"/>
      <c r="K992" s="1"/>
      <c r="Q992" s="1"/>
      <c r="AD992" s="1"/>
      <c r="AG992" s="1"/>
      <c r="AI992" s="1"/>
    </row>
    <row r="993" spans="4:35" hidden="1">
      <c r="D993" s="1"/>
      <c r="K993" s="1"/>
      <c r="Q993" s="1"/>
      <c r="AD993" s="1"/>
      <c r="AG993" s="1"/>
      <c r="AI993" s="1"/>
    </row>
    <row r="994" spans="4:35" hidden="1">
      <c r="D994" s="1"/>
      <c r="K994" s="1"/>
      <c r="Q994" s="1"/>
      <c r="AD994" s="1"/>
      <c r="AG994" s="1"/>
      <c r="AI994" s="1"/>
    </row>
    <row r="995" spans="4:35" hidden="1">
      <c r="D995" s="1"/>
      <c r="K995" s="1"/>
      <c r="Q995" s="1"/>
      <c r="AD995" s="1"/>
      <c r="AG995" s="1"/>
      <c r="AI995" s="1"/>
    </row>
    <row r="996" spans="4:35" hidden="1">
      <c r="D996" s="1"/>
      <c r="K996" s="1"/>
      <c r="Q996" s="1"/>
      <c r="AD996" s="1"/>
      <c r="AG996" s="1"/>
      <c r="AI996" s="1"/>
    </row>
    <row r="997" spans="4:35" hidden="1">
      <c r="D997" s="1"/>
      <c r="K997" s="1"/>
      <c r="Q997" s="1"/>
      <c r="AD997" s="1"/>
      <c r="AG997" s="1"/>
      <c r="AI997" s="1"/>
    </row>
    <row r="998" spans="4:35" hidden="1">
      <c r="D998" s="1"/>
      <c r="K998" s="1"/>
      <c r="Q998" s="1"/>
      <c r="AD998" s="1"/>
      <c r="AG998" s="1"/>
      <c r="AI998" s="1"/>
    </row>
    <row r="999" spans="4:35" hidden="1">
      <c r="D999" s="1"/>
      <c r="K999" s="1"/>
      <c r="Q999" s="1"/>
      <c r="AD999" s="1"/>
      <c r="AG999" s="1"/>
      <c r="AI999" s="1"/>
    </row>
    <row r="1000" spans="4:35" hidden="1">
      <c r="D1000" s="1"/>
      <c r="K1000" s="1"/>
      <c r="Q1000" s="1"/>
      <c r="AD1000" s="1"/>
      <c r="AG1000" s="1"/>
      <c r="AI1000" s="1"/>
    </row>
    <row r="1001" spans="4:35" hidden="1">
      <c r="D1001" s="1"/>
      <c r="K1001" s="1"/>
      <c r="Q1001" s="1"/>
      <c r="AD1001" s="1"/>
      <c r="AG1001" s="1"/>
      <c r="AI1001" s="1"/>
    </row>
    <row r="1002" spans="4:35" hidden="1">
      <c r="D1002" s="1"/>
      <c r="K1002" s="1"/>
      <c r="Q1002" s="1"/>
      <c r="AD1002" s="1"/>
      <c r="AG1002" s="1"/>
      <c r="AI1002" s="1"/>
    </row>
    <row r="1003" spans="4:35" hidden="1">
      <c r="D1003" s="1"/>
      <c r="K1003" s="1"/>
      <c r="Q1003" s="1"/>
      <c r="AD1003" s="1"/>
      <c r="AG1003" s="1"/>
      <c r="AI1003" s="1"/>
    </row>
    <row r="1004" spans="4:35" hidden="1">
      <c r="D1004" s="1"/>
      <c r="K1004" s="1"/>
      <c r="Q1004" s="1"/>
      <c r="AD1004" s="1"/>
      <c r="AG1004" s="1"/>
      <c r="AI1004" s="1"/>
    </row>
    <row r="1005" spans="4:35" hidden="1">
      <c r="D1005" s="1"/>
      <c r="K1005" s="1"/>
      <c r="Q1005" s="1"/>
      <c r="AD1005" s="1"/>
      <c r="AG1005" s="1"/>
      <c r="AI1005" s="1"/>
    </row>
    <row r="1006" spans="4:35" hidden="1">
      <c r="D1006" s="1"/>
      <c r="K1006" s="1"/>
      <c r="Q1006" s="1"/>
      <c r="AD1006" s="1"/>
      <c r="AG1006" s="1"/>
      <c r="AI1006" s="1"/>
    </row>
    <row r="1007" spans="4:35" hidden="1">
      <c r="D1007" s="1"/>
      <c r="K1007" s="1"/>
      <c r="Q1007" s="1"/>
      <c r="AD1007" s="1"/>
      <c r="AG1007" s="1"/>
      <c r="AI1007" s="1"/>
    </row>
    <row r="1008" spans="4:35" hidden="1">
      <c r="D1008" s="1"/>
      <c r="K1008" s="1"/>
      <c r="Q1008" s="1"/>
      <c r="AD1008" s="1"/>
      <c r="AG1008" s="1"/>
      <c r="AI1008" s="1"/>
    </row>
    <row r="1009" spans="4:35" hidden="1">
      <c r="D1009" s="1"/>
      <c r="K1009" s="1"/>
      <c r="Q1009" s="1"/>
      <c r="AD1009" s="1"/>
      <c r="AG1009" s="1"/>
      <c r="AI1009" s="1"/>
    </row>
    <row r="1010" spans="4:35" hidden="1">
      <c r="D1010" s="1"/>
      <c r="K1010" s="1"/>
      <c r="Q1010" s="1"/>
      <c r="AD1010" s="1"/>
      <c r="AG1010" s="1"/>
      <c r="AI1010" s="1"/>
    </row>
    <row r="1011" spans="4:35" hidden="1">
      <c r="D1011" s="1"/>
      <c r="K1011" s="1"/>
      <c r="Q1011" s="1"/>
      <c r="AD1011" s="1"/>
      <c r="AG1011" s="1"/>
      <c r="AI1011" s="1"/>
    </row>
    <row r="1012" spans="4:35" hidden="1">
      <c r="D1012" s="1"/>
      <c r="K1012" s="1"/>
      <c r="Q1012" s="1"/>
      <c r="AD1012" s="1"/>
      <c r="AG1012" s="1"/>
      <c r="AI1012" s="1"/>
    </row>
    <row r="1013" spans="4:35" hidden="1">
      <c r="D1013" s="1"/>
      <c r="K1013" s="1"/>
      <c r="Q1013" s="1"/>
      <c r="AD1013" s="1"/>
      <c r="AG1013" s="1"/>
      <c r="AI1013" s="1"/>
    </row>
    <row r="1014" spans="4:35" hidden="1">
      <c r="D1014" s="1"/>
      <c r="K1014" s="1"/>
      <c r="Q1014" s="1"/>
      <c r="AD1014" s="1"/>
      <c r="AG1014" s="1"/>
      <c r="AI1014" s="1"/>
    </row>
    <row r="1015" spans="4:35" hidden="1">
      <c r="D1015" s="1"/>
      <c r="K1015" s="1"/>
      <c r="Q1015" s="1"/>
      <c r="AD1015" s="1"/>
      <c r="AG1015" s="1"/>
      <c r="AI1015" s="1"/>
    </row>
    <row r="1016" spans="4:35" hidden="1">
      <c r="D1016" s="1"/>
      <c r="K1016" s="1"/>
      <c r="Q1016" s="1"/>
      <c r="AD1016" s="1"/>
      <c r="AG1016" s="1"/>
      <c r="AI1016" s="1"/>
    </row>
    <row r="1017" spans="4:35" hidden="1">
      <c r="D1017" s="1"/>
      <c r="K1017" s="1"/>
      <c r="Q1017" s="1"/>
      <c r="AD1017" s="1"/>
      <c r="AG1017" s="1"/>
      <c r="AI1017" s="1"/>
    </row>
    <row r="1018" spans="4:35" hidden="1">
      <c r="D1018" s="1"/>
      <c r="K1018" s="1"/>
      <c r="Q1018" s="1"/>
      <c r="AD1018" s="1"/>
      <c r="AG1018" s="1"/>
      <c r="AI1018" s="1"/>
    </row>
    <row r="1019" spans="4:35" hidden="1">
      <c r="D1019" s="1"/>
      <c r="K1019" s="1"/>
      <c r="Q1019" s="1"/>
      <c r="AD1019" s="1"/>
      <c r="AG1019" s="1"/>
      <c r="AI1019" s="1"/>
    </row>
    <row r="1020" spans="4:35" hidden="1">
      <c r="D1020" s="1"/>
      <c r="K1020" s="1"/>
      <c r="Q1020" s="1"/>
      <c r="AD1020" s="1"/>
      <c r="AG1020" s="1"/>
      <c r="AI1020" s="1"/>
    </row>
    <row r="1021" spans="4:35" hidden="1">
      <c r="D1021" s="1"/>
      <c r="K1021" s="1"/>
      <c r="Q1021" s="1"/>
      <c r="AD1021" s="1"/>
      <c r="AG1021" s="1"/>
      <c r="AI1021" s="1"/>
    </row>
    <row r="1022" spans="4:35" hidden="1">
      <c r="D1022" s="1"/>
      <c r="K1022" s="1"/>
      <c r="Q1022" s="1"/>
      <c r="AD1022" s="1"/>
      <c r="AG1022" s="1"/>
      <c r="AI1022" s="1"/>
    </row>
    <row r="1023" spans="4:35" hidden="1">
      <c r="D1023" s="1"/>
      <c r="K1023" s="1"/>
      <c r="Q1023" s="1"/>
      <c r="AD1023" s="1"/>
      <c r="AG1023" s="1"/>
      <c r="AI1023" s="1"/>
    </row>
    <row r="1024" spans="4:35" hidden="1">
      <c r="D1024" s="1"/>
      <c r="K1024" s="1"/>
      <c r="Q1024" s="1"/>
      <c r="AD1024" s="1"/>
      <c r="AG1024" s="1"/>
      <c r="AI1024" s="1"/>
    </row>
    <row r="1025" spans="4:35" hidden="1">
      <c r="D1025" s="1"/>
      <c r="K1025" s="1"/>
      <c r="Q1025" s="1"/>
      <c r="AD1025" s="1"/>
      <c r="AG1025" s="1"/>
      <c r="AI1025" s="1"/>
    </row>
    <row r="1026" spans="4:35" hidden="1">
      <c r="D1026" s="1"/>
      <c r="K1026" s="1"/>
      <c r="Q1026" s="1"/>
      <c r="AD1026" s="1"/>
      <c r="AG1026" s="1"/>
      <c r="AI1026" s="1"/>
    </row>
    <row r="1027" spans="4:35" hidden="1">
      <c r="D1027" s="1"/>
      <c r="K1027" s="1"/>
      <c r="Q1027" s="1"/>
      <c r="AD1027" s="1"/>
      <c r="AG1027" s="1"/>
      <c r="AI1027" s="1"/>
    </row>
    <row r="1028" spans="4:35" hidden="1">
      <c r="D1028" s="1"/>
      <c r="K1028" s="1"/>
      <c r="Q1028" s="1"/>
      <c r="AD1028" s="1"/>
      <c r="AG1028" s="1"/>
      <c r="AI1028" s="1"/>
    </row>
    <row r="1029" spans="4:35" hidden="1">
      <c r="D1029" s="1"/>
      <c r="K1029" s="1"/>
      <c r="Q1029" s="1"/>
      <c r="AD1029" s="1"/>
      <c r="AG1029" s="1"/>
      <c r="AI1029" s="1"/>
    </row>
    <row r="1030" spans="4:35" hidden="1">
      <c r="D1030" s="1"/>
      <c r="K1030" s="1"/>
      <c r="Q1030" s="1"/>
      <c r="AD1030" s="1"/>
      <c r="AG1030" s="1"/>
      <c r="AI1030" s="1"/>
    </row>
    <row r="1031" spans="4:35" hidden="1">
      <c r="D1031" s="1"/>
      <c r="K1031" s="1"/>
      <c r="Q1031" s="1"/>
      <c r="AD1031" s="1"/>
      <c r="AG1031" s="1"/>
      <c r="AI1031" s="1"/>
    </row>
    <row r="1032" spans="4:35" hidden="1">
      <c r="D1032" s="1"/>
      <c r="K1032" s="1"/>
      <c r="Q1032" s="1"/>
      <c r="AD1032" s="1"/>
      <c r="AG1032" s="1"/>
      <c r="AI1032" s="1"/>
    </row>
    <row r="1033" spans="4:35" hidden="1">
      <c r="D1033" s="1"/>
      <c r="K1033" s="1"/>
      <c r="Q1033" s="1"/>
      <c r="AD1033" s="1"/>
      <c r="AG1033" s="1"/>
      <c r="AI1033" s="1"/>
    </row>
    <row r="1034" spans="4:35" hidden="1">
      <c r="D1034" s="1"/>
      <c r="K1034" s="1"/>
      <c r="Q1034" s="1"/>
      <c r="AD1034" s="1"/>
      <c r="AG1034" s="1"/>
      <c r="AI1034" s="1"/>
    </row>
    <row r="1035" spans="4:35" hidden="1">
      <c r="D1035" s="1"/>
      <c r="K1035" s="1"/>
      <c r="Q1035" s="1"/>
      <c r="AD1035" s="1"/>
      <c r="AG1035" s="1"/>
      <c r="AI1035" s="1"/>
    </row>
    <row r="1036" spans="4:35" hidden="1">
      <c r="D1036" s="1"/>
      <c r="K1036" s="1"/>
      <c r="Q1036" s="1"/>
      <c r="AD1036" s="1"/>
      <c r="AG1036" s="1"/>
      <c r="AI1036" s="1"/>
    </row>
    <row r="1037" spans="4:35" hidden="1">
      <c r="D1037" s="1"/>
      <c r="K1037" s="1"/>
      <c r="Q1037" s="1"/>
      <c r="AD1037" s="1"/>
      <c r="AG1037" s="1"/>
      <c r="AI1037" s="1"/>
    </row>
    <row r="1038" spans="4:35" hidden="1">
      <c r="D1038" s="1"/>
      <c r="K1038" s="1"/>
      <c r="Q1038" s="1"/>
      <c r="AD1038" s="1"/>
      <c r="AG1038" s="1"/>
      <c r="AI1038" s="1"/>
    </row>
    <row r="1039" spans="4:35" hidden="1">
      <c r="D1039" s="1"/>
      <c r="K1039" s="1"/>
      <c r="Q1039" s="1"/>
      <c r="AD1039" s="1"/>
      <c r="AG1039" s="1"/>
      <c r="AI1039" s="1"/>
    </row>
    <row r="1040" spans="4:35" hidden="1">
      <c r="D1040" s="1"/>
      <c r="K1040" s="1"/>
      <c r="Q1040" s="1"/>
      <c r="AD1040" s="1"/>
      <c r="AG1040" s="1"/>
      <c r="AI1040" s="1"/>
    </row>
    <row r="1041" spans="4:35" hidden="1">
      <c r="D1041" s="1"/>
      <c r="K1041" s="1"/>
      <c r="Q1041" s="1"/>
      <c r="AD1041" s="1"/>
      <c r="AG1041" s="1"/>
      <c r="AI1041" s="1"/>
    </row>
    <row r="1042" spans="4:35" hidden="1">
      <c r="D1042" s="1"/>
      <c r="K1042" s="1"/>
      <c r="Q1042" s="1"/>
      <c r="AD1042" s="1"/>
      <c r="AG1042" s="1"/>
      <c r="AI1042" s="1"/>
    </row>
    <row r="1043" spans="4:35" hidden="1">
      <c r="D1043" s="1"/>
      <c r="K1043" s="1"/>
      <c r="Q1043" s="1"/>
      <c r="AD1043" s="1"/>
      <c r="AG1043" s="1"/>
      <c r="AI1043" s="1"/>
    </row>
    <row r="1044" spans="4:35" hidden="1">
      <c r="D1044" s="1"/>
      <c r="K1044" s="1"/>
      <c r="Q1044" s="1"/>
      <c r="AD1044" s="1"/>
      <c r="AG1044" s="1"/>
      <c r="AI1044" s="1"/>
    </row>
    <row r="1045" spans="4:35" hidden="1">
      <c r="D1045" s="1"/>
      <c r="K1045" s="1"/>
      <c r="Q1045" s="1"/>
      <c r="AD1045" s="1"/>
      <c r="AG1045" s="1"/>
      <c r="AI1045" s="1"/>
    </row>
    <row r="1046" spans="4:35" hidden="1">
      <c r="D1046" s="1"/>
      <c r="K1046" s="1"/>
      <c r="Q1046" s="1"/>
      <c r="AD1046" s="1"/>
      <c r="AG1046" s="1"/>
      <c r="AI1046" s="1"/>
    </row>
    <row r="1047" spans="4:35" hidden="1">
      <c r="D1047" s="1"/>
      <c r="K1047" s="1"/>
      <c r="Q1047" s="1"/>
      <c r="AD1047" s="1"/>
      <c r="AG1047" s="1"/>
      <c r="AI1047" s="1"/>
    </row>
    <row r="1048" spans="4:35" hidden="1">
      <c r="D1048" s="1"/>
      <c r="K1048" s="1"/>
      <c r="Q1048" s="1"/>
      <c r="AD1048" s="1"/>
      <c r="AG1048" s="1"/>
      <c r="AI1048" s="1"/>
    </row>
    <row r="1049" spans="4:35" hidden="1">
      <c r="D1049" s="1"/>
      <c r="K1049" s="1"/>
      <c r="Q1049" s="1"/>
      <c r="AD1049" s="1"/>
      <c r="AG1049" s="1"/>
      <c r="AI1049" s="1"/>
    </row>
    <row r="1050" spans="4:35" hidden="1">
      <c r="D1050" s="1"/>
      <c r="K1050" s="1"/>
      <c r="Q1050" s="1"/>
      <c r="AD1050" s="1"/>
      <c r="AG1050" s="1"/>
      <c r="AI1050" s="1"/>
    </row>
    <row r="1051" spans="4:35" hidden="1">
      <c r="D1051" s="1"/>
      <c r="K1051" s="1"/>
      <c r="Q1051" s="1"/>
      <c r="AD1051" s="1"/>
      <c r="AG1051" s="1"/>
      <c r="AI1051" s="1"/>
    </row>
    <row r="1052" spans="4:35" hidden="1">
      <c r="D1052" s="1"/>
      <c r="K1052" s="1"/>
      <c r="Q1052" s="1"/>
      <c r="AD1052" s="1"/>
      <c r="AG1052" s="1"/>
      <c r="AI1052" s="1"/>
    </row>
    <row r="1053" spans="4:35" hidden="1">
      <c r="D1053" s="1"/>
      <c r="K1053" s="1"/>
      <c r="Q1053" s="1"/>
      <c r="AD1053" s="1"/>
      <c r="AG1053" s="1"/>
      <c r="AI1053" s="1"/>
    </row>
    <row r="1054" spans="4:35" hidden="1">
      <c r="D1054" s="1"/>
      <c r="K1054" s="1"/>
      <c r="Q1054" s="1"/>
      <c r="AD1054" s="1"/>
      <c r="AG1054" s="1"/>
      <c r="AI1054" s="1"/>
    </row>
    <row r="1055" spans="4:35" hidden="1">
      <c r="D1055" s="1"/>
      <c r="K1055" s="1"/>
      <c r="Q1055" s="1"/>
      <c r="AD1055" s="1"/>
      <c r="AG1055" s="1"/>
      <c r="AI1055" s="1"/>
    </row>
    <row r="1056" spans="4:35" hidden="1">
      <c r="D1056" s="1"/>
      <c r="K1056" s="1"/>
      <c r="Q1056" s="1"/>
      <c r="AD1056" s="1"/>
      <c r="AG1056" s="1"/>
      <c r="AI1056" s="1"/>
    </row>
    <row r="1057" spans="4:35" hidden="1">
      <c r="D1057" s="1"/>
      <c r="K1057" s="1"/>
      <c r="Q1057" s="1"/>
      <c r="AD1057" s="1"/>
      <c r="AG1057" s="1"/>
      <c r="AI1057" s="1"/>
    </row>
    <row r="1058" spans="4:35" hidden="1">
      <c r="D1058" s="1"/>
      <c r="K1058" s="1"/>
      <c r="Q1058" s="1"/>
      <c r="AD1058" s="1"/>
      <c r="AG1058" s="1"/>
      <c r="AI1058" s="1"/>
    </row>
    <row r="1059" spans="4:35" hidden="1">
      <c r="D1059" s="1"/>
      <c r="K1059" s="1"/>
      <c r="Q1059" s="1"/>
      <c r="AD1059" s="1"/>
      <c r="AG1059" s="1"/>
      <c r="AI1059" s="1"/>
    </row>
    <row r="1060" spans="4:35" hidden="1">
      <c r="D1060" s="1"/>
      <c r="K1060" s="1"/>
      <c r="Q1060" s="1"/>
      <c r="AD1060" s="1"/>
      <c r="AG1060" s="1"/>
      <c r="AI1060" s="1"/>
    </row>
    <row r="1061" spans="4:35" hidden="1">
      <c r="D1061" s="1"/>
      <c r="K1061" s="1"/>
      <c r="Q1061" s="1"/>
      <c r="AD1061" s="1"/>
      <c r="AG1061" s="1"/>
      <c r="AI1061" s="1"/>
    </row>
    <row r="1062" spans="4:35" hidden="1">
      <c r="D1062" s="1"/>
      <c r="K1062" s="1"/>
      <c r="Q1062" s="1"/>
      <c r="AD1062" s="1"/>
      <c r="AG1062" s="1"/>
      <c r="AI1062" s="1"/>
    </row>
    <row r="1063" spans="4:35" hidden="1">
      <c r="D1063" s="1"/>
      <c r="K1063" s="1"/>
      <c r="Q1063" s="1"/>
      <c r="AD1063" s="1"/>
      <c r="AG1063" s="1"/>
      <c r="AI1063" s="1"/>
    </row>
    <row r="1064" spans="4:35" hidden="1">
      <c r="D1064" s="1"/>
      <c r="K1064" s="1"/>
      <c r="Q1064" s="1"/>
      <c r="AD1064" s="1"/>
      <c r="AG1064" s="1"/>
      <c r="AI1064" s="1"/>
    </row>
    <row r="1065" spans="4:35" hidden="1">
      <c r="D1065" s="1"/>
      <c r="K1065" s="1"/>
      <c r="Q1065" s="1"/>
      <c r="AD1065" s="1"/>
      <c r="AG1065" s="1"/>
      <c r="AI1065" s="1"/>
    </row>
    <row r="1066" spans="4:35" hidden="1">
      <c r="D1066" s="1"/>
      <c r="K1066" s="1"/>
      <c r="Q1066" s="1"/>
      <c r="AD1066" s="1"/>
      <c r="AG1066" s="1"/>
      <c r="AI1066" s="1"/>
    </row>
    <row r="1067" spans="4:35" hidden="1">
      <c r="D1067" s="1"/>
      <c r="K1067" s="1"/>
      <c r="Q1067" s="1"/>
      <c r="AD1067" s="1"/>
      <c r="AG1067" s="1"/>
      <c r="AI1067" s="1"/>
    </row>
    <row r="1068" spans="4:35" hidden="1">
      <c r="D1068" s="1"/>
      <c r="K1068" s="1"/>
      <c r="Q1068" s="1"/>
      <c r="AD1068" s="1"/>
      <c r="AG1068" s="1"/>
      <c r="AI1068" s="1"/>
    </row>
    <row r="1069" spans="4:35" hidden="1">
      <c r="D1069" s="1"/>
      <c r="K1069" s="1"/>
      <c r="Q1069" s="1"/>
      <c r="AD1069" s="1"/>
      <c r="AG1069" s="1"/>
      <c r="AI1069" s="1"/>
    </row>
    <row r="1070" spans="4:35" hidden="1">
      <c r="D1070" s="1"/>
      <c r="K1070" s="1"/>
      <c r="Q1070" s="1"/>
      <c r="AD1070" s="1"/>
      <c r="AG1070" s="1"/>
      <c r="AI1070" s="1"/>
    </row>
    <row r="1071" spans="4:35" hidden="1">
      <c r="D1071" s="1"/>
      <c r="K1071" s="1"/>
      <c r="Q1071" s="1"/>
      <c r="AD1071" s="1"/>
      <c r="AG1071" s="1"/>
      <c r="AI1071" s="1"/>
    </row>
    <row r="1072" spans="4:35" hidden="1">
      <c r="D1072" s="1"/>
      <c r="K1072" s="1"/>
      <c r="Q1072" s="1"/>
      <c r="AD1072" s="1"/>
      <c r="AG1072" s="1"/>
      <c r="AI1072" s="1"/>
    </row>
    <row r="1073" spans="4:35" hidden="1">
      <c r="D1073" s="1"/>
      <c r="K1073" s="1"/>
      <c r="Q1073" s="1"/>
      <c r="AD1073" s="1"/>
      <c r="AG1073" s="1"/>
      <c r="AI1073" s="1"/>
    </row>
    <row r="1074" spans="4:35" hidden="1">
      <c r="D1074" s="1"/>
      <c r="K1074" s="1"/>
      <c r="Q1074" s="1"/>
      <c r="AD1074" s="1"/>
      <c r="AG1074" s="1"/>
      <c r="AI1074" s="1"/>
    </row>
    <row r="1075" spans="4:35" hidden="1">
      <c r="D1075" s="1"/>
      <c r="K1075" s="1"/>
      <c r="Q1075" s="1"/>
      <c r="AD1075" s="1"/>
      <c r="AG1075" s="1"/>
      <c r="AI1075" s="1"/>
    </row>
    <row r="1076" spans="4:35" hidden="1">
      <c r="D1076" s="1"/>
      <c r="K1076" s="1"/>
      <c r="Q1076" s="1"/>
      <c r="AD1076" s="1"/>
      <c r="AG1076" s="1"/>
      <c r="AI1076" s="1"/>
    </row>
    <row r="1077" spans="4:35" hidden="1">
      <c r="D1077" s="1"/>
      <c r="K1077" s="1"/>
      <c r="Q1077" s="1"/>
      <c r="AD1077" s="1"/>
      <c r="AG1077" s="1"/>
      <c r="AI1077" s="1"/>
    </row>
    <row r="1078" spans="4:35" hidden="1">
      <c r="D1078" s="1"/>
      <c r="K1078" s="1"/>
      <c r="Q1078" s="1"/>
      <c r="AD1078" s="1"/>
      <c r="AG1078" s="1"/>
      <c r="AI1078" s="1"/>
    </row>
    <row r="1079" spans="4:35" hidden="1">
      <c r="D1079" s="1"/>
      <c r="K1079" s="1"/>
      <c r="Q1079" s="1"/>
      <c r="AD1079" s="1"/>
      <c r="AG1079" s="1"/>
      <c r="AI1079" s="1"/>
    </row>
    <row r="1080" spans="4:35" hidden="1">
      <c r="D1080" s="1"/>
      <c r="K1080" s="1"/>
      <c r="Q1080" s="1"/>
      <c r="AD1080" s="1"/>
      <c r="AG1080" s="1"/>
      <c r="AI1080" s="1"/>
    </row>
    <row r="1081" spans="4:35" hidden="1">
      <c r="D1081" s="1"/>
      <c r="K1081" s="1"/>
      <c r="Q1081" s="1"/>
      <c r="AD1081" s="1"/>
      <c r="AG1081" s="1"/>
      <c r="AI1081" s="1"/>
    </row>
    <row r="1082" spans="4:35" hidden="1">
      <c r="D1082" s="1"/>
      <c r="K1082" s="1"/>
      <c r="Q1082" s="1"/>
      <c r="AD1082" s="1"/>
      <c r="AG1082" s="1"/>
      <c r="AI1082" s="1"/>
    </row>
    <row r="1083" spans="4:35" hidden="1">
      <c r="D1083" s="1"/>
      <c r="K1083" s="1"/>
      <c r="Q1083" s="1"/>
      <c r="AD1083" s="1"/>
      <c r="AG1083" s="1"/>
      <c r="AI1083" s="1"/>
    </row>
    <row r="1084" spans="4:35" hidden="1">
      <c r="D1084" s="1"/>
      <c r="K1084" s="1"/>
      <c r="Q1084" s="1"/>
      <c r="AD1084" s="1"/>
      <c r="AG1084" s="1"/>
      <c r="AI1084" s="1"/>
    </row>
    <row r="1085" spans="4:35" hidden="1">
      <c r="D1085" s="1"/>
      <c r="K1085" s="1"/>
      <c r="Q1085" s="1"/>
      <c r="AD1085" s="1"/>
      <c r="AG1085" s="1"/>
      <c r="AI1085" s="1"/>
    </row>
    <row r="1086" spans="4:35" hidden="1">
      <c r="D1086" s="1"/>
      <c r="K1086" s="1"/>
      <c r="Q1086" s="1"/>
      <c r="AD1086" s="1"/>
      <c r="AG1086" s="1"/>
      <c r="AI1086" s="1"/>
    </row>
    <row r="1087" spans="4:35" hidden="1">
      <c r="D1087" s="1"/>
      <c r="K1087" s="1"/>
      <c r="Q1087" s="1"/>
      <c r="AD1087" s="1"/>
      <c r="AG1087" s="1"/>
      <c r="AI1087" s="1"/>
    </row>
    <row r="1088" spans="4:35" hidden="1">
      <c r="D1088" s="1"/>
      <c r="K1088" s="1"/>
      <c r="Q1088" s="1"/>
      <c r="AD1088" s="1"/>
      <c r="AG1088" s="1"/>
      <c r="AI1088" s="1"/>
    </row>
    <row r="1089" spans="4:35" hidden="1">
      <c r="D1089" s="1"/>
      <c r="K1089" s="1"/>
      <c r="Q1089" s="1"/>
      <c r="AD1089" s="1"/>
      <c r="AG1089" s="1"/>
      <c r="AI1089" s="1"/>
    </row>
    <row r="1090" spans="4:35" hidden="1">
      <c r="D1090" s="1"/>
      <c r="K1090" s="1"/>
      <c r="Q1090" s="1"/>
      <c r="AD1090" s="1"/>
      <c r="AG1090" s="1"/>
      <c r="AI1090" s="1"/>
    </row>
    <row r="1091" spans="4:35" hidden="1">
      <c r="D1091" s="1"/>
      <c r="K1091" s="1"/>
      <c r="Q1091" s="1"/>
      <c r="AD1091" s="1"/>
      <c r="AG1091" s="1"/>
      <c r="AI1091" s="1"/>
    </row>
    <row r="1092" spans="4:35" hidden="1">
      <c r="D1092" s="1"/>
      <c r="K1092" s="1"/>
      <c r="Q1092" s="1"/>
      <c r="AD1092" s="1"/>
      <c r="AG1092" s="1"/>
      <c r="AI1092" s="1"/>
    </row>
    <row r="1093" spans="4:35" hidden="1">
      <c r="D1093" s="1"/>
      <c r="K1093" s="1"/>
      <c r="Q1093" s="1"/>
      <c r="AD1093" s="1"/>
      <c r="AG1093" s="1"/>
      <c r="AI1093" s="1"/>
    </row>
    <row r="1094" spans="4:35" hidden="1">
      <c r="D1094" s="1"/>
      <c r="K1094" s="1"/>
      <c r="Q1094" s="1"/>
      <c r="AD1094" s="1"/>
      <c r="AG1094" s="1"/>
      <c r="AI1094" s="1"/>
    </row>
    <row r="1095" spans="4:35" hidden="1">
      <c r="D1095" s="1"/>
      <c r="K1095" s="1"/>
      <c r="Q1095" s="1"/>
      <c r="AD1095" s="1"/>
      <c r="AG1095" s="1"/>
      <c r="AI1095" s="1"/>
    </row>
    <row r="1096" spans="4:35" hidden="1">
      <c r="D1096" s="1"/>
      <c r="K1096" s="1"/>
      <c r="Q1096" s="1"/>
      <c r="AD1096" s="1"/>
      <c r="AG1096" s="1"/>
      <c r="AI1096" s="1"/>
    </row>
    <row r="1097" spans="4:35" hidden="1">
      <c r="D1097" s="1"/>
      <c r="K1097" s="1"/>
      <c r="Q1097" s="1"/>
      <c r="AD1097" s="1"/>
      <c r="AG1097" s="1"/>
      <c r="AI1097" s="1"/>
    </row>
    <row r="1098" spans="4:35" hidden="1">
      <c r="D1098" s="1"/>
      <c r="K1098" s="1"/>
      <c r="Q1098" s="1"/>
      <c r="AD1098" s="1"/>
      <c r="AG1098" s="1"/>
      <c r="AI1098" s="1"/>
    </row>
    <row r="1099" spans="4:35" hidden="1">
      <c r="D1099" s="1"/>
      <c r="K1099" s="1"/>
      <c r="Q1099" s="1"/>
      <c r="AD1099" s="1"/>
      <c r="AG1099" s="1"/>
      <c r="AI1099" s="1"/>
    </row>
    <row r="1100" spans="4:35" hidden="1">
      <c r="D1100" s="1"/>
      <c r="K1100" s="1"/>
      <c r="Q1100" s="1"/>
      <c r="AD1100" s="1"/>
      <c r="AG1100" s="1"/>
      <c r="AI1100" s="1"/>
    </row>
    <row r="1101" spans="4:35" hidden="1">
      <c r="D1101" s="1"/>
      <c r="K1101" s="1"/>
      <c r="Q1101" s="1"/>
      <c r="AD1101" s="1"/>
      <c r="AG1101" s="1"/>
      <c r="AI1101" s="1"/>
    </row>
    <row r="1102" spans="4:35" hidden="1">
      <c r="D1102" s="1"/>
      <c r="K1102" s="1"/>
      <c r="Q1102" s="1"/>
      <c r="AD1102" s="1"/>
      <c r="AG1102" s="1"/>
      <c r="AI1102" s="1"/>
    </row>
    <row r="1103" spans="4:35" hidden="1">
      <c r="D1103" s="1"/>
      <c r="K1103" s="1"/>
      <c r="Q1103" s="1"/>
      <c r="AD1103" s="1"/>
      <c r="AG1103" s="1"/>
      <c r="AI1103" s="1"/>
    </row>
    <row r="1104" spans="4:35" hidden="1">
      <c r="D1104" s="1"/>
      <c r="K1104" s="1"/>
      <c r="Q1104" s="1"/>
      <c r="AD1104" s="1"/>
      <c r="AG1104" s="1"/>
      <c r="AI1104" s="1"/>
    </row>
    <row r="1105" spans="4:35" hidden="1">
      <c r="D1105" s="1"/>
      <c r="K1105" s="1"/>
      <c r="Q1105" s="1"/>
      <c r="AD1105" s="1"/>
      <c r="AG1105" s="1"/>
      <c r="AI1105" s="1"/>
    </row>
    <row r="1106" spans="4:35" hidden="1">
      <c r="D1106" s="1"/>
      <c r="K1106" s="1"/>
      <c r="Q1106" s="1"/>
      <c r="AD1106" s="1"/>
      <c r="AG1106" s="1"/>
      <c r="AI1106" s="1"/>
    </row>
    <row r="1107" spans="4:35" hidden="1">
      <c r="D1107" s="1"/>
      <c r="K1107" s="1"/>
      <c r="Q1107" s="1"/>
      <c r="AD1107" s="1"/>
      <c r="AG1107" s="1"/>
      <c r="AI1107" s="1"/>
    </row>
    <row r="1108" spans="4:35" hidden="1">
      <c r="D1108" s="1"/>
      <c r="K1108" s="1"/>
      <c r="Q1108" s="1"/>
      <c r="AD1108" s="1"/>
      <c r="AG1108" s="1"/>
      <c r="AI1108" s="1"/>
    </row>
    <row r="1109" spans="4:35" hidden="1">
      <c r="D1109" s="1"/>
      <c r="K1109" s="1"/>
      <c r="Q1109" s="1"/>
      <c r="AD1109" s="1"/>
      <c r="AG1109" s="1"/>
      <c r="AI1109" s="1"/>
    </row>
    <row r="1110" spans="4:35" hidden="1">
      <c r="D1110" s="1"/>
      <c r="K1110" s="1"/>
      <c r="Q1110" s="1"/>
      <c r="AD1110" s="1"/>
      <c r="AG1110" s="1"/>
      <c r="AI1110" s="1"/>
    </row>
    <row r="1111" spans="4:35" hidden="1">
      <c r="D1111" s="1"/>
      <c r="K1111" s="1"/>
      <c r="Q1111" s="1"/>
      <c r="AD1111" s="1"/>
      <c r="AG1111" s="1"/>
      <c r="AI1111" s="1"/>
    </row>
    <row r="1112" spans="4:35" hidden="1">
      <c r="D1112" s="1"/>
      <c r="K1112" s="1"/>
      <c r="Q1112" s="1"/>
      <c r="AD1112" s="1"/>
      <c r="AG1112" s="1"/>
      <c r="AI1112" s="1"/>
    </row>
    <row r="1113" spans="4:35" hidden="1">
      <c r="D1113" s="1"/>
      <c r="K1113" s="1"/>
      <c r="Q1113" s="1"/>
      <c r="AD1113" s="1"/>
      <c r="AG1113" s="1"/>
      <c r="AI1113" s="1"/>
    </row>
    <row r="1114" spans="4:35" hidden="1">
      <c r="D1114" s="1"/>
      <c r="K1114" s="1"/>
      <c r="Q1114" s="1"/>
      <c r="AD1114" s="1"/>
      <c r="AG1114" s="1"/>
      <c r="AI1114" s="1"/>
    </row>
    <row r="1115" spans="4:35" hidden="1">
      <c r="D1115" s="1"/>
      <c r="K1115" s="1"/>
      <c r="Q1115" s="1"/>
      <c r="AD1115" s="1"/>
      <c r="AG1115" s="1"/>
      <c r="AI1115" s="1"/>
    </row>
    <row r="1116" spans="4:35" hidden="1">
      <c r="D1116" s="1"/>
      <c r="K1116" s="1"/>
      <c r="Q1116" s="1"/>
      <c r="AD1116" s="1"/>
      <c r="AG1116" s="1"/>
      <c r="AI1116" s="1"/>
    </row>
    <row r="1117" spans="4:35" hidden="1">
      <c r="D1117" s="1"/>
      <c r="K1117" s="1"/>
      <c r="Q1117" s="1"/>
      <c r="AD1117" s="1"/>
      <c r="AG1117" s="1"/>
      <c r="AI1117" s="1"/>
    </row>
    <row r="1118" spans="4:35" hidden="1">
      <c r="D1118" s="1"/>
      <c r="K1118" s="1"/>
      <c r="Q1118" s="1"/>
      <c r="AD1118" s="1"/>
      <c r="AG1118" s="1"/>
      <c r="AI1118" s="1"/>
    </row>
    <row r="1119" spans="4:35" hidden="1">
      <c r="D1119" s="1"/>
      <c r="K1119" s="1"/>
      <c r="Q1119" s="1"/>
      <c r="AD1119" s="1"/>
      <c r="AG1119" s="1"/>
      <c r="AI1119" s="1"/>
    </row>
    <row r="1120" spans="4:35" hidden="1">
      <c r="D1120" s="1"/>
      <c r="K1120" s="1"/>
      <c r="Q1120" s="1"/>
      <c r="AD1120" s="1"/>
      <c r="AG1120" s="1"/>
      <c r="AI1120" s="1"/>
    </row>
    <row r="1121" spans="4:35" hidden="1">
      <c r="D1121" s="1"/>
      <c r="K1121" s="1"/>
      <c r="Q1121" s="1"/>
      <c r="AD1121" s="1"/>
      <c r="AG1121" s="1"/>
      <c r="AI1121" s="1"/>
    </row>
    <row r="1122" spans="4:35" hidden="1">
      <c r="D1122" s="1"/>
      <c r="K1122" s="1"/>
      <c r="Q1122" s="1"/>
      <c r="AD1122" s="1"/>
      <c r="AG1122" s="1"/>
      <c r="AI1122" s="1"/>
    </row>
    <row r="1123" spans="4:35" hidden="1">
      <c r="D1123" s="1"/>
      <c r="K1123" s="1"/>
      <c r="Q1123" s="1"/>
      <c r="AD1123" s="1"/>
      <c r="AG1123" s="1"/>
      <c r="AI1123" s="1"/>
    </row>
    <row r="1124" spans="4:35" hidden="1">
      <c r="D1124" s="1"/>
      <c r="K1124" s="1"/>
      <c r="Q1124" s="1"/>
      <c r="AD1124" s="1"/>
      <c r="AG1124" s="1"/>
      <c r="AI1124" s="1"/>
    </row>
    <row r="1125" spans="4:35" hidden="1">
      <c r="D1125" s="1"/>
      <c r="K1125" s="1"/>
      <c r="Q1125" s="1"/>
      <c r="AD1125" s="1"/>
      <c r="AG1125" s="1"/>
      <c r="AI1125" s="1"/>
    </row>
    <row r="1126" spans="4:35" hidden="1">
      <c r="D1126" s="1"/>
      <c r="K1126" s="1"/>
      <c r="Q1126" s="1"/>
      <c r="AD1126" s="1"/>
      <c r="AG1126" s="1"/>
      <c r="AI1126" s="1"/>
    </row>
    <row r="1127" spans="4:35" hidden="1">
      <c r="D1127" s="1"/>
      <c r="K1127" s="1"/>
      <c r="Q1127" s="1"/>
      <c r="AD1127" s="1"/>
      <c r="AG1127" s="1"/>
      <c r="AI1127" s="1"/>
    </row>
    <row r="1128" spans="4:35" hidden="1">
      <c r="D1128" s="1"/>
      <c r="K1128" s="1"/>
      <c r="Q1128" s="1"/>
      <c r="AD1128" s="1"/>
      <c r="AG1128" s="1"/>
      <c r="AI1128" s="1"/>
    </row>
    <row r="1129" spans="4:35" hidden="1">
      <c r="D1129" s="1"/>
      <c r="K1129" s="1"/>
      <c r="Q1129" s="1"/>
      <c r="AD1129" s="1"/>
      <c r="AG1129" s="1"/>
      <c r="AI1129" s="1"/>
    </row>
    <row r="1130" spans="4:35" hidden="1">
      <c r="D1130" s="1"/>
      <c r="K1130" s="1"/>
      <c r="Q1130" s="1"/>
      <c r="AD1130" s="1"/>
      <c r="AG1130" s="1"/>
      <c r="AI1130" s="1"/>
    </row>
    <row r="1131" spans="4:35" hidden="1">
      <c r="D1131" s="1"/>
      <c r="K1131" s="1"/>
      <c r="Q1131" s="1"/>
      <c r="AD1131" s="1"/>
      <c r="AG1131" s="1"/>
      <c r="AI1131" s="1"/>
    </row>
    <row r="1132" spans="4:35" hidden="1">
      <c r="D1132" s="1"/>
      <c r="K1132" s="1"/>
      <c r="Q1132" s="1"/>
      <c r="AD1132" s="1"/>
      <c r="AG1132" s="1"/>
      <c r="AI1132" s="1"/>
    </row>
    <row r="1133" spans="4:35" hidden="1">
      <c r="D1133" s="1"/>
      <c r="K1133" s="1"/>
      <c r="Q1133" s="1"/>
      <c r="AD1133" s="1"/>
      <c r="AG1133" s="1"/>
      <c r="AI1133" s="1"/>
    </row>
    <row r="1134" spans="4:35" hidden="1">
      <c r="D1134" s="1"/>
      <c r="K1134" s="1"/>
      <c r="Q1134" s="1"/>
      <c r="AD1134" s="1"/>
      <c r="AG1134" s="1"/>
      <c r="AI1134" s="1"/>
    </row>
    <row r="1135" spans="4:35" hidden="1">
      <c r="D1135" s="1"/>
      <c r="K1135" s="1"/>
      <c r="Q1135" s="1"/>
      <c r="AD1135" s="1"/>
      <c r="AG1135" s="1"/>
      <c r="AI1135" s="1"/>
    </row>
    <row r="1136" spans="4:35" hidden="1">
      <c r="D1136" s="1"/>
      <c r="K1136" s="1"/>
      <c r="Q1136" s="1"/>
      <c r="AD1136" s="1"/>
      <c r="AG1136" s="1"/>
      <c r="AI1136" s="1"/>
    </row>
    <row r="1137" spans="4:35" hidden="1">
      <c r="D1137" s="1"/>
      <c r="K1137" s="1"/>
      <c r="Q1137" s="1"/>
      <c r="AD1137" s="1"/>
      <c r="AG1137" s="1"/>
      <c r="AI1137" s="1"/>
    </row>
    <row r="1138" spans="4:35" hidden="1">
      <c r="D1138" s="1"/>
      <c r="K1138" s="1"/>
      <c r="Q1138" s="1"/>
      <c r="AD1138" s="1"/>
      <c r="AG1138" s="1"/>
      <c r="AI1138" s="1"/>
    </row>
    <row r="1139" spans="4:35" hidden="1">
      <c r="D1139" s="1"/>
      <c r="K1139" s="1"/>
      <c r="Q1139" s="1"/>
      <c r="AD1139" s="1"/>
      <c r="AG1139" s="1"/>
      <c r="AI1139" s="1"/>
    </row>
    <row r="1140" spans="4:35" hidden="1">
      <c r="D1140" s="1"/>
      <c r="K1140" s="1"/>
      <c r="Q1140" s="1"/>
      <c r="AD1140" s="1"/>
      <c r="AG1140" s="1"/>
      <c r="AI1140" s="1"/>
    </row>
    <row r="1141" spans="4:35" hidden="1">
      <c r="D1141" s="1"/>
      <c r="K1141" s="1"/>
      <c r="Q1141" s="1"/>
      <c r="AD1141" s="1"/>
      <c r="AG1141" s="1"/>
      <c r="AI1141" s="1"/>
    </row>
    <row r="1142" spans="4:35" hidden="1">
      <c r="D1142" s="1"/>
      <c r="K1142" s="1"/>
      <c r="Q1142" s="1"/>
      <c r="AD1142" s="1"/>
      <c r="AG1142" s="1"/>
      <c r="AI1142" s="1"/>
    </row>
    <row r="1143" spans="4:35" hidden="1">
      <c r="D1143" s="1"/>
      <c r="K1143" s="1"/>
      <c r="Q1143" s="1"/>
      <c r="AD1143" s="1"/>
      <c r="AG1143" s="1"/>
      <c r="AI1143" s="1"/>
    </row>
    <row r="1144" spans="4:35" hidden="1">
      <c r="D1144" s="1"/>
      <c r="K1144" s="1"/>
      <c r="Q1144" s="1"/>
      <c r="AD1144" s="1"/>
      <c r="AG1144" s="1"/>
      <c r="AI1144" s="1"/>
    </row>
    <row r="1145" spans="4:35" hidden="1">
      <c r="D1145" s="1"/>
      <c r="K1145" s="1"/>
      <c r="Q1145" s="1"/>
      <c r="AD1145" s="1"/>
      <c r="AG1145" s="1"/>
      <c r="AI1145" s="1"/>
    </row>
    <row r="1146" spans="4:35" hidden="1">
      <c r="D1146" s="1"/>
      <c r="K1146" s="1"/>
      <c r="Q1146" s="1"/>
      <c r="AD1146" s="1"/>
      <c r="AG1146" s="1"/>
      <c r="AI1146" s="1"/>
    </row>
    <row r="1147" spans="4:35" hidden="1">
      <c r="D1147" s="1"/>
      <c r="K1147" s="1"/>
      <c r="Q1147" s="1"/>
      <c r="AD1147" s="1"/>
      <c r="AG1147" s="1"/>
      <c r="AI1147" s="1"/>
    </row>
    <row r="1148" spans="4:35" hidden="1">
      <c r="D1148" s="1"/>
      <c r="K1148" s="1"/>
      <c r="Q1148" s="1"/>
      <c r="AD1148" s="1"/>
      <c r="AG1148" s="1"/>
      <c r="AI1148" s="1"/>
    </row>
    <row r="1149" spans="4:35" hidden="1">
      <c r="D1149" s="1"/>
      <c r="K1149" s="1"/>
      <c r="Q1149" s="1"/>
      <c r="AD1149" s="1"/>
      <c r="AG1149" s="1"/>
      <c r="AI1149" s="1"/>
    </row>
    <row r="1150" spans="4:35" hidden="1">
      <c r="D1150" s="1"/>
      <c r="K1150" s="1"/>
      <c r="Q1150" s="1"/>
      <c r="AD1150" s="1"/>
      <c r="AG1150" s="1"/>
      <c r="AI1150" s="1"/>
    </row>
    <row r="1151" spans="4:35" hidden="1">
      <c r="D1151" s="1"/>
      <c r="K1151" s="1"/>
      <c r="Q1151" s="1"/>
      <c r="AD1151" s="1"/>
      <c r="AG1151" s="1"/>
      <c r="AI1151" s="1"/>
    </row>
    <row r="1152" spans="4:35" hidden="1">
      <c r="D1152" s="1"/>
      <c r="K1152" s="1"/>
      <c r="Q1152" s="1"/>
      <c r="AD1152" s="1"/>
      <c r="AG1152" s="1"/>
      <c r="AI1152" s="1"/>
    </row>
    <row r="1153" spans="4:35" hidden="1">
      <c r="D1153" s="1"/>
      <c r="K1153" s="1"/>
      <c r="Q1153" s="1"/>
      <c r="AD1153" s="1"/>
      <c r="AG1153" s="1"/>
      <c r="AI1153" s="1"/>
    </row>
    <row r="1154" spans="4:35" hidden="1">
      <c r="D1154" s="1"/>
      <c r="K1154" s="1"/>
      <c r="Q1154" s="1"/>
      <c r="AD1154" s="1"/>
      <c r="AG1154" s="1"/>
      <c r="AI1154" s="1"/>
    </row>
    <row r="1155" spans="4:35" hidden="1">
      <c r="D1155" s="1"/>
      <c r="K1155" s="1"/>
      <c r="Q1155" s="1"/>
      <c r="AD1155" s="1"/>
      <c r="AG1155" s="1"/>
      <c r="AI1155" s="1"/>
    </row>
    <row r="1156" spans="4:35" hidden="1">
      <c r="D1156" s="1"/>
      <c r="K1156" s="1"/>
      <c r="Q1156" s="1"/>
      <c r="AD1156" s="1"/>
      <c r="AG1156" s="1"/>
      <c r="AI1156" s="1"/>
    </row>
    <row r="1157" spans="4:35" hidden="1">
      <c r="D1157" s="1"/>
      <c r="K1157" s="1"/>
      <c r="Q1157" s="1"/>
      <c r="AD1157" s="1"/>
      <c r="AG1157" s="1"/>
      <c r="AI1157" s="1"/>
    </row>
    <row r="1158" spans="4:35" hidden="1">
      <c r="D1158" s="1"/>
      <c r="K1158" s="1"/>
      <c r="Q1158" s="1"/>
      <c r="AD1158" s="1"/>
      <c r="AG1158" s="1"/>
      <c r="AI1158" s="1"/>
    </row>
    <row r="1159" spans="4:35" hidden="1">
      <c r="D1159" s="1"/>
      <c r="K1159" s="1"/>
      <c r="Q1159" s="1"/>
      <c r="AD1159" s="1"/>
      <c r="AG1159" s="1"/>
      <c r="AI1159" s="1"/>
    </row>
    <row r="1160" spans="4:35" hidden="1">
      <c r="D1160" s="1"/>
      <c r="K1160" s="1"/>
      <c r="Q1160" s="1"/>
      <c r="AD1160" s="1"/>
      <c r="AG1160" s="1"/>
      <c r="AI1160" s="1"/>
    </row>
    <row r="1161" spans="4:35" hidden="1">
      <c r="D1161" s="1"/>
      <c r="K1161" s="1"/>
      <c r="Q1161" s="1"/>
      <c r="AD1161" s="1"/>
      <c r="AG1161" s="1"/>
      <c r="AI1161" s="1"/>
    </row>
    <row r="1162" spans="4:35" hidden="1">
      <c r="D1162" s="1"/>
      <c r="K1162" s="1"/>
      <c r="Q1162" s="1"/>
      <c r="AD1162" s="1"/>
      <c r="AG1162" s="1"/>
      <c r="AI1162" s="1"/>
    </row>
    <row r="1163" spans="4:35" hidden="1">
      <c r="D1163" s="1"/>
      <c r="K1163" s="1"/>
      <c r="Q1163" s="1"/>
      <c r="AD1163" s="1"/>
      <c r="AG1163" s="1"/>
      <c r="AI1163" s="1"/>
    </row>
    <row r="1164" spans="4:35" hidden="1">
      <c r="D1164" s="1"/>
      <c r="K1164" s="1"/>
      <c r="Q1164" s="1"/>
      <c r="AD1164" s="1"/>
      <c r="AG1164" s="1"/>
      <c r="AI1164" s="1"/>
    </row>
    <row r="1165" spans="4:35" hidden="1">
      <c r="D1165" s="1"/>
      <c r="K1165" s="1"/>
      <c r="Q1165" s="1"/>
      <c r="AD1165" s="1"/>
      <c r="AG1165" s="1"/>
      <c r="AI1165" s="1"/>
    </row>
    <row r="1166" spans="4:35" hidden="1">
      <c r="D1166" s="1"/>
      <c r="K1166" s="1"/>
      <c r="Q1166" s="1"/>
      <c r="AD1166" s="1"/>
      <c r="AG1166" s="1"/>
      <c r="AI1166" s="1"/>
    </row>
    <row r="1167" spans="4:35" hidden="1">
      <c r="D1167" s="1"/>
      <c r="K1167" s="1"/>
      <c r="Q1167" s="1"/>
      <c r="AD1167" s="1"/>
      <c r="AG1167" s="1"/>
      <c r="AI1167" s="1"/>
    </row>
    <row r="1168" spans="4:35" hidden="1">
      <c r="D1168" s="1"/>
      <c r="K1168" s="1"/>
      <c r="Q1168" s="1"/>
      <c r="AD1168" s="1"/>
      <c r="AG1168" s="1"/>
      <c r="AI1168" s="1"/>
    </row>
    <row r="1169" spans="4:35" hidden="1">
      <c r="D1169" s="1"/>
      <c r="K1169" s="1"/>
      <c r="Q1169" s="1"/>
      <c r="AD1169" s="1"/>
      <c r="AG1169" s="1"/>
      <c r="AI1169" s="1"/>
    </row>
    <row r="1170" spans="4:35" hidden="1">
      <c r="D1170" s="1"/>
      <c r="K1170" s="1"/>
      <c r="Q1170" s="1"/>
      <c r="AD1170" s="1"/>
      <c r="AG1170" s="1"/>
      <c r="AI1170" s="1"/>
    </row>
    <row r="1171" spans="4:35" hidden="1">
      <c r="D1171" s="1"/>
      <c r="K1171" s="1"/>
      <c r="Q1171" s="1"/>
      <c r="AD1171" s="1"/>
      <c r="AG1171" s="1"/>
      <c r="AI1171" s="1"/>
    </row>
    <row r="1172" spans="4:35" hidden="1">
      <c r="D1172" s="1"/>
      <c r="K1172" s="1"/>
      <c r="Q1172" s="1"/>
      <c r="AD1172" s="1"/>
      <c r="AG1172" s="1"/>
      <c r="AI1172" s="1"/>
    </row>
    <row r="1173" spans="4:35" hidden="1">
      <c r="D1173" s="1"/>
      <c r="K1173" s="1"/>
      <c r="Q1173" s="1"/>
      <c r="AD1173" s="1"/>
      <c r="AG1173" s="1"/>
      <c r="AI1173" s="1"/>
    </row>
    <row r="1174" spans="4:35" hidden="1">
      <c r="D1174" s="1"/>
      <c r="K1174" s="1"/>
      <c r="Q1174" s="1"/>
      <c r="AD1174" s="1"/>
      <c r="AG1174" s="1"/>
      <c r="AI1174" s="1"/>
    </row>
    <row r="1175" spans="4:35" hidden="1">
      <c r="D1175" s="1"/>
      <c r="K1175" s="1"/>
      <c r="Q1175" s="1"/>
      <c r="AD1175" s="1"/>
      <c r="AG1175" s="1"/>
      <c r="AI1175" s="1"/>
    </row>
    <row r="1176" spans="4:35" hidden="1">
      <c r="D1176" s="1"/>
      <c r="K1176" s="1"/>
      <c r="Q1176" s="1"/>
      <c r="AD1176" s="1"/>
      <c r="AG1176" s="1"/>
      <c r="AI1176" s="1"/>
    </row>
    <row r="1177" spans="4:35" hidden="1">
      <c r="D1177" s="1"/>
      <c r="K1177" s="1"/>
      <c r="Q1177" s="1"/>
      <c r="AD1177" s="1"/>
      <c r="AG1177" s="1"/>
      <c r="AI1177" s="1"/>
    </row>
    <row r="1178" spans="4:35" hidden="1">
      <c r="D1178" s="1"/>
      <c r="K1178" s="1"/>
      <c r="Q1178" s="1"/>
      <c r="AD1178" s="1"/>
      <c r="AG1178" s="1"/>
      <c r="AI1178" s="1"/>
    </row>
    <row r="1179" spans="4:35" hidden="1">
      <c r="D1179" s="1"/>
      <c r="K1179" s="1"/>
      <c r="Q1179" s="1"/>
      <c r="AD1179" s="1"/>
      <c r="AG1179" s="1"/>
      <c r="AI1179" s="1"/>
    </row>
    <row r="1180" spans="4:35" hidden="1">
      <c r="D1180" s="1"/>
      <c r="K1180" s="1"/>
      <c r="Q1180" s="1"/>
      <c r="AD1180" s="1"/>
      <c r="AG1180" s="1"/>
      <c r="AI1180" s="1"/>
    </row>
    <row r="1181" spans="4:35" hidden="1">
      <c r="D1181" s="1"/>
      <c r="K1181" s="1"/>
      <c r="Q1181" s="1"/>
      <c r="AD1181" s="1"/>
      <c r="AG1181" s="1"/>
      <c r="AI1181" s="1"/>
    </row>
    <row r="1182" spans="4:35" hidden="1">
      <c r="D1182" s="1"/>
      <c r="K1182" s="1"/>
      <c r="Q1182" s="1"/>
      <c r="AD1182" s="1"/>
      <c r="AG1182" s="1"/>
      <c r="AI1182" s="1"/>
    </row>
    <row r="1183" spans="4:35" hidden="1">
      <c r="D1183" s="1"/>
      <c r="K1183" s="1"/>
      <c r="Q1183" s="1"/>
      <c r="AD1183" s="1"/>
      <c r="AG1183" s="1"/>
      <c r="AI1183" s="1"/>
    </row>
    <row r="1184" spans="4:35" hidden="1">
      <c r="D1184" s="1"/>
      <c r="K1184" s="1"/>
      <c r="Q1184" s="1"/>
      <c r="AD1184" s="1"/>
      <c r="AG1184" s="1"/>
      <c r="AI1184" s="1"/>
    </row>
    <row r="1185" spans="4:35" hidden="1">
      <c r="D1185" s="1"/>
      <c r="K1185" s="1"/>
      <c r="Q1185" s="1"/>
      <c r="AD1185" s="1"/>
      <c r="AG1185" s="1"/>
      <c r="AI1185" s="1"/>
    </row>
    <row r="1186" spans="4:35" hidden="1">
      <c r="D1186" s="1"/>
      <c r="K1186" s="1"/>
      <c r="Q1186" s="1"/>
      <c r="AD1186" s="1"/>
      <c r="AG1186" s="1"/>
      <c r="AI1186" s="1"/>
    </row>
    <row r="1187" spans="4:35" hidden="1">
      <c r="D1187" s="1"/>
      <c r="K1187" s="1"/>
      <c r="Q1187" s="1"/>
      <c r="AD1187" s="1"/>
      <c r="AG1187" s="1"/>
      <c r="AI1187" s="1"/>
    </row>
    <row r="1188" spans="4:35" hidden="1">
      <c r="D1188" s="1"/>
      <c r="K1188" s="1"/>
      <c r="Q1188" s="1"/>
      <c r="AD1188" s="1"/>
      <c r="AG1188" s="1"/>
      <c r="AI1188" s="1"/>
    </row>
    <row r="1189" spans="4:35" hidden="1">
      <c r="D1189" s="1"/>
      <c r="K1189" s="1"/>
      <c r="Q1189" s="1"/>
      <c r="AD1189" s="1"/>
      <c r="AG1189" s="1"/>
      <c r="AI1189" s="1"/>
    </row>
    <row r="1190" spans="4:35" hidden="1">
      <c r="D1190" s="1"/>
      <c r="K1190" s="1"/>
      <c r="Q1190" s="1"/>
      <c r="AD1190" s="1"/>
      <c r="AG1190" s="1"/>
      <c r="AI1190" s="1"/>
    </row>
    <row r="1191" spans="4:35" hidden="1">
      <c r="D1191" s="1"/>
      <c r="K1191" s="1"/>
      <c r="Q1191" s="1"/>
      <c r="AD1191" s="1"/>
      <c r="AG1191" s="1"/>
      <c r="AI1191" s="1"/>
    </row>
    <row r="1192" spans="4:35" hidden="1">
      <c r="D1192" s="1"/>
      <c r="K1192" s="1"/>
      <c r="Q1192" s="1"/>
      <c r="AD1192" s="1"/>
      <c r="AG1192" s="1"/>
      <c r="AI1192" s="1"/>
    </row>
    <row r="1193" spans="4:35" hidden="1">
      <c r="D1193" s="1"/>
      <c r="K1193" s="1"/>
      <c r="Q1193" s="1"/>
      <c r="AD1193" s="1"/>
      <c r="AG1193" s="1"/>
      <c r="AI1193" s="1"/>
    </row>
    <row r="1194" spans="4:35" hidden="1">
      <c r="D1194" s="1"/>
      <c r="K1194" s="1"/>
      <c r="Q1194" s="1"/>
      <c r="AD1194" s="1"/>
      <c r="AG1194" s="1"/>
      <c r="AI1194" s="1"/>
    </row>
    <row r="1195" spans="4:35" hidden="1">
      <c r="D1195" s="1"/>
      <c r="K1195" s="1"/>
      <c r="Q1195" s="1"/>
      <c r="AD1195" s="1"/>
      <c r="AG1195" s="1"/>
      <c r="AI1195" s="1"/>
    </row>
    <row r="1196" spans="4:35" hidden="1">
      <c r="D1196" s="1"/>
      <c r="K1196" s="1"/>
      <c r="Q1196" s="1"/>
      <c r="AD1196" s="1"/>
      <c r="AG1196" s="1"/>
      <c r="AI1196" s="1"/>
    </row>
    <row r="1197" spans="4:35" hidden="1">
      <c r="D1197" s="1"/>
      <c r="K1197" s="1"/>
      <c r="Q1197" s="1"/>
      <c r="AD1197" s="1"/>
      <c r="AG1197" s="1"/>
      <c r="AI1197" s="1"/>
    </row>
    <row r="1198" spans="4:35" hidden="1">
      <c r="D1198" s="1"/>
      <c r="K1198" s="1"/>
      <c r="Q1198" s="1"/>
      <c r="AD1198" s="1"/>
      <c r="AG1198" s="1"/>
      <c r="AI1198" s="1"/>
    </row>
    <row r="1199" spans="4:35" hidden="1">
      <c r="D1199" s="1"/>
      <c r="K1199" s="1"/>
      <c r="Q1199" s="1"/>
      <c r="AD1199" s="1"/>
      <c r="AG1199" s="1"/>
      <c r="AI1199" s="1"/>
    </row>
    <row r="1200" spans="4:35" hidden="1">
      <c r="D1200" s="1"/>
      <c r="K1200" s="1"/>
      <c r="Q1200" s="1"/>
      <c r="AD1200" s="1"/>
      <c r="AG1200" s="1"/>
      <c r="AI1200" s="1"/>
    </row>
    <row r="1201" spans="4:35" hidden="1">
      <c r="D1201" s="1"/>
      <c r="K1201" s="1"/>
      <c r="Q1201" s="1"/>
      <c r="AD1201" s="1"/>
      <c r="AG1201" s="1"/>
      <c r="AI1201" s="1"/>
    </row>
    <row r="1202" spans="4:35" hidden="1">
      <c r="D1202" s="1"/>
      <c r="K1202" s="1"/>
      <c r="Q1202" s="1"/>
      <c r="AD1202" s="1"/>
      <c r="AG1202" s="1"/>
      <c r="AI1202" s="1"/>
    </row>
    <row r="1203" spans="4:35" hidden="1">
      <c r="D1203" s="1"/>
      <c r="K1203" s="1"/>
      <c r="Q1203" s="1"/>
      <c r="AD1203" s="1"/>
      <c r="AG1203" s="1"/>
      <c r="AI1203" s="1"/>
    </row>
    <row r="1204" spans="4:35" hidden="1">
      <c r="D1204" s="1"/>
      <c r="K1204" s="1"/>
      <c r="Q1204" s="1"/>
      <c r="AD1204" s="1"/>
      <c r="AG1204" s="1"/>
      <c r="AI1204" s="1"/>
    </row>
    <row r="1205" spans="4:35" hidden="1">
      <c r="D1205" s="1"/>
      <c r="K1205" s="1"/>
      <c r="Q1205" s="1"/>
      <c r="AD1205" s="1"/>
      <c r="AG1205" s="1"/>
      <c r="AI1205" s="1"/>
    </row>
    <row r="1206" spans="4:35" hidden="1">
      <c r="D1206" s="1"/>
      <c r="K1206" s="1"/>
      <c r="Q1206" s="1"/>
      <c r="AD1206" s="1"/>
      <c r="AG1206" s="1"/>
      <c r="AI1206" s="1"/>
    </row>
    <row r="1207" spans="4:35" hidden="1">
      <c r="D1207" s="1"/>
      <c r="K1207" s="1"/>
      <c r="Q1207" s="1"/>
      <c r="AD1207" s="1"/>
      <c r="AG1207" s="1"/>
      <c r="AI1207" s="1"/>
    </row>
    <row r="1208" spans="4:35" hidden="1">
      <c r="D1208" s="1"/>
      <c r="K1208" s="1"/>
      <c r="Q1208" s="1"/>
      <c r="AD1208" s="1"/>
      <c r="AG1208" s="1"/>
      <c r="AI1208" s="1"/>
    </row>
    <row r="1209" spans="4:35" hidden="1">
      <c r="D1209" s="1"/>
      <c r="K1209" s="1"/>
      <c r="Q1209" s="1"/>
      <c r="AD1209" s="1"/>
      <c r="AG1209" s="1"/>
      <c r="AI1209" s="1"/>
    </row>
    <row r="1210" spans="4:35" hidden="1">
      <c r="D1210" s="1"/>
      <c r="K1210" s="1"/>
      <c r="Q1210" s="1"/>
      <c r="AD1210" s="1"/>
      <c r="AG1210" s="1"/>
      <c r="AI1210" s="1"/>
    </row>
    <row r="1211" spans="4:35" hidden="1">
      <c r="D1211" s="1"/>
      <c r="K1211" s="1"/>
      <c r="Q1211" s="1"/>
      <c r="AD1211" s="1"/>
      <c r="AG1211" s="1"/>
      <c r="AI1211" s="1"/>
    </row>
    <row r="1212" spans="4:35" hidden="1">
      <c r="D1212" s="1"/>
      <c r="K1212" s="1"/>
      <c r="Q1212" s="1"/>
      <c r="AD1212" s="1"/>
      <c r="AG1212" s="1"/>
      <c r="AI1212" s="1"/>
    </row>
    <row r="1213" spans="4:35" hidden="1">
      <c r="D1213" s="1"/>
      <c r="K1213" s="1"/>
      <c r="Q1213" s="1"/>
      <c r="AD1213" s="1"/>
      <c r="AG1213" s="1"/>
      <c r="AI1213" s="1"/>
    </row>
    <row r="1214" spans="4:35" hidden="1">
      <c r="D1214" s="1"/>
      <c r="K1214" s="1"/>
      <c r="Q1214" s="1"/>
      <c r="AD1214" s="1"/>
      <c r="AG1214" s="1"/>
      <c r="AI1214" s="1"/>
    </row>
    <row r="1215" spans="4:35" hidden="1">
      <c r="D1215" s="1"/>
      <c r="K1215" s="1"/>
      <c r="Q1215" s="1"/>
      <c r="AD1215" s="1"/>
      <c r="AG1215" s="1"/>
      <c r="AI1215" s="1"/>
    </row>
    <row r="1216" spans="4:35" hidden="1">
      <c r="D1216" s="1"/>
      <c r="K1216" s="1"/>
      <c r="Q1216" s="1"/>
      <c r="AD1216" s="1"/>
      <c r="AG1216" s="1"/>
      <c r="AI1216" s="1"/>
    </row>
    <row r="1217" spans="4:35" hidden="1">
      <c r="D1217" s="1"/>
      <c r="K1217" s="1"/>
      <c r="Q1217" s="1"/>
      <c r="AD1217" s="1"/>
      <c r="AG1217" s="1"/>
      <c r="AI1217" s="1"/>
    </row>
    <row r="1218" spans="4:35" hidden="1">
      <c r="D1218" s="1"/>
      <c r="K1218" s="1"/>
      <c r="Q1218" s="1"/>
      <c r="AD1218" s="1"/>
      <c r="AG1218" s="1"/>
      <c r="AI1218" s="1"/>
    </row>
    <row r="1219" spans="4:35" hidden="1">
      <c r="D1219" s="1"/>
      <c r="K1219" s="1"/>
      <c r="Q1219" s="1"/>
      <c r="AD1219" s="1"/>
      <c r="AG1219" s="1"/>
      <c r="AI1219" s="1"/>
    </row>
    <row r="1220" spans="4:35" hidden="1">
      <c r="D1220" s="1"/>
      <c r="K1220" s="1"/>
      <c r="Q1220" s="1"/>
      <c r="AD1220" s="1"/>
      <c r="AG1220" s="1"/>
      <c r="AI1220" s="1"/>
    </row>
    <row r="1221" spans="4:35" hidden="1">
      <c r="D1221" s="1"/>
      <c r="K1221" s="1"/>
      <c r="Q1221" s="1"/>
      <c r="AD1221" s="1"/>
      <c r="AG1221" s="1"/>
      <c r="AI1221" s="1"/>
    </row>
    <row r="1222" spans="4:35" hidden="1">
      <c r="D1222" s="1"/>
      <c r="K1222" s="1"/>
      <c r="Q1222" s="1"/>
      <c r="AD1222" s="1"/>
      <c r="AG1222" s="1"/>
      <c r="AI1222" s="1"/>
    </row>
    <row r="1223" spans="4:35" hidden="1">
      <c r="D1223" s="1"/>
      <c r="K1223" s="1"/>
      <c r="Q1223" s="1"/>
      <c r="AD1223" s="1"/>
      <c r="AG1223" s="1"/>
      <c r="AI1223" s="1"/>
    </row>
    <row r="1224" spans="4:35" hidden="1">
      <c r="D1224" s="1"/>
      <c r="K1224" s="1"/>
      <c r="Q1224" s="1"/>
      <c r="AD1224" s="1"/>
      <c r="AG1224" s="1"/>
      <c r="AI1224" s="1"/>
    </row>
    <row r="1225" spans="4:35" hidden="1">
      <c r="D1225" s="1"/>
      <c r="K1225" s="1"/>
      <c r="Q1225" s="1"/>
      <c r="AD1225" s="1"/>
      <c r="AG1225" s="1"/>
      <c r="AI1225" s="1"/>
    </row>
    <row r="1226" spans="4:35" hidden="1">
      <c r="D1226" s="1"/>
      <c r="K1226" s="1"/>
      <c r="Q1226" s="1"/>
      <c r="AD1226" s="1"/>
      <c r="AG1226" s="1"/>
      <c r="AI1226" s="1"/>
    </row>
    <row r="1227" spans="4:35" hidden="1">
      <c r="D1227" s="1"/>
      <c r="K1227" s="1"/>
      <c r="Q1227" s="1"/>
      <c r="AD1227" s="1"/>
      <c r="AG1227" s="1"/>
      <c r="AI1227" s="1"/>
    </row>
    <row r="1228" spans="4:35" hidden="1">
      <c r="D1228" s="1"/>
      <c r="K1228" s="1"/>
      <c r="Q1228" s="1"/>
      <c r="AD1228" s="1"/>
      <c r="AG1228" s="1"/>
      <c r="AI1228" s="1"/>
    </row>
    <row r="1229" spans="4:35" hidden="1">
      <c r="D1229" s="1"/>
      <c r="K1229" s="1"/>
      <c r="Q1229" s="1"/>
      <c r="AD1229" s="1"/>
      <c r="AG1229" s="1"/>
      <c r="AI1229" s="1"/>
    </row>
    <row r="1230" spans="4:35" hidden="1">
      <c r="D1230" s="1"/>
      <c r="K1230" s="1"/>
      <c r="Q1230" s="1"/>
      <c r="AD1230" s="1"/>
      <c r="AG1230" s="1"/>
      <c r="AI1230" s="1"/>
    </row>
    <row r="1231" spans="4:35" hidden="1">
      <c r="D1231" s="1"/>
      <c r="K1231" s="1"/>
      <c r="Q1231" s="1"/>
      <c r="AD1231" s="1"/>
      <c r="AG1231" s="1"/>
      <c r="AI1231" s="1"/>
    </row>
    <row r="1232" spans="4:35" hidden="1">
      <c r="D1232" s="1"/>
      <c r="K1232" s="1"/>
      <c r="Q1232" s="1"/>
      <c r="AD1232" s="1"/>
      <c r="AG1232" s="1"/>
      <c r="AI1232" s="1"/>
    </row>
    <row r="1233" spans="4:35" hidden="1">
      <c r="D1233" s="1"/>
      <c r="K1233" s="1"/>
      <c r="Q1233" s="1"/>
      <c r="AD1233" s="1"/>
      <c r="AG1233" s="1"/>
      <c r="AI1233" s="1"/>
    </row>
    <row r="1234" spans="4:35" hidden="1">
      <c r="D1234" s="1"/>
      <c r="K1234" s="1"/>
      <c r="Q1234" s="1"/>
      <c r="AD1234" s="1"/>
      <c r="AG1234" s="1"/>
      <c r="AI1234" s="1"/>
    </row>
    <row r="1235" spans="4:35" hidden="1">
      <c r="D1235" s="1"/>
      <c r="K1235" s="1"/>
      <c r="Q1235" s="1"/>
      <c r="AD1235" s="1"/>
      <c r="AG1235" s="1"/>
      <c r="AI1235" s="1"/>
    </row>
    <row r="1236" spans="4:35" hidden="1">
      <c r="D1236" s="1"/>
      <c r="K1236" s="1"/>
      <c r="Q1236" s="1"/>
      <c r="AD1236" s="1"/>
      <c r="AG1236" s="1"/>
      <c r="AI1236" s="1"/>
    </row>
    <row r="1237" spans="4:35" hidden="1">
      <c r="D1237" s="1"/>
      <c r="K1237" s="1"/>
      <c r="Q1237" s="1"/>
      <c r="AD1237" s="1"/>
      <c r="AG1237" s="1"/>
      <c r="AI1237" s="1"/>
    </row>
    <row r="1238" spans="4:35" hidden="1">
      <c r="D1238" s="1"/>
      <c r="K1238" s="1"/>
      <c r="Q1238" s="1"/>
      <c r="AD1238" s="1"/>
      <c r="AG1238" s="1"/>
      <c r="AI1238" s="1"/>
    </row>
    <row r="1239" spans="4:35" hidden="1">
      <c r="D1239" s="1"/>
      <c r="K1239" s="1"/>
      <c r="Q1239" s="1"/>
      <c r="AD1239" s="1"/>
      <c r="AG1239" s="1"/>
      <c r="AI1239" s="1"/>
    </row>
    <row r="1240" spans="4:35" hidden="1">
      <c r="D1240" s="1"/>
      <c r="K1240" s="1"/>
      <c r="Q1240" s="1"/>
      <c r="AD1240" s="1"/>
      <c r="AG1240" s="1"/>
      <c r="AI1240" s="1"/>
    </row>
    <row r="1241" spans="4:35" hidden="1">
      <c r="D1241" s="1"/>
      <c r="K1241" s="1"/>
      <c r="Q1241" s="1"/>
      <c r="AD1241" s="1"/>
      <c r="AG1241" s="1"/>
      <c r="AI1241" s="1"/>
    </row>
    <row r="1242" spans="4:35" hidden="1">
      <c r="D1242" s="1"/>
      <c r="K1242" s="1"/>
      <c r="Q1242" s="1"/>
      <c r="AD1242" s="1"/>
      <c r="AG1242" s="1"/>
      <c r="AI1242" s="1"/>
    </row>
    <row r="1243" spans="4:35" hidden="1">
      <c r="D1243" s="1"/>
      <c r="K1243" s="1"/>
      <c r="Q1243" s="1"/>
      <c r="AD1243" s="1"/>
      <c r="AG1243" s="1"/>
      <c r="AI1243" s="1"/>
    </row>
    <row r="1244" spans="4:35" hidden="1">
      <c r="D1244" s="1"/>
      <c r="K1244" s="1"/>
      <c r="Q1244" s="1"/>
      <c r="AD1244" s="1"/>
      <c r="AG1244" s="1"/>
      <c r="AI1244" s="1"/>
    </row>
    <row r="1245" spans="4:35" hidden="1">
      <c r="D1245" s="1"/>
      <c r="K1245" s="1"/>
      <c r="Q1245" s="1"/>
      <c r="AD1245" s="1"/>
      <c r="AG1245" s="1"/>
      <c r="AI1245" s="1"/>
    </row>
    <row r="1246" spans="4:35" hidden="1">
      <c r="D1246" s="1"/>
      <c r="K1246" s="1"/>
      <c r="Q1246" s="1"/>
      <c r="AD1246" s="1"/>
      <c r="AG1246" s="1"/>
      <c r="AI1246" s="1"/>
    </row>
    <row r="1247" spans="4:35" hidden="1">
      <c r="D1247" s="1"/>
      <c r="K1247" s="1"/>
      <c r="Q1247" s="1"/>
      <c r="AD1247" s="1"/>
      <c r="AG1247" s="1"/>
      <c r="AI1247" s="1"/>
    </row>
    <row r="1248" spans="4:35" hidden="1">
      <c r="D1248" s="1"/>
      <c r="K1248" s="1"/>
      <c r="Q1248" s="1"/>
      <c r="AD1248" s="1"/>
      <c r="AG1248" s="1"/>
      <c r="AI1248" s="1"/>
    </row>
    <row r="1249" spans="4:35" hidden="1">
      <c r="D1249" s="1"/>
      <c r="K1249" s="1"/>
      <c r="Q1249" s="1"/>
      <c r="AD1249" s="1"/>
      <c r="AG1249" s="1"/>
      <c r="AI1249" s="1"/>
    </row>
    <row r="1250" spans="4:35" hidden="1">
      <c r="D1250" s="1"/>
      <c r="K1250" s="1"/>
      <c r="Q1250" s="1"/>
      <c r="AD1250" s="1"/>
      <c r="AG1250" s="1"/>
      <c r="AI1250" s="1"/>
    </row>
    <row r="1251" spans="4:35" hidden="1">
      <c r="D1251" s="1"/>
      <c r="K1251" s="1"/>
      <c r="Q1251" s="1"/>
      <c r="AD1251" s="1"/>
      <c r="AG1251" s="1"/>
      <c r="AI1251" s="1"/>
    </row>
    <row r="1252" spans="4:35" hidden="1">
      <c r="D1252" s="1"/>
      <c r="K1252" s="1"/>
      <c r="Q1252" s="1"/>
      <c r="AD1252" s="1"/>
      <c r="AG1252" s="1"/>
      <c r="AI1252" s="1"/>
    </row>
    <row r="1253" spans="4:35" hidden="1">
      <c r="D1253" s="1"/>
      <c r="K1253" s="1"/>
      <c r="Q1253" s="1"/>
      <c r="AD1253" s="1"/>
      <c r="AG1253" s="1"/>
      <c r="AI1253" s="1"/>
    </row>
    <row r="1254" spans="4:35" hidden="1">
      <c r="D1254" s="1"/>
      <c r="K1254" s="1"/>
      <c r="Q1254" s="1"/>
      <c r="AD1254" s="1"/>
      <c r="AG1254" s="1"/>
      <c r="AI1254" s="1"/>
    </row>
    <row r="1255" spans="4:35" hidden="1">
      <c r="D1255" s="1"/>
      <c r="K1255" s="1"/>
      <c r="Q1255" s="1"/>
      <c r="AD1255" s="1"/>
      <c r="AG1255" s="1"/>
      <c r="AI1255" s="1"/>
    </row>
    <row r="1256" spans="4:35" hidden="1">
      <c r="D1256" s="1"/>
      <c r="K1256" s="1"/>
      <c r="Q1256" s="1"/>
      <c r="AD1256" s="1"/>
      <c r="AG1256" s="1"/>
      <c r="AI1256" s="1"/>
    </row>
    <row r="1257" spans="4:35" hidden="1">
      <c r="D1257" s="1"/>
      <c r="K1257" s="1"/>
      <c r="Q1257" s="1"/>
      <c r="AD1257" s="1"/>
      <c r="AG1257" s="1"/>
      <c r="AI1257" s="1"/>
    </row>
    <row r="1258" spans="4:35" hidden="1">
      <c r="D1258" s="1"/>
      <c r="K1258" s="1"/>
      <c r="Q1258" s="1"/>
      <c r="AD1258" s="1"/>
      <c r="AG1258" s="1"/>
      <c r="AI1258" s="1"/>
    </row>
    <row r="1259" spans="4:35" hidden="1">
      <c r="D1259" s="1"/>
      <c r="K1259" s="1"/>
      <c r="Q1259" s="1"/>
      <c r="AD1259" s="1"/>
      <c r="AG1259" s="1"/>
      <c r="AI1259" s="1"/>
    </row>
    <row r="1260" spans="4:35" hidden="1">
      <c r="D1260" s="1"/>
      <c r="K1260" s="1"/>
      <c r="Q1260" s="1"/>
      <c r="AD1260" s="1"/>
      <c r="AG1260" s="1"/>
      <c r="AI1260" s="1"/>
    </row>
    <row r="1261" spans="4:35" hidden="1">
      <c r="D1261" s="1"/>
      <c r="K1261" s="1"/>
      <c r="Q1261" s="1"/>
      <c r="AD1261" s="1"/>
      <c r="AG1261" s="1"/>
      <c r="AI1261" s="1"/>
    </row>
    <row r="1262" spans="4:35" hidden="1">
      <c r="D1262" s="1"/>
      <c r="K1262" s="1"/>
      <c r="Q1262" s="1"/>
      <c r="AD1262" s="1"/>
      <c r="AG1262" s="1"/>
      <c r="AI1262" s="1"/>
    </row>
    <row r="1263" spans="4:35" hidden="1">
      <c r="D1263" s="1"/>
      <c r="K1263" s="1"/>
      <c r="Q1263" s="1"/>
      <c r="AD1263" s="1"/>
      <c r="AG1263" s="1"/>
      <c r="AI1263" s="1"/>
    </row>
    <row r="1264" spans="4:35" hidden="1">
      <c r="D1264" s="1"/>
      <c r="K1264" s="1"/>
      <c r="Q1264" s="1"/>
      <c r="AD1264" s="1"/>
      <c r="AG1264" s="1"/>
      <c r="AI1264" s="1"/>
    </row>
    <row r="1265" spans="4:35" hidden="1">
      <c r="D1265" s="1"/>
      <c r="K1265" s="1"/>
      <c r="Q1265" s="1"/>
      <c r="AD1265" s="1"/>
      <c r="AG1265" s="1"/>
      <c r="AI1265" s="1"/>
    </row>
    <row r="1266" spans="4:35" hidden="1">
      <c r="D1266" s="1"/>
      <c r="K1266" s="1"/>
      <c r="Q1266" s="1"/>
      <c r="AD1266" s="1"/>
      <c r="AG1266" s="1"/>
      <c r="AI1266" s="1"/>
    </row>
    <row r="1267" spans="4:35" hidden="1">
      <c r="D1267" s="1"/>
      <c r="K1267" s="1"/>
      <c r="Q1267" s="1"/>
      <c r="AD1267" s="1"/>
      <c r="AG1267" s="1"/>
      <c r="AI1267" s="1"/>
    </row>
    <row r="1268" spans="4:35" hidden="1">
      <c r="D1268" s="1"/>
      <c r="K1268" s="1"/>
      <c r="Q1268" s="1"/>
      <c r="AD1268" s="1"/>
      <c r="AG1268" s="1"/>
      <c r="AI1268" s="1"/>
    </row>
    <row r="1269" spans="4:35" hidden="1">
      <c r="D1269" s="1"/>
      <c r="K1269" s="1"/>
      <c r="Q1269" s="1"/>
      <c r="AD1269" s="1"/>
      <c r="AG1269" s="1"/>
      <c r="AI1269" s="1"/>
    </row>
    <row r="1270" spans="4:35" hidden="1">
      <c r="D1270" s="1"/>
      <c r="K1270" s="1"/>
      <c r="Q1270" s="1"/>
      <c r="AD1270" s="1"/>
      <c r="AG1270" s="1"/>
      <c r="AI1270" s="1"/>
    </row>
    <row r="1271" spans="4:35" hidden="1">
      <c r="D1271" s="1"/>
      <c r="K1271" s="1"/>
      <c r="Q1271" s="1"/>
      <c r="AD1271" s="1"/>
      <c r="AG1271" s="1"/>
      <c r="AI1271" s="1"/>
    </row>
    <row r="1272" spans="4:35" hidden="1">
      <c r="D1272" s="1"/>
      <c r="K1272" s="1"/>
      <c r="Q1272" s="1"/>
      <c r="AD1272" s="1"/>
      <c r="AG1272" s="1"/>
      <c r="AI1272" s="1"/>
    </row>
    <row r="1273" spans="4:35" hidden="1">
      <c r="D1273" s="1"/>
      <c r="K1273" s="1"/>
      <c r="Q1273" s="1"/>
      <c r="AD1273" s="1"/>
      <c r="AG1273" s="1"/>
      <c r="AI1273" s="1"/>
    </row>
    <row r="1274" spans="4:35" hidden="1">
      <c r="D1274" s="1"/>
      <c r="K1274" s="1"/>
      <c r="Q1274" s="1"/>
      <c r="AD1274" s="1"/>
      <c r="AG1274" s="1"/>
      <c r="AI1274" s="1"/>
    </row>
    <row r="1275" spans="4:35" hidden="1">
      <c r="D1275" s="1"/>
      <c r="K1275" s="1"/>
      <c r="Q1275" s="1"/>
      <c r="AD1275" s="1"/>
      <c r="AG1275" s="1"/>
      <c r="AI1275" s="1"/>
    </row>
    <row r="1276" spans="4:35" hidden="1">
      <c r="D1276" s="1"/>
      <c r="K1276" s="1"/>
      <c r="Q1276" s="1"/>
      <c r="AD1276" s="1"/>
      <c r="AG1276" s="1"/>
      <c r="AI1276" s="1"/>
    </row>
    <row r="1277" spans="4:35" hidden="1">
      <c r="D1277" s="1"/>
      <c r="K1277" s="1"/>
      <c r="Q1277" s="1"/>
      <c r="AD1277" s="1"/>
      <c r="AG1277" s="1"/>
      <c r="AI1277" s="1"/>
    </row>
    <row r="1278" spans="4:35" hidden="1">
      <c r="D1278" s="1"/>
      <c r="K1278" s="1"/>
      <c r="Q1278" s="1"/>
      <c r="AD1278" s="1"/>
      <c r="AG1278" s="1"/>
      <c r="AI1278" s="1"/>
    </row>
    <row r="1279" spans="4:35" hidden="1">
      <c r="D1279" s="1"/>
      <c r="K1279" s="1"/>
      <c r="Q1279" s="1"/>
      <c r="AD1279" s="1"/>
      <c r="AG1279" s="1"/>
      <c r="AI1279" s="1"/>
    </row>
    <row r="1280" spans="4:35" hidden="1">
      <c r="D1280" s="1"/>
      <c r="K1280" s="1"/>
      <c r="Q1280" s="1"/>
      <c r="AD1280" s="1"/>
      <c r="AG1280" s="1"/>
      <c r="AI1280" s="1"/>
    </row>
    <row r="1281" spans="4:35" hidden="1">
      <c r="D1281" s="1"/>
      <c r="K1281" s="1"/>
      <c r="Q1281" s="1"/>
      <c r="AD1281" s="1"/>
      <c r="AG1281" s="1"/>
      <c r="AI1281" s="1"/>
    </row>
    <row r="1282" spans="4:35" hidden="1">
      <c r="D1282" s="1"/>
      <c r="K1282" s="1"/>
      <c r="Q1282" s="1"/>
      <c r="AD1282" s="1"/>
      <c r="AG1282" s="1"/>
      <c r="AI1282" s="1"/>
    </row>
    <row r="1283" spans="4:35" hidden="1">
      <c r="D1283" s="1"/>
      <c r="K1283" s="1"/>
      <c r="Q1283" s="1"/>
      <c r="AD1283" s="1"/>
      <c r="AG1283" s="1"/>
      <c r="AI1283" s="1"/>
    </row>
    <row r="1284" spans="4:35" hidden="1">
      <c r="D1284" s="1"/>
      <c r="K1284" s="1"/>
      <c r="Q1284" s="1"/>
      <c r="AD1284" s="1"/>
      <c r="AG1284" s="1"/>
      <c r="AI1284" s="1"/>
    </row>
    <row r="1285" spans="4:35" hidden="1">
      <c r="D1285" s="1"/>
      <c r="K1285" s="1"/>
      <c r="Q1285" s="1"/>
      <c r="AD1285" s="1"/>
      <c r="AG1285" s="1"/>
      <c r="AI1285" s="1"/>
    </row>
    <row r="1286" spans="4:35" hidden="1">
      <c r="D1286" s="1"/>
      <c r="K1286" s="1"/>
      <c r="Q1286" s="1"/>
      <c r="AD1286" s="1"/>
      <c r="AG1286" s="1"/>
      <c r="AI1286" s="1"/>
    </row>
    <row r="1287" spans="4:35" hidden="1">
      <c r="D1287" s="1"/>
      <c r="K1287" s="1"/>
      <c r="Q1287" s="1"/>
      <c r="AD1287" s="1"/>
      <c r="AG1287" s="1"/>
      <c r="AI1287" s="1"/>
    </row>
    <row r="1288" spans="4:35" hidden="1">
      <c r="D1288" s="1"/>
      <c r="K1288" s="1"/>
      <c r="Q1288" s="1"/>
      <c r="AD1288" s="1"/>
      <c r="AG1288" s="1"/>
      <c r="AI1288" s="1"/>
    </row>
    <row r="1289" spans="4:35" hidden="1">
      <c r="D1289" s="1"/>
      <c r="K1289" s="1"/>
      <c r="Q1289" s="1"/>
      <c r="AD1289" s="1"/>
      <c r="AG1289" s="1"/>
      <c r="AI1289" s="1"/>
    </row>
    <row r="1290" spans="4:35" hidden="1">
      <c r="D1290" s="1"/>
      <c r="K1290" s="1"/>
      <c r="Q1290" s="1"/>
      <c r="AD1290" s="1"/>
      <c r="AG1290" s="1"/>
      <c r="AI1290" s="1"/>
    </row>
    <row r="1291" spans="4:35" hidden="1">
      <c r="D1291" s="1"/>
      <c r="K1291" s="1"/>
      <c r="Q1291" s="1"/>
      <c r="AD1291" s="1"/>
      <c r="AG1291" s="1"/>
      <c r="AI1291" s="1"/>
    </row>
    <row r="1292" spans="4:35" hidden="1">
      <c r="D1292" s="1"/>
      <c r="K1292" s="1"/>
      <c r="Q1292" s="1"/>
      <c r="AD1292" s="1"/>
      <c r="AG1292" s="1"/>
      <c r="AI1292" s="1"/>
    </row>
    <row r="1293" spans="4:35" hidden="1">
      <c r="D1293" s="1"/>
      <c r="K1293" s="1"/>
      <c r="Q1293" s="1"/>
      <c r="AD1293" s="1"/>
      <c r="AG1293" s="1"/>
      <c r="AI1293" s="1"/>
    </row>
    <row r="1294" spans="4:35" hidden="1">
      <c r="D1294" s="1"/>
      <c r="K1294" s="1"/>
      <c r="Q1294" s="1"/>
      <c r="AD1294" s="1"/>
      <c r="AG1294" s="1"/>
      <c r="AI1294" s="1"/>
    </row>
    <row r="1295" spans="4:35" hidden="1">
      <c r="D1295" s="1"/>
      <c r="K1295" s="1"/>
      <c r="Q1295" s="1"/>
      <c r="AD1295" s="1"/>
      <c r="AG1295" s="1"/>
      <c r="AI1295" s="1"/>
    </row>
    <row r="1296" spans="4:35" hidden="1">
      <c r="D1296" s="1"/>
      <c r="K1296" s="1"/>
      <c r="Q1296" s="1"/>
      <c r="AD1296" s="1"/>
      <c r="AG1296" s="1"/>
      <c r="AI1296" s="1"/>
    </row>
    <row r="1297" spans="4:35" hidden="1">
      <c r="D1297" s="1"/>
      <c r="K1297" s="1"/>
      <c r="Q1297" s="1"/>
      <c r="AD1297" s="1"/>
      <c r="AG1297" s="1"/>
      <c r="AI1297" s="1"/>
    </row>
    <row r="1298" spans="4:35" hidden="1">
      <c r="D1298" s="1"/>
      <c r="K1298" s="1"/>
      <c r="Q1298" s="1"/>
      <c r="AD1298" s="1"/>
      <c r="AG1298" s="1"/>
      <c r="AI1298" s="1"/>
    </row>
    <row r="1299" spans="4:35" hidden="1">
      <c r="D1299" s="1"/>
      <c r="K1299" s="1"/>
      <c r="Q1299" s="1"/>
      <c r="AD1299" s="1"/>
      <c r="AG1299" s="1"/>
      <c r="AI1299" s="1"/>
    </row>
    <row r="1300" spans="4:35" hidden="1">
      <c r="D1300" s="1"/>
      <c r="K1300" s="1"/>
      <c r="Q1300" s="1"/>
      <c r="AD1300" s="1"/>
      <c r="AG1300" s="1"/>
      <c r="AI1300" s="1"/>
    </row>
    <row r="1301" spans="4:35" hidden="1">
      <c r="D1301" s="1"/>
      <c r="K1301" s="1"/>
      <c r="Q1301" s="1"/>
      <c r="AD1301" s="1"/>
      <c r="AG1301" s="1"/>
      <c r="AI1301" s="1"/>
    </row>
    <row r="1302" spans="4:35" hidden="1">
      <c r="D1302" s="1"/>
      <c r="K1302" s="1"/>
      <c r="Q1302" s="1"/>
      <c r="AD1302" s="1"/>
      <c r="AG1302" s="1"/>
      <c r="AI1302" s="1"/>
    </row>
    <row r="1303" spans="4:35" hidden="1">
      <c r="D1303" s="1"/>
      <c r="K1303" s="1"/>
      <c r="Q1303" s="1"/>
      <c r="AD1303" s="1"/>
      <c r="AG1303" s="1"/>
      <c r="AI1303" s="1"/>
    </row>
    <row r="1304" spans="4:35" hidden="1">
      <c r="D1304" s="1"/>
      <c r="K1304" s="1"/>
      <c r="Q1304" s="1"/>
      <c r="AD1304" s="1"/>
      <c r="AG1304" s="1"/>
      <c r="AI1304" s="1"/>
    </row>
    <row r="1305" spans="4:35" hidden="1">
      <c r="D1305" s="1"/>
      <c r="K1305" s="1"/>
      <c r="Q1305" s="1"/>
      <c r="AD1305" s="1"/>
      <c r="AG1305" s="1"/>
      <c r="AI1305" s="1"/>
    </row>
    <row r="1306" spans="4:35" hidden="1">
      <c r="D1306" s="1"/>
      <c r="K1306" s="1"/>
      <c r="Q1306" s="1"/>
      <c r="AD1306" s="1"/>
      <c r="AG1306" s="1"/>
      <c r="AI1306" s="1"/>
    </row>
    <row r="1307" spans="4:35" hidden="1">
      <c r="D1307" s="1"/>
      <c r="K1307" s="1"/>
      <c r="Q1307" s="1"/>
      <c r="AD1307" s="1"/>
      <c r="AG1307" s="1"/>
      <c r="AI1307" s="1"/>
    </row>
    <row r="1308" spans="4:35" hidden="1">
      <c r="D1308" s="1"/>
      <c r="K1308" s="1"/>
      <c r="Q1308" s="1"/>
      <c r="AD1308" s="1"/>
      <c r="AG1308" s="1"/>
      <c r="AI1308" s="1"/>
    </row>
    <row r="1309" spans="4:35" hidden="1">
      <c r="D1309" s="1"/>
      <c r="K1309" s="1"/>
      <c r="Q1309" s="1"/>
      <c r="AD1309" s="1"/>
      <c r="AG1309" s="1"/>
      <c r="AI1309" s="1"/>
    </row>
    <row r="1310" spans="4:35" hidden="1">
      <c r="D1310" s="1"/>
      <c r="K1310" s="1"/>
      <c r="Q1310" s="1"/>
      <c r="AD1310" s="1"/>
      <c r="AG1310" s="1"/>
      <c r="AI1310" s="1"/>
    </row>
    <row r="1311" spans="4:35" hidden="1">
      <c r="D1311" s="1"/>
      <c r="K1311" s="1"/>
      <c r="Q1311" s="1"/>
      <c r="AD1311" s="1"/>
      <c r="AG1311" s="1"/>
      <c r="AI1311" s="1"/>
    </row>
    <row r="1312" spans="4:35" hidden="1">
      <c r="D1312" s="1"/>
      <c r="K1312" s="1"/>
      <c r="Q1312" s="1"/>
      <c r="AD1312" s="1"/>
      <c r="AG1312" s="1"/>
      <c r="AI1312" s="1"/>
    </row>
    <row r="1313" spans="4:35" hidden="1">
      <c r="D1313" s="1"/>
      <c r="K1313" s="1"/>
      <c r="Q1313" s="1"/>
      <c r="AD1313" s="1"/>
      <c r="AG1313" s="1"/>
      <c r="AI1313" s="1"/>
    </row>
    <row r="1314" spans="4:35" hidden="1">
      <c r="D1314" s="1"/>
      <c r="K1314" s="1"/>
      <c r="Q1314" s="1"/>
      <c r="AD1314" s="1"/>
      <c r="AG1314" s="1"/>
      <c r="AI1314" s="1"/>
    </row>
    <row r="1315" spans="4:35" hidden="1">
      <c r="D1315" s="1"/>
      <c r="K1315" s="1"/>
      <c r="Q1315" s="1"/>
      <c r="AD1315" s="1"/>
      <c r="AG1315" s="1"/>
      <c r="AI1315" s="1"/>
    </row>
    <row r="1316" spans="4:35" hidden="1">
      <c r="D1316" s="1"/>
      <c r="K1316" s="1"/>
      <c r="Q1316" s="1"/>
      <c r="AD1316" s="1"/>
      <c r="AG1316" s="1"/>
      <c r="AI1316" s="1"/>
    </row>
    <row r="1317" spans="4:35" hidden="1">
      <c r="D1317" s="1"/>
      <c r="K1317" s="1"/>
      <c r="Q1317" s="1"/>
      <c r="AD1317" s="1"/>
      <c r="AG1317" s="1"/>
      <c r="AI1317" s="1"/>
    </row>
    <row r="1318" spans="4:35" hidden="1">
      <c r="D1318" s="1"/>
      <c r="K1318" s="1"/>
      <c r="Q1318" s="1"/>
      <c r="AD1318" s="1"/>
      <c r="AG1318" s="1"/>
      <c r="AI1318" s="1"/>
    </row>
    <row r="1319" spans="4:35" hidden="1">
      <c r="D1319" s="1"/>
      <c r="K1319" s="1"/>
      <c r="Q1319" s="1"/>
      <c r="AD1319" s="1"/>
      <c r="AG1319" s="1"/>
      <c r="AI1319" s="1"/>
    </row>
    <row r="1320" spans="4:35" hidden="1">
      <c r="D1320" s="1"/>
      <c r="K1320" s="1"/>
      <c r="Q1320" s="1"/>
      <c r="AD1320" s="1"/>
      <c r="AG1320" s="1"/>
      <c r="AI1320" s="1"/>
    </row>
    <row r="1321" spans="4:35" hidden="1">
      <c r="D1321" s="1"/>
      <c r="K1321" s="1"/>
      <c r="Q1321" s="1"/>
      <c r="AD1321" s="1"/>
      <c r="AG1321" s="1"/>
      <c r="AI1321" s="1"/>
    </row>
    <row r="1322" spans="4:35" hidden="1">
      <c r="D1322" s="1"/>
      <c r="K1322" s="1"/>
      <c r="Q1322" s="1"/>
      <c r="AD1322" s="1"/>
      <c r="AG1322" s="1"/>
      <c r="AI1322" s="1"/>
    </row>
    <row r="1323" spans="4:35" hidden="1">
      <c r="D1323" s="1"/>
      <c r="K1323" s="1"/>
      <c r="Q1323" s="1"/>
      <c r="AD1323" s="1"/>
      <c r="AG1323" s="1"/>
      <c r="AI1323" s="1"/>
    </row>
    <row r="1324" spans="4:35" hidden="1">
      <c r="D1324" s="1"/>
      <c r="K1324" s="1"/>
      <c r="Q1324" s="1"/>
      <c r="AD1324" s="1"/>
      <c r="AG1324" s="1"/>
      <c r="AI1324" s="1"/>
    </row>
    <row r="1325" spans="4:35" hidden="1">
      <c r="D1325" s="1"/>
      <c r="K1325" s="1"/>
      <c r="Q1325" s="1"/>
      <c r="AD1325" s="1"/>
      <c r="AG1325" s="1"/>
      <c r="AI1325" s="1"/>
    </row>
    <row r="1326" spans="4:35" hidden="1">
      <c r="D1326" s="1"/>
      <c r="K1326" s="1"/>
      <c r="Q1326" s="1"/>
      <c r="AD1326" s="1"/>
      <c r="AG1326" s="1"/>
      <c r="AI1326" s="1"/>
    </row>
    <row r="1327" spans="4:35" hidden="1">
      <c r="D1327" s="1"/>
      <c r="K1327" s="1"/>
      <c r="Q1327" s="1"/>
      <c r="AD1327" s="1"/>
      <c r="AG1327" s="1"/>
      <c r="AI1327" s="1"/>
    </row>
    <row r="1328" spans="4:35" hidden="1">
      <c r="D1328" s="1"/>
      <c r="K1328" s="1"/>
      <c r="Q1328" s="1"/>
      <c r="AD1328" s="1"/>
      <c r="AG1328" s="1"/>
      <c r="AI1328" s="1"/>
    </row>
    <row r="1329" spans="4:35" hidden="1">
      <c r="D1329" s="1"/>
      <c r="K1329" s="1"/>
      <c r="Q1329" s="1"/>
      <c r="AD1329" s="1"/>
      <c r="AG1329" s="1"/>
      <c r="AI1329" s="1"/>
    </row>
    <row r="1330" spans="4:35" hidden="1">
      <c r="D1330" s="1"/>
      <c r="K1330" s="1"/>
      <c r="Q1330" s="1"/>
      <c r="AD1330" s="1"/>
      <c r="AG1330" s="1"/>
      <c r="AI1330" s="1"/>
    </row>
    <row r="1331" spans="4:35" hidden="1">
      <c r="D1331" s="1"/>
      <c r="K1331" s="1"/>
      <c r="Q1331" s="1"/>
      <c r="AD1331" s="1"/>
      <c r="AG1331" s="1"/>
      <c r="AI1331" s="1"/>
    </row>
    <row r="1332" spans="4:35" hidden="1">
      <c r="D1332" s="1"/>
      <c r="K1332" s="1"/>
      <c r="Q1332" s="1"/>
      <c r="AD1332" s="1"/>
      <c r="AG1332" s="1"/>
      <c r="AI1332" s="1"/>
    </row>
    <row r="1333" spans="4:35" hidden="1">
      <c r="D1333" s="1"/>
      <c r="K1333" s="1"/>
      <c r="Q1333" s="1"/>
      <c r="AD1333" s="1"/>
      <c r="AG1333" s="1"/>
      <c r="AI1333" s="1"/>
    </row>
    <row r="1334" spans="4:35" hidden="1">
      <c r="D1334" s="1"/>
      <c r="K1334" s="1"/>
      <c r="Q1334" s="1"/>
      <c r="AD1334" s="1"/>
      <c r="AG1334" s="1"/>
      <c r="AI1334" s="1"/>
    </row>
    <row r="1335" spans="4:35" hidden="1">
      <c r="D1335" s="1"/>
      <c r="K1335" s="1"/>
      <c r="Q1335" s="1"/>
      <c r="AD1335" s="1"/>
      <c r="AG1335" s="1"/>
      <c r="AI1335" s="1"/>
    </row>
    <row r="1336" spans="4:35" hidden="1">
      <c r="D1336" s="1"/>
      <c r="K1336" s="1"/>
      <c r="Q1336" s="1"/>
      <c r="AD1336" s="1"/>
      <c r="AG1336" s="1"/>
      <c r="AI1336" s="1"/>
    </row>
    <row r="1337" spans="4:35" hidden="1">
      <c r="D1337" s="1"/>
      <c r="K1337" s="1"/>
      <c r="Q1337" s="1"/>
      <c r="AD1337" s="1"/>
      <c r="AG1337" s="1"/>
      <c r="AI1337" s="1"/>
    </row>
    <row r="1338" spans="4:35" hidden="1">
      <c r="D1338" s="1"/>
      <c r="K1338" s="1"/>
      <c r="Q1338" s="1"/>
      <c r="AD1338" s="1"/>
      <c r="AG1338" s="1"/>
      <c r="AI1338" s="1"/>
    </row>
    <row r="1339" spans="4:35" hidden="1">
      <c r="D1339" s="1"/>
      <c r="K1339" s="1"/>
      <c r="Q1339" s="1"/>
      <c r="AD1339" s="1"/>
      <c r="AG1339" s="1"/>
      <c r="AI1339" s="1"/>
    </row>
    <row r="1340" spans="4:35" hidden="1">
      <c r="D1340" s="1"/>
      <c r="K1340" s="1"/>
      <c r="Q1340" s="1"/>
      <c r="AD1340" s="1"/>
      <c r="AG1340" s="1"/>
      <c r="AI1340" s="1"/>
    </row>
    <row r="1341" spans="4:35" hidden="1">
      <c r="D1341" s="1"/>
      <c r="K1341" s="1"/>
      <c r="Q1341" s="1"/>
      <c r="AD1341" s="1"/>
      <c r="AG1341" s="1"/>
      <c r="AI1341" s="1"/>
    </row>
    <row r="1342" spans="4:35" hidden="1">
      <c r="D1342" s="1"/>
      <c r="K1342" s="1"/>
      <c r="Q1342" s="1"/>
      <c r="AD1342" s="1"/>
      <c r="AG1342" s="1"/>
      <c r="AI1342" s="1"/>
    </row>
    <row r="1343" spans="4:35" hidden="1">
      <c r="D1343" s="1"/>
      <c r="K1343" s="1"/>
      <c r="Q1343" s="1"/>
      <c r="AD1343" s="1"/>
      <c r="AG1343" s="1"/>
      <c r="AI1343" s="1"/>
    </row>
    <row r="1344" spans="4:35" hidden="1">
      <c r="D1344" s="1"/>
      <c r="K1344" s="1"/>
      <c r="Q1344" s="1"/>
      <c r="AD1344" s="1"/>
      <c r="AG1344" s="1"/>
      <c r="AI1344" s="1"/>
    </row>
    <row r="1345" spans="4:35" hidden="1">
      <c r="D1345" s="1"/>
      <c r="K1345" s="1"/>
      <c r="Q1345" s="1"/>
      <c r="AD1345" s="1"/>
      <c r="AG1345" s="1"/>
      <c r="AI1345" s="1"/>
    </row>
    <row r="1346" spans="4:35" hidden="1">
      <c r="D1346" s="1"/>
      <c r="K1346" s="1"/>
      <c r="Q1346" s="1"/>
      <c r="AD1346" s="1"/>
      <c r="AG1346" s="1"/>
      <c r="AI1346" s="1"/>
    </row>
    <row r="1347" spans="4:35" hidden="1">
      <c r="D1347" s="1"/>
      <c r="K1347" s="1"/>
      <c r="Q1347" s="1"/>
      <c r="AD1347" s="1"/>
      <c r="AG1347" s="1"/>
      <c r="AI1347" s="1"/>
    </row>
    <row r="1348" spans="4:35" hidden="1">
      <c r="D1348" s="1"/>
      <c r="K1348" s="1"/>
      <c r="Q1348" s="1"/>
      <c r="AD1348" s="1"/>
      <c r="AG1348" s="1"/>
      <c r="AI1348" s="1"/>
    </row>
    <row r="1349" spans="4:35" hidden="1">
      <c r="D1349" s="1"/>
      <c r="K1349" s="1"/>
      <c r="Q1349" s="1"/>
      <c r="AD1349" s="1"/>
      <c r="AG1349" s="1"/>
      <c r="AI1349" s="1"/>
    </row>
    <row r="1350" spans="4:35" hidden="1">
      <c r="D1350" s="1"/>
      <c r="K1350" s="1"/>
      <c r="Q1350" s="1"/>
      <c r="AD1350" s="1"/>
      <c r="AG1350" s="1"/>
      <c r="AI1350" s="1"/>
    </row>
    <row r="1351" spans="4:35" hidden="1">
      <c r="D1351" s="1"/>
      <c r="K1351" s="1"/>
      <c r="Q1351" s="1"/>
      <c r="AD1351" s="1"/>
      <c r="AG1351" s="1"/>
      <c r="AI1351" s="1"/>
    </row>
    <row r="1352" spans="4:35" hidden="1">
      <c r="D1352" s="1"/>
      <c r="K1352" s="1"/>
      <c r="Q1352" s="1"/>
      <c r="AD1352" s="1"/>
      <c r="AG1352" s="1"/>
      <c r="AI1352" s="1"/>
    </row>
    <row r="1353" spans="4:35" hidden="1">
      <c r="D1353" s="1"/>
      <c r="K1353" s="1"/>
      <c r="Q1353" s="1"/>
      <c r="AD1353" s="1"/>
      <c r="AG1353" s="1"/>
      <c r="AI1353" s="1"/>
    </row>
    <row r="1354" spans="4:35" hidden="1">
      <c r="D1354" s="1"/>
      <c r="K1354" s="1"/>
      <c r="Q1354" s="1"/>
      <c r="AD1354" s="1"/>
      <c r="AG1354" s="1"/>
      <c r="AI1354" s="1"/>
    </row>
    <row r="1355" spans="4:35" hidden="1">
      <c r="D1355" s="1"/>
      <c r="K1355" s="1"/>
      <c r="Q1355" s="1"/>
      <c r="AD1355" s="1"/>
      <c r="AG1355" s="1"/>
      <c r="AI1355" s="1"/>
    </row>
    <row r="1356" spans="4:35" hidden="1">
      <c r="D1356" s="1"/>
      <c r="K1356" s="1"/>
      <c r="Q1356" s="1"/>
      <c r="AD1356" s="1"/>
      <c r="AG1356" s="1"/>
      <c r="AI1356" s="1"/>
    </row>
    <row r="1357" spans="4:35" hidden="1">
      <c r="D1357" s="1"/>
      <c r="K1357" s="1"/>
      <c r="Q1357" s="1"/>
      <c r="AD1357" s="1"/>
      <c r="AG1357" s="1"/>
      <c r="AI1357" s="1"/>
    </row>
    <row r="1358" spans="4:35" hidden="1">
      <c r="D1358" s="1"/>
      <c r="K1358" s="1"/>
      <c r="Q1358" s="1"/>
      <c r="AD1358" s="1"/>
      <c r="AG1358" s="1"/>
      <c r="AI1358" s="1"/>
    </row>
    <row r="1359" spans="4:35" hidden="1">
      <c r="D1359" s="1"/>
      <c r="K1359" s="1"/>
      <c r="Q1359" s="1"/>
      <c r="AD1359" s="1"/>
      <c r="AG1359" s="1"/>
      <c r="AI1359" s="1"/>
    </row>
    <row r="1360" spans="4:35" hidden="1">
      <c r="D1360" s="1"/>
      <c r="K1360" s="1"/>
      <c r="Q1360" s="1"/>
      <c r="AD1360" s="1"/>
      <c r="AG1360" s="1"/>
      <c r="AI1360" s="1"/>
    </row>
    <row r="1361" spans="4:35" hidden="1">
      <c r="D1361" s="1"/>
      <c r="K1361" s="1"/>
      <c r="Q1361" s="1"/>
      <c r="AD1361" s="1"/>
      <c r="AG1361" s="1"/>
      <c r="AI1361" s="1"/>
    </row>
    <row r="1362" spans="4:35" hidden="1">
      <c r="D1362" s="1"/>
      <c r="K1362" s="1"/>
      <c r="Q1362" s="1"/>
      <c r="AD1362" s="1"/>
      <c r="AG1362" s="1"/>
      <c r="AI1362" s="1"/>
    </row>
    <row r="1363" spans="4:35" hidden="1">
      <c r="D1363" s="1"/>
      <c r="K1363" s="1"/>
      <c r="Q1363" s="1"/>
      <c r="AD1363" s="1"/>
      <c r="AG1363" s="1"/>
      <c r="AI1363" s="1"/>
    </row>
    <row r="1364" spans="4:35" hidden="1">
      <c r="D1364" s="1"/>
      <c r="K1364" s="1"/>
      <c r="Q1364" s="1"/>
      <c r="AD1364" s="1"/>
      <c r="AG1364" s="1"/>
      <c r="AI1364" s="1"/>
    </row>
    <row r="1365" spans="4:35" hidden="1">
      <c r="D1365" s="1"/>
      <c r="K1365" s="1"/>
      <c r="Q1365" s="1"/>
      <c r="AD1365" s="1"/>
      <c r="AG1365" s="1"/>
      <c r="AI1365" s="1"/>
    </row>
    <row r="1366" spans="4:35" hidden="1">
      <c r="D1366" s="1"/>
      <c r="K1366" s="1"/>
      <c r="Q1366" s="1"/>
      <c r="AD1366" s="1"/>
      <c r="AG1366" s="1"/>
      <c r="AI1366" s="1"/>
    </row>
    <row r="1367" spans="4:35" hidden="1">
      <c r="D1367" s="1"/>
      <c r="K1367" s="1"/>
      <c r="Q1367" s="1"/>
      <c r="AD1367" s="1"/>
      <c r="AG1367" s="1"/>
      <c r="AI1367" s="1"/>
    </row>
    <row r="1368" spans="4:35" hidden="1">
      <c r="D1368" s="1"/>
      <c r="K1368" s="1"/>
      <c r="Q1368" s="1"/>
      <c r="AD1368" s="1"/>
      <c r="AG1368" s="1"/>
      <c r="AI1368" s="1"/>
    </row>
    <row r="1369" spans="4:35" hidden="1">
      <c r="D1369" s="1"/>
      <c r="K1369" s="1"/>
      <c r="Q1369" s="1"/>
      <c r="AD1369" s="1"/>
      <c r="AG1369" s="1"/>
      <c r="AI1369" s="1"/>
    </row>
    <row r="1370" spans="4:35" hidden="1">
      <c r="D1370" s="1"/>
      <c r="K1370" s="1"/>
      <c r="Q1370" s="1"/>
      <c r="AD1370" s="1"/>
      <c r="AG1370" s="1"/>
      <c r="AI1370" s="1"/>
    </row>
    <row r="1371" spans="4:35" hidden="1">
      <c r="D1371" s="1"/>
      <c r="K1371" s="1"/>
      <c r="Q1371" s="1"/>
      <c r="AD1371" s="1"/>
      <c r="AG1371" s="1"/>
      <c r="AI1371" s="1"/>
    </row>
    <row r="1372" spans="4:35" hidden="1">
      <c r="D1372" s="1"/>
      <c r="K1372" s="1"/>
      <c r="Q1372" s="1"/>
      <c r="AD1372" s="1"/>
      <c r="AG1372" s="1"/>
      <c r="AI1372" s="1"/>
    </row>
    <row r="1373" spans="4:35" hidden="1">
      <c r="D1373" s="1"/>
      <c r="K1373" s="1"/>
      <c r="Q1373" s="1"/>
      <c r="AD1373" s="1"/>
      <c r="AG1373" s="1"/>
      <c r="AI1373" s="1"/>
    </row>
    <row r="1374" spans="4:35" hidden="1">
      <c r="D1374" s="1"/>
      <c r="K1374" s="1"/>
      <c r="Q1374" s="1"/>
      <c r="AD1374" s="1"/>
      <c r="AG1374" s="1"/>
      <c r="AI1374" s="1"/>
    </row>
    <row r="1375" spans="4:35" hidden="1">
      <c r="D1375" s="1"/>
      <c r="K1375" s="1"/>
      <c r="Q1375" s="1"/>
      <c r="AD1375" s="1"/>
      <c r="AG1375" s="1"/>
      <c r="AI1375" s="1"/>
    </row>
    <row r="1376" spans="4:35" hidden="1">
      <c r="D1376" s="1"/>
      <c r="K1376" s="1"/>
      <c r="Q1376" s="1"/>
      <c r="AD1376" s="1"/>
      <c r="AG1376" s="1"/>
      <c r="AI1376" s="1"/>
    </row>
    <row r="1377" spans="4:35" hidden="1">
      <c r="D1377" s="1"/>
      <c r="K1377" s="1"/>
      <c r="Q1377" s="1"/>
      <c r="AD1377" s="1"/>
      <c r="AG1377" s="1"/>
      <c r="AI1377" s="1"/>
    </row>
    <row r="1378" spans="4:35" hidden="1">
      <c r="D1378" s="1"/>
      <c r="K1378" s="1"/>
      <c r="Q1378" s="1"/>
      <c r="AD1378" s="1"/>
      <c r="AG1378" s="1"/>
      <c r="AI1378" s="1"/>
    </row>
    <row r="1379" spans="4:35" hidden="1">
      <c r="D1379" s="1"/>
      <c r="K1379" s="1"/>
      <c r="Q1379" s="1"/>
      <c r="AD1379" s="1"/>
      <c r="AG1379" s="1"/>
      <c r="AI1379" s="1"/>
    </row>
    <row r="1380" spans="4:35" hidden="1">
      <c r="D1380" s="1"/>
      <c r="K1380" s="1"/>
      <c r="Q1380" s="1"/>
      <c r="AD1380" s="1"/>
      <c r="AG1380" s="1"/>
      <c r="AI1380" s="1"/>
    </row>
    <row r="1381" spans="4:35" hidden="1">
      <c r="D1381" s="1"/>
      <c r="K1381" s="1"/>
      <c r="Q1381" s="1"/>
      <c r="AD1381" s="1"/>
      <c r="AG1381" s="1"/>
      <c r="AI1381" s="1"/>
    </row>
    <row r="1382" spans="4:35" hidden="1">
      <c r="D1382" s="1"/>
      <c r="K1382" s="1"/>
      <c r="Q1382" s="1"/>
      <c r="AD1382" s="1"/>
      <c r="AG1382" s="1"/>
      <c r="AI1382" s="1"/>
    </row>
    <row r="1383" spans="4:35" hidden="1">
      <c r="D1383" s="1"/>
      <c r="K1383" s="1"/>
      <c r="Q1383" s="1"/>
      <c r="AD1383" s="1"/>
      <c r="AG1383" s="1"/>
      <c r="AI1383" s="1"/>
    </row>
    <row r="1384" spans="4:35" hidden="1">
      <c r="D1384" s="1"/>
      <c r="K1384" s="1"/>
      <c r="Q1384" s="1"/>
      <c r="AD1384" s="1"/>
      <c r="AG1384" s="1"/>
      <c r="AI1384" s="1"/>
    </row>
    <row r="1385" spans="4:35" hidden="1">
      <c r="D1385" s="1"/>
      <c r="K1385" s="1"/>
      <c r="Q1385" s="1"/>
      <c r="AD1385" s="1"/>
      <c r="AG1385" s="1"/>
      <c r="AI1385" s="1"/>
    </row>
    <row r="1386" spans="4:35" hidden="1">
      <c r="D1386" s="1"/>
      <c r="K1386" s="1"/>
      <c r="Q1386" s="1"/>
      <c r="AD1386" s="1"/>
      <c r="AG1386" s="1"/>
      <c r="AI1386" s="1"/>
    </row>
    <row r="1387" spans="4:35" hidden="1">
      <c r="D1387" s="1"/>
      <c r="K1387" s="1"/>
      <c r="Q1387" s="1"/>
      <c r="AD1387" s="1"/>
      <c r="AG1387" s="1"/>
      <c r="AI1387" s="1"/>
    </row>
    <row r="1388" spans="4:35" hidden="1">
      <c r="D1388" s="1"/>
      <c r="K1388" s="1"/>
      <c r="Q1388" s="1"/>
      <c r="AD1388" s="1"/>
      <c r="AG1388" s="1"/>
      <c r="AI1388" s="1"/>
    </row>
    <row r="1389" spans="4:35" hidden="1">
      <c r="D1389" s="1"/>
      <c r="K1389" s="1"/>
      <c r="Q1389" s="1"/>
      <c r="AD1389" s="1"/>
      <c r="AG1389" s="1"/>
      <c r="AI1389" s="1"/>
    </row>
    <row r="1390" spans="4:35" hidden="1">
      <c r="D1390" s="1"/>
      <c r="K1390" s="1"/>
      <c r="Q1390" s="1"/>
      <c r="AD1390" s="1"/>
      <c r="AG1390" s="1"/>
      <c r="AI1390" s="1"/>
    </row>
    <row r="1391" spans="4:35" hidden="1">
      <c r="D1391" s="1"/>
      <c r="K1391" s="1"/>
      <c r="Q1391" s="1"/>
      <c r="AD1391" s="1"/>
      <c r="AG1391" s="1"/>
      <c r="AI1391" s="1"/>
    </row>
    <row r="1392" spans="4:35" hidden="1">
      <c r="D1392" s="1"/>
      <c r="K1392" s="1"/>
      <c r="Q1392" s="1"/>
      <c r="AD1392" s="1"/>
      <c r="AG1392" s="1"/>
      <c r="AI1392" s="1"/>
    </row>
    <row r="1393" spans="4:35" hidden="1">
      <c r="D1393" s="1"/>
      <c r="K1393" s="1"/>
      <c r="Q1393" s="1"/>
      <c r="AD1393" s="1"/>
      <c r="AG1393" s="1"/>
      <c r="AI1393" s="1"/>
    </row>
    <row r="1394" spans="4:35" hidden="1">
      <c r="D1394" s="1"/>
      <c r="K1394" s="1"/>
      <c r="Q1394" s="1"/>
      <c r="AD1394" s="1"/>
      <c r="AG1394" s="1"/>
      <c r="AI1394" s="1"/>
    </row>
    <row r="1395" spans="4:35" hidden="1">
      <c r="D1395" s="1"/>
      <c r="K1395" s="1"/>
      <c r="Q1395" s="1"/>
      <c r="AD1395" s="1"/>
      <c r="AG1395" s="1"/>
      <c r="AI1395" s="1"/>
    </row>
    <row r="1396" spans="4:35" hidden="1">
      <c r="D1396" s="1"/>
      <c r="K1396" s="1"/>
      <c r="Q1396" s="1"/>
      <c r="AD1396" s="1"/>
      <c r="AG1396" s="1"/>
      <c r="AI1396" s="1"/>
    </row>
    <row r="1397" spans="4:35" hidden="1">
      <c r="D1397" s="1"/>
      <c r="K1397" s="1"/>
      <c r="Q1397" s="1"/>
      <c r="AD1397" s="1"/>
      <c r="AG1397" s="1"/>
      <c r="AI1397" s="1"/>
    </row>
    <row r="1398" spans="4:35" hidden="1">
      <c r="D1398" s="1"/>
      <c r="K1398" s="1"/>
      <c r="Q1398" s="1"/>
      <c r="AD1398" s="1"/>
      <c r="AG1398" s="1"/>
      <c r="AI1398" s="1"/>
    </row>
    <row r="1399" spans="4:35" hidden="1">
      <c r="D1399" s="1"/>
      <c r="K1399" s="1"/>
      <c r="Q1399" s="1"/>
      <c r="AD1399" s="1"/>
      <c r="AG1399" s="1"/>
      <c r="AI1399" s="1"/>
    </row>
    <row r="1400" spans="4:35" hidden="1">
      <c r="D1400" s="1"/>
      <c r="K1400" s="1"/>
      <c r="Q1400" s="1"/>
      <c r="AD1400" s="1"/>
      <c r="AG1400" s="1"/>
      <c r="AI1400" s="1"/>
    </row>
    <row r="1401" spans="4:35" hidden="1">
      <c r="D1401" s="1"/>
      <c r="K1401" s="1"/>
      <c r="Q1401" s="1"/>
      <c r="AD1401" s="1"/>
      <c r="AG1401" s="1"/>
      <c r="AI1401" s="1"/>
    </row>
    <row r="1402" spans="4:35" hidden="1">
      <c r="D1402" s="1"/>
      <c r="K1402" s="1"/>
      <c r="Q1402" s="1"/>
      <c r="AD1402" s="1"/>
      <c r="AG1402" s="1"/>
      <c r="AI1402" s="1"/>
    </row>
    <row r="1403" spans="4:35" hidden="1">
      <c r="D1403" s="1"/>
      <c r="K1403" s="1"/>
      <c r="Q1403" s="1"/>
      <c r="AD1403" s="1"/>
      <c r="AG1403" s="1"/>
      <c r="AI1403" s="1"/>
    </row>
    <row r="1404" spans="4:35" hidden="1">
      <c r="D1404" s="1"/>
      <c r="K1404" s="1"/>
      <c r="Q1404" s="1"/>
      <c r="AD1404" s="1"/>
      <c r="AG1404" s="1"/>
      <c r="AI1404" s="1"/>
    </row>
    <row r="1405" spans="4:35" hidden="1">
      <c r="D1405" s="1"/>
      <c r="K1405" s="1"/>
      <c r="Q1405" s="1"/>
      <c r="AD1405" s="1"/>
      <c r="AG1405" s="1"/>
      <c r="AI1405" s="1"/>
    </row>
    <row r="1406" spans="4:35" hidden="1">
      <c r="D1406" s="1"/>
      <c r="K1406" s="1"/>
      <c r="Q1406" s="1"/>
      <c r="AD1406" s="1"/>
      <c r="AG1406" s="1"/>
      <c r="AI1406" s="1"/>
    </row>
    <row r="1407" spans="4:35" hidden="1">
      <c r="D1407" s="1"/>
      <c r="K1407" s="1"/>
      <c r="Q1407" s="1"/>
      <c r="AD1407" s="1"/>
      <c r="AG1407" s="1"/>
      <c r="AI1407" s="1"/>
    </row>
    <row r="1408" spans="4:35" hidden="1">
      <c r="D1408" s="1"/>
      <c r="K1408" s="1"/>
      <c r="Q1408" s="1"/>
      <c r="AD1408" s="1"/>
      <c r="AG1408" s="1"/>
      <c r="AI1408" s="1"/>
    </row>
    <row r="1409" spans="4:35" hidden="1">
      <c r="D1409" s="1"/>
      <c r="K1409" s="1"/>
      <c r="Q1409" s="1"/>
      <c r="AD1409" s="1"/>
      <c r="AG1409" s="1"/>
      <c r="AI1409" s="1"/>
    </row>
    <row r="1410" spans="4:35" hidden="1">
      <c r="D1410" s="1"/>
      <c r="K1410" s="1"/>
      <c r="Q1410" s="1"/>
      <c r="AD1410" s="1"/>
      <c r="AG1410" s="1"/>
      <c r="AI1410" s="1"/>
    </row>
    <row r="1411" spans="4:35" hidden="1">
      <c r="D1411" s="1"/>
      <c r="K1411" s="1"/>
      <c r="Q1411" s="1"/>
      <c r="AD1411" s="1"/>
      <c r="AG1411" s="1"/>
      <c r="AI1411" s="1"/>
    </row>
    <row r="1412" spans="4:35" hidden="1">
      <c r="D1412" s="1"/>
      <c r="K1412" s="1"/>
      <c r="Q1412" s="1"/>
      <c r="AD1412" s="1"/>
      <c r="AG1412" s="1"/>
      <c r="AI1412" s="1"/>
    </row>
    <row r="1413" spans="4:35" hidden="1">
      <c r="D1413" s="1"/>
      <c r="K1413" s="1"/>
      <c r="Q1413" s="1"/>
      <c r="AD1413" s="1"/>
      <c r="AG1413" s="1"/>
      <c r="AI1413" s="1"/>
    </row>
    <row r="1414" spans="4:35" hidden="1">
      <c r="D1414" s="1"/>
      <c r="K1414" s="1"/>
      <c r="Q1414" s="1"/>
      <c r="AD1414" s="1"/>
      <c r="AG1414" s="1"/>
      <c r="AI1414" s="1"/>
    </row>
    <row r="1415" spans="4:35" hidden="1">
      <c r="D1415" s="1"/>
      <c r="K1415" s="1"/>
      <c r="Q1415" s="1"/>
      <c r="AD1415" s="1"/>
      <c r="AG1415" s="1"/>
      <c r="AI1415" s="1"/>
    </row>
    <row r="1416" spans="4:35" hidden="1">
      <c r="D1416" s="1"/>
      <c r="K1416" s="1"/>
      <c r="Q1416" s="1"/>
      <c r="AD1416" s="1"/>
      <c r="AG1416" s="1"/>
      <c r="AI1416" s="1"/>
    </row>
    <row r="1417" spans="4:35" hidden="1">
      <c r="D1417" s="1"/>
      <c r="K1417" s="1"/>
      <c r="Q1417" s="1"/>
      <c r="AD1417" s="1"/>
      <c r="AG1417" s="1"/>
      <c r="AI1417" s="1"/>
    </row>
    <row r="1418" spans="4:35" hidden="1">
      <c r="D1418" s="1"/>
      <c r="K1418" s="1"/>
      <c r="Q1418" s="1"/>
      <c r="AD1418" s="1"/>
      <c r="AG1418" s="1"/>
      <c r="AI1418" s="1"/>
    </row>
    <row r="1419" spans="4:35" hidden="1">
      <c r="D1419" s="1"/>
      <c r="K1419" s="1"/>
      <c r="Q1419" s="1"/>
      <c r="AD1419" s="1"/>
      <c r="AG1419" s="1"/>
      <c r="AI1419" s="1"/>
    </row>
    <row r="1420" spans="4:35" hidden="1">
      <c r="D1420" s="1"/>
      <c r="K1420" s="1"/>
      <c r="Q1420" s="1"/>
      <c r="AD1420" s="1"/>
      <c r="AG1420" s="1"/>
      <c r="AI1420" s="1"/>
    </row>
    <row r="1421" spans="4:35" hidden="1">
      <c r="D1421" s="1"/>
      <c r="K1421" s="1"/>
      <c r="Q1421" s="1"/>
      <c r="AD1421" s="1"/>
      <c r="AG1421" s="1"/>
      <c r="AI1421" s="1"/>
    </row>
    <row r="1422" spans="4:35" hidden="1">
      <c r="D1422" s="1"/>
      <c r="K1422" s="1"/>
      <c r="Q1422" s="1"/>
      <c r="AD1422" s="1"/>
      <c r="AG1422" s="1"/>
      <c r="AI1422" s="1"/>
    </row>
    <row r="1423" spans="4:35" hidden="1">
      <c r="D1423" s="1"/>
      <c r="K1423" s="1"/>
      <c r="Q1423" s="1"/>
      <c r="AD1423" s="1"/>
      <c r="AG1423" s="1"/>
      <c r="AI1423" s="1"/>
    </row>
    <row r="1424" spans="4:35" hidden="1">
      <c r="D1424" s="1"/>
      <c r="K1424" s="1"/>
      <c r="Q1424" s="1"/>
      <c r="AD1424" s="1"/>
      <c r="AG1424" s="1"/>
      <c r="AI1424" s="1"/>
    </row>
    <row r="1425" spans="4:35" hidden="1">
      <c r="D1425" s="1"/>
      <c r="K1425" s="1"/>
      <c r="Q1425" s="1"/>
      <c r="AD1425" s="1"/>
      <c r="AG1425" s="1"/>
      <c r="AI1425" s="1"/>
    </row>
    <row r="1426" spans="4:35" hidden="1">
      <c r="D1426" s="1"/>
      <c r="K1426" s="1"/>
      <c r="Q1426" s="1"/>
      <c r="AD1426" s="1"/>
      <c r="AG1426" s="1"/>
      <c r="AI1426" s="1"/>
    </row>
    <row r="1427" spans="4:35" hidden="1">
      <c r="D1427" s="1"/>
      <c r="K1427" s="1"/>
      <c r="Q1427" s="1"/>
      <c r="AD1427" s="1"/>
      <c r="AG1427" s="1"/>
      <c r="AI1427" s="1"/>
    </row>
    <row r="1428" spans="4:35" hidden="1">
      <c r="D1428" s="1"/>
      <c r="K1428" s="1"/>
      <c r="Q1428" s="1"/>
      <c r="AD1428" s="1"/>
      <c r="AG1428" s="1"/>
      <c r="AI1428" s="1"/>
    </row>
    <row r="1429" spans="4:35" hidden="1">
      <c r="D1429" s="1"/>
      <c r="K1429" s="1"/>
      <c r="Q1429" s="1"/>
      <c r="AD1429" s="1"/>
      <c r="AG1429" s="1"/>
      <c r="AI1429" s="1"/>
    </row>
    <row r="1430" spans="4:35" hidden="1">
      <c r="D1430" s="1"/>
      <c r="K1430" s="1"/>
      <c r="Q1430" s="1"/>
      <c r="AD1430" s="1"/>
      <c r="AG1430" s="1"/>
      <c r="AI1430" s="1"/>
    </row>
    <row r="1431" spans="4:35" hidden="1">
      <c r="D1431" s="1"/>
      <c r="K1431" s="1"/>
      <c r="Q1431" s="1"/>
      <c r="AD1431" s="1"/>
      <c r="AG1431" s="1"/>
      <c r="AI1431" s="1"/>
    </row>
    <row r="1432" spans="4:35" hidden="1">
      <c r="D1432" s="1"/>
      <c r="K1432" s="1"/>
      <c r="Q1432" s="1"/>
      <c r="AD1432" s="1"/>
      <c r="AG1432" s="1"/>
      <c r="AI1432" s="1"/>
    </row>
    <row r="1433" spans="4:35" hidden="1">
      <c r="D1433" s="1"/>
      <c r="K1433" s="1"/>
      <c r="Q1433" s="1"/>
      <c r="AD1433" s="1"/>
      <c r="AG1433" s="1"/>
      <c r="AI1433" s="1"/>
    </row>
    <row r="1434" spans="4:35" hidden="1">
      <c r="D1434" s="1"/>
      <c r="K1434" s="1"/>
      <c r="Q1434" s="1"/>
      <c r="AD1434" s="1"/>
      <c r="AG1434" s="1"/>
      <c r="AI1434" s="1"/>
    </row>
    <row r="1435" spans="4:35" hidden="1">
      <c r="D1435" s="1"/>
      <c r="K1435" s="1"/>
      <c r="Q1435" s="1"/>
      <c r="AD1435" s="1"/>
      <c r="AG1435" s="1"/>
      <c r="AI1435" s="1"/>
    </row>
    <row r="1436" spans="4:35" hidden="1">
      <c r="D1436" s="1"/>
      <c r="K1436" s="1"/>
      <c r="Q1436" s="1"/>
      <c r="AD1436" s="1"/>
      <c r="AG1436" s="1"/>
      <c r="AI1436" s="1"/>
    </row>
    <row r="1437" spans="4:35" hidden="1">
      <c r="D1437" s="1"/>
      <c r="K1437" s="1"/>
      <c r="Q1437" s="1"/>
      <c r="AD1437" s="1"/>
      <c r="AG1437" s="1"/>
      <c r="AI1437" s="1"/>
    </row>
    <row r="1438" spans="4:35" hidden="1">
      <c r="D1438" s="1"/>
      <c r="K1438" s="1"/>
      <c r="Q1438" s="1"/>
      <c r="AD1438" s="1"/>
      <c r="AG1438" s="1"/>
      <c r="AI1438" s="1"/>
    </row>
    <row r="1439" spans="4:35" hidden="1">
      <c r="D1439" s="1"/>
      <c r="K1439" s="1"/>
      <c r="Q1439" s="1"/>
      <c r="AD1439" s="1"/>
      <c r="AG1439" s="1"/>
      <c r="AI1439" s="1"/>
    </row>
    <row r="1440" spans="4:35" hidden="1">
      <c r="D1440" s="1"/>
      <c r="K1440" s="1"/>
      <c r="Q1440" s="1"/>
      <c r="AD1440" s="1"/>
      <c r="AG1440" s="1"/>
      <c r="AI1440" s="1"/>
    </row>
    <row r="1441" spans="4:35" hidden="1">
      <c r="D1441" s="1"/>
      <c r="K1441" s="1"/>
      <c r="Q1441" s="1"/>
      <c r="AD1441" s="1"/>
      <c r="AG1441" s="1"/>
      <c r="AI1441" s="1"/>
    </row>
    <row r="1442" spans="4:35" hidden="1">
      <c r="D1442" s="1"/>
      <c r="K1442" s="1"/>
      <c r="Q1442" s="1"/>
      <c r="AD1442" s="1"/>
      <c r="AG1442" s="1"/>
      <c r="AI1442" s="1"/>
    </row>
    <row r="1443" spans="4:35" hidden="1">
      <c r="D1443" s="1"/>
      <c r="K1443" s="1"/>
      <c r="Q1443" s="1"/>
      <c r="AD1443" s="1"/>
      <c r="AG1443" s="1"/>
      <c r="AI1443" s="1"/>
    </row>
    <row r="1444" spans="4:35" hidden="1">
      <c r="D1444" s="1"/>
      <c r="K1444" s="1"/>
      <c r="Q1444" s="1"/>
      <c r="AD1444" s="1"/>
      <c r="AG1444" s="1"/>
      <c r="AI1444" s="1"/>
    </row>
    <row r="1445" spans="4:35" hidden="1">
      <c r="D1445" s="1"/>
      <c r="K1445" s="1"/>
      <c r="Q1445" s="1"/>
      <c r="AD1445" s="1"/>
      <c r="AG1445" s="1"/>
      <c r="AI1445" s="1"/>
    </row>
    <row r="1446" spans="4:35" hidden="1">
      <c r="D1446" s="1"/>
      <c r="K1446" s="1"/>
      <c r="Q1446" s="1"/>
      <c r="AD1446" s="1"/>
      <c r="AG1446" s="1"/>
      <c r="AI1446" s="1"/>
    </row>
    <row r="1447" spans="4:35" hidden="1">
      <c r="D1447" s="1"/>
      <c r="K1447" s="1"/>
      <c r="Q1447" s="1"/>
      <c r="AD1447" s="1"/>
      <c r="AG1447" s="1"/>
      <c r="AI1447" s="1"/>
    </row>
    <row r="1448" spans="4:35" hidden="1">
      <c r="D1448" s="1"/>
      <c r="K1448" s="1"/>
      <c r="Q1448" s="1"/>
      <c r="AD1448" s="1"/>
      <c r="AG1448" s="1"/>
      <c r="AI1448" s="1"/>
    </row>
    <row r="1449" spans="4:35" hidden="1">
      <c r="D1449" s="1"/>
      <c r="K1449" s="1"/>
      <c r="Q1449" s="1"/>
      <c r="AD1449" s="1"/>
      <c r="AG1449" s="1"/>
      <c r="AI1449" s="1"/>
    </row>
    <row r="1450" spans="4:35" hidden="1">
      <c r="D1450" s="1"/>
      <c r="K1450" s="1"/>
      <c r="Q1450" s="1"/>
      <c r="AD1450" s="1"/>
      <c r="AG1450" s="1"/>
      <c r="AI1450" s="1"/>
    </row>
    <row r="1451" spans="4:35" hidden="1">
      <c r="D1451" s="1"/>
      <c r="K1451" s="1"/>
      <c r="Q1451" s="1"/>
      <c r="AD1451" s="1"/>
      <c r="AG1451" s="1"/>
      <c r="AI1451" s="1"/>
    </row>
    <row r="1452" spans="4:35" hidden="1">
      <c r="D1452" s="1"/>
      <c r="K1452" s="1"/>
      <c r="Q1452" s="1"/>
      <c r="AD1452" s="1"/>
      <c r="AG1452" s="1"/>
      <c r="AI1452" s="1"/>
    </row>
    <row r="1453" spans="4:35" hidden="1">
      <c r="D1453" s="1"/>
      <c r="K1453" s="1"/>
      <c r="Q1453" s="1"/>
      <c r="AD1453" s="1"/>
      <c r="AG1453" s="1"/>
      <c r="AI1453" s="1"/>
    </row>
    <row r="1454" spans="4:35" hidden="1">
      <c r="D1454" s="1"/>
      <c r="K1454" s="1"/>
      <c r="Q1454" s="1"/>
      <c r="AD1454" s="1"/>
      <c r="AG1454" s="1"/>
      <c r="AI1454" s="1"/>
    </row>
    <row r="1455" spans="4:35" hidden="1">
      <c r="D1455" s="1"/>
      <c r="K1455" s="1"/>
      <c r="Q1455" s="1"/>
      <c r="AD1455" s="1"/>
      <c r="AG1455" s="1"/>
      <c r="AI1455" s="1"/>
    </row>
    <row r="1456" spans="4:35" hidden="1">
      <c r="D1456" s="1"/>
      <c r="K1456" s="1"/>
      <c r="Q1456" s="1"/>
      <c r="AD1456" s="1"/>
      <c r="AG1456" s="1"/>
      <c r="AI1456" s="1"/>
    </row>
    <row r="1457" spans="4:35" hidden="1">
      <c r="D1457" s="1"/>
      <c r="K1457" s="1"/>
      <c r="Q1457" s="1"/>
      <c r="AD1457" s="1"/>
      <c r="AG1457" s="1"/>
      <c r="AI1457" s="1"/>
    </row>
    <row r="1458" spans="4:35" hidden="1">
      <c r="D1458" s="1"/>
      <c r="K1458" s="1"/>
      <c r="Q1458" s="1"/>
      <c r="AD1458" s="1"/>
      <c r="AG1458" s="1"/>
      <c r="AI1458" s="1"/>
    </row>
    <row r="1459" spans="4:35" hidden="1">
      <c r="D1459" s="1"/>
      <c r="K1459" s="1"/>
      <c r="Q1459" s="1"/>
      <c r="AD1459" s="1"/>
      <c r="AG1459" s="1"/>
      <c r="AI1459" s="1"/>
    </row>
    <row r="1460" spans="4:35" hidden="1">
      <c r="D1460" s="1"/>
      <c r="K1460" s="1"/>
      <c r="Q1460" s="1"/>
      <c r="AD1460" s="1"/>
      <c r="AG1460" s="1"/>
      <c r="AI1460" s="1"/>
    </row>
    <row r="1461" spans="4:35" hidden="1">
      <c r="D1461" s="1"/>
      <c r="K1461" s="1"/>
      <c r="Q1461" s="1"/>
      <c r="AD1461" s="1"/>
      <c r="AG1461" s="1"/>
      <c r="AI1461" s="1"/>
    </row>
    <row r="1462" spans="4:35" hidden="1">
      <c r="D1462" s="1"/>
      <c r="K1462" s="1"/>
      <c r="Q1462" s="1"/>
      <c r="AD1462" s="1"/>
      <c r="AG1462" s="1"/>
      <c r="AI1462" s="1"/>
    </row>
    <row r="1463" spans="4:35" hidden="1">
      <c r="D1463" s="1"/>
      <c r="K1463" s="1"/>
      <c r="Q1463" s="1"/>
      <c r="AD1463" s="1"/>
      <c r="AG1463" s="1"/>
      <c r="AI1463" s="1"/>
    </row>
    <row r="1464" spans="4:35" hidden="1">
      <c r="D1464" s="1"/>
      <c r="K1464" s="1"/>
      <c r="Q1464" s="1"/>
      <c r="AD1464" s="1"/>
      <c r="AG1464" s="1"/>
      <c r="AI1464" s="1"/>
    </row>
    <row r="1465" spans="4:35" hidden="1">
      <c r="D1465" s="1"/>
      <c r="K1465" s="1"/>
      <c r="Q1465" s="1"/>
      <c r="AD1465" s="1"/>
      <c r="AG1465" s="1"/>
      <c r="AI1465" s="1"/>
    </row>
    <row r="1466" spans="4:35" hidden="1">
      <c r="D1466" s="1"/>
      <c r="K1466" s="1"/>
      <c r="Q1466" s="1"/>
      <c r="AD1466" s="1"/>
      <c r="AG1466" s="1"/>
      <c r="AI1466" s="1"/>
    </row>
    <row r="1467" spans="4:35" hidden="1">
      <c r="D1467" s="1"/>
      <c r="K1467" s="1"/>
      <c r="Q1467" s="1"/>
      <c r="AD1467" s="1"/>
      <c r="AG1467" s="1"/>
      <c r="AI1467" s="1"/>
    </row>
    <row r="1468" spans="4:35" hidden="1">
      <c r="D1468" s="1"/>
      <c r="K1468" s="1"/>
      <c r="Q1468" s="1"/>
      <c r="AD1468" s="1"/>
      <c r="AG1468" s="1"/>
      <c r="AI1468" s="1"/>
    </row>
    <row r="1469" spans="4:35" hidden="1">
      <c r="D1469" s="1"/>
      <c r="K1469" s="1"/>
      <c r="Q1469" s="1"/>
      <c r="AD1469" s="1"/>
      <c r="AG1469" s="1"/>
      <c r="AI1469" s="1"/>
    </row>
    <row r="1470" spans="4:35" hidden="1">
      <c r="D1470" s="1"/>
      <c r="K1470" s="1"/>
      <c r="Q1470" s="1"/>
      <c r="AD1470" s="1"/>
      <c r="AG1470" s="1"/>
      <c r="AI1470" s="1"/>
    </row>
    <row r="1471" spans="4:35" hidden="1">
      <c r="D1471" s="1"/>
      <c r="K1471" s="1"/>
      <c r="Q1471" s="1"/>
      <c r="AD1471" s="1"/>
      <c r="AG1471" s="1"/>
      <c r="AI1471" s="1"/>
    </row>
    <row r="1472" spans="4:35" hidden="1">
      <c r="D1472" s="1"/>
      <c r="K1472" s="1"/>
      <c r="Q1472" s="1"/>
      <c r="AD1472" s="1"/>
      <c r="AG1472" s="1"/>
      <c r="AI1472" s="1"/>
    </row>
    <row r="1473" spans="4:35" hidden="1">
      <c r="D1473" s="1"/>
      <c r="K1473" s="1"/>
      <c r="Q1473" s="1"/>
      <c r="AD1473" s="1"/>
      <c r="AG1473" s="1"/>
      <c r="AI1473" s="1"/>
    </row>
    <row r="1474" spans="4:35" hidden="1">
      <c r="D1474" s="1"/>
      <c r="K1474" s="1"/>
      <c r="Q1474" s="1"/>
      <c r="AD1474" s="1"/>
      <c r="AG1474" s="1"/>
      <c r="AI1474" s="1"/>
    </row>
    <row r="1475" spans="4:35" hidden="1">
      <c r="D1475" s="1"/>
      <c r="K1475" s="1"/>
      <c r="Q1475" s="1"/>
      <c r="AD1475" s="1"/>
      <c r="AG1475" s="1"/>
      <c r="AI1475" s="1"/>
    </row>
    <row r="1476" spans="4:35" hidden="1">
      <c r="D1476" s="1"/>
      <c r="K1476" s="1"/>
      <c r="Q1476" s="1"/>
      <c r="AD1476" s="1"/>
      <c r="AG1476" s="1"/>
      <c r="AI1476" s="1"/>
    </row>
    <row r="1477" spans="4:35" hidden="1">
      <c r="D1477" s="1"/>
      <c r="K1477" s="1"/>
      <c r="Q1477" s="1"/>
      <c r="AD1477" s="1"/>
      <c r="AG1477" s="1"/>
      <c r="AI1477" s="1"/>
    </row>
    <row r="1478" spans="4:35" hidden="1">
      <c r="D1478" s="1"/>
      <c r="K1478" s="1"/>
      <c r="Q1478" s="1"/>
      <c r="AD1478" s="1"/>
      <c r="AG1478" s="1"/>
      <c r="AI1478" s="1"/>
    </row>
    <row r="1479" spans="4:35" hidden="1">
      <c r="D1479" s="1"/>
      <c r="K1479" s="1"/>
      <c r="Q1479" s="1"/>
      <c r="AD1479" s="1"/>
      <c r="AG1479" s="1"/>
      <c r="AI1479" s="1"/>
    </row>
    <row r="1480" spans="4:35" hidden="1">
      <c r="D1480" s="1"/>
      <c r="K1480" s="1"/>
      <c r="Q1480" s="1"/>
      <c r="AD1480" s="1"/>
      <c r="AG1480" s="1"/>
      <c r="AI1480" s="1"/>
    </row>
    <row r="1481" spans="4:35" hidden="1">
      <c r="D1481" s="1"/>
      <c r="K1481" s="1"/>
      <c r="Q1481" s="1"/>
      <c r="AD1481" s="1"/>
      <c r="AG1481" s="1"/>
      <c r="AI1481" s="1"/>
    </row>
    <row r="1482" spans="4:35" hidden="1">
      <c r="D1482" s="1"/>
      <c r="K1482" s="1"/>
      <c r="Q1482" s="1"/>
      <c r="AD1482" s="1"/>
      <c r="AG1482" s="1"/>
      <c r="AI1482" s="1"/>
    </row>
    <row r="1483" spans="4:35" hidden="1">
      <c r="D1483" s="1"/>
      <c r="K1483" s="1"/>
      <c r="Q1483" s="1"/>
      <c r="AD1483" s="1"/>
      <c r="AG1483" s="1"/>
      <c r="AI1483" s="1"/>
    </row>
    <row r="1484" spans="4:35" hidden="1">
      <c r="D1484" s="1"/>
      <c r="K1484" s="1"/>
      <c r="Q1484" s="1"/>
      <c r="AD1484" s="1"/>
      <c r="AG1484" s="1"/>
      <c r="AI1484" s="1"/>
    </row>
    <row r="1485" spans="4:35" hidden="1">
      <c r="D1485" s="1"/>
      <c r="K1485" s="1"/>
      <c r="Q1485" s="1"/>
      <c r="AD1485" s="1"/>
      <c r="AG1485" s="1"/>
      <c r="AI1485" s="1"/>
    </row>
    <row r="1486" spans="4:35" hidden="1">
      <c r="D1486" s="1"/>
      <c r="K1486" s="1"/>
      <c r="Q1486" s="1"/>
      <c r="AD1486" s="1"/>
      <c r="AG1486" s="1"/>
      <c r="AI1486" s="1"/>
    </row>
    <row r="1487" spans="4:35" hidden="1">
      <c r="D1487" s="1"/>
      <c r="K1487" s="1"/>
      <c r="Q1487" s="1"/>
      <c r="AD1487" s="1"/>
      <c r="AG1487" s="1"/>
      <c r="AI1487" s="1"/>
    </row>
    <row r="1488" spans="4:35" hidden="1">
      <c r="D1488" s="1"/>
      <c r="K1488" s="1"/>
      <c r="Q1488" s="1"/>
      <c r="AD1488" s="1"/>
      <c r="AG1488" s="1"/>
      <c r="AI1488" s="1"/>
    </row>
    <row r="1489" spans="4:35" hidden="1">
      <c r="D1489" s="1"/>
      <c r="K1489" s="1"/>
      <c r="Q1489" s="1"/>
      <c r="AD1489" s="1"/>
      <c r="AG1489" s="1"/>
      <c r="AI1489" s="1"/>
    </row>
    <row r="1490" spans="4:35" hidden="1">
      <c r="D1490" s="1"/>
      <c r="K1490" s="1"/>
      <c r="Q1490" s="1"/>
      <c r="AD1490" s="1"/>
      <c r="AG1490" s="1"/>
      <c r="AI1490" s="1"/>
    </row>
    <row r="1491" spans="4:35" hidden="1">
      <c r="D1491" s="1"/>
      <c r="K1491" s="1"/>
      <c r="Q1491" s="1"/>
      <c r="AD1491" s="1"/>
      <c r="AG1491" s="1"/>
      <c r="AI1491" s="1"/>
    </row>
    <row r="1492" spans="4:35" hidden="1">
      <c r="D1492" s="1"/>
      <c r="K1492" s="1"/>
      <c r="Q1492" s="1"/>
      <c r="AD1492" s="1"/>
      <c r="AG1492" s="1"/>
      <c r="AI1492" s="1"/>
    </row>
    <row r="1493" spans="4:35" hidden="1">
      <c r="D1493" s="1"/>
      <c r="K1493" s="1"/>
      <c r="Q1493" s="1"/>
      <c r="AD1493" s="1"/>
      <c r="AG1493" s="1"/>
      <c r="AI1493" s="1"/>
    </row>
    <row r="1494" spans="4:35" hidden="1">
      <c r="D1494" s="1"/>
      <c r="K1494" s="1"/>
      <c r="Q1494" s="1"/>
      <c r="AD1494" s="1"/>
      <c r="AG1494" s="1"/>
      <c r="AI1494" s="1"/>
    </row>
    <row r="1495" spans="4:35" hidden="1">
      <c r="D1495" s="1"/>
      <c r="K1495" s="1"/>
      <c r="Q1495" s="1"/>
      <c r="AD1495" s="1"/>
      <c r="AG1495" s="1"/>
      <c r="AI1495" s="1"/>
    </row>
    <row r="1496" spans="4:35" hidden="1">
      <c r="D1496" s="1"/>
      <c r="K1496" s="1"/>
      <c r="Q1496" s="1"/>
      <c r="AD1496" s="1"/>
      <c r="AG1496" s="1"/>
      <c r="AI1496" s="1"/>
    </row>
    <row r="1497" spans="4:35" hidden="1">
      <c r="D1497" s="1"/>
      <c r="K1497" s="1"/>
      <c r="Q1497" s="1"/>
      <c r="AD1497" s="1"/>
      <c r="AG1497" s="1"/>
      <c r="AI1497" s="1"/>
    </row>
    <row r="1498" spans="4:35" hidden="1">
      <c r="D1498" s="1"/>
      <c r="K1498" s="1"/>
      <c r="Q1498" s="1"/>
      <c r="AD1498" s="1"/>
      <c r="AG1498" s="1"/>
      <c r="AI1498" s="1"/>
    </row>
    <row r="1499" spans="4:35" hidden="1">
      <c r="D1499" s="1"/>
      <c r="K1499" s="1"/>
      <c r="Q1499" s="1"/>
      <c r="AD1499" s="1"/>
      <c r="AG1499" s="1"/>
      <c r="AI1499" s="1"/>
    </row>
    <row r="1500" spans="4:35" hidden="1">
      <c r="D1500" s="1"/>
      <c r="K1500" s="1"/>
      <c r="Q1500" s="1"/>
      <c r="AD1500" s="1"/>
      <c r="AG1500" s="1"/>
      <c r="AI1500" s="1"/>
    </row>
    <row r="1501" spans="4:35" hidden="1">
      <c r="D1501" s="1"/>
      <c r="K1501" s="1"/>
      <c r="Q1501" s="1"/>
      <c r="AD1501" s="1"/>
      <c r="AG1501" s="1"/>
      <c r="AI1501" s="1"/>
    </row>
    <row r="1502" spans="4:35" hidden="1">
      <c r="D1502" s="1"/>
      <c r="K1502" s="1"/>
      <c r="Q1502" s="1"/>
      <c r="AD1502" s="1"/>
      <c r="AG1502" s="1"/>
      <c r="AI1502" s="1"/>
    </row>
    <row r="1503" spans="4:35" hidden="1">
      <c r="D1503" s="1"/>
      <c r="K1503" s="1"/>
      <c r="Q1503" s="1"/>
      <c r="AD1503" s="1"/>
      <c r="AG1503" s="1"/>
      <c r="AI1503" s="1"/>
    </row>
    <row r="1504" spans="4:35" hidden="1">
      <c r="D1504" s="1"/>
      <c r="K1504" s="1"/>
      <c r="Q1504" s="1"/>
      <c r="AD1504" s="1"/>
      <c r="AG1504" s="1"/>
      <c r="AI1504" s="1"/>
    </row>
    <row r="1505" spans="4:35" hidden="1">
      <c r="D1505" s="1"/>
      <c r="K1505" s="1"/>
      <c r="Q1505" s="1"/>
      <c r="AD1505" s="1"/>
      <c r="AG1505" s="1"/>
      <c r="AI1505" s="1"/>
    </row>
    <row r="1506" spans="4:35" hidden="1">
      <c r="D1506" s="1"/>
      <c r="K1506" s="1"/>
      <c r="Q1506" s="1"/>
      <c r="AD1506" s="1"/>
      <c r="AG1506" s="1"/>
      <c r="AI1506" s="1"/>
    </row>
    <row r="1507" spans="4:35" hidden="1">
      <c r="D1507" s="1"/>
      <c r="K1507" s="1"/>
      <c r="Q1507" s="1"/>
      <c r="AD1507" s="1"/>
      <c r="AG1507" s="1"/>
      <c r="AI1507" s="1"/>
    </row>
    <row r="1508" spans="4:35" hidden="1">
      <c r="D1508" s="1"/>
      <c r="K1508" s="1"/>
      <c r="Q1508" s="1"/>
      <c r="AD1508" s="1"/>
      <c r="AG1508" s="1"/>
      <c r="AI1508" s="1"/>
    </row>
    <row r="1509" spans="4:35" hidden="1">
      <c r="D1509" s="1"/>
      <c r="K1509" s="1"/>
      <c r="Q1509" s="1"/>
      <c r="AD1509" s="1"/>
      <c r="AG1509" s="1"/>
      <c r="AI1509" s="1"/>
    </row>
    <row r="1510" spans="4:35" hidden="1">
      <c r="D1510" s="1"/>
      <c r="K1510" s="1"/>
      <c r="Q1510" s="1"/>
      <c r="AD1510" s="1"/>
      <c r="AG1510" s="1"/>
      <c r="AI1510" s="1"/>
    </row>
    <row r="1511" spans="4:35" hidden="1">
      <c r="D1511" s="1"/>
      <c r="K1511" s="1"/>
      <c r="Q1511" s="1"/>
      <c r="AD1511" s="1"/>
      <c r="AG1511" s="1"/>
      <c r="AI1511" s="1"/>
    </row>
    <row r="1512" spans="4:35" hidden="1">
      <c r="D1512" s="1"/>
      <c r="K1512" s="1"/>
      <c r="Q1512" s="1"/>
      <c r="AD1512" s="1"/>
      <c r="AG1512" s="1"/>
      <c r="AI1512" s="1"/>
    </row>
    <row r="1513" spans="4:35" hidden="1">
      <c r="D1513" s="1"/>
      <c r="K1513" s="1"/>
      <c r="Q1513" s="1"/>
      <c r="AD1513" s="1"/>
      <c r="AG1513" s="1"/>
      <c r="AI1513" s="1"/>
    </row>
    <row r="1514" spans="4:35" hidden="1">
      <c r="D1514" s="1"/>
      <c r="K1514" s="1"/>
      <c r="Q1514" s="1"/>
      <c r="AD1514" s="1"/>
      <c r="AG1514" s="1"/>
      <c r="AI1514" s="1"/>
    </row>
    <row r="1515" spans="4:35" hidden="1">
      <c r="D1515" s="1"/>
      <c r="K1515" s="1"/>
      <c r="Q1515" s="1"/>
      <c r="AD1515" s="1"/>
      <c r="AG1515" s="1"/>
      <c r="AI1515" s="1"/>
    </row>
    <row r="1516" spans="4:35" hidden="1">
      <c r="D1516" s="1"/>
      <c r="K1516" s="1"/>
      <c r="Q1516" s="1"/>
      <c r="AD1516" s="1"/>
      <c r="AG1516" s="1"/>
      <c r="AI1516" s="1"/>
    </row>
    <row r="1517" spans="4:35" hidden="1">
      <c r="D1517" s="1"/>
      <c r="K1517" s="1"/>
      <c r="Q1517" s="1"/>
      <c r="AD1517" s="1"/>
      <c r="AG1517" s="1"/>
      <c r="AI1517" s="1"/>
    </row>
    <row r="1518" spans="4:35" hidden="1">
      <c r="D1518" s="1"/>
      <c r="K1518" s="1"/>
      <c r="Q1518" s="1"/>
      <c r="AD1518" s="1"/>
      <c r="AG1518" s="1"/>
      <c r="AI1518" s="1"/>
    </row>
    <row r="1519" spans="4:35" hidden="1">
      <c r="D1519" s="1"/>
      <c r="K1519" s="1"/>
      <c r="Q1519" s="1"/>
      <c r="AD1519" s="1"/>
      <c r="AG1519" s="1"/>
      <c r="AI1519" s="1"/>
    </row>
    <row r="1520" spans="4:35" hidden="1">
      <c r="D1520" s="1"/>
      <c r="K1520" s="1"/>
      <c r="Q1520" s="1"/>
      <c r="AD1520" s="1"/>
      <c r="AG1520" s="1"/>
      <c r="AI1520" s="1"/>
    </row>
    <row r="1521" spans="4:35" hidden="1">
      <c r="D1521" s="1"/>
      <c r="K1521" s="1"/>
      <c r="Q1521" s="1"/>
      <c r="AD1521" s="1"/>
      <c r="AG1521" s="1"/>
      <c r="AI1521" s="1"/>
    </row>
    <row r="1522" spans="4:35" hidden="1">
      <c r="D1522" s="1"/>
      <c r="K1522" s="1"/>
      <c r="Q1522" s="1"/>
      <c r="AD1522" s="1"/>
      <c r="AG1522" s="1"/>
      <c r="AI1522" s="1"/>
    </row>
    <row r="1523" spans="4:35" hidden="1">
      <c r="D1523" s="1"/>
      <c r="K1523" s="1"/>
      <c r="Q1523" s="1"/>
      <c r="AD1523" s="1"/>
      <c r="AG1523" s="1"/>
      <c r="AI1523" s="1"/>
    </row>
    <row r="1524" spans="4:35" hidden="1">
      <c r="D1524" s="1"/>
      <c r="K1524" s="1"/>
      <c r="Q1524" s="1"/>
      <c r="AD1524" s="1"/>
      <c r="AG1524" s="1"/>
      <c r="AI1524" s="1"/>
    </row>
    <row r="1525" spans="4:35" hidden="1">
      <c r="D1525" s="1"/>
      <c r="K1525" s="1"/>
      <c r="Q1525" s="1"/>
      <c r="AD1525" s="1"/>
      <c r="AG1525" s="1"/>
      <c r="AI1525" s="1"/>
    </row>
    <row r="1526" spans="4:35" hidden="1">
      <c r="D1526" s="1"/>
      <c r="K1526" s="1"/>
      <c r="Q1526" s="1"/>
      <c r="AD1526" s="1"/>
      <c r="AG1526" s="1"/>
      <c r="AI1526" s="1"/>
    </row>
    <row r="1527" spans="4:35" hidden="1">
      <c r="D1527" s="1"/>
      <c r="K1527" s="1"/>
      <c r="Q1527" s="1"/>
      <c r="AD1527" s="1"/>
      <c r="AG1527" s="1"/>
      <c r="AI1527" s="1"/>
    </row>
    <row r="1528" spans="4:35" hidden="1">
      <c r="D1528" s="1"/>
      <c r="K1528" s="1"/>
      <c r="Q1528" s="1"/>
      <c r="AD1528" s="1"/>
      <c r="AG1528" s="1"/>
      <c r="AI1528" s="1"/>
    </row>
    <row r="1529" spans="4:35" hidden="1">
      <c r="D1529" s="1"/>
      <c r="K1529" s="1"/>
      <c r="Q1529" s="1"/>
      <c r="AD1529" s="1"/>
      <c r="AG1529" s="1"/>
      <c r="AI1529" s="1"/>
    </row>
    <row r="1530" spans="4:35" hidden="1">
      <c r="D1530" s="1"/>
      <c r="K1530" s="1"/>
      <c r="Q1530" s="1"/>
      <c r="AD1530" s="1"/>
      <c r="AG1530" s="1"/>
      <c r="AI1530" s="1"/>
    </row>
    <row r="1531" spans="4:35" hidden="1">
      <c r="D1531" s="1"/>
      <c r="K1531" s="1"/>
      <c r="Q1531" s="1"/>
      <c r="AD1531" s="1"/>
      <c r="AG1531" s="1"/>
      <c r="AI1531" s="1"/>
    </row>
    <row r="1532" spans="4:35" hidden="1">
      <c r="D1532" s="1"/>
      <c r="K1532" s="1"/>
      <c r="Q1532" s="1"/>
      <c r="AD1532" s="1"/>
      <c r="AG1532" s="1"/>
      <c r="AI1532" s="1"/>
    </row>
    <row r="1533" spans="4:35" hidden="1">
      <c r="D1533" s="1"/>
      <c r="K1533" s="1"/>
      <c r="Q1533" s="1"/>
      <c r="AD1533" s="1"/>
      <c r="AG1533" s="1"/>
      <c r="AI1533" s="1"/>
    </row>
    <row r="1534" spans="4:35" hidden="1">
      <c r="D1534" s="1"/>
      <c r="K1534" s="1"/>
      <c r="Q1534" s="1"/>
      <c r="AD1534" s="1"/>
      <c r="AG1534" s="1"/>
      <c r="AI1534" s="1"/>
    </row>
    <row r="1535" spans="4:35" hidden="1">
      <c r="D1535" s="1"/>
      <c r="K1535" s="1"/>
      <c r="Q1535" s="1"/>
      <c r="AD1535" s="1"/>
      <c r="AG1535" s="1"/>
      <c r="AI1535" s="1"/>
    </row>
    <row r="1536" spans="4:35" hidden="1">
      <c r="D1536" s="1"/>
      <c r="K1536" s="1"/>
      <c r="Q1536" s="1"/>
      <c r="AD1536" s="1"/>
      <c r="AG1536" s="1"/>
      <c r="AI1536" s="1"/>
    </row>
    <row r="1537" spans="4:35" hidden="1">
      <c r="D1537" s="1"/>
      <c r="K1537" s="1"/>
      <c r="Q1537" s="1"/>
      <c r="AD1537" s="1"/>
      <c r="AG1537" s="1"/>
      <c r="AI1537" s="1"/>
    </row>
    <row r="1538" spans="4:35" hidden="1">
      <c r="D1538" s="1"/>
      <c r="K1538" s="1"/>
      <c r="Q1538" s="1"/>
      <c r="AD1538" s="1"/>
      <c r="AG1538" s="1"/>
      <c r="AI1538" s="1"/>
    </row>
    <row r="1539" spans="4:35" hidden="1">
      <c r="D1539" s="1"/>
      <c r="K1539" s="1"/>
      <c r="Q1539" s="1"/>
      <c r="AD1539" s="1"/>
      <c r="AG1539" s="1"/>
      <c r="AI1539" s="1"/>
    </row>
    <row r="1540" spans="4:35" hidden="1">
      <c r="D1540" s="1"/>
      <c r="K1540" s="1"/>
      <c r="Q1540" s="1"/>
      <c r="AD1540" s="1"/>
      <c r="AG1540" s="1"/>
      <c r="AI1540" s="1"/>
    </row>
    <row r="1541" spans="4:35" hidden="1">
      <c r="D1541" s="1"/>
      <c r="K1541" s="1"/>
      <c r="Q1541" s="1"/>
      <c r="AD1541" s="1"/>
      <c r="AG1541" s="1"/>
      <c r="AI1541" s="1"/>
    </row>
    <row r="1542" spans="4:35" hidden="1">
      <c r="D1542" s="1"/>
      <c r="K1542" s="1"/>
      <c r="Q1542" s="1"/>
      <c r="AD1542" s="1"/>
      <c r="AG1542" s="1"/>
      <c r="AI1542" s="1"/>
    </row>
    <row r="1543" spans="4:35" hidden="1">
      <c r="D1543" s="1"/>
      <c r="K1543" s="1"/>
      <c r="Q1543" s="1"/>
      <c r="AD1543" s="1"/>
      <c r="AG1543" s="1"/>
      <c r="AI1543" s="1"/>
    </row>
    <row r="1544" spans="4:35" hidden="1">
      <c r="D1544" s="1"/>
      <c r="K1544" s="1"/>
      <c r="Q1544" s="1"/>
      <c r="AD1544" s="1"/>
      <c r="AG1544" s="1"/>
      <c r="AI1544" s="1"/>
    </row>
    <row r="1545" spans="4:35" hidden="1">
      <c r="D1545" s="1"/>
      <c r="K1545" s="1"/>
      <c r="Q1545" s="1"/>
      <c r="AD1545" s="1"/>
      <c r="AG1545" s="1"/>
      <c r="AI1545" s="1"/>
    </row>
    <row r="1546" spans="4:35" hidden="1">
      <c r="D1546" s="1"/>
      <c r="K1546" s="1"/>
      <c r="Q1546" s="1"/>
      <c r="AD1546" s="1"/>
      <c r="AG1546" s="1"/>
      <c r="AI1546" s="1"/>
    </row>
    <row r="1547" spans="4:35" hidden="1">
      <c r="D1547" s="1"/>
      <c r="K1547" s="1"/>
      <c r="Q1547" s="1"/>
      <c r="AD1547" s="1"/>
      <c r="AG1547" s="1"/>
      <c r="AI1547" s="1"/>
    </row>
    <row r="1548" spans="4:35" hidden="1">
      <c r="D1548" s="1"/>
      <c r="K1548" s="1"/>
      <c r="Q1548" s="1"/>
      <c r="AD1548" s="1"/>
      <c r="AG1548" s="1"/>
      <c r="AI1548" s="1"/>
    </row>
    <row r="1549" spans="4:35" hidden="1">
      <c r="D1549" s="1"/>
      <c r="K1549" s="1"/>
      <c r="Q1549" s="1"/>
      <c r="AD1549" s="1"/>
      <c r="AG1549" s="1"/>
      <c r="AI1549" s="1"/>
    </row>
    <row r="1550" spans="4:35" hidden="1">
      <c r="D1550" s="1"/>
      <c r="K1550" s="1"/>
      <c r="Q1550" s="1"/>
      <c r="AD1550" s="1"/>
      <c r="AG1550" s="1"/>
      <c r="AI1550" s="1"/>
    </row>
    <row r="1551" spans="4:35" hidden="1">
      <c r="D1551" s="1"/>
      <c r="K1551" s="1"/>
      <c r="Q1551" s="1"/>
      <c r="AD1551" s="1"/>
      <c r="AG1551" s="1"/>
      <c r="AI1551" s="1"/>
    </row>
    <row r="1552" spans="4:35" hidden="1">
      <c r="D1552" s="1"/>
      <c r="K1552" s="1"/>
      <c r="Q1552" s="1"/>
      <c r="AD1552" s="1"/>
      <c r="AG1552" s="1"/>
      <c r="AI1552" s="1"/>
    </row>
    <row r="1553" spans="4:35" hidden="1">
      <c r="D1553" s="1"/>
      <c r="K1553" s="1"/>
      <c r="Q1553" s="1"/>
      <c r="AD1553" s="1"/>
      <c r="AG1553" s="1"/>
      <c r="AI1553" s="1"/>
    </row>
    <row r="1554" spans="4:35" hidden="1">
      <c r="D1554" s="1"/>
      <c r="K1554" s="1"/>
      <c r="Q1554" s="1"/>
      <c r="AD1554" s="1"/>
      <c r="AG1554" s="1"/>
      <c r="AI1554" s="1"/>
    </row>
    <row r="1555" spans="4:35" hidden="1">
      <c r="D1555" s="1"/>
      <c r="K1555" s="1"/>
      <c r="Q1555" s="1"/>
      <c r="AD1555" s="1"/>
      <c r="AG1555" s="1"/>
      <c r="AI1555" s="1"/>
    </row>
    <row r="1556" spans="4:35" hidden="1">
      <c r="D1556" s="1"/>
      <c r="K1556" s="1"/>
      <c r="Q1556" s="1"/>
      <c r="AD1556" s="1"/>
      <c r="AG1556" s="1"/>
      <c r="AI1556" s="1"/>
    </row>
    <row r="1557" spans="4:35" hidden="1">
      <c r="D1557" s="1"/>
      <c r="K1557" s="1"/>
      <c r="Q1557" s="1"/>
      <c r="AD1557" s="1"/>
      <c r="AG1557" s="1"/>
      <c r="AI1557" s="1"/>
    </row>
    <row r="1558" spans="4:35" hidden="1">
      <c r="D1558" s="1"/>
      <c r="K1558" s="1"/>
      <c r="Q1558" s="1"/>
      <c r="AD1558" s="1"/>
      <c r="AG1558" s="1"/>
      <c r="AI1558" s="1"/>
    </row>
    <row r="1559" spans="4:35" hidden="1">
      <c r="D1559" s="1"/>
      <c r="K1559" s="1"/>
      <c r="Q1559" s="1"/>
      <c r="AD1559" s="1"/>
      <c r="AG1559" s="1"/>
      <c r="AI1559" s="1"/>
    </row>
    <row r="1560" spans="4:35" hidden="1">
      <c r="D1560" s="1"/>
      <c r="K1560" s="1"/>
      <c r="Q1560" s="1"/>
      <c r="AD1560" s="1"/>
      <c r="AG1560" s="1"/>
      <c r="AI1560" s="1"/>
    </row>
    <row r="1561" spans="4:35" hidden="1">
      <c r="D1561" s="1"/>
      <c r="K1561" s="1"/>
      <c r="Q1561" s="1"/>
      <c r="AD1561" s="1"/>
      <c r="AG1561" s="1"/>
      <c r="AI1561" s="1"/>
    </row>
    <row r="1562" spans="4:35" hidden="1">
      <c r="D1562" s="1"/>
      <c r="K1562" s="1"/>
      <c r="Q1562" s="1"/>
      <c r="AD1562" s="1"/>
      <c r="AG1562" s="1"/>
      <c r="AI1562" s="1"/>
    </row>
    <row r="1563" spans="4:35" hidden="1">
      <c r="D1563" s="1"/>
      <c r="K1563" s="1"/>
      <c r="Q1563" s="1"/>
      <c r="AD1563" s="1"/>
      <c r="AG1563" s="1"/>
      <c r="AI1563" s="1"/>
    </row>
    <row r="1564" spans="4:35" hidden="1">
      <c r="D1564" s="1"/>
      <c r="K1564" s="1"/>
      <c r="Q1564" s="1"/>
      <c r="AD1564" s="1"/>
      <c r="AG1564" s="1"/>
      <c r="AI1564" s="1"/>
    </row>
    <row r="1565" spans="4:35" hidden="1">
      <c r="D1565" s="1"/>
      <c r="K1565" s="1"/>
      <c r="Q1565" s="1"/>
      <c r="AD1565" s="1"/>
      <c r="AG1565" s="1"/>
      <c r="AI1565" s="1"/>
    </row>
    <row r="1566" spans="4:35" hidden="1">
      <c r="D1566" s="1"/>
      <c r="K1566" s="1"/>
      <c r="Q1566" s="1"/>
      <c r="AD1566" s="1"/>
      <c r="AG1566" s="1"/>
      <c r="AI1566" s="1"/>
    </row>
    <row r="1567" spans="4:35" hidden="1">
      <c r="D1567" s="1"/>
      <c r="K1567" s="1"/>
      <c r="Q1567" s="1"/>
      <c r="AD1567" s="1"/>
      <c r="AG1567" s="1"/>
      <c r="AI1567" s="1"/>
    </row>
    <row r="1568" spans="4:35" hidden="1">
      <c r="D1568" s="1"/>
      <c r="K1568" s="1"/>
      <c r="Q1568" s="1"/>
      <c r="AD1568" s="1"/>
      <c r="AG1568" s="1"/>
      <c r="AI1568" s="1"/>
    </row>
    <row r="1569" spans="4:35" hidden="1">
      <c r="D1569" s="1"/>
      <c r="K1569" s="1"/>
      <c r="Q1569" s="1"/>
      <c r="AD1569" s="1"/>
      <c r="AG1569" s="1"/>
      <c r="AI1569" s="1"/>
    </row>
    <row r="1570" spans="4:35" hidden="1">
      <c r="D1570" s="1"/>
      <c r="K1570" s="1"/>
      <c r="Q1570" s="1"/>
      <c r="AD1570" s="1"/>
      <c r="AG1570" s="1"/>
      <c r="AI1570" s="1"/>
    </row>
    <row r="1571" spans="4:35" hidden="1">
      <c r="D1571" s="1"/>
      <c r="K1571" s="1"/>
      <c r="Q1571" s="1"/>
      <c r="AD1571" s="1"/>
      <c r="AG1571" s="1"/>
      <c r="AI1571" s="1"/>
    </row>
    <row r="1572" spans="4:35" hidden="1">
      <c r="D1572" s="1"/>
      <c r="K1572" s="1"/>
      <c r="Q1572" s="1"/>
      <c r="AD1572" s="1"/>
      <c r="AG1572" s="1"/>
      <c r="AI1572" s="1"/>
    </row>
    <row r="1573" spans="4:35" hidden="1">
      <c r="D1573" s="1"/>
      <c r="K1573" s="1"/>
      <c r="Q1573" s="1"/>
      <c r="AD1573" s="1"/>
      <c r="AG1573" s="1"/>
      <c r="AI1573" s="1"/>
    </row>
    <row r="1574" spans="4:35" hidden="1">
      <c r="D1574" s="1"/>
      <c r="K1574" s="1"/>
      <c r="Q1574" s="1"/>
      <c r="AD1574" s="1"/>
      <c r="AG1574" s="1"/>
      <c r="AI1574" s="1"/>
    </row>
    <row r="1575" spans="4:35" hidden="1">
      <c r="D1575" s="1"/>
      <c r="K1575" s="1"/>
      <c r="Q1575" s="1"/>
      <c r="AD1575" s="1"/>
      <c r="AG1575" s="1"/>
      <c r="AI1575" s="1"/>
    </row>
    <row r="1576" spans="4:35" hidden="1">
      <c r="D1576" s="1"/>
      <c r="K1576" s="1"/>
      <c r="Q1576" s="1"/>
      <c r="AD1576" s="1"/>
      <c r="AG1576" s="1"/>
      <c r="AI1576" s="1"/>
    </row>
    <row r="1577" spans="4:35" hidden="1">
      <c r="D1577" s="1"/>
      <c r="K1577" s="1"/>
      <c r="Q1577" s="1"/>
      <c r="AD1577" s="1"/>
      <c r="AG1577" s="1"/>
      <c r="AI1577" s="1"/>
    </row>
    <row r="1578" spans="4:35" hidden="1">
      <c r="D1578" s="1"/>
      <c r="K1578" s="1"/>
      <c r="Q1578" s="1"/>
      <c r="AD1578" s="1"/>
      <c r="AG1578" s="1"/>
      <c r="AI1578" s="1"/>
    </row>
    <row r="1579" spans="4:35" hidden="1">
      <c r="D1579" s="1"/>
      <c r="K1579" s="1"/>
      <c r="Q1579" s="1"/>
      <c r="AD1579" s="1"/>
      <c r="AG1579" s="1"/>
      <c r="AI1579" s="1"/>
    </row>
    <row r="1580" spans="4:35" hidden="1">
      <c r="D1580" s="1"/>
      <c r="K1580" s="1"/>
      <c r="Q1580" s="1"/>
      <c r="AD1580" s="1"/>
      <c r="AG1580" s="1"/>
      <c r="AI1580" s="1"/>
    </row>
    <row r="1581" spans="4:35" hidden="1">
      <c r="D1581" s="1"/>
      <c r="K1581" s="1"/>
      <c r="Q1581" s="1"/>
      <c r="AD1581" s="1"/>
      <c r="AG1581" s="1"/>
      <c r="AI1581" s="1"/>
    </row>
    <row r="1582" spans="4:35" hidden="1">
      <c r="D1582" s="1"/>
      <c r="K1582" s="1"/>
      <c r="Q1582" s="1"/>
      <c r="AD1582" s="1"/>
      <c r="AG1582" s="1"/>
      <c r="AI1582" s="1"/>
    </row>
    <row r="1583" spans="4:35" hidden="1">
      <c r="D1583" s="1"/>
      <c r="K1583" s="1"/>
      <c r="Q1583" s="1"/>
      <c r="AD1583" s="1"/>
      <c r="AG1583" s="1"/>
      <c r="AI1583" s="1"/>
    </row>
    <row r="1584" spans="4:35" hidden="1">
      <c r="D1584" s="1"/>
      <c r="K1584" s="1"/>
      <c r="Q1584" s="1"/>
      <c r="AD1584" s="1"/>
      <c r="AG1584" s="1"/>
      <c r="AI1584" s="1"/>
    </row>
    <row r="1585" spans="4:35" hidden="1">
      <c r="D1585" s="1"/>
      <c r="K1585" s="1"/>
      <c r="Q1585" s="1"/>
      <c r="AD1585" s="1"/>
      <c r="AG1585" s="1"/>
      <c r="AI1585" s="1"/>
    </row>
    <row r="1586" spans="4:35" hidden="1">
      <c r="D1586" s="1"/>
      <c r="K1586" s="1"/>
      <c r="Q1586" s="1"/>
      <c r="AD1586" s="1"/>
      <c r="AG1586" s="1"/>
      <c r="AI1586" s="1"/>
    </row>
    <row r="1587" spans="4:35" hidden="1">
      <c r="D1587" s="1"/>
      <c r="K1587" s="1"/>
      <c r="Q1587" s="1"/>
      <c r="AD1587" s="1"/>
      <c r="AG1587" s="1"/>
      <c r="AI1587" s="1"/>
    </row>
    <row r="1588" spans="4:35" hidden="1">
      <c r="D1588" s="1"/>
      <c r="K1588" s="1"/>
      <c r="Q1588" s="1"/>
      <c r="AD1588" s="1"/>
      <c r="AG1588" s="1"/>
      <c r="AI1588" s="1"/>
    </row>
    <row r="1589" spans="4:35" hidden="1">
      <c r="D1589" s="1"/>
      <c r="K1589" s="1"/>
      <c r="Q1589" s="1"/>
      <c r="AD1589" s="1"/>
      <c r="AG1589" s="1"/>
      <c r="AI1589" s="1"/>
    </row>
    <row r="1590" spans="4:35" hidden="1">
      <c r="D1590" s="1"/>
      <c r="K1590" s="1"/>
      <c r="Q1590" s="1"/>
      <c r="AD1590" s="1"/>
      <c r="AG1590" s="1"/>
      <c r="AI1590" s="1"/>
    </row>
    <row r="1591" spans="4:35" hidden="1">
      <c r="D1591" s="1"/>
      <c r="K1591" s="1"/>
      <c r="Q1591" s="1"/>
      <c r="AD1591" s="1"/>
      <c r="AG1591" s="1"/>
      <c r="AI1591" s="1"/>
    </row>
    <row r="1592" spans="4:35" hidden="1">
      <c r="D1592" s="1"/>
      <c r="K1592" s="1"/>
      <c r="Q1592" s="1"/>
      <c r="AD1592" s="1"/>
      <c r="AG1592" s="1"/>
      <c r="AI1592" s="1"/>
    </row>
    <row r="1593" spans="4:35" hidden="1">
      <c r="D1593" s="1"/>
      <c r="K1593" s="1"/>
      <c r="Q1593" s="1"/>
      <c r="AD1593" s="1"/>
      <c r="AG1593" s="1"/>
      <c r="AI1593" s="1"/>
    </row>
    <row r="1594" spans="4:35" hidden="1">
      <c r="D1594" s="1"/>
      <c r="K1594" s="1"/>
      <c r="Q1594" s="1"/>
      <c r="AD1594" s="1"/>
      <c r="AG1594" s="1"/>
      <c r="AI1594" s="1"/>
    </row>
    <row r="1595" spans="4:35" hidden="1">
      <c r="D1595" s="1"/>
      <c r="K1595" s="1"/>
      <c r="Q1595" s="1"/>
      <c r="AD1595" s="1"/>
      <c r="AG1595" s="1"/>
      <c r="AI1595" s="1"/>
    </row>
    <row r="1596" spans="4:35" hidden="1">
      <c r="D1596" s="1"/>
      <c r="K1596" s="1"/>
      <c r="Q1596" s="1"/>
      <c r="AD1596" s="1"/>
      <c r="AG1596" s="1"/>
      <c r="AI1596" s="1"/>
    </row>
    <row r="1597" spans="4:35" hidden="1">
      <c r="D1597" s="1"/>
      <c r="K1597" s="1"/>
      <c r="Q1597" s="1"/>
      <c r="AD1597" s="1"/>
      <c r="AG1597" s="1"/>
      <c r="AI1597" s="1"/>
    </row>
    <row r="1598" spans="4:35" hidden="1">
      <c r="D1598" s="1"/>
      <c r="K1598" s="1"/>
      <c r="Q1598" s="1"/>
      <c r="AD1598" s="1"/>
      <c r="AG1598" s="1"/>
      <c r="AI1598" s="1"/>
    </row>
    <row r="1599" spans="4:35" hidden="1">
      <c r="D1599" s="1"/>
      <c r="K1599" s="1"/>
      <c r="Q1599" s="1"/>
      <c r="AD1599" s="1"/>
      <c r="AG1599" s="1"/>
      <c r="AI1599" s="1"/>
    </row>
    <row r="1600" spans="4:35" hidden="1">
      <c r="D1600" s="1"/>
      <c r="K1600" s="1"/>
      <c r="Q1600" s="1"/>
      <c r="AD1600" s="1"/>
      <c r="AG1600" s="1"/>
      <c r="AI1600" s="1"/>
    </row>
    <row r="1601" spans="4:35" hidden="1">
      <c r="D1601" s="1"/>
      <c r="K1601" s="1"/>
      <c r="Q1601" s="1"/>
      <c r="AD1601" s="1"/>
      <c r="AG1601" s="1"/>
      <c r="AI1601" s="1"/>
    </row>
    <row r="1602" spans="4:35" hidden="1">
      <c r="D1602" s="1"/>
      <c r="K1602" s="1"/>
      <c r="Q1602" s="1"/>
      <c r="AD1602" s="1"/>
      <c r="AG1602" s="1"/>
      <c r="AI1602" s="1"/>
    </row>
    <row r="1603" spans="4:35" hidden="1">
      <c r="D1603" s="1"/>
      <c r="K1603" s="1"/>
      <c r="Q1603" s="1"/>
      <c r="AD1603" s="1"/>
      <c r="AG1603" s="1"/>
      <c r="AI1603" s="1"/>
    </row>
    <row r="1604" spans="4:35" hidden="1">
      <c r="D1604" s="1"/>
      <c r="K1604" s="1"/>
      <c r="Q1604" s="1"/>
      <c r="AD1604" s="1"/>
      <c r="AG1604" s="1"/>
      <c r="AI1604" s="1"/>
    </row>
    <row r="1605" spans="4:35" hidden="1">
      <c r="D1605" s="1"/>
      <c r="K1605" s="1"/>
      <c r="Q1605" s="1"/>
      <c r="AD1605" s="1"/>
      <c r="AG1605" s="1"/>
      <c r="AI1605" s="1"/>
    </row>
    <row r="1606" spans="4:35" hidden="1">
      <c r="D1606" s="1"/>
      <c r="K1606" s="1"/>
      <c r="Q1606" s="1"/>
      <c r="AD1606" s="1"/>
      <c r="AG1606" s="1"/>
      <c r="AI1606" s="1"/>
    </row>
    <row r="1607" spans="4:35" hidden="1">
      <c r="D1607" s="1"/>
      <c r="K1607" s="1"/>
      <c r="Q1607" s="1"/>
      <c r="AD1607" s="1"/>
      <c r="AG1607" s="1"/>
      <c r="AI1607" s="1"/>
    </row>
    <row r="1608" spans="4:35" hidden="1">
      <c r="D1608" s="1"/>
      <c r="K1608" s="1"/>
      <c r="Q1608" s="1"/>
      <c r="AD1608" s="1"/>
      <c r="AG1608" s="1"/>
      <c r="AI1608" s="1"/>
    </row>
    <row r="1609" spans="4:35" hidden="1">
      <c r="D1609" s="1"/>
      <c r="K1609" s="1"/>
      <c r="Q1609" s="1"/>
      <c r="AD1609" s="1"/>
      <c r="AG1609" s="1"/>
      <c r="AI1609" s="1"/>
    </row>
    <row r="1610" spans="4:35" hidden="1">
      <c r="D1610" s="1"/>
      <c r="K1610" s="1"/>
      <c r="Q1610" s="1"/>
      <c r="AD1610" s="1"/>
      <c r="AG1610" s="1"/>
      <c r="AI1610" s="1"/>
    </row>
    <row r="1611" spans="4:35" hidden="1">
      <c r="D1611" s="1"/>
      <c r="K1611" s="1"/>
      <c r="Q1611" s="1"/>
      <c r="AD1611" s="1"/>
      <c r="AG1611" s="1"/>
      <c r="AI1611" s="1"/>
    </row>
    <row r="1612" spans="4:35" hidden="1">
      <c r="D1612" s="1"/>
      <c r="K1612" s="1"/>
      <c r="Q1612" s="1"/>
      <c r="AD1612" s="1"/>
      <c r="AG1612" s="1"/>
      <c r="AI1612" s="1"/>
    </row>
    <row r="1613" spans="4:35" hidden="1">
      <c r="D1613" s="1"/>
      <c r="K1613" s="1"/>
      <c r="Q1613" s="1"/>
      <c r="AD1613" s="1"/>
      <c r="AG1613" s="1"/>
      <c r="AI1613" s="1"/>
    </row>
    <row r="1614" spans="4:35" hidden="1">
      <c r="D1614" s="1"/>
      <c r="K1614" s="1"/>
      <c r="Q1614" s="1"/>
      <c r="AD1614" s="1"/>
      <c r="AG1614" s="1"/>
      <c r="AI1614" s="1"/>
    </row>
    <row r="1615" spans="4:35" hidden="1">
      <c r="D1615" s="1"/>
      <c r="K1615" s="1"/>
      <c r="Q1615" s="1"/>
      <c r="AD1615" s="1"/>
      <c r="AG1615" s="1"/>
      <c r="AI1615" s="1"/>
    </row>
    <row r="1616" spans="4:35" hidden="1">
      <c r="D1616" s="1"/>
      <c r="K1616" s="1"/>
      <c r="Q1616" s="1"/>
      <c r="AD1616" s="1"/>
      <c r="AG1616" s="1"/>
      <c r="AI1616" s="1"/>
    </row>
    <row r="1617" spans="4:35" hidden="1">
      <c r="D1617" s="1"/>
      <c r="K1617" s="1"/>
      <c r="Q1617" s="1"/>
      <c r="AD1617" s="1"/>
      <c r="AG1617" s="1"/>
      <c r="AI1617" s="1"/>
    </row>
    <row r="1618" spans="4:35" hidden="1">
      <c r="D1618" s="1"/>
      <c r="K1618" s="1"/>
      <c r="Q1618" s="1"/>
      <c r="AD1618" s="1"/>
      <c r="AG1618" s="1"/>
      <c r="AI1618" s="1"/>
    </row>
    <row r="1619" spans="4:35" hidden="1">
      <c r="D1619" s="1"/>
      <c r="K1619" s="1"/>
      <c r="Q1619" s="1"/>
      <c r="AD1619" s="1"/>
      <c r="AG1619" s="1"/>
      <c r="AI1619" s="1"/>
    </row>
    <row r="1620" spans="4:35" hidden="1">
      <c r="D1620" s="1"/>
      <c r="K1620" s="1"/>
      <c r="Q1620" s="1"/>
      <c r="AD1620" s="1"/>
      <c r="AG1620" s="1"/>
      <c r="AI1620" s="1"/>
    </row>
    <row r="1621" spans="4:35" hidden="1">
      <c r="D1621" s="1"/>
      <c r="K1621" s="1"/>
      <c r="Q1621" s="1"/>
      <c r="AD1621" s="1"/>
      <c r="AG1621" s="1"/>
      <c r="AI1621" s="1"/>
    </row>
    <row r="1622" spans="4:35" hidden="1">
      <c r="D1622" s="1"/>
      <c r="K1622" s="1"/>
      <c r="Q1622" s="1"/>
      <c r="AD1622" s="1"/>
      <c r="AG1622" s="1"/>
      <c r="AI1622" s="1"/>
    </row>
    <row r="1623" spans="4:35" hidden="1">
      <c r="D1623" s="1"/>
      <c r="K1623" s="1"/>
      <c r="Q1623" s="1"/>
      <c r="AD1623" s="1"/>
      <c r="AG1623" s="1"/>
      <c r="AI1623" s="1"/>
    </row>
    <row r="1624" spans="4:35" hidden="1">
      <c r="D1624" s="1"/>
      <c r="K1624" s="1"/>
      <c r="Q1624" s="1"/>
      <c r="AD1624" s="1"/>
      <c r="AG1624" s="1"/>
      <c r="AI1624" s="1"/>
    </row>
    <row r="1625" spans="4:35" hidden="1">
      <c r="D1625" s="1"/>
      <c r="K1625" s="1"/>
      <c r="Q1625" s="1"/>
      <c r="AD1625" s="1"/>
      <c r="AG1625" s="1"/>
      <c r="AI1625" s="1"/>
    </row>
    <row r="1626" spans="4:35" hidden="1">
      <c r="D1626" s="1"/>
      <c r="K1626" s="1"/>
      <c r="Q1626" s="1"/>
      <c r="AD1626" s="1"/>
      <c r="AG1626" s="1"/>
      <c r="AI1626" s="1"/>
    </row>
    <row r="1627" spans="4:35" hidden="1">
      <c r="D1627" s="1"/>
      <c r="K1627" s="1"/>
      <c r="Q1627" s="1"/>
      <c r="AD1627" s="1"/>
      <c r="AG1627" s="1"/>
      <c r="AI1627" s="1"/>
    </row>
    <row r="1628" spans="4:35" hidden="1">
      <c r="D1628" s="1"/>
      <c r="K1628" s="1"/>
      <c r="Q1628" s="1"/>
      <c r="AD1628" s="1"/>
      <c r="AG1628" s="1"/>
      <c r="AI1628" s="1"/>
    </row>
    <row r="1629" spans="4:35" hidden="1">
      <c r="D1629" s="1"/>
      <c r="K1629" s="1"/>
      <c r="Q1629" s="1"/>
      <c r="AD1629" s="1"/>
      <c r="AG1629" s="1"/>
      <c r="AI1629" s="1"/>
    </row>
    <row r="1630" spans="4:35" hidden="1">
      <c r="D1630" s="1"/>
      <c r="K1630" s="1"/>
      <c r="Q1630" s="1"/>
      <c r="AD1630" s="1"/>
      <c r="AG1630" s="1"/>
      <c r="AI1630" s="1"/>
    </row>
    <row r="1631" spans="4:35" hidden="1">
      <c r="D1631" s="1"/>
      <c r="K1631" s="1"/>
      <c r="Q1631" s="1"/>
      <c r="AD1631" s="1"/>
      <c r="AG1631" s="1"/>
      <c r="AI1631" s="1"/>
    </row>
    <row r="1632" spans="4:35" hidden="1">
      <c r="D1632" s="1"/>
      <c r="K1632" s="1"/>
      <c r="Q1632" s="1"/>
      <c r="AD1632" s="1"/>
      <c r="AG1632" s="1"/>
      <c r="AI1632" s="1"/>
    </row>
    <row r="1633" spans="4:35" hidden="1">
      <c r="D1633" s="1"/>
      <c r="K1633" s="1"/>
      <c r="Q1633" s="1"/>
      <c r="AD1633" s="1"/>
      <c r="AG1633" s="1"/>
      <c r="AI1633" s="1"/>
    </row>
    <row r="1634" spans="4:35" hidden="1">
      <c r="D1634" s="1"/>
      <c r="K1634" s="1"/>
      <c r="Q1634" s="1"/>
      <c r="AD1634" s="1"/>
      <c r="AG1634" s="1"/>
      <c r="AI1634" s="1"/>
    </row>
    <row r="1635" spans="4:35" hidden="1">
      <c r="D1635" s="1"/>
      <c r="K1635" s="1"/>
      <c r="Q1635" s="1"/>
      <c r="AD1635" s="1"/>
      <c r="AG1635" s="1"/>
      <c r="AI1635" s="1"/>
    </row>
    <row r="1636" spans="4:35" hidden="1">
      <c r="D1636" s="1"/>
      <c r="K1636" s="1"/>
      <c r="Q1636" s="1"/>
      <c r="AD1636" s="1"/>
      <c r="AG1636" s="1"/>
      <c r="AI1636" s="1"/>
    </row>
    <row r="1637" spans="4:35" hidden="1">
      <c r="D1637" s="1"/>
      <c r="K1637" s="1"/>
      <c r="Q1637" s="1"/>
      <c r="AD1637" s="1"/>
      <c r="AG1637" s="1"/>
      <c r="AI1637" s="1"/>
    </row>
    <row r="1638" spans="4:35" hidden="1">
      <c r="D1638" s="1"/>
      <c r="K1638" s="1"/>
      <c r="Q1638" s="1"/>
      <c r="AD1638" s="1"/>
      <c r="AG1638" s="1"/>
      <c r="AI1638" s="1"/>
    </row>
    <row r="1639" spans="4:35" hidden="1">
      <c r="D1639" s="1"/>
      <c r="K1639" s="1"/>
      <c r="Q1639" s="1"/>
      <c r="AD1639" s="1"/>
      <c r="AG1639" s="1"/>
      <c r="AI1639" s="1"/>
    </row>
    <row r="1640" spans="4:35" hidden="1">
      <c r="D1640" s="1"/>
      <c r="K1640" s="1"/>
      <c r="Q1640" s="1"/>
      <c r="AD1640" s="1"/>
      <c r="AG1640" s="1"/>
      <c r="AI1640" s="1"/>
    </row>
    <row r="1641" spans="4:35" hidden="1">
      <c r="D1641" s="1"/>
      <c r="K1641" s="1"/>
      <c r="Q1641" s="1"/>
      <c r="AD1641" s="1"/>
      <c r="AG1641" s="1"/>
      <c r="AI1641" s="1"/>
    </row>
    <row r="1642" spans="4:35" hidden="1">
      <c r="D1642" s="1"/>
      <c r="K1642" s="1"/>
      <c r="Q1642" s="1"/>
      <c r="AD1642" s="1"/>
      <c r="AG1642" s="1"/>
      <c r="AI1642" s="1"/>
    </row>
    <row r="1643" spans="4:35" hidden="1">
      <c r="D1643" s="1"/>
      <c r="K1643" s="1"/>
      <c r="Q1643" s="1"/>
      <c r="AD1643" s="1"/>
      <c r="AG1643" s="1"/>
      <c r="AI1643" s="1"/>
    </row>
    <row r="1644" spans="4:35" hidden="1">
      <c r="D1644" s="1"/>
      <c r="K1644" s="1"/>
      <c r="Q1644" s="1"/>
      <c r="AD1644" s="1"/>
      <c r="AG1644" s="1"/>
      <c r="AI1644" s="1"/>
    </row>
    <row r="1645" spans="4:35" hidden="1">
      <c r="D1645" s="1"/>
      <c r="K1645" s="1"/>
      <c r="Q1645" s="1"/>
      <c r="AD1645" s="1"/>
      <c r="AG1645" s="1"/>
      <c r="AI1645" s="1"/>
    </row>
    <row r="1646" spans="4:35" hidden="1">
      <c r="D1646" s="1"/>
      <c r="K1646" s="1"/>
      <c r="Q1646" s="1"/>
      <c r="AD1646" s="1"/>
      <c r="AG1646" s="1"/>
      <c r="AI1646" s="1"/>
    </row>
    <row r="1647" spans="4:35" hidden="1">
      <c r="D1647" s="1"/>
      <c r="K1647" s="1"/>
      <c r="Q1647" s="1"/>
      <c r="AD1647" s="1"/>
      <c r="AG1647" s="1"/>
      <c r="AI1647" s="1"/>
    </row>
    <row r="1648" spans="4:35" hidden="1">
      <c r="D1648" s="1"/>
      <c r="K1648" s="1"/>
      <c r="Q1648" s="1"/>
      <c r="AD1648" s="1"/>
      <c r="AG1648" s="1"/>
      <c r="AI1648" s="1"/>
    </row>
    <row r="1649" spans="4:35" hidden="1">
      <c r="D1649" s="1"/>
      <c r="K1649" s="1"/>
      <c r="Q1649" s="1"/>
      <c r="AD1649" s="1"/>
      <c r="AG1649" s="1"/>
      <c r="AI1649" s="1"/>
    </row>
    <row r="1650" spans="4:35" hidden="1">
      <c r="D1650" s="1"/>
      <c r="K1650" s="1"/>
      <c r="Q1650" s="1"/>
      <c r="AD1650" s="1"/>
      <c r="AG1650" s="1"/>
      <c r="AI1650" s="1"/>
    </row>
    <row r="1651" spans="4:35" hidden="1">
      <c r="D1651" s="1"/>
      <c r="K1651" s="1"/>
      <c r="Q1651" s="1"/>
      <c r="AD1651" s="1"/>
      <c r="AG1651" s="1"/>
      <c r="AI1651" s="1"/>
    </row>
    <row r="1652" spans="4:35" hidden="1">
      <c r="D1652" s="1"/>
      <c r="K1652" s="1"/>
      <c r="Q1652" s="1"/>
      <c r="AD1652" s="1"/>
      <c r="AG1652" s="1"/>
      <c r="AI1652" s="1"/>
    </row>
    <row r="1653" spans="4:35" hidden="1">
      <c r="D1653" s="1"/>
      <c r="K1653" s="1"/>
      <c r="Q1653" s="1"/>
      <c r="AD1653" s="1"/>
      <c r="AG1653" s="1"/>
      <c r="AI1653" s="1"/>
    </row>
    <row r="1654" spans="4:35" hidden="1">
      <c r="D1654" s="1"/>
      <c r="K1654" s="1"/>
      <c r="Q1654" s="1"/>
      <c r="AD1654" s="1"/>
      <c r="AG1654" s="1"/>
      <c r="AI1654" s="1"/>
    </row>
    <row r="1655" spans="4:35" hidden="1">
      <c r="D1655" s="1"/>
      <c r="K1655" s="1"/>
      <c r="Q1655" s="1"/>
      <c r="AD1655" s="1"/>
      <c r="AG1655" s="1"/>
      <c r="AI1655" s="1"/>
    </row>
    <row r="1656" spans="4:35" hidden="1">
      <c r="D1656" s="1"/>
      <c r="K1656" s="1"/>
      <c r="Q1656" s="1"/>
      <c r="AD1656" s="1"/>
      <c r="AG1656" s="1"/>
      <c r="AI1656" s="1"/>
    </row>
    <row r="1657" spans="4:35" hidden="1">
      <c r="D1657" s="1"/>
      <c r="K1657" s="1"/>
      <c r="Q1657" s="1"/>
      <c r="AD1657" s="1"/>
      <c r="AG1657" s="1"/>
      <c r="AI1657" s="1"/>
    </row>
    <row r="1658" spans="4:35" hidden="1">
      <c r="D1658" s="1"/>
      <c r="K1658" s="1"/>
      <c r="Q1658" s="1"/>
      <c r="AD1658" s="1"/>
      <c r="AG1658" s="1"/>
      <c r="AI1658" s="1"/>
    </row>
    <row r="1659" spans="4:35" hidden="1">
      <c r="D1659" s="1"/>
      <c r="K1659" s="1"/>
      <c r="Q1659" s="1"/>
      <c r="AD1659" s="1"/>
      <c r="AG1659" s="1"/>
      <c r="AI1659" s="1"/>
    </row>
    <row r="1660" spans="4:35" hidden="1">
      <c r="D1660" s="1"/>
      <c r="K1660" s="1"/>
      <c r="Q1660" s="1"/>
      <c r="AD1660" s="1"/>
      <c r="AG1660" s="1"/>
      <c r="AI1660" s="1"/>
    </row>
    <row r="1661" spans="4:35" hidden="1">
      <c r="D1661" s="1"/>
      <c r="K1661" s="1"/>
      <c r="Q1661" s="1"/>
      <c r="AD1661" s="1"/>
      <c r="AG1661" s="1"/>
      <c r="AI1661" s="1"/>
    </row>
    <row r="1662" spans="4:35" hidden="1">
      <c r="D1662" s="1"/>
      <c r="K1662" s="1"/>
      <c r="Q1662" s="1"/>
      <c r="AD1662" s="1"/>
      <c r="AG1662" s="1"/>
      <c r="AI1662" s="1"/>
    </row>
    <row r="1663" spans="4:35" hidden="1">
      <c r="D1663" s="1"/>
      <c r="K1663" s="1"/>
      <c r="Q1663" s="1"/>
      <c r="AD1663" s="1"/>
      <c r="AG1663" s="1"/>
      <c r="AI1663" s="1"/>
    </row>
    <row r="1664" spans="4:35" hidden="1">
      <c r="D1664" s="1"/>
      <c r="K1664" s="1"/>
      <c r="Q1664" s="1"/>
      <c r="AD1664" s="1"/>
      <c r="AG1664" s="1"/>
      <c r="AI1664" s="1"/>
    </row>
    <row r="1665" spans="4:35" hidden="1">
      <c r="D1665" s="1"/>
      <c r="K1665" s="1"/>
      <c r="Q1665" s="1"/>
      <c r="AD1665" s="1"/>
      <c r="AG1665" s="1"/>
      <c r="AI1665" s="1"/>
    </row>
    <row r="1666" spans="4:35" hidden="1">
      <c r="D1666" s="1"/>
      <c r="K1666" s="1"/>
      <c r="Q1666" s="1"/>
      <c r="AD1666" s="1"/>
      <c r="AG1666" s="1"/>
      <c r="AI1666" s="1"/>
    </row>
    <row r="1667" spans="4:35" hidden="1">
      <c r="D1667" s="1"/>
      <c r="K1667" s="1"/>
      <c r="Q1667" s="1"/>
      <c r="AD1667" s="1"/>
      <c r="AG1667" s="1"/>
      <c r="AI1667" s="1"/>
    </row>
    <row r="1668" spans="4:35" hidden="1">
      <c r="D1668" s="1"/>
      <c r="K1668" s="1"/>
      <c r="Q1668" s="1"/>
      <c r="AD1668" s="1"/>
      <c r="AG1668" s="1"/>
      <c r="AI1668" s="1"/>
    </row>
    <row r="1669" spans="4:35" hidden="1">
      <c r="D1669" s="1"/>
      <c r="K1669" s="1"/>
      <c r="Q1669" s="1"/>
      <c r="AD1669" s="1"/>
      <c r="AG1669" s="1"/>
      <c r="AI1669" s="1"/>
    </row>
    <row r="1670" spans="4:35" hidden="1">
      <c r="D1670" s="1"/>
      <c r="K1670" s="1"/>
      <c r="Q1670" s="1"/>
      <c r="AD1670" s="1"/>
      <c r="AG1670" s="1"/>
      <c r="AI1670" s="1"/>
    </row>
    <row r="1671" spans="4:35" hidden="1">
      <c r="D1671" s="1"/>
      <c r="K1671" s="1"/>
      <c r="Q1671" s="1"/>
      <c r="AD1671" s="1"/>
      <c r="AG1671" s="1"/>
      <c r="AI1671" s="1"/>
    </row>
    <row r="1672" spans="4:35" hidden="1">
      <c r="D1672" s="1"/>
      <c r="K1672" s="1"/>
      <c r="Q1672" s="1"/>
      <c r="AD1672" s="1"/>
      <c r="AG1672" s="1"/>
      <c r="AI1672" s="1"/>
    </row>
    <row r="1673" spans="4:35" hidden="1">
      <c r="D1673" s="1"/>
      <c r="K1673" s="1"/>
      <c r="Q1673" s="1"/>
      <c r="AD1673" s="1"/>
      <c r="AG1673" s="1"/>
      <c r="AI1673" s="1"/>
    </row>
    <row r="1674" spans="4:35" hidden="1">
      <c r="D1674" s="1"/>
      <c r="K1674" s="1"/>
      <c r="Q1674" s="1"/>
      <c r="AD1674" s="1"/>
      <c r="AG1674" s="1"/>
      <c r="AI1674" s="1"/>
    </row>
    <row r="1675" spans="4:35" hidden="1">
      <c r="D1675" s="1"/>
      <c r="K1675" s="1"/>
      <c r="Q1675" s="1"/>
      <c r="AD1675" s="1"/>
      <c r="AG1675" s="1"/>
      <c r="AI1675" s="1"/>
    </row>
    <row r="1676" spans="4:35" hidden="1">
      <c r="D1676" s="1"/>
      <c r="K1676" s="1"/>
      <c r="Q1676" s="1"/>
      <c r="AD1676" s="1"/>
      <c r="AG1676" s="1"/>
      <c r="AI1676" s="1"/>
    </row>
    <row r="1677" spans="4:35" hidden="1">
      <c r="D1677" s="1"/>
      <c r="K1677" s="1"/>
      <c r="Q1677" s="1"/>
      <c r="AD1677" s="1"/>
      <c r="AG1677" s="1"/>
      <c r="AI1677" s="1"/>
    </row>
    <row r="1678" spans="4:35" hidden="1">
      <c r="D1678" s="1"/>
      <c r="K1678" s="1"/>
      <c r="Q1678" s="1"/>
      <c r="AD1678" s="1"/>
      <c r="AG1678" s="1"/>
      <c r="AI1678" s="1"/>
    </row>
    <row r="1679" spans="4:35" hidden="1">
      <c r="D1679" s="1"/>
      <c r="K1679" s="1"/>
      <c r="Q1679" s="1"/>
      <c r="AD1679" s="1"/>
      <c r="AG1679" s="1"/>
      <c r="AI1679" s="1"/>
    </row>
    <row r="1680" spans="4:35" hidden="1">
      <c r="D1680" s="1"/>
      <c r="K1680" s="1"/>
      <c r="Q1680" s="1"/>
      <c r="AD1680" s="1"/>
      <c r="AG1680" s="1"/>
      <c r="AI1680" s="1"/>
    </row>
    <row r="1681" spans="4:35" hidden="1">
      <c r="D1681" s="1"/>
      <c r="K1681" s="1"/>
      <c r="Q1681" s="1"/>
      <c r="AD1681" s="1"/>
      <c r="AG1681" s="1"/>
      <c r="AI1681" s="1"/>
    </row>
    <row r="1682" spans="4:35" hidden="1">
      <c r="D1682" s="1"/>
      <c r="K1682" s="1"/>
      <c r="Q1682" s="1"/>
      <c r="AD1682" s="1"/>
      <c r="AG1682" s="1"/>
      <c r="AI1682" s="1"/>
    </row>
    <row r="1683" spans="4:35" hidden="1">
      <c r="D1683" s="1"/>
      <c r="K1683" s="1"/>
      <c r="Q1683" s="1"/>
      <c r="AD1683" s="1"/>
      <c r="AG1683" s="1"/>
      <c r="AI1683" s="1"/>
    </row>
    <row r="1684" spans="4:35" hidden="1">
      <c r="D1684" s="1"/>
      <c r="K1684" s="1"/>
      <c r="Q1684" s="1"/>
      <c r="AD1684" s="1"/>
      <c r="AG1684" s="1"/>
      <c r="AI1684" s="1"/>
    </row>
    <row r="1685" spans="4:35" hidden="1">
      <c r="D1685" s="1"/>
      <c r="K1685" s="1"/>
      <c r="Q1685" s="1"/>
      <c r="AD1685" s="1"/>
      <c r="AG1685" s="1"/>
      <c r="AI1685" s="1"/>
    </row>
    <row r="1686" spans="4:35" hidden="1">
      <c r="D1686" s="1"/>
      <c r="K1686" s="1"/>
      <c r="Q1686" s="1"/>
      <c r="AD1686" s="1"/>
      <c r="AG1686" s="1"/>
      <c r="AI1686" s="1"/>
    </row>
    <row r="1687" spans="4:35" hidden="1">
      <c r="D1687" s="1"/>
      <c r="K1687" s="1"/>
      <c r="Q1687" s="1"/>
      <c r="AD1687" s="1"/>
      <c r="AG1687" s="1"/>
      <c r="AI1687" s="1"/>
    </row>
    <row r="1688" spans="4:35" hidden="1">
      <c r="D1688" s="1"/>
      <c r="K1688" s="1"/>
      <c r="Q1688" s="1"/>
      <c r="AD1688" s="1"/>
      <c r="AG1688" s="1"/>
      <c r="AI1688" s="1"/>
    </row>
    <row r="1689" spans="4:35" hidden="1">
      <c r="D1689" s="1"/>
      <c r="K1689" s="1"/>
      <c r="Q1689" s="1"/>
      <c r="AD1689" s="1"/>
      <c r="AG1689" s="1"/>
      <c r="AI1689" s="1"/>
    </row>
    <row r="1690" spans="4:35" hidden="1">
      <c r="D1690" s="1"/>
      <c r="K1690" s="1"/>
      <c r="Q1690" s="1"/>
      <c r="AD1690" s="1"/>
      <c r="AG1690" s="1"/>
      <c r="AI1690" s="1"/>
    </row>
    <row r="1691" spans="4:35" hidden="1">
      <c r="D1691" s="1"/>
      <c r="K1691" s="1"/>
      <c r="Q1691" s="1"/>
      <c r="AD1691" s="1"/>
      <c r="AG1691" s="1"/>
      <c r="AI1691" s="1"/>
    </row>
    <row r="1692" spans="4:35" hidden="1">
      <c r="D1692" s="1"/>
      <c r="K1692" s="1"/>
      <c r="Q1692" s="1"/>
      <c r="AD1692" s="1"/>
      <c r="AG1692" s="1"/>
      <c r="AI1692" s="1"/>
    </row>
    <row r="1693" spans="4:35" hidden="1">
      <c r="D1693" s="1"/>
      <c r="K1693" s="1"/>
      <c r="Q1693" s="1"/>
      <c r="AD1693" s="1"/>
      <c r="AG1693" s="1"/>
      <c r="AI1693" s="1"/>
    </row>
    <row r="1694" spans="4:35" hidden="1">
      <c r="D1694" s="1"/>
      <c r="K1694" s="1"/>
      <c r="Q1694" s="1"/>
      <c r="AD1694" s="1"/>
      <c r="AG1694" s="1"/>
      <c r="AI1694" s="1"/>
    </row>
    <row r="1695" spans="4:35" hidden="1">
      <c r="D1695" s="1"/>
      <c r="K1695" s="1"/>
      <c r="Q1695" s="1"/>
      <c r="AD1695" s="1"/>
      <c r="AG1695" s="1"/>
      <c r="AI1695" s="1"/>
    </row>
    <row r="1696" spans="4:35" hidden="1">
      <c r="D1696" s="1"/>
      <c r="K1696" s="1"/>
      <c r="Q1696" s="1"/>
      <c r="AD1696" s="1"/>
      <c r="AG1696" s="1"/>
      <c r="AI1696" s="1"/>
    </row>
    <row r="1697" spans="4:35" hidden="1">
      <c r="D1697" s="1"/>
      <c r="K1697" s="1"/>
      <c r="Q1697" s="1"/>
      <c r="AD1697" s="1"/>
      <c r="AG1697" s="1"/>
      <c r="AI1697" s="1"/>
    </row>
    <row r="1698" spans="4:35" hidden="1">
      <c r="D1698" s="1"/>
      <c r="K1698" s="1"/>
      <c r="Q1698" s="1"/>
      <c r="AD1698" s="1"/>
      <c r="AG1698" s="1"/>
      <c r="AI1698" s="1"/>
    </row>
    <row r="1699" spans="4:35" hidden="1">
      <c r="D1699" s="1"/>
      <c r="K1699" s="1"/>
      <c r="Q1699" s="1"/>
      <c r="AD1699" s="1"/>
      <c r="AG1699" s="1"/>
      <c r="AI1699" s="1"/>
    </row>
    <row r="1700" spans="4:35" hidden="1">
      <c r="D1700" s="1"/>
      <c r="K1700" s="1"/>
      <c r="Q1700" s="1"/>
      <c r="AD1700" s="1"/>
      <c r="AG1700" s="1"/>
      <c r="AI1700" s="1"/>
    </row>
    <row r="1701" spans="4:35" hidden="1">
      <c r="D1701" s="1"/>
      <c r="K1701" s="1"/>
      <c r="Q1701" s="1"/>
      <c r="AD1701" s="1"/>
      <c r="AG1701" s="1"/>
      <c r="AI1701" s="1"/>
    </row>
    <row r="1702" spans="4:35" hidden="1">
      <c r="D1702" s="1"/>
      <c r="K1702" s="1"/>
      <c r="Q1702" s="1"/>
      <c r="AD1702" s="1"/>
      <c r="AG1702" s="1"/>
      <c r="AI1702" s="1"/>
    </row>
    <row r="1703" spans="4:35" hidden="1">
      <c r="D1703" s="1"/>
      <c r="K1703" s="1"/>
      <c r="Q1703" s="1"/>
      <c r="AD1703" s="1"/>
      <c r="AG1703" s="1"/>
      <c r="AI1703" s="1"/>
    </row>
    <row r="1704" spans="4:35" hidden="1">
      <c r="D1704" s="1"/>
      <c r="K1704" s="1"/>
      <c r="Q1704" s="1"/>
      <c r="AD1704" s="1"/>
      <c r="AG1704" s="1"/>
      <c r="AI1704" s="1"/>
    </row>
    <row r="1705" spans="4:35" hidden="1">
      <c r="D1705" s="1"/>
      <c r="K1705" s="1"/>
      <c r="Q1705" s="1"/>
      <c r="AD1705" s="1"/>
      <c r="AG1705" s="1"/>
      <c r="AI1705" s="1"/>
    </row>
    <row r="1706" spans="4:35" hidden="1">
      <c r="D1706" s="1"/>
      <c r="K1706" s="1"/>
      <c r="Q1706" s="1"/>
      <c r="AD1706" s="1"/>
      <c r="AG1706" s="1"/>
      <c r="AI1706" s="1"/>
    </row>
    <row r="1707" spans="4:35" hidden="1">
      <c r="D1707" s="1"/>
      <c r="K1707" s="1"/>
      <c r="Q1707" s="1"/>
      <c r="AD1707" s="1"/>
      <c r="AG1707" s="1"/>
      <c r="AI1707" s="1"/>
    </row>
    <row r="1708" spans="4:35" hidden="1">
      <c r="D1708" s="1"/>
      <c r="K1708" s="1"/>
      <c r="Q1708" s="1"/>
      <c r="AD1708" s="1"/>
      <c r="AG1708" s="1"/>
      <c r="AI1708" s="1"/>
    </row>
    <row r="1709" spans="4:35" hidden="1">
      <c r="D1709" s="1"/>
      <c r="K1709" s="1"/>
      <c r="Q1709" s="1"/>
      <c r="AD1709" s="1"/>
      <c r="AG1709" s="1"/>
      <c r="AI1709" s="1"/>
    </row>
    <row r="1710" spans="4:35" hidden="1">
      <c r="D1710" s="1"/>
      <c r="K1710" s="1"/>
      <c r="Q1710" s="1"/>
      <c r="AD1710" s="1"/>
      <c r="AG1710" s="1"/>
      <c r="AI1710" s="1"/>
    </row>
    <row r="1711" spans="4:35" hidden="1">
      <c r="D1711" s="1"/>
      <c r="K1711" s="1"/>
      <c r="Q1711" s="1"/>
      <c r="AD1711" s="1"/>
      <c r="AG1711" s="1"/>
      <c r="AI1711" s="1"/>
    </row>
    <row r="1712" spans="4:35" hidden="1">
      <c r="D1712" s="1"/>
      <c r="K1712" s="1"/>
      <c r="Q1712" s="1"/>
      <c r="AD1712" s="1"/>
      <c r="AG1712" s="1"/>
      <c r="AI1712" s="1"/>
    </row>
    <row r="1713" spans="4:35" hidden="1">
      <c r="D1713" s="1"/>
      <c r="K1713" s="1"/>
      <c r="Q1713" s="1"/>
      <c r="AD1713" s="1"/>
      <c r="AG1713" s="1"/>
      <c r="AI1713" s="1"/>
    </row>
    <row r="1714" spans="4:35" hidden="1">
      <c r="D1714" s="1"/>
      <c r="K1714" s="1"/>
      <c r="Q1714" s="1"/>
      <c r="AD1714" s="1"/>
      <c r="AG1714" s="1"/>
      <c r="AI1714" s="1"/>
    </row>
    <row r="1715" spans="4:35" hidden="1">
      <c r="D1715" s="1"/>
      <c r="K1715" s="1"/>
      <c r="Q1715" s="1"/>
      <c r="AD1715" s="1"/>
      <c r="AG1715" s="1"/>
      <c r="AI1715" s="1"/>
    </row>
    <row r="1716" spans="4:35" hidden="1">
      <c r="D1716" s="1"/>
      <c r="K1716" s="1"/>
      <c r="Q1716" s="1"/>
      <c r="AD1716" s="1"/>
      <c r="AG1716" s="1"/>
      <c r="AI1716" s="1"/>
    </row>
    <row r="1717" spans="4:35" hidden="1">
      <c r="D1717" s="1"/>
      <c r="K1717" s="1"/>
      <c r="Q1717" s="1"/>
      <c r="AD1717" s="1"/>
      <c r="AG1717" s="1"/>
      <c r="AI1717" s="1"/>
    </row>
    <row r="1718" spans="4:35" hidden="1">
      <c r="D1718" s="1"/>
      <c r="K1718" s="1"/>
      <c r="Q1718" s="1"/>
      <c r="AD1718" s="1"/>
      <c r="AG1718" s="1"/>
      <c r="AI1718" s="1"/>
    </row>
    <row r="1719" spans="4:35" hidden="1">
      <c r="D1719" s="1"/>
      <c r="K1719" s="1"/>
      <c r="Q1719" s="1"/>
      <c r="AD1719" s="1"/>
      <c r="AG1719" s="1"/>
      <c r="AI1719" s="1"/>
    </row>
    <row r="1720" spans="4:35" hidden="1">
      <c r="D1720" s="1"/>
      <c r="K1720" s="1"/>
      <c r="Q1720" s="1"/>
      <c r="AD1720" s="1"/>
      <c r="AG1720" s="1"/>
      <c r="AI1720" s="1"/>
    </row>
    <row r="1721" spans="4:35" hidden="1">
      <c r="D1721" s="1"/>
      <c r="K1721" s="1"/>
      <c r="Q1721" s="1"/>
      <c r="AD1721" s="1"/>
      <c r="AG1721" s="1"/>
      <c r="AI1721" s="1"/>
    </row>
    <row r="1722" spans="4:35" hidden="1">
      <c r="D1722" s="1"/>
      <c r="K1722" s="1"/>
      <c r="Q1722" s="1"/>
      <c r="AD1722" s="1"/>
      <c r="AG1722" s="1"/>
      <c r="AI1722" s="1"/>
    </row>
    <row r="1723" spans="4:35" hidden="1">
      <c r="D1723" s="1"/>
      <c r="K1723" s="1"/>
      <c r="Q1723" s="1"/>
      <c r="AD1723" s="1"/>
      <c r="AG1723" s="1"/>
      <c r="AI1723" s="1"/>
    </row>
    <row r="1724" spans="4:35" hidden="1">
      <c r="D1724" s="1"/>
      <c r="K1724" s="1"/>
      <c r="Q1724" s="1"/>
      <c r="AD1724" s="1"/>
      <c r="AG1724" s="1"/>
      <c r="AI1724" s="1"/>
    </row>
    <row r="1725" spans="4:35" hidden="1">
      <c r="D1725" s="1"/>
      <c r="K1725" s="1"/>
      <c r="Q1725" s="1"/>
      <c r="AD1725" s="1"/>
      <c r="AG1725" s="1"/>
      <c r="AI1725" s="1"/>
    </row>
    <row r="1726" spans="4:35" hidden="1">
      <c r="D1726" s="1"/>
      <c r="K1726" s="1"/>
      <c r="Q1726" s="1"/>
      <c r="AD1726" s="1"/>
      <c r="AG1726" s="1"/>
      <c r="AI1726" s="1"/>
    </row>
    <row r="1727" spans="4:35" hidden="1">
      <c r="D1727" s="1"/>
      <c r="K1727" s="1"/>
      <c r="Q1727" s="1"/>
      <c r="AD1727" s="1"/>
      <c r="AG1727" s="1"/>
      <c r="AI1727" s="1"/>
    </row>
    <row r="1728" spans="4:35" hidden="1">
      <c r="D1728" s="1"/>
      <c r="K1728" s="1"/>
      <c r="Q1728" s="1"/>
      <c r="AD1728" s="1"/>
      <c r="AG1728" s="1"/>
      <c r="AI1728" s="1"/>
    </row>
    <row r="1729" spans="4:35" hidden="1">
      <c r="D1729" s="1"/>
      <c r="K1729" s="1"/>
      <c r="Q1729" s="1"/>
      <c r="AD1729" s="1"/>
      <c r="AG1729" s="1"/>
      <c r="AI1729" s="1"/>
    </row>
    <row r="1730" spans="4:35" hidden="1">
      <c r="D1730" s="1"/>
      <c r="K1730" s="1"/>
      <c r="Q1730" s="1"/>
      <c r="AD1730" s="1"/>
      <c r="AG1730" s="1"/>
      <c r="AI1730" s="1"/>
    </row>
    <row r="1731" spans="4:35" hidden="1">
      <c r="D1731" s="1"/>
      <c r="K1731" s="1"/>
      <c r="Q1731" s="1"/>
      <c r="AD1731" s="1"/>
      <c r="AG1731" s="1"/>
      <c r="AI1731" s="1"/>
    </row>
    <row r="1732" spans="4:35" hidden="1">
      <c r="D1732" s="1"/>
      <c r="K1732" s="1"/>
      <c r="Q1732" s="1"/>
      <c r="AD1732" s="1"/>
      <c r="AG1732" s="1"/>
      <c r="AI1732" s="1"/>
    </row>
    <row r="1733" spans="4:35" hidden="1">
      <c r="D1733" s="1"/>
      <c r="K1733" s="1"/>
      <c r="Q1733" s="1"/>
      <c r="AD1733" s="1"/>
      <c r="AG1733" s="1"/>
      <c r="AI1733" s="1"/>
    </row>
    <row r="1734" spans="4:35" hidden="1">
      <c r="D1734" s="1"/>
      <c r="K1734" s="1"/>
      <c r="Q1734" s="1"/>
      <c r="AD1734" s="1"/>
      <c r="AG1734" s="1"/>
      <c r="AI1734" s="1"/>
    </row>
    <row r="1735" spans="4:35" hidden="1">
      <c r="D1735" s="1"/>
      <c r="K1735" s="1"/>
      <c r="Q1735" s="1"/>
      <c r="AD1735" s="1"/>
      <c r="AG1735" s="1"/>
      <c r="AI1735" s="1"/>
    </row>
    <row r="1736" spans="4:35" hidden="1">
      <c r="D1736" s="1"/>
      <c r="K1736" s="1"/>
      <c r="Q1736" s="1"/>
      <c r="AD1736" s="1"/>
      <c r="AG1736" s="1"/>
      <c r="AI1736" s="1"/>
    </row>
    <row r="1737" spans="4:35" hidden="1">
      <c r="D1737" s="1"/>
      <c r="K1737" s="1"/>
      <c r="Q1737" s="1"/>
      <c r="AD1737" s="1"/>
      <c r="AG1737" s="1"/>
      <c r="AI1737" s="1"/>
    </row>
    <row r="1738" spans="4:35" hidden="1">
      <c r="D1738" s="1"/>
      <c r="K1738" s="1"/>
      <c r="Q1738" s="1"/>
      <c r="AD1738" s="1"/>
      <c r="AG1738" s="1"/>
      <c r="AI1738" s="1"/>
    </row>
    <row r="1739" spans="4:35" hidden="1">
      <c r="D1739" s="1"/>
      <c r="K1739" s="1"/>
      <c r="Q1739" s="1"/>
      <c r="AD1739" s="1"/>
      <c r="AG1739" s="1"/>
      <c r="AI1739" s="1"/>
    </row>
    <row r="1740" spans="4:35" hidden="1">
      <c r="D1740" s="1"/>
      <c r="K1740" s="1"/>
      <c r="Q1740" s="1"/>
      <c r="AD1740" s="1"/>
      <c r="AG1740" s="1"/>
      <c r="AI1740" s="1"/>
    </row>
    <row r="1741" spans="4:35" hidden="1">
      <c r="D1741" s="1"/>
      <c r="K1741" s="1"/>
      <c r="Q1741" s="1"/>
      <c r="AD1741" s="1"/>
      <c r="AG1741" s="1"/>
      <c r="AI1741" s="1"/>
    </row>
    <row r="1742" spans="4:35" hidden="1">
      <c r="D1742" s="1"/>
      <c r="K1742" s="1"/>
      <c r="Q1742" s="1"/>
      <c r="AD1742" s="1"/>
      <c r="AG1742" s="1"/>
      <c r="AI1742" s="1"/>
    </row>
    <row r="1743" spans="4:35" hidden="1">
      <c r="D1743" s="1"/>
      <c r="K1743" s="1"/>
      <c r="Q1743" s="1"/>
      <c r="AD1743" s="1"/>
      <c r="AG1743" s="1"/>
      <c r="AI1743" s="1"/>
    </row>
    <row r="1744" spans="4:35" hidden="1">
      <c r="D1744" s="1"/>
      <c r="K1744" s="1"/>
      <c r="Q1744" s="1"/>
      <c r="AD1744" s="1"/>
      <c r="AG1744" s="1"/>
      <c r="AI1744" s="1"/>
    </row>
    <row r="1745" spans="4:35" hidden="1">
      <c r="D1745" s="1"/>
      <c r="K1745" s="1"/>
      <c r="Q1745" s="1"/>
      <c r="AD1745" s="1"/>
      <c r="AG1745" s="1"/>
      <c r="AI1745" s="1"/>
    </row>
    <row r="1746" spans="4:35" hidden="1">
      <c r="D1746" s="1"/>
      <c r="K1746" s="1"/>
      <c r="Q1746" s="1"/>
      <c r="AD1746" s="1"/>
      <c r="AG1746" s="1"/>
      <c r="AI1746" s="1"/>
    </row>
    <row r="1747" spans="4:35" hidden="1">
      <c r="D1747" s="1"/>
      <c r="K1747" s="1"/>
      <c r="Q1747" s="1"/>
      <c r="AD1747" s="1"/>
      <c r="AG1747" s="1"/>
      <c r="AI1747" s="1"/>
    </row>
    <row r="1748" spans="4:35" hidden="1">
      <c r="D1748" s="1"/>
      <c r="K1748" s="1"/>
      <c r="Q1748" s="1"/>
      <c r="AD1748" s="1"/>
      <c r="AG1748" s="1"/>
      <c r="AI1748" s="1"/>
    </row>
    <row r="1749" spans="4:35" hidden="1">
      <c r="D1749" s="1"/>
      <c r="K1749" s="1"/>
      <c r="Q1749" s="1"/>
      <c r="AD1749" s="1"/>
      <c r="AG1749" s="1"/>
      <c r="AI1749" s="1"/>
    </row>
    <row r="1750" spans="4:35" hidden="1">
      <c r="D1750" s="1"/>
      <c r="K1750" s="1"/>
      <c r="Q1750" s="1"/>
      <c r="AD1750" s="1"/>
      <c r="AG1750" s="1"/>
      <c r="AI1750" s="1"/>
    </row>
    <row r="1751" spans="4:35" hidden="1">
      <c r="D1751" s="1"/>
      <c r="K1751" s="1"/>
      <c r="Q1751" s="1"/>
      <c r="AD1751" s="1"/>
      <c r="AG1751" s="1"/>
      <c r="AI1751" s="1"/>
    </row>
    <row r="1752" spans="4:35" hidden="1">
      <c r="D1752" s="1"/>
      <c r="K1752" s="1"/>
      <c r="Q1752" s="1"/>
      <c r="AD1752" s="1"/>
      <c r="AG1752" s="1"/>
      <c r="AI1752" s="1"/>
    </row>
    <row r="1753" spans="4:35" hidden="1">
      <c r="D1753" s="1"/>
      <c r="K1753" s="1"/>
      <c r="Q1753" s="1"/>
      <c r="AD1753" s="1"/>
      <c r="AG1753" s="1"/>
      <c r="AI1753" s="1"/>
    </row>
    <row r="1754" spans="4:35" hidden="1">
      <c r="D1754" s="1"/>
      <c r="K1754" s="1"/>
      <c r="Q1754" s="1"/>
      <c r="AD1754" s="1"/>
      <c r="AG1754" s="1"/>
      <c r="AI1754" s="1"/>
    </row>
    <row r="1755" spans="4:35" hidden="1">
      <c r="D1755" s="1"/>
      <c r="K1755" s="1"/>
      <c r="Q1755" s="1"/>
      <c r="AD1755" s="1"/>
      <c r="AG1755" s="1"/>
      <c r="AI1755" s="1"/>
    </row>
    <row r="1756" spans="4:35" hidden="1">
      <c r="D1756" s="1"/>
      <c r="K1756" s="1"/>
      <c r="Q1756" s="1"/>
      <c r="AD1756" s="1"/>
      <c r="AG1756" s="1"/>
      <c r="AI1756" s="1"/>
    </row>
    <row r="1757" spans="4:35" hidden="1">
      <c r="D1757" s="1"/>
      <c r="K1757" s="1"/>
      <c r="Q1757" s="1"/>
      <c r="AD1757" s="1"/>
      <c r="AG1757" s="1"/>
      <c r="AI1757" s="1"/>
    </row>
    <row r="1758" spans="4:35" hidden="1">
      <c r="D1758" s="1"/>
      <c r="K1758" s="1"/>
      <c r="Q1758" s="1"/>
      <c r="AD1758" s="1"/>
      <c r="AG1758" s="1"/>
      <c r="AI1758" s="1"/>
    </row>
    <row r="1759" spans="4:35" hidden="1">
      <c r="D1759" s="1"/>
      <c r="K1759" s="1"/>
      <c r="Q1759" s="1"/>
      <c r="AD1759" s="1"/>
      <c r="AG1759" s="1"/>
      <c r="AI1759" s="1"/>
    </row>
    <row r="1760" spans="4:35" hidden="1">
      <c r="D1760" s="1"/>
      <c r="K1760" s="1"/>
      <c r="Q1760" s="1"/>
      <c r="AD1760" s="1"/>
      <c r="AG1760" s="1"/>
      <c r="AI1760" s="1"/>
    </row>
    <row r="1761" spans="4:35" hidden="1">
      <c r="D1761" s="1"/>
      <c r="K1761" s="1"/>
      <c r="Q1761" s="1"/>
      <c r="AD1761" s="1"/>
      <c r="AG1761" s="1"/>
      <c r="AI1761" s="1"/>
    </row>
    <row r="1762" spans="4:35" hidden="1">
      <c r="D1762" s="1"/>
      <c r="K1762" s="1"/>
      <c r="Q1762" s="1"/>
      <c r="AD1762" s="1"/>
      <c r="AG1762" s="1"/>
      <c r="AI1762" s="1"/>
    </row>
    <row r="1763" spans="4:35" hidden="1">
      <c r="D1763" s="1"/>
      <c r="K1763" s="1"/>
      <c r="Q1763" s="1"/>
      <c r="AD1763" s="1"/>
      <c r="AG1763" s="1"/>
      <c r="AI1763" s="1"/>
    </row>
    <row r="1764" spans="4:35" hidden="1">
      <c r="D1764" s="1"/>
      <c r="K1764" s="1"/>
      <c r="Q1764" s="1"/>
      <c r="AD1764" s="1"/>
      <c r="AG1764" s="1"/>
      <c r="AI1764" s="1"/>
    </row>
    <row r="1765" spans="4:35" hidden="1">
      <c r="D1765" s="1"/>
      <c r="K1765" s="1"/>
      <c r="Q1765" s="1"/>
      <c r="AD1765" s="1"/>
      <c r="AG1765" s="1"/>
      <c r="AI1765" s="1"/>
    </row>
    <row r="1766" spans="4:35" hidden="1">
      <c r="D1766" s="1"/>
      <c r="K1766" s="1"/>
      <c r="Q1766" s="1"/>
      <c r="AD1766" s="1"/>
      <c r="AG1766" s="1"/>
      <c r="AI1766" s="1"/>
    </row>
    <row r="1767" spans="4:35" hidden="1">
      <c r="D1767" s="1"/>
      <c r="K1767" s="1"/>
      <c r="Q1767" s="1"/>
      <c r="AD1767" s="1"/>
      <c r="AG1767" s="1"/>
      <c r="AI1767" s="1"/>
    </row>
    <row r="1768" spans="4:35" hidden="1">
      <c r="D1768" s="1"/>
      <c r="K1768" s="1"/>
      <c r="Q1768" s="1"/>
      <c r="AD1768" s="1"/>
      <c r="AG1768" s="1"/>
      <c r="AI1768" s="1"/>
    </row>
    <row r="1769" spans="4:35" hidden="1">
      <c r="D1769" s="1"/>
      <c r="K1769" s="1"/>
      <c r="Q1769" s="1"/>
      <c r="AD1769" s="1"/>
      <c r="AG1769" s="1"/>
      <c r="AI1769" s="1"/>
    </row>
    <row r="1770" spans="4:35" hidden="1">
      <c r="D1770" s="1"/>
      <c r="K1770" s="1"/>
      <c r="Q1770" s="1"/>
      <c r="AD1770" s="1"/>
      <c r="AG1770" s="1"/>
      <c r="AI1770" s="1"/>
    </row>
    <row r="1771" spans="4:35" hidden="1">
      <c r="D1771" s="1"/>
      <c r="K1771" s="1"/>
      <c r="Q1771" s="1"/>
      <c r="AD1771" s="1"/>
      <c r="AG1771" s="1"/>
      <c r="AI1771" s="1"/>
    </row>
    <row r="1772" spans="4:35" hidden="1">
      <c r="D1772" s="1"/>
      <c r="K1772" s="1"/>
      <c r="Q1772" s="1"/>
      <c r="AD1772" s="1"/>
      <c r="AG1772" s="1"/>
      <c r="AI1772" s="1"/>
    </row>
    <row r="1773" spans="4:35" hidden="1">
      <c r="D1773" s="1"/>
      <c r="K1773" s="1"/>
      <c r="Q1773" s="1"/>
      <c r="AD1773" s="1"/>
      <c r="AG1773" s="1"/>
      <c r="AI1773" s="1"/>
    </row>
    <row r="1774" spans="4:35" hidden="1">
      <c r="D1774" s="1"/>
      <c r="K1774" s="1"/>
      <c r="Q1774" s="1"/>
      <c r="AD1774" s="1"/>
      <c r="AG1774" s="1"/>
      <c r="AI1774" s="1"/>
    </row>
    <row r="1775" spans="4:35" hidden="1">
      <c r="D1775" s="1"/>
      <c r="K1775" s="1"/>
      <c r="Q1775" s="1"/>
      <c r="AD1775" s="1"/>
      <c r="AG1775" s="1"/>
      <c r="AI1775" s="1"/>
    </row>
    <row r="1776" spans="4:35" hidden="1">
      <c r="D1776" s="1"/>
      <c r="K1776" s="1"/>
      <c r="Q1776" s="1"/>
      <c r="AD1776" s="1"/>
      <c r="AG1776" s="1"/>
      <c r="AI1776" s="1"/>
    </row>
    <row r="1777" spans="4:35" hidden="1">
      <c r="D1777" s="1"/>
      <c r="K1777" s="1"/>
      <c r="Q1777" s="1"/>
      <c r="AD1777" s="1"/>
      <c r="AG1777" s="1"/>
      <c r="AI1777" s="1"/>
    </row>
    <row r="1778" spans="4:35" hidden="1">
      <c r="D1778" s="1"/>
      <c r="K1778" s="1"/>
      <c r="Q1778" s="1"/>
      <c r="AD1778" s="1"/>
      <c r="AG1778" s="1"/>
      <c r="AI1778" s="1"/>
    </row>
    <row r="1779" spans="4:35" hidden="1">
      <c r="D1779" s="1"/>
      <c r="K1779" s="1"/>
      <c r="Q1779" s="1"/>
      <c r="AD1779" s="1"/>
      <c r="AG1779" s="1"/>
      <c r="AI1779" s="1"/>
    </row>
    <row r="1780" spans="4:35" hidden="1">
      <c r="D1780" s="1"/>
      <c r="K1780" s="1"/>
      <c r="Q1780" s="1"/>
      <c r="AD1780" s="1"/>
      <c r="AG1780" s="1"/>
      <c r="AI1780" s="1"/>
    </row>
    <row r="1781" spans="4:35" hidden="1">
      <c r="D1781" s="1"/>
      <c r="K1781" s="1"/>
      <c r="Q1781" s="1"/>
      <c r="AD1781" s="1"/>
      <c r="AG1781" s="1"/>
      <c r="AI1781" s="1"/>
    </row>
    <row r="1782" spans="4:35" hidden="1">
      <c r="D1782" s="1"/>
      <c r="K1782" s="1"/>
      <c r="Q1782" s="1"/>
      <c r="AD1782" s="1"/>
      <c r="AG1782" s="1"/>
      <c r="AI1782" s="1"/>
    </row>
    <row r="1783" spans="4:35" hidden="1">
      <c r="D1783" s="1"/>
      <c r="K1783" s="1"/>
      <c r="Q1783" s="1"/>
      <c r="AD1783" s="1"/>
      <c r="AG1783" s="1"/>
      <c r="AI1783" s="1"/>
    </row>
    <row r="1784" spans="4:35" hidden="1">
      <c r="D1784" s="1"/>
      <c r="K1784" s="1"/>
      <c r="Q1784" s="1"/>
      <c r="AD1784" s="1"/>
      <c r="AG1784" s="1"/>
      <c r="AI1784" s="1"/>
    </row>
    <row r="1785" spans="4:35" hidden="1">
      <c r="D1785" s="1"/>
      <c r="K1785" s="1"/>
      <c r="Q1785" s="1"/>
      <c r="AD1785" s="1"/>
      <c r="AG1785" s="1"/>
      <c r="AI1785" s="1"/>
    </row>
    <row r="1786" spans="4:35" hidden="1">
      <c r="D1786" s="1"/>
      <c r="K1786" s="1"/>
      <c r="Q1786" s="1"/>
      <c r="AD1786" s="1"/>
      <c r="AG1786" s="1"/>
      <c r="AI1786" s="1"/>
    </row>
    <row r="1787" spans="4:35" hidden="1">
      <c r="D1787" s="1"/>
      <c r="K1787" s="1"/>
      <c r="Q1787" s="1"/>
      <c r="AD1787" s="1"/>
      <c r="AG1787" s="1"/>
      <c r="AI1787" s="1"/>
    </row>
    <row r="1788" spans="4:35" hidden="1">
      <c r="D1788" s="1"/>
      <c r="K1788" s="1"/>
      <c r="Q1788" s="1"/>
      <c r="AD1788" s="1"/>
      <c r="AG1788" s="1"/>
      <c r="AI1788" s="1"/>
    </row>
    <row r="1789" spans="4:35" hidden="1">
      <c r="D1789" s="1"/>
      <c r="K1789" s="1"/>
      <c r="Q1789" s="1"/>
      <c r="AD1789" s="1"/>
      <c r="AG1789" s="1"/>
      <c r="AI1789" s="1"/>
    </row>
    <row r="1790" spans="4:35" hidden="1">
      <c r="D1790" s="1"/>
      <c r="K1790" s="1"/>
      <c r="Q1790" s="1"/>
      <c r="AD1790" s="1"/>
      <c r="AG1790" s="1"/>
      <c r="AI1790" s="1"/>
    </row>
    <row r="1791" spans="4:35" hidden="1">
      <c r="D1791" s="1"/>
      <c r="K1791" s="1"/>
      <c r="Q1791" s="1"/>
      <c r="AD1791" s="1"/>
      <c r="AG1791" s="1"/>
      <c r="AI1791" s="1"/>
    </row>
    <row r="1792" spans="4:35" hidden="1">
      <c r="D1792" s="1"/>
      <c r="K1792" s="1"/>
      <c r="Q1792" s="1"/>
      <c r="AD1792" s="1"/>
      <c r="AG1792" s="1"/>
      <c r="AI1792" s="1"/>
    </row>
    <row r="1793" spans="4:35" hidden="1">
      <c r="D1793" s="1"/>
      <c r="K1793" s="1"/>
      <c r="Q1793" s="1"/>
      <c r="AD1793" s="1"/>
      <c r="AG1793" s="1"/>
      <c r="AI1793" s="1"/>
    </row>
    <row r="1794" spans="4:35" hidden="1">
      <c r="D1794" s="1"/>
      <c r="K1794" s="1"/>
      <c r="Q1794" s="1"/>
      <c r="AD1794" s="1"/>
      <c r="AG1794" s="1"/>
      <c r="AI1794" s="1"/>
    </row>
    <row r="1795" spans="4:35" hidden="1">
      <c r="D1795" s="1"/>
      <c r="K1795" s="1"/>
      <c r="Q1795" s="1"/>
      <c r="AD1795" s="1"/>
      <c r="AG1795" s="1"/>
      <c r="AI1795" s="1"/>
    </row>
    <row r="1796" spans="4:35" hidden="1">
      <c r="D1796" s="1"/>
      <c r="K1796" s="1"/>
      <c r="Q1796" s="1"/>
      <c r="AD1796" s="1"/>
      <c r="AG1796" s="1"/>
      <c r="AI1796" s="1"/>
    </row>
    <row r="1797" spans="4:35" hidden="1">
      <c r="D1797" s="1"/>
      <c r="K1797" s="1"/>
      <c r="Q1797" s="1"/>
      <c r="AD1797" s="1"/>
      <c r="AG1797" s="1"/>
      <c r="AI1797" s="1"/>
    </row>
    <row r="1798" spans="4:35" hidden="1">
      <c r="D1798" s="1"/>
      <c r="K1798" s="1"/>
      <c r="Q1798" s="1"/>
      <c r="AD1798" s="1"/>
      <c r="AG1798" s="1"/>
      <c r="AI1798" s="1"/>
    </row>
    <row r="1799" spans="4:35" hidden="1">
      <c r="D1799" s="1"/>
      <c r="K1799" s="1"/>
      <c r="Q1799" s="1"/>
      <c r="AD1799" s="1"/>
      <c r="AG1799" s="1"/>
      <c r="AI1799" s="1"/>
    </row>
    <row r="1800" spans="4:35" hidden="1">
      <c r="D1800" s="1"/>
      <c r="K1800" s="1"/>
      <c r="Q1800" s="1"/>
      <c r="AD1800" s="1"/>
      <c r="AG1800" s="1"/>
      <c r="AI1800" s="1"/>
    </row>
    <row r="1801" spans="4:35" hidden="1">
      <c r="D1801" s="1"/>
      <c r="K1801" s="1"/>
      <c r="Q1801" s="1"/>
      <c r="AD1801" s="1"/>
      <c r="AG1801" s="1"/>
      <c r="AI1801" s="1"/>
    </row>
    <row r="1802" spans="4:35" hidden="1">
      <c r="D1802" s="1"/>
      <c r="K1802" s="1"/>
      <c r="Q1802" s="1"/>
      <c r="AD1802" s="1"/>
      <c r="AG1802" s="1"/>
      <c r="AI1802" s="1"/>
    </row>
    <row r="1803" spans="4:35" hidden="1">
      <c r="D1803" s="1"/>
      <c r="K1803" s="1"/>
      <c r="Q1803" s="1"/>
      <c r="AD1803" s="1"/>
      <c r="AG1803" s="1"/>
      <c r="AI1803" s="1"/>
    </row>
    <row r="1804" spans="4:35" hidden="1">
      <c r="D1804" s="1"/>
      <c r="K1804" s="1"/>
      <c r="Q1804" s="1"/>
      <c r="AD1804" s="1"/>
      <c r="AG1804" s="1"/>
      <c r="AI1804" s="1"/>
    </row>
    <row r="1805" spans="4:35" hidden="1">
      <c r="D1805" s="1"/>
      <c r="K1805" s="1"/>
      <c r="Q1805" s="1"/>
      <c r="AD1805" s="1"/>
      <c r="AG1805" s="1"/>
      <c r="AI1805" s="1"/>
    </row>
    <row r="1806" spans="4:35" hidden="1">
      <c r="D1806" s="1"/>
      <c r="K1806" s="1"/>
      <c r="Q1806" s="1"/>
      <c r="AD1806" s="1"/>
      <c r="AG1806" s="1"/>
      <c r="AI1806" s="1"/>
    </row>
    <row r="1807" spans="4:35" hidden="1">
      <c r="D1807" s="1"/>
      <c r="K1807" s="1"/>
      <c r="Q1807" s="1"/>
      <c r="AD1807" s="1"/>
      <c r="AG1807" s="1"/>
      <c r="AI1807" s="1"/>
    </row>
    <row r="1808" spans="4:35" hidden="1">
      <c r="D1808" s="1"/>
      <c r="K1808" s="1"/>
      <c r="Q1808" s="1"/>
      <c r="AD1808" s="1"/>
      <c r="AG1808" s="1"/>
      <c r="AI1808" s="1"/>
    </row>
    <row r="1809" spans="4:35" hidden="1">
      <c r="D1809" s="1"/>
      <c r="K1809" s="1"/>
      <c r="Q1809" s="1"/>
      <c r="AD1809" s="1"/>
      <c r="AG1809" s="1"/>
      <c r="AI1809" s="1"/>
    </row>
    <row r="1810" spans="4:35" hidden="1">
      <c r="D1810" s="1"/>
      <c r="K1810" s="1"/>
      <c r="Q1810" s="1"/>
      <c r="AD1810" s="1"/>
      <c r="AG1810" s="1"/>
      <c r="AI1810" s="1"/>
    </row>
    <row r="1811" spans="4:35" hidden="1">
      <c r="D1811" s="1"/>
      <c r="K1811" s="1"/>
      <c r="Q1811" s="1"/>
      <c r="AD1811" s="1"/>
      <c r="AG1811" s="1"/>
      <c r="AI1811" s="1"/>
    </row>
    <row r="1812" spans="4:35" hidden="1">
      <c r="D1812" s="1"/>
      <c r="K1812" s="1"/>
      <c r="Q1812" s="1"/>
      <c r="AD1812" s="1"/>
      <c r="AG1812" s="1"/>
      <c r="AI1812" s="1"/>
    </row>
    <row r="1813" spans="4:35" hidden="1">
      <c r="D1813" s="1"/>
      <c r="K1813" s="1"/>
      <c r="Q1813" s="1"/>
      <c r="AD1813" s="1"/>
      <c r="AG1813" s="1"/>
      <c r="AI1813" s="1"/>
    </row>
    <row r="1814" spans="4:35" hidden="1">
      <c r="D1814" s="1"/>
      <c r="K1814" s="1"/>
      <c r="Q1814" s="1"/>
      <c r="AD1814" s="1"/>
      <c r="AG1814" s="1"/>
      <c r="AI1814" s="1"/>
    </row>
    <row r="1815" spans="4:35" hidden="1">
      <c r="D1815" s="1"/>
      <c r="K1815" s="1"/>
      <c r="Q1815" s="1"/>
      <c r="AD1815" s="1"/>
      <c r="AG1815" s="1"/>
      <c r="AI1815" s="1"/>
    </row>
    <row r="1816" spans="4:35" hidden="1">
      <c r="D1816" s="1"/>
      <c r="K1816" s="1"/>
      <c r="Q1816" s="1"/>
      <c r="AD1816" s="1"/>
      <c r="AG1816" s="1"/>
      <c r="AI1816" s="1"/>
    </row>
    <row r="1817" spans="4:35" hidden="1">
      <c r="D1817" s="1"/>
      <c r="K1817" s="1"/>
      <c r="Q1817" s="1"/>
      <c r="AD1817" s="1"/>
      <c r="AG1817" s="1"/>
      <c r="AI1817" s="1"/>
    </row>
    <row r="1818" spans="4:35" hidden="1">
      <c r="D1818" s="1"/>
      <c r="K1818" s="1"/>
      <c r="Q1818" s="1"/>
      <c r="AD1818" s="1"/>
      <c r="AG1818" s="1"/>
      <c r="AI1818" s="1"/>
    </row>
    <row r="1819" spans="4:35" hidden="1">
      <c r="D1819" s="1"/>
      <c r="K1819" s="1"/>
      <c r="Q1819" s="1"/>
      <c r="AD1819" s="1"/>
      <c r="AG1819" s="1"/>
      <c r="AI1819" s="1"/>
    </row>
    <row r="1820" spans="4:35" hidden="1">
      <c r="D1820" s="1"/>
      <c r="K1820" s="1"/>
      <c r="Q1820" s="1"/>
      <c r="AD1820" s="1"/>
      <c r="AG1820" s="1"/>
      <c r="AI1820" s="1"/>
    </row>
    <row r="1821" spans="4:35" hidden="1">
      <c r="D1821" s="1"/>
      <c r="K1821" s="1"/>
      <c r="Q1821" s="1"/>
      <c r="AD1821" s="1"/>
      <c r="AG1821" s="1"/>
      <c r="AI1821" s="1"/>
    </row>
    <row r="1822" spans="4:35" hidden="1">
      <c r="D1822" s="1"/>
      <c r="K1822" s="1"/>
      <c r="Q1822" s="1"/>
      <c r="AD1822" s="1"/>
      <c r="AG1822" s="1"/>
      <c r="AI1822" s="1"/>
    </row>
    <row r="1823" spans="4:35" hidden="1">
      <c r="D1823" s="1"/>
      <c r="K1823" s="1"/>
      <c r="Q1823" s="1"/>
      <c r="AD1823" s="1"/>
      <c r="AG1823" s="1"/>
      <c r="AI1823" s="1"/>
    </row>
    <row r="1824" spans="4:35" hidden="1">
      <c r="D1824" s="1"/>
      <c r="K1824" s="1"/>
      <c r="Q1824" s="1"/>
      <c r="AD1824" s="1"/>
      <c r="AG1824" s="1"/>
      <c r="AI1824" s="1"/>
    </row>
    <row r="1825" spans="4:35" hidden="1">
      <c r="D1825" s="1"/>
      <c r="K1825" s="1"/>
      <c r="Q1825" s="1"/>
      <c r="AD1825" s="1"/>
      <c r="AG1825" s="1"/>
      <c r="AI1825" s="1"/>
    </row>
    <row r="1826" spans="4:35" hidden="1">
      <c r="D1826" s="1"/>
      <c r="K1826" s="1"/>
      <c r="Q1826" s="1"/>
      <c r="AD1826" s="1"/>
      <c r="AG1826" s="1"/>
      <c r="AI1826" s="1"/>
    </row>
    <row r="1827" spans="4:35" hidden="1">
      <c r="D1827" s="1"/>
      <c r="K1827" s="1"/>
      <c r="Q1827" s="1"/>
      <c r="AD1827" s="1"/>
      <c r="AG1827" s="1"/>
      <c r="AI1827" s="1"/>
    </row>
    <row r="1828" spans="4:35" hidden="1">
      <c r="D1828" s="1"/>
      <c r="K1828" s="1"/>
      <c r="Q1828" s="1"/>
      <c r="AD1828" s="1"/>
      <c r="AG1828" s="1"/>
      <c r="AI1828" s="1"/>
    </row>
    <row r="1829" spans="4:35" hidden="1">
      <c r="D1829" s="1"/>
      <c r="K1829" s="1"/>
      <c r="Q1829" s="1"/>
      <c r="AD1829" s="1"/>
      <c r="AG1829" s="1"/>
      <c r="AI1829" s="1"/>
    </row>
    <row r="1830" spans="4:35" hidden="1">
      <c r="D1830" s="1"/>
      <c r="K1830" s="1"/>
      <c r="Q1830" s="1"/>
      <c r="AD1830" s="1"/>
      <c r="AG1830" s="1"/>
      <c r="AI1830" s="1"/>
    </row>
    <row r="1831" spans="4:35" hidden="1">
      <c r="D1831" s="1"/>
      <c r="K1831" s="1"/>
      <c r="Q1831" s="1"/>
      <c r="AD1831" s="1"/>
      <c r="AG1831" s="1"/>
      <c r="AI1831" s="1"/>
    </row>
    <row r="1832" spans="4:35" hidden="1">
      <c r="D1832" s="1"/>
      <c r="K1832" s="1"/>
      <c r="Q1832" s="1"/>
      <c r="AD1832" s="1"/>
      <c r="AG1832" s="1"/>
      <c r="AI1832" s="1"/>
    </row>
    <row r="1833" spans="4:35" hidden="1">
      <c r="D1833" s="1"/>
      <c r="K1833" s="1"/>
      <c r="Q1833" s="1"/>
      <c r="AD1833" s="1"/>
      <c r="AG1833" s="1"/>
      <c r="AI1833" s="1"/>
    </row>
    <row r="1834" spans="4:35" hidden="1">
      <c r="D1834" s="1"/>
      <c r="K1834" s="1"/>
      <c r="Q1834" s="1"/>
      <c r="AD1834" s="1"/>
      <c r="AG1834" s="1"/>
      <c r="AI1834" s="1"/>
    </row>
    <row r="1835" spans="4:35" hidden="1">
      <c r="D1835" s="1"/>
      <c r="K1835" s="1"/>
      <c r="Q1835" s="1"/>
      <c r="AD1835" s="1"/>
      <c r="AG1835" s="1"/>
      <c r="AI1835" s="1"/>
    </row>
    <row r="1836" spans="4:35" hidden="1">
      <c r="D1836" s="1"/>
      <c r="K1836" s="1"/>
      <c r="Q1836" s="1"/>
      <c r="AD1836" s="1"/>
      <c r="AG1836" s="1"/>
      <c r="AI1836" s="1"/>
    </row>
    <row r="1837" spans="4:35" hidden="1">
      <c r="D1837" s="1"/>
      <c r="K1837" s="1"/>
      <c r="Q1837" s="1"/>
      <c r="AD1837" s="1"/>
      <c r="AG1837" s="1"/>
      <c r="AI1837" s="1"/>
    </row>
    <row r="1838" spans="4:35" hidden="1">
      <c r="D1838" s="1"/>
      <c r="K1838" s="1"/>
      <c r="Q1838" s="1"/>
      <c r="AD1838" s="1"/>
      <c r="AG1838" s="1"/>
      <c r="AI1838" s="1"/>
    </row>
    <row r="1839" spans="4:35" hidden="1">
      <c r="D1839" s="1"/>
      <c r="K1839" s="1"/>
      <c r="Q1839" s="1"/>
      <c r="AD1839" s="1"/>
      <c r="AG1839" s="1"/>
      <c r="AI1839" s="1"/>
    </row>
    <row r="1840" spans="4:35" hidden="1">
      <c r="D1840" s="1"/>
      <c r="K1840" s="1"/>
      <c r="Q1840" s="1"/>
      <c r="AD1840" s="1"/>
      <c r="AG1840" s="1"/>
      <c r="AI1840" s="1"/>
    </row>
    <row r="1841" spans="4:35" hidden="1">
      <c r="D1841" s="1"/>
      <c r="K1841" s="1"/>
      <c r="Q1841" s="1"/>
      <c r="AD1841" s="1"/>
      <c r="AG1841" s="1"/>
      <c r="AI1841" s="1"/>
    </row>
    <row r="1842" spans="4:35" hidden="1">
      <c r="D1842" s="1"/>
      <c r="K1842" s="1"/>
      <c r="Q1842" s="1"/>
      <c r="AD1842" s="1"/>
      <c r="AG1842" s="1"/>
      <c r="AI1842" s="1"/>
    </row>
    <row r="1843" spans="4:35" hidden="1">
      <c r="D1843" s="1"/>
      <c r="K1843" s="1"/>
      <c r="Q1843" s="1"/>
      <c r="AD1843" s="1"/>
      <c r="AG1843" s="1"/>
      <c r="AI1843" s="1"/>
    </row>
    <row r="1844" spans="4:35" hidden="1">
      <c r="D1844" s="1"/>
      <c r="K1844" s="1"/>
      <c r="Q1844" s="1"/>
      <c r="AD1844" s="1"/>
      <c r="AG1844" s="1"/>
      <c r="AI1844" s="1"/>
    </row>
    <row r="1845" spans="4:35" hidden="1">
      <c r="D1845" s="1"/>
      <c r="K1845" s="1"/>
      <c r="Q1845" s="1"/>
      <c r="AD1845" s="1"/>
      <c r="AG1845" s="1"/>
      <c r="AI1845" s="1"/>
    </row>
    <row r="1846" spans="4:35" hidden="1">
      <c r="D1846" s="1"/>
      <c r="K1846" s="1"/>
      <c r="Q1846" s="1"/>
      <c r="AD1846" s="1"/>
      <c r="AG1846" s="1"/>
      <c r="AI1846" s="1"/>
    </row>
    <row r="1847" spans="4:35" hidden="1">
      <c r="D1847" s="1"/>
      <c r="K1847" s="1"/>
      <c r="Q1847" s="1"/>
      <c r="AD1847" s="1"/>
      <c r="AG1847" s="1"/>
      <c r="AI1847" s="1"/>
    </row>
    <row r="1848" spans="4:35" hidden="1">
      <c r="D1848" s="1"/>
      <c r="K1848" s="1"/>
      <c r="Q1848" s="1"/>
      <c r="AD1848" s="1"/>
      <c r="AG1848" s="1"/>
      <c r="AI1848" s="1"/>
    </row>
    <row r="1849" spans="4:35" hidden="1">
      <c r="D1849" s="1"/>
      <c r="K1849" s="1"/>
      <c r="Q1849" s="1"/>
      <c r="AD1849" s="1"/>
      <c r="AG1849" s="1"/>
      <c r="AI1849" s="1"/>
    </row>
    <row r="1850" spans="4:35" hidden="1">
      <c r="D1850" s="1"/>
      <c r="K1850" s="1"/>
      <c r="Q1850" s="1"/>
      <c r="AD1850" s="1"/>
      <c r="AG1850" s="1"/>
      <c r="AI1850" s="1"/>
    </row>
    <row r="1851" spans="4:35" hidden="1">
      <c r="D1851" s="1"/>
      <c r="K1851" s="1"/>
      <c r="Q1851" s="1"/>
      <c r="AD1851" s="1"/>
      <c r="AG1851" s="1"/>
      <c r="AI1851" s="1"/>
    </row>
    <row r="1852" spans="4:35" hidden="1">
      <c r="D1852" s="1"/>
      <c r="K1852" s="1"/>
      <c r="Q1852" s="1"/>
      <c r="AD1852" s="1"/>
      <c r="AG1852" s="1"/>
      <c r="AI1852" s="1"/>
    </row>
    <row r="1853" spans="4:35" hidden="1">
      <c r="D1853" s="1"/>
      <c r="K1853" s="1"/>
      <c r="Q1853" s="1"/>
      <c r="AD1853" s="1"/>
      <c r="AG1853" s="1"/>
      <c r="AI1853" s="1"/>
    </row>
    <row r="1854" spans="4:35" hidden="1">
      <c r="D1854" s="1"/>
      <c r="K1854" s="1"/>
      <c r="Q1854" s="1"/>
      <c r="AD1854" s="1"/>
      <c r="AG1854" s="1"/>
      <c r="AI1854" s="1"/>
    </row>
    <row r="1855" spans="4:35" hidden="1">
      <c r="D1855" s="1"/>
      <c r="K1855" s="1"/>
      <c r="Q1855" s="1"/>
      <c r="AD1855" s="1"/>
      <c r="AG1855" s="1"/>
      <c r="AI1855" s="1"/>
    </row>
    <row r="1856" spans="4:35" hidden="1">
      <c r="D1856" s="1"/>
      <c r="K1856" s="1"/>
      <c r="Q1856" s="1"/>
      <c r="AD1856" s="1"/>
      <c r="AG1856" s="1"/>
      <c r="AI1856" s="1"/>
    </row>
    <row r="1857" spans="4:35" hidden="1">
      <c r="D1857" s="1"/>
      <c r="K1857" s="1"/>
      <c r="Q1857" s="1"/>
      <c r="AD1857" s="1"/>
      <c r="AG1857" s="1"/>
      <c r="AI1857" s="1"/>
    </row>
    <row r="1858" spans="4:35" hidden="1">
      <c r="D1858" s="1"/>
      <c r="K1858" s="1"/>
      <c r="Q1858" s="1"/>
      <c r="AD1858" s="1"/>
      <c r="AG1858" s="1"/>
      <c r="AI1858" s="1"/>
    </row>
    <row r="1859" spans="4:35" hidden="1">
      <c r="D1859" s="1"/>
      <c r="K1859" s="1"/>
      <c r="Q1859" s="1"/>
      <c r="AD1859" s="1"/>
      <c r="AG1859" s="1"/>
      <c r="AI1859" s="1"/>
    </row>
    <row r="1860" spans="4:35" hidden="1">
      <c r="D1860" s="1"/>
      <c r="K1860" s="1"/>
      <c r="Q1860" s="1"/>
      <c r="AD1860" s="1"/>
      <c r="AG1860" s="1"/>
      <c r="AI1860" s="1"/>
    </row>
    <row r="1861" spans="4:35" hidden="1">
      <c r="D1861" s="1"/>
      <c r="K1861" s="1"/>
      <c r="Q1861" s="1"/>
      <c r="AD1861" s="1"/>
      <c r="AG1861" s="1"/>
      <c r="AI1861" s="1"/>
    </row>
    <row r="1862" spans="4:35" hidden="1">
      <c r="D1862" s="1"/>
      <c r="K1862" s="1"/>
      <c r="Q1862" s="1"/>
      <c r="AD1862" s="1"/>
      <c r="AG1862" s="1"/>
      <c r="AI1862" s="1"/>
    </row>
    <row r="1863" spans="4:35" hidden="1">
      <c r="D1863" s="1"/>
      <c r="K1863" s="1"/>
      <c r="Q1863" s="1"/>
      <c r="AD1863" s="1"/>
      <c r="AG1863" s="1"/>
      <c r="AI1863" s="1"/>
    </row>
    <row r="1864" spans="4:35" hidden="1">
      <c r="D1864" s="1"/>
      <c r="K1864" s="1"/>
      <c r="Q1864" s="1"/>
      <c r="AD1864" s="1"/>
      <c r="AG1864" s="1"/>
      <c r="AI1864" s="1"/>
    </row>
    <row r="1865" spans="4:35" hidden="1">
      <c r="D1865" s="1"/>
      <c r="K1865" s="1"/>
      <c r="Q1865" s="1"/>
      <c r="AD1865" s="1"/>
      <c r="AG1865" s="1"/>
      <c r="AI1865" s="1"/>
    </row>
    <row r="1866" spans="4:35" hidden="1">
      <c r="D1866" s="1"/>
      <c r="K1866" s="1"/>
      <c r="Q1866" s="1"/>
      <c r="AD1866" s="1"/>
      <c r="AG1866" s="1"/>
      <c r="AI1866" s="1"/>
    </row>
    <row r="1867" spans="4:35" hidden="1">
      <c r="D1867" s="1"/>
      <c r="K1867" s="1"/>
      <c r="Q1867" s="1"/>
      <c r="AD1867" s="1"/>
      <c r="AG1867" s="1"/>
      <c r="AI1867" s="1"/>
    </row>
    <row r="1868" spans="4:35" hidden="1">
      <c r="D1868" s="1"/>
      <c r="K1868" s="1"/>
      <c r="Q1868" s="1"/>
      <c r="AD1868" s="1"/>
      <c r="AG1868" s="1"/>
      <c r="AI1868" s="1"/>
    </row>
    <row r="1869" spans="4:35" hidden="1">
      <c r="D1869" s="1"/>
      <c r="K1869" s="1"/>
      <c r="Q1869" s="1"/>
      <c r="AD1869" s="1"/>
      <c r="AG1869" s="1"/>
      <c r="AI1869" s="1"/>
    </row>
    <row r="1870" spans="4:35" hidden="1">
      <c r="D1870" s="1"/>
      <c r="K1870" s="1"/>
      <c r="Q1870" s="1"/>
      <c r="AD1870" s="1"/>
      <c r="AG1870" s="1"/>
      <c r="AI1870" s="1"/>
    </row>
    <row r="1871" spans="4:35" hidden="1">
      <c r="D1871" s="1"/>
      <c r="K1871" s="1"/>
      <c r="Q1871" s="1"/>
      <c r="AD1871" s="1"/>
      <c r="AG1871" s="1"/>
      <c r="AI1871" s="1"/>
    </row>
    <row r="1872" spans="4:35" hidden="1">
      <c r="D1872" s="1"/>
      <c r="K1872" s="1"/>
      <c r="Q1872" s="1"/>
      <c r="AD1872" s="1"/>
      <c r="AG1872" s="1"/>
      <c r="AI1872" s="1"/>
    </row>
    <row r="1873" spans="4:35" hidden="1">
      <c r="D1873" s="1"/>
      <c r="K1873" s="1"/>
      <c r="Q1873" s="1"/>
      <c r="AD1873" s="1"/>
      <c r="AG1873" s="1"/>
      <c r="AI1873" s="1"/>
    </row>
    <row r="1874" spans="4:35" hidden="1">
      <c r="D1874" s="1"/>
      <c r="K1874" s="1"/>
      <c r="Q1874" s="1"/>
      <c r="AD1874" s="1"/>
      <c r="AG1874" s="1"/>
      <c r="AI1874" s="1"/>
    </row>
    <row r="1875" spans="4:35" hidden="1">
      <c r="D1875" s="1"/>
      <c r="K1875" s="1"/>
      <c r="Q1875" s="1"/>
      <c r="AD1875" s="1"/>
      <c r="AG1875" s="1"/>
      <c r="AI1875" s="1"/>
    </row>
    <row r="1876" spans="4:35" hidden="1">
      <c r="D1876" s="1"/>
      <c r="K1876" s="1"/>
      <c r="Q1876" s="1"/>
      <c r="AD1876" s="1"/>
      <c r="AG1876" s="1"/>
      <c r="AI1876" s="1"/>
    </row>
    <row r="1877" spans="4:35" hidden="1">
      <c r="D1877" s="1"/>
      <c r="K1877" s="1"/>
      <c r="Q1877" s="1"/>
      <c r="AD1877" s="1"/>
      <c r="AG1877" s="1"/>
      <c r="AI1877" s="1"/>
    </row>
    <row r="1878" spans="4:35" hidden="1">
      <c r="D1878" s="1"/>
      <c r="K1878" s="1"/>
      <c r="Q1878" s="1"/>
      <c r="AD1878" s="1"/>
      <c r="AG1878" s="1"/>
      <c r="AI1878" s="1"/>
    </row>
    <row r="1879" spans="4:35" hidden="1">
      <c r="D1879" s="1"/>
      <c r="K1879" s="1"/>
      <c r="Q1879" s="1"/>
      <c r="AD1879" s="1"/>
      <c r="AG1879" s="1"/>
      <c r="AI1879" s="1"/>
    </row>
    <row r="1880" spans="4:35" hidden="1">
      <c r="D1880" s="1"/>
      <c r="K1880" s="1"/>
      <c r="Q1880" s="1"/>
      <c r="AD1880" s="1"/>
      <c r="AG1880" s="1"/>
      <c r="AI1880" s="1"/>
    </row>
    <row r="1881" spans="4:35" hidden="1">
      <c r="D1881" s="1"/>
      <c r="K1881" s="1"/>
      <c r="Q1881" s="1"/>
      <c r="AD1881" s="1"/>
      <c r="AG1881" s="1"/>
      <c r="AI1881" s="1"/>
    </row>
    <row r="1882" spans="4:35" hidden="1">
      <c r="D1882" s="1"/>
      <c r="K1882" s="1"/>
      <c r="Q1882" s="1"/>
      <c r="AD1882" s="1"/>
      <c r="AG1882" s="1"/>
      <c r="AI1882" s="1"/>
    </row>
    <row r="1883" spans="4:35" hidden="1">
      <c r="D1883" s="1"/>
      <c r="K1883" s="1"/>
      <c r="Q1883" s="1"/>
      <c r="AD1883" s="1"/>
      <c r="AG1883" s="1"/>
      <c r="AI1883" s="1"/>
    </row>
    <row r="1884" spans="4:35" hidden="1">
      <c r="D1884" s="1"/>
      <c r="K1884" s="1"/>
      <c r="Q1884" s="1"/>
      <c r="AD1884" s="1"/>
      <c r="AG1884" s="1"/>
      <c r="AI1884" s="1"/>
    </row>
    <row r="1885" spans="4:35" hidden="1">
      <c r="D1885" s="1"/>
      <c r="K1885" s="1"/>
      <c r="Q1885" s="1"/>
      <c r="AD1885" s="1"/>
      <c r="AG1885" s="1"/>
      <c r="AI1885" s="1"/>
    </row>
    <row r="1886" spans="4:35" hidden="1">
      <c r="D1886" s="1"/>
      <c r="K1886" s="1"/>
      <c r="Q1886" s="1"/>
      <c r="AD1886" s="1"/>
      <c r="AG1886" s="1"/>
      <c r="AI1886" s="1"/>
    </row>
    <row r="1887" spans="4:35" hidden="1">
      <c r="D1887" s="1"/>
      <c r="K1887" s="1"/>
      <c r="Q1887" s="1"/>
      <c r="AD1887" s="1"/>
      <c r="AG1887" s="1"/>
      <c r="AI1887" s="1"/>
    </row>
    <row r="1888" spans="4:35" hidden="1">
      <c r="D1888" s="1"/>
      <c r="K1888" s="1"/>
      <c r="Q1888" s="1"/>
      <c r="AD1888" s="1"/>
      <c r="AG1888" s="1"/>
      <c r="AI1888" s="1"/>
    </row>
    <row r="1889" spans="4:35" hidden="1">
      <c r="D1889" s="1"/>
      <c r="K1889" s="1"/>
      <c r="Q1889" s="1"/>
      <c r="AD1889" s="1"/>
      <c r="AG1889" s="1"/>
      <c r="AI1889" s="1"/>
    </row>
    <row r="1890" spans="4:35" hidden="1">
      <c r="D1890" s="1"/>
      <c r="K1890" s="1"/>
      <c r="Q1890" s="1"/>
      <c r="AD1890" s="1"/>
      <c r="AG1890" s="1"/>
      <c r="AI1890" s="1"/>
    </row>
    <row r="1891" spans="4:35" hidden="1">
      <c r="D1891" s="1"/>
      <c r="K1891" s="1"/>
      <c r="Q1891" s="1"/>
      <c r="AD1891" s="1"/>
      <c r="AG1891" s="1"/>
      <c r="AI1891" s="1"/>
    </row>
    <row r="1892" spans="4:35" hidden="1">
      <c r="D1892" s="1"/>
      <c r="K1892" s="1"/>
      <c r="Q1892" s="1"/>
      <c r="AD1892" s="1"/>
      <c r="AG1892" s="1"/>
      <c r="AI1892" s="1"/>
    </row>
    <row r="1893" spans="4:35" hidden="1">
      <c r="D1893" s="1"/>
      <c r="K1893" s="1"/>
      <c r="Q1893" s="1"/>
      <c r="AD1893" s="1"/>
      <c r="AG1893" s="1"/>
      <c r="AI1893" s="1"/>
    </row>
    <row r="1894" spans="4:35" hidden="1">
      <c r="D1894" s="1"/>
      <c r="K1894" s="1"/>
      <c r="Q1894" s="1"/>
      <c r="AD1894" s="1"/>
      <c r="AG1894" s="1"/>
      <c r="AI1894" s="1"/>
    </row>
    <row r="1895" spans="4:35" hidden="1">
      <c r="D1895" s="1"/>
      <c r="K1895" s="1"/>
      <c r="Q1895" s="1"/>
      <c r="AD1895" s="1"/>
      <c r="AG1895" s="1"/>
      <c r="AI1895" s="1"/>
    </row>
    <row r="1896" spans="4:35" hidden="1">
      <c r="D1896" s="1"/>
      <c r="K1896" s="1"/>
      <c r="Q1896" s="1"/>
      <c r="AD1896" s="1"/>
      <c r="AG1896" s="1"/>
      <c r="AI1896" s="1"/>
    </row>
    <row r="1897" spans="4:35" hidden="1">
      <c r="D1897" s="1"/>
      <c r="K1897" s="1"/>
      <c r="Q1897" s="1"/>
      <c r="AD1897" s="1"/>
      <c r="AG1897" s="1"/>
      <c r="AI1897" s="1"/>
    </row>
    <row r="1898" spans="4:35" hidden="1">
      <c r="D1898" s="1"/>
      <c r="K1898" s="1"/>
      <c r="Q1898" s="1"/>
      <c r="AD1898" s="1"/>
      <c r="AG1898" s="1"/>
      <c r="AI1898" s="1"/>
    </row>
    <row r="1899" spans="4:35" hidden="1">
      <c r="D1899" s="1"/>
      <c r="K1899" s="1"/>
      <c r="Q1899" s="1"/>
      <c r="AD1899" s="1"/>
      <c r="AG1899" s="1"/>
      <c r="AI1899" s="1"/>
    </row>
    <row r="1900" spans="4:35" hidden="1">
      <c r="D1900" s="1"/>
      <c r="K1900" s="1"/>
      <c r="Q1900" s="1"/>
      <c r="AD1900" s="1"/>
      <c r="AG1900" s="1"/>
      <c r="AI1900" s="1"/>
    </row>
    <row r="1901" spans="4:35" hidden="1">
      <c r="D1901" s="1"/>
      <c r="K1901" s="1"/>
      <c r="Q1901" s="1"/>
      <c r="AD1901" s="1"/>
      <c r="AG1901" s="1"/>
      <c r="AI1901" s="1"/>
    </row>
    <row r="1902" spans="4:35" hidden="1">
      <c r="D1902" s="1"/>
      <c r="K1902" s="1"/>
      <c r="Q1902" s="1"/>
      <c r="AD1902" s="1"/>
      <c r="AG1902" s="1"/>
      <c r="AI1902" s="1"/>
    </row>
    <row r="1903" spans="4:35" hidden="1">
      <c r="D1903" s="1"/>
      <c r="K1903" s="1"/>
      <c r="Q1903" s="1"/>
      <c r="AD1903" s="1"/>
      <c r="AG1903" s="1"/>
      <c r="AI1903" s="1"/>
    </row>
    <row r="1904" spans="4:35" hidden="1">
      <c r="D1904" s="1"/>
      <c r="K1904" s="1"/>
      <c r="Q1904" s="1"/>
      <c r="AD1904" s="1"/>
      <c r="AG1904" s="1"/>
      <c r="AI1904" s="1"/>
    </row>
    <row r="1905" spans="4:35" hidden="1">
      <c r="D1905" s="1"/>
      <c r="K1905" s="1"/>
      <c r="Q1905" s="1"/>
      <c r="AD1905" s="1"/>
      <c r="AG1905" s="1"/>
      <c r="AI1905" s="1"/>
    </row>
    <row r="1906" spans="4:35" hidden="1">
      <c r="D1906" s="1"/>
      <c r="K1906" s="1"/>
      <c r="Q1906" s="1"/>
      <c r="AD1906" s="1"/>
      <c r="AG1906" s="1"/>
      <c r="AI1906" s="1"/>
    </row>
    <row r="1907" spans="4:35" hidden="1">
      <c r="D1907" s="1"/>
      <c r="K1907" s="1"/>
      <c r="Q1907" s="1"/>
      <c r="AD1907" s="1"/>
      <c r="AG1907" s="1"/>
      <c r="AI1907" s="1"/>
    </row>
    <row r="1908" spans="4:35" hidden="1">
      <c r="D1908" s="1"/>
      <c r="K1908" s="1"/>
      <c r="Q1908" s="1"/>
      <c r="AD1908" s="1"/>
      <c r="AG1908" s="1"/>
      <c r="AI1908" s="1"/>
    </row>
    <row r="1909" spans="4:35" hidden="1">
      <c r="D1909" s="1"/>
      <c r="K1909" s="1"/>
      <c r="Q1909" s="1"/>
      <c r="AD1909" s="1"/>
      <c r="AG1909" s="1"/>
      <c r="AI1909" s="1"/>
    </row>
    <row r="1910" spans="4:35" hidden="1">
      <c r="D1910" s="1"/>
      <c r="K1910" s="1"/>
      <c r="Q1910" s="1"/>
      <c r="AD1910" s="1"/>
      <c r="AG1910" s="1"/>
      <c r="AI1910" s="1"/>
    </row>
    <row r="1911" spans="4:35" hidden="1">
      <c r="D1911" s="1"/>
      <c r="K1911" s="1"/>
      <c r="Q1911" s="1"/>
      <c r="AD1911" s="1"/>
      <c r="AG1911" s="1"/>
      <c r="AI1911" s="1"/>
    </row>
    <row r="1912" spans="4:35" hidden="1">
      <c r="D1912" s="1"/>
      <c r="K1912" s="1"/>
      <c r="Q1912" s="1"/>
      <c r="AD1912" s="1"/>
      <c r="AG1912" s="1"/>
      <c r="AI1912" s="1"/>
    </row>
    <row r="1913" spans="4:35" hidden="1">
      <c r="D1913" s="1"/>
      <c r="K1913" s="1"/>
      <c r="Q1913" s="1"/>
      <c r="AD1913" s="1"/>
      <c r="AG1913" s="1"/>
      <c r="AI1913" s="1"/>
    </row>
    <row r="1914" spans="4:35" hidden="1">
      <c r="D1914" s="1"/>
      <c r="K1914" s="1"/>
      <c r="Q1914" s="1"/>
      <c r="AD1914" s="1"/>
      <c r="AG1914" s="1"/>
      <c r="AI1914" s="1"/>
    </row>
    <row r="1915" spans="4:35" hidden="1">
      <c r="D1915" s="1"/>
      <c r="K1915" s="1"/>
      <c r="Q1915" s="1"/>
      <c r="AD1915" s="1"/>
      <c r="AG1915" s="1"/>
      <c r="AI1915" s="1"/>
    </row>
    <row r="1916" spans="4:35" hidden="1">
      <c r="D1916" s="1"/>
      <c r="K1916" s="1"/>
      <c r="Q1916" s="1"/>
      <c r="AD1916" s="1"/>
      <c r="AG1916" s="1"/>
      <c r="AI1916" s="1"/>
    </row>
    <row r="1917" spans="4:35" hidden="1">
      <c r="D1917" s="1"/>
      <c r="K1917" s="1"/>
      <c r="Q1917" s="1"/>
      <c r="AD1917" s="1"/>
      <c r="AG1917" s="1"/>
      <c r="AI1917" s="1"/>
    </row>
    <row r="1918" spans="4:35" hidden="1">
      <c r="D1918" s="1"/>
      <c r="K1918" s="1"/>
      <c r="Q1918" s="1"/>
      <c r="AD1918" s="1"/>
      <c r="AG1918" s="1"/>
      <c r="AI1918" s="1"/>
    </row>
    <row r="1919" spans="4:35" hidden="1">
      <c r="D1919" s="1"/>
      <c r="K1919" s="1"/>
      <c r="Q1919" s="1"/>
      <c r="AD1919" s="1"/>
      <c r="AG1919" s="1"/>
      <c r="AI1919" s="1"/>
    </row>
    <row r="1920" spans="4:35" hidden="1">
      <c r="D1920" s="1"/>
      <c r="K1920" s="1"/>
      <c r="Q1920" s="1"/>
      <c r="AD1920" s="1"/>
      <c r="AG1920" s="1"/>
      <c r="AI1920" s="1"/>
    </row>
    <row r="1921" spans="4:35" hidden="1">
      <c r="D1921" s="1"/>
      <c r="K1921" s="1"/>
      <c r="Q1921" s="1"/>
      <c r="AD1921" s="1"/>
      <c r="AG1921" s="1"/>
      <c r="AI1921" s="1"/>
    </row>
    <row r="1922" spans="4:35" hidden="1">
      <c r="D1922" s="1"/>
      <c r="K1922" s="1"/>
      <c r="Q1922" s="1"/>
      <c r="AD1922" s="1"/>
      <c r="AG1922" s="1"/>
      <c r="AI1922" s="1"/>
    </row>
    <row r="1923" spans="4:35" hidden="1">
      <c r="D1923" s="1"/>
      <c r="K1923" s="1"/>
      <c r="Q1923" s="1"/>
      <c r="AD1923" s="1"/>
      <c r="AG1923" s="1"/>
      <c r="AI1923" s="1"/>
    </row>
    <row r="1924" spans="4:35" hidden="1">
      <c r="D1924" s="1"/>
      <c r="K1924" s="1"/>
      <c r="Q1924" s="1"/>
      <c r="AD1924" s="1"/>
      <c r="AG1924" s="1"/>
      <c r="AI1924" s="1"/>
    </row>
    <row r="1925" spans="4:35" hidden="1">
      <c r="D1925" s="1"/>
      <c r="K1925" s="1"/>
      <c r="Q1925" s="1"/>
      <c r="AD1925" s="1"/>
      <c r="AG1925" s="1"/>
      <c r="AI1925" s="1"/>
    </row>
    <row r="1926" spans="4:35" hidden="1">
      <c r="D1926" s="1"/>
      <c r="K1926" s="1"/>
      <c r="Q1926" s="1"/>
      <c r="AD1926" s="1"/>
      <c r="AG1926" s="1"/>
      <c r="AI1926" s="1"/>
    </row>
    <row r="1927" spans="4:35" hidden="1">
      <c r="D1927" s="1"/>
      <c r="K1927" s="1"/>
      <c r="Q1927" s="1"/>
      <c r="AD1927" s="1"/>
      <c r="AG1927" s="1"/>
      <c r="AI1927" s="1"/>
    </row>
    <row r="1928" spans="4:35" hidden="1">
      <c r="D1928" s="1"/>
      <c r="K1928" s="1"/>
      <c r="Q1928" s="1"/>
      <c r="AD1928" s="1"/>
      <c r="AG1928" s="1"/>
      <c r="AI1928" s="1"/>
    </row>
    <row r="1929" spans="4:35" hidden="1">
      <c r="D1929" s="1"/>
      <c r="K1929" s="1"/>
      <c r="Q1929" s="1"/>
      <c r="AD1929" s="1"/>
      <c r="AG1929" s="1"/>
      <c r="AI1929" s="1"/>
    </row>
    <row r="1930" spans="4:35" hidden="1">
      <c r="D1930" s="1"/>
      <c r="K1930" s="1"/>
      <c r="Q1930" s="1"/>
      <c r="AD1930" s="1"/>
      <c r="AG1930" s="1"/>
      <c r="AI1930" s="1"/>
    </row>
    <row r="1931" spans="4:35" hidden="1">
      <c r="D1931" s="1"/>
      <c r="K1931" s="1"/>
      <c r="Q1931" s="1"/>
      <c r="AD1931" s="1"/>
      <c r="AG1931" s="1"/>
      <c r="AI1931" s="1"/>
    </row>
    <row r="1932" spans="4:35" hidden="1">
      <c r="D1932" s="1"/>
      <c r="K1932" s="1"/>
      <c r="Q1932" s="1"/>
      <c r="AD1932" s="1"/>
      <c r="AG1932" s="1"/>
      <c r="AI1932" s="1"/>
    </row>
    <row r="1933" spans="4:35" hidden="1">
      <c r="D1933" s="1"/>
      <c r="K1933" s="1"/>
      <c r="Q1933" s="1"/>
      <c r="AD1933" s="1"/>
      <c r="AG1933" s="1"/>
      <c r="AI1933" s="1"/>
    </row>
    <row r="1934" spans="4:35" hidden="1">
      <c r="D1934" s="1"/>
      <c r="K1934" s="1"/>
      <c r="Q1934" s="1"/>
      <c r="AD1934" s="1"/>
      <c r="AG1934" s="1"/>
      <c r="AI1934" s="1"/>
    </row>
    <row r="1935" spans="4:35" hidden="1">
      <c r="D1935" s="1"/>
      <c r="K1935" s="1"/>
      <c r="Q1935" s="1"/>
      <c r="AD1935" s="1"/>
      <c r="AG1935" s="1"/>
      <c r="AI1935" s="1"/>
    </row>
    <row r="1936" spans="4:35" hidden="1">
      <c r="D1936" s="1"/>
      <c r="K1936" s="1"/>
      <c r="Q1936" s="1"/>
      <c r="AD1936" s="1"/>
      <c r="AG1936" s="1"/>
      <c r="AI1936" s="1"/>
    </row>
    <row r="1937" spans="4:35" hidden="1">
      <c r="D1937" s="1"/>
      <c r="K1937" s="1"/>
      <c r="Q1937" s="1"/>
      <c r="AD1937" s="1"/>
      <c r="AG1937" s="1"/>
      <c r="AI1937" s="1"/>
    </row>
    <row r="1938" spans="4:35" hidden="1">
      <c r="D1938" s="1"/>
      <c r="K1938" s="1"/>
      <c r="Q1938" s="1"/>
      <c r="AD1938" s="1"/>
      <c r="AG1938" s="1"/>
      <c r="AI1938" s="1"/>
    </row>
    <row r="1939" spans="4:35" hidden="1">
      <c r="D1939" s="1"/>
      <c r="K1939" s="1"/>
      <c r="Q1939" s="1"/>
      <c r="AD1939" s="1"/>
      <c r="AG1939" s="1"/>
      <c r="AI1939" s="1"/>
    </row>
    <row r="1940" spans="4:35" hidden="1">
      <c r="D1940" s="1"/>
      <c r="K1940" s="1"/>
      <c r="Q1940" s="1"/>
      <c r="AD1940" s="1"/>
      <c r="AG1940" s="1"/>
      <c r="AI1940" s="1"/>
    </row>
    <row r="1941" spans="4:35" hidden="1">
      <c r="D1941" s="1"/>
      <c r="K1941" s="1"/>
      <c r="Q1941" s="1"/>
      <c r="AD1941" s="1"/>
      <c r="AG1941" s="1"/>
      <c r="AI1941" s="1"/>
    </row>
    <row r="1942" spans="4:35" hidden="1">
      <c r="D1942" s="1"/>
      <c r="K1942" s="1"/>
      <c r="Q1942" s="1"/>
      <c r="AD1942" s="1"/>
      <c r="AG1942" s="1"/>
      <c r="AI1942" s="1"/>
    </row>
    <row r="1943" spans="4:35" hidden="1">
      <c r="D1943" s="1"/>
      <c r="K1943" s="1"/>
      <c r="Q1943" s="1"/>
      <c r="AD1943" s="1"/>
      <c r="AG1943" s="1"/>
      <c r="AI1943" s="1"/>
    </row>
    <row r="1944" spans="4:35" hidden="1">
      <c r="D1944" s="1"/>
      <c r="K1944" s="1"/>
      <c r="Q1944" s="1"/>
      <c r="AD1944" s="1"/>
      <c r="AG1944" s="1"/>
      <c r="AI1944" s="1"/>
    </row>
    <row r="1945" spans="4:35" hidden="1">
      <c r="D1945" s="1"/>
      <c r="K1945" s="1"/>
      <c r="Q1945" s="1"/>
      <c r="AD1945" s="1"/>
      <c r="AG1945" s="1"/>
      <c r="AI1945" s="1"/>
    </row>
    <row r="1946" spans="4:35" hidden="1">
      <c r="D1946" s="1"/>
      <c r="K1946" s="1"/>
      <c r="Q1946" s="1"/>
      <c r="AD1946" s="1"/>
      <c r="AG1946" s="1"/>
      <c r="AI1946" s="1"/>
    </row>
    <row r="1947" spans="4:35" hidden="1">
      <c r="D1947" s="1"/>
      <c r="K1947" s="1"/>
      <c r="Q1947" s="1"/>
      <c r="AD1947" s="1"/>
      <c r="AG1947" s="1"/>
      <c r="AI1947" s="1"/>
    </row>
    <row r="1948" spans="4:35" hidden="1">
      <c r="D1948" s="1"/>
      <c r="K1948" s="1"/>
      <c r="Q1948" s="1"/>
      <c r="AD1948" s="1"/>
      <c r="AG1948" s="1"/>
      <c r="AI1948" s="1"/>
    </row>
    <row r="1949" spans="4:35" hidden="1">
      <c r="D1949" s="1"/>
      <c r="K1949" s="1"/>
      <c r="Q1949" s="1"/>
      <c r="AD1949" s="1"/>
      <c r="AG1949" s="1"/>
      <c r="AI1949" s="1"/>
    </row>
    <row r="1950" spans="4:35" hidden="1">
      <c r="D1950" s="1"/>
      <c r="K1950" s="1"/>
      <c r="Q1950" s="1"/>
      <c r="AD1950" s="1"/>
      <c r="AG1950" s="1"/>
      <c r="AI1950" s="1"/>
    </row>
    <row r="1951" spans="4:35" hidden="1">
      <c r="D1951" s="1"/>
      <c r="K1951" s="1"/>
      <c r="Q1951" s="1"/>
      <c r="AD1951" s="1"/>
      <c r="AG1951" s="1"/>
      <c r="AI1951" s="1"/>
    </row>
    <row r="1952" spans="4:35" hidden="1">
      <c r="D1952" s="1"/>
      <c r="K1952" s="1"/>
      <c r="Q1952" s="1"/>
      <c r="AD1952" s="1"/>
      <c r="AG1952" s="1"/>
      <c r="AI1952" s="1"/>
    </row>
    <row r="1953" spans="4:35" hidden="1">
      <c r="D1953" s="1"/>
      <c r="K1953" s="1"/>
      <c r="Q1953" s="1"/>
      <c r="AD1953" s="1"/>
      <c r="AG1953" s="1"/>
      <c r="AI1953" s="1"/>
    </row>
    <row r="1954" spans="4:35" hidden="1">
      <c r="D1954" s="1"/>
      <c r="K1954" s="1"/>
      <c r="Q1954" s="1"/>
      <c r="AD1954" s="1"/>
      <c r="AG1954" s="1"/>
      <c r="AI1954" s="1"/>
    </row>
    <row r="1955" spans="4:35" hidden="1">
      <c r="D1955" s="1"/>
      <c r="K1955" s="1"/>
      <c r="Q1955" s="1"/>
      <c r="AD1955" s="1"/>
      <c r="AG1955" s="1"/>
      <c r="AI1955" s="1"/>
    </row>
    <row r="1956" spans="4:35" hidden="1">
      <c r="D1956" s="1"/>
      <c r="K1956" s="1"/>
      <c r="Q1956" s="1"/>
      <c r="AD1956" s="1"/>
      <c r="AG1956" s="1"/>
      <c r="AI1956" s="1"/>
    </row>
    <row r="1957" spans="4:35" hidden="1">
      <c r="D1957" s="1"/>
      <c r="K1957" s="1"/>
      <c r="Q1957" s="1"/>
      <c r="AD1957" s="1"/>
      <c r="AG1957" s="1"/>
      <c r="AI1957" s="1"/>
    </row>
    <row r="1958" spans="4:35" hidden="1">
      <c r="D1958" s="1"/>
      <c r="K1958" s="1"/>
      <c r="Q1958" s="1"/>
      <c r="AD1958" s="1"/>
      <c r="AG1958" s="1"/>
      <c r="AI1958" s="1"/>
    </row>
    <row r="1959" spans="4:35" hidden="1">
      <c r="D1959" s="1"/>
      <c r="K1959" s="1"/>
      <c r="Q1959" s="1"/>
      <c r="AD1959" s="1"/>
      <c r="AG1959" s="1"/>
      <c r="AI1959" s="1"/>
    </row>
    <row r="1960" spans="4:35" hidden="1">
      <c r="D1960" s="1"/>
      <c r="K1960" s="1"/>
      <c r="Q1960" s="1"/>
      <c r="AD1960" s="1"/>
      <c r="AG1960" s="1"/>
      <c r="AI1960" s="1"/>
    </row>
    <row r="1961" spans="4:35" hidden="1">
      <c r="D1961" s="1"/>
      <c r="K1961" s="1"/>
      <c r="Q1961" s="1"/>
      <c r="AD1961" s="1"/>
      <c r="AG1961" s="1"/>
      <c r="AI1961" s="1"/>
    </row>
    <row r="1962" spans="4:35" hidden="1">
      <c r="D1962" s="1"/>
      <c r="K1962" s="1"/>
      <c r="Q1962" s="1"/>
      <c r="AD1962" s="1"/>
      <c r="AG1962" s="1"/>
      <c r="AI1962" s="1"/>
    </row>
    <row r="1963" spans="4:35" hidden="1">
      <c r="D1963" s="1"/>
      <c r="K1963" s="1"/>
      <c r="Q1963" s="1"/>
      <c r="AD1963" s="1"/>
      <c r="AG1963" s="1"/>
      <c r="AI1963" s="1"/>
    </row>
    <row r="1964" spans="4:35" hidden="1">
      <c r="D1964" s="1"/>
      <c r="K1964" s="1"/>
      <c r="Q1964" s="1"/>
      <c r="AD1964" s="1"/>
      <c r="AG1964" s="1"/>
      <c r="AI1964" s="1"/>
    </row>
    <row r="1965" spans="4:35" hidden="1">
      <c r="D1965" s="1"/>
      <c r="K1965" s="1"/>
      <c r="Q1965" s="1"/>
      <c r="AD1965" s="1"/>
      <c r="AG1965" s="1"/>
      <c r="AI1965" s="1"/>
    </row>
    <row r="1966" spans="4:35" hidden="1">
      <c r="D1966" s="1"/>
      <c r="K1966" s="1"/>
      <c r="Q1966" s="1"/>
      <c r="AD1966" s="1"/>
      <c r="AG1966" s="1"/>
      <c r="AI1966" s="1"/>
    </row>
    <row r="1967" spans="4:35" hidden="1">
      <c r="D1967" s="1"/>
      <c r="K1967" s="1"/>
      <c r="Q1967" s="1"/>
      <c r="AD1967" s="1"/>
      <c r="AG1967" s="1"/>
      <c r="AI1967" s="1"/>
    </row>
    <row r="1968" spans="4:35" hidden="1">
      <c r="D1968" s="1"/>
      <c r="K1968" s="1"/>
      <c r="Q1968" s="1"/>
      <c r="AD1968" s="1"/>
      <c r="AG1968" s="1"/>
      <c r="AI1968" s="1"/>
    </row>
    <row r="1969" spans="4:35" hidden="1">
      <c r="D1969" s="1"/>
      <c r="K1969" s="1"/>
      <c r="Q1969" s="1"/>
      <c r="AD1969" s="1"/>
      <c r="AG1969" s="1"/>
      <c r="AI1969" s="1"/>
    </row>
    <row r="1970" spans="4:35" hidden="1">
      <c r="D1970" s="1"/>
      <c r="K1970" s="1"/>
      <c r="Q1970" s="1"/>
      <c r="AD1970" s="1"/>
      <c r="AG1970" s="1"/>
      <c r="AI1970" s="1"/>
    </row>
    <row r="1971" spans="4:35" hidden="1">
      <c r="D1971" s="1"/>
      <c r="K1971" s="1"/>
      <c r="Q1971" s="1"/>
      <c r="AD1971" s="1"/>
      <c r="AG1971" s="1"/>
      <c r="AI1971" s="1"/>
    </row>
    <row r="1972" spans="4:35" hidden="1">
      <c r="D1972" s="1"/>
      <c r="K1972" s="1"/>
      <c r="Q1972" s="1"/>
      <c r="AD1972" s="1"/>
      <c r="AG1972" s="1"/>
      <c r="AI1972" s="1"/>
    </row>
    <row r="1973" spans="4:35" hidden="1">
      <c r="D1973" s="1"/>
      <c r="K1973" s="1"/>
      <c r="Q1973" s="1"/>
      <c r="AD1973" s="1"/>
      <c r="AG1973" s="1"/>
      <c r="AI1973" s="1"/>
    </row>
    <row r="1974" spans="4:35" hidden="1">
      <c r="D1974" s="1"/>
      <c r="K1974" s="1"/>
      <c r="Q1974" s="1"/>
      <c r="AD1974" s="1"/>
      <c r="AG1974" s="1"/>
      <c r="AI1974" s="1"/>
    </row>
    <row r="1975" spans="4:35" hidden="1">
      <c r="D1975" s="1"/>
      <c r="K1975" s="1"/>
      <c r="Q1975" s="1"/>
      <c r="AD1975" s="1"/>
      <c r="AG1975" s="1"/>
      <c r="AI1975" s="1"/>
    </row>
    <row r="1976" spans="4:35" hidden="1">
      <c r="D1976" s="1"/>
      <c r="K1976" s="1"/>
      <c r="Q1976" s="1"/>
      <c r="AD1976" s="1"/>
      <c r="AG1976" s="1"/>
      <c r="AI1976" s="1"/>
    </row>
    <row r="1977" spans="4:35" hidden="1">
      <c r="D1977" s="1"/>
      <c r="K1977" s="1"/>
      <c r="Q1977" s="1"/>
      <c r="AD1977" s="1"/>
      <c r="AG1977" s="1"/>
      <c r="AI1977" s="1"/>
    </row>
    <row r="1978" spans="4:35" hidden="1">
      <c r="D1978" s="1"/>
      <c r="K1978" s="1"/>
      <c r="Q1978" s="1"/>
      <c r="AD1978" s="1"/>
      <c r="AG1978" s="1"/>
      <c r="AI1978" s="1"/>
    </row>
    <row r="1979" spans="4:35" hidden="1">
      <c r="D1979" s="1"/>
      <c r="K1979" s="1"/>
      <c r="Q1979" s="1"/>
      <c r="AD1979" s="1"/>
      <c r="AG1979" s="1"/>
      <c r="AI1979" s="1"/>
    </row>
    <row r="1980" spans="4:35" hidden="1">
      <c r="D1980" s="1"/>
      <c r="K1980" s="1"/>
      <c r="Q1980" s="1"/>
      <c r="AD1980" s="1"/>
      <c r="AG1980" s="1"/>
      <c r="AI1980" s="1"/>
    </row>
    <row r="1981" spans="4:35" hidden="1">
      <c r="D1981" s="1"/>
      <c r="K1981" s="1"/>
      <c r="Q1981" s="1"/>
      <c r="AD1981" s="1"/>
      <c r="AG1981" s="1"/>
      <c r="AI1981" s="1"/>
    </row>
    <row r="1982" spans="4:35" hidden="1">
      <c r="D1982" s="1"/>
      <c r="K1982" s="1"/>
      <c r="Q1982" s="1"/>
      <c r="AD1982" s="1"/>
      <c r="AG1982" s="1"/>
      <c r="AI1982" s="1"/>
    </row>
    <row r="1983" spans="4:35" hidden="1">
      <c r="D1983" s="1"/>
      <c r="K1983" s="1"/>
      <c r="Q1983" s="1"/>
      <c r="AD1983" s="1"/>
      <c r="AG1983" s="1"/>
      <c r="AI1983" s="1"/>
    </row>
    <row r="1984" spans="4:35" hidden="1">
      <c r="D1984" s="1"/>
      <c r="K1984" s="1"/>
      <c r="Q1984" s="1"/>
      <c r="AD1984" s="1"/>
      <c r="AG1984" s="1"/>
      <c r="AI1984" s="1"/>
    </row>
    <row r="1985" spans="4:35" hidden="1">
      <c r="D1985" s="1"/>
      <c r="K1985" s="1"/>
      <c r="Q1985" s="1"/>
      <c r="AD1985" s="1"/>
      <c r="AG1985" s="1"/>
      <c r="AI1985" s="1"/>
    </row>
    <row r="1986" spans="4:35" hidden="1">
      <c r="D1986" s="1"/>
      <c r="K1986" s="1"/>
      <c r="Q1986" s="1"/>
      <c r="AD1986" s="1"/>
      <c r="AG1986" s="1"/>
      <c r="AI1986" s="1"/>
    </row>
    <row r="1987" spans="4:35" hidden="1">
      <c r="D1987" s="1"/>
      <c r="K1987" s="1"/>
      <c r="Q1987" s="1"/>
      <c r="AD1987" s="1"/>
      <c r="AG1987" s="1"/>
      <c r="AI1987" s="1"/>
    </row>
    <row r="1988" spans="4:35" hidden="1">
      <c r="D1988" s="1"/>
      <c r="K1988" s="1"/>
      <c r="Q1988" s="1"/>
      <c r="AD1988" s="1"/>
      <c r="AG1988" s="1"/>
      <c r="AI1988" s="1"/>
    </row>
    <row r="1989" spans="4:35" hidden="1">
      <c r="D1989" s="1"/>
      <c r="K1989" s="1"/>
      <c r="Q1989" s="1"/>
      <c r="AD1989" s="1"/>
      <c r="AG1989" s="1"/>
      <c r="AI1989" s="1"/>
    </row>
    <row r="1990" spans="4:35" hidden="1">
      <c r="D1990" s="1"/>
      <c r="K1990" s="1"/>
      <c r="Q1990" s="1"/>
      <c r="AD1990" s="1"/>
      <c r="AG1990" s="1"/>
      <c r="AI1990" s="1"/>
    </row>
    <row r="1991" spans="4:35" hidden="1">
      <c r="D1991" s="1"/>
      <c r="K1991" s="1"/>
      <c r="Q1991" s="1"/>
      <c r="AD1991" s="1"/>
      <c r="AG1991" s="1"/>
      <c r="AI1991" s="1"/>
    </row>
    <row r="1992" spans="4:35" hidden="1">
      <c r="D1992" s="1"/>
      <c r="K1992" s="1"/>
      <c r="Q1992" s="1"/>
      <c r="AD1992" s="1"/>
      <c r="AG1992" s="1"/>
      <c r="AI1992" s="1"/>
    </row>
    <row r="1993" spans="4:35" hidden="1">
      <c r="D1993" s="1"/>
      <c r="K1993" s="1"/>
      <c r="Q1993" s="1"/>
      <c r="AD1993" s="1"/>
      <c r="AG1993" s="1"/>
      <c r="AI1993" s="1"/>
    </row>
    <row r="1994" spans="4:35" hidden="1">
      <c r="D1994" s="1"/>
      <c r="K1994" s="1"/>
      <c r="Q1994" s="1"/>
      <c r="AD1994" s="1"/>
      <c r="AG1994" s="1"/>
      <c r="AI1994" s="1"/>
    </row>
    <row r="1995" spans="4:35" hidden="1">
      <c r="D1995" s="1"/>
      <c r="K1995" s="1"/>
      <c r="Q1995" s="1"/>
      <c r="AD1995" s="1"/>
      <c r="AG1995" s="1"/>
      <c r="AI1995" s="1"/>
    </row>
    <row r="1996" spans="4:35" hidden="1">
      <c r="D1996" s="1"/>
      <c r="K1996" s="1"/>
      <c r="Q1996" s="1"/>
      <c r="AD1996" s="1"/>
      <c r="AG1996" s="1"/>
      <c r="AI1996" s="1"/>
    </row>
    <row r="1997" spans="4:35" hidden="1">
      <c r="D1997" s="1"/>
      <c r="K1997" s="1"/>
      <c r="Q1997" s="1"/>
      <c r="AD1997" s="1"/>
      <c r="AG1997" s="1"/>
      <c r="AI1997" s="1"/>
    </row>
    <row r="1998" spans="4:35" hidden="1">
      <c r="D1998" s="1"/>
      <c r="K1998" s="1"/>
      <c r="Q1998" s="1"/>
      <c r="AD1998" s="1"/>
      <c r="AG1998" s="1"/>
      <c r="AI1998" s="1"/>
    </row>
    <row r="1999" spans="4:35" hidden="1">
      <c r="D1999" s="1"/>
      <c r="K1999" s="1"/>
      <c r="Q1999" s="1"/>
      <c r="AD1999" s="1"/>
      <c r="AG1999" s="1"/>
      <c r="AI1999" s="1"/>
    </row>
    <row r="2000" spans="4:35" hidden="1">
      <c r="D2000" s="1"/>
      <c r="K2000" s="1"/>
      <c r="Q2000" s="1"/>
      <c r="AD2000" s="1"/>
      <c r="AG2000" s="1"/>
      <c r="AI2000" s="1"/>
    </row>
    <row r="2001" spans="4:35" hidden="1">
      <c r="D2001" s="1"/>
      <c r="K2001" s="1"/>
      <c r="Q2001" s="1"/>
      <c r="AD2001" s="1"/>
      <c r="AG2001" s="1"/>
      <c r="AI2001" s="1"/>
    </row>
    <row r="2002" spans="4:35" hidden="1">
      <c r="D2002" s="1"/>
      <c r="K2002" s="1"/>
      <c r="Q2002" s="1"/>
      <c r="AD2002" s="1"/>
      <c r="AG2002" s="1"/>
      <c r="AI2002" s="1"/>
    </row>
    <row r="2003" spans="4:35" hidden="1">
      <c r="D2003" s="1"/>
      <c r="K2003" s="1"/>
      <c r="Q2003" s="1"/>
      <c r="AD2003" s="1"/>
      <c r="AG2003" s="1"/>
      <c r="AI2003" s="1"/>
    </row>
    <row r="2004" spans="4:35" hidden="1">
      <c r="D2004" s="1"/>
      <c r="K2004" s="1"/>
      <c r="Q2004" s="1"/>
      <c r="AD2004" s="1"/>
      <c r="AG2004" s="1"/>
      <c r="AI2004" s="1"/>
    </row>
    <row r="2005" spans="4:35" hidden="1">
      <c r="D2005" s="1"/>
      <c r="K2005" s="1"/>
      <c r="Q2005" s="1"/>
      <c r="AD2005" s="1"/>
      <c r="AG2005" s="1"/>
      <c r="AI2005" s="1"/>
    </row>
    <row r="2006" spans="4:35" hidden="1">
      <c r="D2006" s="1"/>
      <c r="K2006" s="1"/>
      <c r="Q2006" s="1"/>
      <c r="AD2006" s="1"/>
      <c r="AG2006" s="1"/>
      <c r="AI2006" s="1"/>
    </row>
    <row r="2007" spans="4:35" hidden="1">
      <c r="D2007" s="1"/>
      <c r="K2007" s="1"/>
      <c r="Q2007" s="1"/>
      <c r="AD2007" s="1"/>
      <c r="AG2007" s="1"/>
      <c r="AI2007" s="1"/>
    </row>
    <row r="2008" spans="4:35" hidden="1">
      <c r="D2008" s="1"/>
      <c r="K2008" s="1"/>
      <c r="Q2008" s="1"/>
      <c r="AD2008" s="1"/>
      <c r="AG2008" s="1"/>
      <c r="AI2008" s="1"/>
    </row>
    <row r="2009" spans="4:35" hidden="1">
      <c r="D2009" s="1"/>
      <c r="K2009" s="1"/>
      <c r="Q2009" s="1"/>
      <c r="AD2009" s="1"/>
      <c r="AG2009" s="1"/>
      <c r="AI2009" s="1"/>
    </row>
    <row r="2010" spans="4:35" hidden="1">
      <c r="D2010" s="1"/>
      <c r="K2010" s="1"/>
      <c r="Q2010" s="1"/>
      <c r="AD2010" s="1"/>
      <c r="AG2010" s="1"/>
      <c r="AI2010" s="1"/>
    </row>
    <row r="2011" spans="4:35" hidden="1">
      <c r="D2011" s="1"/>
      <c r="K2011" s="1"/>
      <c r="Q2011" s="1"/>
      <c r="AD2011" s="1"/>
      <c r="AG2011" s="1"/>
      <c r="AI2011" s="1"/>
    </row>
    <row r="2012" spans="4:35" hidden="1">
      <c r="D2012" s="1"/>
      <c r="K2012" s="1"/>
      <c r="Q2012" s="1"/>
      <c r="AD2012" s="1"/>
      <c r="AG2012" s="1"/>
      <c r="AI2012" s="1"/>
    </row>
    <row r="2013" spans="4:35" hidden="1">
      <c r="D2013" s="1"/>
      <c r="K2013" s="1"/>
      <c r="Q2013" s="1"/>
      <c r="AD2013" s="1"/>
      <c r="AG2013" s="1"/>
      <c r="AI2013" s="1"/>
    </row>
    <row r="2014" spans="4:35" hidden="1">
      <c r="D2014" s="1"/>
      <c r="K2014" s="1"/>
      <c r="Q2014" s="1"/>
      <c r="AD2014" s="1"/>
      <c r="AG2014" s="1"/>
      <c r="AI2014" s="1"/>
    </row>
    <row r="2015" spans="4:35" hidden="1">
      <c r="D2015" s="1"/>
      <c r="K2015" s="1"/>
      <c r="Q2015" s="1"/>
      <c r="AD2015" s="1"/>
      <c r="AG2015" s="1"/>
      <c r="AI2015" s="1"/>
    </row>
    <row r="2016" spans="4:35" hidden="1">
      <c r="D2016" s="1"/>
      <c r="K2016" s="1"/>
      <c r="Q2016" s="1"/>
      <c r="AD2016" s="1"/>
      <c r="AG2016" s="1"/>
      <c r="AI2016" s="1"/>
    </row>
    <row r="2017" spans="4:35" hidden="1">
      <c r="D2017" s="1"/>
      <c r="K2017" s="1"/>
      <c r="Q2017" s="1"/>
      <c r="AD2017" s="1"/>
      <c r="AG2017" s="1"/>
      <c r="AI2017" s="1"/>
    </row>
    <row r="2018" spans="4:35" hidden="1">
      <c r="D2018" s="1"/>
      <c r="K2018" s="1"/>
      <c r="Q2018" s="1"/>
      <c r="AD2018" s="1"/>
      <c r="AG2018" s="1"/>
      <c r="AI2018" s="1"/>
    </row>
    <row r="2019" spans="4:35" hidden="1">
      <c r="D2019" s="1"/>
      <c r="K2019" s="1"/>
      <c r="Q2019" s="1"/>
      <c r="AD2019" s="1"/>
      <c r="AG2019" s="1"/>
      <c r="AI2019" s="1"/>
    </row>
    <row r="2020" spans="4:35" hidden="1">
      <c r="D2020" s="1"/>
      <c r="K2020" s="1"/>
      <c r="Q2020" s="1"/>
      <c r="AD2020" s="1"/>
      <c r="AG2020" s="1"/>
      <c r="AI2020" s="1"/>
    </row>
    <row r="2021" spans="4:35" hidden="1">
      <c r="D2021" s="1"/>
      <c r="K2021" s="1"/>
      <c r="Q2021" s="1"/>
      <c r="AD2021" s="1"/>
      <c r="AG2021" s="1"/>
      <c r="AI2021" s="1"/>
    </row>
    <row r="2022" spans="4:35" hidden="1">
      <c r="D2022" s="1"/>
      <c r="K2022" s="1"/>
      <c r="Q2022" s="1"/>
      <c r="AD2022" s="1"/>
      <c r="AG2022" s="1"/>
      <c r="AI2022" s="1"/>
    </row>
    <row r="2023" spans="4:35" hidden="1">
      <c r="D2023" s="1"/>
      <c r="K2023" s="1"/>
      <c r="Q2023" s="1"/>
      <c r="AD2023" s="1"/>
      <c r="AG2023" s="1"/>
      <c r="AI2023" s="1"/>
    </row>
    <row r="2024" spans="4:35" hidden="1">
      <c r="D2024" s="1"/>
      <c r="K2024" s="1"/>
      <c r="Q2024" s="1"/>
      <c r="AD2024" s="1"/>
      <c r="AG2024" s="1"/>
      <c r="AI2024" s="1"/>
    </row>
    <row r="2025" spans="4:35" hidden="1">
      <c r="D2025" s="1"/>
      <c r="K2025" s="1"/>
      <c r="Q2025" s="1"/>
      <c r="AD2025" s="1"/>
      <c r="AG2025" s="1"/>
      <c r="AI2025" s="1"/>
    </row>
    <row r="2026" spans="4:35" hidden="1">
      <c r="D2026" s="1"/>
      <c r="K2026" s="1"/>
      <c r="Q2026" s="1"/>
      <c r="AD2026" s="1"/>
      <c r="AG2026" s="1"/>
      <c r="AI2026" s="1"/>
    </row>
    <row r="2027" spans="4:35" hidden="1">
      <c r="D2027" s="1"/>
      <c r="K2027" s="1"/>
      <c r="Q2027" s="1"/>
      <c r="AD2027" s="1"/>
      <c r="AG2027" s="1"/>
      <c r="AI2027" s="1"/>
    </row>
    <row r="2028" spans="4:35" hidden="1">
      <c r="D2028" s="1"/>
      <c r="K2028" s="1"/>
      <c r="Q2028" s="1"/>
      <c r="AD2028" s="1"/>
      <c r="AG2028" s="1"/>
      <c r="AI2028" s="1"/>
    </row>
    <row r="2029" spans="4:35" hidden="1">
      <c r="D2029" s="1"/>
      <c r="K2029" s="1"/>
      <c r="Q2029" s="1"/>
      <c r="AD2029" s="1"/>
      <c r="AG2029" s="1"/>
      <c r="AI2029" s="1"/>
    </row>
    <row r="2030" spans="4:35" hidden="1">
      <c r="D2030" s="1"/>
      <c r="K2030" s="1"/>
      <c r="Q2030" s="1"/>
      <c r="AD2030" s="1"/>
      <c r="AG2030" s="1"/>
      <c r="AI2030" s="1"/>
    </row>
    <row r="2031" spans="4:35" hidden="1">
      <c r="D2031" s="1"/>
      <c r="K2031" s="1"/>
      <c r="Q2031" s="1"/>
      <c r="AD2031" s="1"/>
      <c r="AG2031" s="1"/>
      <c r="AI2031" s="1"/>
    </row>
    <row r="2032" spans="4:35" hidden="1">
      <c r="D2032" s="1"/>
      <c r="K2032" s="1"/>
      <c r="Q2032" s="1"/>
      <c r="AD2032" s="1"/>
      <c r="AG2032" s="1"/>
      <c r="AI2032" s="1"/>
    </row>
    <row r="2033" spans="4:35" hidden="1">
      <c r="D2033" s="1"/>
      <c r="K2033" s="1"/>
      <c r="Q2033" s="1"/>
      <c r="AD2033" s="1"/>
      <c r="AG2033" s="1"/>
      <c r="AI2033" s="1"/>
    </row>
    <row r="2034" spans="4:35" hidden="1">
      <c r="D2034" s="1"/>
      <c r="K2034" s="1"/>
      <c r="Q2034" s="1"/>
      <c r="AD2034" s="1"/>
      <c r="AG2034" s="1"/>
      <c r="AI2034" s="1"/>
    </row>
    <row r="2035" spans="4:35" hidden="1">
      <c r="D2035" s="1"/>
      <c r="K2035" s="1"/>
      <c r="Q2035" s="1"/>
      <c r="AD2035" s="1"/>
      <c r="AG2035" s="1"/>
      <c r="AI2035" s="1"/>
    </row>
    <row r="2036" spans="4:35" hidden="1">
      <c r="D2036" s="1"/>
      <c r="K2036" s="1"/>
      <c r="Q2036" s="1"/>
      <c r="AD2036" s="1"/>
      <c r="AG2036" s="1"/>
      <c r="AI2036" s="1"/>
    </row>
    <row r="2037" spans="4:35" hidden="1">
      <c r="D2037" s="1"/>
      <c r="K2037" s="1"/>
      <c r="Q2037" s="1"/>
      <c r="AD2037" s="1"/>
      <c r="AG2037" s="1"/>
      <c r="AI2037" s="1"/>
    </row>
    <row r="2038" spans="4:35" hidden="1">
      <c r="D2038" s="1"/>
      <c r="K2038" s="1"/>
      <c r="Q2038" s="1"/>
      <c r="AD2038" s="1"/>
      <c r="AG2038" s="1"/>
      <c r="AI2038" s="1"/>
    </row>
    <row r="2039" spans="4:35" hidden="1">
      <c r="D2039" s="1"/>
      <c r="K2039" s="1"/>
      <c r="Q2039" s="1"/>
      <c r="AD2039" s="1"/>
      <c r="AG2039" s="1"/>
      <c r="AI2039" s="1"/>
    </row>
    <row r="2040" spans="4:35" hidden="1">
      <c r="D2040" s="1"/>
      <c r="K2040" s="1"/>
      <c r="Q2040" s="1"/>
      <c r="AD2040" s="1"/>
      <c r="AG2040" s="1"/>
      <c r="AI2040" s="1"/>
    </row>
    <row r="2041" spans="4:35" hidden="1">
      <c r="D2041" s="1"/>
      <c r="K2041" s="1"/>
      <c r="Q2041" s="1"/>
      <c r="AD2041" s="1"/>
      <c r="AG2041" s="1"/>
      <c r="AI2041" s="1"/>
    </row>
    <row r="2042" spans="4:35" hidden="1">
      <c r="D2042" s="1"/>
      <c r="K2042" s="1"/>
      <c r="Q2042" s="1"/>
      <c r="AD2042" s="1"/>
      <c r="AG2042" s="1"/>
      <c r="AI2042" s="1"/>
    </row>
    <row r="2043" spans="4:35" hidden="1">
      <c r="D2043" s="1"/>
      <c r="K2043" s="1"/>
      <c r="Q2043" s="1"/>
      <c r="AD2043" s="1"/>
      <c r="AG2043" s="1"/>
      <c r="AI2043" s="1"/>
    </row>
    <row r="2044" spans="4:35" hidden="1">
      <c r="D2044" s="1"/>
      <c r="K2044" s="1"/>
      <c r="Q2044" s="1"/>
      <c r="AD2044" s="1"/>
      <c r="AG2044" s="1"/>
      <c r="AI2044" s="1"/>
    </row>
    <row r="2045" spans="4:35" hidden="1">
      <c r="D2045" s="1"/>
      <c r="K2045" s="1"/>
      <c r="Q2045" s="1"/>
      <c r="AD2045" s="1"/>
      <c r="AG2045" s="1"/>
      <c r="AI2045" s="1"/>
    </row>
    <row r="2046" spans="4:35" hidden="1">
      <c r="D2046" s="1"/>
      <c r="K2046" s="1"/>
      <c r="Q2046" s="1"/>
      <c r="AD2046" s="1"/>
      <c r="AG2046" s="1"/>
      <c r="AI2046" s="1"/>
    </row>
    <row r="2047" spans="4:35" hidden="1">
      <c r="D2047" s="1"/>
      <c r="K2047" s="1"/>
      <c r="Q2047" s="1"/>
      <c r="AD2047" s="1"/>
      <c r="AG2047" s="1"/>
      <c r="AI2047" s="1"/>
    </row>
    <row r="2048" spans="4:35" hidden="1">
      <c r="D2048" s="1"/>
      <c r="K2048" s="1"/>
      <c r="Q2048" s="1"/>
      <c r="AD2048" s="1"/>
      <c r="AG2048" s="1"/>
      <c r="AI2048" s="1"/>
    </row>
    <row r="2049" spans="4:35" hidden="1">
      <c r="D2049" s="1"/>
      <c r="K2049" s="1"/>
      <c r="Q2049" s="1"/>
      <c r="AD2049" s="1"/>
      <c r="AG2049" s="1"/>
      <c r="AI2049" s="1"/>
    </row>
    <row r="2050" spans="4:35" hidden="1">
      <c r="D2050" s="1"/>
      <c r="K2050" s="1"/>
      <c r="Q2050" s="1"/>
      <c r="AD2050" s="1"/>
      <c r="AG2050" s="1"/>
      <c r="AI2050" s="1"/>
    </row>
    <row r="2051" spans="4:35" hidden="1">
      <c r="D2051" s="1"/>
      <c r="K2051" s="1"/>
      <c r="Q2051" s="1"/>
      <c r="AD2051" s="1"/>
      <c r="AG2051" s="1"/>
      <c r="AI2051" s="1"/>
    </row>
    <row r="2052" spans="4:35" hidden="1">
      <c r="D2052" s="1"/>
      <c r="K2052" s="1"/>
      <c r="Q2052" s="1"/>
      <c r="AD2052" s="1"/>
      <c r="AG2052" s="1"/>
      <c r="AI2052" s="1"/>
    </row>
    <row r="2053" spans="4:35" hidden="1">
      <c r="D2053" s="1"/>
      <c r="K2053" s="1"/>
      <c r="Q2053" s="1"/>
      <c r="AD2053" s="1"/>
      <c r="AG2053" s="1"/>
      <c r="AI2053" s="1"/>
    </row>
    <row r="2054" spans="4:35" hidden="1">
      <c r="D2054" s="1"/>
      <c r="K2054" s="1"/>
      <c r="Q2054" s="1"/>
      <c r="AD2054" s="1"/>
      <c r="AG2054" s="1"/>
      <c r="AI2054" s="1"/>
    </row>
    <row r="2055" spans="4:35" hidden="1">
      <c r="D2055" s="1"/>
      <c r="K2055" s="1"/>
      <c r="Q2055" s="1"/>
      <c r="AD2055" s="1"/>
      <c r="AG2055" s="1"/>
      <c r="AI2055" s="1"/>
    </row>
    <row r="2056" spans="4:35" hidden="1">
      <c r="D2056" s="1"/>
      <c r="K2056" s="1"/>
      <c r="Q2056" s="1"/>
      <c r="AD2056" s="1"/>
      <c r="AG2056" s="1"/>
      <c r="AI2056" s="1"/>
    </row>
    <row r="2057" spans="4:35" hidden="1">
      <c r="D2057" s="1"/>
      <c r="K2057" s="1"/>
      <c r="Q2057" s="1"/>
      <c r="AD2057" s="1"/>
      <c r="AG2057" s="1"/>
      <c r="AI2057" s="1"/>
    </row>
    <row r="2058" spans="4:35" hidden="1">
      <c r="D2058" s="1"/>
      <c r="K2058" s="1"/>
      <c r="Q2058" s="1"/>
      <c r="AD2058" s="1"/>
      <c r="AG2058" s="1"/>
      <c r="AI2058" s="1"/>
    </row>
    <row r="2059" spans="4:35" hidden="1">
      <c r="D2059" s="1"/>
      <c r="K2059" s="1"/>
      <c r="Q2059" s="1"/>
      <c r="AD2059" s="1"/>
      <c r="AG2059" s="1"/>
      <c r="AI2059" s="1"/>
    </row>
    <row r="2060" spans="4:35" hidden="1">
      <c r="D2060" s="1"/>
      <c r="K2060" s="1"/>
      <c r="Q2060" s="1"/>
      <c r="AD2060" s="1"/>
      <c r="AG2060" s="1"/>
      <c r="AI2060" s="1"/>
    </row>
    <row r="2061" spans="4:35" hidden="1">
      <c r="D2061" s="1"/>
      <c r="K2061" s="1"/>
      <c r="Q2061" s="1"/>
      <c r="AD2061" s="1"/>
      <c r="AG2061" s="1"/>
      <c r="AI2061" s="1"/>
    </row>
    <row r="2062" spans="4:35" hidden="1">
      <c r="D2062" s="1"/>
      <c r="K2062" s="1"/>
      <c r="Q2062" s="1"/>
      <c r="AD2062" s="1"/>
      <c r="AG2062" s="1"/>
      <c r="AI2062" s="1"/>
    </row>
    <row r="2063" spans="4:35" hidden="1">
      <c r="D2063" s="1"/>
      <c r="K2063" s="1"/>
      <c r="Q2063" s="1"/>
      <c r="AD2063" s="1"/>
      <c r="AG2063" s="1"/>
      <c r="AI2063" s="1"/>
    </row>
    <row r="2064" spans="4:35" hidden="1">
      <c r="D2064" s="1"/>
      <c r="K2064" s="1"/>
      <c r="Q2064" s="1"/>
      <c r="AD2064" s="1"/>
      <c r="AG2064" s="1"/>
      <c r="AI2064" s="1"/>
    </row>
    <row r="2065" spans="4:35" hidden="1">
      <c r="D2065" s="1"/>
      <c r="K2065" s="1"/>
      <c r="Q2065" s="1"/>
      <c r="AD2065" s="1"/>
      <c r="AG2065" s="1"/>
      <c r="AI2065" s="1"/>
    </row>
    <row r="2066" spans="4:35" hidden="1">
      <c r="D2066" s="1"/>
      <c r="K2066" s="1"/>
      <c r="Q2066" s="1"/>
      <c r="AD2066" s="1"/>
      <c r="AG2066" s="1"/>
      <c r="AI2066" s="1"/>
    </row>
    <row r="2067" spans="4:35" hidden="1">
      <c r="D2067" s="1"/>
      <c r="K2067" s="1"/>
      <c r="Q2067" s="1"/>
      <c r="AD2067" s="1"/>
      <c r="AG2067" s="1"/>
      <c r="AI2067" s="1"/>
    </row>
    <row r="2068" spans="4:35" hidden="1">
      <c r="D2068" s="1"/>
      <c r="K2068" s="1"/>
      <c r="Q2068" s="1"/>
      <c r="AD2068" s="1"/>
      <c r="AG2068" s="1"/>
      <c r="AI2068" s="1"/>
    </row>
    <row r="2069" spans="4:35" hidden="1">
      <c r="D2069" s="1"/>
      <c r="K2069" s="1"/>
      <c r="Q2069" s="1"/>
      <c r="AD2069" s="1"/>
      <c r="AG2069" s="1"/>
      <c r="AI2069" s="1"/>
    </row>
    <row r="2070" spans="4:35" hidden="1">
      <c r="D2070" s="1"/>
      <c r="K2070" s="1"/>
      <c r="Q2070" s="1"/>
      <c r="AD2070" s="1"/>
      <c r="AG2070" s="1"/>
      <c r="AI2070" s="1"/>
    </row>
    <row r="2071" spans="4:35" hidden="1">
      <c r="D2071" s="1"/>
      <c r="K2071" s="1"/>
      <c r="Q2071" s="1"/>
      <c r="AD2071" s="1"/>
      <c r="AG2071" s="1"/>
      <c r="AI2071" s="1"/>
    </row>
    <row r="2072" spans="4:35" hidden="1">
      <c r="D2072" s="1"/>
      <c r="K2072" s="1"/>
      <c r="Q2072" s="1"/>
      <c r="AD2072" s="1"/>
      <c r="AG2072" s="1"/>
      <c r="AI2072" s="1"/>
    </row>
    <row r="2073" spans="4:35" hidden="1">
      <c r="D2073" s="1"/>
      <c r="K2073" s="1"/>
      <c r="Q2073" s="1"/>
      <c r="AD2073" s="1"/>
      <c r="AG2073" s="1"/>
      <c r="AI2073" s="1"/>
    </row>
    <row r="2074" spans="4:35" hidden="1">
      <c r="D2074" s="1"/>
      <c r="K2074" s="1"/>
      <c r="Q2074" s="1"/>
      <c r="AD2074" s="1"/>
      <c r="AG2074" s="1"/>
      <c r="AI2074" s="1"/>
    </row>
    <row r="2075" spans="4:35" hidden="1">
      <c r="D2075" s="1"/>
      <c r="K2075" s="1"/>
      <c r="Q2075" s="1"/>
      <c r="AD2075" s="1"/>
      <c r="AG2075" s="1"/>
      <c r="AI2075" s="1"/>
    </row>
    <row r="2076" spans="4:35" hidden="1">
      <c r="D2076" s="1"/>
      <c r="K2076" s="1"/>
      <c r="Q2076" s="1"/>
      <c r="AD2076" s="1"/>
      <c r="AG2076" s="1"/>
      <c r="AI2076" s="1"/>
    </row>
    <row r="2077" spans="4:35" hidden="1">
      <c r="D2077" s="1"/>
      <c r="K2077" s="1"/>
      <c r="Q2077" s="1"/>
      <c r="AD2077" s="1"/>
      <c r="AG2077" s="1"/>
      <c r="AI2077" s="1"/>
    </row>
    <row r="2078" spans="4:35" hidden="1">
      <c r="D2078" s="1"/>
      <c r="K2078" s="1"/>
      <c r="Q2078" s="1"/>
      <c r="AD2078" s="1"/>
      <c r="AG2078" s="1"/>
      <c r="AI2078" s="1"/>
    </row>
    <row r="2079" spans="4:35" hidden="1">
      <c r="D2079" s="1"/>
      <c r="K2079" s="1"/>
      <c r="Q2079" s="1"/>
      <c r="AD2079" s="1"/>
      <c r="AG2079" s="1"/>
      <c r="AI2079" s="1"/>
    </row>
    <row r="2080" spans="4:35" hidden="1">
      <c r="D2080" s="1"/>
      <c r="K2080" s="1"/>
      <c r="Q2080" s="1"/>
      <c r="AD2080" s="1"/>
      <c r="AG2080" s="1"/>
      <c r="AI2080" s="1"/>
    </row>
    <row r="2081" spans="4:35" hidden="1">
      <c r="D2081" s="1"/>
      <c r="K2081" s="1"/>
      <c r="Q2081" s="1"/>
      <c r="AD2081" s="1"/>
      <c r="AG2081" s="1"/>
      <c r="AI2081" s="1"/>
    </row>
    <row r="2082" spans="4:35" hidden="1">
      <c r="D2082" s="1"/>
      <c r="K2082" s="1"/>
      <c r="Q2082" s="1"/>
      <c r="AD2082" s="1"/>
      <c r="AG2082" s="1"/>
      <c r="AI2082" s="1"/>
    </row>
    <row r="2083" spans="4:35" hidden="1">
      <c r="D2083" s="1"/>
      <c r="K2083" s="1"/>
      <c r="Q2083" s="1"/>
      <c r="AD2083" s="1"/>
      <c r="AG2083" s="1"/>
      <c r="AI2083" s="1"/>
    </row>
    <row r="2084" spans="4:35" hidden="1">
      <c r="D2084" s="1"/>
      <c r="K2084" s="1"/>
      <c r="Q2084" s="1"/>
      <c r="AD2084" s="1"/>
      <c r="AG2084" s="1"/>
      <c r="AI2084" s="1"/>
    </row>
    <row r="2085" spans="4:35" hidden="1">
      <c r="D2085" s="1"/>
      <c r="K2085" s="1"/>
      <c r="Q2085" s="1"/>
      <c r="AD2085" s="1"/>
      <c r="AG2085" s="1"/>
      <c r="AI2085" s="1"/>
    </row>
    <row r="2086" spans="4:35" hidden="1">
      <c r="D2086" s="1"/>
      <c r="K2086" s="1"/>
      <c r="Q2086" s="1"/>
      <c r="AD2086" s="1"/>
      <c r="AG2086" s="1"/>
      <c r="AI2086" s="1"/>
    </row>
    <row r="2087" spans="4:35" hidden="1">
      <c r="D2087" s="1"/>
      <c r="K2087" s="1"/>
      <c r="Q2087" s="1"/>
      <c r="AD2087" s="1"/>
      <c r="AG2087" s="1"/>
      <c r="AI2087" s="1"/>
    </row>
    <row r="2088" spans="4:35" hidden="1">
      <c r="D2088" s="1"/>
      <c r="K2088" s="1"/>
      <c r="Q2088" s="1"/>
      <c r="AD2088" s="1"/>
      <c r="AG2088" s="1"/>
      <c r="AI2088" s="1"/>
    </row>
    <row r="2089" spans="4:35" hidden="1">
      <c r="D2089" s="1"/>
      <c r="K2089" s="1"/>
      <c r="Q2089" s="1"/>
      <c r="AD2089" s="1"/>
      <c r="AG2089" s="1"/>
      <c r="AI2089" s="1"/>
    </row>
    <row r="2090" spans="4:35" hidden="1">
      <c r="D2090" s="1"/>
      <c r="K2090" s="1"/>
      <c r="Q2090" s="1"/>
      <c r="AD2090" s="1"/>
      <c r="AG2090" s="1"/>
      <c r="AI2090" s="1"/>
    </row>
    <row r="2091" spans="4:35" hidden="1">
      <c r="D2091" s="1"/>
      <c r="K2091" s="1"/>
      <c r="Q2091" s="1"/>
      <c r="AD2091" s="1"/>
      <c r="AG2091" s="1"/>
      <c r="AI2091" s="1"/>
    </row>
    <row r="2092" spans="4:35" hidden="1">
      <c r="D2092" s="1"/>
      <c r="K2092" s="1"/>
      <c r="Q2092" s="1"/>
      <c r="AD2092" s="1"/>
      <c r="AG2092" s="1"/>
      <c r="AI2092" s="1"/>
    </row>
    <row r="2093" spans="4:35" hidden="1">
      <c r="D2093" s="1"/>
      <c r="K2093" s="1"/>
      <c r="Q2093" s="1"/>
      <c r="AD2093" s="1"/>
      <c r="AG2093" s="1"/>
      <c r="AI2093" s="1"/>
    </row>
    <row r="2094" spans="4:35" hidden="1">
      <c r="D2094" s="1"/>
      <c r="K2094" s="1"/>
      <c r="Q2094" s="1"/>
      <c r="AD2094" s="1"/>
      <c r="AG2094" s="1"/>
      <c r="AI2094" s="1"/>
    </row>
    <row r="2095" spans="4:35" hidden="1">
      <c r="D2095" s="1"/>
      <c r="K2095" s="1"/>
      <c r="Q2095" s="1"/>
      <c r="AD2095" s="1"/>
      <c r="AG2095" s="1"/>
      <c r="AI2095" s="1"/>
    </row>
    <row r="2096" spans="4:35" hidden="1">
      <c r="D2096" s="1"/>
      <c r="K2096" s="1"/>
      <c r="Q2096" s="1"/>
      <c r="AD2096" s="1"/>
      <c r="AG2096" s="1"/>
      <c r="AI2096" s="1"/>
    </row>
    <row r="2097" spans="4:35" hidden="1">
      <c r="D2097" s="1"/>
      <c r="K2097" s="1"/>
      <c r="Q2097" s="1"/>
      <c r="AD2097" s="1"/>
      <c r="AG2097" s="1"/>
      <c r="AI2097" s="1"/>
    </row>
    <row r="2098" spans="4:35" hidden="1">
      <c r="D2098" s="1"/>
      <c r="K2098" s="1"/>
      <c r="Q2098" s="1"/>
      <c r="AD2098" s="1"/>
      <c r="AG2098" s="1"/>
      <c r="AI2098" s="1"/>
    </row>
    <row r="2099" spans="4:35" hidden="1">
      <c r="D2099" s="1"/>
      <c r="K2099" s="1"/>
      <c r="Q2099" s="1"/>
      <c r="AD2099" s="1"/>
      <c r="AG2099" s="1"/>
      <c r="AI2099" s="1"/>
    </row>
    <row r="2100" spans="4:35" hidden="1">
      <c r="D2100" s="1"/>
      <c r="K2100" s="1"/>
      <c r="Q2100" s="1"/>
      <c r="AD2100" s="1"/>
      <c r="AG2100" s="1"/>
      <c r="AI2100" s="1"/>
    </row>
    <row r="2101" spans="4:35" hidden="1">
      <c r="D2101" s="1"/>
      <c r="K2101" s="1"/>
      <c r="Q2101" s="1"/>
      <c r="AD2101" s="1"/>
      <c r="AG2101" s="1"/>
      <c r="AI2101" s="1"/>
    </row>
    <row r="2102" spans="4:35" hidden="1">
      <c r="D2102" s="1"/>
      <c r="K2102" s="1"/>
      <c r="Q2102" s="1"/>
      <c r="AD2102" s="1"/>
      <c r="AG2102" s="1"/>
      <c r="AI2102" s="1"/>
    </row>
    <row r="2103" spans="4:35" hidden="1">
      <c r="D2103" s="1"/>
      <c r="K2103" s="1"/>
      <c r="Q2103" s="1"/>
      <c r="AD2103" s="1"/>
      <c r="AG2103" s="1"/>
      <c r="AI2103" s="1"/>
    </row>
    <row r="2104" spans="4:35" hidden="1">
      <c r="D2104" s="1"/>
      <c r="K2104" s="1"/>
      <c r="Q2104" s="1"/>
      <c r="AD2104" s="1"/>
      <c r="AG2104" s="1"/>
      <c r="AI2104" s="1"/>
    </row>
    <row r="2105" spans="4:35" hidden="1">
      <c r="D2105" s="1"/>
      <c r="K2105" s="1"/>
      <c r="Q2105" s="1"/>
      <c r="AD2105" s="1"/>
      <c r="AG2105" s="1"/>
      <c r="AI2105" s="1"/>
    </row>
    <row r="2106" spans="4:35" hidden="1">
      <c r="D2106" s="1"/>
      <c r="K2106" s="1"/>
      <c r="Q2106" s="1"/>
      <c r="AD2106" s="1"/>
      <c r="AG2106" s="1"/>
      <c r="AI2106" s="1"/>
    </row>
    <row r="2107" spans="4:35" hidden="1">
      <c r="D2107" s="1"/>
      <c r="K2107" s="1"/>
      <c r="Q2107" s="1"/>
      <c r="AD2107" s="1"/>
      <c r="AG2107" s="1"/>
      <c r="AI2107" s="1"/>
    </row>
    <row r="2108" spans="4:35" hidden="1">
      <c r="D2108" s="1"/>
      <c r="K2108" s="1"/>
      <c r="Q2108" s="1"/>
      <c r="AD2108" s="1"/>
      <c r="AG2108" s="1"/>
      <c r="AI2108" s="1"/>
    </row>
    <row r="2109" spans="4:35" hidden="1">
      <c r="D2109" s="1"/>
      <c r="K2109" s="1"/>
      <c r="Q2109" s="1"/>
      <c r="AD2109" s="1"/>
      <c r="AG2109" s="1"/>
      <c r="AI2109" s="1"/>
    </row>
    <row r="2110" spans="4:35" hidden="1">
      <c r="D2110" s="1"/>
      <c r="K2110" s="1"/>
      <c r="Q2110" s="1"/>
      <c r="AD2110" s="1"/>
      <c r="AG2110" s="1"/>
      <c r="AI2110" s="1"/>
    </row>
    <row r="2111" spans="4:35" hidden="1">
      <c r="D2111" s="1"/>
      <c r="K2111" s="1"/>
      <c r="Q2111" s="1"/>
      <c r="AD2111" s="1"/>
      <c r="AG2111" s="1"/>
      <c r="AI2111" s="1"/>
    </row>
    <row r="2112" spans="4:35" hidden="1">
      <c r="D2112" s="1"/>
      <c r="K2112" s="1"/>
      <c r="Q2112" s="1"/>
      <c r="AD2112" s="1"/>
      <c r="AG2112" s="1"/>
      <c r="AI2112" s="1"/>
    </row>
    <row r="2113" spans="4:35" hidden="1">
      <c r="D2113" s="1"/>
      <c r="K2113" s="1"/>
      <c r="Q2113" s="1"/>
      <c r="AD2113" s="1"/>
      <c r="AG2113" s="1"/>
      <c r="AI2113" s="1"/>
    </row>
    <row r="2114" spans="4:35" hidden="1">
      <c r="D2114" s="1"/>
      <c r="K2114" s="1"/>
      <c r="Q2114" s="1"/>
      <c r="AD2114" s="1"/>
      <c r="AG2114" s="1"/>
      <c r="AI2114" s="1"/>
    </row>
    <row r="2115" spans="4:35" hidden="1">
      <c r="D2115" s="1"/>
      <c r="K2115" s="1"/>
      <c r="Q2115" s="1"/>
      <c r="AD2115" s="1"/>
      <c r="AG2115" s="1"/>
      <c r="AI2115" s="1"/>
    </row>
    <row r="2116" spans="4:35" hidden="1">
      <c r="D2116" s="1"/>
      <c r="K2116" s="1"/>
      <c r="Q2116" s="1"/>
      <c r="AD2116" s="1"/>
      <c r="AG2116" s="1"/>
      <c r="AI2116" s="1"/>
    </row>
    <row r="2117" spans="4:35" hidden="1">
      <c r="D2117" s="1"/>
      <c r="K2117" s="1"/>
      <c r="Q2117" s="1"/>
      <c r="AD2117" s="1"/>
      <c r="AG2117" s="1"/>
      <c r="AI2117" s="1"/>
    </row>
    <row r="2118" spans="4:35" hidden="1">
      <c r="D2118" s="1"/>
      <c r="K2118" s="1"/>
      <c r="Q2118" s="1"/>
      <c r="AD2118" s="1"/>
      <c r="AG2118" s="1"/>
      <c r="AI2118" s="1"/>
    </row>
    <row r="2119" spans="4:35" hidden="1">
      <c r="D2119" s="1"/>
      <c r="K2119" s="1"/>
      <c r="Q2119" s="1"/>
      <c r="AD2119" s="1"/>
      <c r="AG2119" s="1"/>
      <c r="AI2119" s="1"/>
    </row>
    <row r="2120" spans="4:35" hidden="1">
      <c r="D2120" s="1"/>
      <c r="K2120" s="1"/>
      <c r="Q2120" s="1"/>
      <c r="AD2120" s="1"/>
      <c r="AG2120" s="1"/>
      <c r="AI2120" s="1"/>
    </row>
    <row r="2121" spans="4:35" hidden="1">
      <c r="D2121" s="1"/>
      <c r="K2121" s="1"/>
      <c r="Q2121" s="1"/>
      <c r="AD2121" s="1"/>
      <c r="AG2121" s="1"/>
      <c r="AI2121" s="1"/>
    </row>
    <row r="2122" spans="4:35" hidden="1">
      <c r="D2122" s="1"/>
      <c r="K2122" s="1"/>
      <c r="Q2122" s="1"/>
      <c r="AD2122" s="1"/>
      <c r="AG2122" s="1"/>
      <c r="AI2122" s="1"/>
    </row>
    <row r="2123" spans="4:35" hidden="1">
      <c r="D2123" s="1"/>
      <c r="K2123" s="1"/>
      <c r="Q2123" s="1"/>
      <c r="AD2123" s="1"/>
      <c r="AG2123" s="1"/>
      <c r="AI2123" s="1"/>
    </row>
    <row r="2124" spans="4:35" hidden="1">
      <c r="D2124" s="1"/>
      <c r="K2124" s="1"/>
      <c r="Q2124" s="1"/>
      <c r="AD2124" s="1"/>
      <c r="AG2124" s="1"/>
      <c r="AI2124" s="1"/>
    </row>
    <row r="2125" spans="4:35" hidden="1">
      <c r="D2125" s="1"/>
      <c r="K2125" s="1"/>
      <c r="Q2125" s="1"/>
      <c r="AD2125" s="1"/>
      <c r="AG2125" s="1"/>
      <c r="AI2125" s="1"/>
    </row>
    <row r="2126" spans="4:35" hidden="1">
      <c r="D2126" s="1"/>
      <c r="K2126" s="1"/>
      <c r="Q2126" s="1"/>
      <c r="AD2126" s="1"/>
      <c r="AG2126" s="1"/>
      <c r="AI2126" s="1"/>
    </row>
    <row r="2127" spans="4:35" hidden="1">
      <c r="D2127" s="1"/>
      <c r="K2127" s="1"/>
      <c r="Q2127" s="1"/>
      <c r="AD2127" s="1"/>
      <c r="AG2127" s="1"/>
      <c r="AI2127" s="1"/>
    </row>
    <row r="2128" spans="4:35" hidden="1">
      <c r="D2128" s="1"/>
      <c r="K2128" s="1"/>
      <c r="Q2128" s="1"/>
      <c r="AD2128" s="1"/>
      <c r="AG2128" s="1"/>
      <c r="AI2128" s="1"/>
    </row>
    <row r="2129" spans="4:35" hidden="1">
      <c r="D2129" s="1"/>
      <c r="K2129" s="1"/>
      <c r="Q2129" s="1"/>
      <c r="AD2129" s="1"/>
      <c r="AG2129" s="1"/>
      <c r="AI2129" s="1"/>
    </row>
    <row r="2130" spans="4:35" hidden="1">
      <c r="D2130" s="1"/>
      <c r="K2130" s="1"/>
      <c r="Q2130" s="1"/>
      <c r="AD2130" s="1"/>
      <c r="AG2130" s="1"/>
      <c r="AI2130" s="1"/>
    </row>
    <row r="2131" spans="4:35" hidden="1">
      <c r="D2131" s="1"/>
      <c r="K2131" s="1"/>
      <c r="Q2131" s="1"/>
      <c r="AD2131" s="1"/>
      <c r="AG2131" s="1"/>
      <c r="AI2131" s="1"/>
    </row>
    <row r="2132" spans="4:35" hidden="1">
      <c r="D2132" s="1"/>
      <c r="K2132" s="1"/>
      <c r="Q2132" s="1"/>
      <c r="AD2132" s="1"/>
      <c r="AG2132" s="1"/>
      <c r="AI2132" s="1"/>
    </row>
    <row r="2133" spans="4:35" hidden="1">
      <c r="D2133" s="1"/>
      <c r="K2133" s="1"/>
      <c r="Q2133" s="1"/>
      <c r="AD2133" s="1"/>
      <c r="AG2133" s="1"/>
      <c r="AI2133" s="1"/>
    </row>
    <row r="2134" spans="4:35" hidden="1">
      <c r="D2134" s="1"/>
      <c r="K2134" s="1"/>
      <c r="Q2134" s="1"/>
      <c r="AD2134" s="1"/>
      <c r="AG2134" s="1"/>
      <c r="AI2134" s="1"/>
    </row>
    <row r="2135" spans="4:35" hidden="1">
      <c r="D2135" s="1"/>
      <c r="K2135" s="1"/>
      <c r="Q2135" s="1"/>
      <c r="AD2135" s="1"/>
      <c r="AG2135" s="1"/>
      <c r="AI2135" s="1"/>
    </row>
    <row r="2136" spans="4:35" hidden="1">
      <c r="D2136" s="1"/>
      <c r="K2136" s="1"/>
      <c r="Q2136" s="1"/>
      <c r="AD2136" s="1"/>
      <c r="AG2136" s="1"/>
      <c r="AI2136" s="1"/>
    </row>
    <row r="2137" spans="4:35" hidden="1">
      <c r="D2137" s="1"/>
      <c r="K2137" s="1"/>
      <c r="Q2137" s="1"/>
      <c r="AD2137" s="1"/>
      <c r="AG2137" s="1"/>
      <c r="AI2137" s="1"/>
    </row>
    <row r="2138" spans="4:35" hidden="1">
      <c r="D2138" s="1"/>
      <c r="K2138" s="1"/>
      <c r="Q2138" s="1"/>
      <c r="AD2138" s="1"/>
      <c r="AG2138" s="1"/>
      <c r="AI2138" s="1"/>
    </row>
    <row r="2139" spans="4:35" hidden="1">
      <c r="D2139" s="1"/>
      <c r="K2139" s="1"/>
      <c r="Q2139" s="1"/>
      <c r="AD2139" s="1"/>
      <c r="AG2139" s="1"/>
      <c r="AI2139" s="1"/>
    </row>
    <row r="2140" spans="4:35" hidden="1">
      <c r="D2140" s="1"/>
      <c r="K2140" s="1"/>
      <c r="Q2140" s="1"/>
      <c r="AD2140" s="1"/>
      <c r="AG2140" s="1"/>
      <c r="AI2140" s="1"/>
    </row>
    <row r="2141" spans="4:35" hidden="1">
      <c r="D2141" s="1"/>
      <c r="K2141" s="1"/>
      <c r="Q2141" s="1"/>
      <c r="AD2141" s="1"/>
      <c r="AG2141" s="1"/>
      <c r="AI2141" s="1"/>
    </row>
    <row r="2142" spans="4:35" hidden="1">
      <c r="D2142" s="1"/>
      <c r="K2142" s="1"/>
      <c r="Q2142" s="1"/>
      <c r="AD2142" s="1"/>
      <c r="AG2142" s="1"/>
      <c r="AI2142" s="1"/>
    </row>
    <row r="2143" spans="4:35" hidden="1">
      <c r="D2143" s="1"/>
      <c r="K2143" s="1"/>
      <c r="Q2143" s="1"/>
      <c r="AD2143" s="1"/>
      <c r="AG2143" s="1"/>
      <c r="AI2143" s="1"/>
    </row>
    <row r="2144" spans="4:35" hidden="1">
      <c r="D2144" s="1"/>
      <c r="K2144" s="1"/>
      <c r="Q2144" s="1"/>
      <c r="AD2144" s="1"/>
      <c r="AG2144" s="1"/>
      <c r="AI2144" s="1"/>
    </row>
    <row r="2145" spans="4:35" hidden="1">
      <c r="D2145" s="1"/>
      <c r="K2145" s="1"/>
      <c r="Q2145" s="1"/>
      <c r="AD2145" s="1"/>
      <c r="AG2145" s="1"/>
      <c r="AI2145" s="1"/>
    </row>
    <row r="2146" spans="4:35" hidden="1">
      <c r="D2146" s="1"/>
      <c r="K2146" s="1"/>
      <c r="Q2146" s="1"/>
      <c r="AD2146" s="1"/>
      <c r="AG2146" s="1"/>
      <c r="AI2146" s="1"/>
    </row>
    <row r="2147" spans="4:35" hidden="1">
      <c r="D2147" s="1"/>
      <c r="K2147" s="1"/>
      <c r="Q2147" s="1"/>
      <c r="AD2147" s="1"/>
      <c r="AG2147" s="1"/>
      <c r="AI2147" s="1"/>
    </row>
    <row r="2148" spans="4:35" hidden="1">
      <c r="D2148" s="1"/>
      <c r="K2148" s="1"/>
      <c r="Q2148" s="1"/>
      <c r="AD2148" s="1"/>
      <c r="AG2148" s="1"/>
      <c r="AI2148" s="1"/>
    </row>
    <row r="2149" spans="4:35" hidden="1">
      <c r="D2149" s="1"/>
      <c r="K2149" s="1"/>
      <c r="Q2149" s="1"/>
      <c r="AD2149" s="1"/>
      <c r="AG2149" s="1"/>
      <c r="AI2149" s="1"/>
    </row>
    <row r="2150" spans="4:35" hidden="1">
      <c r="D2150" s="1"/>
      <c r="K2150" s="1"/>
      <c r="Q2150" s="1"/>
      <c r="AD2150" s="1"/>
      <c r="AG2150" s="1"/>
      <c r="AI2150" s="1"/>
    </row>
    <row r="2151" spans="4:35" hidden="1">
      <c r="D2151" s="1"/>
      <c r="K2151" s="1"/>
      <c r="Q2151" s="1"/>
      <c r="AD2151" s="1"/>
      <c r="AG2151" s="1"/>
      <c r="AI2151" s="1"/>
    </row>
    <row r="2152" spans="4:35" hidden="1">
      <c r="D2152" s="1"/>
      <c r="K2152" s="1"/>
      <c r="Q2152" s="1"/>
      <c r="AD2152" s="1"/>
      <c r="AG2152" s="1"/>
      <c r="AI2152" s="1"/>
    </row>
    <row r="2153" spans="4:35" hidden="1">
      <c r="D2153" s="1"/>
      <c r="K2153" s="1"/>
      <c r="Q2153" s="1"/>
      <c r="AD2153" s="1"/>
      <c r="AG2153" s="1"/>
      <c r="AI2153" s="1"/>
    </row>
    <row r="2154" spans="4:35" hidden="1">
      <c r="D2154" s="1"/>
      <c r="K2154" s="1"/>
      <c r="Q2154" s="1"/>
      <c r="AD2154" s="1"/>
      <c r="AG2154" s="1"/>
      <c r="AI2154" s="1"/>
    </row>
    <row r="2155" spans="4:35" hidden="1">
      <c r="D2155" s="1"/>
      <c r="K2155" s="1"/>
      <c r="Q2155" s="1"/>
      <c r="AD2155" s="1"/>
      <c r="AG2155" s="1"/>
      <c r="AI2155" s="1"/>
    </row>
    <row r="2156" spans="4:35" hidden="1">
      <c r="D2156" s="1"/>
      <c r="K2156" s="1"/>
      <c r="Q2156" s="1"/>
      <c r="AD2156" s="1"/>
      <c r="AG2156" s="1"/>
      <c r="AI2156" s="1"/>
    </row>
    <row r="2157" spans="4:35" hidden="1">
      <c r="D2157" s="1"/>
      <c r="K2157" s="1"/>
      <c r="Q2157" s="1"/>
      <c r="AD2157" s="1"/>
      <c r="AG2157" s="1"/>
      <c r="AI2157" s="1"/>
    </row>
    <row r="2158" spans="4:35" hidden="1">
      <c r="D2158" s="1"/>
      <c r="K2158" s="1"/>
      <c r="Q2158" s="1"/>
      <c r="AD2158" s="1"/>
      <c r="AG2158" s="1"/>
      <c r="AI2158" s="1"/>
    </row>
    <row r="2159" spans="4:35" hidden="1">
      <c r="D2159" s="1"/>
      <c r="K2159" s="1"/>
      <c r="Q2159" s="1"/>
      <c r="AD2159" s="1"/>
      <c r="AG2159" s="1"/>
      <c r="AI2159" s="1"/>
    </row>
    <row r="2160" spans="4:35" hidden="1">
      <c r="D2160" s="1"/>
      <c r="K2160" s="1"/>
      <c r="Q2160" s="1"/>
      <c r="AD2160" s="1"/>
      <c r="AG2160" s="1"/>
      <c r="AI2160" s="1"/>
    </row>
    <row r="2161" spans="4:35" hidden="1">
      <c r="D2161" s="1"/>
      <c r="K2161" s="1"/>
      <c r="Q2161" s="1"/>
      <c r="AD2161" s="1"/>
      <c r="AG2161" s="1"/>
      <c r="AI2161" s="1"/>
    </row>
    <row r="2162" spans="4:35" hidden="1">
      <c r="D2162" s="1"/>
      <c r="K2162" s="1"/>
      <c r="Q2162" s="1"/>
      <c r="AD2162" s="1"/>
      <c r="AG2162" s="1"/>
      <c r="AI2162" s="1"/>
    </row>
    <row r="2163" spans="4:35" hidden="1">
      <c r="D2163" s="1"/>
      <c r="K2163" s="1"/>
      <c r="Q2163" s="1"/>
      <c r="AD2163" s="1"/>
      <c r="AG2163" s="1"/>
      <c r="AI2163" s="1"/>
    </row>
    <row r="2164" spans="4:35" hidden="1">
      <c r="D2164" s="1"/>
      <c r="K2164" s="1"/>
      <c r="Q2164" s="1"/>
      <c r="AD2164" s="1"/>
      <c r="AG2164" s="1"/>
      <c r="AI2164" s="1"/>
    </row>
    <row r="2165" spans="4:35" hidden="1">
      <c r="D2165" s="1"/>
      <c r="K2165" s="1"/>
      <c r="Q2165" s="1"/>
      <c r="AD2165" s="1"/>
      <c r="AG2165" s="1"/>
      <c r="AI2165" s="1"/>
    </row>
    <row r="2166" spans="4:35" hidden="1">
      <c r="D2166" s="1"/>
      <c r="K2166" s="1"/>
      <c r="Q2166" s="1"/>
      <c r="AD2166" s="1"/>
      <c r="AG2166" s="1"/>
      <c r="AI2166" s="1"/>
    </row>
    <row r="2167" spans="4:35" hidden="1">
      <c r="D2167" s="1"/>
      <c r="K2167" s="1"/>
      <c r="Q2167" s="1"/>
      <c r="AD2167" s="1"/>
      <c r="AG2167" s="1"/>
      <c r="AI2167" s="1"/>
    </row>
    <row r="2168" spans="4:35" hidden="1">
      <c r="D2168" s="1"/>
      <c r="K2168" s="1"/>
      <c r="Q2168" s="1"/>
      <c r="AD2168" s="1"/>
      <c r="AG2168" s="1"/>
      <c r="AI2168" s="1"/>
    </row>
    <row r="2169" spans="4:35" hidden="1">
      <c r="D2169" s="1"/>
      <c r="K2169" s="1"/>
      <c r="Q2169" s="1"/>
      <c r="AD2169" s="1"/>
      <c r="AG2169" s="1"/>
      <c r="AI2169" s="1"/>
    </row>
    <row r="2170" spans="4:35" hidden="1">
      <c r="D2170" s="1"/>
      <c r="K2170" s="1"/>
      <c r="Q2170" s="1"/>
      <c r="AD2170" s="1"/>
      <c r="AG2170" s="1"/>
      <c r="AI2170" s="1"/>
    </row>
    <row r="2171" spans="4:35" hidden="1">
      <c r="D2171" s="1"/>
      <c r="K2171" s="1"/>
      <c r="Q2171" s="1"/>
      <c r="AD2171" s="1"/>
      <c r="AG2171" s="1"/>
      <c r="AI2171" s="1"/>
    </row>
    <row r="2172" spans="4:35" hidden="1">
      <c r="D2172" s="1"/>
      <c r="K2172" s="1"/>
      <c r="Q2172" s="1"/>
      <c r="AD2172" s="1"/>
      <c r="AG2172" s="1"/>
      <c r="AI2172" s="1"/>
    </row>
    <row r="2173" spans="4:35" hidden="1">
      <c r="D2173" s="1"/>
      <c r="K2173" s="1"/>
      <c r="Q2173" s="1"/>
      <c r="AD2173" s="1"/>
      <c r="AG2173" s="1"/>
      <c r="AI2173" s="1"/>
    </row>
    <row r="2174" spans="4:35" hidden="1">
      <c r="D2174" s="1"/>
      <c r="K2174" s="1"/>
      <c r="Q2174" s="1"/>
      <c r="AD2174" s="1"/>
      <c r="AG2174" s="1"/>
      <c r="AI2174" s="1"/>
    </row>
    <row r="2175" spans="4:35" hidden="1">
      <c r="D2175" s="1"/>
      <c r="K2175" s="1"/>
      <c r="Q2175" s="1"/>
      <c r="AD2175" s="1"/>
      <c r="AG2175" s="1"/>
      <c r="AI2175" s="1"/>
    </row>
    <row r="2176" spans="4:35" hidden="1">
      <c r="D2176" s="1"/>
      <c r="K2176" s="1"/>
      <c r="Q2176" s="1"/>
      <c r="AD2176" s="1"/>
      <c r="AG2176" s="1"/>
      <c r="AI2176" s="1"/>
    </row>
    <row r="2177" spans="4:35" hidden="1">
      <c r="D2177" s="1"/>
      <c r="K2177" s="1"/>
      <c r="Q2177" s="1"/>
      <c r="AD2177" s="1"/>
      <c r="AG2177" s="1"/>
      <c r="AI2177" s="1"/>
    </row>
    <row r="2178" spans="4:35" hidden="1">
      <c r="D2178" s="1"/>
      <c r="K2178" s="1"/>
      <c r="Q2178" s="1"/>
      <c r="AD2178" s="1"/>
      <c r="AG2178" s="1"/>
      <c r="AI2178" s="1"/>
    </row>
    <row r="2179" spans="4:35" hidden="1">
      <c r="D2179" s="1"/>
      <c r="K2179" s="1"/>
      <c r="Q2179" s="1"/>
      <c r="AD2179" s="1"/>
      <c r="AG2179" s="1"/>
      <c r="AI2179" s="1"/>
    </row>
    <row r="2180" spans="4:35" hidden="1">
      <c r="D2180" s="1"/>
      <c r="K2180" s="1"/>
      <c r="Q2180" s="1"/>
      <c r="AD2180" s="1"/>
      <c r="AG2180" s="1"/>
      <c r="AI2180" s="1"/>
    </row>
    <row r="2181" spans="4:35" hidden="1">
      <c r="D2181" s="1"/>
      <c r="K2181" s="1"/>
      <c r="Q2181" s="1"/>
      <c r="AD2181" s="1"/>
      <c r="AG2181" s="1"/>
      <c r="AI2181" s="1"/>
    </row>
    <row r="2182" spans="4:35" hidden="1">
      <c r="D2182" s="1"/>
      <c r="K2182" s="1"/>
      <c r="Q2182" s="1"/>
      <c r="AD2182" s="1"/>
      <c r="AG2182" s="1"/>
      <c r="AI2182" s="1"/>
    </row>
    <row r="2183" spans="4:35" hidden="1">
      <c r="D2183" s="1"/>
      <c r="K2183" s="1"/>
      <c r="Q2183" s="1"/>
      <c r="AD2183" s="1"/>
      <c r="AG2183" s="1"/>
      <c r="AI2183" s="1"/>
    </row>
    <row r="2184" spans="4:35" hidden="1">
      <c r="D2184" s="1"/>
      <c r="K2184" s="1"/>
      <c r="Q2184" s="1"/>
      <c r="AD2184" s="1"/>
      <c r="AG2184" s="1"/>
      <c r="AI2184" s="1"/>
    </row>
    <row r="2185" spans="4:35" hidden="1">
      <c r="D2185" s="1"/>
      <c r="K2185" s="1"/>
      <c r="Q2185" s="1"/>
      <c r="AD2185" s="1"/>
      <c r="AG2185" s="1"/>
      <c r="AI2185" s="1"/>
    </row>
    <row r="2186" spans="4:35" hidden="1">
      <c r="D2186" s="1"/>
      <c r="K2186" s="1"/>
      <c r="Q2186" s="1"/>
      <c r="AD2186" s="1"/>
      <c r="AG2186" s="1"/>
      <c r="AI2186" s="1"/>
    </row>
    <row r="2187" spans="4:35" hidden="1">
      <c r="D2187" s="1"/>
      <c r="K2187" s="1"/>
      <c r="Q2187" s="1"/>
      <c r="AD2187" s="1"/>
      <c r="AG2187" s="1"/>
      <c r="AI2187" s="1"/>
    </row>
    <row r="2188" spans="4:35" hidden="1">
      <c r="D2188" s="1"/>
      <c r="K2188" s="1"/>
      <c r="Q2188" s="1"/>
      <c r="AD2188" s="1"/>
      <c r="AG2188" s="1"/>
      <c r="AI2188" s="1"/>
    </row>
    <row r="2189" spans="4:35" hidden="1">
      <c r="D2189" s="1"/>
      <c r="K2189" s="1"/>
      <c r="Q2189" s="1"/>
      <c r="AD2189" s="1"/>
      <c r="AG2189" s="1"/>
      <c r="AI2189" s="1"/>
    </row>
    <row r="2190" spans="4:35" hidden="1">
      <c r="D2190" s="1"/>
      <c r="K2190" s="1"/>
      <c r="Q2190" s="1"/>
      <c r="AD2190" s="1"/>
      <c r="AG2190" s="1"/>
      <c r="AI2190" s="1"/>
    </row>
    <row r="2191" spans="4:35" hidden="1">
      <c r="D2191" s="1"/>
      <c r="K2191" s="1"/>
      <c r="Q2191" s="1"/>
      <c r="AD2191" s="1"/>
      <c r="AG2191" s="1"/>
      <c r="AI2191" s="1"/>
    </row>
    <row r="2192" spans="4:35" hidden="1">
      <c r="D2192" s="1"/>
      <c r="K2192" s="1"/>
      <c r="Q2192" s="1"/>
      <c r="AD2192" s="1"/>
      <c r="AG2192" s="1"/>
      <c r="AI2192" s="1"/>
    </row>
    <row r="2193" spans="4:35" hidden="1">
      <c r="D2193" s="1"/>
      <c r="K2193" s="1"/>
      <c r="Q2193" s="1"/>
      <c r="AD2193" s="1"/>
      <c r="AG2193" s="1"/>
      <c r="AI2193" s="1"/>
    </row>
    <row r="2194" spans="4:35" hidden="1">
      <c r="D2194" s="1"/>
      <c r="K2194" s="1"/>
      <c r="Q2194" s="1"/>
      <c r="AD2194" s="1"/>
      <c r="AG2194" s="1"/>
      <c r="AI2194" s="1"/>
    </row>
    <row r="2195" spans="4:35" hidden="1">
      <c r="D2195" s="1"/>
      <c r="K2195" s="1"/>
      <c r="Q2195" s="1"/>
      <c r="AD2195" s="1"/>
      <c r="AG2195" s="1"/>
      <c r="AI2195" s="1"/>
    </row>
    <row r="2196" spans="4:35" hidden="1">
      <c r="D2196" s="1"/>
      <c r="K2196" s="1"/>
      <c r="Q2196" s="1"/>
      <c r="AD2196" s="1"/>
      <c r="AG2196" s="1"/>
      <c r="AI2196" s="1"/>
    </row>
    <row r="2197" spans="4:35" hidden="1">
      <c r="D2197" s="1"/>
      <c r="K2197" s="1"/>
      <c r="Q2197" s="1"/>
      <c r="AD2197" s="1"/>
      <c r="AG2197" s="1"/>
      <c r="AI2197" s="1"/>
    </row>
    <row r="2198" spans="4:35" hidden="1">
      <c r="D2198" s="1"/>
      <c r="K2198" s="1"/>
      <c r="Q2198" s="1"/>
      <c r="AD2198" s="1"/>
      <c r="AG2198" s="1"/>
      <c r="AI2198" s="1"/>
    </row>
    <row r="2199" spans="4:35" hidden="1">
      <c r="D2199" s="1"/>
      <c r="K2199" s="1"/>
      <c r="Q2199" s="1"/>
      <c r="AD2199" s="1"/>
      <c r="AG2199" s="1"/>
      <c r="AI2199" s="1"/>
    </row>
    <row r="2200" spans="4:35" hidden="1">
      <c r="D2200" s="1"/>
      <c r="K2200" s="1"/>
      <c r="Q2200" s="1"/>
      <c r="AD2200" s="1"/>
      <c r="AG2200" s="1"/>
      <c r="AI2200" s="1"/>
    </row>
    <row r="2201" spans="4:35" hidden="1">
      <c r="D2201" s="1"/>
      <c r="K2201" s="1"/>
      <c r="Q2201" s="1"/>
      <c r="AD2201" s="1"/>
      <c r="AG2201" s="1"/>
      <c r="AI2201" s="1"/>
    </row>
    <row r="2202" spans="4:35" hidden="1">
      <c r="D2202" s="1"/>
      <c r="K2202" s="1"/>
      <c r="Q2202" s="1"/>
      <c r="AD2202" s="1"/>
      <c r="AG2202" s="1"/>
      <c r="AI2202" s="1"/>
    </row>
    <row r="2203" spans="4:35" hidden="1">
      <c r="D2203" s="1"/>
      <c r="K2203" s="1"/>
      <c r="Q2203" s="1"/>
      <c r="AD2203" s="1"/>
      <c r="AG2203" s="1"/>
      <c r="AI2203" s="1"/>
    </row>
    <row r="2204" spans="4:35" hidden="1">
      <c r="D2204" s="1"/>
      <c r="K2204" s="1"/>
      <c r="Q2204" s="1"/>
      <c r="AD2204" s="1"/>
      <c r="AG2204" s="1"/>
      <c r="AI2204" s="1"/>
    </row>
    <row r="2205" spans="4:35" hidden="1">
      <c r="D2205" s="1"/>
      <c r="K2205" s="1"/>
      <c r="Q2205" s="1"/>
      <c r="AD2205" s="1"/>
      <c r="AG2205" s="1"/>
      <c r="AI2205" s="1"/>
    </row>
    <row r="2206" spans="4:35" hidden="1">
      <c r="D2206" s="1"/>
      <c r="K2206" s="1"/>
      <c r="Q2206" s="1"/>
      <c r="AD2206" s="1"/>
      <c r="AG2206" s="1"/>
      <c r="AI2206" s="1"/>
    </row>
    <row r="2207" spans="4:35" hidden="1">
      <c r="D2207" s="1"/>
      <c r="K2207" s="1"/>
      <c r="Q2207" s="1"/>
      <c r="AD2207" s="1"/>
      <c r="AG2207" s="1"/>
      <c r="AI2207" s="1"/>
    </row>
    <row r="2208" spans="4:35" hidden="1">
      <c r="D2208" s="1"/>
      <c r="K2208" s="1"/>
      <c r="Q2208" s="1"/>
      <c r="AD2208" s="1"/>
      <c r="AG2208" s="1"/>
      <c r="AI2208" s="1"/>
    </row>
    <row r="2209" spans="4:35" hidden="1">
      <c r="D2209" s="1"/>
      <c r="K2209" s="1"/>
      <c r="Q2209" s="1"/>
      <c r="AD2209" s="1"/>
      <c r="AG2209" s="1"/>
      <c r="AI2209" s="1"/>
    </row>
    <row r="2210" spans="4:35" hidden="1">
      <c r="D2210" s="1"/>
      <c r="K2210" s="1"/>
      <c r="Q2210" s="1"/>
      <c r="AD2210" s="1"/>
      <c r="AG2210" s="1"/>
      <c r="AI2210" s="1"/>
    </row>
    <row r="2211" spans="4:35" hidden="1">
      <c r="D2211" s="1"/>
      <c r="K2211" s="1"/>
      <c r="Q2211" s="1"/>
      <c r="AD2211" s="1"/>
      <c r="AG2211" s="1"/>
      <c r="AI2211" s="1"/>
    </row>
    <row r="2212" spans="4:35" hidden="1">
      <c r="D2212" s="1"/>
      <c r="K2212" s="1"/>
      <c r="Q2212" s="1"/>
      <c r="AD2212" s="1"/>
      <c r="AG2212" s="1"/>
      <c r="AI2212" s="1"/>
    </row>
    <row r="2213" spans="4:35" hidden="1">
      <c r="D2213" s="1"/>
      <c r="K2213" s="1"/>
      <c r="Q2213" s="1"/>
      <c r="AD2213" s="1"/>
      <c r="AG2213" s="1"/>
      <c r="AI2213" s="1"/>
    </row>
    <row r="2214" spans="4:35" hidden="1">
      <c r="D2214" s="1"/>
      <c r="K2214" s="1"/>
      <c r="Q2214" s="1"/>
      <c r="AD2214" s="1"/>
      <c r="AG2214" s="1"/>
      <c r="AI2214" s="1"/>
    </row>
    <row r="2215" spans="4:35" hidden="1">
      <c r="D2215" s="1"/>
      <c r="K2215" s="1"/>
      <c r="Q2215" s="1"/>
      <c r="AD2215" s="1"/>
      <c r="AG2215" s="1"/>
      <c r="AI2215" s="1"/>
    </row>
    <row r="2216" spans="4:35" hidden="1">
      <c r="D2216" s="1"/>
      <c r="K2216" s="1"/>
      <c r="Q2216" s="1"/>
      <c r="AD2216" s="1"/>
      <c r="AG2216" s="1"/>
      <c r="AI2216" s="1"/>
    </row>
    <row r="2217" spans="4:35" hidden="1">
      <c r="D2217" s="1"/>
      <c r="K2217" s="1"/>
      <c r="Q2217" s="1"/>
      <c r="AD2217" s="1"/>
      <c r="AG2217" s="1"/>
      <c r="AI2217" s="1"/>
    </row>
    <row r="2218" spans="4:35" hidden="1">
      <c r="D2218" s="1"/>
      <c r="K2218" s="1"/>
      <c r="Q2218" s="1"/>
      <c r="AD2218" s="1"/>
      <c r="AG2218" s="1"/>
      <c r="AI2218" s="1"/>
    </row>
    <row r="2219" spans="4:35" hidden="1">
      <c r="D2219" s="1"/>
      <c r="K2219" s="1"/>
      <c r="Q2219" s="1"/>
      <c r="AD2219" s="1"/>
      <c r="AG2219" s="1"/>
      <c r="AI2219" s="1"/>
    </row>
    <row r="2220" spans="4:35" hidden="1">
      <c r="D2220" s="1"/>
      <c r="K2220" s="1"/>
      <c r="Q2220" s="1"/>
      <c r="AD2220" s="1"/>
      <c r="AG2220" s="1"/>
      <c r="AI2220" s="1"/>
    </row>
    <row r="2221" spans="4:35" hidden="1">
      <c r="D2221" s="1"/>
      <c r="K2221" s="1"/>
      <c r="Q2221" s="1"/>
      <c r="AD2221" s="1"/>
      <c r="AG2221" s="1"/>
      <c r="AI2221" s="1"/>
    </row>
    <row r="2222" spans="4:35" hidden="1">
      <c r="D2222" s="1"/>
      <c r="K2222" s="1"/>
      <c r="Q2222" s="1"/>
      <c r="AD2222" s="1"/>
      <c r="AG2222" s="1"/>
      <c r="AI2222" s="1"/>
    </row>
    <row r="2223" spans="4:35" hidden="1">
      <c r="D2223" s="1"/>
      <c r="K2223" s="1"/>
      <c r="Q2223" s="1"/>
      <c r="AD2223" s="1"/>
      <c r="AG2223" s="1"/>
      <c r="AI2223" s="1"/>
    </row>
    <row r="2224" spans="4:35" hidden="1">
      <c r="D2224" s="1"/>
      <c r="K2224" s="1"/>
      <c r="Q2224" s="1"/>
      <c r="AD2224" s="1"/>
      <c r="AG2224" s="1"/>
      <c r="AI2224" s="1"/>
    </row>
    <row r="2225" spans="4:35" hidden="1">
      <c r="D2225" s="1"/>
      <c r="K2225" s="1"/>
      <c r="Q2225" s="1"/>
      <c r="AD2225" s="1"/>
      <c r="AG2225" s="1"/>
      <c r="AI2225" s="1"/>
    </row>
    <row r="2226" spans="4:35" hidden="1">
      <c r="D2226" s="1"/>
      <c r="K2226" s="1"/>
      <c r="Q2226" s="1"/>
      <c r="AD2226" s="1"/>
      <c r="AG2226" s="1"/>
      <c r="AI2226" s="1"/>
    </row>
    <row r="2227" spans="4:35" hidden="1">
      <c r="D2227" s="1"/>
      <c r="K2227" s="1"/>
      <c r="Q2227" s="1"/>
      <c r="AD2227" s="1"/>
      <c r="AG2227" s="1"/>
      <c r="AI2227" s="1"/>
    </row>
    <row r="2228" spans="4:35" hidden="1">
      <c r="D2228" s="1"/>
      <c r="K2228" s="1"/>
      <c r="Q2228" s="1"/>
      <c r="AD2228" s="1"/>
      <c r="AG2228" s="1"/>
      <c r="AI2228" s="1"/>
    </row>
    <row r="2229" spans="4:35" hidden="1">
      <c r="D2229" s="1"/>
      <c r="K2229" s="1"/>
      <c r="Q2229" s="1"/>
      <c r="AD2229" s="1"/>
      <c r="AG2229" s="1"/>
      <c r="AI2229" s="1"/>
    </row>
    <row r="2230" spans="4:35" hidden="1">
      <c r="D2230" s="1"/>
      <c r="K2230" s="1"/>
      <c r="Q2230" s="1"/>
      <c r="AD2230" s="1"/>
      <c r="AG2230" s="1"/>
      <c r="AI2230" s="1"/>
    </row>
    <row r="2231" spans="4:35" hidden="1">
      <c r="D2231" s="1"/>
      <c r="K2231" s="1"/>
      <c r="Q2231" s="1"/>
      <c r="AD2231" s="1"/>
      <c r="AG2231" s="1"/>
      <c r="AI2231" s="1"/>
    </row>
    <row r="2232" spans="4:35" hidden="1">
      <c r="D2232" s="1"/>
      <c r="K2232" s="1"/>
      <c r="Q2232" s="1"/>
      <c r="AD2232" s="1"/>
      <c r="AG2232" s="1"/>
      <c r="AI2232" s="1"/>
    </row>
    <row r="2233" spans="4:35" hidden="1">
      <c r="D2233" s="1"/>
      <c r="K2233" s="1"/>
      <c r="Q2233" s="1"/>
      <c r="AD2233" s="1"/>
      <c r="AG2233" s="1"/>
      <c r="AI2233" s="1"/>
    </row>
    <row r="2234" spans="4:35" hidden="1">
      <c r="D2234" s="1"/>
      <c r="K2234" s="1"/>
      <c r="Q2234" s="1"/>
      <c r="AD2234" s="1"/>
      <c r="AG2234" s="1"/>
      <c r="AI2234" s="1"/>
    </row>
    <row r="2235" spans="4:35" hidden="1">
      <c r="D2235" s="1"/>
      <c r="K2235" s="1"/>
      <c r="Q2235" s="1"/>
      <c r="AD2235" s="1"/>
      <c r="AG2235" s="1"/>
      <c r="AI2235" s="1"/>
    </row>
    <row r="2236" spans="4:35" hidden="1">
      <c r="D2236" s="1"/>
      <c r="K2236" s="1"/>
      <c r="Q2236" s="1"/>
      <c r="AD2236" s="1"/>
      <c r="AG2236" s="1"/>
      <c r="AI2236" s="1"/>
    </row>
    <row r="2237" spans="4:35" hidden="1">
      <c r="D2237" s="1"/>
      <c r="K2237" s="1"/>
      <c r="Q2237" s="1"/>
      <c r="AD2237" s="1"/>
      <c r="AG2237" s="1"/>
      <c r="AI2237" s="1"/>
    </row>
    <row r="2238" spans="4:35" hidden="1">
      <c r="D2238" s="1"/>
      <c r="K2238" s="1"/>
      <c r="Q2238" s="1"/>
      <c r="AD2238" s="1"/>
      <c r="AG2238" s="1"/>
      <c r="AI2238" s="1"/>
    </row>
    <row r="2239" spans="4:35" hidden="1">
      <c r="D2239" s="1"/>
      <c r="K2239" s="1"/>
      <c r="Q2239" s="1"/>
      <c r="AD2239" s="1"/>
      <c r="AG2239" s="1"/>
      <c r="AI2239" s="1"/>
    </row>
    <row r="2240" spans="4:35" hidden="1">
      <c r="D2240" s="1"/>
      <c r="K2240" s="1"/>
      <c r="Q2240" s="1"/>
      <c r="AD2240" s="1"/>
      <c r="AG2240" s="1"/>
      <c r="AI2240" s="1"/>
    </row>
    <row r="2241" spans="4:35" hidden="1">
      <c r="D2241" s="1"/>
      <c r="K2241" s="1"/>
      <c r="Q2241" s="1"/>
      <c r="AD2241" s="1"/>
      <c r="AG2241" s="1"/>
      <c r="AI2241" s="1"/>
    </row>
    <row r="2242" spans="4:35" hidden="1">
      <c r="D2242" s="1"/>
      <c r="K2242" s="1"/>
      <c r="Q2242" s="1"/>
      <c r="AD2242" s="1"/>
      <c r="AG2242" s="1"/>
      <c r="AI2242" s="1"/>
    </row>
    <row r="2243" spans="4:35" hidden="1">
      <c r="D2243" s="1"/>
      <c r="K2243" s="1"/>
      <c r="Q2243" s="1"/>
      <c r="AD2243" s="1"/>
      <c r="AG2243" s="1"/>
      <c r="AI2243" s="1"/>
    </row>
    <row r="2244" spans="4:35" hidden="1">
      <c r="D2244" s="1"/>
      <c r="K2244" s="1"/>
      <c r="Q2244" s="1"/>
      <c r="AD2244" s="1"/>
      <c r="AG2244" s="1"/>
      <c r="AI2244" s="1"/>
    </row>
    <row r="2245" spans="4:35" hidden="1">
      <c r="D2245" s="1"/>
      <c r="K2245" s="1"/>
      <c r="Q2245" s="1"/>
      <c r="AD2245" s="1"/>
      <c r="AG2245" s="1"/>
      <c r="AI2245" s="1"/>
    </row>
    <row r="2246" spans="4:35" hidden="1">
      <c r="D2246" s="1"/>
      <c r="K2246" s="1"/>
      <c r="Q2246" s="1"/>
      <c r="AD2246" s="1"/>
      <c r="AG2246" s="1"/>
      <c r="AI2246" s="1"/>
    </row>
    <row r="2247" spans="4:35" hidden="1">
      <c r="D2247" s="1"/>
      <c r="K2247" s="1"/>
      <c r="Q2247" s="1"/>
      <c r="AD2247" s="1"/>
      <c r="AG2247" s="1"/>
      <c r="AI2247" s="1"/>
    </row>
    <row r="2248" spans="4:35" hidden="1">
      <c r="D2248" s="1"/>
      <c r="K2248" s="1"/>
      <c r="Q2248" s="1"/>
      <c r="AD2248" s="1"/>
      <c r="AG2248" s="1"/>
      <c r="AI2248" s="1"/>
    </row>
    <row r="2249" spans="4:35" hidden="1">
      <c r="D2249" s="1"/>
      <c r="K2249" s="1"/>
      <c r="Q2249" s="1"/>
      <c r="AD2249" s="1"/>
      <c r="AG2249" s="1"/>
      <c r="AI2249" s="1"/>
    </row>
    <row r="2250" spans="4:35" hidden="1">
      <c r="D2250" s="1"/>
      <c r="K2250" s="1"/>
      <c r="Q2250" s="1"/>
      <c r="AD2250" s="1"/>
      <c r="AG2250" s="1"/>
      <c r="AI2250" s="1"/>
    </row>
    <row r="2251" spans="4:35" hidden="1">
      <c r="D2251" s="1"/>
      <c r="K2251" s="1"/>
      <c r="Q2251" s="1"/>
      <c r="AD2251" s="1"/>
      <c r="AG2251" s="1"/>
      <c r="AI2251" s="1"/>
    </row>
    <row r="2252" spans="4:35" hidden="1">
      <c r="D2252" s="1"/>
      <c r="K2252" s="1"/>
      <c r="Q2252" s="1"/>
      <c r="AD2252" s="1"/>
      <c r="AG2252" s="1"/>
      <c r="AI2252" s="1"/>
    </row>
    <row r="2253" spans="4:35" hidden="1">
      <c r="D2253" s="1"/>
      <c r="K2253" s="1"/>
      <c r="Q2253" s="1"/>
      <c r="AD2253" s="1"/>
      <c r="AG2253" s="1"/>
      <c r="AI2253" s="1"/>
    </row>
    <row r="2254" spans="4:35" hidden="1">
      <c r="D2254" s="1"/>
      <c r="K2254" s="1"/>
      <c r="Q2254" s="1"/>
      <c r="AD2254" s="1"/>
      <c r="AG2254" s="1"/>
      <c r="AI2254" s="1"/>
    </row>
    <row r="2255" spans="4:35" hidden="1">
      <c r="D2255" s="1"/>
      <c r="K2255" s="1"/>
      <c r="Q2255" s="1"/>
      <c r="AD2255" s="1"/>
      <c r="AG2255" s="1"/>
      <c r="AI2255" s="1"/>
    </row>
    <row r="2256" spans="4:35" hidden="1">
      <c r="D2256" s="1"/>
      <c r="K2256" s="1"/>
      <c r="Q2256" s="1"/>
      <c r="AD2256" s="1"/>
      <c r="AG2256" s="1"/>
      <c r="AI2256" s="1"/>
    </row>
    <row r="2257" spans="4:35" hidden="1">
      <c r="D2257" s="1"/>
      <c r="K2257" s="1"/>
      <c r="Q2257" s="1"/>
      <c r="AD2257" s="1"/>
      <c r="AG2257" s="1"/>
      <c r="AI2257" s="1"/>
    </row>
    <row r="2258" spans="4:35" hidden="1">
      <c r="D2258" s="1"/>
      <c r="K2258" s="1"/>
      <c r="Q2258" s="1"/>
      <c r="AD2258" s="1"/>
      <c r="AG2258" s="1"/>
      <c r="AI2258" s="1"/>
    </row>
    <row r="2259" spans="4:35" hidden="1">
      <c r="D2259" s="1"/>
      <c r="K2259" s="1"/>
      <c r="Q2259" s="1"/>
      <c r="AD2259" s="1"/>
      <c r="AG2259" s="1"/>
      <c r="AI2259" s="1"/>
    </row>
    <row r="2260" spans="4:35" hidden="1">
      <c r="D2260" s="1"/>
      <c r="K2260" s="1"/>
      <c r="Q2260" s="1"/>
      <c r="AD2260" s="1"/>
      <c r="AG2260" s="1"/>
      <c r="AI2260" s="1"/>
    </row>
    <row r="2261" spans="4:35" hidden="1">
      <c r="D2261" s="1"/>
      <c r="K2261" s="1"/>
      <c r="Q2261" s="1"/>
      <c r="AD2261" s="1"/>
      <c r="AG2261" s="1"/>
      <c r="AI2261" s="1"/>
    </row>
    <row r="2262" spans="4:35" hidden="1">
      <c r="D2262" s="1"/>
      <c r="K2262" s="1"/>
      <c r="Q2262" s="1"/>
      <c r="AD2262" s="1"/>
      <c r="AG2262" s="1"/>
      <c r="AI2262" s="1"/>
    </row>
    <row r="2263" spans="4:35" hidden="1">
      <c r="D2263" s="1"/>
      <c r="K2263" s="1"/>
      <c r="Q2263" s="1"/>
      <c r="AD2263" s="1"/>
      <c r="AG2263" s="1"/>
      <c r="AI2263" s="1"/>
    </row>
    <row r="2264" spans="4:35" hidden="1">
      <c r="D2264" s="1"/>
      <c r="K2264" s="1"/>
      <c r="Q2264" s="1"/>
      <c r="AD2264" s="1"/>
      <c r="AG2264" s="1"/>
      <c r="AI2264" s="1"/>
    </row>
    <row r="2265" spans="4:35" hidden="1">
      <c r="D2265" s="1"/>
      <c r="K2265" s="1"/>
      <c r="Q2265" s="1"/>
      <c r="AD2265" s="1"/>
      <c r="AG2265" s="1"/>
      <c r="AI2265" s="1"/>
    </row>
    <row r="2266" spans="4:35" hidden="1">
      <c r="D2266" s="1"/>
      <c r="K2266" s="1"/>
      <c r="Q2266" s="1"/>
      <c r="AD2266" s="1"/>
      <c r="AG2266" s="1"/>
      <c r="AI2266" s="1"/>
    </row>
    <row r="2267" spans="4:35" hidden="1">
      <c r="D2267" s="1"/>
      <c r="K2267" s="1"/>
      <c r="Q2267" s="1"/>
      <c r="AD2267" s="1"/>
      <c r="AG2267" s="1"/>
      <c r="AI2267" s="1"/>
    </row>
    <row r="2268" spans="4:35" hidden="1">
      <c r="D2268" s="1"/>
      <c r="K2268" s="1"/>
      <c r="Q2268" s="1"/>
      <c r="AD2268" s="1"/>
      <c r="AG2268" s="1"/>
      <c r="AI2268" s="1"/>
    </row>
    <row r="2269" spans="4:35" hidden="1">
      <c r="D2269" s="1"/>
      <c r="K2269" s="1"/>
      <c r="Q2269" s="1"/>
      <c r="AD2269" s="1"/>
      <c r="AG2269" s="1"/>
      <c r="AI2269" s="1"/>
    </row>
    <row r="2270" spans="4:35" hidden="1">
      <c r="D2270" s="1"/>
      <c r="K2270" s="1"/>
      <c r="Q2270" s="1"/>
      <c r="AD2270" s="1"/>
      <c r="AG2270" s="1"/>
      <c r="AI2270" s="1"/>
    </row>
    <row r="2271" spans="4:35" hidden="1">
      <c r="D2271" s="1"/>
      <c r="K2271" s="1"/>
      <c r="Q2271" s="1"/>
      <c r="AD2271" s="1"/>
      <c r="AG2271" s="1"/>
      <c r="AI2271" s="1"/>
    </row>
    <row r="2272" spans="4:35" hidden="1">
      <c r="D2272" s="1"/>
      <c r="K2272" s="1"/>
      <c r="Q2272" s="1"/>
      <c r="AD2272" s="1"/>
      <c r="AG2272" s="1"/>
      <c r="AI2272" s="1"/>
    </row>
    <row r="2273" spans="4:35" hidden="1">
      <c r="D2273" s="1"/>
      <c r="K2273" s="1"/>
      <c r="Q2273" s="1"/>
      <c r="AD2273" s="1"/>
      <c r="AG2273" s="1"/>
      <c r="AI2273" s="1"/>
    </row>
    <row r="2274" spans="4:35" hidden="1">
      <c r="D2274" s="1"/>
      <c r="K2274" s="1"/>
      <c r="Q2274" s="1"/>
      <c r="AD2274" s="1"/>
      <c r="AG2274" s="1"/>
      <c r="AI2274" s="1"/>
    </row>
    <row r="2275" spans="4:35" hidden="1">
      <c r="D2275" s="1"/>
      <c r="K2275" s="1"/>
      <c r="Q2275" s="1"/>
      <c r="AD2275" s="1"/>
      <c r="AG2275" s="1"/>
      <c r="AI2275" s="1"/>
    </row>
    <row r="2276" spans="4:35" hidden="1">
      <c r="D2276" s="1"/>
      <c r="K2276" s="1"/>
      <c r="Q2276" s="1"/>
      <c r="AD2276" s="1"/>
      <c r="AG2276" s="1"/>
      <c r="AI2276" s="1"/>
    </row>
    <row r="2277" spans="4:35" hidden="1">
      <c r="D2277" s="1"/>
      <c r="K2277" s="1"/>
      <c r="Q2277" s="1"/>
      <c r="AD2277" s="1"/>
      <c r="AG2277" s="1"/>
      <c r="AI2277" s="1"/>
    </row>
    <row r="2278" spans="4:35" hidden="1">
      <c r="D2278" s="1"/>
      <c r="K2278" s="1"/>
      <c r="Q2278" s="1"/>
      <c r="AD2278" s="1"/>
      <c r="AG2278" s="1"/>
      <c r="AI2278" s="1"/>
    </row>
    <row r="2279" spans="4:35" hidden="1">
      <c r="D2279" s="1"/>
      <c r="K2279" s="1"/>
      <c r="Q2279" s="1"/>
      <c r="AD2279" s="1"/>
      <c r="AG2279" s="1"/>
      <c r="AI2279" s="1"/>
    </row>
    <row r="2280" spans="4:35" hidden="1">
      <c r="D2280" s="1"/>
      <c r="K2280" s="1"/>
      <c r="Q2280" s="1"/>
      <c r="AD2280" s="1"/>
      <c r="AG2280" s="1"/>
      <c r="AI2280" s="1"/>
    </row>
    <row r="2281" spans="4:35" hidden="1">
      <c r="D2281" s="1"/>
      <c r="K2281" s="1"/>
      <c r="Q2281" s="1"/>
      <c r="AD2281" s="1"/>
      <c r="AG2281" s="1"/>
      <c r="AI2281" s="1"/>
    </row>
    <row r="2282" spans="4:35" hidden="1">
      <c r="D2282" s="1"/>
      <c r="K2282" s="1"/>
      <c r="Q2282" s="1"/>
      <c r="AD2282" s="1"/>
      <c r="AG2282" s="1"/>
      <c r="AI2282" s="1"/>
    </row>
    <row r="2283" spans="4:35" hidden="1">
      <c r="D2283" s="1"/>
      <c r="K2283" s="1"/>
      <c r="Q2283" s="1"/>
      <c r="AD2283" s="1"/>
      <c r="AG2283" s="1"/>
      <c r="AI2283" s="1"/>
    </row>
    <row r="2284" spans="4:35" hidden="1">
      <c r="D2284" s="1"/>
      <c r="K2284" s="1"/>
      <c r="Q2284" s="1"/>
      <c r="AD2284" s="1"/>
      <c r="AG2284" s="1"/>
      <c r="AI2284" s="1"/>
    </row>
    <row r="2285" spans="4:35" hidden="1">
      <c r="D2285" s="1"/>
      <c r="K2285" s="1"/>
      <c r="Q2285" s="1"/>
      <c r="AD2285" s="1"/>
      <c r="AG2285" s="1"/>
      <c r="AI2285" s="1"/>
    </row>
    <row r="2286" spans="4:35" hidden="1">
      <c r="D2286" s="1"/>
      <c r="K2286" s="1"/>
      <c r="Q2286" s="1"/>
      <c r="AD2286" s="1"/>
      <c r="AG2286" s="1"/>
      <c r="AI2286" s="1"/>
    </row>
    <row r="2287" spans="4:35" hidden="1">
      <c r="D2287" s="1"/>
      <c r="K2287" s="1"/>
      <c r="Q2287" s="1"/>
      <c r="AD2287" s="1"/>
      <c r="AG2287" s="1"/>
      <c r="AI2287" s="1"/>
    </row>
    <row r="2288" spans="4:35" hidden="1">
      <c r="D2288" s="1"/>
      <c r="K2288" s="1"/>
      <c r="Q2288" s="1"/>
      <c r="AD2288" s="1"/>
      <c r="AG2288" s="1"/>
      <c r="AI2288" s="1"/>
    </row>
    <row r="2289" spans="4:35" hidden="1">
      <c r="D2289" s="1"/>
      <c r="K2289" s="1"/>
      <c r="Q2289" s="1"/>
      <c r="AD2289" s="1"/>
      <c r="AG2289" s="1"/>
      <c r="AI2289" s="1"/>
    </row>
    <row r="2290" spans="4:35" hidden="1">
      <c r="D2290" s="1"/>
      <c r="K2290" s="1"/>
      <c r="Q2290" s="1"/>
      <c r="AD2290" s="1"/>
      <c r="AG2290" s="1"/>
      <c r="AI2290" s="1"/>
    </row>
    <row r="2291" spans="4:35" hidden="1">
      <c r="D2291" s="1"/>
      <c r="K2291" s="1"/>
      <c r="Q2291" s="1"/>
      <c r="AD2291" s="1"/>
      <c r="AG2291" s="1"/>
      <c r="AI2291" s="1"/>
    </row>
    <row r="2292" spans="4:35" hidden="1">
      <c r="D2292" s="1"/>
      <c r="K2292" s="1"/>
      <c r="Q2292" s="1"/>
      <c r="AD2292" s="1"/>
      <c r="AG2292" s="1"/>
      <c r="AI2292" s="1"/>
    </row>
    <row r="2293" spans="4:35" hidden="1">
      <c r="D2293" s="1"/>
      <c r="K2293" s="1"/>
      <c r="Q2293" s="1"/>
      <c r="AD2293" s="1"/>
      <c r="AG2293" s="1"/>
      <c r="AI2293" s="1"/>
    </row>
    <row r="2294" spans="4:35" hidden="1">
      <c r="D2294" s="1"/>
      <c r="K2294" s="1"/>
      <c r="Q2294" s="1"/>
      <c r="AD2294" s="1"/>
      <c r="AG2294" s="1"/>
      <c r="AI2294" s="1"/>
    </row>
    <row r="2295" spans="4:35" hidden="1">
      <c r="D2295" s="1"/>
      <c r="K2295" s="1"/>
      <c r="Q2295" s="1"/>
      <c r="AD2295" s="1"/>
      <c r="AG2295" s="1"/>
      <c r="AI2295" s="1"/>
    </row>
    <row r="2296" spans="4:35" hidden="1">
      <c r="D2296" s="1"/>
      <c r="K2296" s="1"/>
      <c r="Q2296" s="1"/>
      <c r="AD2296" s="1"/>
      <c r="AG2296" s="1"/>
      <c r="AI2296" s="1"/>
    </row>
    <row r="2297" spans="4:35" hidden="1">
      <c r="D2297" s="1"/>
      <c r="K2297" s="1"/>
      <c r="Q2297" s="1"/>
      <c r="AD2297" s="1"/>
      <c r="AG2297" s="1"/>
      <c r="AI2297" s="1"/>
    </row>
    <row r="2298" spans="4:35" hidden="1">
      <c r="D2298" s="1"/>
      <c r="K2298" s="1"/>
      <c r="Q2298" s="1"/>
      <c r="AD2298" s="1"/>
      <c r="AG2298" s="1"/>
      <c r="AI2298" s="1"/>
    </row>
    <row r="2299" spans="4:35" hidden="1">
      <c r="D2299" s="1"/>
      <c r="K2299" s="1"/>
      <c r="Q2299" s="1"/>
      <c r="AD2299" s="1"/>
      <c r="AG2299" s="1"/>
      <c r="AI2299" s="1"/>
    </row>
    <row r="2300" spans="4:35" hidden="1">
      <c r="D2300" s="1"/>
      <c r="K2300" s="1"/>
      <c r="Q2300" s="1"/>
      <c r="AD2300" s="1"/>
      <c r="AG2300" s="1"/>
      <c r="AI2300" s="1"/>
    </row>
    <row r="2301" spans="4:35" hidden="1">
      <c r="D2301" s="1"/>
      <c r="K2301" s="1"/>
      <c r="Q2301" s="1"/>
      <c r="AD2301" s="1"/>
      <c r="AG2301" s="1"/>
      <c r="AI2301" s="1"/>
    </row>
    <row r="2302" spans="4:35" hidden="1">
      <c r="D2302" s="1"/>
      <c r="K2302" s="1"/>
      <c r="Q2302" s="1"/>
      <c r="AD2302" s="1"/>
      <c r="AG2302" s="1"/>
      <c r="AI2302" s="1"/>
    </row>
    <row r="2303" spans="4:35" hidden="1">
      <c r="D2303" s="1"/>
      <c r="K2303" s="1"/>
      <c r="Q2303" s="1"/>
      <c r="AD2303" s="1"/>
      <c r="AG2303" s="1"/>
      <c r="AI2303" s="1"/>
    </row>
    <row r="2304" spans="4:35" hidden="1">
      <c r="D2304" s="1"/>
      <c r="K2304" s="1"/>
      <c r="Q2304" s="1"/>
      <c r="AD2304" s="1"/>
      <c r="AG2304" s="1"/>
      <c r="AI2304" s="1"/>
    </row>
    <row r="2305" spans="4:35" hidden="1">
      <c r="D2305" s="1"/>
      <c r="K2305" s="1"/>
      <c r="Q2305" s="1"/>
      <c r="AD2305" s="1"/>
      <c r="AG2305" s="1"/>
      <c r="AI2305" s="1"/>
    </row>
    <row r="2306" spans="4:35" hidden="1">
      <c r="D2306" s="1"/>
      <c r="K2306" s="1"/>
      <c r="Q2306" s="1"/>
      <c r="AD2306" s="1"/>
      <c r="AG2306" s="1"/>
      <c r="AI2306" s="1"/>
    </row>
    <row r="2307" spans="4:35" hidden="1">
      <c r="D2307" s="1"/>
      <c r="K2307" s="1"/>
      <c r="Q2307" s="1"/>
      <c r="AD2307" s="1"/>
      <c r="AG2307" s="1"/>
      <c r="AI2307" s="1"/>
    </row>
    <row r="2308" spans="4:35" hidden="1">
      <c r="D2308" s="1"/>
      <c r="K2308" s="1"/>
      <c r="Q2308" s="1"/>
      <c r="AD2308" s="1"/>
      <c r="AG2308" s="1"/>
      <c r="AI2308" s="1"/>
    </row>
    <row r="2309" spans="4:35" hidden="1">
      <c r="D2309" s="1"/>
      <c r="K2309" s="1"/>
      <c r="Q2309" s="1"/>
      <c r="AD2309" s="1"/>
      <c r="AG2309" s="1"/>
      <c r="AI2309" s="1"/>
    </row>
    <row r="2310" spans="4:35" hidden="1">
      <c r="D2310" s="1"/>
      <c r="K2310" s="1"/>
      <c r="Q2310" s="1"/>
      <c r="AD2310" s="1"/>
      <c r="AG2310" s="1"/>
      <c r="AI2310" s="1"/>
    </row>
    <row r="2311" spans="4:35" hidden="1">
      <c r="D2311" s="1"/>
      <c r="K2311" s="1"/>
      <c r="Q2311" s="1"/>
      <c r="AD2311" s="1"/>
      <c r="AG2311" s="1"/>
      <c r="AI2311" s="1"/>
    </row>
    <row r="2312" spans="4:35" hidden="1">
      <c r="D2312" s="1"/>
      <c r="K2312" s="1"/>
      <c r="Q2312" s="1"/>
      <c r="AD2312" s="1"/>
      <c r="AG2312" s="1"/>
      <c r="AI2312" s="1"/>
    </row>
    <row r="2313" spans="4:35" hidden="1">
      <c r="D2313" s="1"/>
      <c r="K2313" s="1"/>
      <c r="Q2313" s="1"/>
      <c r="AD2313" s="1"/>
      <c r="AG2313" s="1"/>
      <c r="AI2313" s="1"/>
    </row>
    <row r="2314" spans="4:35" hidden="1">
      <c r="D2314" s="1"/>
      <c r="K2314" s="1"/>
      <c r="Q2314" s="1"/>
      <c r="AD2314" s="1"/>
      <c r="AG2314" s="1"/>
      <c r="AI2314" s="1"/>
    </row>
    <row r="2315" spans="4:35" hidden="1">
      <c r="D2315" s="1"/>
      <c r="K2315" s="1"/>
      <c r="Q2315" s="1"/>
      <c r="AD2315" s="1"/>
      <c r="AG2315" s="1"/>
      <c r="AI2315" s="1"/>
    </row>
    <row r="2316" spans="4:35" hidden="1">
      <c r="D2316" s="1"/>
      <c r="K2316" s="1"/>
      <c r="Q2316" s="1"/>
      <c r="AD2316" s="1"/>
      <c r="AG2316" s="1"/>
      <c r="AI2316" s="1"/>
    </row>
    <row r="2317" spans="4:35" hidden="1">
      <c r="D2317" s="1"/>
      <c r="K2317" s="1"/>
      <c r="Q2317" s="1"/>
      <c r="AD2317" s="1"/>
      <c r="AG2317" s="1"/>
      <c r="AI2317" s="1"/>
    </row>
    <row r="2318" spans="4:35" hidden="1">
      <c r="D2318" s="1"/>
      <c r="K2318" s="1"/>
      <c r="Q2318" s="1"/>
      <c r="AD2318" s="1"/>
      <c r="AG2318" s="1"/>
      <c r="AI2318" s="1"/>
    </row>
    <row r="2319" spans="4:35" hidden="1">
      <c r="D2319" s="1"/>
      <c r="K2319" s="1"/>
      <c r="Q2319" s="1"/>
      <c r="AD2319" s="1"/>
      <c r="AG2319" s="1"/>
      <c r="AI2319" s="1"/>
    </row>
    <row r="2320" spans="4:35" hidden="1">
      <c r="D2320" s="1"/>
      <c r="K2320" s="1"/>
      <c r="Q2320" s="1"/>
      <c r="AD2320" s="1"/>
      <c r="AG2320" s="1"/>
      <c r="AI2320" s="1"/>
    </row>
    <row r="2321" spans="4:35" hidden="1">
      <c r="D2321" s="1"/>
      <c r="K2321" s="1"/>
      <c r="Q2321" s="1"/>
      <c r="AD2321" s="1"/>
      <c r="AG2321" s="1"/>
      <c r="AI2321" s="1"/>
    </row>
    <row r="2322" spans="4:35" hidden="1">
      <c r="D2322" s="1"/>
      <c r="K2322" s="1"/>
      <c r="Q2322" s="1"/>
      <c r="AD2322" s="1"/>
      <c r="AG2322" s="1"/>
      <c r="AI2322" s="1"/>
    </row>
    <row r="2323" spans="4:35" hidden="1">
      <c r="D2323" s="1"/>
      <c r="K2323" s="1"/>
      <c r="Q2323" s="1"/>
      <c r="AD2323" s="1"/>
      <c r="AG2323" s="1"/>
      <c r="AI2323" s="1"/>
    </row>
    <row r="2324" spans="4:35" hidden="1">
      <c r="D2324" s="1"/>
      <c r="K2324" s="1"/>
      <c r="Q2324" s="1"/>
      <c r="AD2324" s="1"/>
      <c r="AG2324" s="1"/>
      <c r="AI2324" s="1"/>
    </row>
    <row r="2325" spans="4:35" hidden="1">
      <c r="D2325" s="1"/>
      <c r="K2325" s="1"/>
      <c r="Q2325" s="1"/>
      <c r="AD2325" s="1"/>
      <c r="AG2325" s="1"/>
      <c r="AI2325" s="1"/>
    </row>
    <row r="2326" spans="4:35" hidden="1">
      <c r="D2326" s="1"/>
      <c r="K2326" s="1"/>
      <c r="Q2326" s="1"/>
      <c r="AD2326" s="1"/>
      <c r="AG2326" s="1"/>
      <c r="AI2326" s="1"/>
    </row>
    <row r="2327" spans="4:35" hidden="1">
      <c r="D2327" s="1"/>
      <c r="K2327" s="1"/>
      <c r="Q2327" s="1"/>
      <c r="AD2327" s="1"/>
      <c r="AG2327" s="1"/>
      <c r="AI2327" s="1"/>
    </row>
    <row r="2328" spans="4:35" hidden="1">
      <c r="D2328" s="1"/>
      <c r="K2328" s="1"/>
      <c r="Q2328" s="1"/>
      <c r="AD2328" s="1"/>
      <c r="AG2328" s="1"/>
      <c r="AI2328" s="1"/>
    </row>
    <row r="2329" spans="4:35" hidden="1">
      <c r="D2329" s="1"/>
      <c r="K2329" s="1"/>
      <c r="Q2329" s="1"/>
      <c r="AD2329" s="1"/>
      <c r="AG2329" s="1"/>
      <c r="AI2329" s="1"/>
    </row>
    <row r="2330" spans="4:35" hidden="1">
      <c r="D2330" s="1"/>
      <c r="K2330" s="1"/>
      <c r="Q2330" s="1"/>
      <c r="AD2330" s="1"/>
      <c r="AG2330" s="1"/>
      <c r="AI2330" s="1"/>
    </row>
    <row r="2331" spans="4:35" hidden="1">
      <c r="D2331" s="1"/>
      <c r="K2331" s="1"/>
      <c r="Q2331" s="1"/>
      <c r="AD2331" s="1"/>
      <c r="AG2331" s="1"/>
      <c r="AI2331" s="1"/>
    </row>
    <row r="2332" spans="4:35" hidden="1">
      <c r="D2332" s="1"/>
      <c r="K2332" s="1"/>
      <c r="Q2332" s="1"/>
      <c r="AD2332" s="1"/>
      <c r="AG2332" s="1"/>
      <c r="AI2332" s="1"/>
    </row>
    <row r="2333" spans="4:35" hidden="1">
      <c r="D2333" s="1"/>
      <c r="K2333" s="1"/>
      <c r="Q2333" s="1"/>
      <c r="AD2333" s="1"/>
      <c r="AG2333" s="1"/>
      <c r="AI2333" s="1"/>
    </row>
    <row r="2334" spans="4:35" hidden="1">
      <c r="D2334" s="1"/>
      <c r="K2334" s="1"/>
      <c r="Q2334" s="1"/>
      <c r="AD2334" s="1"/>
      <c r="AG2334" s="1"/>
      <c r="AI2334" s="1"/>
    </row>
    <row r="2335" spans="4:35" hidden="1">
      <c r="D2335" s="1"/>
      <c r="K2335" s="1"/>
      <c r="Q2335" s="1"/>
      <c r="AD2335" s="1"/>
      <c r="AG2335" s="1"/>
      <c r="AI2335" s="1"/>
    </row>
    <row r="2336" spans="4:35" hidden="1">
      <c r="D2336" s="1"/>
      <c r="K2336" s="1"/>
      <c r="Q2336" s="1"/>
      <c r="AD2336" s="1"/>
      <c r="AG2336" s="1"/>
      <c r="AI2336" s="1"/>
    </row>
    <row r="2337" spans="4:35" hidden="1">
      <c r="D2337" s="1"/>
      <c r="K2337" s="1"/>
      <c r="Q2337" s="1"/>
      <c r="AD2337" s="1"/>
      <c r="AG2337" s="1"/>
      <c r="AI2337" s="1"/>
    </row>
    <row r="2338" spans="4:35" hidden="1">
      <c r="D2338" s="1"/>
      <c r="K2338" s="1"/>
      <c r="Q2338" s="1"/>
      <c r="AD2338" s="1"/>
      <c r="AG2338" s="1"/>
      <c r="AI2338" s="1"/>
    </row>
    <row r="2339" spans="4:35" hidden="1">
      <c r="D2339" s="1"/>
      <c r="K2339" s="1"/>
      <c r="Q2339" s="1"/>
      <c r="AD2339" s="1"/>
      <c r="AG2339" s="1"/>
      <c r="AI2339" s="1"/>
    </row>
    <row r="2340" spans="4:35" hidden="1">
      <c r="D2340" s="1"/>
      <c r="K2340" s="1"/>
      <c r="Q2340" s="1"/>
      <c r="AD2340" s="1"/>
      <c r="AG2340" s="1"/>
      <c r="AI2340" s="1"/>
    </row>
    <row r="2341" spans="4:35" hidden="1">
      <c r="D2341" s="1"/>
      <c r="K2341" s="1"/>
      <c r="Q2341" s="1"/>
      <c r="AD2341" s="1"/>
      <c r="AG2341" s="1"/>
      <c r="AI2341" s="1"/>
    </row>
    <row r="2342" spans="4:35" hidden="1">
      <c r="D2342" s="1"/>
      <c r="K2342" s="1"/>
      <c r="Q2342" s="1"/>
      <c r="AD2342" s="1"/>
      <c r="AG2342" s="1"/>
      <c r="AI2342" s="1"/>
    </row>
    <row r="2343" spans="4:35" hidden="1">
      <c r="D2343" s="1"/>
      <c r="K2343" s="1"/>
      <c r="Q2343" s="1"/>
      <c r="AD2343" s="1"/>
      <c r="AG2343" s="1"/>
      <c r="AI2343" s="1"/>
    </row>
    <row r="2344" spans="4:35" hidden="1">
      <c r="D2344" s="1"/>
      <c r="K2344" s="1"/>
      <c r="Q2344" s="1"/>
      <c r="AD2344" s="1"/>
      <c r="AG2344" s="1"/>
      <c r="AI2344" s="1"/>
    </row>
    <row r="2345" spans="4:35" hidden="1">
      <c r="D2345" s="1"/>
      <c r="K2345" s="1"/>
      <c r="Q2345" s="1"/>
      <c r="AD2345" s="1"/>
      <c r="AG2345" s="1"/>
      <c r="AI2345" s="1"/>
    </row>
    <row r="2346" spans="4:35" hidden="1">
      <c r="D2346" s="1"/>
      <c r="K2346" s="1"/>
      <c r="Q2346" s="1"/>
      <c r="AD2346" s="1"/>
      <c r="AG2346" s="1"/>
      <c r="AI2346" s="1"/>
    </row>
    <row r="2347" spans="4:35" hidden="1">
      <c r="D2347" s="1"/>
      <c r="K2347" s="1"/>
      <c r="Q2347" s="1"/>
      <c r="AD2347" s="1"/>
      <c r="AG2347" s="1"/>
      <c r="AI2347" s="1"/>
    </row>
    <row r="2348" spans="4:35" hidden="1">
      <c r="D2348" s="1"/>
      <c r="K2348" s="1"/>
      <c r="Q2348" s="1"/>
      <c r="AD2348" s="1"/>
      <c r="AG2348" s="1"/>
      <c r="AI2348" s="1"/>
    </row>
    <row r="2349" spans="4:35" hidden="1">
      <c r="D2349" s="1"/>
      <c r="K2349" s="1"/>
      <c r="Q2349" s="1"/>
      <c r="AD2349" s="1"/>
      <c r="AG2349" s="1"/>
      <c r="AI2349" s="1"/>
    </row>
    <row r="2350" spans="4:35" hidden="1">
      <c r="D2350" s="1"/>
      <c r="K2350" s="1"/>
      <c r="Q2350" s="1"/>
      <c r="AD2350" s="1"/>
      <c r="AG2350" s="1"/>
      <c r="AI2350" s="1"/>
    </row>
    <row r="2351" spans="4:35" hidden="1">
      <c r="D2351" s="1"/>
      <c r="K2351" s="1"/>
      <c r="Q2351" s="1"/>
      <c r="AD2351" s="1"/>
      <c r="AG2351" s="1"/>
      <c r="AI2351" s="1"/>
    </row>
    <row r="2352" spans="4:35" hidden="1">
      <c r="D2352" s="1"/>
      <c r="K2352" s="1"/>
      <c r="Q2352" s="1"/>
      <c r="AD2352" s="1"/>
      <c r="AG2352" s="1"/>
      <c r="AI2352" s="1"/>
    </row>
    <row r="2353" spans="4:35" hidden="1">
      <c r="D2353" s="1"/>
      <c r="K2353" s="1"/>
      <c r="Q2353" s="1"/>
      <c r="AD2353" s="1"/>
      <c r="AG2353" s="1"/>
      <c r="AI2353" s="1"/>
    </row>
    <row r="2354" spans="4:35" hidden="1">
      <c r="D2354" s="1"/>
      <c r="K2354" s="1"/>
      <c r="Q2354" s="1"/>
      <c r="AD2354" s="1"/>
      <c r="AG2354" s="1"/>
      <c r="AI2354" s="1"/>
    </row>
    <row r="2355" spans="4:35" hidden="1">
      <c r="D2355" s="1"/>
      <c r="K2355" s="1"/>
      <c r="Q2355" s="1"/>
      <c r="AD2355" s="1"/>
      <c r="AG2355" s="1"/>
      <c r="AI2355" s="1"/>
    </row>
    <row r="2356" spans="4:35" hidden="1">
      <c r="D2356" s="1"/>
      <c r="K2356" s="1"/>
      <c r="Q2356" s="1"/>
      <c r="AD2356" s="1"/>
      <c r="AG2356" s="1"/>
      <c r="AI2356" s="1"/>
    </row>
    <row r="2357" spans="4:35" hidden="1">
      <c r="D2357" s="1"/>
      <c r="K2357" s="1"/>
      <c r="Q2357" s="1"/>
      <c r="AD2357" s="1"/>
      <c r="AG2357" s="1"/>
      <c r="AI2357" s="1"/>
    </row>
    <row r="2358" spans="4:35" hidden="1">
      <c r="D2358" s="1"/>
      <c r="K2358" s="1"/>
      <c r="Q2358" s="1"/>
      <c r="AD2358" s="1"/>
      <c r="AG2358" s="1"/>
      <c r="AI2358" s="1"/>
    </row>
    <row r="2359" spans="4:35" hidden="1">
      <c r="D2359" s="1"/>
      <c r="K2359" s="1"/>
      <c r="Q2359" s="1"/>
      <c r="AD2359" s="1"/>
      <c r="AG2359" s="1"/>
      <c r="AI2359" s="1"/>
    </row>
    <row r="2360" spans="4:35" hidden="1">
      <c r="D2360" s="1"/>
      <c r="K2360" s="1"/>
      <c r="Q2360" s="1"/>
      <c r="AD2360" s="1"/>
      <c r="AG2360" s="1"/>
      <c r="AI2360" s="1"/>
    </row>
    <row r="2361" spans="4:35" hidden="1">
      <c r="D2361" s="1"/>
      <c r="K2361" s="1"/>
      <c r="Q2361" s="1"/>
      <c r="AD2361" s="1"/>
      <c r="AG2361" s="1"/>
      <c r="AI2361" s="1"/>
    </row>
    <row r="2362" spans="4:35" hidden="1">
      <c r="D2362" s="1"/>
      <c r="K2362" s="1"/>
      <c r="Q2362" s="1"/>
      <c r="AD2362" s="1"/>
      <c r="AG2362" s="1"/>
      <c r="AI2362" s="1"/>
    </row>
    <row r="2363" spans="4:35" hidden="1">
      <c r="D2363" s="1"/>
      <c r="K2363" s="1"/>
      <c r="Q2363" s="1"/>
      <c r="AD2363" s="1"/>
      <c r="AG2363" s="1"/>
      <c r="AI2363" s="1"/>
    </row>
    <row r="2364" spans="4:35" hidden="1">
      <c r="D2364" s="1"/>
      <c r="K2364" s="1"/>
      <c r="Q2364" s="1"/>
      <c r="AD2364" s="1"/>
      <c r="AG2364" s="1"/>
      <c r="AI2364" s="1"/>
    </row>
    <row r="2365" spans="4:35" hidden="1">
      <c r="D2365" s="1"/>
      <c r="K2365" s="1"/>
      <c r="Q2365" s="1"/>
      <c r="AD2365" s="1"/>
      <c r="AG2365" s="1"/>
      <c r="AI2365" s="1"/>
    </row>
    <row r="2366" spans="4:35" hidden="1">
      <c r="D2366" s="1"/>
      <c r="K2366" s="1"/>
      <c r="Q2366" s="1"/>
      <c r="AD2366" s="1"/>
      <c r="AG2366" s="1"/>
      <c r="AI2366" s="1"/>
    </row>
    <row r="2367" spans="4:35" hidden="1">
      <c r="D2367" s="1"/>
      <c r="K2367" s="1"/>
      <c r="Q2367" s="1"/>
      <c r="AD2367" s="1"/>
      <c r="AG2367" s="1"/>
      <c r="AI2367" s="1"/>
    </row>
    <row r="2368" spans="4:35" hidden="1">
      <c r="D2368" s="1"/>
      <c r="K2368" s="1"/>
      <c r="Q2368" s="1"/>
      <c r="AD2368" s="1"/>
      <c r="AG2368" s="1"/>
      <c r="AI2368" s="1"/>
    </row>
    <row r="2369" spans="4:35" hidden="1">
      <c r="D2369" s="1"/>
      <c r="K2369" s="1"/>
      <c r="Q2369" s="1"/>
      <c r="AD2369" s="1"/>
      <c r="AG2369" s="1"/>
      <c r="AI2369" s="1"/>
    </row>
    <row r="2370" spans="4:35" hidden="1">
      <c r="D2370" s="1"/>
      <c r="K2370" s="1"/>
      <c r="Q2370" s="1"/>
      <c r="AD2370" s="1"/>
      <c r="AG2370" s="1"/>
      <c r="AI2370" s="1"/>
    </row>
    <row r="2371" spans="4:35" hidden="1">
      <c r="D2371" s="1"/>
      <c r="K2371" s="1"/>
      <c r="Q2371" s="1"/>
      <c r="AD2371" s="1"/>
      <c r="AG2371" s="1"/>
      <c r="AI2371" s="1"/>
    </row>
    <row r="2372" spans="4:35" hidden="1">
      <c r="D2372" s="1"/>
      <c r="K2372" s="1"/>
      <c r="Q2372" s="1"/>
      <c r="AD2372" s="1"/>
      <c r="AG2372" s="1"/>
      <c r="AI2372" s="1"/>
    </row>
    <row r="2373" spans="4:35" hidden="1">
      <c r="D2373" s="1"/>
      <c r="K2373" s="1"/>
      <c r="Q2373" s="1"/>
      <c r="AD2373" s="1"/>
      <c r="AG2373" s="1"/>
      <c r="AI2373" s="1"/>
    </row>
    <row r="2374" spans="4:35" hidden="1">
      <c r="D2374" s="1"/>
      <c r="K2374" s="1"/>
      <c r="Q2374" s="1"/>
      <c r="AD2374" s="1"/>
      <c r="AG2374" s="1"/>
      <c r="AI2374" s="1"/>
    </row>
    <row r="2375" spans="4:35" hidden="1">
      <c r="D2375" s="1"/>
      <c r="K2375" s="1"/>
      <c r="Q2375" s="1"/>
      <c r="AD2375" s="1"/>
      <c r="AG2375" s="1"/>
      <c r="AI2375" s="1"/>
    </row>
    <row r="2376" spans="4:35" hidden="1">
      <c r="D2376" s="1"/>
      <c r="K2376" s="1"/>
      <c r="Q2376" s="1"/>
      <c r="AD2376" s="1"/>
      <c r="AG2376" s="1"/>
      <c r="AI2376" s="1"/>
    </row>
    <row r="2377" spans="4:35" hidden="1">
      <c r="D2377" s="1"/>
      <c r="K2377" s="1"/>
      <c r="Q2377" s="1"/>
      <c r="AD2377" s="1"/>
      <c r="AG2377" s="1"/>
      <c r="AI2377" s="1"/>
    </row>
    <row r="2378" spans="4:35" hidden="1">
      <c r="D2378" s="1"/>
      <c r="K2378" s="1"/>
      <c r="Q2378" s="1"/>
      <c r="AD2378" s="1"/>
      <c r="AG2378" s="1"/>
      <c r="AI2378" s="1"/>
    </row>
    <row r="2379" spans="4:35" hidden="1">
      <c r="D2379" s="1"/>
      <c r="K2379" s="1"/>
      <c r="Q2379" s="1"/>
      <c r="AD2379" s="1"/>
      <c r="AG2379" s="1"/>
      <c r="AI2379" s="1"/>
    </row>
    <row r="2380" spans="4:35" hidden="1">
      <c r="D2380" s="1"/>
      <c r="K2380" s="1"/>
      <c r="Q2380" s="1"/>
      <c r="AD2380" s="1"/>
      <c r="AG2380" s="1"/>
      <c r="AI2380" s="1"/>
    </row>
    <row r="2381" spans="4:35" hidden="1">
      <c r="D2381" s="1"/>
      <c r="K2381" s="1"/>
      <c r="Q2381" s="1"/>
      <c r="AD2381" s="1"/>
      <c r="AG2381" s="1"/>
      <c r="AI2381" s="1"/>
    </row>
    <row r="2382" spans="4:35" hidden="1">
      <c r="D2382" s="1"/>
      <c r="K2382" s="1"/>
      <c r="Q2382" s="1"/>
      <c r="AD2382" s="1"/>
      <c r="AG2382" s="1"/>
      <c r="AI2382" s="1"/>
    </row>
    <row r="2383" spans="4:35" hidden="1">
      <c r="D2383" s="1"/>
      <c r="K2383" s="1"/>
      <c r="Q2383" s="1"/>
      <c r="AD2383" s="1"/>
      <c r="AG2383" s="1"/>
      <c r="AI2383" s="1"/>
    </row>
    <row r="2384" spans="4:35" hidden="1">
      <c r="D2384" s="1"/>
      <c r="K2384" s="1"/>
      <c r="Q2384" s="1"/>
      <c r="AD2384" s="1"/>
      <c r="AG2384" s="1"/>
      <c r="AI2384" s="1"/>
    </row>
    <row r="2385" spans="4:35" hidden="1">
      <c r="D2385" s="1"/>
      <c r="K2385" s="1"/>
      <c r="Q2385" s="1"/>
      <c r="AD2385" s="1"/>
      <c r="AG2385" s="1"/>
      <c r="AI2385" s="1"/>
    </row>
    <row r="2386" spans="4:35" hidden="1">
      <c r="D2386" s="1"/>
      <c r="K2386" s="1"/>
      <c r="Q2386" s="1"/>
      <c r="AD2386" s="1"/>
      <c r="AG2386" s="1"/>
      <c r="AI2386" s="1"/>
    </row>
    <row r="2387" spans="4:35" hidden="1">
      <c r="D2387" s="1"/>
      <c r="K2387" s="1"/>
      <c r="Q2387" s="1"/>
      <c r="AD2387" s="1"/>
      <c r="AG2387" s="1"/>
      <c r="AI2387" s="1"/>
    </row>
    <row r="2388" spans="4:35" hidden="1">
      <c r="D2388" s="1"/>
      <c r="K2388" s="1"/>
      <c r="Q2388" s="1"/>
      <c r="AD2388" s="1"/>
      <c r="AG2388" s="1"/>
      <c r="AI2388" s="1"/>
    </row>
    <row r="2389" spans="4:35" hidden="1">
      <c r="D2389" s="1"/>
      <c r="K2389" s="1"/>
      <c r="Q2389" s="1"/>
      <c r="AD2389" s="1"/>
      <c r="AG2389" s="1"/>
      <c r="AI2389" s="1"/>
    </row>
    <row r="2390" spans="4:35" hidden="1">
      <c r="D2390" s="1"/>
      <c r="K2390" s="1"/>
      <c r="Q2390" s="1"/>
      <c r="AD2390" s="1"/>
      <c r="AG2390" s="1"/>
      <c r="AI2390" s="1"/>
    </row>
    <row r="2391" spans="4:35" hidden="1">
      <c r="D2391" s="1"/>
      <c r="K2391" s="1"/>
      <c r="Q2391" s="1"/>
      <c r="AD2391" s="1"/>
      <c r="AG2391" s="1"/>
      <c r="AI2391" s="1"/>
    </row>
    <row r="2392" spans="4:35" hidden="1">
      <c r="D2392" s="1"/>
      <c r="K2392" s="1"/>
      <c r="Q2392" s="1"/>
      <c r="AD2392" s="1"/>
      <c r="AG2392" s="1"/>
      <c r="AI2392" s="1"/>
    </row>
    <row r="2393" spans="4:35" hidden="1">
      <c r="D2393" s="1"/>
      <c r="K2393" s="1"/>
      <c r="Q2393" s="1"/>
      <c r="AD2393" s="1"/>
      <c r="AG2393" s="1"/>
      <c r="AI2393" s="1"/>
    </row>
    <row r="2394" spans="4:35" hidden="1">
      <c r="D2394" s="1"/>
      <c r="K2394" s="1"/>
      <c r="Q2394" s="1"/>
      <c r="AD2394" s="1"/>
      <c r="AG2394" s="1"/>
      <c r="AI2394" s="1"/>
    </row>
    <row r="2395" spans="4:35" hidden="1">
      <c r="D2395" s="1"/>
      <c r="K2395" s="1"/>
      <c r="Q2395" s="1"/>
      <c r="AD2395" s="1"/>
      <c r="AG2395" s="1"/>
      <c r="AI2395" s="1"/>
    </row>
    <row r="2396" spans="4:35" hidden="1">
      <c r="D2396" s="1"/>
      <c r="K2396" s="1"/>
      <c r="Q2396" s="1"/>
      <c r="AD2396" s="1"/>
      <c r="AG2396" s="1"/>
      <c r="AI2396" s="1"/>
    </row>
    <row r="2397" spans="4:35" hidden="1">
      <c r="D2397" s="1"/>
      <c r="K2397" s="1"/>
      <c r="Q2397" s="1"/>
      <c r="AD2397" s="1"/>
      <c r="AG2397" s="1"/>
      <c r="AI2397" s="1"/>
    </row>
    <row r="2398" spans="4:35" hidden="1">
      <c r="D2398" s="1"/>
      <c r="K2398" s="1"/>
      <c r="Q2398" s="1"/>
      <c r="AD2398" s="1"/>
      <c r="AG2398" s="1"/>
      <c r="AI2398" s="1"/>
    </row>
    <row r="2399" spans="4:35" hidden="1">
      <c r="D2399" s="1"/>
      <c r="K2399" s="1"/>
      <c r="Q2399" s="1"/>
      <c r="AD2399" s="1"/>
      <c r="AG2399" s="1"/>
      <c r="AI2399" s="1"/>
    </row>
    <row r="2400" spans="4:35" hidden="1">
      <c r="D2400" s="1"/>
      <c r="K2400" s="1"/>
      <c r="Q2400" s="1"/>
      <c r="AD2400" s="1"/>
      <c r="AG2400" s="1"/>
      <c r="AI2400" s="1"/>
    </row>
    <row r="2401" spans="4:35" hidden="1">
      <c r="D2401" s="1"/>
      <c r="K2401" s="1"/>
      <c r="Q2401" s="1"/>
      <c r="AD2401" s="1"/>
      <c r="AG2401" s="1"/>
      <c r="AI2401" s="1"/>
    </row>
    <row r="2402" spans="4:35" hidden="1">
      <c r="D2402" s="1"/>
      <c r="K2402" s="1"/>
      <c r="Q2402" s="1"/>
      <c r="AD2402" s="1"/>
      <c r="AG2402" s="1"/>
      <c r="AI2402" s="1"/>
    </row>
    <row r="2403" spans="4:35" hidden="1">
      <c r="D2403" s="1"/>
      <c r="K2403" s="1"/>
      <c r="Q2403" s="1"/>
      <c r="AD2403" s="1"/>
      <c r="AG2403" s="1"/>
      <c r="AI2403" s="1"/>
    </row>
    <row r="2404" spans="4:35" hidden="1">
      <c r="D2404" s="1"/>
      <c r="K2404" s="1"/>
      <c r="Q2404" s="1"/>
      <c r="AD2404" s="1"/>
      <c r="AG2404" s="1"/>
      <c r="AI2404" s="1"/>
    </row>
    <row r="2405" spans="4:35" hidden="1">
      <c r="D2405" s="1"/>
      <c r="K2405" s="1"/>
      <c r="Q2405" s="1"/>
      <c r="AD2405" s="1"/>
      <c r="AG2405" s="1"/>
      <c r="AI2405" s="1"/>
    </row>
    <row r="2406" spans="4:35" hidden="1">
      <c r="D2406" s="1"/>
      <c r="K2406" s="1"/>
      <c r="Q2406" s="1"/>
      <c r="AD2406" s="1"/>
      <c r="AG2406" s="1"/>
      <c r="AI2406" s="1"/>
    </row>
    <row r="2407" spans="4:35" hidden="1">
      <c r="D2407" s="1"/>
      <c r="K2407" s="1"/>
      <c r="Q2407" s="1"/>
      <c r="AD2407" s="1"/>
      <c r="AG2407" s="1"/>
      <c r="AI2407" s="1"/>
    </row>
    <row r="2408" spans="4:35" hidden="1">
      <c r="D2408" s="1"/>
      <c r="K2408" s="1"/>
      <c r="Q2408" s="1"/>
      <c r="AD2408" s="1"/>
      <c r="AG2408" s="1"/>
      <c r="AI2408" s="1"/>
    </row>
    <row r="2409" spans="4:35" hidden="1">
      <c r="D2409" s="1"/>
      <c r="K2409" s="1"/>
      <c r="Q2409" s="1"/>
      <c r="AD2409" s="1"/>
      <c r="AG2409" s="1"/>
      <c r="AI2409" s="1"/>
    </row>
    <row r="2410" spans="4:35" hidden="1">
      <c r="D2410" s="1"/>
      <c r="K2410" s="1"/>
      <c r="Q2410" s="1"/>
      <c r="AD2410" s="1"/>
      <c r="AG2410" s="1"/>
      <c r="AI2410" s="1"/>
    </row>
    <row r="2411" spans="4:35" hidden="1">
      <c r="D2411" s="1"/>
      <c r="K2411" s="1"/>
      <c r="Q2411" s="1"/>
      <c r="AD2411" s="1"/>
      <c r="AG2411" s="1"/>
      <c r="AI2411" s="1"/>
    </row>
    <row r="2412" spans="4:35" hidden="1">
      <c r="D2412" s="1"/>
      <c r="K2412" s="1"/>
      <c r="Q2412" s="1"/>
      <c r="AD2412" s="1"/>
      <c r="AG2412" s="1"/>
      <c r="AI2412" s="1"/>
    </row>
    <row r="2413" spans="4:35" hidden="1">
      <c r="D2413" s="1"/>
      <c r="K2413" s="1"/>
      <c r="Q2413" s="1"/>
      <c r="AD2413" s="1"/>
      <c r="AG2413" s="1"/>
      <c r="AI2413" s="1"/>
    </row>
    <row r="2414" spans="4:35" hidden="1">
      <c r="D2414" s="1"/>
      <c r="K2414" s="1"/>
      <c r="Q2414" s="1"/>
      <c r="AD2414" s="1"/>
      <c r="AG2414" s="1"/>
      <c r="AI2414" s="1"/>
    </row>
    <row r="2415" spans="4:35" hidden="1">
      <c r="D2415" s="1"/>
      <c r="K2415" s="1"/>
      <c r="Q2415" s="1"/>
      <c r="AD2415" s="1"/>
      <c r="AG2415" s="1"/>
      <c r="AI2415" s="1"/>
    </row>
    <row r="2416" spans="4:35" hidden="1">
      <c r="D2416" s="1"/>
      <c r="K2416" s="1"/>
      <c r="Q2416" s="1"/>
      <c r="AD2416" s="1"/>
      <c r="AG2416" s="1"/>
      <c r="AI2416" s="1"/>
    </row>
    <row r="2417" spans="4:35" hidden="1">
      <c r="D2417" s="1"/>
      <c r="K2417" s="1"/>
      <c r="Q2417" s="1"/>
      <c r="AD2417" s="1"/>
      <c r="AG2417" s="1"/>
      <c r="AI2417" s="1"/>
    </row>
    <row r="2418" spans="4:35" hidden="1">
      <c r="D2418" s="1"/>
      <c r="K2418" s="1"/>
      <c r="Q2418" s="1"/>
      <c r="AD2418" s="1"/>
      <c r="AG2418" s="1"/>
      <c r="AI2418" s="1"/>
    </row>
    <row r="2419" spans="4:35" hidden="1">
      <c r="D2419" s="1"/>
      <c r="K2419" s="1"/>
      <c r="Q2419" s="1"/>
      <c r="AD2419" s="1"/>
      <c r="AG2419" s="1"/>
      <c r="AI2419" s="1"/>
    </row>
    <row r="2420" spans="4:35" hidden="1">
      <c r="D2420" s="1"/>
      <c r="K2420" s="1"/>
      <c r="Q2420" s="1"/>
      <c r="AD2420" s="1"/>
      <c r="AG2420" s="1"/>
      <c r="AI2420" s="1"/>
    </row>
    <row r="2421" spans="4:35" hidden="1">
      <c r="D2421" s="1"/>
      <c r="K2421" s="1"/>
      <c r="Q2421" s="1"/>
      <c r="AD2421" s="1"/>
      <c r="AG2421" s="1"/>
      <c r="AI2421" s="1"/>
    </row>
    <row r="2422" spans="4:35" hidden="1">
      <c r="D2422" s="1"/>
      <c r="K2422" s="1"/>
      <c r="Q2422" s="1"/>
      <c r="AD2422" s="1"/>
      <c r="AG2422" s="1"/>
      <c r="AI2422" s="1"/>
    </row>
    <row r="2423" spans="4:35" hidden="1">
      <c r="D2423" s="1"/>
      <c r="K2423" s="1"/>
      <c r="Q2423" s="1"/>
      <c r="AD2423" s="1"/>
      <c r="AG2423" s="1"/>
      <c r="AI2423" s="1"/>
    </row>
    <row r="2424" spans="4:35" hidden="1">
      <c r="D2424" s="1"/>
      <c r="K2424" s="1"/>
      <c r="Q2424" s="1"/>
      <c r="AD2424" s="1"/>
      <c r="AG2424" s="1"/>
      <c r="AI2424" s="1"/>
    </row>
    <row r="2425" spans="4:35" hidden="1">
      <c r="D2425" s="1"/>
      <c r="K2425" s="1"/>
      <c r="Q2425" s="1"/>
      <c r="AD2425" s="1"/>
      <c r="AG2425" s="1"/>
      <c r="AI2425" s="1"/>
    </row>
    <row r="2426" spans="4:35" hidden="1">
      <c r="D2426" s="1"/>
      <c r="K2426" s="1"/>
      <c r="Q2426" s="1"/>
      <c r="AD2426" s="1"/>
      <c r="AG2426" s="1"/>
      <c r="AI2426" s="1"/>
    </row>
    <row r="2427" spans="4:35" hidden="1">
      <c r="D2427" s="1"/>
      <c r="K2427" s="1"/>
      <c r="Q2427" s="1"/>
      <c r="AD2427" s="1"/>
      <c r="AG2427" s="1"/>
      <c r="AI2427" s="1"/>
    </row>
    <row r="2428" spans="4:35" hidden="1">
      <c r="D2428" s="1"/>
      <c r="K2428" s="1"/>
      <c r="Q2428" s="1"/>
      <c r="AD2428" s="1"/>
      <c r="AG2428" s="1"/>
      <c r="AI2428" s="1"/>
    </row>
    <row r="2429" spans="4:35" hidden="1">
      <c r="D2429" s="1"/>
      <c r="K2429" s="1"/>
      <c r="Q2429" s="1"/>
      <c r="AD2429" s="1"/>
      <c r="AG2429" s="1"/>
      <c r="AI2429" s="1"/>
    </row>
    <row r="2430" spans="4:35" hidden="1">
      <c r="D2430" s="1"/>
      <c r="K2430" s="1"/>
      <c r="Q2430" s="1"/>
      <c r="AD2430" s="1"/>
      <c r="AG2430" s="1"/>
      <c r="AI2430" s="1"/>
    </row>
    <row r="2431" spans="4:35" hidden="1">
      <c r="D2431" s="1"/>
      <c r="K2431" s="1"/>
      <c r="Q2431" s="1"/>
      <c r="AD2431" s="1"/>
      <c r="AG2431" s="1"/>
      <c r="AI2431" s="1"/>
    </row>
    <row r="2432" spans="4:35" hidden="1">
      <c r="D2432" s="1"/>
      <c r="K2432" s="1"/>
      <c r="Q2432" s="1"/>
      <c r="AD2432" s="1"/>
      <c r="AG2432" s="1"/>
      <c r="AI2432" s="1"/>
    </row>
    <row r="2433" spans="4:35" hidden="1">
      <c r="D2433" s="1"/>
      <c r="K2433" s="1"/>
      <c r="Q2433" s="1"/>
      <c r="AD2433" s="1"/>
      <c r="AG2433" s="1"/>
      <c r="AI2433" s="1"/>
    </row>
    <row r="2434" spans="4:35" hidden="1">
      <c r="D2434" s="1"/>
      <c r="K2434" s="1"/>
      <c r="Q2434" s="1"/>
      <c r="AD2434" s="1"/>
      <c r="AG2434" s="1"/>
      <c r="AI2434" s="1"/>
    </row>
    <row r="2435" spans="4:35" hidden="1">
      <c r="D2435" s="1"/>
      <c r="K2435" s="1"/>
      <c r="Q2435" s="1"/>
      <c r="AD2435" s="1"/>
      <c r="AG2435" s="1"/>
      <c r="AI2435" s="1"/>
    </row>
    <row r="2436" spans="4:35" hidden="1">
      <c r="D2436" s="1"/>
      <c r="K2436" s="1"/>
      <c r="Q2436" s="1"/>
      <c r="AD2436" s="1"/>
      <c r="AG2436" s="1"/>
      <c r="AI2436" s="1"/>
    </row>
    <row r="2437" spans="4:35" hidden="1">
      <c r="D2437" s="1"/>
      <c r="K2437" s="1"/>
      <c r="Q2437" s="1"/>
      <c r="AD2437" s="1"/>
      <c r="AG2437" s="1"/>
      <c r="AI2437" s="1"/>
    </row>
    <row r="2438" spans="4:35" hidden="1">
      <c r="D2438" s="1"/>
      <c r="K2438" s="1"/>
      <c r="Q2438" s="1"/>
      <c r="AD2438" s="1"/>
      <c r="AG2438" s="1"/>
      <c r="AI2438" s="1"/>
    </row>
    <row r="2439" spans="4:35" hidden="1">
      <c r="D2439" s="1"/>
      <c r="K2439" s="1"/>
      <c r="Q2439" s="1"/>
      <c r="AD2439" s="1"/>
      <c r="AG2439" s="1"/>
      <c r="AI2439" s="1"/>
    </row>
    <row r="2440" spans="4:35" hidden="1">
      <c r="D2440" s="1"/>
      <c r="K2440" s="1"/>
      <c r="Q2440" s="1"/>
      <c r="AD2440" s="1"/>
      <c r="AG2440" s="1"/>
      <c r="AI2440" s="1"/>
    </row>
    <row r="2441" spans="4:35" hidden="1">
      <c r="D2441" s="1"/>
      <c r="K2441" s="1"/>
      <c r="Q2441" s="1"/>
      <c r="AD2441" s="1"/>
      <c r="AG2441" s="1"/>
      <c r="AI2441" s="1"/>
    </row>
    <row r="2442" spans="4:35" hidden="1">
      <c r="D2442" s="1"/>
      <c r="K2442" s="1"/>
      <c r="Q2442" s="1"/>
      <c r="AD2442" s="1"/>
      <c r="AG2442" s="1"/>
      <c r="AI2442" s="1"/>
    </row>
    <row r="2443" spans="4:35" hidden="1">
      <c r="D2443" s="1"/>
      <c r="K2443" s="1"/>
      <c r="Q2443" s="1"/>
      <c r="AD2443" s="1"/>
      <c r="AG2443" s="1"/>
      <c r="AI2443" s="1"/>
    </row>
    <row r="2444" spans="4:35" hidden="1">
      <c r="D2444" s="1"/>
      <c r="K2444" s="1"/>
      <c r="Q2444" s="1"/>
      <c r="AD2444" s="1"/>
      <c r="AG2444" s="1"/>
      <c r="AI2444" s="1"/>
    </row>
    <row r="2445" spans="4:35" hidden="1">
      <c r="D2445" s="1"/>
      <c r="K2445" s="1"/>
      <c r="Q2445" s="1"/>
      <c r="AD2445" s="1"/>
      <c r="AG2445" s="1"/>
      <c r="AI2445" s="1"/>
    </row>
    <row r="2446" spans="4:35" hidden="1">
      <c r="D2446" s="1"/>
      <c r="K2446" s="1"/>
      <c r="Q2446" s="1"/>
      <c r="AD2446" s="1"/>
      <c r="AG2446" s="1"/>
      <c r="AI2446" s="1"/>
    </row>
    <row r="2447" spans="4:35" hidden="1">
      <c r="D2447" s="1"/>
      <c r="K2447" s="1"/>
      <c r="Q2447" s="1"/>
      <c r="AD2447" s="1"/>
      <c r="AG2447" s="1"/>
      <c r="AI2447" s="1"/>
    </row>
    <row r="2448" spans="4:35" hidden="1">
      <c r="D2448" s="1"/>
      <c r="K2448" s="1"/>
      <c r="Q2448" s="1"/>
      <c r="AD2448" s="1"/>
      <c r="AG2448" s="1"/>
      <c r="AI2448" s="1"/>
    </row>
    <row r="2449" spans="4:35" hidden="1">
      <c r="D2449" s="1"/>
      <c r="K2449" s="1"/>
      <c r="Q2449" s="1"/>
      <c r="AD2449" s="1"/>
      <c r="AG2449" s="1"/>
      <c r="AI2449" s="1"/>
    </row>
    <row r="2450" spans="4:35" hidden="1">
      <c r="D2450" s="1"/>
      <c r="K2450" s="1"/>
      <c r="Q2450" s="1"/>
      <c r="AD2450" s="1"/>
      <c r="AG2450" s="1"/>
      <c r="AI2450" s="1"/>
    </row>
    <row r="2451" spans="4:35" hidden="1">
      <c r="D2451" s="1"/>
      <c r="K2451" s="1"/>
      <c r="Q2451" s="1"/>
      <c r="AD2451" s="1"/>
      <c r="AG2451" s="1"/>
      <c r="AI2451" s="1"/>
    </row>
    <row r="2452" spans="4:35" hidden="1">
      <c r="D2452" s="1"/>
      <c r="K2452" s="1"/>
      <c r="Q2452" s="1"/>
      <c r="AD2452" s="1"/>
      <c r="AG2452" s="1"/>
      <c r="AI2452" s="1"/>
    </row>
    <row r="2453" spans="4:35" hidden="1">
      <c r="D2453" s="1"/>
      <c r="K2453" s="1"/>
      <c r="Q2453" s="1"/>
      <c r="AD2453" s="1"/>
      <c r="AG2453" s="1"/>
      <c r="AI2453" s="1"/>
    </row>
    <row r="2454" spans="4:35" hidden="1">
      <c r="D2454" s="1"/>
      <c r="K2454" s="1"/>
      <c r="Q2454" s="1"/>
      <c r="AD2454" s="1"/>
      <c r="AG2454" s="1"/>
      <c r="AI2454" s="1"/>
    </row>
    <row r="2455" spans="4:35" hidden="1">
      <c r="D2455" s="1"/>
      <c r="K2455" s="1"/>
      <c r="Q2455" s="1"/>
      <c r="AD2455" s="1"/>
      <c r="AG2455" s="1"/>
      <c r="AI2455" s="1"/>
    </row>
    <row r="2456" spans="4:35" hidden="1">
      <c r="D2456" s="1"/>
      <c r="K2456" s="1"/>
      <c r="Q2456" s="1"/>
      <c r="AD2456" s="1"/>
      <c r="AG2456" s="1"/>
      <c r="AI2456" s="1"/>
    </row>
    <row r="2457" spans="4:35" hidden="1">
      <c r="D2457" s="1"/>
      <c r="K2457" s="1"/>
      <c r="Q2457" s="1"/>
      <c r="AD2457" s="1"/>
      <c r="AG2457" s="1"/>
      <c r="AI2457" s="1"/>
    </row>
    <row r="2458" spans="4:35" hidden="1">
      <c r="D2458" s="1"/>
      <c r="K2458" s="1"/>
      <c r="Q2458" s="1"/>
      <c r="AD2458" s="1"/>
      <c r="AG2458" s="1"/>
      <c r="AI2458" s="1"/>
    </row>
    <row r="2459" spans="4:35" hidden="1">
      <c r="D2459" s="1"/>
      <c r="K2459" s="1"/>
      <c r="Q2459" s="1"/>
      <c r="AD2459" s="1"/>
      <c r="AG2459" s="1"/>
      <c r="AI2459" s="1"/>
    </row>
    <row r="2460" spans="4:35" hidden="1">
      <c r="D2460" s="1"/>
      <c r="K2460" s="1"/>
      <c r="Q2460" s="1"/>
      <c r="AD2460" s="1"/>
      <c r="AG2460" s="1"/>
      <c r="AI2460" s="1"/>
    </row>
    <row r="2461" spans="4:35" hidden="1">
      <c r="D2461" s="1"/>
      <c r="K2461" s="1"/>
      <c r="Q2461" s="1"/>
      <c r="AD2461" s="1"/>
      <c r="AG2461" s="1"/>
      <c r="AI2461" s="1"/>
    </row>
    <row r="2462" spans="4:35" hidden="1">
      <c r="D2462" s="1"/>
      <c r="K2462" s="1"/>
      <c r="Q2462" s="1"/>
      <c r="AD2462" s="1"/>
      <c r="AG2462" s="1"/>
      <c r="AI2462" s="1"/>
    </row>
    <row r="2463" spans="4:35" hidden="1">
      <c r="D2463" s="1"/>
      <c r="K2463" s="1"/>
      <c r="Q2463" s="1"/>
      <c r="AD2463" s="1"/>
      <c r="AG2463" s="1"/>
      <c r="AI2463" s="1"/>
    </row>
    <row r="2464" spans="4:35" hidden="1">
      <c r="D2464" s="1"/>
      <c r="K2464" s="1"/>
      <c r="Q2464" s="1"/>
      <c r="AD2464" s="1"/>
      <c r="AG2464" s="1"/>
      <c r="AI2464" s="1"/>
    </row>
    <row r="2465" spans="4:35" hidden="1">
      <c r="D2465" s="1"/>
      <c r="K2465" s="1"/>
      <c r="Q2465" s="1"/>
      <c r="AD2465" s="1"/>
      <c r="AG2465" s="1"/>
      <c r="AI2465" s="1"/>
    </row>
    <row r="2466" spans="4:35" hidden="1">
      <c r="D2466" s="1"/>
      <c r="K2466" s="1"/>
      <c r="Q2466" s="1"/>
      <c r="AD2466" s="1"/>
      <c r="AG2466" s="1"/>
      <c r="AI2466" s="1"/>
    </row>
    <row r="2467" spans="4:35" hidden="1">
      <c r="D2467" s="1"/>
      <c r="K2467" s="1"/>
      <c r="Q2467" s="1"/>
      <c r="AD2467" s="1"/>
      <c r="AG2467" s="1"/>
      <c r="AI2467" s="1"/>
    </row>
    <row r="2468" spans="4:35" hidden="1">
      <c r="D2468" s="1"/>
      <c r="K2468" s="1"/>
      <c r="Q2468" s="1"/>
      <c r="AD2468" s="1"/>
      <c r="AG2468" s="1"/>
      <c r="AI2468" s="1"/>
    </row>
    <row r="2469" spans="4:35" hidden="1">
      <c r="D2469" s="1"/>
      <c r="K2469" s="1"/>
      <c r="Q2469" s="1"/>
      <c r="AD2469" s="1"/>
      <c r="AG2469" s="1"/>
      <c r="AI2469" s="1"/>
    </row>
    <row r="2470" spans="4:35" hidden="1">
      <c r="D2470" s="1"/>
      <c r="K2470" s="1"/>
      <c r="Q2470" s="1"/>
      <c r="AD2470" s="1"/>
      <c r="AG2470" s="1"/>
      <c r="AI2470" s="1"/>
    </row>
    <row r="2471" spans="4:35" hidden="1">
      <c r="D2471" s="1"/>
      <c r="K2471" s="1"/>
      <c r="Q2471" s="1"/>
      <c r="AD2471" s="1"/>
      <c r="AG2471" s="1"/>
      <c r="AI2471" s="1"/>
    </row>
    <row r="2472" spans="4:35" hidden="1">
      <c r="D2472" s="1"/>
      <c r="K2472" s="1"/>
      <c r="Q2472" s="1"/>
      <c r="AD2472" s="1"/>
      <c r="AG2472" s="1"/>
      <c r="AI2472" s="1"/>
    </row>
    <row r="2473" spans="4:35" hidden="1">
      <c r="D2473" s="1"/>
      <c r="K2473" s="1"/>
      <c r="Q2473" s="1"/>
      <c r="AD2473" s="1"/>
      <c r="AG2473" s="1"/>
      <c r="AI2473" s="1"/>
    </row>
    <row r="2474" spans="4:35" hidden="1">
      <c r="D2474" s="1"/>
      <c r="K2474" s="1"/>
      <c r="Q2474" s="1"/>
      <c r="AD2474" s="1"/>
      <c r="AG2474" s="1"/>
      <c r="AI2474" s="1"/>
    </row>
    <row r="2475" spans="4:35" hidden="1">
      <c r="D2475" s="1"/>
      <c r="K2475" s="1"/>
      <c r="Q2475" s="1"/>
      <c r="AD2475" s="1"/>
      <c r="AG2475" s="1"/>
      <c r="AI2475" s="1"/>
    </row>
    <row r="2476" spans="4:35" hidden="1">
      <c r="D2476" s="1"/>
      <c r="K2476" s="1"/>
      <c r="Q2476" s="1"/>
      <c r="AD2476" s="1"/>
      <c r="AG2476" s="1"/>
      <c r="AI2476" s="1"/>
    </row>
    <row r="2477" spans="4:35" hidden="1">
      <c r="D2477" s="1"/>
      <c r="K2477" s="1"/>
      <c r="Q2477" s="1"/>
      <c r="AD2477" s="1"/>
      <c r="AG2477" s="1"/>
      <c r="AI2477" s="1"/>
    </row>
    <row r="2478" spans="4:35" hidden="1">
      <c r="D2478" s="1"/>
      <c r="K2478" s="1"/>
      <c r="Q2478" s="1"/>
      <c r="AD2478" s="1"/>
      <c r="AG2478" s="1"/>
      <c r="AI2478" s="1"/>
    </row>
    <row r="2479" spans="4:35" hidden="1">
      <c r="D2479" s="1"/>
      <c r="K2479" s="1"/>
      <c r="Q2479" s="1"/>
      <c r="AD2479" s="1"/>
      <c r="AG2479" s="1"/>
      <c r="AI2479" s="1"/>
    </row>
    <row r="2480" spans="4:35" hidden="1">
      <c r="D2480" s="1"/>
      <c r="K2480" s="1"/>
      <c r="Q2480" s="1"/>
      <c r="AD2480" s="1"/>
      <c r="AG2480" s="1"/>
      <c r="AI2480" s="1"/>
    </row>
    <row r="2481" spans="4:35" hidden="1">
      <c r="D2481" s="1"/>
      <c r="K2481" s="1"/>
      <c r="Q2481" s="1"/>
      <c r="AD2481" s="1"/>
      <c r="AG2481" s="1"/>
      <c r="AI2481" s="1"/>
    </row>
    <row r="2482" spans="4:35" hidden="1">
      <c r="D2482" s="1"/>
      <c r="K2482" s="1"/>
      <c r="Q2482" s="1"/>
      <c r="AD2482" s="1"/>
      <c r="AG2482" s="1"/>
      <c r="AI2482" s="1"/>
    </row>
    <row r="2483" spans="4:35" hidden="1">
      <c r="D2483" s="1"/>
      <c r="K2483" s="1"/>
      <c r="Q2483" s="1"/>
      <c r="AD2483" s="1"/>
      <c r="AG2483" s="1"/>
      <c r="AI2483" s="1"/>
    </row>
    <row r="2484" spans="4:35" hidden="1">
      <c r="D2484" s="1"/>
      <c r="K2484" s="1"/>
      <c r="Q2484" s="1"/>
      <c r="AD2484" s="1"/>
      <c r="AG2484" s="1"/>
      <c r="AI2484" s="1"/>
    </row>
    <row r="2485" spans="4:35" hidden="1">
      <c r="D2485" s="1"/>
      <c r="K2485" s="1"/>
      <c r="Q2485" s="1"/>
      <c r="AD2485" s="1"/>
      <c r="AG2485" s="1"/>
      <c r="AI2485" s="1"/>
    </row>
    <row r="2486" spans="4:35" hidden="1">
      <c r="D2486" s="1"/>
      <c r="K2486" s="1"/>
      <c r="Q2486" s="1"/>
      <c r="AD2486" s="1"/>
      <c r="AG2486" s="1"/>
      <c r="AI2486" s="1"/>
    </row>
    <row r="2487" spans="4:35" hidden="1">
      <c r="D2487" s="1"/>
      <c r="K2487" s="1"/>
      <c r="Q2487" s="1"/>
      <c r="AD2487" s="1"/>
      <c r="AG2487" s="1"/>
      <c r="AI2487" s="1"/>
    </row>
    <row r="2488" spans="4:35" hidden="1">
      <c r="D2488" s="1"/>
      <c r="K2488" s="1"/>
      <c r="Q2488" s="1"/>
      <c r="AD2488" s="1"/>
      <c r="AG2488" s="1"/>
      <c r="AI2488" s="1"/>
    </row>
    <row r="2489" spans="4:35" hidden="1">
      <c r="D2489" s="1"/>
      <c r="K2489" s="1"/>
      <c r="Q2489" s="1"/>
      <c r="AD2489" s="1"/>
      <c r="AG2489" s="1"/>
      <c r="AI2489" s="1"/>
    </row>
    <row r="2490" spans="4:35" hidden="1">
      <c r="D2490" s="1"/>
      <c r="K2490" s="1"/>
      <c r="Q2490" s="1"/>
      <c r="AD2490" s="1"/>
      <c r="AG2490" s="1"/>
      <c r="AI2490" s="1"/>
    </row>
    <row r="2491" spans="4:35" hidden="1">
      <c r="D2491" s="1"/>
      <c r="K2491" s="1"/>
      <c r="Q2491" s="1"/>
      <c r="AD2491" s="1"/>
      <c r="AG2491" s="1"/>
      <c r="AI2491" s="1"/>
    </row>
    <row r="2492" spans="4:35" hidden="1">
      <c r="D2492" s="1"/>
      <c r="K2492" s="1"/>
      <c r="Q2492" s="1"/>
      <c r="AD2492" s="1"/>
      <c r="AG2492" s="1"/>
      <c r="AI2492" s="1"/>
    </row>
    <row r="2493" spans="4:35" hidden="1">
      <c r="D2493" s="1"/>
      <c r="K2493" s="1"/>
      <c r="Q2493" s="1"/>
      <c r="AD2493" s="1"/>
      <c r="AG2493" s="1"/>
      <c r="AI2493" s="1"/>
    </row>
    <row r="2494" spans="4:35" hidden="1">
      <c r="D2494" s="1"/>
      <c r="K2494" s="1"/>
      <c r="Q2494" s="1"/>
      <c r="AD2494" s="1"/>
      <c r="AG2494" s="1"/>
      <c r="AI2494" s="1"/>
    </row>
    <row r="2495" spans="4:35" hidden="1">
      <c r="D2495" s="1"/>
      <c r="K2495" s="1"/>
      <c r="Q2495" s="1"/>
      <c r="AD2495" s="1"/>
      <c r="AG2495" s="1"/>
      <c r="AI2495" s="1"/>
    </row>
    <row r="2496" spans="4:35" hidden="1">
      <c r="D2496" s="1"/>
      <c r="K2496" s="1"/>
      <c r="Q2496" s="1"/>
      <c r="AD2496" s="1"/>
      <c r="AG2496" s="1"/>
      <c r="AI2496" s="1"/>
    </row>
    <row r="2497" spans="4:35" hidden="1">
      <c r="D2497" s="1"/>
      <c r="K2497" s="1"/>
      <c r="Q2497" s="1"/>
      <c r="AD2497" s="1"/>
      <c r="AG2497" s="1"/>
      <c r="AI2497" s="1"/>
    </row>
    <row r="2498" spans="4:35" hidden="1">
      <c r="D2498" s="1"/>
      <c r="K2498" s="1"/>
      <c r="Q2498" s="1"/>
      <c r="AD2498" s="1"/>
      <c r="AG2498" s="1"/>
      <c r="AI2498" s="1"/>
    </row>
    <row r="2499" spans="4:35" hidden="1">
      <c r="D2499" s="1"/>
      <c r="K2499" s="1"/>
      <c r="Q2499" s="1"/>
      <c r="AD2499" s="1"/>
      <c r="AG2499" s="1"/>
      <c r="AI2499" s="1"/>
    </row>
    <row r="2500" spans="4:35" hidden="1">
      <c r="D2500" s="1"/>
      <c r="K2500" s="1"/>
      <c r="Q2500" s="1"/>
      <c r="AD2500" s="1"/>
      <c r="AG2500" s="1"/>
      <c r="AI2500" s="1"/>
    </row>
    <row r="2501" spans="4:35" hidden="1">
      <c r="D2501" s="1"/>
      <c r="K2501" s="1"/>
      <c r="Q2501" s="1"/>
      <c r="AD2501" s="1"/>
      <c r="AG2501" s="1"/>
      <c r="AI2501" s="1"/>
    </row>
    <row r="2502" spans="4:35" hidden="1">
      <c r="D2502" s="1"/>
      <c r="K2502" s="1"/>
      <c r="Q2502" s="1"/>
      <c r="AD2502" s="1"/>
      <c r="AG2502" s="1"/>
      <c r="AI2502" s="1"/>
    </row>
    <row r="2503" spans="4:35" hidden="1">
      <c r="D2503" s="1"/>
      <c r="K2503" s="1"/>
      <c r="Q2503" s="1"/>
      <c r="AD2503" s="1"/>
      <c r="AG2503" s="1"/>
      <c r="AI2503" s="1"/>
    </row>
    <row r="2504" spans="4:35" hidden="1">
      <c r="D2504" s="1"/>
      <c r="K2504" s="1"/>
      <c r="Q2504" s="1"/>
      <c r="AD2504" s="1"/>
      <c r="AG2504" s="1"/>
      <c r="AI2504" s="1"/>
    </row>
    <row r="2505" spans="4:35" hidden="1">
      <c r="D2505" s="1"/>
      <c r="K2505" s="1"/>
      <c r="Q2505" s="1"/>
      <c r="AD2505" s="1"/>
      <c r="AG2505" s="1"/>
      <c r="AI2505" s="1"/>
    </row>
    <row r="2506" spans="4:35" hidden="1">
      <c r="D2506" s="1"/>
      <c r="K2506" s="1"/>
      <c r="Q2506" s="1"/>
      <c r="AD2506" s="1"/>
      <c r="AG2506" s="1"/>
      <c r="AI2506" s="1"/>
    </row>
    <row r="2507" spans="4:35" hidden="1">
      <c r="D2507" s="1"/>
      <c r="K2507" s="1"/>
      <c r="Q2507" s="1"/>
      <c r="AD2507" s="1"/>
      <c r="AG2507" s="1"/>
      <c r="AI2507" s="1"/>
    </row>
    <row r="2508" spans="4:35" hidden="1">
      <c r="D2508" s="1"/>
      <c r="K2508" s="1"/>
      <c r="Q2508" s="1"/>
      <c r="AD2508" s="1"/>
      <c r="AG2508" s="1"/>
      <c r="AI2508" s="1"/>
    </row>
    <row r="2509" spans="4:35" hidden="1">
      <c r="D2509" s="1"/>
      <c r="K2509" s="1"/>
      <c r="Q2509" s="1"/>
      <c r="AD2509" s="1"/>
      <c r="AG2509" s="1"/>
      <c r="AI2509" s="1"/>
    </row>
    <row r="2510" spans="4:35" hidden="1">
      <c r="D2510" s="1"/>
      <c r="K2510" s="1"/>
      <c r="Q2510" s="1"/>
      <c r="AD2510" s="1"/>
      <c r="AG2510" s="1"/>
      <c r="AI2510" s="1"/>
    </row>
    <row r="2511" spans="4:35" hidden="1">
      <c r="D2511" s="1"/>
      <c r="K2511" s="1"/>
      <c r="Q2511" s="1"/>
      <c r="AD2511" s="1"/>
      <c r="AG2511" s="1"/>
      <c r="AI2511" s="1"/>
    </row>
    <row r="2512" spans="4:35" hidden="1">
      <c r="D2512" s="1"/>
      <c r="K2512" s="1"/>
      <c r="Q2512" s="1"/>
      <c r="AD2512" s="1"/>
      <c r="AG2512" s="1"/>
      <c r="AI2512" s="1"/>
    </row>
    <row r="2513" spans="4:35" hidden="1">
      <c r="D2513" s="1"/>
      <c r="K2513" s="1"/>
      <c r="Q2513" s="1"/>
      <c r="AD2513" s="1"/>
      <c r="AG2513" s="1"/>
      <c r="AI2513" s="1"/>
    </row>
    <row r="2514" spans="4:35" hidden="1">
      <c r="D2514" s="1"/>
      <c r="K2514" s="1"/>
      <c r="Q2514" s="1"/>
      <c r="AD2514" s="1"/>
      <c r="AG2514" s="1"/>
      <c r="AI2514" s="1"/>
    </row>
    <row r="2515" spans="4:35" hidden="1">
      <c r="D2515" s="1"/>
      <c r="K2515" s="1"/>
      <c r="Q2515" s="1"/>
      <c r="AD2515" s="1"/>
      <c r="AG2515" s="1"/>
      <c r="AI2515" s="1"/>
    </row>
    <row r="2516" spans="4:35" hidden="1">
      <c r="D2516" s="1"/>
      <c r="K2516" s="1"/>
      <c r="Q2516" s="1"/>
      <c r="AD2516" s="1"/>
      <c r="AG2516" s="1"/>
      <c r="AI2516" s="1"/>
    </row>
    <row r="2517" spans="4:35" hidden="1">
      <c r="D2517" s="1"/>
      <c r="K2517" s="1"/>
      <c r="Q2517" s="1"/>
      <c r="AD2517" s="1"/>
      <c r="AG2517" s="1"/>
      <c r="AI2517" s="1"/>
    </row>
    <row r="2518" spans="4:35" hidden="1">
      <c r="D2518" s="1"/>
      <c r="K2518" s="1"/>
      <c r="Q2518" s="1"/>
      <c r="AD2518" s="1"/>
      <c r="AG2518" s="1"/>
      <c r="AI2518" s="1"/>
    </row>
    <row r="2519" spans="4:35" hidden="1">
      <c r="D2519" s="1"/>
      <c r="K2519" s="1"/>
      <c r="Q2519" s="1"/>
      <c r="AD2519" s="1"/>
      <c r="AG2519" s="1"/>
      <c r="AI2519" s="1"/>
    </row>
    <row r="2520" spans="4:35" hidden="1">
      <c r="D2520" s="1"/>
      <c r="K2520" s="1"/>
      <c r="Q2520" s="1"/>
      <c r="AD2520" s="1"/>
      <c r="AG2520" s="1"/>
      <c r="AI2520" s="1"/>
    </row>
    <row r="2521" spans="4:35" hidden="1">
      <c r="D2521" s="1"/>
      <c r="K2521" s="1"/>
      <c r="Q2521" s="1"/>
      <c r="AD2521" s="1"/>
      <c r="AG2521" s="1"/>
      <c r="AI2521" s="1"/>
    </row>
    <row r="2522" spans="4:35" hidden="1">
      <c r="D2522" s="1"/>
      <c r="K2522" s="1"/>
      <c r="Q2522" s="1"/>
      <c r="AD2522" s="1"/>
      <c r="AG2522" s="1"/>
      <c r="AI2522" s="1"/>
    </row>
    <row r="2523" spans="4:35" hidden="1">
      <c r="D2523" s="1"/>
      <c r="K2523" s="1"/>
      <c r="Q2523" s="1"/>
      <c r="AD2523" s="1"/>
      <c r="AG2523" s="1"/>
      <c r="AI2523" s="1"/>
    </row>
    <row r="2524" spans="4:35" hidden="1">
      <c r="D2524" s="1"/>
      <c r="K2524" s="1"/>
      <c r="Q2524" s="1"/>
      <c r="AD2524" s="1"/>
      <c r="AG2524" s="1"/>
      <c r="AI2524" s="1"/>
    </row>
    <row r="2525" spans="4:35" hidden="1">
      <c r="D2525" s="1"/>
      <c r="K2525" s="1"/>
      <c r="Q2525" s="1"/>
      <c r="AD2525" s="1"/>
      <c r="AG2525" s="1"/>
      <c r="AI2525" s="1"/>
    </row>
    <row r="2526" spans="4:35" hidden="1">
      <c r="D2526" s="1"/>
      <c r="K2526" s="1"/>
      <c r="Q2526" s="1"/>
      <c r="AD2526" s="1"/>
      <c r="AG2526" s="1"/>
      <c r="AI2526" s="1"/>
    </row>
    <row r="2527" spans="4:35" hidden="1">
      <c r="D2527" s="1"/>
      <c r="K2527" s="1"/>
      <c r="Q2527" s="1"/>
      <c r="AD2527" s="1"/>
      <c r="AG2527" s="1"/>
      <c r="AI2527" s="1"/>
    </row>
    <row r="2528" spans="4:35" hidden="1">
      <c r="D2528" s="1"/>
      <c r="K2528" s="1"/>
      <c r="Q2528" s="1"/>
      <c r="AD2528" s="1"/>
      <c r="AG2528" s="1"/>
      <c r="AI2528" s="1"/>
    </row>
    <row r="2529" spans="4:35" hidden="1">
      <c r="D2529" s="1"/>
      <c r="K2529" s="1"/>
      <c r="Q2529" s="1"/>
      <c r="AD2529" s="1"/>
      <c r="AG2529" s="1"/>
      <c r="AI2529" s="1"/>
    </row>
    <row r="2530" spans="4:35" hidden="1">
      <c r="D2530" s="1"/>
      <c r="K2530" s="1"/>
      <c r="Q2530" s="1"/>
      <c r="AD2530" s="1"/>
      <c r="AG2530" s="1"/>
      <c r="AI2530" s="1"/>
    </row>
    <row r="2531" spans="4:35" hidden="1">
      <c r="D2531" s="1"/>
      <c r="K2531" s="1"/>
      <c r="Q2531" s="1"/>
      <c r="AD2531" s="1"/>
      <c r="AG2531" s="1"/>
      <c r="AI2531" s="1"/>
    </row>
    <row r="2532" spans="4:35" hidden="1">
      <c r="D2532" s="1"/>
      <c r="K2532" s="1"/>
      <c r="Q2532" s="1"/>
      <c r="AD2532" s="1"/>
      <c r="AG2532" s="1"/>
      <c r="AI2532" s="1"/>
    </row>
    <row r="2533" spans="4:35" hidden="1">
      <c r="D2533" s="1"/>
      <c r="K2533" s="1"/>
      <c r="Q2533" s="1"/>
      <c r="AD2533" s="1"/>
      <c r="AG2533" s="1"/>
      <c r="AI2533" s="1"/>
    </row>
    <row r="2534" spans="4:35" hidden="1">
      <c r="D2534" s="1"/>
      <c r="K2534" s="1"/>
      <c r="Q2534" s="1"/>
      <c r="AD2534" s="1"/>
      <c r="AG2534" s="1"/>
      <c r="AI2534" s="1"/>
    </row>
    <row r="2535" spans="4:35" hidden="1">
      <c r="D2535" s="1"/>
      <c r="K2535" s="1"/>
      <c r="Q2535" s="1"/>
      <c r="AD2535" s="1"/>
      <c r="AG2535" s="1"/>
      <c r="AI2535" s="1"/>
    </row>
    <row r="2536" spans="4:35" hidden="1">
      <c r="D2536" s="1"/>
      <c r="K2536" s="1"/>
      <c r="Q2536" s="1"/>
      <c r="AD2536" s="1"/>
      <c r="AG2536" s="1"/>
      <c r="AI2536" s="1"/>
    </row>
    <row r="2537" spans="4:35" hidden="1">
      <c r="D2537" s="1"/>
      <c r="K2537" s="1"/>
      <c r="Q2537" s="1"/>
      <c r="AD2537" s="1"/>
      <c r="AG2537" s="1"/>
      <c r="AI2537" s="1"/>
    </row>
    <row r="2538" spans="4:35" hidden="1">
      <c r="D2538" s="1"/>
      <c r="K2538" s="1"/>
      <c r="Q2538" s="1"/>
      <c r="AD2538" s="1"/>
      <c r="AG2538" s="1"/>
      <c r="AI2538" s="1"/>
    </row>
    <row r="2539" spans="4:35" hidden="1">
      <c r="D2539" s="1"/>
      <c r="K2539" s="1"/>
      <c r="Q2539" s="1"/>
      <c r="AD2539" s="1"/>
      <c r="AG2539" s="1"/>
      <c r="AI2539" s="1"/>
    </row>
    <row r="2540" spans="4:35" hidden="1">
      <c r="D2540" s="1"/>
      <c r="K2540" s="1"/>
      <c r="Q2540" s="1"/>
      <c r="AD2540" s="1"/>
      <c r="AG2540" s="1"/>
      <c r="AI2540" s="1"/>
    </row>
    <row r="2541" spans="4:35" hidden="1">
      <c r="D2541" s="1"/>
      <c r="K2541" s="1"/>
      <c r="Q2541" s="1"/>
      <c r="AD2541" s="1"/>
      <c r="AG2541" s="1"/>
      <c r="AI2541" s="1"/>
    </row>
    <row r="2542" spans="4:35" hidden="1">
      <c r="D2542" s="1"/>
      <c r="K2542" s="1"/>
      <c r="Q2542" s="1"/>
      <c r="AD2542" s="1"/>
      <c r="AG2542" s="1"/>
      <c r="AI2542" s="1"/>
    </row>
    <row r="2543" spans="4:35" hidden="1">
      <c r="D2543" s="1"/>
      <c r="K2543" s="1"/>
      <c r="Q2543" s="1"/>
      <c r="AD2543" s="1"/>
      <c r="AG2543" s="1"/>
      <c r="AI2543" s="1"/>
    </row>
    <row r="2544" spans="4:35" hidden="1">
      <c r="D2544" s="1"/>
      <c r="K2544" s="1"/>
      <c r="Q2544" s="1"/>
      <c r="AD2544" s="1"/>
      <c r="AG2544" s="1"/>
      <c r="AI2544" s="1"/>
    </row>
    <row r="2545" spans="4:35" hidden="1">
      <c r="D2545" s="1"/>
      <c r="K2545" s="1"/>
      <c r="Q2545" s="1"/>
      <c r="AD2545" s="1"/>
      <c r="AG2545" s="1"/>
      <c r="AI2545" s="1"/>
    </row>
    <row r="2546" spans="4:35" hidden="1">
      <c r="D2546" s="1"/>
      <c r="K2546" s="1"/>
      <c r="Q2546" s="1"/>
      <c r="AD2546" s="1"/>
      <c r="AG2546" s="1"/>
      <c r="AI2546" s="1"/>
    </row>
    <row r="2547" spans="4:35" hidden="1">
      <c r="D2547" s="1"/>
      <c r="K2547" s="1"/>
      <c r="Q2547" s="1"/>
      <c r="AD2547" s="1"/>
      <c r="AG2547" s="1"/>
      <c r="AI2547" s="1"/>
    </row>
    <row r="2548" spans="4:35" hidden="1">
      <c r="D2548" s="1"/>
      <c r="K2548" s="1"/>
      <c r="Q2548" s="1"/>
      <c r="AD2548" s="1"/>
      <c r="AG2548" s="1"/>
      <c r="AI2548" s="1"/>
    </row>
    <row r="2549" spans="4:35" hidden="1">
      <c r="D2549" s="1"/>
      <c r="K2549" s="1"/>
      <c r="Q2549" s="1"/>
      <c r="AD2549" s="1"/>
      <c r="AG2549" s="1"/>
      <c r="AI2549" s="1"/>
    </row>
    <row r="2550" spans="4:35" hidden="1">
      <c r="D2550" s="1"/>
      <c r="K2550" s="1"/>
      <c r="Q2550" s="1"/>
      <c r="AD2550" s="1"/>
      <c r="AG2550" s="1"/>
      <c r="AI2550" s="1"/>
    </row>
    <row r="2551" spans="4:35" hidden="1">
      <c r="D2551" s="1"/>
      <c r="K2551" s="1"/>
      <c r="Q2551" s="1"/>
      <c r="AD2551" s="1"/>
      <c r="AG2551" s="1"/>
      <c r="AI2551" s="1"/>
    </row>
    <row r="2552" spans="4:35" hidden="1">
      <c r="D2552" s="1"/>
      <c r="K2552" s="1"/>
      <c r="Q2552" s="1"/>
      <c r="AD2552" s="1"/>
      <c r="AG2552" s="1"/>
      <c r="AI2552" s="1"/>
    </row>
    <row r="2553" spans="4:35" hidden="1">
      <c r="D2553" s="1"/>
      <c r="K2553" s="1"/>
      <c r="Q2553" s="1"/>
      <c r="AD2553" s="1"/>
      <c r="AG2553" s="1"/>
      <c r="AI2553" s="1"/>
    </row>
    <row r="2554" spans="4:35" hidden="1">
      <c r="D2554" s="1"/>
      <c r="K2554" s="1"/>
      <c r="Q2554" s="1"/>
      <c r="AD2554" s="1"/>
      <c r="AG2554" s="1"/>
      <c r="AI2554" s="1"/>
    </row>
    <row r="2555" spans="4:35" hidden="1">
      <c r="D2555" s="1"/>
      <c r="K2555" s="1"/>
      <c r="Q2555" s="1"/>
      <c r="AD2555" s="1"/>
      <c r="AG2555" s="1"/>
      <c r="AI2555" s="1"/>
    </row>
    <row r="2556" spans="4:35" hidden="1">
      <c r="D2556" s="1"/>
      <c r="K2556" s="1"/>
      <c r="Q2556" s="1"/>
      <c r="AD2556" s="1"/>
      <c r="AG2556" s="1"/>
      <c r="AI2556" s="1"/>
    </row>
    <row r="2557" spans="4:35" hidden="1">
      <c r="D2557" s="1"/>
      <c r="K2557" s="1"/>
      <c r="Q2557" s="1"/>
      <c r="AD2557" s="1"/>
      <c r="AG2557" s="1"/>
      <c r="AI2557" s="1"/>
    </row>
    <row r="2558" spans="4:35" hidden="1">
      <c r="D2558" s="1"/>
      <c r="K2558" s="1"/>
      <c r="Q2558" s="1"/>
      <c r="AD2558" s="1"/>
      <c r="AG2558" s="1"/>
      <c r="AI2558" s="1"/>
    </row>
    <row r="2559" spans="4:35" hidden="1">
      <c r="D2559" s="1"/>
      <c r="K2559" s="1"/>
      <c r="Q2559" s="1"/>
      <c r="AD2559" s="1"/>
      <c r="AG2559" s="1"/>
      <c r="AI2559" s="1"/>
    </row>
    <row r="2560" spans="4:35" hidden="1">
      <c r="D2560" s="1"/>
      <c r="K2560" s="1"/>
      <c r="Q2560" s="1"/>
      <c r="AD2560" s="1"/>
      <c r="AG2560" s="1"/>
      <c r="AI2560" s="1"/>
    </row>
    <row r="2561" spans="4:35" hidden="1">
      <c r="D2561" s="1"/>
      <c r="K2561" s="1"/>
      <c r="Q2561" s="1"/>
      <c r="AD2561" s="1"/>
      <c r="AG2561" s="1"/>
      <c r="AI2561" s="1"/>
    </row>
    <row r="2562" spans="4:35" hidden="1">
      <c r="D2562" s="1"/>
      <c r="K2562" s="1"/>
      <c r="Q2562" s="1"/>
      <c r="AD2562" s="1"/>
      <c r="AG2562" s="1"/>
      <c r="AI2562" s="1"/>
    </row>
    <row r="2563" spans="4:35" hidden="1">
      <c r="D2563" s="1"/>
      <c r="K2563" s="1"/>
      <c r="Q2563" s="1"/>
      <c r="AD2563" s="1"/>
      <c r="AG2563" s="1"/>
      <c r="AI2563" s="1"/>
    </row>
    <row r="2564" spans="4:35" hidden="1">
      <c r="D2564" s="1"/>
      <c r="K2564" s="1"/>
      <c r="Q2564" s="1"/>
      <c r="AD2564" s="1"/>
      <c r="AG2564" s="1"/>
      <c r="AI2564" s="1"/>
    </row>
    <row r="2565" spans="4:35" hidden="1">
      <c r="D2565" s="1"/>
      <c r="K2565" s="1"/>
      <c r="Q2565" s="1"/>
      <c r="AD2565" s="1"/>
      <c r="AG2565" s="1"/>
      <c r="AI2565" s="1"/>
    </row>
    <row r="2566" spans="4:35" hidden="1">
      <c r="D2566" s="1"/>
      <c r="K2566" s="1"/>
      <c r="Q2566" s="1"/>
      <c r="AD2566" s="1"/>
      <c r="AG2566" s="1"/>
      <c r="AI2566" s="1"/>
    </row>
    <row r="2567" spans="4:35" hidden="1">
      <c r="D2567" s="1"/>
      <c r="K2567" s="1"/>
      <c r="Q2567" s="1"/>
      <c r="AD2567" s="1"/>
      <c r="AG2567" s="1"/>
      <c r="AI2567" s="1"/>
    </row>
    <row r="2568" spans="4:35" hidden="1">
      <c r="D2568" s="1"/>
      <c r="K2568" s="1"/>
      <c r="Q2568" s="1"/>
      <c r="AD2568" s="1"/>
      <c r="AG2568" s="1"/>
      <c r="AI2568" s="1"/>
    </row>
    <row r="2569" spans="4:35" hidden="1">
      <c r="D2569" s="1"/>
      <c r="K2569" s="1"/>
      <c r="Q2569" s="1"/>
      <c r="AD2569" s="1"/>
      <c r="AG2569" s="1"/>
      <c r="AI2569" s="1"/>
    </row>
    <row r="2570" spans="4:35" hidden="1">
      <c r="D2570" s="1"/>
      <c r="K2570" s="1"/>
      <c r="Q2570" s="1"/>
      <c r="AD2570" s="1"/>
      <c r="AG2570" s="1"/>
      <c r="AI2570" s="1"/>
    </row>
    <row r="2571" spans="4:35" hidden="1">
      <c r="D2571" s="1"/>
      <c r="K2571" s="1"/>
      <c r="Q2571" s="1"/>
      <c r="AD2571" s="1"/>
      <c r="AG2571" s="1"/>
      <c r="AI2571" s="1"/>
    </row>
    <row r="2572" spans="4:35" hidden="1">
      <c r="D2572" s="1"/>
      <c r="K2572" s="1"/>
      <c r="Q2572" s="1"/>
      <c r="AD2572" s="1"/>
      <c r="AG2572" s="1"/>
      <c r="AI2572" s="1"/>
    </row>
    <row r="2573" spans="4:35" hidden="1">
      <c r="D2573" s="1"/>
      <c r="K2573" s="1"/>
      <c r="Q2573" s="1"/>
      <c r="AD2573" s="1"/>
      <c r="AG2573" s="1"/>
      <c r="AI2573" s="1"/>
    </row>
    <row r="2574" spans="4:35" hidden="1">
      <c r="D2574" s="1"/>
      <c r="K2574" s="1"/>
      <c r="Q2574" s="1"/>
      <c r="AD2574" s="1"/>
      <c r="AG2574" s="1"/>
      <c r="AI2574" s="1"/>
    </row>
    <row r="2575" spans="4:35" hidden="1">
      <c r="D2575" s="1"/>
      <c r="K2575" s="1"/>
      <c r="Q2575" s="1"/>
      <c r="AD2575" s="1"/>
      <c r="AG2575" s="1"/>
      <c r="AI2575" s="1"/>
    </row>
    <row r="2576" spans="4:35" hidden="1">
      <c r="D2576" s="1"/>
      <c r="K2576" s="1"/>
      <c r="Q2576" s="1"/>
      <c r="AD2576" s="1"/>
      <c r="AG2576" s="1"/>
      <c r="AI2576" s="1"/>
    </row>
    <row r="2577" spans="4:35" hidden="1">
      <c r="D2577" s="1"/>
      <c r="K2577" s="1"/>
      <c r="Q2577" s="1"/>
      <c r="AD2577" s="1"/>
      <c r="AG2577" s="1"/>
      <c r="AI2577" s="1"/>
    </row>
    <row r="2578" spans="4:35" hidden="1">
      <c r="D2578" s="1"/>
      <c r="K2578" s="1"/>
      <c r="Q2578" s="1"/>
      <c r="AD2578" s="1"/>
      <c r="AG2578" s="1"/>
      <c r="AI2578" s="1"/>
    </row>
    <row r="2579" spans="4:35" hidden="1">
      <c r="D2579" s="1"/>
      <c r="K2579" s="1"/>
      <c r="Q2579" s="1"/>
      <c r="AD2579" s="1"/>
      <c r="AG2579" s="1"/>
      <c r="AI2579" s="1"/>
    </row>
    <row r="2580" spans="4:35" hidden="1">
      <c r="D2580" s="1"/>
      <c r="K2580" s="1"/>
      <c r="Q2580" s="1"/>
      <c r="AD2580" s="1"/>
      <c r="AG2580" s="1"/>
      <c r="AI2580" s="1"/>
    </row>
    <row r="2581" spans="4:35" hidden="1">
      <c r="D2581" s="1"/>
      <c r="K2581" s="1"/>
      <c r="Q2581" s="1"/>
      <c r="AD2581" s="1"/>
      <c r="AG2581" s="1"/>
      <c r="AI2581" s="1"/>
    </row>
    <row r="2582" spans="4:35" hidden="1">
      <c r="D2582" s="1"/>
      <c r="K2582" s="1"/>
      <c r="Q2582" s="1"/>
      <c r="AD2582" s="1"/>
      <c r="AG2582" s="1"/>
      <c r="AI2582" s="1"/>
    </row>
    <row r="2583" spans="4:35" hidden="1">
      <c r="D2583" s="1"/>
      <c r="K2583" s="1"/>
      <c r="Q2583" s="1"/>
      <c r="AD2583" s="1"/>
      <c r="AG2583" s="1"/>
      <c r="AI2583" s="1"/>
    </row>
    <row r="2584" spans="4:35" hidden="1">
      <c r="D2584" s="1"/>
      <c r="K2584" s="1"/>
      <c r="Q2584" s="1"/>
      <c r="AD2584" s="1"/>
      <c r="AG2584" s="1"/>
      <c r="AI2584" s="1"/>
    </row>
    <row r="2585" spans="4:35" hidden="1">
      <c r="D2585" s="1"/>
      <c r="K2585" s="1"/>
      <c r="Q2585" s="1"/>
      <c r="AD2585" s="1"/>
      <c r="AG2585" s="1"/>
      <c r="AI2585" s="1"/>
    </row>
    <row r="2586" spans="4:35" hidden="1">
      <c r="D2586" s="1"/>
      <c r="K2586" s="1"/>
      <c r="Q2586" s="1"/>
      <c r="AD2586" s="1"/>
      <c r="AG2586" s="1"/>
      <c r="AI2586" s="1"/>
    </row>
    <row r="2587" spans="4:35" hidden="1">
      <c r="D2587" s="1"/>
      <c r="K2587" s="1"/>
      <c r="Q2587" s="1"/>
      <c r="AD2587" s="1"/>
      <c r="AG2587" s="1"/>
      <c r="AI2587" s="1"/>
    </row>
    <row r="2588" spans="4:35" hidden="1">
      <c r="D2588" s="1"/>
      <c r="K2588" s="1"/>
      <c r="Q2588" s="1"/>
      <c r="AD2588" s="1"/>
      <c r="AG2588" s="1"/>
      <c r="AI2588" s="1"/>
    </row>
    <row r="2589" spans="4:35" hidden="1">
      <c r="D2589" s="1"/>
      <c r="K2589" s="1"/>
      <c r="Q2589" s="1"/>
      <c r="AD2589" s="1"/>
      <c r="AG2589" s="1"/>
      <c r="AI2589" s="1"/>
    </row>
    <row r="2590" spans="4:35" hidden="1">
      <c r="D2590" s="1"/>
      <c r="K2590" s="1"/>
      <c r="Q2590" s="1"/>
      <c r="AD2590" s="1"/>
      <c r="AG2590" s="1"/>
      <c r="AI2590" s="1"/>
    </row>
    <row r="2591" spans="4:35" hidden="1">
      <c r="D2591" s="1"/>
      <c r="K2591" s="1"/>
      <c r="Q2591" s="1"/>
      <c r="AD2591" s="1"/>
      <c r="AG2591" s="1"/>
      <c r="AI2591" s="1"/>
    </row>
    <row r="2592" spans="4:35" hidden="1">
      <c r="D2592" s="1"/>
      <c r="K2592" s="1"/>
      <c r="Q2592" s="1"/>
      <c r="AD2592" s="1"/>
      <c r="AG2592" s="1"/>
      <c r="AI2592" s="1"/>
    </row>
    <row r="2593" spans="4:35" hidden="1">
      <c r="D2593" s="1"/>
      <c r="K2593" s="1"/>
      <c r="Q2593" s="1"/>
      <c r="AD2593" s="1"/>
      <c r="AG2593" s="1"/>
      <c r="AI2593" s="1"/>
    </row>
    <row r="2594" spans="4:35" hidden="1">
      <c r="D2594" s="1"/>
      <c r="K2594" s="1"/>
      <c r="Q2594" s="1"/>
      <c r="AD2594" s="1"/>
      <c r="AG2594" s="1"/>
      <c r="AI2594" s="1"/>
    </row>
    <row r="2595" spans="4:35" hidden="1">
      <c r="D2595" s="1"/>
      <c r="K2595" s="1"/>
      <c r="Q2595" s="1"/>
      <c r="AD2595" s="1"/>
      <c r="AG2595" s="1"/>
      <c r="AI2595" s="1"/>
    </row>
    <row r="2596" spans="4:35" hidden="1">
      <c r="D2596" s="1"/>
      <c r="K2596" s="1"/>
      <c r="Q2596" s="1"/>
      <c r="AD2596" s="1"/>
      <c r="AG2596" s="1"/>
      <c r="AI2596" s="1"/>
    </row>
    <row r="2597" spans="4:35" hidden="1">
      <c r="D2597" s="1"/>
      <c r="K2597" s="1"/>
      <c r="Q2597" s="1"/>
      <c r="AD2597" s="1"/>
      <c r="AG2597" s="1"/>
      <c r="AI2597" s="1"/>
    </row>
    <row r="2598" spans="4:35" hidden="1">
      <c r="D2598" s="1"/>
      <c r="K2598" s="1"/>
      <c r="Q2598" s="1"/>
      <c r="AD2598" s="1"/>
      <c r="AG2598" s="1"/>
      <c r="AI2598" s="1"/>
    </row>
    <row r="2599" spans="4:35" hidden="1">
      <c r="D2599" s="1"/>
      <c r="K2599" s="1"/>
      <c r="Q2599" s="1"/>
      <c r="AD2599" s="1"/>
      <c r="AG2599" s="1"/>
      <c r="AI2599" s="1"/>
    </row>
    <row r="2600" spans="4:35" hidden="1">
      <c r="D2600" s="1"/>
      <c r="K2600" s="1"/>
      <c r="Q2600" s="1"/>
      <c r="AD2600" s="1"/>
      <c r="AG2600" s="1"/>
      <c r="AI2600" s="1"/>
    </row>
    <row r="2601" spans="4:35" hidden="1">
      <c r="D2601" s="1"/>
      <c r="K2601" s="1"/>
      <c r="Q2601" s="1"/>
      <c r="AD2601" s="1"/>
      <c r="AG2601" s="1"/>
      <c r="AI2601" s="1"/>
    </row>
    <row r="2602" spans="4:35" hidden="1">
      <c r="D2602" s="1"/>
      <c r="K2602" s="1"/>
      <c r="Q2602" s="1"/>
      <c r="AD2602" s="1"/>
      <c r="AG2602" s="1"/>
      <c r="AI2602" s="1"/>
    </row>
    <row r="2603" spans="4:35" hidden="1">
      <c r="D2603" s="1"/>
      <c r="K2603" s="1"/>
      <c r="Q2603" s="1"/>
      <c r="AD2603" s="1"/>
      <c r="AG2603" s="1"/>
      <c r="AI2603" s="1"/>
    </row>
    <row r="2604" spans="4:35" hidden="1">
      <c r="D2604" s="1"/>
      <c r="K2604" s="1"/>
      <c r="Q2604" s="1"/>
      <c r="AD2604" s="1"/>
      <c r="AG2604" s="1"/>
      <c r="AI2604" s="1"/>
    </row>
    <row r="2605" spans="4:35" hidden="1">
      <c r="D2605" s="1"/>
      <c r="K2605" s="1"/>
      <c r="Q2605" s="1"/>
      <c r="AD2605" s="1"/>
      <c r="AG2605" s="1"/>
      <c r="AI2605" s="1"/>
    </row>
    <row r="2606" spans="4:35" hidden="1">
      <c r="D2606" s="1"/>
      <c r="K2606" s="1"/>
      <c r="Q2606" s="1"/>
      <c r="AD2606" s="1"/>
      <c r="AG2606" s="1"/>
      <c r="AI2606" s="1"/>
    </row>
    <row r="2607" spans="4:35" hidden="1">
      <c r="D2607" s="1"/>
      <c r="K2607" s="1"/>
      <c r="Q2607" s="1"/>
      <c r="AD2607" s="1"/>
      <c r="AG2607" s="1"/>
      <c r="AI2607" s="1"/>
    </row>
    <row r="2608" spans="4:35" hidden="1">
      <c r="D2608" s="1"/>
      <c r="K2608" s="1"/>
      <c r="Q2608" s="1"/>
      <c r="AD2608" s="1"/>
      <c r="AG2608" s="1"/>
      <c r="AI2608" s="1"/>
    </row>
    <row r="2609" spans="4:35" hidden="1">
      <c r="D2609" s="1"/>
      <c r="K2609" s="1"/>
      <c r="Q2609" s="1"/>
      <c r="AD2609" s="1"/>
      <c r="AG2609" s="1"/>
      <c r="AI2609" s="1"/>
    </row>
    <row r="2610" spans="4:35" hidden="1">
      <c r="D2610" s="1"/>
      <c r="K2610" s="1"/>
      <c r="Q2610" s="1"/>
      <c r="AD2610" s="1"/>
      <c r="AG2610" s="1"/>
      <c r="AI2610" s="1"/>
    </row>
    <row r="2611" spans="4:35" hidden="1">
      <c r="D2611" s="1"/>
      <c r="K2611" s="1"/>
      <c r="Q2611" s="1"/>
      <c r="AD2611" s="1"/>
      <c r="AG2611" s="1"/>
      <c r="AI2611" s="1"/>
    </row>
    <row r="2612" spans="4:35" hidden="1">
      <c r="D2612" s="1"/>
      <c r="K2612" s="1"/>
      <c r="Q2612" s="1"/>
      <c r="AD2612" s="1"/>
      <c r="AG2612" s="1"/>
      <c r="AI2612" s="1"/>
    </row>
    <row r="2613" spans="4:35" hidden="1">
      <c r="D2613" s="1"/>
      <c r="K2613" s="1"/>
      <c r="Q2613" s="1"/>
      <c r="AD2613" s="1"/>
      <c r="AG2613" s="1"/>
      <c r="AI2613" s="1"/>
    </row>
    <row r="2614" spans="4:35" hidden="1">
      <c r="D2614" s="1"/>
      <c r="K2614" s="1"/>
      <c r="Q2614" s="1"/>
      <c r="AD2614" s="1"/>
      <c r="AG2614" s="1"/>
      <c r="AI2614" s="1"/>
    </row>
    <row r="2615" spans="4:35" hidden="1">
      <c r="D2615" s="1"/>
      <c r="K2615" s="1"/>
      <c r="Q2615" s="1"/>
      <c r="AD2615" s="1"/>
      <c r="AG2615" s="1"/>
      <c r="AI2615" s="1"/>
    </row>
    <row r="2616" spans="4:35" hidden="1">
      <c r="D2616" s="1"/>
      <c r="K2616" s="1"/>
      <c r="Q2616" s="1"/>
      <c r="AD2616" s="1"/>
      <c r="AG2616" s="1"/>
      <c r="AI2616" s="1"/>
    </row>
    <row r="2617" spans="4:35" hidden="1">
      <c r="D2617" s="1"/>
      <c r="K2617" s="1"/>
      <c r="Q2617" s="1"/>
      <c r="AD2617" s="1"/>
      <c r="AG2617" s="1"/>
      <c r="AI2617" s="1"/>
    </row>
    <row r="2618" spans="4:35" hidden="1">
      <c r="D2618" s="1"/>
      <c r="K2618" s="1"/>
      <c r="Q2618" s="1"/>
      <c r="AD2618" s="1"/>
      <c r="AG2618" s="1"/>
      <c r="AI2618" s="1"/>
    </row>
    <row r="2619" spans="4:35" hidden="1">
      <c r="D2619" s="1"/>
      <c r="K2619" s="1"/>
      <c r="Q2619" s="1"/>
      <c r="AD2619" s="1"/>
      <c r="AG2619" s="1"/>
      <c r="AI2619" s="1"/>
    </row>
    <row r="2620" spans="4:35" hidden="1">
      <c r="D2620" s="1"/>
      <c r="K2620" s="1"/>
      <c r="Q2620" s="1"/>
      <c r="AD2620" s="1"/>
      <c r="AG2620" s="1"/>
      <c r="AI2620" s="1"/>
    </row>
    <row r="2621" spans="4:35" hidden="1">
      <c r="D2621" s="1"/>
      <c r="K2621" s="1"/>
      <c r="Q2621" s="1"/>
      <c r="AD2621" s="1"/>
      <c r="AG2621" s="1"/>
      <c r="AI2621" s="1"/>
    </row>
    <row r="2622" spans="4:35" hidden="1">
      <c r="D2622" s="1"/>
      <c r="K2622" s="1"/>
      <c r="Q2622" s="1"/>
      <c r="AD2622" s="1"/>
      <c r="AG2622" s="1"/>
      <c r="AI2622" s="1"/>
    </row>
    <row r="2623" spans="4:35" hidden="1">
      <c r="D2623" s="1"/>
      <c r="K2623" s="1"/>
      <c r="Q2623" s="1"/>
      <c r="AD2623" s="1"/>
      <c r="AG2623" s="1"/>
      <c r="AI2623" s="1"/>
    </row>
    <row r="2624" spans="4:35" hidden="1">
      <c r="D2624" s="1"/>
      <c r="K2624" s="1"/>
      <c r="Q2624" s="1"/>
      <c r="AD2624" s="1"/>
      <c r="AG2624" s="1"/>
      <c r="AI2624" s="1"/>
    </row>
    <row r="2625" spans="4:35" hidden="1">
      <c r="D2625" s="1"/>
      <c r="K2625" s="1"/>
      <c r="Q2625" s="1"/>
      <c r="AD2625" s="1"/>
      <c r="AG2625" s="1"/>
      <c r="AI2625" s="1"/>
    </row>
    <row r="2626" spans="4:35" hidden="1">
      <c r="D2626" s="1"/>
      <c r="K2626" s="1"/>
      <c r="Q2626" s="1"/>
      <c r="AD2626" s="1"/>
      <c r="AG2626" s="1"/>
      <c r="AI2626" s="1"/>
    </row>
    <row r="2627" spans="4:35" hidden="1">
      <c r="D2627" s="1"/>
      <c r="K2627" s="1"/>
      <c r="Q2627" s="1"/>
      <c r="AD2627" s="1"/>
      <c r="AG2627" s="1"/>
      <c r="AI2627" s="1"/>
    </row>
    <row r="2628" spans="4:35" hidden="1">
      <c r="D2628" s="1"/>
      <c r="K2628" s="1"/>
      <c r="Q2628" s="1"/>
      <c r="AD2628" s="1"/>
      <c r="AG2628" s="1"/>
      <c r="AI2628" s="1"/>
    </row>
    <row r="2629" spans="4:35" hidden="1">
      <c r="D2629" s="1"/>
      <c r="K2629" s="1"/>
      <c r="Q2629" s="1"/>
      <c r="AD2629" s="1"/>
      <c r="AG2629" s="1"/>
      <c r="AI2629" s="1"/>
    </row>
    <row r="2630" spans="4:35" hidden="1">
      <c r="D2630" s="1"/>
      <c r="K2630" s="1"/>
      <c r="Q2630" s="1"/>
      <c r="AD2630" s="1"/>
      <c r="AG2630" s="1"/>
      <c r="AI2630" s="1"/>
    </row>
    <row r="2631" spans="4:35" hidden="1">
      <c r="D2631" s="1"/>
      <c r="K2631" s="1"/>
      <c r="Q2631" s="1"/>
      <c r="AD2631" s="1"/>
      <c r="AG2631" s="1"/>
      <c r="AI2631" s="1"/>
    </row>
    <row r="2632" spans="4:35" hidden="1">
      <c r="D2632" s="1"/>
      <c r="K2632" s="1"/>
      <c r="Q2632" s="1"/>
      <c r="AD2632" s="1"/>
      <c r="AG2632" s="1"/>
      <c r="AI2632" s="1"/>
    </row>
    <row r="2633" spans="4:35" hidden="1">
      <c r="D2633" s="1"/>
      <c r="K2633" s="1"/>
      <c r="Q2633" s="1"/>
      <c r="AD2633" s="1"/>
      <c r="AG2633" s="1"/>
      <c r="AI2633" s="1"/>
    </row>
    <row r="2634" spans="4:35" hidden="1">
      <c r="D2634" s="1"/>
      <c r="K2634" s="1"/>
      <c r="Q2634" s="1"/>
      <c r="AD2634" s="1"/>
      <c r="AG2634" s="1"/>
      <c r="AI2634" s="1"/>
    </row>
    <row r="2635" spans="4:35" hidden="1">
      <c r="D2635" s="1"/>
      <c r="K2635" s="1"/>
      <c r="Q2635" s="1"/>
      <c r="AD2635" s="1"/>
      <c r="AG2635" s="1"/>
      <c r="AI2635" s="1"/>
    </row>
    <row r="2636" spans="4:35" hidden="1">
      <c r="D2636" s="1"/>
      <c r="K2636" s="1"/>
      <c r="Q2636" s="1"/>
      <c r="AD2636" s="1"/>
      <c r="AG2636" s="1"/>
      <c r="AI2636" s="1"/>
    </row>
    <row r="2637" spans="4:35" hidden="1">
      <c r="D2637" s="1"/>
      <c r="K2637" s="1"/>
      <c r="Q2637" s="1"/>
      <c r="AD2637" s="1"/>
      <c r="AG2637" s="1"/>
      <c r="AI2637" s="1"/>
    </row>
    <row r="2638" spans="4:35" hidden="1">
      <c r="D2638" s="1"/>
      <c r="K2638" s="1"/>
      <c r="Q2638" s="1"/>
      <c r="AD2638" s="1"/>
      <c r="AG2638" s="1"/>
      <c r="AI2638" s="1"/>
    </row>
    <row r="2639" spans="4:35" hidden="1">
      <c r="D2639" s="1"/>
      <c r="K2639" s="1"/>
      <c r="Q2639" s="1"/>
      <c r="AD2639" s="1"/>
      <c r="AG2639" s="1"/>
      <c r="AI2639" s="1"/>
    </row>
    <row r="2640" spans="4:35" hidden="1">
      <c r="D2640" s="1"/>
      <c r="K2640" s="1"/>
      <c r="Q2640" s="1"/>
      <c r="AD2640" s="1"/>
      <c r="AG2640" s="1"/>
      <c r="AI2640" s="1"/>
    </row>
    <row r="2641" spans="4:35" hidden="1">
      <c r="D2641" s="1"/>
      <c r="K2641" s="1"/>
      <c r="Q2641" s="1"/>
      <c r="AD2641" s="1"/>
      <c r="AG2641" s="1"/>
      <c r="AI2641" s="1"/>
    </row>
    <row r="2642" spans="4:35" hidden="1">
      <c r="D2642" s="1"/>
      <c r="K2642" s="1"/>
      <c r="Q2642" s="1"/>
      <c r="AD2642" s="1"/>
      <c r="AG2642" s="1"/>
      <c r="AI2642" s="1"/>
    </row>
    <row r="2643" spans="4:35" hidden="1">
      <c r="D2643" s="1"/>
      <c r="K2643" s="1"/>
      <c r="Q2643" s="1"/>
      <c r="AD2643" s="1"/>
      <c r="AG2643" s="1"/>
      <c r="AI2643" s="1"/>
    </row>
    <row r="2644" spans="4:35" hidden="1">
      <c r="D2644" s="1"/>
      <c r="K2644" s="1"/>
      <c r="Q2644" s="1"/>
      <c r="AD2644" s="1"/>
      <c r="AG2644" s="1"/>
      <c r="AI2644" s="1"/>
    </row>
    <row r="2645" spans="4:35" hidden="1">
      <c r="D2645" s="1"/>
      <c r="K2645" s="1"/>
      <c r="Q2645" s="1"/>
      <c r="AD2645" s="1"/>
      <c r="AG2645" s="1"/>
      <c r="AI2645" s="1"/>
    </row>
    <row r="2646" spans="4:35" hidden="1">
      <c r="D2646" s="1"/>
      <c r="K2646" s="1"/>
      <c r="Q2646" s="1"/>
      <c r="AD2646" s="1"/>
      <c r="AG2646" s="1"/>
      <c r="AI2646" s="1"/>
    </row>
    <row r="2647" spans="4:35" hidden="1">
      <c r="D2647" s="1"/>
      <c r="K2647" s="1"/>
      <c r="Q2647" s="1"/>
      <c r="AD2647" s="1"/>
      <c r="AG2647" s="1"/>
      <c r="AI2647" s="1"/>
    </row>
    <row r="2648" spans="4:35" hidden="1">
      <c r="D2648" s="1"/>
      <c r="K2648" s="1"/>
      <c r="Q2648" s="1"/>
      <c r="AD2648" s="1"/>
      <c r="AG2648" s="1"/>
      <c r="AI2648" s="1"/>
    </row>
    <row r="2649" spans="4:35" hidden="1">
      <c r="D2649" s="1"/>
      <c r="K2649" s="1"/>
      <c r="Q2649" s="1"/>
      <c r="AD2649" s="1"/>
      <c r="AG2649" s="1"/>
      <c r="AI2649" s="1"/>
    </row>
    <row r="2650" spans="4:35" hidden="1">
      <c r="D2650" s="1"/>
      <c r="K2650" s="1"/>
      <c r="Q2650" s="1"/>
      <c r="AD2650" s="1"/>
      <c r="AG2650" s="1"/>
      <c r="AI2650" s="1"/>
    </row>
    <row r="2651" spans="4:35" hidden="1">
      <c r="D2651" s="1"/>
      <c r="K2651" s="1"/>
      <c r="Q2651" s="1"/>
      <c r="AD2651" s="1"/>
      <c r="AG2651" s="1"/>
      <c r="AI2651" s="1"/>
    </row>
    <row r="2652" spans="4:35" hidden="1">
      <c r="D2652" s="1"/>
      <c r="K2652" s="1"/>
      <c r="Q2652" s="1"/>
      <c r="AD2652" s="1"/>
      <c r="AG2652" s="1"/>
      <c r="AI2652" s="1"/>
    </row>
    <row r="2653" spans="4:35" hidden="1">
      <c r="D2653" s="1"/>
      <c r="K2653" s="1"/>
      <c r="Q2653" s="1"/>
      <c r="AD2653" s="1"/>
      <c r="AG2653" s="1"/>
      <c r="AI2653" s="1"/>
    </row>
    <row r="2654" spans="4:35" hidden="1">
      <c r="D2654" s="1"/>
      <c r="K2654" s="1"/>
      <c r="Q2654" s="1"/>
      <c r="AD2654" s="1"/>
      <c r="AG2654" s="1"/>
      <c r="AI2654" s="1"/>
    </row>
    <row r="2655" spans="4:35" hidden="1">
      <c r="D2655" s="1"/>
      <c r="K2655" s="1"/>
      <c r="Q2655" s="1"/>
      <c r="AD2655" s="1"/>
      <c r="AG2655" s="1"/>
      <c r="AI2655" s="1"/>
    </row>
    <row r="2656" spans="4:35" hidden="1">
      <c r="D2656" s="1"/>
      <c r="K2656" s="1"/>
      <c r="Q2656" s="1"/>
      <c r="AD2656" s="1"/>
      <c r="AG2656" s="1"/>
      <c r="AI2656" s="1"/>
    </row>
    <row r="2657" spans="4:35" hidden="1">
      <c r="D2657" s="1"/>
      <c r="K2657" s="1"/>
      <c r="Q2657" s="1"/>
      <c r="AD2657" s="1"/>
      <c r="AG2657" s="1"/>
      <c r="AI2657" s="1"/>
    </row>
    <row r="2658" spans="4:35" hidden="1">
      <c r="D2658" s="1"/>
      <c r="K2658" s="1"/>
      <c r="Q2658" s="1"/>
      <c r="AD2658" s="1"/>
      <c r="AG2658" s="1"/>
      <c r="AI2658" s="1"/>
    </row>
    <row r="2659" spans="4:35" hidden="1">
      <c r="D2659" s="1"/>
      <c r="K2659" s="1"/>
      <c r="Q2659" s="1"/>
      <c r="AD2659" s="1"/>
      <c r="AG2659" s="1"/>
      <c r="AI2659" s="1"/>
    </row>
    <row r="2660" spans="4:35" hidden="1">
      <c r="D2660" s="1"/>
      <c r="K2660" s="1"/>
      <c r="Q2660" s="1"/>
      <c r="AD2660" s="1"/>
      <c r="AG2660" s="1"/>
      <c r="AI2660" s="1"/>
    </row>
    <row r="2661" spans="4:35" hidden="1">
      <c r="D2661" s="1"/>
      <c r="K2661" s="1"/>
      <c r="Q2661" s="1"/>
      <c r="AD2661" s="1"/>
      <c r="AG2661" s="1"/>
      <c r="AI2661" s="1"/>
    </row>
    <row r="2662" spans="4:35" hidden="1">
      <c r="D2662" s="1"/>
      <c r="K2662" s="1"/>
      <c r="Q2662" s="1"/>
      <c r="AD2662" s="1"/>
      <c r="AG2662" s="1"/>
      <c r="AI2662" s="1"/>
    </row>
    <row r="2663" spans="4:35" hidden="1">
      <c r="D2663" s="1"/>
      <c r="K2663" s="1"/>
      <c r="Q2663" s="1"/>
      <c r="AD2663" s="1"/>
      <c r="AG2663" s="1"/>
      <c r="AI2663" s="1"/>
    </row>
    <row r="2664" spans="4:35" hidden="1">
      <c r="D2664" s="1"/>
      <c r="K2664" s="1"/>
      <c r="Q2664" s="1"/>
      <c r="AD2664" s="1"/>
      <c r="AG2664" s="1"/>
      <c r="AI2664" s="1"/>
    </row>
    <row r="2665" spans="4:35" hidden="1">
      <c r="D2665" s="1"/>
      <c r="K2665" s="1"/>
      <c r="Q2665" s="1"/>
      <c r="AD2665" s="1"/>
      <c r="AG2665" s="1"/>
      <c r="AI2665" s="1"/>
    </row>
    <row r="2666" spans="4:35" hidden="1">
      <c r="D2666" s="1"/>
      <c r="K2666" s="1"/>
      <c r="Q2666" s="1"/>
      <c r="AD2666" s="1"/>
      <c r="AG2666" s="1"/>
      <c r="AI2666" s="1"/>
    </row>
    <row r="2667" spans="4:35" hidden="1">
      <c r="D2667" s="1"/>
      <c r="K2667" s="1"/>
      <c r="Q2667" s="1"/>
      <c r="AD2667" s="1"/>
      <c r="AG2667" s="1"/>
      <c r="AI2667" s="1"/>
    </row>
    <row r="2668" spans="4:35" hidden="1">
      <c r="D2668" s="1"/>
      <c r="K2668" s="1"/>
      <c r="Q2668" s="1"/>
      <c r="AD2668" s="1"/>
      <c r="AG2668" s="1"/>
      <c r="AI2668" s="1"/>
    </row>
    <row r="2669" spans="4:35" hidden="1">
      <c r="D2669" s="1"/>
      <c r="K2669" s="1"/>
      <c r="Q2669" s="1"/>
      <c r="AD2669" s="1"/>
      <c r="AG2669" s="1"/>
      <c r="AI2669" s="1"/>
    </row>
    <row r="2670" spans="4:35" hidden="1">
      <c r="D2670" s="1"/>
      <c r="K2670" s="1"/>
      <c r="Q2670" s="1"/>
      <c r="AD2670" s="1"/>
      <c r="AG2670" s="1"/>
      <c r="AI2670" s="1"/>
    </row>
    <row r="2671" spans="4:35" hidden="1">
      <c r="D2671" s="1"/>
      <c r="K2671" s="1"/>
      <c r="Q2671" s="1"/>
      <c r="AD2671" s="1"/>
      <c r="AG2671" s="1"/>
      <c r="AI2671" s="1"/>
    </row>
    <row r="2672" spans="4:35" hidden="1">
      <c r="D2672" s="1"/>
      <c r="K2672" s="1"/>
      <c r="Q2672" s="1"/>
      <c r="AD2672" s="1"/>
      <c r="AG2672" s="1"/>
      <c r="AI2672" s="1"/>
    </row>
    <row r="2673" spans="4:35" hidden="1">
      <c r="D2673" s="1"/>
      <c r="K2673" s="1"/>
      <c r="Q2673" s="1"/>
      <c r="AD2673" s="1"/>
      <c r="AG2673" s="1"/>
      <c r="AI2673" s="1"/>
    </row>
    <row r="2674" spans="4:35" hidden="1">
      <c r="D2674" s="1"/>
      <c r="K2674" s="1"/>
      <c r="Q2674" s="1"/>
      <c r="AD2674" s="1"/>
      <c r="AG2674" s="1"/>
      <c r="AI2674" s="1"/>
    </row>
    <row r="2675" spans="4:35" hidden="1">
      <c r="D2675" s="1"/>
      <c r="K2675" s="1"/>
      <c r="Q2675" s="1"/>
      <c r="AD2675" s="1"/>
      <c r="AG2675" s="1"/>
      <c r="AI2675" s="1"/>
    </row>
    <row r="2676" spans="4:35" hidden="1">
      <c r="D2676" s="1"/>
      <c r="K2676" s="1"/>
      <c r="Q2676" s="1"/>
      <c r="AD2676" s="1"/>
      <c r="AG2676" s="1"/>
      <c r="AI2676" s="1"/>
    </row>
    <row r="2677" spans="4:35" hidden="1">
      <c r="D2677" s="1"/>
      <c r="K2677" s="1"/>
      <c r="Q2677" s="1"/>
      <c r="AD2677" s="1"/>
      <c r="AG2677" s="1"/>
      <c r="AI2677" s="1"/>
    </row>
    <row r="2678" spans="4:35" hidden="1">
      <c r="D2678" s="1"/>
      <c r="K2678" s="1"/>
      <c r="Q2678" s="1"/>
      <c r="AD2678" s="1"/>
      <c r="AG2678" s="1"/>
      <c r="AI2678" s="1"/>
    </row>
    <row r="2679" spans="4:35" hidden="1">
      <c r="D2679" s="1"/>
      <c r="K2679" s="1"/>
      <c r="Q2679" s="1"/>
      <c r="AD2679" s="1"/>
      <c r="AG2679" s="1"/>
      <c r="AI2679" s="1"/>
    </row>
    <row r="2680" spans="4:35" hidden="1">
      <c r="D2680" s="1"/>
      <c r="K2680" s="1"/>
      <c r="Q2680" s="1"/>
      <c r="AD2680" s="1"/>
      <c r="AG2680" s="1"/>
      <c r="AI2680" s="1"/>
    </row>
    <row r="2681" spans="4:35" hidden="1">
      <c r="D2681" s="1"/>
      <c r="K2681" s="1"/>
      <c r="Q2681" s="1"/>
      <c r="AD2681" s="1"/>
      <c r="AG2681" s="1"/>
      <c r="AI2681" s="1"/>
    </row>
    <row r="2682" spans="4:35" hidden="1">
      <c r="D2682" s="1"/>
      <c r="K2682" s="1"/>
      <c r="Q2682" s="1"/>
      <c r="AD2682" s="1"/>
      <c r="AG2682" s="1"/>
      <c r="AI2682" s="1"/>
    </row>
    <row r="2683" spans="4:35" hidden="1">
      <c r="D2683" s="1"/>
      <c r="K2683" s="1"/>
      <c r="Q2683" s="1"/>
      <c r="AD2683" s="1"/>
      <c r="AG2683" s="1"/>
      <c r="AI2683" s="1"/>
    </row>
    <row r="2684" spans="4:35" hidden="1">
      <c r="D2684" s="1"/>
      <c r="K2684" s="1"/>
      <c r="Q2684" s="1"/>
      <c r="AD2684" s="1"/>
      <c r="AG2684" s="1"/>
      <c r="AI2684" s="1"/>
    </row>
    <row r="2685" spans="4:35" hidden="1">
      <c r="D2685" s="1"/>
      <c r="K2685" s="1"/>
      <c r="Q2685" s="1"/>
      <c r="AD2685" s="1"/>
      <c r="AG2685" s="1"/>
      <c r="AI2685" s="1"/>
    </row>
    <row r="2686" spans="4:35" hidden="1">
      <c r="D2686" s="1"/>
      <c r="K2686" s="1"/>
      <c r="Q2686" s="1"/>
      <c r="AD2686" s="1"/>
      <c r="AG2686" s="1"/>
      <c r="AI2686" s="1"/>
    </row>
    <row r="2687" spans="4:35" hidden="1">
      <c r="D2687" s="1"/>
      <c r="K2687" s="1"/>
      <c r="Q2687" s="1"/>
      <c r="AD2687" s="1"/>
      <c r="AG2687" s="1"/>
      <c r="AI2687" s="1"/>
    </row>
    <row r="2688" spans="4:35" hidden="1">
      <c r="D2688" s="1"/>
      <c r="K2688" s="1"/>
      <c r="Q2688" s="1"/>
      <c r="AD2688" s="1"/>
      <c r="AG2688" s="1"/>
      <c r="AI2688" s="1"/>
    </row>
    <row r="2689" spans="4:35" hidden="1">
      <c r="D2689" s="1"/>
      <c r="K2689" s="1"/>
      <c r="Q2689" s="1"/>
      <c r="AD2689" s="1"/>
      <c r="AG2689" s="1"/>
      <c r="AI2689" s="1"/>
    </row>
    <row r="2690" spans="4:35" hidden="1">
      <c r="D2690" s="1"/>
      <c r="K2690" s="1"/>
      <c r="Q2690" s="1"/>
      <c r="AD2690" s="1"/>
      <c r="AG2690" s="1"/>
      <c r="AI2690" s="1"/>
    </row>
    <row r="2691" spans="4:35" hidden="1">
      <c r="D2691" s="1"/>
      <c r="K2691" s="1"/>
      <c r="Q2691" s="1"/>
      <c r="AD2691" s="1"/>
      <c r="AG2691" s="1"/>
      <c r="AI2691" s="1"/>
    </row>
    <row r="2692" spans="4:35" hidden="1">
      <c r="D2692" s="1"/>
      <c r="K2692" s="1"/>
      <c r="Q2692" s="1"/>
      <c r="AD2692" s="1"/>
      <c r="AG2692" s="1"/>
      <c r="AI2692" s="1"/>
    </row>
    <row r="2693" spans="4:35" hidden="1">
      <c r="D2693" s="1"/>
      <c r="K2693" s="1"/>
      <c r="Q2693" s="1"/>
      <c r="AD2693" s="1"/>
      <c r="AG2693" s="1"/>
      <c r="AI2693" s="1"/>
    </row>
    <row r="2694" spans="4:35" hidden="1">
      <c r="D2694" s="1"/>
      <c r="K2694" s="1"/>
      <c r="Q2694" s="1"/>
      <c r="AD2694" s="1"/>
      <c r="AG2694" s="1"/>
      <c r="AI2694" s="1"/>
    </row>
    <row r="2695" spans="4:35" hidden="1">
      <c r="D2695" s="1"/>
      <c r="K2695" s="1"/>
      <c r="Q2695" s="1"/>
      <c r="AD2695" s="1"/>
      <c r="AG2695" s="1"/>
      <c r="AI2695" s="1"/>
    </row>
    <row r="2696" spans="4:35" hidden="1">
      <c r="D2696" s="1"/>
      <c r="K2696" s="1"/>
      <c r="Q2696" s="1"/>
      <c r="AD2696" s="1"/>
      <c r="AG2696" s="1"/>
      <c r="AI2696" s="1"/>
    </row>
    <row r="2697" spans="4:35" hidden="1">
      <c r="D2697" s="1"/>
      <c r="K2697" s="1"/>
      <c r="Q2697" s="1"/>
      <c r="AD2697" s="1"/>
      <c r="AG2697" s="1"/>
      <c r="AI2697" s="1"/>
    </row>
    <row r="2698" spans="4:35" hidden="1">
      <c r="D2698" s="1"/>
      <c r="K2698" s="1"/>
      <c r="Q2698" s="1"/>
      <c r="AD2698" s="1"/>
      <c r="AG2698" s="1"/>
      <c r="AI2698" s="1"/>
    </row>
    <row r="2699" spans="4:35" hidden="1">
      <c r="D2699" s="1"/>
      <c r="K2699" s="1"/>
      <c r="Q2699" s="1"/>
      <c r="AD2699" s="1"/>
      <c r="AG2699" s="1"/>
      <c r="AI2699" s="1"/>
    </row>
    <row r="2700" spans="4:35" hidden="1">
      <c r="D2700" s="1"/>
      <c r="K2700" s="1"/>
      <c r="Q2700" s="1"/>
      <c r="AD2700" s="1"/>
      <c r="AG2700" s="1"/>
      <c r="AI2700" s="1"/>
    </row>
    <row r="2701" spans="4:35" hidden="1">
      <c r="D2701" s="1"/>
      <c r="K2701" s="1"/>
      <c r="Q2701" s="1"/>
      <c r="AD2701" s="1"/>
      <c r="AG2701" s="1"/>
      <c r="AI2701" s="1"/>
    </row>
    <row r="2702" spans="4:35" hidden="1">
      <c r="D2702" s="1"/>
      <c r="K2702" s="1"/>
      <c r="Q2702" s="1"/>
      <c r="AD2702" s="1"/>
      <c r="AG2702" s="1"/>
      <c r="AI2702" s="1"/>
    </row>
    <row r="2703" spans="4:35" hidden="1">
      <c r="D2703" s="1"/>
      <c r="K2703" s="1"/>
      <c r="Q2703" s="1"/>
      <c r="AD2703" s="1"/>
      <c r="AG2703" s="1"/>
      <c r="AI2703" s="1"/>
    </row>
    <row r="2704" spans="4:35" hidden="1">
      <c r="D2704" s="1"/>
      <c r="K2704" s="1"/>
      <c r="Q2704" s="1"/>
      <c r="AD2704" s="1"/>
      <c r="AG2704" s="1"/>
      <c r="AI2704" s="1"/>
    </row>
    <row r="2705" spans="4:35" hidden="1">
      <c r="D2705" s="1"/>
      <c r="K2705" s="1"/>
      <c r="Q2705" s="1"/>
      <c r="AD2705" s="1"/>
      <c r="AG2705" s="1"/>
      <c r="AI2705" s="1"/>
    </row>
    <row r="2706" spans="4:35" hidden="1">
      <c r="D2706" s="1"/>
      <c r="K2706" s="1"/>
      <c r="Q2706" s="1"/>
      <c r="AD2706" s="1"/>
      <c r="AG2706" s="1"/>
      <c r="AI2706" s="1"/>
    </row>
    <row r="2707" spans="4:35" hidden="1">
      <c r="D2707" s="1"/>
      <c r="K2707" s="1"/>
      <c r="Q2707" s="1"/>
      <c r="AD2707" s="1"/>
      <c r="AG2707" s="1"/>
      <c r="AI2707" s="1"/>
    </row>
    <row r="2708" spans="4:35" hidden="1">
      <c r="D2708" s="1"/>
      <c r="K2708" s="1"/>
      <c r="Q2708" s="1"/>
      <c r="AD2708" s="1"/>
      <c r="AG2708" s="1"/>
      <c r="AI2708" s="1"/>
    </row>
    <row r="2709" spans="4:35" hidden="1">
      <c r="D2709" s="1"/>
      <c r="K2709" s="1"/>
      <c r="Q2709" s="1"/>
      <c r="AD2709" s="1"/>
      <c r="AG2709" s="1"/>
      <c r="AI2709" s="1"/>
    </row>
    <row r="2710" spans="4:35" hidden="1">
      <c r="D2710" s="1"/>
      <c r="K2710" s="1"/>
      <c r="Q2710" s="1"/>
      <c r="AD2710" s="1"/>
      <c r="AG2710" s="1"/>
      <c r="AI2710" s="1"/>
    </row>
    <row r="2711" spans="4:35" hidden="1">
      <c r="D2711" s="1"/>
      <c r="K2711" s="1"/>
      <c r="Q2711" s="1"/>
      <c r="AD2711" s="1"/>
      <c r="AG2711" s="1"/>
      <c r="AI2711" s="1"/>
    </row>
    <row r="2712" spans="4:35" hidden="1">
      <c r="D2712" s="1"/>
      <c r="K2712" s="1"/>
      <c r="Q2712" s="1"/>
      <c r="AD2712" s="1"/>
      <c r="AG2712" s="1"/>
      <c r="AI2712" s="1"/>
    </row>
    <row r="2713" spans="4:35" hidden="1">
      <c r="D2713" s="1"/>
      <c r="K2713" s="1"/>
      <c r="Q2713" s="1"/>
      <c r="AD2713" s="1"/>
      <c r="AG2713" s="1"/>
      <c r="AI2713" s="1"/>
    </row>
    <row r="2714" spans="4:35" hidden="1">
      <c r="D2714" s="1"/>
      <c r="K2714" s="1"/>
      <c r="Q2714" s="1"/>
      <c r="AD2714" s="1"/>
      <c r="AG2714" s="1"/>
      <c r="AI2714" s="1"/>
    </row>
    <row r="2715" spans="4:35" hidden="1">
      <c r="D2715" s="1"/>
      <c r="K2715" s="1"/>
      <c r="Q2715" s="1"/>
      <c r="AD2715" s="1"/>
      <c r="AG2715" s="1"/>
      <c r="AI2715" s="1"/>
    </row>
    <row r="2716" spans="4:35" hidden="1">
      <c r="D2716" s="1"/>
      <c r="K2716" s="1"/>
      <c r="Q2716" s="1"/>
      <c r="AD2716" s="1"/>
      <c r="AG2716" s="1"/>
      <c r="AI2716" s="1"/>
    </row>
    <row r="2717" spans="4:35" hidden="1">
      <c r="D2717" s="1"/>
      <c r="K2717" s="1"/>
      <c r="Q2717" s="1"/>
      <c r="AD2717" s="1"/>
      <c r="AG2717" s="1"/>
      <c r="AI2717" s="1"/>
    </row>
    <row r="2718" spans="4:35" hidden="1">
      <c r="D2718" s="1"/>
      <c r="K2718" s="1"/>
      <c r="Q2718" s="1"/>
      <c r="AD2718" s="1"/>
      <c r="AG2718" s="1"/>
      <c r="AI2718" s="1"/>
    </row>
    <row r="2719" spans="4:35" hidden="1">
      <c r="D2719" s="1"/>
      <c r="K2719" s="1"/>
      <c r="Q2719" s="1"/>
      <c r="AD2719" s="1"/>
      <c r="AG2719" s="1"/>
      <c r="AI2719" s="1"/>
    </row>
    <row r="2720" spans="4:35" hidden="1">
      <c r="D2720" s="1"/>
      <c r="K2720" s="1"/>
      <c r="Q2720" s="1"/>
      <c r="AD2720" s="1"/>
      <c r="AG2720" s="1"/>
      <c r="AI2720" s="1"/>
    </row>
    <row r="2721" spans="4:35" hidden="1">
      <c r="D2721" s="1"/>
      <c r="K2721" s="1"/>
      <c r="Q2721" s="1"/>
      <c r="AD2721" s="1"/>
      <c r="AG2721" s="1"/>
      <c r="AI2721" s="1"/>
    </row>
    <row r="2722" spans="4:35" hidden="1">
      <c r="D2722" s="1"/>
      <c r="K2722" s="1"/>
      <c r="Q2722" s="1"/>
      <c r="AD2722" s="1"/>
      <c r="AG2722" s="1"/>
      <c r="AI2722" s="1"/>
    </row>
    <row r="2723" spans="4:35" hidden="1">
      <c r="D2723" s="1"/>
      <c r="K2723" s="1"/>
      <c r="Q2723" s="1"/>
      <c r="AD2723" s="1"/>
      <c r="AG2723" s="1"/>
      <c r="AI2723" s="1"/>
    </row>
    <row r="2724" spans="4:35" hidden="1">
      <c r="D2724" s="1"/>
      <c r="K2724" s="1"/>
      <c r="Q2724" s="1"/>
      <c r="AD2724" s="1"/>
      <c r="AG2724" s="1"/>
      <c r="AI2724" s="1"/>
    </row>
    <row r="2725" spans="4:35" hidden="1">
      <c r="D2725" s="1"/>
      <c r="K2725" s="1"/>
      <c r="Q2725" s="1"/>
      <c r="AD2725" s="1"/>
      <c r="AG2725" s="1"/>
      <c r="AI2725" s="1"/>
    </row>
    <row r="2726" spans="4:35" hidden="1">
      <c r="D2726" s="1"/>
      <c r="K2726" s="1"/>
      <c r="Q2726" s="1"/>
      <c r="AD2726" s="1"/>
      <c r="AG2726" s="1"/>
      <c r="AI2726" s="1"/>
    </row>
    <row r="2727" spans="4:35" hidden="1">
      <c r="D2727" s="1"/>
      <c r="K2727" s="1"/>
      <c r="Q2727" s="1"/>
      <c r="AD2727" s="1"/>
      <c r="AG2727" s="1"/>
      <c r="AI2727" s="1"/>
    </row>
    <row r="2728" spans="4:35" hidden="1">
      <c r="D2728" s="1"/>
      <c r="K2728" s="1"/>
      <c r="Q2728" s="1"/>
      <c r="AD2728" s="1"/>
      <c r="AG2728" s="1"/>
      <c r="AI2728" s="1"/>
    </row>
    <row r="2729" spans="4:35" hidden="1">
      <c r="D2729" s="1"/>
      <c r="K2729" s="1"/>
      <c r="Q2729" s="1"/>
      <c r="AD2729" s="1"/>
      <c r="AG2729" s="1"/>
      <c r="AI2729" s="1"/>
    </row>
    <row r="2730" spans="4:35" hidden="1">
      <c r="D2730" s="1"/>
      <c r="K2730" s="1"/>
      <c r="Q2730" s="1"/>
      <c r="AD2730" s="1"/>
      <c r="AG2730" s="1"/>
      <c r="AI2730" s="1"/>
    </row>
    <row r="2731" spans="4:35" hidden="1">
      <c r="D2731" s="1"/>
      <c r="K2731" s="1"/>
      <c r="Q2731" s="1"/>
      <c r="AD2731" s="1"/>
      <c r="AG2731" s="1"/>
      <c r="AI2731" s="1"/>
    </row>
    <row r="2732" spans="4:35" hidden="1">
      <c r="D2732" s="1"/>
      <c r="K2732" s="1"/>
      <c r="Q2732" s="1"/>
      <c r="AD2732" s="1"/>
      <c r="AG2732" s="1"/>
      <c r="AI2732" s="1"/>
    </row>
    <row r="2733" spans="4:35" hidden="1">
      <c r="D2733" s="1"/>
      <c r="K2733" s="1"/>
      <c r="Q2733" s="1"/>
      <c r="AD2733" s="1"/>
      <c r="AG2733" s="1"/>
      <c r="AI2733" s="1"/>
    </row>
    <row r="2734" spans="4:35" hidden="1">
      <c r="D2734" s="1"/>
      <c r="K2734" s="1"/>
      <c r="Q2734" s="1"/>
      <c r="AD2734" s="1"/>
      <c r="AG2734" s="1"/>
      <c r="AI2734" s="1"/>
    </row>
    <row r="2735" spans="4:35" hidden="1">
      <c r="D2735" s="1"/>
      <c r="K2735" s="1"/>
      <c r="Q2735" s="1"/>
      <c r="AD2735" s="1"/>
      <c r="AG2735" s="1"/>
      <c r="AI2735" s="1"/>
    </row>
    <row r="2736" spans="4:35" hidden="1">
      <c r="D2736" s="1"/>
      <c r="K2736" s="1"/>
      <c r="Q2736" s="1"/>
      <c r="AD2736" s="1"/>
      <c r="AG2736" s="1"/>
      <c r="AI2736" s="1"/>
    </row>
    <row r="2737" spans="4:35" hidden="1">
      <c r="D2737" s="1"/>
      <c r="K2737" s="1"/>
      <c r="Q2737" s="1"/>
      <c r="AD2737" s="1"/>
      <c r="AG2737" s="1"/>
      <c r="AI2737" s="1"/>
    </row>
    <row r="2738" spans="4:35" hidden="1">
      <c r="D2738" s="1"/>
      <c r="K2738" s="1"/>
      <c r="Q2738" s="1"/>
      <c r="AD2738" s="1"/>
      <c r="AG2738" s="1"/>
      <c r="AI2738" s="1"/>
    </row>
    <row r="2739" spans="4:35" hidden="1">
      <c r="D2739" s="1"/>
      <c r="K2739" s="1"/>
      <c r="Q2739" s="1"/>
      <c r="AD2739" s="1"/>
      <c r="AG2739" s="1"/>
      <c r="AI2739" s="1"/>
    </row>
    <row r="2740" spans="4:35" hidden="1">
      <c r="D2740" s="1"/>
      <c r="K2740" s="1"/>
      <c r="Q2740" s="1"/>
      <c r="AD2740" s="1"/>
      <c r="AG2740" s="1"/>
      <c r="AI2740" s="1"/>
    </row>
    <row r="2741" spans="4:35" hidden="1">
      <c r="D2741" s="1"/>
      <c r="K2741" s="1"/>
      <c r="Q2741" s="1"/>
      <c r="AD2741" s="1"/>
      <c r="AG2741" s="1"/>
      <c r="AI2741" s="1"/>
    </row>
    <row r="2742" spans="4:35" hidden="1">
      <c r="D2742" s="1"/>
      <c r="K2742" s="1"/>
      <c r="Q2742" s="1"/>
      <c r="AD2742" s="1"/>
      <c r="AG2742" s="1"/>
      <c r="AI2742" s="1"/>
    </row>
    <row r="2743" spans="4:35" hidden="1">
      <c r="D2743" s="1"/>
      <c r="K2743" s="1"/>
      <c r="Q2743" s="1"/>
      <c r="AD2743" s="1"/>
      <c r="AG2743" s="1"/>
      <c r="AI2743" s="1"/>
    </row>
    <row r="2744" spans="4:35" hidden="1">
      <c r="D2744" s="1"/>
      <c r="K2744" s="1"/>
      <c r="Q2744" s="1"/>
      <c r="AD2744" s="1"/>
      <c r="AG2744" s="1"/>
      <c r="AI2744" s="1"/>
    </row>
    <row r="2745" spans="4:35" hidden="1">
      <c r="D2745" s="1"/>
      <c r="K2745" s="1"/>
      <c r="Q2745" s="1"/>
      <c r="AD2745" s="1"/>
      <c r="AG2745" s="1"/>
      <c r="AI2745" s="1"/>
    </row>
    <row r="2746" spans="4:35" hidden="1">
      <c r="D2746" s="1"/>
      <c r="K2746" s="1"/>
      <c r="Q2746" s="1"/>
      <c r="AD2746" s="1"/>
      <c r="AG2746" s="1"/>
      <c r="AI2746" s="1"/>
    </row>
    <row r="2747" spans="4:35" hidden="1">
      <c r="D2747" s="1"/>
      <c r="K2747" s="1"/>
      <c r="Q2747" s="1"/>
      <c r="AD2747" s="1"/>
      <c r="AG2747" s="1"/>
      <c r="AI2747" s="1"/>
    </row>
    <row r="2748" spans="4:35" hidden="1">
      <c r="D2748" s="1"/>
      <c r="K2748" s="1"/>
      <c r="Q2748" s="1"/>
      <c r="AD2748" s="1"/>
      <c r="AG2748" s="1"/>
      <c r="AI2748" s="1"/>
    </row>
    <row r="2749" spans="4:35" hidden="1">
      <c r="D2749" s="1"/>
      <c r="K2749" s="1"/>
      <c r="Q2749" s="1"/>
      <c r="AD2749" s="1"/>
      <c r="AG2749" s="1"/>
      <c r="AI2749" s="1"/>
    </row>
    <row r="2750" spans="4:35" hidden="1">
      <c r="D2750" s="1"/>
      <c r="K2750" s="1"/>
      <c r="Q2750" s="1"/>
      <c r="AD2750" s="1"/>
      <c r="AG2750" s="1"/>
      <c r="AI2750" s="1"/>
    </row>
    <row r="2751" spans="4:35" hidden="1">
      <c r="D2751" s="1"/>
      <c r="K2751" s="1"/>
      <c r="Q2751" s="1"/>
      <c r="AD2751" s="1"/>
      <c r="AG2751" s="1"/>
      <c r="AI2751" s="1"/>
    </row>
    <row r="2752" spans="4:35" hidden="1">
      <c r="D2752" s="1"/>
      <c r="K2752" s="1"/>
      <c r="Q2752" s="1"/>
      <c r="AD2752" s="1"/>
      <c r="AG2752" s="1"/>
      <c r="AI2752" s="1"/>
    </row>
    <row r="2753" spans="4:35" hidden="1">
      <c r="D2753" s="1"/>
      <c r="K2753" s="1"/>
      <c r="Q2753" s="1"/>
      <c r="AD2753" s="1"/>
      <c r="AG2753" s="1"/>
      <c r="AI2753" s="1"/>
    </row>
    <row r="2754" spans="4:35" hidden="1">
      <c r="D2754" s="1"/>
      <c r="K2754" s="1"/>
      <c r="Q2754" s="1"/>
      <c r="AD2754" s="1"/>
      <c r="AG2754" s="1"/>
      <c r="AI2754" s="1"/>
    </row>
    <row r="2755" spans="4:35" hidden="1">
      <c r="D2755" s="1"/>
      <c r="K2755" s="1"/>
      <c r="Q2755" s="1"/>
      <c r="AD2755" s="1"/>
      <c r="AG2755" s="1"/>
      <c r="AI2755" s="1"/>
    </row>
    <row r="2756" spans="4:35" hidden="1">
      <c r="D2756" s="1"/>
      <c r="K2756" s="1"/>
      <c r="Q2756" s="1"/>
      <c r="AD2756" s="1"/>
      <c r="AG2756" s="1"/>
      <c r="AI2756" s="1"/>
    </row>
    <row r="2757" spans="4:35" hidden="1">
      <c r="D2757" s="1"/>
      <c r="K2757" s="1"/>
      <c r="Q2757" s="1"/>
      <c r="AD2757" s="1"/>
      <c r="AG2757" s="1"/>
      <c r="AI2757" s="1"/>
    </row>
    <row r="2758" spans="4:35" hidden="1">
      <c r="D2758" s="1"/>
      <c r="K2758" s="1"/>
      <c r="Q2758" s="1"/>
      <c r="AD2758" s="1"/>
      <c r="AG2758" s="1"/>
      <c r="AI2758" s="1"/>
    </row>
    <row r="2759" spans="4:35" hidden="1">
      <c r="D2759" s="1"/>
      <c r="K2759" s="1"/>
      <c r="Q2759" s="1"/>
      <c r="AD2759" s="1"/>
      <c r="AG2759" s="1"/>
      <c r="AI2759" s="1"/>
    </row>
    <row r="2760" spans="4:35" hidden="1">
      <c r="D2760" s="1"/>
      <c r="K2760" s="1"/>
      <c r="Q2760" s="1"/>
      <c r="AD2760" s="1"/>
      <c r="AG2760" s="1"/>
      <c r="AI2760" s="1"/>
    </row>
    <row r="2761" spans="4:35" hidden="1">
      <c r="D2761" s="1"/>
      <c r="K2761" s="1"/>
      <c r="Q2761" s="1"/>
      <c r="AD2761" s="1"/>
      <c r="AG2761" s="1"/>
      <c r="AI2761" s="1"/>
    </row>
    <row r="2762" spans="4:35" hidden="1">
      <c r="D2762" s="1"/>
      <c r="K2762" s="1"/>
      <c r="Q2762" s="1"/>
      <c r="AD2762" s="1"/>
      <c r="AG2762" s="1"/>
      <c r="AI2762" s="1"/>
    </row>
    <row r="2763" spans="4:35" hidden="1">
      <c r="D2763" s="1"/>
      <c r="K2763" s="1"/>
      <c r="Q2763" s="1"/>
      <c r="AD2763" s="1"/>
      <c r="AG2763" s="1"/>
      <c r="AI2763" s="1"/>
    </row>
    <row r="2764" spans="4:35" hidden="1">
      <c r="D2764" s="1"/>
      <c r="K2764" s="1"/>
      <c r="Q2764" s="1"/>
      <c r="AD2764" s="1"/>
      <c r="AG2764" s="1"/>
      <c r="AI2764" s="1"/>
    </row>
    <row r="2765" spans="4:35" hidden="1">
      <c r="D2765" s="1"/>
      <c r="K2765" s="1"/>
      <c r="Q2765" s="1"/>
      <c r="AD2765" s="1"/>
      <c r="AG2765" s="1"/>
      <c r="AI2765" s="1"/>
    </row>
    <row r="2766" spans="4:35" hidden="1">
      <c r="D2766" s="1"/>
      <c r="K2766" s="1"/>
      <c r="Q2766" s="1"/>
      <c r="AD2766" s="1"/>
      <c r="AG2766" s="1"/>
      <c r="AI2766" s="1"/>
    </row>
    <row r="2767" spans="4:35" hidden="1">
      <c r="D2767" s="1"/>
      <c r="K2767" s="1"/>
      <c r="Q2767" s="1"/>
      <c r="AD2767" s="1"/>
      <c r="AG2767" s="1"/>
      <c r="AI2767" s="1"/>
    </row>
    <row r="2768" spans="4:35" hidden="1">
      <c r="D2768" s="1"/>
      <c r="K2768" s="1"/>
      <c r="Q2768" s="1"/>
      <c r="AD2768" s="1"/>
      <c r="AG2768" s="1"/>
      <c r="AI2768" s="1"/>
    </row>
    <row r="2769" spans="4:35" hidden="1">
      <c r="D2769" s="1"/>
      <c r="K2769" s="1"/>
      <c r="Q2769" s="1"/>
      <c r="AD2769" s="1"/>
      <c r="AG2769" s="1"/>
      <c r="AI2769" s="1"/>
    </row>
    <row r="2770" spans="4:35" hidden="1">
      <c r="D2770" s="1"/>
      <c r="K2770" s="1"/>
      <c r="Q2770" s="1"/>
      <c r="AD2770" s="1"/>
      <c r="AG2770" s="1"/>
      <c r="AI2770" s="1"/>
    </row>
    <row r="2771" spans="4:35" hidden="1">
      <c r="D2771" s="1"/>
      <c r="K2771" s="1"/>
      <c r="Q2771" s="1"/>
      <c r="AD2771" s="1"/>
      <c r="AG2771" s="1"/>
      <c r="AI2771" s="1"/>
    </row>
    <row r="2772" spans="4:35" hidden="1">
      <c r="D2772" s="1"/>
      <c r="K2772" s="1"/>
      <c r="Q2772" s="1"/>
      <c r="AD2772" s="1"/>
      <c r="AG2772" s="1"/>
      <c r="AI2772" s="1"/>
    </row>
    <row r="2773" spans="4:35" hidden="1">
      <c r="D2773" s="1"/>
      <c r="K2773" s="1"/>
      <c r="Q2773" s="1"/>
      <c r="AD2773" s="1"/>
      <c r="AG2773" s="1"/>
      <c r="AI2773" s="1"/>
    </row>
    <row r="2774" spans="4:35" hidden="1">
      <c r="D2774" s="1"/>
      <c r="K2774" s="1"/>
      <c r="Q2774" s="1"/>
      <c r="AD2774" s="1"/>
      <c r="AG2774" s="1"/>
      <c r="AI2774" s="1"/>
    </row>
    <row r="2775" spans="4:35" hidden="1">
      <c r="D2775" s="1"/>
      <c r="K2775" s="1"/>
      <c r="Q2775" s="1"/>
      <c r="AD2775" s="1"/>
      <c r="AG2775" s="1"/>
      <c r="AI2775" s="1"/>
    </row>
    <row r="2776" spans="4:35" hidden="1">
      <c r="D2776" s="1"/>
      <c r="K2776" s="1"/>
      <c r="Q2776" s="1"/>
      <c r="AD2776" s="1"/>
      <c r="AG2776" s="1"/>
      <c r="AI2776" s="1"/>
    </row>
    <row r="2777" spans="4:35" hidden="1">
      <c r="D2777" s="1"/>
      <c r="K2777" s="1"/>
      <c r="Q2777" s="1"/>
      <c r="AD2777" s="1"/>
      <c r="AG2777" s="1"/>
      <c r="AI2777" s="1"/>
    </row>
    <row r="2778" spans="4:35" hidden="1">
      <c r="D2778" s="1"/>
      <c r="K2778" s="1"/>
      <c r="Q2778" s="1"/>
      <c r="AD2778" s="1"/>
      <c r="AG2778" s="1"/>
      <c r="AI2778" s="1"/>
    </row>
    <row r="2779" spans="4:35" hidden="1">
      <c r="D2779" s="1"/>
      <c r="K2779" s="1"/>
      <c r="Q2779" s="1"/>
      <c r="AD2779" s="1"/>
      <c r="AG2779" s="1"/>
      <c r="AI2779" s="1"/>
    </row>
    <row r="2780" spans="4:35" hidden="1">
      <c r="D2780" s="1"/>
      <c r="K2780" s="1"/>
      <c r="Q2780" s="1"/>
      <c r="AD2780" s="1"/>
      <c r="AG2780" s="1"/>
      <c r="AI2780" s="1"/>
    </row>
    <row r="2781" spans="4:35" hidden="1">
      <c r="D2781" s="1"/>
      <c r="K2781" s="1"/>
      <c r="Q2781" s="1"/>
      <c r="AD2781" s="1"/>
      <c r="AG2781" s="1"/>
      <c r="AI2781" s="1"/>
    </row>
    <row r="2782" spans="4:35" hidden="1">
      <c r="D2782" s="1"/>
      <c r="K2782" s="1"/>
      <c r="Q2782" s="1"/>
      <c r="AD2782" s="1"/>
      <c r="AG2782" s="1"/>
      <c r="AI2782" s="1"/>
    </row>
    <row r="2783" spans="4:35" hidden="1">
      <c r="D2783" s="1"/>
      <c r="K2783" s="1"/>
      <c r="Q2783" s="1"/>
      <c r="AD2783" s="1"/>
      <c r="AG2783" s="1"/>
      <c r="AI2783" s="1"/>
    </row>
    <row r="2784" spans="4:35" hidden="1">
      <c r="D2784" s="1"/>
      <c r="K2784" s="1"/>
      <c r="Q2784" s="1"/>
      <c r="AD2784" s="1"/>
      <c r="AG2784" s="1"/>
      <c r="AI2784" s="1"/>
    </row>
    <row r="2785" spans="4:35" hidden="1">
      <c r="D2785" s="1"/>
      <c r="K2785" s="1"/>
      <c r="Q2785" s="1"/>
      <c r="AD2785" s="1"/>
      <c r="AG2785" s="1"/>
      <c r="AI2785" s="1"/>
    </row>
    <row r="2786" spans="4:35" hidden="1">
      <c r="D2786" s="1"/>
      <c r="K2786" s="1"/>
      <c r="Q2786" s="1"/>
      <c r="AD2786" s="1"/>
      <c r="AG2786" s="1"/>
      <c r="AI2786" s="1"/>
    </row>
    <row r="2787" spans="4:35" hidden="1">
      <c r="D2787" s="1"/>
      <c r="K2787" s="1"/>
      <c r="Q2787" s="1"/>
      <c r="AD2787" s="1"/>
      <c r="AG2787" s="1"/>
      <c r="AI2787" s="1"/>
    </row>
    <row r="2788" spans="4:35" hidden="1">
      <c r="D2788" s="1"/>
      <c r="K2788" s="1"/>
      <c r="Q2788" s="1"/>
      <c r="AD2788" s="1"/>
      <c r="AG2788" s="1"/>
      <c r="AI2788" s="1"/>
    </row>
    <row r="2789" spans="4:35" hidden="1">
      <c r="D2789" s="1"/>
      <c r="K2789" s="1"/>
      <c r="Q2789" s="1"/>
      <c r="AD2789" s="1"/>
      <c r="AG2789" s="1"/>
      <c r="AI2789" s="1"/>
    </row>
    <row r="2790" spans="4:35" hidden="1">
      <c r="D2790" s="1"/>
      <c r="K2790" s="1"/>
      <c r="Q2790" s="1"/>
      <c r="AD2790" s="1"/>
      <c r="AG2790" s="1"/>
      <c r="AI2790" s="1"/>
    </row>
    <row r="2791" spans="4:35" hidden="1">
      <c r="D2791" s="1"/>
      <c r="K2791" s="1"/>
      <c r="Q2791" s="1"/>
      <c r="AD2791" s="1"/>
      <c r="AG2791" s="1"/>
      <c r="AI2791" s="1"/>
    </row>
    <row r="2792" spans="4:35" hidden="1">
      <c r="D2792" s="1"/>
      <c r="K2792" s="1"/>
      <c r="Q2792" s="1"/>
      <c r="AD2792" s="1"/>
      <c r="AG2792" s="1"/>
      <c r="AI2792" s="1"/>
    </row>
    <row r="2793" spans="4:35" hidden="1">
      <c r="D2793" s="1"/>
      <c r="K2793" s="1"/>
      <c r="Q2793" s="1"/>
      <c r="AD2793" s="1"/>
      <c r="AG2793" s="1"/>
      <c r="AI2793" s="1"/>
    </row>
    <row r="2794" spans="4:35" hidden="1">
      <c r="D2794" s="1"/>
      <c r="K2794" s="1"/>
      <c r="Q2794" s="1"/>
      <c r="AD2794" s="1"/>
      <c r="AG2794" s="1"/>
      <c r="AI2794" s="1"/>
    </row>
    <row r="2795" spans="4:35" hidden="1">
      <c r="D2795" s="1"/>
      <c r="K2795" s="1"/>
      <c r="Q2795" s="1"/>
      <c r="AD2795" s="1"/>
      <c r="AG2795" s="1"/>
      <c r="AI2795" s="1"/>
    </row>
    <row r="2796" spans="4:35" hidden="1">
      <c r="D2796" s="1"/>
      <c r="K2796" s="1"/>
      <c r="Q2796" s="1"/>
      <c r="AD2796" s="1"/>
      <c r="AG2796" s="1"/>
      <c r="AI2796" s="1"/>
    </row>
    <row r="2797" spans="4:35" hidden="1">
      <c r="D2797" s="1"/>
      <c r="K2797" s="1"/>
      <c r="Q2797" s="1"/>
      <c r="AD2797" s="1"/>
      <c r="AG2797" s="1"/>
      <c r="AI2797" s="1"/>
    </row>
    <row r="2798" spans="4:35" hidden="1">
      <c r="D2798" s="1"/>
      <c r="K2798" s="1"/>
      <c r="Q2798" s="1"/>
      <c r="AD2798" s="1"/>
      <c r="AG2798" s="1"/>
      <c r="AI2798" s="1"/>
    </row>
    <row r="2799" spans="4:35" hidden="1">
      <c r="D2799" s="1"/>
      <c r="K2799" s="1"/>
      <c r="Q2799" s="1"/>
      <c r="AD2799" s="1"/>
      <c r="AG2799" s="1"/>
      <c r="AI2799" s="1"/>
    </row>
    <row r="2800" spans="4:35" hidden="1">
      <c r="D2800" s="1"/>
      <c r="K2800" s="1"/>
      <c r="Q2800" s="1"/>
      <c r="AD2800" s="1"/>
      <c r="AG2800" s="1"/>
      <c r="AI2800" s="1"/>
    </row>
    <row r="2801" spans="4:35" hidden="1">
      <c r="D2801" s="1"/>
      <c r="K2801" s="1"/>
      <c r="Q2801" s="1"/>
      <c r="AD2801" s="1"/>
      <c r="AG2801" s="1"/>
      <c r="AI2801" s="1"/>
    </row>
    <row r="2802" spans="4:35" hidden="1">
      <c r="D2802" s="1"/>
      <c r="K2802" s="1"/>
      <c r="Q2802" s="1"/>
      <c r="AD2802" s="1"/>
      <c r="AG2802" s="1"/>
      <c r="AI2802" s="1"/>
    </row>
    <row r="2803" spans="4:35" hidden="1">
      <c r="D2803" s="1"/>
      <c r="K2803" s="1"/>
      <c r="Q2803" s="1"/>
      <c r="AD2803" s="1"/>
      <c r="AG2803" s="1"/>
      <c r="AI2803" s="1"/>
    </row>
    <row r="2804" spans="4:35" hidden="1">
      <c r="D2804" s="1"/>
      <c r="K2804" s="1"/>
      <c r="Q2804" s="1"/>
      <c r="AD2804" s="1"/>
      <c r="AG2804" s="1"/>
      <c r="AI2804" s="1"/>
    </row>
    <row r="2805" spans="4:35" hidden="1">
      <c r="D2805" s="1"/>
      <c r="K2805" s="1"/>
      <c r="Q2805" s="1"/>
      <c r="AD2805" s="1"/>
      <c r="AG2805" s="1"/>
      <c r="AI2805" s="1"/>
    </row>
    <row r="2806" spans="4:35" hidden="1">
      <c r="D2806" s="1"/>
      <c r="K2806" s="1"/>
      <c r="Q2806" s="1"/>
      <c r="AD2806" s="1"/>
      <c r="AG2806" s="1"/>
      <c r="AI2806" s="1"/>
    </row>
    <row r="2807" spans="4:35" hidden="1">
      <c r="D2807" s="1"/>
      <c r="K2807" s="1"/>
      <c r="Q2807" s="1"/>
      <c r="AD2807" s="1"/>
      <c r="AG2807" s="1"/>
      <c r="AI2807" s="1"/>
    </row>
    <row r="2808" spans="4:35" hidden="1">
      <c r="D2808" s="1"/>
      <c r="K2808" s="1"/>
      <c r="Q2808" s="1"/>
      <c r="AD2808" s="1"/>
      <c r="AG2808" s="1"/>
      <c r="AI2808" s="1"/>
    </row>
    <row r="2809" spans="4:35" hidden="1">
      <c r="D2809" s="1"/>
      <c r="K2809" s="1"/>
      <c r="Q2809" s="1"/>
      <c r="AD2809" s="1"/>
      <c r="AG2809" s="1"/>
      <c r="AI2809" s="1"/>
    </row>
    <row r="2810" spans="4:35" hidden="1">
      <c r="D2810" s="1"/>
      <c r="K2810" s="1"/>
      <c r="Q2810" s="1"/>
      <c r="AD2810" s="1"/>
      <c r="AG2810" s="1"/>
      <c r="AI2810" s="1"/>
    </row>
    <row r="2811" spans="4:35" hidden="1">
      <c r="D2811" s="1"/>
      <c r="K2811" s="1"/>
      <c r="Q2811" s="1"/>
      <c r="AD2811" s="1"/>
      <c r="AG2811" s="1"/>
      <c r="AI2811" s="1"/>
    </row>
    <row r="2812" spans="4:35" hidden="1">
      <c r="D2812" s="1"/>
      <c r="K2812" s="1"/>
      <c r="Q2812" s="1"/>
      <c r="AD2812" s="1"/>
      <c r="AG2812" s="1"/>
      <c r="AI2812" s="1"/>
    </row>
    <row r="2813" spans="4:35" hidden="1">
      <c r="D2813" s="1"/>
      <c r="K2813" s="1"/>
      <c r="Q2813" s="1"/>
      <c r="AD2813" s="1"/>
      <c r="AG2813" s="1"/>
      <c r="AI2813" s="1"/>
    </row>
    <row r="2814" spans="4:35" hidden="1">
      <c r="D2814" s="1"/>
      <c r="K2814" s="1"/>
      <c r="Q2814" s="1"/>
      <c r="AD2814" s="1"/>
      <c r="AG2814" s="1"/>
      <c r="AI2814" s="1"/>
    </row>
    <row r="2815" spans="4:35" hidden="1">
      <c r="D2815" s="1"/>
      <c r="K2815" s="1"/>
      <c r="Q2815" s="1"/>
      <c r="AD2815" s="1"/>
      <c r="AG2815" s="1"/>
      <c r="AI2815" s="1"/>
    </row>
    <row r="2816" spans="4:35" hidden="1">
      <c r="D2816" s="1"/>
      <c r="K2816" s="1"/>
      <c r="Q2816" s="1"/>
      <c r="AD2816" s="1"/>
      <c r="AG2816" s="1"/>
      <c r="AI2816" s="1"/>
    </row>
    <row r="2817" spans="4:35" hidden="1">
      <c r="D2817" s="1"/>
      <c r="K2817" s="1"/>
      <c r="Q2817" s="1"/>
      <c r="AD2817" s="1"/>
      <c r="AG2817" s="1"/>
      <c r="AI2817" s="1"/>
    </row>
    <row r="2818" spans="4:35" hidden="1">
      <c r="D2818" s="1"/>
      <c r="K2818" s="1"/>
      <c r="Q2818" s="1"/>
      <c r="AD2818" s="1"/>
      <c r="AG2818" s="1"/>
      <c r="AI2818" s="1"/>
    </row>
    <row r="2819" spans="4:35" hidden="1">
      <c r="D2819" s="1"/>
      <c r="K2819" s="1"/>
      <c r="Q2819" s="1"/>
      <c r="AD2819" s="1"/>
      <c r="AG2819" s="1"/>
      <c r="AI2819" s="1"/>
    </row>
    <row r="2820" spans="4:35" hidden="1">
      <c r="D2820" s="1"/>
      <c r="K2820" s="1"/>
      <c r="Q2820" s="1"/>
      <c r="AD2820" s="1"/>
      <c r="AG2820" s="1"/>
      <c r="AI2820" s="1"/>
    </row>
    <row r="2821" spans="4:35" hidden="1">
      <c r="D2821" s="1"/>
      <c r="K2821" s="1"/>
      <c r="Q2821" s="1"/>
      <c r="AD2821" s="1"/>
      <c r="AG2821" s="1"/>
      <c r="AI2821" s="1"/>
    </row>
    <row r="2822" spans="4:35" hidden="1">
      <c r="D2822" s="1"/>
      <c r="K2822" s="1"/>
      <c r="Q2822" s="1"/>
      <c r="AD2822" s="1"/>
      <c r="AG2822" s="1"/>
      <c r="AI2822" s="1"/>
    </row>
    <row r="2823" spans="4:35" hidden="1">
      <c r="D2823" s="1"/>
      <c r="K2823" s="1"/>
      <c r="Q2823" s="1"/>
      <c r="AD2823" s="1"/>
      <c r="AG2823" s="1"/>
      <c r="AI2823" s="1"/>
    </row>
    <row r="2824" spans="4:35" hidden="1">
      <c r="D2824" s="1"/>
      <c r="K2824" s="1"/>
      <c r="Q2824" s="1"/>
      <c r="AD2824" s="1"/>
      <c r="AG2824" s="1"/>
      <c r="AI2824" s="1"/>
    </row>
    <row r="2825" spans="4:35" hidden="1">
      <c r="D2825" s="1"/>
      <c r="K2825" s="1"/>
      <c r="Q2825" s="1"/>
      <c r="AD2825" s="1"/>
      <c r="AG2825" s="1"/>
      <c r="AI2825" s="1"/>
    </row>
    <row r="2826" spans="4:35" hidden="1">
      <c r="D2826" s="1"/>
      <c r="K2826" s="1"/>
      <c r="Q2826" s="1"/>
      <c r="AD2826" s="1"/>
      <c r="AG2826" s="1"/>
      <c r="AI2826" s="1"/>
    </row>
    <row r="2827" spans="4:35" hidden="1">
      <c r="D2827" s="1"/>
      <c r="K2827" s="1"/>
      <c r="Q2827" s="1"/>
      <c r="AD2827" s="1"/>
      <c r="AG2827" s="1"/>
      <c r="AI2827" s="1"/>
    </row>
    <row r="2828" spans="4:35" hidden="1">
      <c r="D2828" s="1"/>
      <c r="K2828" s="1"/>
      <c r="Q2828" s="1"/>
      <c r="AD2828" s="1"/>
      <c r="AG2828" s="1"/>
      <c r="AI2828" s="1"/>
    </row>
    <row r="2829" spans="4:35" hidden="1">
      <c r="D2829" s="1"/>
      <c r="K2829" s="1"/>
      <c r="Q2829" s="1"/>
      <c r="AD2829" s="1"/>
      <c r="AG2829" s="1"/>
      <c r="AI2829" s="1"/>
    </row>
    <row r="2830" spans="4:35" hidden="1">
      <c r="D2830" s="1"/>
      <c r="K2830" s="1"/>
      <c r="Q2830" s="1"/>
      <c r="AD2830" s="1"/>
      <c r="AG2830" s="1"/>
      <c r="AI2830" s="1"/>
    </row>
    <row r="2831" spans="4:35" hidden="1">
      <c r="D2831" s="1"/>
      <c r="K2831" s="1"/>
      <c r="Q2831" s="1"/>
      <c r="AD2831" s="1"/>
      <c r="AG2831" s="1"/>
      <c r="AI2831" s="1"/>
    </row>
    <row r="2832" spans="4:35" hidden="1">
      <c r="D2832" s="1"/>
      <c r="K2832" s="1"/>
      <c r="Q2832" s="1"/>
      <c r="AD2832" s="1"/>
      <c r="AG2832" s="1"/>
      <c r="AI2832" s="1"/>
    </row>
    <row r="2833" spans="4:35" hidden="1">
      <c r="D2833" s="1"/>
      <c r="K2833" s="1"/>
      <c r="Q2833" s="1"/>
      <c r="AD2833" s="1"/>
      <c r="AG2833" s="1"/>
      <c r="AI2833" s="1"/>
    </row>
    <row r="2834" spans="4:35" hidden="1">
      <c r="D2834" s="1"/>
      <c r="K2834" s="1"/>
      <c r="Q2834" s="1"/>
      <c r="AD2834" s="1"/>
      <c r="AG2834" s="1"/>
      <c r="AI2834" s="1"/>
    </row>
    <row r="2835" spans="4:35" hidden="1">
      <c r="D2835" s="1"/>
      <c r="K2835" s="1"/>
      <c r="Q2835" s="1"/>
      <c r="AD2835" s="1"/>
      <c r="AG2835" s="1"/>
      <c r="AI2835" s="1"/>
    </row>
    <row r="2836" spans="4:35" hidden="1">
      <c r="D2836" s="1"/>
      <c r="K2836" s="1"/>
      <c r="Q2836" s="1"/>
      <c r="AD2836" s="1"/>
      <c r="AG2836" s="1"/>
      <c r="AI2836" s="1"/>
    </row>
    <row r="2837" spans="4:35" hidden="1">
      <c r="D2837" s="1"/>
      <c r="K2837" s="1"/>
      <c r="Q2837" s="1"/>
      <c r="AD2837" s="1"/>
      <c r="AG2837" s="1"/>
      <c r="AI2837" s="1"/>
    </row>
    <row r="2838" spans="4:35" hidden="1">
      <c r="D2838" s="1"/>
      <c r="K2838" s="1"/>
      <c r="Q2838" s="1"/>
      <c r="AD2838" s="1"/>
      <c r="AG2838" s="1"/>
      <c r="AI2838" s="1"/>
    </row>
    <row r="2839" spans="4:35" hidden="1">
      <c r="D2839" s="1"/>
      <c r="K2839" s="1"/>
      <c r="Q2839" s="1"/>
      <c r="AD2839" s="1"/>
      <c r="AG2839" s="1"/>
      <c r="AI2839" s="1"/>
    </row>
    <row r="2840" spans="4:35" hidden="1">
      <c r="D2840" s="1"/>
      <c r="K2840" s="1"/>
      <c r="Q2840" s="1"/>
      <c r="AD2840" s="1"/>
      <c r="AG2840" s="1"/>
      <c r="AI2840" s="1"/>
    </row>
    <row r="2841" spans="4:35" hidden="1">
      <c r="D2841" s="1"/>
      <c r="K2841" s="1"/>
      <c r="Q2841" s="1"/>
      <c r="AD2841" s="1"/>
      <c r="AG2841" s="1"/>
      <c r="AI2841" s="1"/>
    </row>
    <row r="2842" spans="4:35" hidden="1">
      <c r="D2842" s="1"/>
      <c r="K2842" s="1"/>
      <c r="Q2842" s="1"/>
      <c r="AD2842" s="1"/>
      <c r="AG2842" s="1"/>
      <c r="AI2842" s="1"/>
    </row>
    <row r="2843" spans="4:35" hidden="1">
      <c r="D2843" s="1"/>
      <c r="K2843" s="1"/>
      <c r="Q2843" s="1"/>
      <c r="AD2843" s="1"/>
      <c r="AG2843" s="1"/>
      <c r="AI2843" s="1"/>
    </row>
    <row r="2844" spans="4:35" hidden="1">
      <c r="D2844" s="1"/>
      <c r="K2844" s="1"/>
      <c r="Q2844" s="1"/>
      <c r="AD2844" s="1"/>
      <c r="AG2844" s="1"/>
      <c r="AI2844" s="1"/>
    </row>
    <row r="2845" spans="4:35" hidden="1">
      <c r="D2845" s="1"/>
      <c r="K2845" s="1"/>
      <c r="Q2845" s="1"/>
      <c r="AD2845" s="1"/>
      <c r="AG2845" s="1"/>
      <c r="AI2845" s="1"/>
    </row>
    <row r="2846" spans="4:35" hidden="1">
      <c r="D2846" s="1"/>
      <c r="K2846" s="1"/>
      <c r="Q2846" s="1"/>
      <c r="AD2846" s="1"/>
      <c r="AG2846" s="1"/>
      <c r="AI2846" s="1"/>
    </row>
    <row r="2847" spans="4:35" hidden="1">
      <c r="D2847" s="1"/>
      <c r="K2847" s="1"/>
      <c r="Q2847" s="1"/>
      <c r="AD2847" s="1"/>
      <c r="AG2847" s="1"/>
      <c r="AI2847" s="1"/>
    </row>
    <row r="2848" spans="4:35" hidden="1">
      <c r="D2848" s="1"/>
      <c r="K2848" s="1"/>
      <c r="Q2848" s="1"/>
      <c r="AD2848" s="1"/>
      <c r="AG2848" s="1"/>
      <c r="AI2848" s="1"/>
    </row>
    <row r="2849" spans="4:35" hidden="1">
      <c r="D2849" s="1"/>
      <c r="K2849" s="1"/>
      <c r="Q2849" s="1"/>
      <c r="AD2849" s="1"/>
      <c r="AG2849" s="1"/>
      <c r="AI2849" s="1"/>
    </row>
    <row r="2850" spans="4:35" hidden="1">
      <c r="D2850" s="1"/>
      <c r="K2850" s="1"/>
      <c r="Q2850" s="1"/>
      <c r="AD2850" s="1"/>
      <c r="AG2850" s="1"/>
      <c r="AI2850" s="1"/>
    </row>
    <row r="2851" spans="4:35" hidden="1">
      <c r="D2851" s="1"/>
      <c r="K2851" s="1"/>
      <c r="Q2851" s="1"/>
      <c r="AD2851" s="1"/>
      <c r="AG2851" s="1"/>
      <c r="AI2851" s="1"/>
    </row>
    <row r="2852" spans="4:35" hidden="1">
      <c r="D2852" s="1"/>
      <c r="K2852" s="1"/>
      <c r="Q2852" s="1"/>
      <c r="AD2852" s="1"/>
      <c r="AG2852" s="1"/>
      <c r="AI2852" s="1"/>
    </row>
    <row r="2853" spans="4:35" hidden="1">
      <c r="D2853" s="1"/>
      <c r="K2853" s="1"/>
      <c r="Q2853" s="1"/>
      <c r="AD2853" s="1"/>
      <c r="AG2853" s="1"/>
      <c r="AI2853" s="1"/>
    </row>
    <row r="2854" spans="4:35" hidden="1">
      <c r="D2854" s="1"/>
      <c r="K2854" s="1"/>
      <c r="Q2854" s="1"/>
      <c r="AD2854" s="1"/>
      <c r="AG2854" s="1"/>
      <c r="AI2854" s="1"/>
    </row>
    <row r="2855" spans="4:35" hidden="1">
      <c r="D2855" s="1"/>
      <c r="K2855" s="1"/>
      <c r="Q2855" s="1"/>
      <c r="AD2855" s="1"/>
      <c r="AG2855" s="1"/>
      <c r="AI2855" s="1"/>
    </row>
    <row r="2856" spans="4:35" hidden="1">
      <c r="D2856" s="1"/>
      <c r="K2856" s="1"/>
      <c r="Q2856" s="1"/>
      <c r="AD2856" s="1"/>
      <c r="AG2856" s="1"/>
      <c r="AI2856" s="1"/>
    </row>
    <row r="2857" spans="4:35" hidden="1">
      <c r="D2857" s="1"/>
      <c r="K2857" s="1"/>
      <c r="Q2857" s="1"/>
      <c r="AD2857" s="1"/>
      <c r="AG2857" s="1"/>
      <c r="AI2857" s="1"/>
    </row>
    <row r="2858" spans="4:35" hidden="1">
      <c r="D2858" s="1"/>
      <c r="K2858" s="1"/>
      <c r="Q2858" s="1"/>
      <c r="AD2858" s="1"/>
      <c r="AG2858" s="1"/>
      <c r="AI2858" s="1"/>
    </row>
    <row r="2859" spans="4:35" hidden="1">
      <c r="D2859" s="1"/>
      <c r="K2859" s="1"/>
      <c r="Q2859" s="1"/>
      <c r="AD2859" s="1"/>
      <c r="AG2859" s="1"/>
      <c r="AI2859" s="1"/>
    </row>
    <row r="2860" spans="4:35" hidden="1">
      <c r="D2860" s="1"/>
      <c r="K2860" s="1"/>
      <c r="Q2860" s="1"/>
      <c r="AD2860" s="1"/>
      <c r="AG2860" s="1"/>
      <c r="AI2860" s="1"/>
    </row>
    <row r="2861" spans="4:35" hidden="1">
      <c r="D2861" s="1"/>
      <c r="K2861" s="1"/>
      <c r="Q2861" s="1"/>
      <c r="AD2861" s="1"/>
      <c r="AG2861" s="1"/>
      <c r="AI2861" s="1"/>
    </row>
    <row r="2862" spans="4:35" hidden="1">
      <c r="D2862" s="1"/>
      <c r="K2862" s="1"/>
      <c r="Q2862" s="1"/>
      <c r="AD2862" s="1"/>
      <c r="AG2862" s="1"/>
      <c r="AI2862" s="1"/>
    </row>
    <row r="2863" spans="4:35" hidden="1">
      <c r="D2863" s="1"/>
      <c r="K2863" s="1"/>
      <c r="Q2863" s="1"/>
      <c r="AD2863" s="1"/>
      <c r="AG2863" s="1"/>
      <c r="AI2863" s="1"/>
    </row>
    <row r="2864" spans="4:35" hidden="1">
      <c r="D2864" s="1"/>
      <c r="K2864" s="1"/>
      <c r="Q2864" s="1"/>
      <c r="AD2864" s="1"/>
      <c r="AG2864" s="1"/>
      <c r="AI2864" s="1"/>
    </row>
    <row r="2865" spans="4:35" hidden="1">
      <c r="D2865" s="1"/>
      <c r="K2865" s="1"/>
      <c r="Q2865" s="1"/>
      <c r="AD2865" s="1"/>
      <c r="AG2865" s="1"/>
      <c r="AI2865" s="1"/>
    </row>
    <row r="2866" spans="4:35" hidden="1">
      <c r="D2866" s="1"/>
      <c r="K2866" s="1"/>
      <c r="Q2866" s="1"/>
      <c r="AD2866" s="1"/>
      <c r="AG2866" s="1"/>
      <c r="AI2866" s="1"/>
    </row>
    <row r="2867" spans="4:35" hidden="1">
      <c r="D2867" s="1"/>
      <c r="K2867" s="1"/>
      <c r="Q2867" s="1"/>
      <c r="AD2867" s="1"/>
      <c r="AG2867" s="1"/>
      <c r="AI2867" s="1"/>
    </row>
    <row r="2868" spans="4:35" hidden="1">
      <c r="D2868" s="1"/>
      <c r="K2868" s="1"/>
      <c r="Q2868" s="1"/>
      <c r="AD2868" s="1"/>
      <c r="AG2868" s="1"/>
      <c r="AI2868" s="1"/>
    </row>
    <row r="2869" spans="4:35" hidden="1">
      <c r="D2869" s="1"/>
      <c r="K2869" s="1"/>
      <c r="Q2869" s="1"/>
      <c r="AD2869" s="1"/>
      <c r="AG2869" s="1"/>
      <c r="AI2869" s="1"/>
    </row>
    <row r="2870" spans="4:35" hidden="1">
      <c r="D2870" s="1"/>
      <c r="K2870" s="1"/>
      <c r="Q2870" s="1"/>
      <c r="AD2870" s="1"/>
      <c r="AG2870" s="1"/>
      <c r="AI2870" s="1"/>
    </row>
    <row r="2871" spans="4:35" hidden="1">
      <c r="D2871" s="1"/>
      <c r="K2871" s="1"/>
      <c r="Q2871" s="1"/>
      <c r="AD2871" s="1"/>
      <c r="AG2871" s="1"/>
      <c r="AI2871" s="1"/>
    </row>
    <row r="2872" spans="4:35" hidden="1">
      <c r="D2872" s="1"/>
      <c r="K2872" s="1"/>
      <c r="Q2872" s="1"/>
      <c r="AD2872" s="1"/>
      <c r="AG2872" s="1"/>
      <c r="AI2872" s="1"/>
    </row>
    <row r="2873" spans="4:35" hidden="1">
      <c r="D2873" s="1"/>
      <c r="K2873" s="1"/>
      <c r="Q2873" s="1"/>
      <c r="AD2873" s="1"/>
      <c r="AG2873" s="1"/>
      <c r="AI2873" s="1"/>
    </row>
    <row r="2874" spans="4:35" hidden="1">
      <c r="D2874" s="1"/>
      <c r="K2874" s="1"/>
      <c r="Q2874" s="1"/>
      <c r="AD2874" s="1"/>
      <c r="AG2874" s="1"/>
      <c r="AI2874" s="1"/>
    </row>
    <row r="2875" spans="4:35" hidden="1">
      <c r="D2875" s="1"/>
      <c r="K2875" s="1"/>
      <c r="Q2875" s="1"/>
      <c r="AD2875" s="1"/>
      <c r="AG2875" s="1"/>
      <c r="AI2875" s="1"/>
    </row>
    <row r="2876" spans="4:35" hidden="1">
      <c r="D2876" s="1"/>
      <c r="K2876" s="1"/>
      <c r="Q2876" s="1"/>
      <c r="AD2876" s="1"/>
      <c r="AG2876" s="1"/>
      <c r="AI2876" s="1"/>
    </row>
    <row r="2877" spans="4:35" hidden="1">
      <c r="D2877" s="1"/>
      <c r="K2877" s="1"/>
      <c r="Q2877" s="1"/>
      <c r="AD2877" s="1"/>
      <c r="AG2877" s="1"/>
      <c r="AI2877" s="1"/>
    </row>
    <row r="2878" spans="4:35" hidden="1">
      <c r="D2878" s="1"/>
      <c r="K2878" s="1"/>
      <c r="Q2878" s="1"/>
      <c r="AD2878" s="1"/>
      <c r="AG2878" s="1"/>
      <c r="AI2878" s="1"/>
    </row>
    <row r="2879" spans="4:35" hidden="1">
      <c r="D2879" s="1"/>
      <c r="K2879" s="1"/>
      <c r="Q2879" s="1"/>
      <c r="AD2879" s="1"/>
      <c r="AG2879" s="1"/>
      <c r="AI2879" s="1"/>
    </row>
    <row r="2880" spans="4:35" hidden="1">
      <c r="D2880" s="1"/>
      <c r="K2880" s="1"/>
      <c r="Q2880" s="1"/>
      <c r="AD2880" s="1"/>
      <c r="AG2880" s="1"/>
      <c r="AI2880" s="1"/>
    </row>
    <row r="2881" spans="4:35" hidden="1">
      <c r="D2881" s="1"/>
      <c r="K2881" s="1"/>
      <c r="Q2881" s="1"/>
      <c r="AD2881" s="1"/>
      <c r="AG2881" s="1"/>
      <c r="AI2881" s="1"/>
    </row>
    <row r="2882" spans="4:35" hidden="1">
      <c r="D2882" s="1"/>
      <c r="K2882" s="1"/>
      <c r="Q2882" s="1"/>
      <c r="AD2882" s="1"/>
      <c r="AG2882" s="1"/>
      <c r="AI2882" s="1"/>
    </row>
    <row r="2883" spans="4:35" hidden="1">
      <c r="D2883" s="1"/>
      <c r="K2883" s="1"/>
      <c r="Q2883" s="1"/>
      <c r="AD2883" s="1"/>
      <c r="AG2883" s="1"/>
      <c r="AI2883" s="1"/>
    </row>
    <row r="2884" spans="4:35" hidden="1">
      <c r="D2884" s="1"/>
      <c r="K2884" s="1"/>
      <c r="Q2884" s="1"/>
      <c r="AD2884" s="1"/>
      <c r="AG2884" s="1"/>
      <c r="AI2884" s="1"/>
    </row>
    <row r="2885" spans="4:35" hidden="1">
      <c r="D2885" s="1"/>
      <c r="K2885" s="1"/>
      <c r="Q2885" s="1"/>
      <c r="AD2885" s="1"/>
      <c r="AG2885" s="1"/>
      <c r="AI2885" s="1"/>
    </row>
    <row r="2886" spans="4:35" hidden="1">
      <c r="D2886" s="1"/>
      <c r="K2886" s="1"/>
      <c r="Q2886" s="1"/>
      <c r="AD2886" s="1"/>
      <c r="AG2886" s="1"/>
      <c r="AI2886" s="1"/>
    </row>
    <row r="2887" spans="4:35" hidden="1">
      <c r="D2887" s="1"/>
      <c r="K2887" s="1"/>
      <c r="Q2887" s="1"/>
      <c r="AD2887" s="1"/>
      <c r="AG2887" s="1"/>
      <c r="AI2887" s="1"/>
    </row>
    <row r="2888" spans="4:35" hidden="1">
      <c r="D2888" s="1"/>
      <c r="K2888" s="1"/>
      <c r="Q2888" s="1"/>
      <c r="AD2888" s="1"/>
      <c r="AG2888" s="1"/>
      <c r="AI2888" s="1"/>
    </row>
    <row r="2889" spans="4:35" hidden="1">
      <c r="D2889" s="1"/>
      <c r="K2889" s="1"/>
      <c r="Q2889" s="1"/>
      <c r="AD2889" s="1"/>
      <c r="AG2889" s="1"/>
      <c r="AI2889" s="1"/>
    </row>
    <row r="2890" spans="4:35" hidden="1">
      <c r="D2890" s="1"/>
      <c r="K2890" s="1"/>
      <c r="Q2890" s="1"/>
      <c r="AD2890" s="1"/>
      <c r="AG2890" s="1"/>
      <c r="AI2890" s="1"/>
    </row>
    <row r="2891" spans="4:35" hidden="1">
      <c r="D2891" s="1"/>
      <c r="K2891" s="1"/>
      <c r="Q2891" s="1"/>
      <c r="AD2891" s="1"/>
      <c r="AG2891" s="1"/>
      <c r="AI2891" s="1"/>
    </row>
    <row r="2892" spans="4:35" hidden="1">
      <c r="D2892" s="1"/>
      <c r="K2892" s="1"/>
      <c r="Q2892" s="1"/>
      <c r="AD2892" s="1"/>
      <c r="AG2892" s="1"/>
      <c r="AI2892" s="1"/>
    </row>
    <row r="2893" spans="4:35" hidden="1">
      <c r="D2893" s="1"/>
      <c r="K2893" s="1"/>
      <c r="Q2893" s="1"/>
      <c r="AD2893" s="1"/>
      <c r="AG2893" s="1"/>
      <c r="AI2893" s="1"/>
    </row>
    <row r="2894" spans="4:35" hidden="1">
      <c r="D2894" s="1"/>
      <c r="K2894" s="1"/>
      <c r="Q2894" s="1"/>
      <c r="AD2894" s="1"/>
      <c r="AG2894" s="1"/>
      <c r="AI2894" s="1"/>
    </row>
    <row r="2895" spans="4:35" hidden="1">
      <c r="D2895" s="1"/>
      <c r="K2895" s="1"/>
      <c r="Q2895" s="1"/>
      <c r="AD2895" s="1"/>
      <c r="AG2895" s="1"/>
      <c r="AI2895" s="1"/>
    </row>
    <row r="2896" spans="4:35" hidden="1">
      <c r="D2896" s="1"/>
      <c r="K2896" s="1"/>
      <c r="Q2896" s="1"/>
      <c r="AD2896" s="1"/>
      <c r="AG2896" s="1"/>
      <c r="AI2896" s="1"/>
    </row>
    <row r="2897" spans="4:35" hidden="1">
      <c r="D2897" s="1"/>
      <c r="K2897" s="1"/>
      <c r="Q2897" s="1"/>
      <c r="AD2897" s="1"/>
      <c r="AG2897" s="1"/>
      <c r="AI2897" s="1"/>
    </row>
    <row r="2898" spans="4:35" hidden="1">
      <c r="D2898" s="1"/>
      <c r="K2898" s="1"/>
      <c r="Q2898" s="1"/>
      <c r="AD2898" s="1"/>
      <c r="AG2898" s="1"/>
      <c r="AI2898" s="1"/>
    </row>
    <row r="2899" spans="4:35" hidden="1">
      <c r="D2899" s="1"/>
      <c r="K2899" s="1"/>
      <c r="Q2899" s="1"/>
      <c r="AD2899" s="1"/>
      <c r="AG2899" s="1"/>
      <c r="AI2899" s="1"/>
    </row>
    <row r="2900" spans="4:35" hidden="1">
      <c r="D2900" s="1"/>
      <c r="K2900" s="1"/>
      <c r="Q2900" s="1"/>
      <c r="AD2900" s="1"/>
      <c r="AG2900" s="1"/>
      <c r="AI2900" s="1"/>
    </row>
    <row r="2901" spans="4:35" hidden="1">
      <c r="D2901" s="1"/>
      <c r="K2901" s="1"/>
      <c r="Q2901" s="1"/>
      <c r="AD2901" s="1"/>
      <c r="AG2901" s="1"/>
      <c r="AI2901" s="1"/>
    </row>
    <row r="2902" spans="4:35" hidden="1">
      <c r="D2902" s="1"/>
      <c r="K2902" s="1"/>
      <c r="Q2902" s="1"/>
      <c r="AD2902" s="1"/>
      <c r="AG2902" s="1"/>
      <c r="AI2902" s="1"/>
    </row>
    <row r="2903" spans="4:35" hidden="1">
      <c r="D2903" s="1"/>
      <c r="K2903" s="1"/>
      <c r="Q2903" s="1"/>
      <c r="AD2903" s="1"/>
      <c r="AG2903" s="1"/>
      <c r="AI2903" s="1"/>
    </row>
    <row r="2904" spans="4:35" hidden="1">
      <c r="D2904" s="1"/>
      <c r="K2904" s="1"/>
      <c r="Q2904" s="1"/>
      <c r="AD2904" s="1"/>
      <c r="AG2904" s="1"/>
      <c r="AI2904" s="1"/>
    </row>
    <row r="2905" spans="4:35" hidden="1">
      <c r="D2905" s="1"/>
      <c r="K2905" s="1"/>
      <c r="Q2905" s="1"/>
      <c r="AD2905" s="1"/>
      <c r="AG2905" s="1"/>
      <c r="AI2905" s="1"/>
    </row>
    <row r="2906" spans="4:35" hidden="1">
      <c r="D2906" s="1"/>
      <c r="K2906" s="1"/>
      <c r="Q2906" s="1"/>
      <c r="AD2906" s="1"/>
      <c r="AG2906" s="1"/>
      <c r="AI2906" s="1"/>
    </row>
    <row r="2907" spans="4:35" hidden="1">
      <c r="D2907" s="1"/>
      <c r="K2907" s="1"/>
      <c r="Q2907" s="1"/>
      <c r="AD2907" s="1"/>
      <c r="AG2907" s="1"/>
      <c r="AI2907" s="1"/>
    </row>
    <row r="2908" spans="4:35" hidden="1">
      <c r="D2908" s="1"/>
      <c r="K2908" s="1"/>
      <c r="Q2908" s="1"/>
      <c r="AD2908" s="1"/>
      <c r="AG2908" s="1"/>
      <c r="AI2908" s="1"/>
    </row>
    <row r="2909" spans="4:35" hidden="1">
      <c r="D2909" s="1"/>
      <c r="K2909" s="1"/>
      <c r="Q2909" s="1"/>
      <c r="AD2909" s="1"/>
      <c r="AG2909" s="1"/>
      <c r="AI2909" s="1"/>
    </row>
    <row r="2910" spans="4:35" hidden="1">
      <c r="D2910" s="1"/>
      <c r="K2910" s="1"/>
      <c r="Q2910" s="1"/>
      <c r="AD2910" s="1"/>
      <c r="AG2910" s="1"/>
      <c r="AI2910" s="1"/>
    </row>
    <row r="2911" spans="4:35" hidden="1">
      <c r="D2911" s="1"/>
      <c r="K2911" s="1"/>
      <c r="Q2911" s="1"/>
      <c r="AD2911" s="1"/>
      <c r="AG2911" s="1"/>
      <c r="AI2911" s="1"/>
    </row>
    <row r="2912" spans="4:35" hidden="1">
      <c r="D2912" s="1"/>
      <c r="K2912" s="1"/>
      <c r="Q2912" s="1"/>
      <c r="AD2912" s="1"/>
      <c r="AG2912" s="1"/>
      <c r="AI2912" s="1"/>
    </row>
    <row r="2913" spans="4:35" hidden="1">
      <c r="D2913" s="1"/>
      <c r="K2913" s="1"/>
      <c r="Q2913" s="1"/>
      <c r="AD2913" s="1"/>
      <c r="AG2913" s="1"/>
      <c r="AI2913" s="1"/>
    </row>
    <row r="2914" spans="4:35" hidden="1">
      <c r="D2914" s="1"/>
      <c r="K2914" s="1"/>
      <c r="Q2914" s="1"/>
      <c r="AD2914" s="1"/>
      <c r="AG2914" s="1"/>
      <c r="AI2914" s="1"/>
    </row>
    <row r="2915" spans="4:35" hidden="1">
      <c r="D2915" s="1"/>
      <c r="K2915" s="1"/>
      <c r="Q2915" s="1"/>
      <c r="AD2915" s="1"/>
      <c r="AG2915" s="1"/>
      <c r="AI2915" s="1"/>
    </row>
    <row r="2916" spans="4:35" hidden="1">
      <c r="D2916" s="1"/>
      <c r="K2916" s="1"/>
      <c r="Q2916" s="1"/>
      <c r="AD2916" s="1"/>
      <c r="AG2916" s="1"/>
      <c r="AI2916" s="1"/>
    </row>
    <row r="2917" spans="4:35" hidden="1">
      <c r="D2917" s="1"/>
      <c r="K2917" s="1"/>
      <c r="Q2917" s="1"/>
      <c r="AD2917" s="1"/>
      <c r="AG2917" s="1"/>
      <c r="AI2917" s="1"/>
    </row>
    <row r="2918" spans="4:35" hidden="1">
      <c r="D2918" s="1"/>
      <c r="K2918" s="1"/>
      <c r="Q2918" s="1"/>
      <c r="AD2918" s="1"/>
      <c r="AG2918" s="1"/>
      <c r="AI2918" s="1"/>
    </row>
    <row r="2919" spans="4:35" hidden="1">
      <c r="D2919" s="1"/>
      <c r="K2919" s="1"/>
      <c r="Q2919" s="1"/>
      <c r="AD2919" s="1"/>
      <c r="AG2919" s="1"/>
      <c r="AI2919" s="1"/>
    </row>
    <row r="2920" spans="4:35" hidden="1">
      <c r="D2920" s="1"/>
      <c r="K2920" s="1"/>
      <c r="Q2920" s="1"/>
      <c r="AD2920" s="1"/>
      <c r="AG2920" s="1"/>
      <c r="AI2920" s="1"/>
    </row>
    <row r="2921" spans="4:35" hidden="1">
      <c r="D2921" s="1"/>
      <c r="K2921" s="1"/>
      <c r="Q2921" s="1"/>
      <c r="AD2921" s="1"/>
      <c r="AG2921" s="1"/>
      <c r="AI2921" s="1"/>
    </row>
    <row r="2922" spans="4:35" hidden="1">
      <c r="D2922" s="1"/>
      <c r="K2922" s="1"/>
      <c r="Q2922" s="1"/>
      <c r="AD2922" s="1"/>
      <c r="AG2922" s="1"/>
      <c r="AI2922" s="1"/>
    </row>
    <row r="2923" spans="4:35" hidden="1">
      <c r="D2923" s="1"/>
      <c r="K2923" s="1"/>
      <c r="Q2923" s="1"/>
      <c r="AD2923" s="1"/>
      <c r="AG2923" s="1"/>
      <c r="AI2923" s="1"/>
    </row>
    <row r="2924" spans="4:35" hidden="1">
      <c r="D2924" s="1"/>
      <c r="K2924" s="1"/>
      <c r="Q2924" s="1"/>
      <c r="AD2924" s="1"/>
      <c r="AG2924" s="1"/>
      <c r="AI2924" s="1"/>
    </row>
    <row r="2925" spans="4:35" hidden="1">
      <c r="D2925" s="1"/>
      <c r="K2925" s="1"/>
      <c r="Q2925" s="1"/>
      <c r="AD2925" s="1"/>
      <c r="AG2925" s="1"/>
      <c r="AI2925" s="1"/>
    </row>
    <row r="2926" spans="4:35" hidden="1">
      <c r="D2926" s="1"/>
      <c r="K2926" s="1"/>
      <c r="Q2926" s="1"/>
      <c r="AD2926" s="1"/>
      <c r="AG2926" s="1"/>
      <c r="AI2926" s="1"/>
    </row>
    <row r="2927" spans="4:35" hidden="1">
      <c r="D2927" s="1"/>
      <c r="K2927" s="1"/>
      <c r="Q2927" s="1"/>
      <c r="AD2927" s="1"/>
      <c r="AG2927" s="1"/>
      <c r="AI2927" s="1"/>
    </row>
    <row r="2928" spans="4:35" hidden="1">
      <c r="D2928" s="1"/>
      <c r="K2928" s="1"/>
      <c r="Q2928" s="1"/>
      <c r="AD2928" s="1"/>
      <c r="AG2928" s="1"/>
      <c r="AI2928" s="1"/>
    </row>
    <row r="2929" spans="4:35" hidden="1">
      <c r="D2929" s="1"/>
      <c r="K2929" s="1"/>
      <c r="Q2929" s="1"/>
      <c r="AD2929" s="1"/>
      <c r="AG2929" s="1"/>
      <c r="AI2929" s="1"/>
    </row>
    <row r="2930" spans="4:35" hidden="1">
      <c r="D2930" s="1"/>
      <c r="K2930" s="1"/>
      <c r="Q2930" s="1"/>
      <c r="AD2930" s="1"/>
      <c r="AG2930" s="1"/>
      <c r="AI2930" s="1"/>
    </row>
    <row r="2931" spans="4:35" hidden="1">
      <c r="D2931" s="1"/>
      <c r="K2931" s="1"/>
      <c r="Q2931" s="1"/>
      <c r="AD2931" s="1"/>
      <c r="AG2931" s="1"/>
      <c r="AI2931" s="1"/>
    </row>
    <row r="2932" spans="4:35" hidden="1">
      <c r="D2932" s="1"/>
      <c r="K2932" s="1"/>
      <c r="Q2932" s="1"/>
      <c r="AD2932" s="1"/>
      <c r="AG2932" s="1"/>
      <c r="AI2932" s="1"/>
    </row>
    <row r="2933" spans="4:35" hidden="1">
      <c r="D2933" s="1"/>
      <c r="K2933" s="1"/>
      <c r="Q2933" s="1"/>
      <c r="AD2933" s="1"/>
      <c r="AG2933" s="1"/>
      <c r="AI2933" s="1"/>
    </row>
    <row r="2934" spans="4:35" hidden="1">
      <c r="D2934" s="1"/>
      <c r="K2934" s="1"/>
      <c r="Q2934" s="1"/>
      <c r="AD2934" s="1"/>
      <c r="AG2934" s="1"/>
      <c r="AI2934" s="1"/>
    </row>
    <row r="2935" spans="4:35" hidden="1">
      <c r="D2935" s="1"/>
      <c r="K2935" s="1"/>
      <c r="Q2935" s="1"/>
      <c r="AD2935" s="1"/>
      <c r="AG2935" s="1"/>
      <c r="AI2935" s="1"/>
    </row>
    <row r="2936" spans="4:35" hidden="1">
      <c r="D2936" s="1"/>
      <c r="K2936" s="1"/>
      <c r="Q2936" s="1"/>
      <c r="AD2936" s="1"/>
      <c r="AG2936" s="1"/>
      <c r="AI2936" s="1"/>
    </row>
    <row r="2937" spans="4:35" hidden="1">
      <c r="D2937" s="1"/>
      <c r="K2937" s="1"/>
      <c r="Q2937" s="1"/>
      <c r="AD2937" s="1"/>
      <c r="AG2937" s="1"/>
      <c r="AI2937" s="1"/>
    </row>
    <row r="2938" spans="4:35" hidden="1">
      <c r="D2938" s="1"/>
      <c r="K2938" s="1"/>
      <c r="Q2938" s="1"/>
      <c r="AD2938" s="1"/>
      <c r="AG2938" s="1"/>
      <c r="AI2938" s="1"/>
    </row>
    <row r="2939" spans="4:35" hidden="1">
      <c r="D2939" s="1"/>
      <c r="K2939" s="1"/>
      <c r="Q2939" s="1"/>
      <c r="AD2939" s="1"/>
      <c r="AG2939" s="1"/>
      <c r="AI2939" s="1"/>
    </row>
    <row r="2940" spans="4:35" hidden="1">
      <c r="D2940" s="1"/>
      <c r="K2940" s="1"/>
      <c r="Q2940" s="1"/>
      <c r="AD2940" s="1"/>
      <c r="AG2940" s="1"/>
      <c r="AI2940" s="1"/>
    </row>
    <row r="2941" spans="4:35" hidden="1">
      <c r="D2941" s="1"/>
      <c r="K2941" s="1"/>
      <c r="Q2941" s="1"/>
      <c r="AD2941" s="1"/>
      <c r="AG2941" s="1"/>
      <c r="AI2941" s="1"/>
    </row>
    <row r="2942" spans="4:35" hidden="1">
      <c r="D2942" s="1"/>
      <c r="K2942" s="1"/>
      <c r="Q2942" s="1"/>
      <c r="AD2942" s="1"/>
      <c r="AG2942" s="1"/>
      <c r="AI2942" s="1"/>
    </row>
    <row r="2943" spans="4:35" hidden="1">
      <c r="D2943" s="1"/>
      <c r="K2943" s="1"/>
      <c r="Q2943" s="1"/>
      <c r="AD2943" s="1"/>
      <c r="AG2943" s="1"/>
      <c r="AI2943" s="1"/>
    </row>
    <row r="2944" spans="4:35" hidden="1">
      <c r="D2944" s="1"/>
      <c r="K2944" s="1"/>
      <c r="Q2944" s="1"/>
      <c r="AD2944" s="1"/>
      <c r="AG2944" s="1"/>
      <c r="AI2944" s="1"/>
    </row>
    <row r="2945" spans="4:35" hidden="1">
      <c r="D2945" s="1"/>
      <c r="K2945" s="1"/>
      <c r="Q2945" s="1"/>
      <c r="AD2945" s="1"/>
      <c r="AG2945" s="1"/>
      <c r="AI2945" s="1"/>
    </row>
    <row r="2946" spans="4:35" hidden="1">
      <c r="D2946" s="1"/>
      <c r="K2946" s="1"/>
      <c r="Q2946" s="1"/>
      <c r="AD2946" s="1"/>
      <c r="AG2946" s="1"/>
      <c r="AI2946" s="1"/>
    </row>
    <row r="2947" spans="4:35" hidden="1">
      <c r="D2947" s="1"/>
      <c r="K2947" s="1"/>
      <c r="Q2947" s="1"/>
      <c r="AD2947" s="1"/>
      <c r="AG2947" s="1"/>
      <c r="AI2947" s="1"/>
    </row>
    <row r="2948" spans="4:35" hidden="1">
      <c r="D2948" s="1"/>
      <c r="K2948" s="1"/>
      <c r="Q2948" s="1"/>
      <c r="AD2948" s="1"/>
      <c r="AG2948" s="1"/>
      <c r="AI2948" s="1"/>
    </row>
    <row r="2949" spans="4:35" hidden="1">
      <c r="D2949" s="1"/>
      <c r="K2949" s="1"/>
      <c r="Q2949" s="1"/>
      <c r="AD2949" s="1"/>
      <c r="AG2949" s="1"/>
      <c r="AI2949" s="1"/>
    </row>
    <row r="2950" spans="4:35" hidden="1">
      <c r="D2950" s="1"/>
      <c r="K2950" s="1"/>
      <c r="Q2950" s="1"/>
      <c r="AD2950" s="1"/>
      <c r="AG2950" s="1"/>
      <c r="AI2950" s="1"/>
    </row>
    <row r="2951" spans="4:35" hidden="1">
      <c r="D2951" s="1"/>
      <c r="K2951" s="1"/>
      <c r="Q2951" s="1"/>
      <c r="AD2951" s="1"/>
      <c r="AG2951" s="1"/>
      <c r="AI2951" s="1"/>
    </row>
    <row r="2952" spans="4:35" hidden="1">
      <c r="D2952" s="1"/>
      <c r="K2952" s="1"/>
      <c r="Q2952" s="1"/>
      <c r="AD2952" s="1"/>
      <c r="AG2952" s="1"/>
      <c r="AI2952" s="1"/>
    </row>
    <row r="2953" spans="4:35" hidden="1">
      <c r="D2953" s="1"/>
      <c r="K2953" s="1"/>
      <c r="Q2953" s="1"/>
      <c r="AD2953" s="1"/>
      <c r="AG2953" s="1"/>
      <c r="AI2953" s="1"/>
    </row>
    <row r="2954" spans="4:35" hidden="1">
      <c r="D2954" s="1"/>
      <c r="K2954" s="1"/>
      <c r="Q2954" s="1"/>
      <c r="AD2954" s="1"/>
      <c r="AG2954" s="1"/>
      <c r="AI2954" s="1"/>
    </row>
    <row r="2955" spans="4:35" hidden="1">
      <c r="D2955" s="1"/>
      <c r="K2955" s="1"/>
      <c r="Q2955" s="1"/>
      <c r="AD2955" s="1"/>
      <c r="AG2955" s="1"/>
      <c r="AI2955" s="1"/>
    </row>
    <row r="2956" spans="4:35" hidden="1">
      <c r="D2956" s="1"/>
      <c r="K2956" s="1"/>
      <c r="Q2956" s="1"/>
      <c r="AD2956" s="1"/>
      <c r="AG2956" s="1"/>
      <c r="AI2956" s="1"/>
    </row>
    <row r="2957" spans="4:35" hidden="1">
      <c r="D2957" s="1"/>
      <c r="K2957" s="1"/>
      <c r="Q2957" s="1"/>
      <c r="AD2957" s="1"/>
      <c r="AG2957" s="1"/>
      <c r="AI2957" s="1"/>
    </row>
    <row r="2958" spans="4:35" hidden="1">
      <c r="D2958" s="1"/>
      <c r="K2958" s="1"/>
      <c r="Q2958" s="1"/>
      <c r="AD2958" s="1"/>
      <c r="AG2958" s="1"/>
      <c r="AI2958" s="1"/>
    </row>
    <row r="2959" spans="4:35" hidden="1">
      <c r="D2959" s="1"/>
      <c r="K2959" s="1"/>
      <c r="Q2959" s="1"/>
      <c r="AD2959" s="1"/>
      <c r="AG2959" s="1"/>
      <c r="AI2959" s="1"/>
    </row>
    <row r="2960" spans="4:35" hidden="1">
      <c r="D2960" s="1"/>
      <c r="K2960" s="1"/>
      <c r="Q2960" s="1"/>
      <c r="AD2960" s="1"/>
      <c r="AG2960" s="1"/>
      <c r="AI2960" s="1"/>
    </row>
    <row r="2961" spans="4:35" hidden="1">
      <c r="D2961" s="1"/>
      <c r="K2961" s="1"/>
      <c r="Q2961" s="1"/>
      <c r="AD2961" s="1"/>
      <c r="AG2961" s="1"/>
      <c r="AI2961" s="1"/>
    </row>
    <row r="2962" spans="4:35" hidden="1">
      <c r="D2962" s="1"/>
      <c r="K2962" s="1"/>
      <c r="Q2962" s="1"/>
      <c r="AD2962" s="1"/>
      <c r="AG2962" s="1"/>
      <c r="AI2962" s="1"/>
    </row>
    <row r="2963" spans="4:35" hidden="1">
      <c r="D2963" s="1"/>
      <c r="K2963" s="1"/>
      <c r="Q2963" s="1"/>
      <c r="AD2963" s="1"/>
      <c r="AG2963" s="1"/>
      <c r="AI2963" s="1"/>
    </row>
    <row r="2964" spans="4:35" hidden="1">
      <c r="D2964" s="1"/>
      <c r="K2964" s="1"/>
      <c r="Q2964" s="1"/>
      <c r="AD2964" s="1"/>
      <c r="AG2964" s="1"/>
      <c r="AI2964" s="1"/>
    </row>
    <row r="2965" spans="4:35" hidden="1">
      <c r="D2965" s="1"/>
      <c r="K2965" s="1"/>
      <c r="Q2965" s="1"/>
      <c r="AD2965" s="1"/>
      <c r="AG2965" s="1"/>
      <c r="AI2965" s="1"/>
    </row>
    <row r="2966" spans="4:35" hidden="1">
      <c r="D2966" s="1"/>
      <c r="K2966" s="1"/>
      <c r="Q2966" s="1"/>
      <c r="AD2966" s="1"/>
      <c r="AG2966" s="1"/>
      <c r="AI2966" s="1"/>
    </row>
    <row r="2967" spans="4:35" hidden="1">
      <c r="D2967" s="1"/>
      <c r="K2967" s="1"/>
      <c r="Q2967" s="1"/>
      <c r="AD2967" s="1"/>
      <c r="AG2967" s="1"/>
      <c r="AI2967" s="1"/>
    </row>
    <row r="2968" spans="4:35" hidden="1">
      <c r="D2968" s="1"/>
      <c r="K2968" s="1"/>
      <c r="Q2968" s="1"/>
      <c r="AD2968" s="1"/>
      <c r="AG2968" s="1"/>
      <c r="AI2968" s="1"/>
    </row>
    <row r="2969" spans="4:35" hidden="1">
      <c r="D2969" s="1"/>
      <c r="K2969" s="1"/>
      <c r="Q2969" s="1"/>
      <c r="AD2969" s="1"/>
      <c r="AG2969" s="1"/>
      <c r="AI2969" s="1"/>
    </row>
    <row r="2970" spans="4:35" hidden="1">
      <c r="D2970" s="1"/>
      <c r="K2970" s="1"/>
      <c r="Q2970" s="1"/>
      <c r="AD2970" s="1"/>
      <c r="AG2970" s="1"/>
      <c r="AI2970" s="1"/>
    </row>
    <row r="2971" spans="4:35" hidden="1">
      <c r="D2971" s="1"/>
      <c r="K2971" s="1"/>
      <c r="Q2971" s="1"/>
      <c r="AD2971" s="1"/>
      <c r="AG2971" s="1"/>
      <c r="AI2971" s="1"/>
    </row>
    <row r="2972" spans="4:35" hidden="1">
      <c r="D2972" s="1"/>
      <c r="K2972" s="1"/>
      <c r="Q2972" s="1"/>
      <c r="AD2972" s="1"/>
      <c r="AG2972" s="1"/>
      <c r="AI2972" s="1"/>
    </row>
    <row r="2973" spans="4:35" hidden="1">
      <c r="D2973" s="1"/>
      <c r="K2973" s="1"/>
      <c r="Q2973" s="1"/>
      <c r="AD2973" s="1"/>
      <c r="AG2973" s="1"/>
      <c r="AI2973" s="1"/>
    </row>
    <row r="2974" spans="4:35" hidden="1">
      <c r="D2974" s="1"/>
      <c r="K2974" s="1"/>
      <c r="Q2974" s="1"/>
      <c r="AD2974" s="1"/>
      <c r="AG2974" s="1"/>
      <c r="AI2974" s="1"/>
    </row>
    <row r="2975" spans="4:35" hidden="1">
      <c r="D2975" s="1"/>
      <c r="K2975" s="1"/>
      <c r="Q2975" s="1"/>
      <c r="AD2975" s="1"/>
      <c r="AG2975" s="1"/>
      <c r="AI2975" s="1"/>
    </row>
    <row r="2976" spans="4:35" hidden="1">
      <c r="D2976" s="1"/>
      <c r="K2976" s="1"/>
      <c r="Q2976" s="1"/>
      <c r="AD2976" s="1"/>
      <c r="AG2976" s="1"/>
      <c r="AI2976" s="1"/>
    </row>
    <row r="2977" spans="4:35" hidden="1">
      <c r="D2977" s="1"/>
      <c r="K2977" s="1"/>
      <c r="Q2977" s="1"/>
      <c r="AD2977" s="1"/>
      <c r="AG2977" s="1"/>
      <c r="AI2977" s="1"/>
    </row>
    <row r="2978" spans="4:35" hidden="1">
      <c r="D2978" s="1"/>
      <c r="K2978" s="1"/>
      <c r="Q2978" s="1"/>
      <c r="AD2978" s="1"/>
      <c r="AG2978" s="1"/>
      <c r="AI2978" s="1"/>
    </row>
    <row r="2979" spans="4:35" hidden="1">
      <c r="D2979" s="1"/>
      <c r="K2979" s="1"/>
      <c r="Q2979" s="1"/>
      <c r="AD2979" s="1"/>
      <c r="AG2979" s="1"/>
      <c r="AI2979" s="1"/>
    </row>
    <row r="2980" spans="4:35" hidden="1">
      <c r="D2980" s="1"/>
      <c r="K2980" s="1"/>
      <c r="Q2980" s="1"/>
      <c r="AD2980" s="1"/>
      <c r="AG2980" s="1"/>
      <c r="AI2980" s="1"/>
    </row>
    <row r="2981" spans="4:35" hidden="1">
      <c r="D2981" s="1"/>
      <c r="K2981" s="1"/>
      <c r="Q2981" s="1"/>
      <c r="AD2981" s="1"/>
      <c r="AG2981" s="1"/>
      <c r="AI2981" s="1"/>
    </row>
    <row r="2982" spans="4:35" hidden="1">
      <c r="D2982" s="1"/>
      <c r="K2982" s="1"/>
      <c r="Q2982" s="1"/>
      <c r="AD2982" s="1"/>
      <c r="AG2982" s="1"/>
      <c r="AI2982" s="1"/>
    </row>
    <row r="2983" spans="4:35" hidden="1">
      <c r="D2983" s="1"/>
      <c r="K2983" s="1"/>
      <c r="Q2983" s="1"/>
      <c r="AD2983" s="1"/>
      <c r="AG2983" s="1"/>
      <c r="AI2983" s="1"/>
    </row>
    <row r="2984" spans="4:35" hidden="1">
      <c r="D2984" s="1"/>
      <c r="K2984" s="1"/>
      <c r="Q2984" s="1"/>
      <c r="AD2984" s="1"/>
      <c r="AG2984" s="1"/>
      <c r="AI2984" s="1"/>
    </row>
    <row r="2985" spans="4:35" hidden="1">
      <c r="D2985" s="1"/>
      <c r="K2985" s="1"/>
      <c r="Q2985" s="1"/>
      <c r="AD2985" s="1"/>
      <c r="AG2985" s="1"/>
      <c r="AI2985" s="1"/>
    </row>
    <row r="2986" spans="4:35" hidden="1">
      <c r="D2986" s="1"/>
      <c r="K2986" s="1"/>
      <c r="Q2986" s="1"/>
      <c r="AD2986" s="1"/>
      <c r="AG2986" s="1"/>
      <c r="AI2986" s="1"/>
    </row>
    <row r="2987" spans="4:35" hidden="1">
      <c r="D2987" s="1"/>
      <c r="K2987" s="1"/>
      <c r="Q2987" s="1"/>
      <c r="AD2987" s="1"/>
      <c r="AG2987" s="1"/>
      <c r="AI2987" s="1"/>
    </row>
    <row r="2988" spans="4:35" hidden="1">
      <c r="D2988" s="1"/>
      <c r="K2988" s="1"/>
      <c r="Q2988" s="1"/>
      <c r="AD2988" s="1"/>
      <c r="AG2988" s="1"/>
      <c r="AI2988" s="1"/>
    </row>
    <row r="2989" spans="4:35" hidden="1">
      <c r="D2989" s="1"/>
      <c r="K2989" s="1"/>
      <c r="Q2989" s="1"/>
      <c r="AD2989" s="1"/>
      <c r="AG2989" s="1"/>
      <c r="AI2989" s="1"/>
    </row>
    <row r="2990" spans="4:35" hidden="1">
      <c r="D2990" s="1"/>
      <c r="K2990" s="1"/>
      <c r="Q2990" s="1"/>
      <c r="AD2990" s="1"/>
      <c r="AG2990" s="1"/>
      <c r="AI2990" s="1"/>
    </row>
    <row r="2991" spans="4:35" hidden="1">
      <c r="D2991" s="1"/>
      <c r="K2991" s="1"/>
      <c r="Q2991" s="1"/>
      <c r="AD2991" s="1"/>
      <c r="AG2991" s="1"/>
      <c r="AI2991" s="1"/>
    </row>
    <row r="2992" spans="4:35" hidden="1">
      <c r="D2992" s="1"/>
      <c r="K2992" s="1"/>
      <c r="Q2992" s="1"/>
      <c r="AD2992" s="1"/>
      <c r="AG2992" s="1"/>
      <c r="AI2992" s="1"/>
    </row>
    <row r="2993" spans="4:35" hidden="1">
      <c r="D2993" s="1"/>
      <c r="K2993" s="1"/>
      <c r="Q2993" s="1"/>
      <c r="AD2993" s="1"/>
      <c r="AG2993" s="1"/>
      <c r="AI2993" s="1"/>
    </row>
    <row r="2994" spans="4:35" hidden="1">
      <c r="D2994" s="1"/>
      <c r="K2994" s="1"/>
      <c r="Q2994" s="1"/>
      <c r="AD2994" s="1"/>
      <c r="AG2994" s="1"/>
      <c r="AI2994" s="1"/>
    </row>
    <row r="2995" spans="4:35" hidden="1">
      <c r="D2995" s="1"/>
      <c r="K2995" s="1"/>
      <c r="Q2995" s="1"/>
      <c r="AD2995" s="1"/>
      <c r="AG2995" s="1"/>
      <c r="AI2995" s="1"/>
    </row>
    <row r="2996" spans="4:35" hidden="1">
      <c r="D2996" s="1"/>
      <c r="K2996" s="1"/>
      <c r="Q2996" s="1"/>
      <c r="AD2996" s="1"/>
      <c r="AG2996" s="1"/>
      <c r="AI2996" s="1"/>
    </row>
    <row r="2997" spans="4:35" hidden="1">
      <c r="D2997" s="1"/>
      <c r="K2997" s="1"/>
      <c r="Q2997" s="1"/>
      <c r="AD2997" s="1"/>
      <c r="AG2997" s="1"/>
      <c r="AI2997" s="1"/>
    </row>
    <row r="2998" spans="4:35" hidden="1">
      <c r="D2998" s="1"/>
      <c r="K2998" s="1"/>
      <c r="Q2998" s="1"/>
      <c r="AD2998" s="1"/>
      <c r="AG2998" s="1"/>
      <c r="AI2998" s="1"/>
    </row>
    <row r="2999" spans="4:35" hidden="1">
      <c r="D2999" s="1"/>
      <c r="K2999" s="1"/>
      <c r="Q2999" s="1"/>
      <c r="AD2999" s="1"/>
      <c r="AG2999" s="1"/>
      <c r="AI2999" s="1"/>
    </row>
    <row r="3000" spans="4:35" hidden="1">
      <c r="D3000" s="1"/>
      <c r="K3000" s="1"/>
      <c r="Q3000" s="1"/>
      <c r="AD3000" s="1"/>
      <c r="AG3000" s="1"/>
      <c r="AI3000" s="1"/>
    </row>
    <row r="3001" spans="4:35" hidden="1">
      <c r="D3001" s="1"/>
      <c r="K3001" s="1"/>
      <c r="Q3001" s="1"/>
      <c r="AD3001" s="1"/>
      <c r="AG3001" s="1"/>
      <c r="AI3001" s="1"/>
    </row>
    <row r="3002" spans="4:35" hidden="1">
      <c r="D3002" s="1"/>
      <c r="K3002" s="1"/>
      <c r="Q3002" s="1"/>
      <c r="AD3002" s="1"/>
      <c r="AG3002" s="1"/>
      <c r="AI3002" s="1"/>
    </row>
    <row r="3003" spans="4:35" hidden="1">
      <c r="D3003" s="1"/>
      <c r="K3003" s="1"/>
      <c r="Q3003" s="1"/>
      <c r="AD3003" s="1"/>
      <c r="AG3003" s="1"/>
      <c r="AI3003" s="1"/>
    </row>
    <row r="3004" spans="4:35" hidden="1">
      <c r="D3004" s="1"/>
      <c r="K3004" s="1"/>
      <c r="Q3004" s="1"/>
      <c r="AD3004" s="1"/>
      <c r="AG3004" s="1"/>
      <c r="AI3004" s="1"/>
    </row>
    <row r="3005" spans="4:35" hidden="1">
      <c r="D3005" s="1"/>
      <c r="K3005" s="1"/>
      <c r="Q3005" s="1"/>
      <c r="AD3005" s="1"/>
      <c r="AG3005" s="1"/>
      <c r="AI3005" s="1"/>
    </row>
    <row r="3006" spans="4:35" hidden="1">
      <c r="D3006" s="1"/>
      <c r="K3006" s="1"/>
      <c r="Q3006" s="1"/>
      <c r="AD3006" s="1"/>
      <c r="AG3006" s="1"/>
      <c r="AI3006" s="1"/>
    </row>
    <row r="3007" spans="4:35" hidden="1">
      <c r="D3007" s="1"/>
      <c r="K3007" s="1"/>
      <c r="Q3007" s="1"/>
      <c r="AD3007" s="1"/>
      <c r="AG3007" s="1"/>
      <c r="AI3007" s="1"/>
    </row>
    <row r="3008" spans="4:35" hidden="1">
      <c r="D3008" s="1"/>
      <c r="K3008" s="1"/>
      <c r="Q3008" s="1"/>
      <c r="AD3008" s="1"/>
      <c r="AG3008" s="1"/>
      <c r="AI3008" s="1"/>
    </row>
    <row r="3009" spans="4:35" hidden="1">
      <c r="D3009" s="1"/>
      <c r="K3009" s="1"/>
      <c r="Q3009" s="1"/>
      <c r="AD3009" s="1"/>
      <c r="AG3009" s="1"/>
      <c r="AI3009" s="1"/>
    </row>
    <row r="3010" spans="4:35" hidden="1">
      <c r="D3010" s="1"/>
      <c r="K3010" s="1"/>
      <c r="Q3010" s="1"/>
      <c r="AD3010" s="1"/>
      <c r="AG3010" s="1"/>
      <c r="AI3010" s="1"/>
    </row>
    <row r="3011" spans="4:35" hidden="1">
      <c r="D3011" s="1"/>
      <c r="K3011" s="1"/>
      <c r="Q3011" s="1"/>
      <c r="AD3011" s="1"/>
      <c r="AG3011" s="1"/>
      <c r="AI3011" s="1"/>
    </row>
    <row r="3012" spans="4:35" hidden="1">
      <c r="D3012" s="1"/>
      <c r="K3012" s="1"/>
      <c r="Q3012" s="1"/>
      <c r="AD3012" s="1"/>
      <c r="AG3012" s="1"/>
      <c r="AI3012" s="1"/>
    </row>
    <row r="3013" spans="4:35" hidden="1">
      <c r="D3013" s="1"/>
      <c r="K3013" s="1"/>
      <c r="Q3013" s="1"/>
      <c r="AD3013" s="1"/>
      <c r="AG3013" s="1"/>
      <c r="AI3013" s="1"/>
    </row>
    <row r="3014" spans="4:35" hidden="1">
      <c r="D3014" s="1"/>
      <c r="K3014" s="1"/>
      <c r="Q3014" s="1"/>
      <c r="AD3014" s="1"/>
      <c r="AG3014" s="1"/>
      <c r="AI3014" s="1"/>
    </row>
    <row r="3015" spans="4:35" hidden="1">
      <c r="D3015" s="1"/>
      <c r="K3015" s="1"/>
      <c r="Q3015" s="1"/>
      <c r="AD3015" s="1"/>
      <c r="AG3015" s="1"/>
      <c r="AI3015" s="1"/>
    </row>
    <row r="3016" spans="4:35" hidden="1">
      <c r="D3016" s="1"/>
      <c r="K3016" s="1"/>
      <c r="Q3016" s="1"/>
      <c r="AD3016" s="1"/>
      <c r="AG3016" s="1"/>
      <c r="AI3016" s="1"/>
    </row>
    <row r="3017" spans="4:35" hidden="1">
      <c r="D3017" s="1"/>
      <c r="K3017" s="1"/>
      <c r="Q3017" s="1"/>
      <c r="AD3017" s="1"/>
      <c r="AG3017" s="1"/>
      <c r="AI3017" s="1"/>
    </row>
    <row r="3018" spans="4:35" hidden="1">
      <c r="D3018" s="1"/>
      <c r="K3018" s="1"/>
      <c r="Q3018" s="1"/>
      <c r="AD3018" s="1"/>
      <c r="AG3018" s="1"/>
      <c r="AI3018" s="1"/>
    </row>
    <row r="3019" spans="4:35" hidden="1">
      <c r="D3019" s="1"/>
      <c r="K3019" s="1"/>
      <c r="Q3019" s="1"/>
      <c r="AD3019" s="1"/>
      <c r="AG3019" s="1"/>
      <c r="AI3019" s="1"/>
    </row>
    <row r="3020" spans="4:35" hidden="1">
      <c r="D3020" s="1"/>
      <c r="K3020" s="1"/>
      <c r="Q3020" s="1"/>
      <c r="AD3020" s="1"/>
      <c r="AG3020" s="1"/>
      <c r="AI3020" s="1"/>
    </row>
    <row r="3021" spans="4:35" hidden="1">
      <c r="D3021" s="1"/>
      <c r="K3021" s="1"/>
      <c r="Q3021" s="1"/>
      <c r="AD3021" s="1"/>
      <c r="AG3021" s="1"/>
      <c r="AI3021" s="1"/>
    </row>
    <row r="3022" spans="4:35" hidden="1">
      <c r="D3022" s="1"/>
      <c r="K3022" s="1"/>
      <c r="Q3022" s="1"/>
      <c r="AD3022" s="1"/>
      <c r="AG3022" s="1"/>
      <c r="AI3022" s="1"/>
    </row>
    <row r="3023" spans="4:35" hidden="1">
      <c r="D3023" s="1"/>
      <c r="K3023" s="1"/>
      <c r="Q3023" s="1"/>
      <c r="AD3023" s="1"/>
      <c r="AG3023" s="1"/>
      <c r="AI3023" s="1"/>
    </row>
    <row r="3024" spans="4:35" hidden="1">
      <c r="D3024" s="1"/>
      <c r="K3024" s="1"/>
      <c r="Q3024" s="1"/>
      <c r="AD3024" s="1"/>
      <c r="AG3024" s="1"/>
      <c r="AI3024" s="1"/>
    </row>
    <row r="3025" spans="4:35" hidden="1">
      <c r="D3025" s="1"/>
      <c r="K3025" s="1"/>
      <c r="Q3025" s="1"/>
      <c r="AD3025" s="1"/>
      <c r="AG3025" s="1"/>
      <c r="AI3025" s="1"/>
    </row>
    <row r="3026" spans="4:35" hidden="1">
      <c r="D3026" s="1"/>
      <c r="K3026" s="1"/>
      <c r="Q3026" s="1"/>
      <c r="AD3026" s="1"/>
      <c r="AG3026" s="1"/>
      <c r="AI3026" s="1"/>
    </row>
    <row r="3027" spans="4:35" hidden="1">
      <c r="D3027" s="1"/>
      <c r="K3027" s="1"/>
      <c r="Q3027" s="1"/>
      <c r="AD3027" s="1"/>
      <c r="AG3027" s="1"/>
      <c r="AI3027" s="1"/>
    </row>
    <row r="3028" spans="4:35" hidden="1">
      <c r="D3028" s="1"/>
      <c r="K3028" s="1"/>
      <c r="Q3028" s="1"/>
      <c r="AD3028" s="1"/>
      <c r="AG3028" s="1"/>
      <c r="AI3028" s="1"/>
    </row>
    <row r="3029" spans="4:35" hidden="1">
      <c r="D3029" s="1"/>
      <c r="K3029" s="1"/>
      <c r="Q3029" s="1"/>
      <c r="AD3029" s="1"/>
      <c r="AG3029" s="1"/>
      <c r="AI3029" s="1"/>
    </row>
    <row r="3030" spans="4:35" hidden="1">
      <c r="D3030" s="1"/>
      <c r="K3030" s="1"/>
      <c r="Q3030" s="1"/>
      <c r="AD3030" s="1"/>
      <c r="AG3030" s="1"/>
      <c r="AI3030" s="1"/>
    </row>
    <row r="3031" spans="4:35" hidden="1">
      <c r="D3031" s="1"/>
      <c r="K3031" s="1"/>
      <c r="Q3031" s="1"/>
      <c r="AD3031" s="1"/>
      <c r="AG3031" s="1"/>
      <c r="AI3031" s="1"/>
    </row>
    <row r="3032" spans="4:35" hidden="1">
      <c r="D3032" s="1"/>
      <c r="K3032" s="1"/>
      <c r="Q3032" s="1"/>
      <c r="AD3032" s="1"/>
      <c r="AG3032" s="1"/>
      <c r="AI3032" s="1"/>
    </row>
    <row r="3033" spans="4:35" hidden="1">
      <c r="D3033" s="1"/>
      <c r="K3033" s="1"/>
      <c r="Q3033" s="1"/>
      <c r="AD3033" s="1"/>
      <c r="AG3033" s="1"/>
      <c r="AI3033" s="1"/>
    </row>
    <row r="3034" spans="4:35" hidden="1">
      <c r="D3034" s="1"/>
      <c r="K3034" s="1"/>
      <c r="Q3034" s="1"/>
      <c r="AD3034" s="1"/>
      <c r="AG3034" s="1"/>
      <c r="AI3034" s="1"/>
    </row>
    <row r="3035" spans="4:35" hidden="1">
      <c r="D3035" s="1"/>
      <c r="K3035" s="1"/>
      <c r="Q3035" s="1"/>
      <c r="AD3035" s="1"/>
      <c r="AG3035" s="1"/>
      <c r="AI3035" s="1"/>
    </row>
    <row r="3036" spans="4:35" hidden="1">
      <c r="D3036" s="1"/>
      <c r="K3036" s="1"/>
      <c r="Q3036" s="1"/>
      <c r="AD3036" s="1"/>
      <c r="AG3036" s="1"/>
      <c r="AI3036" s="1"/>
    </row>
    <row r="3037" spans="4:35" hidden="1">
      <c r="D3037" s="1"/>
      <c r="K3037" s="1"/>
      <c r="Q3037" s="1"/>
      <c r="AD3037" s="1"/>
      <c r="AG3037" s="1"/>
      <c r="AI3037" s="1"/>
    </row>
    <row r="3038" spans="4:35" hidden="1">
      <c r="D3038" s="1"/>
      <c r="K3038" s="1"/>
      <c r="Q3038" s="1"/>
      <c r="AD3038" s="1"/>
      <c r="AG3038" s="1"/>
      <c r="AI3038" s="1"/>
    </row>
    <row r="3039" spans="4:35" hidden="1">
      <c r="D3039" s="1"/>
      <c r="K3039" s="1"/>
      <c r="Q3039" s="1"/>
      <c r="AD3039" s="1"/>
      <c r="AG3039" s="1"/>
      <c r="AI3039" s="1"/>
    </row>
    <row r="3040" spans="4:35" hidden="1">
      <c r="D3040" s="1"/>
      <c r="K3040" s="1"/>
      <c r="Q3040" s="1"/>
      <c r="AD3040" s="1"/>
      <c r="AG3040" s="1"/>
      <c r="AI3040" s="1"/>
    </row>
    <row r="3041" spans="4:35" hidden="1">
      <c r="D3041" s="1"/>
      <c r="K3041" s="1"/>
      <c r="Q3041" s="1"/>
      <c r="AD3041" s="1"/>
      <c r="AG3041" s="1"/>
      <c r="AI3041" s="1"/>
    </row>
    <row r="3042" spans="4:35" hidden="1">
      <c r="D3042" s="1"/>
      <c r="K3042" s="1"/>
      <c r="Q3042" s="1"/>
      <c r="AD3042" s="1"/>
      <c r="AG3042" s="1"/>
      <c r="AI3042" s="1"/>
    </row>
    <row r="3043" spans="4:35" hidden="1">
      <c r="D3043" s="1"/>
      <c r="K3043" s="1"/>
      <c r="Q3043" s="1"/>
      <c r="AD3043" s="1"/>
      <c r="AG3043" s="1"/>
      <c r="AI3043" s="1"/>
    </row>
    <row r="3044" spans="4:35" hidden="1">
      <c r="D3044" s="1"/>
      <c r="K3044" s="1"/>
      <c r="Q3044" s="1"/>
      <c r="AD3044" s="1"/>
      <c r="AG3044" s="1"/>
      <c r="AI3044" s="1"/>
    </row>
    <row r="3045" spans="4:35" hidden="1">
      <c r="D3045" s="1"/>
      <c r="K3045" s="1"/>
      <c r="Q3045" s="1"/>
      <c r="AD3045" s="1"/>
      <c r="AG3045" s="1"/>
      <c r="AI3045" s="1"/>
    </row>
    <row r="3046" spans="4:35" hidden="1">
      <c r="D3046" s="1"/>
      <c r="K3046" s="1"/>
      <c r="Q3046" s="1"/>
      <c r="AD3046" s="1"/>
      <c r="AG3046" s="1"/>
      <c r="AI3046" s="1"/>
    </row>
    <row r="3047" spans="4:35" hidden="1">
      <c r="D3047" s="1"/>
      <c r="K3047" s="1"/>
      <c r="Q3047" s="1"/>
      <c r="AD3047" s="1"/>
      <c r="AG3047" s="1"/>
      <c r="AI3047" s="1"/>
    </row>
    <row r="3048" spans="4:35" hidden="1">
      <c r="D3048" s="1"/>
      <c r="K3048" s="1"/>
      <c r="Q3048" s="1"/>
      <c r="AD3048" s="1"/>
      <c r="AG3048" s="1"/>
      <c r="AI3048" s="1"/>
    </row>
    <row r="3049" spans="4:35" hidden="1">
      <c r="D3049" s="1"/>
      <c r="K3049" s="1"/>
      <c r="Q3049" s="1"/>
      <c r="AD3049" s="1"/>
      <c r="AG3049" s="1"/>
      <c r="AI3049" s="1"/>
    </row>
    <row r="3050" spans="4:35" hidden="1">
      <c r="D3050" s="1"/>
      <c r="K3050" s="1"/>
      <c r="Q3050" s="1"/>
      <c r="AD3050" s="1"/>
      <c r="AG3050" s="1"/>
      <c r="AI3050" s="1"/>
    </row>
    <row r="3051" spans="4:35" hidden="1">
      <c r="D3051" s="1"/>
      <c r="K3051" s="1"/>
      <c r="Q3051" s="1"/>
      <c r="AD3051" s="1"/>
      <c r="AG3051" s="1"/>
      <c r="AI3051" s="1"/>
    </row>
    <row r="3052" spans="4:35" hidden="1">
      <c r="D3052" s="1"/>
      <c r="K3052" s="1"/>
      <c r="Q3052" s="1"/>
      <c r="AD3052" s="1"/>
      <c r="AG3052" s="1"/>
      <c r="AI3052" s="1"/>
    </row>
    <row r="3053" spans="4:35" hidden="1">
      <c r="D3053" s="1"/>
      <c r="K3053" s="1"/>
      <c r="Q3053" s="1"/>
      <c r="AD3053" s="1"/>
      <c r="AG3053" s="1"/>
      <c r="AI3053" s="1"/>
    </row>
    <row r="3054" spans="4:35" hidden="1">
      <c r="D3054" s="1"/>
      <c r="K3054" s="1"/>
      <c r="Q3054" s="1"/>
      <c r="AD3054" s="1"/>
      <c r="AG3054" s="1"/>
      <c r="AI3054" s="1"/>
    </row>
    <row r="3055" spans="4:35" hidden="1">
      <c r="D3055" s="1"/>
      <c r="K3055" s="1"/>
      <c r="Q3055" s="1"/>
      <c r="AD3055" s="1"/>
      <c r="AG3055" s="1"/>
      <c r="AI3055" s="1"/>
    </row>
    <row r="3056" spans="4:35" hidden="1">
      <c r="D3056" s="1"/>
      <c r="K3056" s="1"/>
      <c r="Q3056" s="1"/>
      <c r="AD3056" s="1"/>
      <c r="AG3056" s="1"/>
      <c r="AI3056" s="1"/>
    </row>
    <row r="3057" spans="4:35" hidden="1">
      <c r="D3057" s="1"/>
      <c r="K3057" s="1"/>
      <c r="Q3057" s="1"/>
      <c r="AD3057" s="1"/>
      <c r="AG3057" s="1"/>
      <c r="AI3057" s="1"/>
    </row>
    <row r="3058" spans="4:35" hidden="1">
      <c r="D3058" s="1"/>
      <c r="K3058" s="1"/>
      <c r="Q3058" s="1"/>
      <c r="AD3058" s="1"/>
      <c r="AG3058" s="1"/>
      <c r="AI3058" s="1"/>
    </row>
    <row r="3059" spans="4:35" hidden="1">
      <c r="D3059" s="1"/>
      <c r="K3059" s="1"/>
      <c r="Q3059" s="1"/>
      <c r="AD3059" s="1"/>
      <c r="AG3059" s="1"/>
      <c r="AI3059" s="1"/>
    </row>
    <row r="3060" spans="4:35" hidden="1">
      <c r="D3060" s="1"/>
      <c r="K3060" s="1"/>
      <c r="Q3060" s="1"/>
      <c r="AD3060" s="1"/>
      <c r="AG3060" s="1"/>
      <c r="AI3060" s="1"/>
    </row>
    <row r="3061" spans="4:35" hidden="1">
      <c r="D3061" s="1"/>
      <c r="K3061" s="1"/>
      <c r="Q3061" s="1"/>
      <c r="AD3061" s="1"/>
      <c r="AG3061" s="1"/>
      <c r="AI3061" s="1"/>
    </row>
    <row r="3062" spans="4:35" hidden="1">
      <c r="D3062" s="1"/>
      <c r="K3062" s="1"/>
      <c r="Q3062" s="1"/>
      <c r="AD3062" s="1"/>
      <c r="AG3062" s="1"/>
      <c r="AI3062" s="1"/>
    </row>
    <row r="3063" spans="4:35" hidden="1">
      <c r="D3063" s="1"/>
      <c r="K3063" s="1"/>
      <c r="Q3063" s="1"/>
      <c r="AD3063" s="1"/>
      <c r="AG3063" s="1"/>
      <c r="AI3063" s="1"/>
    </row>
    <row r="3064" spans="4:35" hidden="1">
      <c r="D3064" s="1"/>
      <c r="K3064" s="1"/>
      <c r="Q3064" s="1"/>
      <c r="AD3064" s="1"/>
      <c r="AG3064" s="1"/>
      <c r="AI3064" s="1"/>
    </row>
    <row r="3065" spans="4:35" hidden="1">
      <c r="D3065" s="1"/>
      <c r="K3065" s="1"/>
      <c r="Q3065" s="1"/>
      <c r="AD3065" s="1"/>
      <c r="AG3065" s="1"/>
      <c r="AI3065" s="1"/>
    </row>
    <row r="3066" spans="4:35" hidden="1">
      <c r="D3066" s="1"/>
      <c r="K3066" s="1"/>
      <c r="Q3066" s="1"/>
      <c r="AD3066" s="1"/>
      <c r="AG3066" s="1"/>
      <c r="AI3066" s="1"/>
    </row>
    <row r="3067" spans="4:35" hidden="1">
      <c r="D3067" s="1"/>
      <c r="K3067" s="1"/>
      <c r="Q3067" s="1"/>
      <c r="AD3067" s="1"/>
      <c r="AG3067" s="1"/>
      <c r="AI3067" s="1"/>
    </row>
    <row r="3068" spans="4:35" hidden="1">
      <c r="D3068" s="1"/>
      <c r="K3068" s="1"/>
      <c r="Q3068" s="1"/>
      <c r="AD3068" s="1"/>
      <c r="AG3068" s="1"/>
      <c r="AI3068" s="1"/>
    </row>
    <row r="3069" spans="4:35" hidden="1">
      <c r="D3069" s="1"/>
      <c r="K3069" s="1"/>
      <c r="Q3069" s="1"/>
      <c r="AD3069" s="1"/>
      <c r="AG3069" s="1"/>
      <c r="AI3069" s="1"/>
    </row>
    <row r="3070" spans="4:35" hidden="1">
      <c r="D3070" s="1"/>
      <c r="K3070" s="1"/>
      <c r="Q3070" s="1"/>
      <c r="AD3070" s="1"/>
      <c r="AG3070" s="1"/>
      <c r="AI3070" s="1"/>
    </row>
    <row r="3071" spans="4:35" hidden="1">
      <c r="D3071" s="1"/>
      <c r="K3071" s="1"/>
      <c r="Q3071" s="1"/>
      <c r="AD3071" s="1"/>
      <c r="AG3071" s="1"/>
      <c r="AI3071" s="1"/>
    </row>
    <row r="3072" spans="4:35" hidden="1">
      <c r="D3072" s="1"/>
      <c r="K3072" s="1"/>
      <c r="Q3072" s="1"/>
      <c r="AD3072" s="1"/>
      <c r="AG3072" s="1"/>
      <c r="AI3072" s="1"/>
    </row>
    <row r="3073" spans="4:35" hidden="1">
      <c r="D3073" s="1"/>
      <c r="K3073" s="1"/>
      <c r="Q3073" s="1"/>
      <c r="AD3073" s="1"/>
      <c r="AG3073" s="1"/>
      <c r="AI3073" s="1"/>
    </row>
    <row r="3074" spans="4:35" hidden="1">
      <c r="D3074" s="1"/>
      <c r="K3074" s="1"/>
      <c r="Q3074" s="1"/>
      <c r="AD3074" s="1"/>
      <c r="AG3074" s="1"/>
      <c r="AI3074" s="1"/>
    </row>
    <row r="3075" spans="4:35" hidden="1">
      <c r="D3075" s="1"/>
      <c r="K3075" s="1"/>
      <c r="Q3075" s="1"/>
      <c r="AD3075" s="1"/>
      <c r="AG3075" s="1"/>
      <c r="AI3075" s="1"/>
    </row>
    <row r="3076" spans="4:35" hidden="1">
      <c r="D3076" s="1"/>
      <c r="K3076" s="1"/>
      <c r="Q3076" s="1"/>
      <c r="AD3076" s="1"/>
      <c r="AG3076" s="1"/>
      <c r="AI3076" s="1"/>
    </row>
    <row r="3077" spans="4:35" hidden="1">
      <c r="D3077" s="1"/>
      <c r="K3077" s="1"/>
      <c r="Q3077" s="1"/>
      <c r="AD3077" s="1"/>
      <c r="AG3077" s="1"/>
      <c r="AI3077" s="1"/>
    </row>
    <row r="3078" spans="4:35" hidden="1">
      <c r="D3078" s="1"/>
      <c r="K3078" s="1"/>
      <c r="Q3078" s="1"/>
      <c r="AD3078" s="1"/>
      <c r="AG3078" s="1"/>
      <c r="AI3078" s="1"/>
    </row>
    <row r="3079" spans="4:35" hidden="1">
      <c r="D3079" s="1"/>
      <c r="K3079" s="1"/>
      <c r="Q3079" s="1"/>
      <c r="AD3079" s="1"/>
      <c r="AG3079" s="1"/>
      <c r="AI3079" s="1"/>
    </row>
    <row r="3080" spans="4:35" hidden="1">
      <c r="D3080" s="1"/>
      <c r="K3080" s="1"/>
      <c r="Q3080" s="1"/>
      <c r="AD3080" s="1"/>
      <c r="AG3080" s="1"/>
      <c r="AI3080" s="1"/>
    </row>
    <row r="3081" spans="4:35" hidden="1">
      <c r="D3081" s="1"/>
      <c r="K3081" s="1"/>
      <c r="Q3081" s="1"/>
      <c r="AD3081" s="1"/>
      <c r="AG3081" s="1"/>
      <c r="AI3081" s="1"/>
    </row>
    <row r="3082" spans="4:35" hidden="1">
      <c r="D3082" s="1"/>
      <c r="K3082" s="1"/>
      <c r="Q3082" s="1"/>
      <c r="AD3082" s="1"/>
      <c r="AG3082" s="1"/>
      <c r="AI3082" s="1"/>
    </row>
    <row r="3083" spans="4:35" hidden="1">
      <c r="D3083" s="1"/>
      <c r="K3083" s="1"/>
      <c r="Q3083" s="1"/>
      <c r="AD3083" s="1"/>
      <c r="AG3083" s="1"/>
      <c r="AI3083" s="1"/>
    </row>
    <row r="3084" spans="4:35" hidden="1">
      <c r="D3084" s="1"/>
      <c r="K3084" s="1"/>
      <c r="Q3084" s="1"/>
      <c r="AD3084" s="1"/>
      <c r="AG3084" s="1"/>
      <c r="AI3084" s="1"/>
    </row>
    <row r="3085" spans="4:35" hidden="1">
      <c r="D3085" s="1"/>
      <c r="K3085" s="1"/>
      <c r="Q3085" s="1"/>
      <c r="AD3085" s="1"/>
      <c r="AG3085" s="1"/>
      <c r="AI3085" s="1"/>
    </row>
    <row r="3086" spans="4:35" hidden="1">
      <c r="D3086" s="1"/>
      <c r="K3086" s="1"/>
      <c r="Q3086" s="1"/>
      <c r="AD3086" s="1"/>
      <c r="AG3086" s="1"/>
      <c r="AI3086" s="1"/>
    </row>
    <row r="3087" spans="4:35" hidden="1">
      <c r="D3087" s="1"/>
      <c r="K3087" s="1"/>
      <c r="Q3087" s="1"/>
      <c r="AD3087" s="1"/>
      <c r="AG3087" s="1"/>
      <c r="AI3087" s="1"/>
    </row>
    <row r="3088" spans="4:35" hidden="1">
      <c r="D3088" s="1"/>
      <c r="K3088" s="1"/>
      <c r="Q3088" s="1"/>
      <c r="AD3088" s="1"/>
      <c r="AG3088" s="1"/>
      <c r="AI3088" s="1"/>
    </row>
    <row r="3089" spans="4:35" hidden="1">
      <c r="D3089" s="1"/>
      <c r="K3089" s="1"/>
      <c r="Q3089" s="1"/>
      <c r="AD3089" s="1"/>
      <c r="AG3089" s="1"/>
      <c r="AI3089" s="1"/>
    </row>
    <row r="3090" spans="4:35" hidden="1">
      <c r="D3090" s="1"/>
      <c r="K3090" s="1"/>
      <c r="Q3090" s="1"/>
      <c r="AD3090" s="1"/>
      <c r="AG3090" s="1"/>
      <c r="AI3090" s="1"/>
    </row>
    <row r="3091" spans="4:35" hidden="1">
      <c r="D3091" s="1"/>
      <c r="K3091" s="1"/>
      <c r="Q3091" s="1"/>
      <c r="AD3091" s="1"/>
      <c r="AG3091" s="1"/>
      <c r="AI3091" s="1"/>
    </row>
    <row r="3092" spans="4:35" hidden="1">
      <c r="D3092" s="1"/>
      <c r="K3092" s="1"/>
      <c r="Q3092" s="1"/>
      <c r="AD3092" s="1"/>
      <c r="AG3092" s="1"/>
      <c r="AI3092" s="1"/>
    </row>
    <row r="3093" spans="4:35" hidden="1">
      <c r="D3093" s="1"/>
      <c r="K3093" s="1"/>
      <c r="Q3093" s="1"/>
      <c r="AD3093" s="1"/>
      <c r="AG3093" s="1"/>
      <c r="AI3093" s="1"/>
    </row>
    <row r="3094" spans="4:35" hidden="1">
      <c r="D3094" s="1"/>
      <c r="K3094" s="1"/>
      <c r="Q3094" s="1"/>
      <c r="AD3094" s="1"/>
      <c r="AG3094" s="1"/>
      <c r="AI3094" s="1"/>
    </row>
    <row r="3095" spans="4:35" hidden="1">
      <c r="D3095" s="1"/>
      <c r="K3095" s="1"/>
      <c r="Q3095" s="1"/>
      <c r="AD3095" s="1"/>
      <c r="AG3095" s="1"/>
      <c r="AI3095" s="1"/>
    </row>
    <row r="3096" spans="4:35" hidden="1">
      <c r="D3096" s="1"/>
      <c r="K3096" s="1"/>
      <c r="Q3096" s="1"/>
      <c r="AD3096" s="1"/>
      <c r="AG3096" s="1"/>
      <c r="AI3096" s="1"/>
    </row>
    <row r="3097" spans="4:35" hidden="1">
      <c r="D3097" s="1"/>
      <c r="K3097" s="1"/>
      <c r="Q3097" s="1"/>
      <c r="AD3097" s="1"/>
      <c r="AG3097" s="1"/>
      <c r="AI3097" s="1"/>
    </row>
    <row r="3098" spans="4:35" hidden="1">
      <c r="D3098" s="1"/>
      <c r="K3098" s="1"/>
      <c r="Q3098" s="1"/>
      <c r="AD3098" s="1"/>
      <c r="AG3098" s="1"/>
      <c r="AI3098" s="1"/>
    </row>
    <row r="3099" spans="4:35" hidden="1">
      <c r="D3099" s="1"/>
      <c r="K3099" s="1"/>
      <c r="Q3099" s="1"/>
      <c r="AD3099" s="1"/>
      <c r="AG3099" s="1"/>
      <c r="AI3099" s="1"/>
    </row>
    <row r="3100" spans="4:35" hidden="1">
      <c r="D3100" s="1"/>
      <c r="K3100" s="1"/>
      <c r="Q3100" s="1"/>
      <c r="AD3100" s="1"/>
      <c r="AG3100" s="1"/>
      <c r="AI3100" s="1"/>
    </row>
    <row r="3101" spans="4:35" hidden="1">
      <c r="D3101" s="1"/>
      <c r="K3101" s="1"/>
      <c r="Q3101" s="1"/>
      <c r="AD3101" s="1"/>
      <c r="AG3101" s="1"/>
      <c r="AI3101" s="1"/>
    </row>
    <row r="3102" spans="4:35" hidden="1">
      <c r="D3102" s="1"/>
      <c r="K3102" s="1"/>
      <c r="Q3102" s="1"/>
      <c r="AD3102" s="1"/>
      <c r="AG3102" s="1"/>
      <c r="AI3102" s="1"/>
    </row>
    <row r="3103" spans="4:35" hidden="1">
      <c r="D3103" s="1"/>
      <c r="K3103" s="1"/>
      <c r="Q3103" s="1"/>
      <c r="AD3103" s="1"/>
      <c r="AG3103" s="1"/>
      <c r="AI3103" s="1"/>
    </row>
    <row r="3104" spans="4:35" hidden="1">
      <c r="D3104" s="1"/>
      <c r="K3104" s="1"/>
      <c r="Q3104" s="1"/>
      <c r="AD3104" s="1"/>
      <c r="AG3104" s="1"/>
      <c r="AI3104" s="1"/>
    </row>
    <row r="3105" spans="4:35" hidden="1">
      <c r="D3105" s="1"/>
      <c r="K3105" s="1"/>
      <c r="Q3105" s="1"/>
      <c r="AD3105" s="1"/>
      <c r="AG3105" s="1"/>
      <c r="AI3105" s="1"/>
    </row>
    <row r="3106" spans="4:35" hidden="1">
      <c r="D3106" s="1"/>
      <c r="K3106" s="1"/>
      <c r="Q3106" s="1"/>
      <c r="AD3106" s="1"/>
      <c r="AG3106" s="1"/>
      <c r="AI3106" s="1"/>
    </row>
    <row r="3107" spans="4:35" hidden="1">
      <c r="D3107" s="1"/>
      <c r="K3107" s="1"/>
      <c r="Q3107" s="1"/>
      <c r="AD3107" s="1"/>
      <c r="AG3107" s="1"/>
      <c r="AI3107" s="1"/>
    </row>
    <row r="3108" spans="4:35" hidden="1">
      <c r="D3108" s="1"/>
      <c r="K3108" s="1"/>
      <c r="Q3108" s="1"/>
      <c r="AD3108" s="1"/>
      <c r="AG3108" s="1"/>
      <c r="AI3108" s="1"/>
    </row>
    <row r="3109" spans="4:35" hidden="1">
      <c r="D3109" s="1"/>
      <c r="K3109" s="1"/>
      <c r="Q3109" s="1"/>
      <c r="AD3109" s="1"/>
      <c r="AG3109" s="1"/>
      <c r="AI3109" s="1"/>
    </row>
    <row r="3110" spans="4:35" hidden="1">
      <c r="D3110" s="1"/>
      <c r="K3110" s="1"/>
      <c r="Q3110" s="1"/>
      <c r="AD3110" s="1"/>
      <c r="AG3110" s="1"/>
      <c r="AI3110" s="1"/>
    </row>
    <row r="3111" spans="4:35" hidden="1">
      <c r="D3111" s="1"/>
      <c r="K3111" s="1"/>
      <c r="Q3111" s="1"/>
      <c r="AD3111" s="1"/>
      <c r="AG3111" s="1"/>
      <c r="AI3111" s="1"/>
    </row>
    <row r="3112" spans="4:35" hidden="1">
      <c r="D3112" s="1"/>
      <c r="K3112" s="1"/>
      <c r="Q3112" s="1"/>
      <c r="AD3112" s="1"/>
      <c r="AG3112" s="1"/>
      <c r="AI3112" s="1"/>
    </row>
    <row r="3113" spans="4:35" hidden="1">
      <c r="D3113" s="1"/>
      <c r="K3113" s="1"/>
      <c r="Q3113" s="1"/>
      <c r="AD3113" s="1"/>
      <c r="AG3113" s="1"/>
      <c r="AI3113" s="1"/>
    </row>
    <row r="3114" spans="4:35" hidden="1">
      <c r="D3114" s="1"/>
      <c r="K3114" s="1"/>
      <c r="Q3114" s="1"/>
      <c r="AD3114" s="1"/>
      <c r="AG3114" s="1"/>
      <c r="AI3114" s="1"/>
    </row>
    <row r="3115" spans="4:35" hidden="1">
      <c r="D3115" s="1"/>
      <c r="K3115" s="1"/>
      <c r="Q3115" s="1"/>
      <c r="AD3115" s="1"/>
      <c r="AG3115" s="1"/>
      <c r="AI3115" s="1"/>
    </row>
    <row r="3116" spans="4:35" hidden="1">
      <c r="D3116" s="1"/>
      <c r="K3116" s="1"/>
      <c r="Q3116" s="1"/>
      <c r="AD3116" s="1"/>
      <c r="AG3116" s="1"/>
      <c r="AI3116" s="1"/>
    </row>
    <row r="3117" spans="4:35" hidden="1">
      <c r="D3117" s="1"/>
      <c r="K3117" s="1"/>
      <c r="Q3117" s="1"/>
      <c r="AD3117" s="1"/>
      <c r="AG3117" s="1"/>
      <c r="AI3117" s="1"/>
    </row>
    <row r="3118" spans="4:35" hidden="1">
      <c r="D3118" s="1"/>
      <c r="K3118" s="1"/>
      <c r="Q3118" s="1"/>
      <c r="AD3118" s="1"/>
      <c r="AG3118" s="1"/>
      <c r="AI3118" s="1"/>
    </row>
    <row r="3119" spans="4:35" hidden="1">
      <c r="D3119" s="1"/>
      <c r="K3119" s="1"/>
      <c r="Q3119" s="1"/>
      <c r="AD3119" s="1"/>
      <c r="AG3119" s="1"/>
      <c r="AI3119" s="1"/>
    </row>
    <row r="3120" spans="4:35" hidden="1">
      <c r="D3120" s="1"/>
      <c r="K3120" s="1"/>
      <c r="Q3120" s="1"/>
      <c r="AD3120" s="1"/>
      <c r="AG3120" s="1"/>
      <c r="AI3120" s="1"/>
    </row>
    <row r="3121" spans="4:35" hidden="1">
      <c r="D3121" s="1"/>
      <c r="K3121" s="1"/>
      <c r="Q3121" s="1"/>
      <c r="AD3121" s="1"/>
      <c r="AG3121" s="1"/>
      <c r="AI3121" s="1"/>
    </row>
    <row r="3122" spans="4:35" hidden="1">
      <c r="D3122" s="1"/>
      <c r="K3122" s="1"/>
      <c r="Q3122" s="1"/>
      <c r="AD3122" s="1"/>
      <c r="AG3122" s="1"/>
      <c r="AI3122" s="1"/>
    </row>
    <row r="3123" spans="4:35" hidden="1">
      <c r="D3123" s="1"/>
      <c r="K3123" s="1"/>
      <c r="Q3123" s="1"/>
      <c r="AD3123" s="1"/>
      <c r="AG3123" s="1"/>
      <c r="AI3123" s="1"/>
    </row>
    <row r="3124" spans="4:35" hidden="1">
      <c r="D3124" s="1"/>
      <c r="K3124" s="1"/>
      <c r="Q3124" s="1"/>
      <c r="AD3124" s="1"/>
      <c r="AG3124" s="1"/>
      <c r="AI3124" s="1"/>
    </row>
    <row r="3125" spans="4:35" hidden="1">
      <c r="D3125" s="1"/>
      <c r="K3125" s="1"/>
      <c r="Q3125" s="1"/>
      <c r="AD3125" s="1"/>
      <c r="AG3125" s="1"/>
      <c r="AI3125" s="1"/>
    </row>
    <row r="3126" spans="4:35" hidden="1">
      <c r="D3126" s="1"/>
      <c r="K3126" s="1"/>
      <c r="Q3126" s="1"/>
      <c r="AD3126" s="1"/>
      <c r="AG3126" s="1"/>
      <c r="AI3126" s="1"/>
    </row>
    <row r="3127" spans="4:35" hidden="1">
      <c r="D3127" s="1"/>
      <c r="K3127" s="1"/>
      <c r="Q3127" s="1"/>
      <c r="AD3127" s="1"/>
      <c r="AG3127" s="1"/>
      <c r="AI3127" s="1"/>
    </row>
    <row r="3128" spans="4:35" hidden="1">
      <c r="D3128" s="1"/>
      <c r="K3128" s="1"/>
      <c r="Q3128" s="1"/>
      <c r="AD3128" s="1"/>
      <c r="AG3128" s="1"/>
      <c r="AI3128" s="1"/>
    </row>
    <row r="3129" spans="4:35" hidden="1">
      <c r="D3129" s="1"/>
      <c r="K3129" s="1"/>
      <c r="Q3129" s="1"/>
      <c r="AD3129" s="1"/>
      <c r="AG3129" s="1"/>
      <c r="AI3129" s="1"/>
    </row>
    <row r="3130" spans="4:35" hidden="1">
      <c r="D3130" s="1"/>
      <c r="K3130" s="1"/>
      <c r="Q3130" s="1"/>
      <c r="AD3130" s="1"/>
      <c r="AG3130" s="1"/>
      <c r="AI3130" s="1"/>
    </row>
    <row r="3131" spans="4:35" hidden="1">
      <c r="D3131" s="1"/>
      <c r="K3131" s="1"/>
      <c r="Q3131" s="1"/>
      <c r="AD3131" s="1"/>
      <c r="AG3131" s="1"/>
      <c r="AI3131" s="1"/>
    </row>
    <row r="3132" spans="4:35" hidden="1">
      <c r="D3132" s="1"/>
      <c r="K3132" s="1"/>
      <c r="Q3132" s="1"/>
      <c r="AD3132" s="1"/>
      <c r="AG3132" s="1"/>
      <c r="AI3132" s="1"/>
    </row>
    <row r="3133" spans="4:35" hidden="1">
      <c r="D3133" s="1"/>
      <c r="K3133" s="1"/>
      <c r="Q3133" s="1"/>
      <c r="AD3133" s="1"/>
      <c r="AG3133" s="1"/>
      <c r="AI3133" s="1"/>
    </row>
    <row r="3134" spans="4:35" hidden="1">
      <c r="D3134" s="1"/>
      <c r="K3134" s="1"/>
      <c r="Q3134" s="1"/>
      <c r="AD3134" s="1"/>
      <c r="AG3134" s="1"/>
      <c r="AI3134" s="1"/>
    </row>
    <row r="3135" spans="4:35" hidden="1">
      <c r="D3135" s="1"/>
      <c r="K3135" s="1"/>
      <c r="Q3135" s="1"/>
      <c r="AD3135" s="1"/>
      <c r="AG3135" s="1"/>
      <c r="AI3135" s="1"/>
    </row>
    <row r="3136" spans="4:35" hidden="1">
      <c r="D3136" s="1"/>
      <c r="K3136" s="1"/>
      <c r="Q3136" s="1"/>
      <c r="AD3136" s="1"/>
      <c r="AG3136" s="1"/>
      <c r="AI3136" s="1"/>
    </row>
    <row r="3137" spans="4:35" hidden="1">
      <c r="D3137" s="1"/>
      <c r="K3137" s="1"/>
      <c r="Q3137" s="1"/>
      <c r="AD3137" s="1"/>
      <c r="AG3137" s="1"/>
      <c r="AI3137" s="1"/>
    </row>
    <row r="3138" spans="4:35" hidden="1">
      <c r="D3138" s="1"/>
      <c r="K3138" s="1"/>
      <c r="Q3138" s="1"/>
      <c r="AD3138" s="1"/>
      <c r="AG3138" s="1"/>
      <c r="AI3138" s="1"/>
    </row>
    <row r="3139" spans="4:35" hidden="1">
      <c r="D3139" s="1"/>
      <c r="K3139" s="1"/>
      <c r="Q3139" s="1"/>
      <c r="AD3139" s="1"/>
      <c r="AG3139" s="1"/>
      <c r="AI3139" s="1"/>
    </row>
    <row r="3140" spans="4:35" hidden="1">
      <c r="D3140" s="1"/>
      <c r="K3140" s="1"/>
      <c r="Q3140" s="1"/>
      <c r="AD3140" s="1"/>
      <c r="AG3140" s="1"/>
      <c r="AI3140" s="1"/>
    </row>
    <row r="3141" spans="4:35" hidden="1">
      <c r="D3141" s="1"/>
      <c r="K3141" s="1"/>
      <c r="Q3141" s="1"/>
      <c r="AD3141" s="1"/>
      <c r="AG3141" s="1"/>
      <c r="AI3141" s="1"/>
    </row>
    <row r="3142" spans="4:35" hidden="1">
      <c r="D3142" s="1"/>
      <c r="K3142" s="1"/>
      <c r="Q3142" s="1"/>
      <c r="AD3142" s="1"/>
      <c r="AG3142" s="1"/>
      <c r="AI3142" s="1"/>
    </row>
    <row r="3143" spans="4:35" hidden="1">
      <c r="D3143" s="1"/>
      <c r="K3143" s="1"/>
      <c r="Q3143" s="1"/>
      <c r="AD3143" s="1"/>
      <c r="AG3143" s="1"/>
      <c r="AI3143" s="1"/>
    </row>
    <row r="3144" spans="4:35" hidden="1">
      <c r="D3144" s="1"/>
      <c r="K3144" s="1"/>
      <c r="Q3144" s="1"/>
      <c r="AD3144" s="1"/>
      <c r="AG3144" s="1"/>
      <c r="AI3144" s="1"/>
    </row>
    <row r="3145" spans="4:35" hidden="1">
      <c r="D3145" s="1"/>
      <c r="K3145" s="1"/>
      <c r="Q3145" s="1"/>
      <c r="AD3145" s="1"/>
      <c r="AG3145" s="1"/>
      <c r="AI3145" s="1"/>
    </row>
    <row r="3146" spans="4:35" hidden="1">
      <c r="D3146" s="1"/>
      <c r="K3146" s="1"/>
      <c r="Q3146" s="1"/>
      <c r="AD3146" s="1"/>
      <c r="AG3146" s="1"/>
      <c r="AI3146" s="1"/>
    </row>
    <row r="3147" spans="4:35" hidden="1">
      <c r="D3147" s="1"/>
      <c r="K3147" s="1"/>
      <c r="Q3147" s="1"/>
      <c r="AD3147" s="1"/>
      <c r="AG3147" s="1"/>
      <c r="AI3147" s="1"/>
    </row>
    <row r="3148" spans="4:35" hidden="1">
      <c r="D3148" s="1"/>
      <c r="K3148" s="1"/>
      <c r="Q3148" s="1"/>
      <c r="AD3148" s="1"/>
      <c r="AG3148" s="1"/>
      <c r="AI3148" s="1"/>
    </row>
    <row r="3149" spans="4:35" hidden="1">
      <c r="D3149" s="1"/>
      <c r="K3149" s="1"/>
      <c r="Q3149" s="1"/>
      <c r="AD3149" s="1"/>
      <c r="AG3149" s="1"/>
      <c r="AI3149" s="1"/>
    </row>
    <row r="3150" spans="4:35" hidden="1">
      <c r="D3150" s="1"/>
      <c r="K3150" s="1"/>
      <c r="Q3150" s="1"/>
      <c r="AD3150" s="1"/>
      <c r="AG3150" s="1"/>
      <c r="AI3150" s="1"/>
    </row>
    <row r="3151" spans="4:35" hidden="1">
      <c r="D3151" s="1"/>
      <c r="K3151" s="1"/>
      <c r="Q3151" s="1"/>
      <c r="AD3151" s="1"/>
      <c r="AG3151" s="1"/>
      <c r="AI3151" s="1"/>
    </row>
    <row r="3152" spans="4:35" hidden="1">
      <c r="D3152" s="1"/>
      <c r="K3152" s="1"/>
      <c r="Q3152" s="1"/>
      <c r="AD3152" s="1"/>
      <c r="AG3152" s="1"/>
      <c r="AI3152" s="1"/>
    </row>
    <row r="3153" spans="4:35" hidden="1">
      <c r="D3153" s="1"/>
      <c r="K3153" s="1"/>
      <c r="Q3153" s="1"/>
      <c r="AD3153" s="1"/>
      <c r="AG3153" s="1"/>
      <c r="AI3153" s="1"/>
    </row>
    <row r="3154" spans="4:35" hidden="1">
      <c r="D3154" s="1"/>
      <c r="K3154" s="1"/>
      <c r="Q3154" s="1"/>
      <c r="AD3154" s="1"/>
      <c r="AG3154" s="1"/>
      <c r="AI3154" s="1"/>
    </row>
    <row r="3155" spans="4:35" hidden="1">
      <c r="D3155" s="1"/>
      <c r="K3155" s="1"/>
      <c r="Q3155" s="1"/>
      <c r="AD3155" s="1"/>
      <c r="AG3155" s="1"/>
      <c r="AI3155" s="1"/>
    </row>
    <row r="3156" spans="4:35" hidden="1">
      <c r="D3156" s="1"/>
      <c r="K3156" s="1"/>
      <c r="Q3156" s="1"/>
      <c r="AD3156" s="1"/>
      <c r="AG3156" s="1"/>
      <c r="AI3156" s="1"/>
    </row>
    <row r="3157" spans="4:35" hidden="1">
      <c r="D3157" s="1"/>
      <c r="K3157" s="1"/>
      <c r="Q3157" s="1"/>
      <c r="AD3157" s="1"/>
      <c r="AG3157" s="1"/>
      <c r="AI3157" s="1"/>
    </row>
    <row r="3158" spans="4:35" hidden="1">
      <c r="D3158" s="1"/>
      <c r="K3158" s="1"/>
      <c r="Q3158" s="1"/>
      <c r="AD3158" s="1"/>
      <c r="AG3158" s="1"/>
      <c r="AI3158" s="1"/>
    </row>
    <row r="3159" spans="4:35" hidden="1">
      <c r="D3159" s="1"/>
      <c r="K3159" s="1"/>
      <c r="Q3159" s="1"/>
      <c r="AD3159" s="1"/>
      <c r="AG3159" s="1"/>
      <c r="AI3159" s="1"/>
    </row>
    <row r="3160" spans="4:35" hidden="1">
      <c r="D3160" s="1"/>
      <c r="K3160" s="1"/>
      <c r="Q3160" s="1"/>
      <c r="AD3160" s="1"/>
      <c r="AG3160" s="1"/>
      <c r="AI3160" s="1"/>
    </row>
    <row r="3161" spans="4:35" hidden="1">
      <c r="D3161" s="1"/>
      <c r="K3161" s="1"/>
      <c r="Q3161" s="1"/>
      <c r="AD3161" s="1"/>
      <c r="AG3161" s="1"/>
      <c r="AI3161" s="1"/>
    </row>
    <row r="3162" spans="4:35" hidden="1">
      <c r="D3162" s="1"/>
      <c r="K3162" s="1"/>
      <c r="Q3162" s="1"/>
      <c r="AD3162" s="1"/>
      <c r="AG3162" s="1"/>
      <c r="AI3162" s="1"/>
    </row>
    <row r="3163" spans="4:35" hidden="1">
      <c r="D3163" s="1"/>
      <c r="K3163" s="1"/>
      <c r="Q3163" s="1"/>
      <c r="AD3163" s="1"/>
      <c r="AG3163" s="1"/>
      <c r="AI3163" s="1"/>
    </row>
    <row r="3164" spans="4:35" hidden="1">
      <c r="D3164" s="1"/>
      <c r="K3164" s="1"/>
      <c r="Q3164" s="1"/>
      <c r="AD3164" s="1"/>
      <c r="AG3164" s="1"/>
      <c r="AI3164" s="1"/>
    </row>
    <row r="3165" spans="4:35" hidden="1">
      <c r="D3165" s="1"/>
      <c r="K3165" s="1"/>
      <c r="Q3165" s="1"/>
      <c r="AD3165" s="1"/>
      <c r="AG3165" s="1"/>
      <c r="AI3165" s="1"/>
    </row>
    <row r="3166" spans="4:35" hidden="1">
      <c r="D3166" s="1"/>
      <c r="K3166" s="1"/>
      <c r="Q3166" s="1"/>
      <c r="AD3166" s="1"/>
      <c r="AG3166" s="1"/>
      <c r="AI3166" s="1"/>
    </row>
    <row r="3167" spans="4:35" hidden="1">
      <c r="D3167" s="1"/>
      <c r="K3167" s="1"/>
      <c r="Q3167" s="1"/>
      <c r="AD3167" s="1"/>
      <c r="AG3167" s="1"/>
      <c r="AI3167" s="1"/>
    </row>
    <row r="3168" spans="4:35" hidden="1">
      <c r="D3168" s="1"/>
      <c r="K3168" s="1"/>
      <c r="Q3168" s="1"/>
      <c r="AD3168" s="1"/>
      <c r="AG3168" s="1"/>
      <c r="AI3168" s="1"/>
    </row>
    <row r="3169" spans="4:35" hidden="1">
      <c r="D3169" s="1"/>
      <c r="K3169" s="1"/>
      <c r="Q3169" s="1"/>
      <c r="AD3169" s="1"/>
      <c r="AG3169" s="1"/>
      <c r="AI3169" s="1"/>
    </row>
    <row r="3170" spans="4:35" hidden="1">
      <c r="D3170" s="1"/>
      <c r="K3170" s="1"/>
      <c r="Q3170" s="1"/>
      <c r="AD3170" s="1"/>
      <c r="AG3170" s="1"/>
      <c r="AI3170" s="1"/>
    </row>
    <row r="3171" spans="4:35" hidden="1">
      <c r="D3171" s="1"/>
      <c r="K3171" s="1"/>
      <c r="Q3171" s="1"/>
      <c r="AD3171" s="1"/>
      <c r="AG3171" s="1"/>
      <c r="AI3171" s="1"/>
    </row>
    <row r="3172" spans="4:35" hidden="1">
      <c r="D3172" s="1"/>
      <c r="K3172" s="1"/>
      <c r="Q3172" s="1"/>
      <c r="AD3172" s="1"/>
      <c r="AG3172" s="1"/>
      <c r="AI3172" s="1"/>
    </row>
    <row r="3173" spans="4:35" hidden="1">
      <c r="D3173" s="1"/>
      <c r="K3173" s="1"/>
      <c r="Q3173" s="1"/>
      <c r="AD3173" s="1"/>
      <c r="AG3173" s="1"/>
      <c r="AI3173" s="1"/>
    </row>
    <row r="3174" spans="4:35" hidden="1">
      <c r="D3174" s="1"/>
      <c r="K3174" s="1"/>
      <c r="Q3174" s="1"/>
      <c r="AD3174" s="1"/>
      <c r="AG3174" s="1"/>
      <c r="AI3174" s="1"/>
    </row>
    <row r="3175" spans="4:35" hidden="1">
      <c r="D3175" s="1"/>
      <c r="K3175" s="1"/>
      <c r="Q3175" s="1"/>
      <c r="AD3175" s="1"/>
      <c r="AG3175" s="1"/>
      <c r="AI3175" s="1"/>
    </row>
    <row r="3176" spans="4:35" hidden="1">
      <c r="D3176" s="1"/>
      <c r="K3176" s="1"/>
      <c r="Q3176" s="1"/>
      <c r="AD3176" s="1"/>
      <c r="AG3176" s="1"/>
      <c r="AI3176" s="1"/>
    </row>
    <row r="3177" spans="4:35" hidden="1">
      <c r="D3177" s="1"/>
      <c r="K3177" s="1"/>
      <c r="Q3177" s="1"/>
      <c r="AD3177" s="1"/>
      <c r="AG3177" s="1"/>
      <c r="AI3177" s="1"/>
    </row>
    <row r="3178" spans="4:35" hidden="1">
      <c r="D3178" s="1"/>
      <c r="K3178" s="1"/>
      <c r="Q3178" s="1"/>
      <c r="AD3178" s="1"/>
      <c r="AG3178" s="1"/>
      <c r="AI3178" s="1"/>
    </row>
    <row r="3179" spans="4:35" hidden="1">
      <c r="D3179" s="1"/>
      <c r="K3179" s="1"/>
      <c r="Q3179" s="1"/>
      <c r="AD3179" s="1"/>
      <c r="AG3179" s="1"/>
      <c r="AI3179" s="1"/>
    </row>
    <row r="3180" spans="4:35" hidden="1">
      <c r="D3180" s="1"/>
      <c r="K3180" s="1"/>
      <c r="Q3180" s="1"/>
      <c r="AD3180" s="1"/>
      <c r="AG3180" s="1"/>
      <c r="AI3180" s="1"/>
    </row>
    <row r="3181" spans="4:35" hidden="1">
      <c r="D3181" s="1"/>
      <c r="K3181" s="1"/>
      <c r="Q3181" s="1"/>
      <c r="AD3181" s="1"/>
      <c r="AG3181" s="1"/>
      <c r="AI3181" s="1"/>
    </row>
    <row r="3182" spans="4:35" hidden="1">
      <c r="D3182" s="1"/>
      <c r="K3182" s="1"/>
      <c r="Q3182" s="1"/>
      <c r="AD3182" s="1"/>
      <c r="AG3182" s="1"/>
      <c r="AI3182" s="1"/>
    </row>
    <row r="3183" spans="4:35" hidden="1">
      <c r="D3183" s="1"/>
      <c r="K3183" s="1"/>
      <c r="Q3183" s="1"/>
      <c r="AD3183" s="1"/>
      <c r="AG3183" s="1"/>
      <c r="AI3183" s="1"/>
    </row>
    <row r="3184" spans="4:35" hidden="1">
      <c r="D3184" s="1"/>
      <c r="K3184" s="1"/>
      <c r="Q3184" s="1"/>
      <c r="AD3184" s="1"/>
      <c r="AG3184" s="1"/>
      <c r="AI3184" s="1"/>
    </row>
    <row r="3185" spans="4:35" hidden="1">
      <c r="D3185" s="1"/>
      <c r="K3185" s="1"/>
      <c r="Q3185" s="1"/>
      <c r="AD3185" s="1"/>
      <c r="AG3185" s="1"/>
      <c r="AI3185" s="1"/>
    </row>
    <row r="3186" spans="4:35" hidden="1">
      <c r="D3186" s="1"/>
      <c r="K3186" s="1"/>
      <c r="Q3186" s="1"/>
      <c r="AD3186" s="1"/>
      <c r="AG3186" s="1"/>
      <c r="AI3186" s="1"/>
    </row>
    <row r="3187" spans="4:35" hidden="1">
      <c r="D3187" s="1"/>
      <c r="K3187" s="1"/>
      <c r="Q3187" s="1"/>
      <c r="AD3187" s="1"/>
      <c r="AG3187" s="1"/>
      <c r="AI3187" s="1"/>
    </row>
    <row r="3188" spans="4:35" hidden="1">
      <c r="D3188" s="1"/>
      <c r="K3188" s="1"/>
      <c r="Q3188" s="1"/>
      <c r="AD3188" s="1"/>
      <c r="AG3188" s="1"/>
      <c r="AI3188" s="1"/>
    </row>
    <row r="3189" spans="4:35" hidden="1">
      <c r="D3189" s="1"/>
      <c r="K3189" s="1"/>
      <c r="Q3189" s="1"/>
      <c r="AD3189" s="1"/>
      <c r="AG3189" s="1"/>
      <c r="AI3189" s="1"/>
    </row>
    <row r="3190" spans="4:35" hidden="1">
      <c r="D3190" s="1"/>
      <c r="K3190" s="1"/>
      <c r="Q3190" s="1"/>
      <c r="AD3190" s="1"/>
      <c r="AG3190" s="1"/>
      <c r="AI3190" s="1"/>
    </row>
    <row r="3191" spans="4:35" hidden="1">
      <c r="D3191" s="1"/>
      <c r="K3191" s="1"/>
      <c r="Q3191" s="1"/>
      <c r="AD3191" s="1"/>
      <c r="AG3191" s="1"/>
      <c r="AI3191" s="1"/>
    </row>
    <row r="3192" spans="4:35" hidden="1">
      <c r="D3192" s="1"/>
      <c r="K3192" s="1"/>
      <c r="Q3192" s="1"/>
      <c r="AD3192" s="1"/>
      <c r="AG3192" s="1"/>
      <c r="AI3192" s="1"/>
    </row>
    <row r="3193" spans="4:35" hidden="1">
      <c r="D3193" s="1"/>
      <c r="K3193" s="1"/>
      <c r="Q3193" s="1"/>
      <c r="AD3193" s="1"/>
      <c r="AG3193" s="1"/>
      <c r="AI3193" s="1"/>
    </row>
    <row r="3194" spans="4:35" hidden="1">
      <c r="D3194" s="1"/>
      <c r="K3194" s="1"/>
      <c r="Q3194" s="1"/>
      <c r="AD3194" s="1"/>
      <c r="AG3194" s="1"/>
      <c r="AI3194" s="1"/>
    </row>
    <row r="3195" spans="4:35" hidden="1">
      <c r="D3195" s="1"/>
      <c r="K3195" s="1"/>
      <c r="Q3195" s="1"/>
      <c r="AD3195" s="1"/>
      <c r="AG3195" s="1"/>
      <c r="AI3195" s="1"/>
    </row>
    <row r="3196" spans="4:35" hidden="1">
      <c r="D3196" s="1"/>
      <c r="K3196" s="1"/>
      <c r="Q3196" s="1"/>
      <c r="AD3196" s="1"/>
      <c r="AG3196" s="1"/>
      <c r="AI3196" s="1"/>
    </row>
    <row r="3197" spans="4:35" hidden="1">
      <c r="D3197" s="1"/>
      <c r="K3197" s="1"/>
      <c r="Q3197" s="1"/>
      <c r="AD3197" s="1"/>
      <c r="AG3197" s="1"/>
      <c r="AI3197" s="1"/>
    </row>
    <row r="3198" spans="4:35" hidden="1">
      <c r="D3198" s="1"/>
      <c r="K3198" s="1"/>
      <c r="Q3198" s="1"/>
      <c r="AD3198" s="1"/>
      <c r="AG3198" s="1"/>
      <c r="AI3198" s="1"/>
    </row>
    <row r="3199" spans="4:35" hidden="1">
      <c r="D3199" s="1"/>
      <c r="K3199" s="1"/>
      <c r="Q3199" s="1"/>
      <c r="AD3199" s="1"/>
      <c r="AG3199" s="1"/>
      <c r="AI3199" s="1"/>
    </row>
    <row r="3200" spans="4:35" hidden="1">
      <c r="D3200" s="1"/>
      <c r="K3200" s="1"/>
      <c r="Q3200" s="1"/>
      <c r="AD3200" s="1"/>
      <c r="AG3200" s="1"/>
      <c r="AI3200" s="1"/>
    </row>
    <row r="3201" spans="4:35" hidden="1">
      <c r="D3201" s="1"/>
      <c r="K3201" s="1"/>
      <c r="Q3201" s="1"/>
      <c r="AD3201" s="1"/>
      <c r="AG3201" s="1"/>
      <c r="AI3201" s="1"/>
    </row>
    <row r="3202" spans="4:35" hidden="1">
      <c r="D3202" s="1"/>
      <c r="K3202" s="1"/>
      <c r="Q3202" s="1"/>
      <c r="AD3202" s="1"/>
      <c r="AG3202" s="1"/>
      <c r="AI3202" s="1"/>
    </row>
    <row r="3203" spans="4:35" hidden="1">
      <c r="D3203" s="1"/>
      <c r="K3203" s="1"/>
      <c r="Q3203" s="1"/>
      <c r="AD3203" s="1"/>
      <c r="AG3203" s="1"/>
      <c r="AI3203" s="1"/>
    </row>
    <row r="3204" spans="4:35" hidden="1">
      <c r="D3204" s="1"/>
      <c r="K3204" s="1"/>
      <c r="Q3204" s="1"/>
      <c r="AD3204" s="1"/>
      <c r="AG3204" s="1"/>
      <c r="AI3204" s="1"/>
    </row>
    <row r="3205" spans="4:35" hidden="1">
      <c r="D3205" s="1"/>
      <c r="K3205" s="1"/>
      <c r="Q3205" s="1"/>
      <c r="AD3205" s="1"/>
      <c r="AG3205" s="1"/>
      <c r="AI3205" s="1"/>
    </row>
    <row r="3206" spans="4:35" hidden="1">
      <c r="D3206" s="1"/>
      <c r="K3206" s="1"/>
      <c r="Q3206" s="1"/>
      <c r="AD3206" s="1"/>
      <c r="AG3206" s="1"/>
      <c r="AI3206" s="1"/>
    </row>
    <row r="3207" spans="4:35" hidden="1">
      <c r="D3207" s="1"/>
      <c r="K3207" s="1"/>
      <c r="Q3207" s="1"/>
      <c r="AD3207" s="1"/>
      <c r="AG3207" s="1"/>
      <c r="AI3207" s="1"/>
    </row>
    <row r="3208" spans="4:35" hidden="1">
      <c r="D3208" s="1"/>
      <c r="K3208" s="1"/>
      <c r="Q3208" s="1"/>
      <c r="AD3208" s="1"/>
      <c r="AG3208" s="1"/>
      <c r="AI3208" s="1"/>
    </row>
    <row r="3209" spans="4:35" hidden="1">
      <c r="D3209" s="1"/>
      <c r="K3209" s="1"/>
      <c r="Q3209" s="1"/>
      <c r="AD3209" s="1"/>
      <c r="AG3209" s="1"/>
      <c r="AI3209" s="1"/>
    </row>
    <row r="3210" spans="4:35" hidden="1">
      <c r="D3210" s="1"/>
      <c r="K3210" s="1"/>
      <c r="Q3210" s="1"/>
      <c r="AD3210" s="1"/>
      <c r="AG3210" s="1"/>
      <c r="AI3210" s="1"/>
    </row>
    <row r="3211" spans="4:35" hidden="1">
      <c r="D3211" s="1"/>
      <c r="K3211" s="1"/>
      <c r="Q3211" s="1"/>
      <c r="AD3211" s="1"/>
      <c r="AG3211" s="1"/>
      <c r="AI3211" s="1"/>
    </row>
    <row r="3212" spans="4:35" hidden="1">
      <c r="D3212" s="1"/>
      <c r="K3212" s="1"/>
      <c r="Q3212" s="1"/>
      <c r="AD3212" s="1"/>
      <c r="AG3212" s="1"/>
      <c r="AI3212" s="1"/>
    </row>
    <row r="3213" spans="4:35" hidden="1">
      <c r="D3213" s="1"/>
      <c r="K3213" s="1"/>
      <c r="Q3213" s="1"/>
      <c r="AD3213" s="1"/>
      <c r="AG3213" s="1"/>
      <c r="AI3213" s="1"/>
    </row>
    <row r="3214" spans="4:35" hidden="1">
      <c r="D3214" s="1"/>
      <c r="K3214" s="1"/>
      <c r="Q3214" s="1"/>
      <c r="AD3214" s="1"/>
      <c r="AG3214" s="1"/>
      <c r="AI3214" s="1"/>
    </row>
    <row r="3215" spans="4:35" hidden="1">
      <c r="D3215" s="1"/>
      <c r="K3215" s="1"/>
      <c r="Q3215" s="1"/>
      <c r="AD3215" s="1"/>
      <c r="AG3215" s="1"/>
      <c r="AI3215" s="1"/>
    </row>
    <row r="3216" spans="4:35" hidden="1">
      <c r="D3216" s="1"/>
      <c r="K3216" s="1"/>
      <c r="Q3216" s="1"/>
      <c r="AD3216" s="1"/>
      <c r="AG3216" s="1"/>
      <c r="AI3216" s="1"/>
    </row>
    <row r="3217" spans="4:35" hidden="1">
      <c r="D3217" s="1"/>
      <c r="K3217" s="1"/>
      <c r="Q3217" s="1"/>
      <c r="AD3217" s="1"/>
      <c r="AG3217" s="1"/>
      <c r="AI3217" s="1"/>
    </row>
    <row r="3218" spans="4:35" hidden="1">
      <c r="D3218" s="1"/>
      <c r="K3218" s="1"/>
      <c r="Q3218" s="1"/>
      <c r="AD3218" s="1"/>
      <c r="AG3218" s="1"/>
      <c r="AI3218" s="1"/>
    </row>
    <row r="3219" spans="4:35" hidden="1">
      <c r="D3219" s="1"/>
      <c r="K3219" s="1"/>
      <c r="Q3219" s="1"/>
      <c r="AD3219" s="1"/>
      <c r="AG3219" s="1"/>
      <c r="AI3219" s="1"/>
    </row>
    <row r="3220" spans="4:35" hidden="1">
      <c r="D3220" s="1"/>
      <c r="K3220" s="1"/>
      <c r="Q3220" s="1"/>
      <c r="AD3220" s="1"/>
      <c r="AG3220" s="1"/>
      <c r="AI3220" s="1"/>
    </row>
    <row r="3221" spans="4:35" hidden="1">
      <c r="D3221" s="1"/>
      <c r="K3221" s="1"/>
      <c r="Q3221" s="1"/>
      <c r="AD3221" s="1"/>
      <c r="AG3221" s="1"/>
      <c r="AI3221" s="1"/>
    </row>
    <row r="3222" spans="4:35" hidden="1">
      <c r="D3222" s="1"/>
      <c r="K3222" s="1"/>
      <c r="Q3222" s="1"/>
      <c r="AD3222" s="1"/>
      <c r="AG3222" s="1"/>
      <c r="AI3222" s="1"/>
    </row>
    <row r="3223" spans="4:35" hidden="1">
      <c r="D3223" s="1"/>
      <c r="K3223" s="1"/>
      <c r="Q3223" s="1"/>
      <c r="AD3223" s="1"/>
      <c r="AG3223" s="1"/>
      <c r="AI3223" s="1"/>
    </row>
    <row r="3224" spans="4:35" hidden="1">
      <c r="D3224" s="1"/>
      <c r="K3224" s="1"/>
      <c r="Q3224" s="1"/>
      <c r="AD3224" s="1"/>
      <c r="AG3224" s="1"/>
      <c r="AI3224" s="1"/>
    </row>
    <row r="3225" spans="4:35" hidden="1">
      <c r="D3225" s="1"/>
      <c r="K3225" s="1"/>
      <c r="Q3225" s="1"/>
      <c r="AD3225" s="1"/>
      <c r="AG3225" s="1"/>
      <c r="AI3225" s="1"/>
    </row>
    <row r="3226" spans="4:35" hidden="1">
      <c r="D3226" s="1"/>
      <c r="K3226" s="1"/>
      <c r="Q3226" s="1"/>
      <c r="AD3226" s="1"/>
      <c r="AG3226" s="1"/>
      <c r="AI3226" s="1"/>
    </row>
    <row r="3227" spans="4:35" hidden="1">
      <c r="D3227" s="1"/>
      <c r="K3227" s="1"/>
      <c r="Q3227" s="1"/>
      <c r="AD3227" s="1"/>
      <c r="AG3227" s="1"/>
      <c r="AI3227" s="1"/>
    </row>
    <row r="3228" spans="4:35" hidden="1">
      <c r="D3228" s="1"/>
      <c r="K3228" s="1"/>
      <c r="Q3228" s="1"/>
      <c r="AD3228" s="1"/>
      <c r="AG3228" s="1"/>
      <c r="AI3228" s="1"/>
    </row>
    <row r="3229" spans="4:35" hidden="1">
      <c r="D3229" s="1"/>
      <c r="K3229" s="1"/>
      <c r="Q3229" s="1"/>
      <c r="AD3229" s="1"/>
      <c r="AG3229" s="1"/>
      <c r="AI3229" s="1"/>
    </row>
    <row r="3230" spans="4:35" hidden="1">
      <c r="D3230" s="1"/>
      <c r="K3230" s="1"/>
      <c r="Q3230" s="1"/>
      <c r="AD3230" s="1"/>
      <c r="AG3230" s="1"/>
      <c r="AI3230" s="1"/>
    </row>
    <row r="3231" spans="4:35" hidden="1">
      <c r="D3231" s="1"/>
      <c r="K3231" s="1"/>
      <c r="Q3231" s="1"/>
      <c r="AD3231" s="1"/>
      <c r="AG3231" s="1"/>
      <c r="AI3231" s="1"/>
    </row>
    <row r="3232" spans="4:35" hidden="1">
      <c r="D3232" s="1"/>
      <c r="K3232" s="1"/>
      <c r="Q3232" s="1"/>
      <c r="AD3232" s="1"/>
      <c r="AG3232" s="1"/>
      <c r="AI3232" s="1"/>
    </row>
    <row r="3233" spans="4:35" hidden="1">
      <c r="D3233" s="1"/>
      <c r="K3233" s="1"/>
      <c r="Q3233" s="1"/>
      <c r="AD3233" s="1"/>
      <c r="AG3233" s="1"/>
      <c r="AI3233" s="1"/>
    </row>
    <row r="3234" spans="4:35" hidden="1">
      <c r="D3234" s="1"/>
      <c r="K3234" s="1"/>
      <c r="Q3234" s="1"/>
      <c r="AD3234" s="1"/>
      <c r="AG3234" s="1"/>
      <c r="AI3234" s="1"/>
    </row>
    <row r="3235" spans="4:35" hidden="1">
      <c r="D3235" s="1"/>
      <c r="K3235" s="1"/>
      <c r="Q3235" s="1"/>
      <c r="AD3235" s="1"/>
      <c r="AG3235" s="1"/>
      <c r="AI3235" s="1"/>
    </row>
    <row r="3236" spans="4:35" hidden="1">
      <c r="D3236" s="1"/>
      <c r="K3236" s="1"/>
      <c r="Q3236" s="1"/>
      <c r="AD3236" s="1"/>
      <c r="AG3236" s="1"/>
      <c r="AI3236" s="1"/>
    </row>
    <row r="3237" spans="4:35" hidden="1">
      <c r="D3237" s="1"/>
      <c r="K3237" s="1"/>
      <c r="Q3237" s="1"/>
      <c r="AD3237" s="1"/>
      <c r="AG3237" s="1"/>
      <c r="AI3237" s="1"/>
    </row>
    <row r="3238" spans="4:35" hidden="1">
      <c r="D3238" s="1"/>
      <c r="K3238" s="1"/>
      <c r="Q3238" s="1"/>
      <c r="AD3238" s="1"/>
      <c r="AG3238" s="1"/>
      <c r="AI3238" s="1"/>
    </row>
    <row r="3239" spans="4:35" hidden="1">
      <c r="D3239" s="1"/>
      <c r="K3239" s="1"/>
      <c r="Q3239" s="1"/>
      <c r="AD3239" s="1"/>
      <c r="AG3239" s="1"/>
      <c r="AI3239" s="1"/>
    </row>
    <row r="3240" spans="4:35" hidden="1">
      <c r="D3240" s="1"/>
      <c r="K3240" s="1"/>
      <c r="Q3240" s="1"/>
      <c r="AD3240" s="1"/>
      <c r="AG3240" s="1"/>
      <c r="AI3240" s="1"/>
    </row>
    <row r="3241" spans="4:35" hidden="1">
      <c r="D3241" s="1"/>
      <c r="K3241" s="1"/>
      <c r="Q3241" s="1"/>
      <c r="AD3241" s="1"/>
      <c r="AG3241" s="1"/>
      <c r="AI3241" s="1"/>
    </row>
    <row r="3242" spans="4:35" hidden="1">
      <c r="D3242" s="1"/>
      <c r="K3242" s="1"/>
      <c r="Q3242" s="1"/>
      <c r="AD3242" s="1"/>
      <c r="AG3242" s="1"/>
      <c r="AI3242" s="1"/>
    </row>
    <row r="3243" spans="4:35" hidden="1">
      <c r="D3243" s="1"/>
      <c r="K3243" s="1"/>
      <c r="Q3243" s="1"/>
      <c r="AD3243" s="1"/>
      <c r="AG3243" s="1"/>
      <c r="AI3243" s="1"/>
    </row>
    <row r="3244" spans="4:35" hidden="1">
      <c r="D3244" s="1"/>
      <c r="K3244" s="1"/>
      <c r="Q3244" s="1"/>
      <c r="AD3244" s="1"/>
      <c r="AG3244" s="1"/>
      <c r="AI3244" s="1"/>
    </row>
    <row r="3245" spans="4:35" hidden="1">
      <c r="D3245" s="1"/>
      <c r="K3245" s="1"/>
      <c r="Q3245" s="1"/>
      <c r="AD3245" s="1"/>
      <c r="AG3245" s="1"/>
      <c r="AI3245" s="1"/>
    </row>
    <row r="3246" spans="4:35" hidden="1">
      <c r="D3246" s="1"/>
      <c r="K3246" s="1"/>
      <c r="Q3246" s="1"/>
      <c r="AD3246" s="1"/>
      <c r="AG3246" s="1"/>
      <c r="AI3246" s="1"/>
    </row>
    <row r="3247" spans="4:35" hidden="1">
      <c r="D3247" s="1"/>
      <c r="K3247" s="1"/>
      <c r="Q3247" s="1"/>
      <c r="AD3247" s="1"/>
      <c r="AG3247" s="1"/>
      <c r="AI3247" s="1"/>
    </row>
    <row r="3248" spans="4:35" hidden="1">
      <c r="D3248" s="1"/>
      <c r="K3248" s="1"/>
      <c r="Q3248" s="1"/>
      <c r="AD3248" s="1"/>
      <c r="AG3248" s="1"/>
      <c r="AI3248" s="1"/>
    </row>
    <row r="3249" spans="4:35" hidden="1">
      <c r="D3249" s="1"/>
      <c r="K3249" s="1"/>
      <c r="Q3249" s="1"/>
      <c r="AD3249" s="1"/>
      <c r="AG3249" s="1"/>
      <c r="AI3249" s="1"/>
    </row>
    <row r="3250" spans="4:35" hidden="1">
      <c r="D3250" s="1"/>
      <c r="K3250" s="1"/>
      <c r="Q3250" s="1"/>
      <c r="AD3250" s="1"/>
      <c r="AG3250" s="1"/>
      <c r="AI3250" s="1"/>
    </row>
    <row r="3251" spans="4:35" hidden="1">
      <c r="D3251" s="1"/>
      <c r="K3251" s="1"/>
      <c r="Q3251" s="1"/>
      <c r="AD3251" s="1"/>
      <c r="AG3251" s="1"/>
      <c r="AI3251" s="1"/>
    </row>
    <row r="3252" spans="4:35" hidden="1">
      <c r="D3252" s="1"/>
      <c r="K3252" s="1"/>
      <c r="Q3252" s="1"/>
      <c r="AD3252" s="1"/>
      <c r="AG3252" s="1"/>
      <c r="AI3252" s="1"/>
    </row>
    <row r="3253" spans="4:35" hidden="1">
      <c r="D3253" s="1"/>
      <c r="K3253" s="1"/>
      <c r="Q3253" s="1"/>
      <c r="AD3253" s="1"/>
      <c r="AG3253" s="1"/>
      <c r="AI3253" s="1"/>
    </row>
    <row r="3254" spans="4:35" hidden="1">
      <c r="D3254" s="1"/>
      <c r="K3254" s="1"/>
      <c r="Q3254" s="1"/>
      <c r="AD3254" s="1"/>
      <c r="AG3254" s="1"/>
      <c r="AI3254" s="1"/>
    </row>
    <row r="3255" spans="4:35" hidden="1">
      <c r="D3255" s="1"/>
      <c r="K3255" s="1"/>
      <c r="Q3255" s="1"/>
      <c r="AD3255" s="1"/>
      <c r="AG3255" s="1"/>
      <c r="AI3255" s="1"/>
    </row>
    <row r="3256" spans="4:35" hidden="1">
      <c r="D3256" s="1"/>
      <c r="K3256" s="1"/>
      <c r="Q3256" s="1"/>
      <c r="AD3256" s="1"/>
      <c r="AG3256" s="1"/>
      <c r="AI3256" s="1"/>
    </row>
    <row r="3257" spans="4:35" hidden="1">
      <c r="D3257" s="1"/>
      <c r="K3257" s="1"/>
      <c r="Q3257" s="1"/>
      <c r="AD3257" s="1"/>
      <c r="AG3257" s="1"/>
      <c r="AI3257" s="1"/>
    </row>
    <row r="3258" spans="4:35" hidden="1">
      <c r="D3258" s="1"/>
      <c r="K3258" s="1"/>
      <c r="Q3258" s="1"/>
      <c r="AD3258" s="1"/>
      <c r="AG3258" s="1"/>
      <c r="AI3258" s="1"/>
    </row>
    <row r="3259" spans="4:35" hidden="1">
      <c r="D3259" s="1"/>
      <c r="K3259" s="1"/>
      <c r="Q3259" s="1"/>
      <c r="AD3259" s="1"/>
      <c r="AG3259" s="1"/>
      <c r="AI3259" s="1"/>
    </row>
    <row r="3260" spans="4:35" hidden="1">
      <c r="D3260" s="1"/>
      <c r="K3260" s="1"/>
      <c r="Q3260" s="1"/>
      <c r="AD3260" s="1"/>
      <c r="AG3260" s="1"/>
      <c r="AI3260" s="1"/>
    </row>
    <row r="3261" spans="4:35" hidden="1">
      <c r="D3261" s="1"/>
      <c r="K3261" s="1"/>
      <c r="Q3261" s="1"/>
      <c r="AD3261" s="1"/>
      <c r="AG3261" s="1"/>
      <c r="AI3261" s="1"/>
    </row>
    <row r="3262" spans="4:35" hidden="1">
      <c r="D3262" s="1"/>
      <c r="K3262" s="1"/>
      <c r="Q3262" s="1"/>
      <c r="AD3262" s="1"/>
      <c r="AG3262" s="1"/>
      <c r="AI3262" s="1"/>
    </row>
    <row r="3263" spans="4:35" hidden="1">
      <c r="D3263" s="1"/>
      <c r="K3263" s="1"/>
      <c r="Q3263" s="1"/>
      <c r="AD3263" s="1"/>
      <c r="AG3263" s="1"/>
      <c r="AI3263" s="1"/>
    </row>
    <row r="3264" spans="4:35" hidden="1">
      <c r="D3264" s="1"/>
      <c r="K3264" s="1"/>
      <c r="Q3264" s="1"/>
      <c r="AD3264" s="1"/>
      <c r="AG3264" s="1"/>
      <c r="AI3264" s="1"/>
    </row>
    <row r="3265" spans="4:35" hidden="1">
      <c r="D3265" s="1"/>
      <c r="K3265" s="1"/>
      <c r="Q3265" s="1"/>
      <c r="AD3265" s="1"/>
      <c r="AG3265" s="1"/>
      <c r="AI3265" s="1"/>
    </row>
    <row r="3266" spans="4:35" hidden="1">
      <c r="D3266" s="1"/>
      <c r="K3266" s="1"/>
      <c r="Q3266" s="1"/>
      <c r="AD3266" s="1"/>
      <c r="AG3266" s="1"/>
      <c r="AI3266" s="1"/>
    </row>
    <row r="3267" spans="4:35" hidden="1">
      <c r="D3267" s="1"/>
      <c r="K3267" s="1"/>
      <c r="Q3267" s="1"/>
      <c r="AD3267" s="1"/>
      <c r="AG3267" s="1"/>
      <c r="AI3267" s="1"/>
    </row>
    <row r="3268" spans="4:35" hidden="1">
      <c r="D3268" s="1"/>
      <c r="K3268" s="1"/>
      <c r="Q3268" s="1"/>
      <c r="AD3268" s="1"/>
      <c r="AG3268" s="1"/>
      <c r="AI3268" s="1"/>
    </row>
    <row r="3269" spans="4:35" hidden="1">
      <c r="D3269" s="1"/>
      <c r="K3269" s="1"/>
      <c r="Q3269" s="1"/>
      <c r="AD3269" s="1"/>
      <c r="AG3269" s="1"/>
      <c r="AI3269" s="1"/>
    </row>
    <row r="3270" spans="4:35" hidden="1">
      <c r="D3270" s="1"/>
      <c r="K3270" s="1"/>
      <c r="Q3270" s="1"/>
      <c r="AD3270" s="1"/>
      <c r="AG3270" s="1"/>
      <c r="AI3270" s="1"/>
    </row>
    <row r="3271" spans="4:35" hidden="1">
      <c r="D3271" s="1"/>
      <c r="K3271" s="1"/>
      <c r="Q3271" s="1"/>
      <c r="AD3271" s="1"/>
      <c r="AG3271" s="1"/>
      <c r="AI3271" s="1"/>
    </row>
    <row r="3272" spans="4:35" hidden="1">
      <c r="D3272" s="1"/>
      <c r="K3272" s="1"/>
      <c r="Q3272" s="1"/>
      <c r="AD3272" s="1"/>
      <c r="AG3272" s="1"/>
      <c r="AI3272" s="1"/>
    </row>
    <row r="3273" spans="4:35" hidden="1">
      <c r="D3273" s="1"/>
      <c r="K3273" s="1"/>
      <c r="Q3273" s="1"/>
      <c r="AD3273" s="1"/>
      <c r="AG3273" s="1"/>
      <c r="AI3273" s="1"/>
    </row>
    <row r="3274" spans="4:35" hidden="1">
      <c r="D3274" s="1"/>
      <c r="K3274" s="1"/>
      <c r="Q3274" s="1"/>
      <c r="AD3274" s="1"/>
      <c r="AG3274" s="1"/>
      <c r="AI3274" s="1"/>
    </row>
    <row r="3275" spans="4:35" hidden="1">
      <c r="D3275" s="1"/>
      <c r="K3275" s="1"/>
      <c r="Q3275" s="1"/>
      <c r="AD3275" s="1"/>
      <c r="AG3275" s="1"/>
      <c r="AI3275" s="1"/>
    </row>
    <row r="3276" spans="4:35" hidden="1">
      <c r="D3276" s="1"/>
      <c r="K3276" s="1"/>
      <c r="Q3276" s="1"/>
      <c r="AD3276" s="1"/>
      <c r="AG3276" s="1"/>
      <c r="AI3276" s="1"/>
    </row>
    <row r="3277" spans="4:35" hidden="1">
      <c r="D3277" s="1"/>
      <c r="K3277" s="1"/>
      <c r="Q3277" s="1"/>
      <c r="AD3277" s="1"/>
      <c r="AG3277" s="1"/>
      <c r="AI3277" s="1"/>
    </row>
    <row r="3278" spans="4:35" hidden="1">
      <c r="D3278" s="1"/>
      <c r="K3278" s="1"/>
      <c r="Q3278" s="1"/>
      <c r="AD3278" s="1"/>
      <c r="AG3278" s="1"/>
      <c r="AI3278" s="1"/>
    </row>
    <row r="3279" spans="4:35" hidden="1">
      <c r="D3279" s="1"/>
      <c r="K3279" s="1"/>
      <c r="Q3279" s="1"/>
      <c r="AD3279" s="1"/>
      <c r="AG3279" s="1"/>
      <c r="AI3279" s="1"/>
    </row>
    <row r="3280" spans="4:35" hidden="1">
      <c r="D3280" s="1"/>
      <c r="K3280" s="1"/>
      <c r="Q3280" s="1"/>
      <c r="AD3280" s="1"/>
      <c r="AG3280" s="1"/>
      <c r="AI3280" s="1"/>
    </row>
    <row r="3281" spans="4:35" hidden="1">
      <c r="D3281" s="1"/>
      <c r="K3281" s="1"/>
      <c r="Q3281" s="1"/>
      <c r="AD3281" s="1"/>
      <c r="AG3281" s="1"/>
      <c r="AI3281" s="1"/>
    </row>
    <row r="3282" spans="4:35" hidden="1">
      <c r="D3282" s="1"/>
      <c r="K3282" s="1"/>
      <c r="Q3282" s="1"/>
      <c r="AD3282" s="1"/>
      <c r="AG3282" s="1"/>
      <c r="AI3282" s="1"/>
    </row>
    <row r="3283" spans="4:35" hidden="1">
      <c r="D3283" s="1"/>
      <c r="K3283" s="1"/>
      <c r="Q3283" s="1"/>
      <c r="AD3283" s="1"/>
      <c r="AG3283" s="1"/>
      <c r="AI3283" s="1"/>
    </row>
    <row r="3284" spans="4:35" hidden="1">
      <c r="D3284" s="1"/>
      <c r="K3284" s="1"/>
      <c r="Q3284" s="1"/>
      <c r="AD3284" s="1"/>
      <c r="AG3284" s="1"/>
      <c r="AI3284" s="1"/>
    </row>
    <row r="3285" spans="4:35" hidden="1">
      <c r="D3285" s="1"/>
      <c r="K3285" s="1"/>
      <c r="Q3285" s="1"/>
      <c r="AD3285" s="1"/>
      <c r="AG3285" s="1"/>
      <c r="AI3285" s="1"/>
    </row>
    <row r="3286" spans="4:35" hidden="1">
      <c r="D3286" s="1"/>
      <c r="K3286" s="1"/>
      <c r="Q3286" s="1"/>
      <c r="AD3286" s="1"/>
      <c r="AG3286" s="1"/>
      <c r="AI3286" s="1"/>
    </row>
    <row r="3287" spans="4:35" hidden="1">
      <c r="D3287" s="1"/>
      <c r="K3287" s="1"/>
      <c r="Q3287" s="1"/>
      <c r="AD3287" s="1"/>
      <c r="AG3287" s="1"/>
      <c r="AI3287" s="1"/>
    </row>
    <row r="3288" spans="4:35" hidden="1">
      <c r="D3288" s="1"/>
      <c r="K3288" s="1"/>
      <c r="Q3288" s="1"/>
      <c r="AD3288" s="1"/>
      <c r="AG3288" s="1"/>
      <c r="AI3288" s="1"/>
    </row>
    <row r="3289" spans="4:35" hidden="1">
      <c r="D3289" s="1"/>
      <c r="K3289" s="1"/>
      <c r="Q3289" s="1"/>
      <c r="AD3289" s="1"/>
      <c r="AG3289" s="1"/>
      <c r="AI3289" s="1"/>
    </row>
    <row r="3290" spans="4:35" hidden="1">
      <c r="D3290" s="1"/>
      <c r="K3290" s="1"/>
      <c r="Q3290" s="1"/>
      <c r="AD3290" s="1"/>
      <c r="AG3290" s="1"/>
      <c r="AI3290" s="1"/>
    </row>
    <row r="3291" spans="4:35" hidden="1">
      <c r="D3291" s="1"/>
      <c r="K3291" s="1"/>
      <c r="Q3291" s="1"/>
      <c r="AD3291" s="1"/>
      <c r="AG3291" s="1"/>
      <c r="AI3291" s="1"/>
    </row>
    <row r="3292" spans="4:35" hidden="1">
      <c r="D3292" s="1"/>
      <c r="K3292" s="1"/>
      <c r="Q3292" s="1"/>
      <c r="AD3292" s="1"/>
      <c r="AG3292" s="1"/>
      <c r="AI3292" s="1"/>
    </row>
    <row r="3293" spans="4:35" hidden="1">
      <c r="D3293" s="1"/>
      <c r="K3293" s="1"/>
      <c r="Q3293" s="1"/>
      <c r="AD3293" s="1"/>
      <c r="AG3293" s="1"/>
      <c r="AI3293" s="1"/>
    </row>
    <row r="3294" spans="4:35" hidden="1">
      <c r="D3294" s="1"/>
      <c r="K3294" s="1"/>
      <c r="Q3294" s="1"/>
      <c r="AD3294" s="1"/>
      <c r="AG3294" s="1"/>
      <c r="AI3294" s="1"/>
    </row>
    <row r="3295" spans="4:35" hidden="1">
      <c r="D3295" s="1"/>
      <c r="K3295" s="1"/>
      <c r="Q3295" s="1"/>
      <c r="AD3295" s="1"/>
      <c r="AG3295" s="1"/>
      <c r="AI3295" s="1"/>
    </row>
    <row r="3296" spans="4:35" hidden="1">
      <c r="D3296" s="1"/>
      <c r="K3296" s="1"/>
      <c r="Q3296" s="1"/>
      <c r="AD3296" s="1"/>
      <c r="AG3296" s="1"/>
      <c r="AI3296" s="1"/>
    </row>
    <row r="3297" spans="4:35" hidden="1">
      <c r="D3297" s="1"/>
      <c r="K3297" s="1"/>
      <c r="Q3297" s="1"/>
      <c r="AD3297" s="1"/>
      <c r="AG3297" s="1"/>
      <c r="AI3297" s="1"/>
    </row>
    <row r="3298" spans="4:35" hidden="1">
      <c r="D3298" s="1"/>
      <c r="K3298" s="1"/>
      <c r="Q3298" s="1"/>
      <c r="AD3298" s="1"/>
      <c r="AG3298" s="1"/>
      <c r="AI3298" s="1"/>
    </row>
    <row r="3299" spans="4:35" hidden="1">
      <c r="D3299" s="1"/>
      <c r="K3299" s="1"/>
      <c r="Q3299" s="1"/>
      <c r="AD3299" s="1"/>
      <c r="AG3299" s="1"/>
      <c r="AI3299" s="1"/>
    </row>
    <row r="3300" spans="4:35" hidden="1">
      <c r="D3300" s="1"/>
      <c r="K3300" s="1"/>
      <c r="Q3300" s="1"/>
      <c r="AD3300" s="1"/>
      <c r="AG3300" s="1"/>
      <c r="AI3300" s="1"/>
    </row>
    <row r="3301" spans="4:35" hidden="1">
      <c r="D3301" s="1"/>
      <c r="K3301" s="1"/>
      <c r="Q3301" s="1"/>
      <c r="AD3301" s="1"/>
      <c r="AG3301" s="1"/>
      <c r="AI3301" s="1"/>
    </row>
    <row r="3302" spans="4:35" hidden="1">
      <c r="D3302" s="1"/>
      <c r="K3302" s="1"/>
      <c r="Q3302" s="1"/>
      <c r="AD3302" s="1"/>
      <c r="AG3302" s="1"/>
      <c r="AI3302" s="1"/>
    </row>
    <row r="3303" spans="4:35" hidden="1">
      <c r="D3303" s="1"/>
      <c r="K3303" s="1"/>
      <c r="Q3303" s="1"/>
      <c r="AD3303" s="1"/>
      <c r="AG3303" s="1"/>
      <c r="AI3303" s="1"/>
    </row>
    <row r="3304" spans="4:35" hidden="1">
      <c r="D3304" s="1"/>
      <c r="K3304" s="1"/>
      <c r="Q3304" s="1"/>
      <c r="AD3304" s="1"/>
      <c r="AG3304" s="1"/>
      <c r="AI3304" s="1"/>
    </row>
    <row r="3305" spans="4:35" hidden="1">
      <c r="D3305" s="1"/>
      <c r="K3305" s="1"/>
      <c r="Q3305" s="1"/>
      <c r="AD3305" s="1"/>
      <c r="AG3305" s="1"/>
      <c r="AI3305" s="1"/>
    </row>
    <row r="3306" spans="4:35" hidden="1">
      <c r="D3306" s="1"/>
      <c r="K3306" s="1"/>
      <c r="Q3306" s="1"/>
      <c r="AD3306" s="1"/>
      <c r="AG3306" s="1"/>
      <c r="AI3306" s="1"/>
    </row>
    <row r="3307" spans="4:35" hidden="1">
      <c r="D3307" s="1"/>
      <c r="K3307" s="1"/>
      <c r="Q3307" s="1"/>
      <c r="AD3307" s="1"/>
      <c r="AG3307" s="1"/>
      <c r="AI3307" s="1"/>
    </row>
    <row r="3308" spans="4:35" hidden="1">
      <c r="D3308" s="1"/>
      <c r="K3308" s="1"/>
      <c r="Q3308" s="1"/>
      <c r="AD3308" s="1"/>
      <c r="AG3308" s="1"/>
      <c r="AI3308" s="1"/>
    </row>
    <row r="3309" spans="4:35" hidden="1">
      <c r="D3309" s="1"/>
      <c r="K3309" s="1"/>
      <c r="Q3309" s="1"/>
      <c r="AD3309" s="1"/>
      <c r="AG3309" s="1"/>
      <c r="AI3309" s="1"/>
    </row>
    <row r="3310" spans="4:35" hidden="1">
      <c r="D3310" s="1"/>
      <c r="K3310" s="1"/>
      <c r="Q3310" s="1"/>
      <c r="AD3310" s="1"/>
      <c r="AG3310" s="1"/>
      <c r="AI3310" s="1"/>
    </row>
    <row r="3311" spans="4:35" hidden="1">
      <c r="D3311" s="1"/>
      <c r="K3311" s="1"/>
      <c r="Q3311" s="1"/>
      <c r="AD3311" s="1"/>
      <c r="AG3311" s="1"/>
      <c r="AI3311" s="1"/>
    </row>
    <row r="3312" spans="4:35" hidden="1">
      <c r="D3312" s="1"/>
      <c r="K3312" s="1"/>
      <c r="Q3312" s="1"/>
      <c r="AD3312" s="1"/>
      <c r="AG3312" s="1"/>
      <c r="AI3312" s="1"/>
    </row>
    <row r="3313" spans="4:35" hidden="1">
      <c r="D3313" s="1"/>
      <c r="K3313" s="1"/>
      <c r="Q3313" s="1"/>
      <c r="AD3313" s="1"/>
      <c r="AG3313" s="1"/>
      <c r="AI3313" s="1"/>
    </row>
    <row r="3314" spans="4:35" hidden="1">
      <c r="D3314" s="1"/>
      <c r="K3314" s="1"/>
      <c r="Q3314" s="1"/>
      <c r="AD3314" s="1"/>
      <c r="AG3314" s="1"/>
      <c r="AI3314" s="1"/>
    </row>
    <row r="3315" spans="4:35" hidden="1">
      <c r="D3315" s="1"/>
      <c r="K3315" s="1"/>
      <c r="Q3315" s="1"/>
      <c r="AD3315" s="1"/>
      <c r="AG3315" s="1"/>
      <c r="AI3315" s="1"/>
    </row>
    <row r="3316" spans="4:35" hidden="1">
      <c r="D3316" s="1"/>
      <c r="K3316" s="1"/>
      <c r="Q3316" s="1"/>
      <c r="AD3316" s="1"/>
      <c r="AG3316" s="1"/>
      <c r="AI3316" s="1"/>
    </row>
    <row r="3317" spans="4:35" hidden="1">
      <c r="D3317" s="1"/>
      <c r="K3317" s="1"/>
      <c r="Q3317" s="1"/>
      <c r="AD3317" s="1"/>
      <c r="AG3317" s="1"/>
      <c r="AI3317" s="1"/>
    </row>
    <row r="3318" spans="4:35" hidden="1">
      <c r="D3318" s="1"/>
      <c r="K3318" s="1"/>
      <c r="Q3318" s="1"/>
      <c r="AD3318" s="1"/>
      <c r="AG3318" s="1"/>
      <c r="AI3318" s="1"/>
    </row>
    <row r="3319" spans="4:35" hidden="1">
      <c r="D3319" s="1"/>
      <c r="K3319" s="1"/>
      <c r="Q3319" s="1"/>
      <c r="AD3319" s="1"/>
      <c r="AG3319" s="1"/>
      <c r="AI3319" s="1"/>
    </row>
    <row r="3320" spans="4:35" hidden="1">
      <c r="D3320" s="1"/>
      <c r="K3320" s="1"/>
      <c r="Q3320" s="1"/>
      <c r="AD3320" s="1"/>
      <c r="AG3320" s="1"/>
      <c r="AI3320" s="1"/>
    </row>
    <row r="3321" spans="4:35" hidden="1">
      <c r="D3321" s="1"/>
      <c r="K3321" s="1"/>
      <c r="Q3321" s="1"/>
      <c r="AD3321" s="1"/>
      <c r="AG3321" s="1"/>
      <c r="AI3321" s="1"/>
    </row>
    <row r="3322" spans="4:35" hidden="1">
      <c r="D3322" s="1"/>
      <c r="K3322" s="1"/>
      <c r="Q3322" s="1"/>
      <c r="AD3322" s="1"/>
      <c r="AG3322" s="1"/>
      <c r="AI3322" s="1"/>
    </row>
    <row r="3323" spans="4:35" hidden="1">
      <c r="D3323" s="1"/>
      <c r="K3323" s="1"/>
      <c r="Q3323" s="1"/>
      <c r="AD3323" s="1"/>
      <c r="AG3323" s="1"/>
      <c r="AI3323" s="1"/>
    </row>
    <row r="3324" spans="4:35" hidden="1">
      <c r="D3324" s="1"/>
      <c r="K3324" s="1"/>
      <c r="Q3324" s="1"/>
      <c r="AD3324" s="1"/>
      <c r="AG3324" s="1"/>
      <c r="AI3324" s="1"/>
    </row>
    <row r="3325" spans="4:35" hidden="1">
      <c r="D3325" s="1"/>
      <c r="K3325" s="1"/>
      <c r="Q3325" s="1"/>
      <c r="AD3325" s="1"/>
      <c r="AG3325" s="1"/>
      <c r="AI3325" s="1"/>
    </row>
    <row r="3326" spans="4:35" hidden="1">
      <c r="D3326" s="1"/>
      <c r="K3326" s="1"/>
      <c r="Q3326" s="1"/>
      <c r="AD3326" s="1"/>
      <c r="AG3326" s="1"/>
      <c r="AI3326" s="1"/>
    </row>
    <row r="3327" spans="4:35" hidden="1">
      <c r="D3327" s="1"/>
      <c r="K3327" s="1"/>
      <c r="Q3327" s="1"/>
      <c r="AD3327" s="1"/>
      <c r="AG3327" s="1"/>
      <c r="AI3327" s="1"/>
    </row>
    <row r="3328" spans="4:35" hidden="1">
      <c r="D3328" s="1"/>
      <c r="K3328" s="1"/>
      <c r="Q3328" s="1"/>
      <c r="AD3328" s="1"/>
      <c r="AG3328" s="1"/>
      <c r="AI3328" s="1"/>
    </row>
    <row r="3329" spans="4:35" hidden="1">
      <c r="D3329" s="1"/>
      <c r="K3329" s="1"/>
      <c r="Q3329" s="1"/>
      <c r="AD3329" s="1"/>
      <c r="AG3329" s="1"/>
      <c r="AI3329" s="1"/>
    </row>
    <row r="3330" spans="4:35" hidden="1">
      <c r="D3330" s="1"/>
      <c r="K3330" s="1"/>
      <c r="Q3330" s="1"/>
      <c r="AD3330" s="1"/>
      <c r="AG3330" s="1"/>
      <c r="AI3330" s="1"/>
    </row>
    <row r="3331" spans="4:35" hidden="1">
      <c r="D3331" s="1"/>
      <c r="K3331" s="1"/>
      <c r="Q3331" s="1"/>
      <c r="AD3331" s="1"/>
      <c r="AG3331" s="1"/>
      <c r="AI3331" s="1"/>
    </row>
    <row r="3332" spans="4:35" hidden="1">
      <c r="D3332" s="1"/>
      <c r="K3332" s="1"/>
      <c r="Q3332" s="1"/>
      <c r="AD3332" s="1"/>
      <c r="AG3332" s="1"/>
      <c r="AI3332" s="1"/>
    </row>
    <row r="3333" spans="4:35" hidden="1">
      <c r="D3333" s="1"/>
      <c r="K3333" s="1"/>
      <c r="Q3333" s="1"/>
      <c r="AD3333" s="1"/>
      <c r="AG3333" s="1"/>
      <c r="AI3333" s="1"/>
    </row>
    <row r="3334" spans="4:35" hidden="1">
      <c r="D3334" s="1"/>
      <c r="K3334" s="1"/>
      <c r="Q3334" s="1"/>
      <c r="AD3334" s="1"/>
      <c r="AG3334" s="1"/>
      <c r="AI3334" s="1"/>
    </row>
    <row r="3335" spans="4:35" hidden="1">
      <c r="D3335" s="1"/>
      <c r="K3335" s="1"/>
      <c r="Q3335" s="1"/>
      <c r="AD3335" s="1"/>
      <c r="AG3335" s="1"/>
      <c r="AI3335" s="1"/>
    </row>
    <row r="3336" spans="4:35" hidden="1">
      <c r="D3336" s="1"/>
      <c r="K3336" s="1"/>
      <c r="Q3336" s="1"/>
      <c r="AD3336" s="1"/>
      <c r="AG3336" s="1"/>
      <c r="AI3336" s="1"/>
    </row>
    <row r="3337" spans="4:35" hidden="1">
      <c r="D3337" s="1"/>
      <c r="K3337" s="1"/>
      <c r="Q3337" s="1"/>
      <c r="AD3337" s="1"/>
      <c r="AG3337" s="1"/>
      <c r="AI3337" s="1"/>
    </row>
    <row r="3338" spans="4:35" hidden="1">
      <c r="D3338" s="1"/>
      <c r="K3338" s="1"/>
      <c r="Q3338" s="1"/>
      <c r="AD3338" s="1"/>
      <c r="AG3338" s="1"/>
      <c r="AI3338" s="1"/>
    </row>
    <row r="3339" spans="4:35" hidden="1">
      <c r="D3339" s="1"/>
      <c r="K3339" s="1"/>
      <c r="Q3339" s="1"/>
      <c r="AD3339" s="1"/>
      <c r="AG3339" s="1"/>
      <c r="AI3339" s="1"/>
    </row>
    <row r="3340" spans="4:35" hidden="1">
      <c r="D3340" s="1"/>
      <c r="K3340" s="1"/>
      <c r="Q3340" s="1"/>
      <c r="AD3340" s="1"/>
      <c r="AG3340" s="1"/>
      <c r="AI3340" s="1"/>
    </row>
    <row r="3341" spans="4:35" hidden="1">
      <c r="D3341" s="1"/>
      <c r="K3341" s="1"/>
      <c r="Q3341" s="1"/>
      <c r="AD3341" s="1"/>
      <c r="AG3341" s="1"/>
      <c r="AI3341" s="1"/>
    </row>
    <row r="3342" spans="4:35" hidden="1">
      <c r="D3342" s="1"/>
      <c r="K3342" s="1"/>
      <c r="Q3342" s="1"/>
      <c r="AD3342" s="1"/>
      <c r="AG3342" s="1"/>
      <c r="AI3342" s="1"/>
    </row>
    <row r="3343" spans="4:35" hidden="1">
      <c r="D3343" s="1"/>
      <c r="K3343" s="1"/>
      <c r="Q3343" s="1"/>
      <c r="AD3343" s="1"/>
      <c r="AG3343" s="1"/>
      <c r="AI3343" s="1"/>
    </row>
    <row r="3344" spans="4:35" hidden="1">
      <c r="D3344" s="1"/>
      <c r="K3344" s="1"/>
      <c r="Q3344" s="1"/>
      <c r="AD3344" s="1"/>
      <c r="AG3344" s="1"/>
      <c r="AI3344" s="1"/>
    </row>
    <row r="3345" spans="4:35" hidden="1">
      <c r="D3345" s="1"/>
      <c r="K3345" s="1"/>
      <c r="Q3345" s="1"/>
      <c r="AD3345" s="1"/>
      <c r="AG3345" s="1"/>
      <c r="AI3345" s="1"/>
    </row>
    <row r="3346" spans="4:35" hidden="1">
      <c r="D3346" s="1"/>
      <c r="K3346" s="1"/>
      <c r="Q3346" s="1"/>
      <c r="AD3346" s="1"/>
      <c r="AG3346" s="1"/>
      <c r="AI3346" s="1"/>
    </row>
    <row r="3347" spans="4:35" hidden="1">
      <c r="D3347" s="1"/>
      <c r="K3347" s="1"/>
      <c r="Q3347" s="1"/>
      <c r="AD3347" s="1"/>
      <c r="AG3347" s="1"/>
      <c r="AI3347" s="1"/>
    </row>
    <row r="3348" spans="4:35" hidden="1">
      <c r="D3348" s="1"/>
      <c r="K3348" s="1"/>
      <c r="Q3348" s="1"/>
      <c r="AD3348" s="1"/>
      <c r="AG3348" s="1"/>
      <c r="AI3348" s="1"/>
    </row>
    <row r="3349" spans="4:35" hidden="1">
      <c r="D3349" s="1"/>
      <c r="K3349" s="1"/>
      <c r="Q3349" s="1"/>
      <c r="AD3349" s="1"/>
      <c r="AG3349" s="1"/>
      <c r="AI3349" s="1"/>
    </row>
    <row r="3350" spans="4:35" hidden="1">
      <c r="D3350" s="1"/>
      <c r="K3350" s="1"/>
      <c r="Q3350" s="1"/>
      <c r="AD3350" s="1"/>
      <c r="AG3350" s="1"/>
      <c r="AI3350" s="1"/>
    </row>
    <row r="3351" spans="4:35" hidden="1">
      <c r="D3351" s="1"/>
      <c r="K3351" s="1"/>
      <c r="Q3351" s="1"/>
      <c r="AD3351" s="1"/>
      <c r="AG3351" s="1"/>
      <c r="AI3351" s="1"/>
    </row>
    <row r="3352" spans="4:35" hidden="1">
      <c r="D3352" s="1"/>
      <c r="K3352" s="1"/>
      <c r="Q3352" s="1"/>
      <c r="AD3352" s="1"/>
      <c r="AG3352" s="1"/>
      <c r="AI3352" s="1"/>
    </row>
    <row r="3353" spans="4:35" hidden="1">
      <c r="D3353" s="1"/>
      <c r="K3353" s="1"/>
      <c r="Q3353" s="1"/>
      <c r="AD3353" s="1"/>
      <c r="AG3353" s="1"/>
      <c r="AI3353" s="1"/>
    </row>
    <row r="3354" spans="4:35" hidden="1">
      <c r="D3354" s="1"/>
      <c r="K3354" s="1"/>
      <c r="Q3354" s="1"/>
      <c r="AD3354" s="1"/>
      <c r="AG3354" s="1"/>
      <c r="AI3354" s="1"/>
    </row>
    <row r="3355" spans="4:35" hidden="1">
      <c r="D3355" s="1"/>
      <c r="K3355" s="1"/>
      <c r="Q3355" s="1"/>
      <c r="AD3355" s="1"/>
      <c r="AG3355" s="1"/>
      <c r="AI3355" s="1"/>
    </row>
    <row r="3356" spans="4:35" hidden="1">
      <c r="D3356" s="1"/>
      <c r="K3356" s="1"/>
      <c r="Q3356" s="1"/>
      <c r="AD3356" s="1"/>
      <c r="AG3356" s="1"/>
      <c r="AI3356" s="1"/>
    </row>
    <row r="3357" spans="4:35" hidden="1">
      <c r="D3357" s="1"/>
      <c r="K3357" s="1"/>
      <c r="Q3357" s="1"/>
      <c r="AD3357" s="1"/>
      <c r="AG3357" s="1"/>
      <c r="AI3357" s="1"/>
    </row>
    <row r="3358" spans="4:35" hidden="1">
      <c r="D3358" s="1"/>
      <c r="K3358" s="1"/>
      <c r="Q3358" s="1"/>
      <c r="AD3358" s="1"/>
      <c r="AG3358" s="1"/>
      <c r="AI3358" s="1"/>
    </row>
    <row r="3359" spans="4:35" hidden="1">
      <c r="D3359" s="1"/>
      <c r="K3359" s="1"/>
      <c r="Q3359" s="1"/>
      <c r="AD3359" s="1"/>
      <c r="AG3359" s="1"/>
      <c r="AI3359" s="1"/>
    </row>
    <row r="3360" spans="4:35" hidden="1">
      <c r="D3360" s="1"/>
      <c r="K3360" s="1"/>
      <c r="Q3360" s="1"/>
      <c r="AD3360" s="1"/>
      <c r="AG3360" s="1"/>
      <c r="AI3360" s="1"/>
    </row>
    <row r="3361" spans="4:35" hidden="1">
      <c r="D3361" s="1"/>
      <c r="K3361" s="1"/>
      <c r="Q3361" s="1"/>
      <c r="AD3361" s="1"/>
      <c r="AG3361" s="1"/>
      <c r="AI3361" s="1"/>
    </row>
    <row r="3362" spans="4:35" hidden="1">
      <c r="D3362" s="1"/>
      <c r="K3362" s="1"/>
      <c r="Q3362" s="1"/>
      <c r="AD3362" s="1"/>
      <c r="AG3362" s="1"/>
      <c r="AI3362" s="1"/>
    </row>
    <row r="3363" spans="4:35" hidden="1">
      <c r="D3363" s="1"/>
      <c r="K3363" s="1"/>
      <c r="Q3363" s="1"/>
      <c r="AD3363" s="1"/>
      <c r="AG3363" s="1"/>
      <c r="AI3363" s="1"/>
    </row>
    <row r="3364" spans="4:35" hidden="1">
      <c r="D3364" s="1"/>
      <c r="K3364" s="1"/>
      <c r="Q3364" s="1"/>
      <c r="AD3364" s="1"/>
      <c r="AG3364" s="1"/>
      <c r="AI3364" s="1"/>
    </row>
    <row r="3365" spans="4:35" hidden="1">
      <c r="D3365" s="1"/>
      <c r="K3365" s="1"/>
      <c r="Q3365" s="1"/>
      <c r="AD3365" s="1"/>
      <c r="AG3365" s="1"/>
      <c r="AI3365" s="1"/>
    </row>
    <row r="3366" spans="4:35" hidden="1">
      <c r="D3366" s="1"/>
      <c r="K3366" s="1"/>
      <c r="Q3366" s="1"/>
      <c r="AD3366" s="1"/>
      <c r="AG3366" s="1"/>
      <c r="AI3366" s="1"/>
    </row>
    <row r="3367" spans="4:35" hidden="1">
      <c r="D3367" s="1"/>
      <c r="K3367" s="1"/>
      <c r="Q3367" s="1"/>
      <c r="AD3367" s="1"/>
      <c r="AG3367" s="1"/>
      <c r="AI3367" s="1"/>
    </row>
    <row r="3368" spans="4:35" hidden="1">
      <c r="D3368" s="1"/>
      <c r="K3368" s="1"/>
      <c r="Q3368" s="1"/>
      <c r="AD3368" s="1"/>
      <c r="AG3368" s="1"/>
      <c r="AI3368" s="1"/>
    </row>
    <row r="3369" spans="4:35" hidden="1">
      <c r="D3369" s="1"/>
      <c r="K3369" s="1"/>
      <c r="Q3369" s="1"/>
      <c r="AD3369" s="1"/>
      <c r="AG3369" s="1"/>
      <c r="AI3369" s="1"/>
    </row>
    <row r="3370" spans="4:35" hidden="1">
      <c r="D3370" s="1"/>
      <c r="K3370" s="1"/>
      <c r="Q3370" s="1"/>
      <c r="AD3370" s="1"/>
      <c r="AG3370" s="1"/>
      <c r="AI3370" s="1"/>
    </row>
    <row r="3371" spans="4:35" hidden="1">
      <c r="D3371" s="1"/>
      <c r="K3371" s="1"/>
      <c r="Q3371" s="1"/>
      <c r="AD3371" s="1"/>
      <c r="AG3371" s="1"/>
      <c r="AI3371" s="1"/>
    </row>
    <row r="3372" spans="4:35" hidden="1">
      <c r="D3372" s="1"/>
      <c r="K3372" s="1"/>
      <c r="Q3372" s="1"/>
      <c r="AD3372" s="1"/>
      <c r="AG3372" s="1"/>
      <c r="AI3372" s="1"/>
    </row>
    <row r="3373" spans="4:35" hidden="1">
      <c r="D3373" s="1"/>
      <c r="K3373" s="1"/>
      <c r="Q3373" s="1"/>
      <c r="AD3373" s="1"/>
      <c r="AG3373" s="1"/>
      <c r="AI3373" s="1"/>
    </row>
    <row r="3374" spans="4:35" hidden="1">
      <c r="D3374" s="1"/>
      <c r="K3374" s="1"/>
      <c r="Q3374" s="1"/>
      <c r="AD3374" s="1"/>
      <c r="AG3374" s="1"/>
      <c r="AI3374" s="1"/>
    </row>
    <row r="3375" spans="4:35" hidden="1">
      <c r="D3375" s="1"/>
      <c r="K3375" s="1"/>
      <c r="Q3375" s="1"/>
      <c r="AD3375" s="1"/>
      <c r="AG3375" s="1"/>
      <c r="AI3375" s="1"/>
    </row>
    <row r="3376" spans="4:35" hidden="1">
      <c r="D3376" s="1"/>
      <c r="K3376" s="1"/>
      <c r="Q3376" s="1"/>
      <c r="AD3376" s="1"/>
      <c r="AG3376" s="1"/>
      <c r="AI3376" s="1"/>
    </row>
    <row r="3377" spans="4:35" hidden="1">
      <c r="D3377" s="1"/>
      <c r="K3377" s="1"/>
      <c r="Q3377" s="1"/>
      <c r="AD3377" s="1"/>
      <c r="AG3377" s="1"/>
      <c r="AI3377" s="1"/>
    </row>
    <row r="3378" spans="4:35" hidden="1">
      <c r="D3378" s="1"/>
      <c r="K3378" s="1"/>
      <c r="Q3378" s="1"/>
      <c r="AD3378" s="1"/>
      <c r="AG3378" s="1"/>
      <c r="AI3378" s="1"/>
    </row>
    <row r="3379" spans="4:35" hidden="1">
      <c r="D3379" s="1"/>
      <c r="K3379" s="1"/>
      <c r="Q3379" s="1"/>
      <c r="AD3379" s="1"/>
      <c r="AG3379" s="1"/>
      <c r="AI3379" s="1"/>
    </row>
    <row r="3380" spans="4:35" hidden="1">
      <c r="D3380" s="1"/>
      <c r="K3380" s="1"/>
      <c r="Q3380" s="1"/>
      <c r="AD3380" s="1"/>
      <c r="AG3380" s="1"/>
      <c r="AI3380" s="1"/>
    </row>
    <row r="3381" spans="4:35" hidden="1">
      <c r="D3381" s="1"/>
      <c r="K3381" s="1"/>
      <c r="Q3381" s="1"/>
      <c r="AD3381" s="1"/>
      <c r="AG3381" s="1"/>
      <c r="AI3381" s="1"/>
    </row>
    <row r="3382" spans="4:35" hidden="1">
      <c r="D3382" s="1"/>
      <c r="K3382" s="1"/>
      <c r="Q3382" s="1"/>
      <c r="AD3382" s="1"/>
      <c r="AG3382" s="1"/>
      <c r="AI3382" s="1"/>
    </row>
    <row r="3383" spans="4:35" hidden="1">
      <c r="D3383" s="1"/>
      <c r="K3383" s="1"/>
      <c r="Q3383" s="1"/>
      <c r="AD3383" s="1"/>
      <c r="AG3383" s="1"/>
      <c r="AI3383" s="1"/>
    </row>
    <row r="3384" spans="4:35" hidden="1">
      <c r="D3384" s="1"/>
      <c r="K3384" s="1"/>
      <c r="Q3384" s="1"/>
      <c r="AD3384" s="1"/>
      <c r="AG3384" s="1"/>
      <c r="AI3384" s="1"/>
    </row>
    <row r="3385" spans="4:35" hidden="1">
      <c r="D3385" s="1"/>
      <c r="K3385" s="1"/>
      <c r="Q3385" s="1"/>
      <c r="AD3385" s="1"/>
      <c r="AG3385" s="1"/>
      <c r="AI3385" s="1"/>
    </row>
    <row r="3386" spans="4:35" hidden="1">
      <c r="D3386" s="1"/>
      <c r="K3386" s="1"/>
      <c r="Q3386" s="1"/>
      <c r="AD3386" s="1"/>
      <c r="AG3386" s="1"/>
      <c r="AI3386" s="1"/>
    </row>
    <row r="3387" spans="4:35" hidden="1">
      <c r="D3387" s="1"/>
      <c r="K3387" s="1"/>
      <c r="Q3387" s="1"/>
      <c r="AD3387" s="1"/>
      <c r="AG3387" s="1"/>
      <c r="AI3387" s="1"/>
    </row>
    <row r="3388" spans="4:35" hidden="1">
      <c r="D3388" s="1"/>
      <c r="K3388" s="1"/>
      <c r="Q3388" s="1"/>
      <c r="AD3388" s="1"/>
      <c r="AG3388" s="1"/>
      <c r="AI3388" s="1"/>
    </row>
    <row r="3389" spans="4:35" hidden="1">
      <c r="D3389" s="1"/>
      <c r="K3389" s="1"/>
      <c r="Q3389" s="1"/>
      <c r="AD3389" s="1"/>
      <c r="AG3389" s="1"/>
      <c r="AI3389" s="1"/>
    </row>
    <row r="3390" spans="4:35" hidden="1">
      <c r="D3390" s="1"/>
      <c r="K3390" s="1"/>
      <c r="Q3390" s="1"/>
      <c r="AD3390" s="1"/>
      <c r="AG3390" s="1"/>
      <c r="AI3390" s="1"/>
    </row>
    <row r="3391" spans="4:35" hidden="1">
      <c r="D3391" s="1"/>
      <c r="K3391" s="1"/>
      <c r="Q3391" s="1"/>
      <c r="AD3391" s="1"/>
      <c r="AG3391" s="1"/>
      <c r="AI3391" s="1"/>
    </row>
    <row r="3392" spans="4:35" hidden="1">
      <c r="D3392" s="1"/>
      <c r="K3392" s="1"/>
      <c r="Q3392" s="1"/>
      <c r="AD3392" s="1"/>
      <c r="AG3392" s="1"/>
      <c r="AI3392" s="1"/>
    </row>
    <row r="3393" spans="4:35" hidden="1">
      <c r="D3393" s="1"/>
      <c r="K3393" s="1"/>
      <c r="Q3393" s="1"/>
      <c r="AD3393" s="1"/>
      <c r="AG3393" s="1"/>
      <c r="AI3393" s="1"/>
    </row>
    <row r="3394" spans="4:35" hidden="1">
      <c r="D3394" s="1"/>
      <c r="K3394" s="1"/>
      <c r="Q3394" s="1"/>
      <c r="AD3394" s="1"/>
      <c r="AG3394" s="1"/>
      <c r="AI3394" s="1"/>
    </row>
    <row r="3395" spans="4:35" hidden="1">
      <c r="D3395" s="1"/>
      <c r="K3395" s="1"/>
      <c r="Q3395" s="1"/>
      <c r="AD3395" s="1"/>
      <c r="AG3395" s="1"/>
      <c r="AI3395" s="1"/>
    </row>
    <row r="3396" spans="4:35" hidden="1">
      <c r="D3396" s="1"/>
      <c r="K3396" s="1"/>
      <c r="Q3396" s="1"/>
      <c r="AD3396" s="1"/>
      <c r="AG3396" s="1"/>
      <c r="AI3396" s="1"/>
    </row>
    <row r="3397" spans="4:35" hidden="1">
      <c r="D3397" s="1"/>
      <c r="K3397" s="1"/>
      <c r="Q3397" s="1"/>
      <c r="AD3397" s="1"/>
      <c r="AG3397" s="1"/>
      <c r="AI3397" s="1"/>
    </row>
    <row r="3398" spans="4:35" hidden="1">
      <c r="D3398" s="1"/>
      <c r="K3398" s="1"/>
      <c r="Q3398" s="1"/>
      <c r="AD3398" s="1"/>
      <c r="AG3398" s="1"/>
      <c r="AI3398" s="1"/>
    </row>
    <row r="3399" spans="4:35" hidden="1">
      <c r="D3399" s="1"/>
      <c r="K3399" s="1"/>
      <c r="Q3399" s="1"/>
      <c r="AD3399" s="1"/>
      <c r="AG3399" s="1"/>
      <c r="AI3399" s="1"/>
    </row>
    <row r="3400" spans="4:35" hidden="1">
      <c r="D3400" s="1"/>
      <c r="K3400" s="1"/>
      <c r="Q3400" s="1"/>
      <c r="AD3400" s="1"/>
      <c r="AG3400" s="1"/>
      <c r="AI3400" s="1"/>
    </row>
    <row r="3401" spans="4:35" hidden="1">
      <c r="D3401" s="1"/>
      <c r="K3401" s="1"/>
      <c r="Q3401" s="1"/>
      <c r="AD3401" s="1"/>
      <c r="AG3401" s="1"/>
      <c r="AI3401" s="1"/>
    </row>
    <row r="3402" spans="4:35" hidden="1">
      <c r="D3402" s="1"/>
      <c r="K3402" s="1"/>
      <c r="Q3402" s="1"/>
      <c r="AD3402" s="1"/>
      <c r="AG3402" s="1"/>
      <c r="AI3402" s="1"/>
    </row>
    <row r="3403" spans="4:35" hidden="1">
      <c r="D3403" s="1"/>
      <c r="K3403" s="1"/>
      <c r="Q3403" s="1"/>
      <c r="AD3403" s="1"/>
      <c r="AG3403" s="1"/>
      <c r="AI3403" s="1"/>
    </row>
    <row r="3404" spans="4:35" hidden="1">
      <c r="D3404" s="1"/>
      <c r="K3404" s="1"/>
      <c r="Q3404" s="1"/>
      <c r="AD3404" s="1"/>
      <c r="AG3404" s="1"/>
      <c r="AI3404" s="1"/>
    </row>
    <row r="3405" spans="4:35" hidden="1">
      <c r="D3405" s="1"/>
      <c r="K3405" s="1"/>
      <c r="Q3405" s="1"/>
      <c r="AD3405" s="1"/>
      <c r="AG3405" s="1"/>
      <c r="AI3405" s="1"/>
    </row>
    <row r="3406" spans="4:35" hidden="1">
      <c r="D3406" s="1"/>
      <c r="K3406" s="1"/>
      <c r="Q3406" s="1"/>
      <c r="AD3406" s="1"/>
      <c r="AG3406" s="1"/>
      <c r="AI3406" s="1"/>
    </row>
    <row r="3407" spans="4:35" hidden="1">
      <c r="D3407" s="1"/>
      <c r="K3407" s="1"/>
      <c r="Q3407" s="1"/>
      <c r="AD3407" s="1"/>
      <c r="AG3407" s="1"/>
      <c r="AI3407" s="1"/>
    </row>
    <row r="3408" spans="4:35" hidden="1">
      <c r="D3408" s="1"/>
      <c r="K3408" s="1"/>
      <c r="Q3408" s="1"/>
      <c r="AD3408" s="1"/>
      <c r="AG3408" s="1"/>
      <c r="AI3408" s="1"/>
    </row>
    <row r="3409" spans="4:35" hidden="1">
      <c r="D3409" s="1"/>
      <c r="K3409" s="1"/>
      <c r="Q3409" s="1"/>
      <c r="AD3409" s="1"/>
      <c r="AG3409" s="1"/>
      <c r="AI3409" s="1"/>
    </row>
    <row r="3410" spans="4:35" hidden="1">
      <c r="D3410" s="1"/>
      <c r="K3410" s="1"/>
      <c r="Q3410" s="1"/>
      <c r="AD3410" s="1"/>
      <c r="AG3410" s="1"/>
      <c r="AI3410" s="1"/>
    </row>
    <row r="3411" spans="4:35" hidden="1">
      <c r="D3411" s="1"/>
      <c r="K3411" s="1"/>
      <c r="Q3411" s="1"/>
      <c r="AD3411" s="1"/>
      <c r="AG3411" s="1"/>
      <c r="AI3411" s="1"/>
    </row>
    <row r="3412" spans="4:35" hidden="1">
      <c r="D3412" s="1"/>
      <c r="K3412" s="1"/>
      <c r="Q3412" s="1"/>
      <c r="AD3412" s="1"/>
      <c r="AG3412" s="1"/>
      <c r="AI3412" s="1"/>
    </row>
    <row r="3413" spans="4:35" hidden="1">
      <c r="D3413" s="1"/>
      <c r="K3413" s="1"/>
      <c r="Q3413" s="1"/>
      <c r="AD3413" s="1"/>
      <c r="AG3413" s="1"/>
      <c r="AI3413" s="1"/>
    </row>
    <row r="3414" spans="4:35" hidden="1">
      <c r="D3414" s="1"/>
      <c r="K3414" s="1"/>
      <c r="Q3414" s="1"/>
      <c r="AD3414" s="1"/>
      <c r="AG3414" s="1"/>
      <c r="AI3414" s="1"/>
    </row>
    <row r="3415" spans="4:35" hidden="1">
      <c r="D3415" s="1"/>
      <c r="K3415" s="1"/>
      <c r="Q3415" s="1"/>
      <c r="AD3415" s="1"/>
      <c r="AG3415" s="1"/>
      <c r="AI3415" s="1"/>
    </row>
    <row r="3416" spans="4:35" hidden="1">
      <c r="D3416" s="1"/>
      <c r="K3416" s="1"/>
      <c r="Q3416" s="1"/>
      <c r="AD3416" s="1"/>
      <c r="AG3416" s="1"/>
      <c r="AI3416" s="1"/>
    </row>
    <row r="3417" spans="4:35" hidden="1">
      <c r="D3417" s="1"/>
      <c r="K3417" s="1"/>
      <c r="Q3417" s="1"/>
      <c r="AD3417" s="1"/>
      <c r="AG3417" s="1"/>
      <c r="AI3417" s="1"/>
    </row>
    <row r="3418" spans="4:35" hidden="1">
      <c r="D3418" s="1"/>
      <c r="K3418" s="1"/>
      <c r="Q3418" s="1"/>
      <c r="AD3418" s="1"/>
      <c r="AG3418" s="1"/>
      <c r="AI3418" s="1"/>
    </row>
    <row r="3419" spans="4:35" hidden="1">
      <c r="D3419" s="1"/>
      <c r="K3419" s="1"/>
      <c r="Q3419" s="1"/>
      <c r="AD3419" s="1"/>
      <c r="AG3419" s="1"/>
      <c r="AI3419" s="1"/>
    </row>
    <row r="3420" spans="4:35" hidden="1">
      <c r="D3420" s="1"/>
      <c r="K3420" s="1"/>
      <c r="Q3420" s="1"/>
      <c r="AD3420" s="1"/>
      <c r="AG3420" s="1"/>
      <c r="AI3420" s="1"/>
    </row>
    <row r="3421" spans="4:35" hidden="1">
      <c r="D3421" s="1"/>
      <c r="K3421" s="1"/>
      <c r="Q3421" s="1"/>
      <c r="AD3421" s="1"/>
      <c r="AG3421" s="1"/>
      <c r="AI3421" s="1"/>
    </row>
    <row r="3422" spans="4:35" hidden="1">
      <c r="D3422" s="1"/>
      <c r="K3422" s="1"/>
      <c r="Q3422" s="1"/>
      <c r="AD3422" s="1"/>
      <c r="AG3422" s="1"/>
      <c r="AI3422" s="1"/>
    </row>
    <row r="3423" spans="4:35" hidden="1">
      <c r="D3423" s="1"/>
      <c r="K3423" s="1"/>
      <c r="Q3423" s="1"/>
      <c r="AD3423" s="1"/>
      <c r="AG3423" s="1"/>
      <c r="AI3423" s="1"/>
    </row>
    <row r="3424" spans="4:35" hidden="1">
      <c r="D3424" s="1"/>
      <c r="K3424" s="1"/>
      <c r="Q3424" s="1"/>
      <c r="AD3424" s="1"/>
      <c r="AG3424" s="1"/>
      <c r="AI3424" s="1"/>
    </row>
    <row r="3425" spans="4:35" hidden="1">
      <c r="D3425" s="1"/>
      <c r="K3425" s="1"/>
      <c r="Q3425" s="1"/>
      <c r="AD3425" s="1"/>
      <c r="AG3425" s="1"/>
      <c r="AI3425" s="1"/>
    </row>
    <row r="3426" spans="4:35" hidden="1">
      <c r="D3426" s="1"/>
      <c r="K3426" s="1"/>
      <c r="Q3426" s="1"/>
      <c r="AD3426" s="1"/>
      <c r="AG3426" s="1"/>
      <c r="AI3426" s="1"/>
    </row>
    <row r="3427" spans="4:35" hidden="1">
      <c r="D3427" s="1"/>
      <c r="K3427" s="1"/>
      <c r="Q3427" s="1"/>
      <c r="AD3427" s="1"/>
      <c r="AG3427" s="1"/>
      <c r="AI3427" s="1"/>
    </row>
    <row r="3428" spans="4:35" hidden="1">
      <c r="D3428" s="1"/>
      <c r="K3428" s="1"/>
      <c r="Q3428" s="1"/>
      <c r="AD3428" s="1"/>
      <c r="AG3428" s="1"/>
      <c r="AI3428" s="1"/>
    </row>
    <row r="3429" spans="4:35" hidden="1">
      <c r="D3429" s="1"/>
      <c r="K3429" s="1"/>
      <c r="Q3429" s="1"/>
      <c r="AD3429" s="1"/>
      <c r="AG3429" s="1"/>
      <c r="AI3429" s="1"/>
    </row>
    <row r="3430" spans="4:35" hidden="1">
      <c r="D3430" s="1"/>
      <c r="K3430" s="1"/>
      <c r="Q3430" s="1"/>
      <c r="AD3430" s="1"/>
      <c r="AG3430" s="1"/>
      <c r="AI3430" s="1"/>
    </row>
    <row r="3431" spans="4:35" hidden="1">
      <c r="D3431" s="1"/>
      <c r="K3431" s="1"/>
      <c r="Q3431" s="1"/>
      <c r="AD3431" s="1"/>
      <c r="AG3431" s="1"/>
      <c r="AI3431" s="1"/>
    </row>
    <row r="3432" spans="4:35" hidden="1">
      <c r="D3432" s="1"/>
      <c r="K3432" s="1"/>
      <c r="Q3432" s="1"/>
      <c r="AD3432" s="1"/>
      <c r="AG3432" s="1"/>
      <c r="AI3432" s="1"/>
    </row>
    <row r="3433" spans="4:35" hidden="1">
      <c r="D3433" s="1"/>
      <c r="K3433" s="1"/>
      <c r="Q3433" s="1"/>
      <c r="AD3433" s="1"/>
      <c r="AG3433" s="1"/>
      <c r="AI3433" s="1"/>
    </row>
    <row r="3434" spans="4:35" hidden="1">
      <c r="D3434" s="1"/>
      <c r="K3434" s="1"/>
      <c r="Q3434" s="1"/>
      <c r="AD3434" s="1"/>
      <c r="AG3434" s="1"/>
      <c r="AI3434" s="1"/>
    </row>
    <row r="3435" spans="4:35" hidden="1">
      <c r="D3435" s="1"/>
      <c r="K3435" s="1"/>
      <c r="Q3435" s="1"/>
      <c r="AD3435" s="1"/>
      <c r="AG3435" s="1"/>
      <c r="AI3435" s="1"/>
    </row>
    <row r="3436" spans="4:35" hidden="1">
      <c r="D3436" s="1"/>
      <c r="K3436" s="1"/>
      <c r="Q3436" s="1"/>
      <c r="AD3436" s="1"/>
      <c r="AG3436" s="1"/>
      <c r="AI3436" s="1"/>
    </row>
    <row r="3437" spans="4:35" hidden="1">
      <c r="D3437" s="1"/>
      <c r="K3437" s="1"/>
      <c r="Q3437" s="1"/>
      <c r="AD3437" s="1"/>
      <c r="AG3437" s="1"/>
      <c r="AI3437" s="1"/>
    </row>
    <row r="3438" spans="4:35" hidden="1">
      <c r="D3438" s="1"/>
      <c r="K3438" s="1"/>
      <c r="Q3438" s="1"/>
      <c r="AD3438" s="1"/>
      <c r="AG3438" s="1"/>
      <c r="AI3438" s="1"/>
    </row>
    <row r="3439" spans="4:35" hidden="1">
      <c r="D3439" s="1"/>
      <c r="K3439" s="1"/>
      <c r="Q3439" s="1"/>
      <c r="AD3439" s="1"/>
      <c r="AG3439" s="1"/>
      <c r="AI3439" s="1"/>
    </row>
    <row r="3440" spans="4:35" hidden="1">
      <c r="D3440" s="1"/>
      <c r="K3440" s="1"/>
      <c r="Q3440" s="1"/>
      <c r="AD3440" s="1"/>
      <c r="AG3440" s="1"/>
      <c r="AI3440" s="1"/>
    </row>
    <row r="3441" spans="4:35" hidden="1">
      <c r="D3441" s="1"/>
      <c r="K3441" s="1"/>
      <c r="Q3441" s="1"/>
      <c r="AD3441" s="1"/>
      <c r="AG3441" s="1"/>
      <c r="AI3441" s="1"/>
    </row>
    <row r="3442" spans="4:35" hidden="1">
      <c r="D3442" s="1"/>
      <c r="K3442" s="1"/>
      <c r="Q3442" s="1"/>
      <c r="AD3442" s="1"/>
      <c r="AG3442" s="1"/>
      <c r="AI3442" s="1"/>
    </row>
    <row r="3443" spans="4:35" hidden="1">
      <c r="D3443" s="1"/>
      <c r="K3443" s="1"/>
      <c r="Q3443" s="1"/>
      <c r="AD3443" s="1"/>
      <c r="AG3443" s="1"/>
      <c r="AI3443" s="1"/>
    </row>
    <row r="3444" spans="4:35" hidden="1">
      <c r="D3444" s="1"/>
      <c r="K3444" s="1"/>
      <c r="Q3444" s="1"/>
      <c r="AD3444" s="1"/>
      <c r="AG3444" s="1"/>
      <c r="AI3444" s="1"/>
    </row>
    <row r="3445" spans="4:35" hidden="1">
      <c r="D3445" s="1"/>
      <c r="K3445" s="1"/>
      <c r="Q3445" s="1"/>
      <c r="AD3445" s="1"/>
      <c r="AG3445" s="1"/>
      <c r="AI3445" s="1"/>
    </row>
    <row r="3446" spans="4:35" hidden="1">
      <c r="D3446" s="1"/>
      <c r="K3446" s="1"/>
      <c r="Q3446" s="1"/>
      <c r="AD3446" s="1"/>
      <c r="AG3446" s="1"/>
      <c r="AI3446" s="1"/>
    </row>
    <row r="3447" spans="4:35" hidden="1">
      <c r="D3447" s="1"/>
      <c r="K3447" s="1"/>
      <c r="Q3447" s="1"/>
      <c r="AD3447" s="1"/>
      <c r="AG3447" s="1"/>
      <c r="AI3447" s="1"/>
    </row>
    <row r="3448" spans="4:35" hidden="1">
      <c r="D3448" s="1"/>
      <c r="K3448" s="1"/>
      <c r="Q3448" s="1"/>
      <c r="AD3448" s="1"/>
      <c r="AG3448" s="1"/>
      <c r="AI3448" s="1"/>
    </row>
    <row r="3449" spans="4:35" hidden="1">
      <c r="D3449" s="1"/>
      <c r="K3449" s="1"/>
      <c r="Q3449" s="1"/>
      <c r="AD3449" s="1"/>
      <c r="AG3449" s="1"/>
      <c r="AI3449" s="1"/>
    </row>
    <row r="3450" spans="4:35" hidden="1">
      <c r="D3450" s="1"/>
      <c r="K3450" s="1"/>
      <c r="Q3450" s="1"/>
      <c r="AD3450" s="1"/>
      <c r="AG3450" s="1"/>
      <c r="AI3450" s="1"/>
    </row>
    <row r="3451" spans="4:35" hidden="1">
      <c r="D3451" s="1"/>
      <c r="K3451" s="1"/>
      <c r="Q3451" s="1"/>
      <c r="AD3451" s="1"/>
      <c r="AG3451" s="1"/>
      <c r="AI3451" s="1"/>
    </row>
    <row r="3452" spans="4:35" hidden="1">
      <c r="D3452" s="1"/>
      <c r="K3452" s="1"/>
      <c r="Q3452" s="1"/>
      <c r="AD3452" s="1"/>
      <c r="AG3452" s="1"/>
      <c r="AI3452" s="1"/>
    </row>
    <row r="3453" spans="4:35" hidden="1">
      <c r="D3453" s="1"/>
      <c r="K3453" s="1"/>
      <c r="Q3453" s="1"/>
      <c r="AD3453" s="1"/>
      <c r="AG3453" s="1"/>
      <c r="AI3453" s="1"/>
    </row>
    <row r="3454" spans="4:35" hidden="1">
      <c r="D3454" s="1"/>
      <c r="K3454" s="1"/>
      <c r="Q3454" s="1"/>
      <c r="AD3454" s="1"/>
      <c r="AG3454" s="1"/>
      <c r="AI3454" s="1"/>
    </row>
    <row r="3455" spans="4:35" hidden="1">
      <c r="D3455" s="1"/>
      <c r="K3455" s="1"/>
      <c r="Q3455" s="1"/>
      <c r="AD3455" s="1"/>
      <c r="AG3455" s="1"/>
      <c r="AI3455" s="1"/>
    </row>
    <row r="3456" spans="4:35" hidden="1">
      <c r="D3456" s="1"/>
      <c r="K3456" s="1"/>
      <c r="Q3456" s="1"/>
      <c r="AD3456" s="1"/>
      <c r="AG3456" s="1"/>
      <c r="AI3456" s="1"/>
    </row>
    <row r="3457" spans="4:35" hidden="1">
      <c r="D3457" s="1"/>
      <c r="K3457" s="1"/>
      <c r="Q3457" s="1"/>
      <c r="AD3457" s="1"/>
      <c r="AG3457" s="1"/>
      <c r="AI3457" s="1"/>
    </row>
    <row r="3458" spans="4:35" hidden="1">
      <c r="D3458" s="1"/>
      <c r="K3458" s="1"/>
      <c r="Q3458" s="1"/>
      <c r="AD3458" s="1"/>
      <c r="AG3458" s="1"/>
      <c r="AI3458" s="1"/>
    </row>
    <row r="3459" spans="4:35" hidden="1">
      <c r="D3459" s="1"/>
      <c r="K3459" s="1"/>
      <c r="Q3459" s="1"/>
      <c r="AD3459" s="1"/>
      <c r="AG3459" s="1"/>
      <c r="AI3459" s="1"/>
    </row>
    <row r="3460" spans="4:35" hidden="1">
      <c r="D3460" s="1"/>
      <c r="K3460" s="1"/>
      <c r="Q3460" s="1"/>
      <c r="AD3460" s="1"/>
      <c r="AG3460" s="1"/>
      <c r="AI3460" s="1"/>
    </row>
    <row r="3461" spans="4:35" hidden="1">
      <c r="D3461" s="1"/>
      <c r="K3461" s="1"/>
      <c r="Q3461" s="1"/>
      <c r="AD3461" s="1"/>
      <c r="AG3461" s="1"/>
      <c r="AI3461" s="1"/>
    </row>
    <row r="3462" spans="4:35" hidden="1">
      <c r="D3462" s="1"/>
      <c r="K3462" s="1"/>
      <c r="Q3462" s="1"/>
      <c r="AD3462" s="1"/>
      <c r="AG3462" s="1"/>
      <c r="AI3462" s="1"/>
    </row>
    <row r="3463" spans="4:35" hidden="1">
      <c r="D3463" s="1"/>
      <c r="K3463" s="1"/>
      <c r="Q3463" s="1"/>
      <c r="AD3463" s="1"/>
      <c r="AG3463" s="1"/>
      <c r="AI3463" s="1"/>
    </row>
    <row r="3464" spans="4:35" hidden="1">
      <c r="D3464" s="1"/>
      <c r="K3464" s="1"/>
      <c r="Q3464" s="1"/>
      <c r="AD3464" s="1"/>
      <c r="AG3464" s="1"/>
      <c r="AI3464" s="1"/>
    </row>
    <row r="3465" spans="4:35" hidden="1">
      <c r="D3465" s="1"/>
      <c r="K3465" s="1"/>
      <c r="Q3465" s="1"/>
      <c r="AD3465" s="1"/>
      <c r="AG3465" s="1"/>
      <c r="AI3465" s="1"/>
    </row>
    <row r="3466" spans="4:35" hidden="1">
      <c r="D3466" s="1"/>
      <c r="K3466" s="1"/>
      <c r="Q3466" s="1"/>
      <c r="AD3466" s="1"/>
      <c r="AG3466" s="1"/>
      <c r="AI3466" s="1"/>
    </row>
    <row r="3467" spans="4:35" hidden="1">
      <c r="D3467" s="1"/>
      <c r="K3467" s="1"/>
      <c r="Q3467" s="1"/>
      <c r="AD3467" s="1"/>
      <c r="AG3467" s="1"/>
      <c r="AI3467" s="1"/>
    </row>
    <row r="3468" spans="4:35" hidden="1">
      <c r="D3468" s="1"/>
      <c r="K3468" s="1"/>
      <c r="Q3468" s="1"/>
      <c r="AD3468" s="1"/>
      <c r="AG3468" s="1"/>
      <c r="AI3468" s="1"/>
    </row>
    <row r="3469" spans="4:35" hidden="1">
      <c r="D3469" s="1"/>
      <c r="K3469" s="1"/>
      <c r="Q3469" s="1"/>
      <c r="AD3469" s="1"/>
      <c r="AG3469" s="1"/>
      <c r="AI3469" s="1"/>
    </row>
    <row r="3470" spans="4:35" hidden="1">
      <c r="D3470" s="1"/>
      <c r="K3470" s="1"/>
      <c r="Q3470" s="1"/>
      <c r="AD3470" s="1"/>
      <c r="AG3470" s="1"/>
      <c r="AI3470" s="1"/>
    </row>
    <row r="3471" spans="4:35" hidden="1">
      <c r="D3471" s="1"/>
      <c r="K3471" s="1"/>
      <c r="Q3471" s="1"/>
      <c r="AD3471" s="1"/>
      <c r="AG3471" s="1"/>
      <c r="AI3471" s="1"/>
    </row>
    <row r="3472" spans="4:35" hidden="1">
      <c r="D3472" s="1"/>
      <c r="K3472" s="1"/>
      <c r="Q3472" s="1"/>
      <c r="AD3472" s="1"/>
      <c r="AG3472" s="1"/>
      <c r="AI3472" s="1"/>
    </row>
    <row r="3473" spans="4:35" hidden="1">
      <c r="D3473" s="1"/>
      <c r="K3473" s="1"/>
      <c r="Q3473" s="1"/>
      <c r="AD3473" s="1"/>
      <c r="AG3473" s="1"/>
      <c r="AI3473" s="1"/>
    </row>
    <row r="3474" spans="4:35" hidden="1">
      <c r="D3474" s="1"/>
      <c r="K3474" s="1"/>
      <c r="Q3474" s="1"/>
      <c r="AD3474" s="1"/>
      <c r="AG3474" s="1"/>
      <c r="AI3474" s="1"/>
    </row>
    <row r="3475" spans="4:35" hidden="1">
      <c r="D3475" s="1"/>
      <c r="K3475" s="1"/>
      <c r="Q3475" s="1"/>
      <c r="AD3475" s="1"/>
      <c r="AG3475" s="1"/>
      <c r="AI3475" s="1"/>
    </row>
    <row r="3476" spans="4:35" hidden="1">
      <c r="D3476" s="1"/>
      <c r="K3476" s="1"/>
      <c r="Q3476" s="1"/>
      <c r="AD3476" s="1"/>
      <c r="AG3476" s="1"/>
      <c r="AI3476" s="1"/>
    </row>
    <row r="3477" spans="4:35" hidden="1">
      <c r="D3477" s="1"/>
      <c r="K3477" s="1"/>
      <c r="Q3477" s="1"/>
      <c r="AD3477" s="1"/>
      <c r="AG3477" s="1"/>
      <c r="AI3477" s="1"/>
    </row>
    <row r="3478" spans="4:35" hidden="1">
      <c r="D3478" s="1"/>
      <c r="K3478" s="1"/>
      <c r="Q3478" s="1"/>
      <c r="AD3478" s="1"/>
      <c r="AG3478" s="1"/>
      <c r="AI3478" s="1"/>
    </row>
    <row r="3479" spans="4:35" hidden="1">
      <c r="D3479" s="1"/>
      <c r="K3479" s="1"/>
      <c r="Q3479" s="1"/>
      <c r="AD3479" s="1"/>
      <c r="AG3479" s="1"/>
      <c r="AI3479" s="1"/>
    </row>
    <row r="3480" spans="4:35" hidden="1">
      <c r="D3480" s="1"/>
      <c r="K3480" s="1"/>
      <c r="Q3480" s="1"/>
      <c r="AD3480" s="1"/>
      <c r="AG3480" s="1"/>
      <c r="AI3480" s="1"/>
    </row>
    <row r="3481" spans="4:35" hidden="1">
      <c r="D3481" s="1"/>
      <c r="K3481" s="1"/>
      <c r="Q3481" s="1"/>
      <c r="AD3481" s="1"/>
      <c r="AG3481" s="1"/>
      <c r="AI3481" s="1"/>
    </row>
    <row r="3482" spans="4:35" hidden="1">
      <c r="D3482" s="1"/>
      <c r="K3482" s="1"/>
      <c r="Q3482" s="1"/>
      <c r="AD3482" s="1"/>
      <c r="AG3482" s="1"/>
      <c r="AI3482" s="1"/>
    </row>
    <row r="3483" spans="4:35" hidden="1">
      <c r="D3483" s="1"/>
      <c r="K3483" s="1"/>
      <c r="Q3483" s="1"/>
      <c r="AD3483" s="1"/>
      <c r="AG3483" s="1"/>
      <c r="AI3483" s="1"/>
    </row>
    <row r="3484" spans="4:35" hidden="1">
      <c r="D3484" s="1"/>
      <c r="K3484" s="1"/>
      <c r="Q3484" s="1"/>
      <c r="AD3484" s="1"/>
      <c r="AG3484" s="1"/>
      <c r="AI3484" s="1"/>
    </row>
    <row r="3485" spans="4:35" hidden="1">
      <c r="D3485" s="1"/>
      <c r="K3485" s="1"/>
      <c r="Q3485" s="1"/>
      <c r="AD3485" s="1"/>
      <c r="AG3485" s="1"/>
      <c r="AI3485" s="1"/>
    </row>
    <row r="3486" spans="4:35" hidden="1">
      <c r="D3486" s="1"/>
      <c r="K3486" s="1"/>
      <c r="Q3486" s="1"/>
      <c r="AD3486" s="1"/>
      <c r="AG3486" s="1"/>
      <c r="AI3486" s="1"/>
    </row>
    <row r="3487" spans="4:35" hidden="1">
      <c r="D3487" s="1"/>
      <c r="K3487" s="1"/>
      <c r="Q3487" s="1"/>
      <c r="AD3487" s="1"/>
      <c r="AG3487" s="1"/>
      <c r="AI3487" s="1"/>
    </row>
    <row r="3488" spans="4:35" hidden="1">
      <c r="D3488" s="1"/>
      <c r="K3488" s="1"/>
      <c r="Q3488" s="1"/>
      <c r="AD3488" s="1"/>
      <c r="AG3488" s="1"/>
      <c r="AI3488" s="1"/>
    </row>
    <row r="3489" spans="4:35" hidden="1">
      <c r="D3489" s="1"/>
      <c r="K3489" s="1"/>
      <c r="Q3489" s="1"/>
      <c r="AD3489" s="1"/>
      <c r="AG3489" s="1"/>
      <c r="AI3489" s="1"/>
    </row>
    <row r="3490" spans="4:35" hidden="1">
      <c r="D3490" s="1"/>
      <c r="K3490" s="1"/>
      <c r="Q3490" s="1"/>
      <c r="AD3490" s="1"/>
      <c r="AG3490" s="1"/>
      <c r="AI3490" s="1"/>
    </row>
    <row r="3491" spans="4:35" hidden="1">
      <c r="D3491" s="1"/>
      <c r="K3491" s="1"/>
      <c r="Q3491" s="1"/>
      <c r="AD3491" s="1"/>
      <c r="AG3491" s="1"/>
      <c r="AI3491" s="1"/>
    </row>
    <row r="3492" spans="4:35" hidden="1">
      <c r="D3492" s="1"/>
      <c r="K3492" s="1"/>
      <c r="Q3492" s="1"/>
      <c r="AD3492" s="1"/>
      <c r="AG3492" s="1"/>
      <c r="AI3492" s="1"/>
    </row>
    <row r="3493" spans="4:35" hidden="1">
      <c r="D3493" s="1"/>
      <c r="K3493" s="1"/>
      <c r="Q3493" s="1"/>
      <c r="AD3493" s="1"/>
      <c r="AG3493" s="1"/>
      <c r="AI3493" s="1"/>
    </row>
    <row r="3494" spans="4:35" hidden="1">
      <c r="D3494" s="1"/>
      <c r="K3494" s="1"/>
      <c r="Q3494" s="1"/>
      <c r="AD3494" s="1"/>
      <c r="AG3494" s="1"/>
      <c r="AI3494" s="1"/>
    </row>
    <row r="3495" spans="4:35" hidden="1">
      <c r="D3495" s="1"/>
      <c r="K3495" s="1"/>
      <c r="Q3495" s="1"/>
      <c r="AD3495" s="1"/>
      <c r="AG3495" s="1"/>
      <c r="AI3495" s="1"/>
    </row>
    <row r="3496" spans="4:35" hidden="1">
      <c r="D3496" s="1"/>
      <c r="K3496" s="1"/>
      <c r="Q3496" s="1"/>
      <c r="AD3496" s="1"/>
      <c r="AG3496" s="1"/>
      <c r="AI3496" s="1"/>
    </row>
    <row r="3497" spans="4:35" hidden="1">
      <c r="D3497" s="1"/>
      <c r="K3497" s="1"/>
      <c r="Q3497" s="1"/>
      <c r="AD3497" s="1"/>
      <c r="AG3497" s="1"/>
      <c r="AI3497" s="1"/>
    </row>
    <row r="3498" spans="4:35" hidden="1">
      <c r="D3498" s="1"/>
      <c r="K3498" s="1"/>
      <c r="Q3498" s="1"/>
      <c r="AD3498" s="1"/>
      <c r="AG3498" s="1"/>
      <c r="AI3498" s="1"/>
    </row>
    <row r="3499" spans="4:35" hidden="1">
      <c r="D3499" s="1"/>
      <c r="K3499" s="1"/>
      <c r="Q3499" s="1"/>
      <c r="AD3499" s="1"/>
      <c r="AG3499" s="1"/>
      <c r="AI3499" s="1"/>
    </row>
    <row r="3500" spans="4:35" hidden="1">
      <c r="D3500" s="1"/>
      <c r="K3500" s="1"/>
      <c r="Q3500" s="1"/>
      <c r="AD3500" s="1"/>
      <c r="AG3500" s="1"/>
      <c r="AI3500" s="1"/>
    </row>
    <row r="3501" spans="4:35" hidden="1">
      <c r="D3501" s="1"/>
      <c r="K3501" s="1"/>
      <c r="Q3501" s="1"/>
      <c r="AD3501" s="1"/>
      <c r="AG3501" s="1"/>
      <c r="AI3501" s="1"/>
    </row>
    <row r="3502" spans="4:35" hidden="1">
      <c r="D3502" s="1"/>
      <c r="K3502" s="1"/>
      <c r="Q3502" s="1"/>
      <c r="AD3502" s="1"/>
      <c r="AG3502" s="1"/>
      <c r="AI3502" s="1"/>
    </row>
    <row r="3503" spans="4:35" hidden="1">
      <c r="D3503" s="1"/>
      <c r="K3503" s="1"/>
      <c r="Q3503" s="1"/>
      <c r="AD3503" s="1"/>
      <c r="AG3503" s="1"/>
      <c r="AI3503" s="1"/>
    </row>
    <row r="3504" spans="4:35" hidden="1">
      <c r="D3504" s="1"/>
      <c r="K3504" s="1"/>
      <c r="Q3504" s="1"/>
      <c r="AD3504" s="1"/>
      <c r="AG3504" s="1"/>
      <c r="AI3504" s="1"/>
    </row>
    <row r="3505" spans="4:35" hidden="1">
      <c r="D3505" s="1"/>
      <c r="K3505" s="1"/>
      <c r="Q3505" s="1"/>
      <c r="AD3505" s="1"/>
      <c r="AG3505" s="1"/>
      <c r="AI3505" s="1"/>
    </row>
    <row r="3506" spans="4:35" hidden="1">
      <c r="D3506" s="1"/>
      <c r="K3506" s="1"/>
      <c r="Q3506" s="1"/>
      <c r="AD3506" s="1"/>
      <c r="AG3506" s="1"/>
      <c r="AI3506" s="1"/>
    </row>
    <row r="3507" spans="4:35" hidden="1">
      <c r="D3507" s="1"/>
      <c r="K3507" s="1"/>
      <c r="Q3507" s="1"/>
      <c r="AD3507" s="1"/>
      <c r="AG3507" s="1"/>
      <c r="AI3507" s="1"/>
    </row>
    <row r="3508" spans="4:35" hidden="1">
      <c r="D3508" s="1"/>
      <c r="K3508" s="1"/>
      <c r="Q3508" s="1"/>
      <c r="AD3508" s="1"/>
      <c r="AG3508" s="1"/>
      <c r="AI3508" s="1"/>
    </row>
    <row r="3509" spans="4:35" hidden="1">
      <c r="D3509" s="1"/>
      <c r="K3509" s="1"/>
      <c r="Q3509" s="1"/>
      <c r="AD3509" s="1"/>
      <c r="AG3509" s="1"/>
      <c r="AI3509" s="1"/>
    </row>
    <row r="3510" spans="4:35" hidden="1">
      <c r="D3510" s="1"/>
      <c r="K3510" s="1"/>
      <c r="Q3510" s="1"/>
      <c r="AD3510" s="1"/>
      <c r="AG3510" s="1"/>
      <c r="AI3510" s="1"/>
    </row>
    <row r="3511" spans="4:35" hidden="1">
      <c r="D3511" s="1"/>
      <c r="K3511" s="1"/>
      <c r="Q3511" s="1"/>
      <c r="AD3511" s="1"/>
      <c r="AG3511" s="1"/>
      <c r="AI3511" s="1"/>
    </row>
    <row r="3512" spans="4:35" hidden="1">
      <c r="D3512" s="1"/>
      <c r="K3512" s="1"/>
      <c r="Q3512" s="1"/>
      <c r="AD3512" s="1"/>
      <c r="AG3512" s="1"/>
      <c r="AI3512" s="1"/>
    </row>
    <row r="3513" spans="4:35" hidden="1">
      <c r="D3513" s="1"/>
      <c r="K3513" s="1"/>
      <c r="Q3513" s="1"/>
      <c r="AD3513" s="1"/>
      <c r="AG3513" s="1"/>
      <c r="AI3513" s="1"/>
    </row>
    <row r="3514" spans="4:35" hidden="1">
      <c r="D3514" s="1"/>
      <c r="K3514" s="1"/>
      <c r="Q3514" s="1"/>
      <c r="AD3514" s="1"/>
      <c r="AG3514" s="1"/>
      <c r="AI3514" s="1"/>
    </row>
    <row r="3515" spans="4:35" hidden="1">
      <c r="D3515" s="1"/>
      <c r="K3515" s="1"/>
      <c r="Q3515" s="1"/>
      <c r="AD3515" s="1"/>
      <c r="AG3515" s="1"/>
      <c r="AI3515" s="1"/>
    </row>
    <row r="3516" spans="4:35" hidden="1">
      <c r="D3516" s="1"/>
      <c r="K3516" s="1"/>
      <c r="Q3516" s="1"/>
      <c r="AD3516" s="1"/>
      <c r="AG3516" s="1"/>
      <c r="AI3516" s="1"/>
    </row>
    <row r="3517" spans="4:35" hidden="1">
      <c r="D3517" s="1"/>
      <c r="K3517" s="1"/>
      <c r="Q3517" s="1"/>
      <c r="AD3517" s="1"/>
      <c r="AG3517" s="1"/>
      <c r="AI3517" s="1"/>
    </row>
    <row r="3518" spans="4:35" hidden="1">
      <c r="D3518" s="1"/>
      <c r="K3518" s="1"/>
      <c r="Q3518" s="1"/>
      <c r="AD3518" s="1"/>
      <c r="AG3518" s="1"/>
      <c r="AI3518" s="1"/>
    </row>
    <row r="3519" spans="4:35" hidden="1">
      <c r="D3519" s="1"/>
      <c r="K3519" s="1"/>
      <c r="Q3519" s="1"/>
      <c r="AD3519" s="1"/>
      <c r="AG3519" s="1"/>
      <c r="AI3519" s="1"/>
    </row>
    <row r="3520" spans="4:35" hidden="1">
      <c r="D3520" s="1"/>
      <c r="K3520" s="1"/>
      <c r="Q3520" s="1"/>
      <c r="AD3520" s="1"/>
      <c r="AG3520" s="1"/>
      <c r="AI3520" s="1"/>
    </row>
    <row r="3521" spans="4:35" hidden="1">
      <c r="D3521" s="1"/>
      <c r="K3521" s="1"/>
      <c r="Q3521" s="1"/>
      <c r="AD3521" s="1"/>
      <c r="AG3521" s="1"/>
      <c r="AI3521" s="1"/>
    </row>
    <row r="3522" spans="4:35" hidden="1">
      <c r="D3522" s="1"/>
      <c r="K3522" s="1"/>
      <c r="Q3522" s="1"/>
      <c r="AD3522" s="1"/>
      <c r="AG3522" s="1"/>
      <c r="AI3522" s="1"/>
    </row>
    <row r="3523" spans="4:35" hidden="1">
      <c r="D3523" s="1"/>
      <c r="K3523" s="1"/>
      <c r="Q3523" s="1"/>
      <c r="AD3523" s="1"/>
      <c r="AG3523" s="1"/>
      <c r="AI3523" s="1"/>
    </row>
    <row r="3524" spans="4:35" hidden="1">
      <c r="D3524" s="1"/>
      <c r="K3524" s="1"/>
      <c r="Q3524" s="1"/>
      <c r="AD3524" s="1"/>
      <c r="AG3524" s="1"/>
      <c r="AI3524" s="1"/>
    </row>
    <row r="3525" spans="4:35" hidden="1">
      <c r="D3525" s="1"/>
      <c r="K3525" s="1"/>
      <c r="Q3525" s="1"/>
      <c r="AD3525" s="1"/>
      <c r="AG3525" s="1"/>
      <c r="AI3525" s="1"/>
    </row>
    <row r="3526" spans="4:35" hidden="1">
      <c r="D3526" s="1"/>
      <c r="K3526" s="1"/>
      <c r="Q3526" s="1"/>
      <c r="AD3526" s="1"/>
      <c r="AG3526" s="1"/>
      <c r="AI3526" s="1"/>
    </row>
    <row r="3527" spans="4:35" hidden="1">
      <c r="D3527" s="1"/>
      <c r="K3527" s="1"/>
      <c r="Q3527" s="1"/>
      <c r="AD3527" s="1"/>
      <c r="AG3527" s="1"/>
      <c r="AI3527" s="1"/>
    </row>
    <row r="3528" spans="4:35" hidden="1">
      <c r="D3528" s="1"/>
      <c r="K3528" s="1"/>
      <c r="Q3528" s="1"/>
      <c r="AD3528" s="1"/>
      <c r="AG3528" s="1"/>
      <c r="AI3528" s="1"/>
    </row>
    <row r="3529" spans="4:35" hidden="1">
      <c r="D3529" s="1"/>
      <c r="K3529" s="1"/>
      <c r="Q3529" s="1"/>
      <c r="AD3529" s="1"/>
      <c r="AG3529" s="1"/>
      <c r="AI3529" s="1"/>
    </row>
    <row r="3530" spans="4:35" hidden="1">
      <c r="D3530" s="1"/>
      <c r="K3530" s="1"/>
      <c r="Q3530" s="1"/>
      <c r="AD3530" s="1"/>
      <c r="AG3530" s="1"/>
      <c r="AI3530" s="1"/>
    </row>
    <row r="3531" spans="4:35" hidden="1">
      <c r="D3531" s="1"/>
      <c r="K3531" s="1"/>
      <c r="Q3531" s="1"/>
      <c r="AD3531" s="1"/>
      <c r="AG3531" s="1"/>
      <c r="AI3531" s="1"/>
    </row>
    <row r="3532" spans="4:35" hidden="1">
      <c r="D3532" s="1"/>
      <c r="K3532" s="1"/>
      <c r="Q3532" s="1"/>
      <c r="AD3532" s="1"/>
      <c r="AG3532" s="1"/>
      <c r="AI3532" s="1"/>
    </row>
    <row r="3533" spans="4:35" hidden="1">
      <c r="D3533" s="1"/>
      <c r="K3533" s="1"/>
      <c r="Q3533" s="1"/>
      <c r="AD3533" s="1"/>
      <c r="AG3533" s="1"/>
      <c r="AI3533" s="1"/>
    </row>
    <row r="3534" spans="4:35" hidden="1">
      <c r="D3534" s="1"/>
      <c r="K3534" s="1"/>
      <c r="Q3534" s="1"/>
      <c r="AD3534" s="1"/>
      <c r="AG3534" s="1"/>
      <c r="AI3534" s="1"/>
    </row>
    <row r="3535" spans="4:35" hidden="1">
      <c r="D3535" s="1"/>
      <c r="K3535" s="1"/>
      <c r="Q3535" s="1"/>
      <c r="AD3535" s="1"/>
      <c r="AG3535" s="1"/>
      <c r="AI3535" s="1"/>
    </row>
    <row r="3536" spans="4:35" hidden="1">
      <c r="D3536" s="1"/>
      <c r="K3536" s="1"/>
      <c r="Q3536" s="1"/>
      <c r="AD3536" s="1"/>
      <c r="AG3536" s="1"/>
      <c r="AI3536" s="1"/>
    </row>
    <row r="3537" spans="4:35" hidden="1">
      <c r="D3537" s="1"/>
      <c r="K3537" s="1"/>
      <c r="Q3537" s="1"/>
      <c r="AD3537" s="1"/>
      <c r="AG3537" s="1"/>
      <c r="AI3537" s="1"/>
    </row>
    <row r="3538" spans="4:35" hidden="1">
      <c r="D3538" s="1"/>
      <c r="K3538" s="1"/>
      <c r="Q3538" s="1"/>
      <c r="AD3538" s="1"/>
      <c r="AG3538" s="1"/>
      <c r="AI3538" s="1"/>
    </row>
    <row r="3539" spans="4:35" hidden="1">
      <c r="D3539" s="1"/>
      <c r="K3539" s="1"/>
      <c r="Q3539" s="1"/>
      <c r="AD3539" s="1"/>
      <c r="AG3539" s="1"/>
      <c r="AI3539" s="1"/>
    </row>
    <row r="3540" spans="4:35" hidden="1">
      <c r="D3540" s="1"/>
      <c r="K3540" s="1"/>
      <c r="Q3540" s="1"/>
      <c r="AD3540" s="1"/>
      <c r="AG3540" s="1"/>
      <c r="AI3540" s="1"/>
    </row>
    <row r="3541" spans="4:35" hidden="1">
      <c r="D3541" s="1"/>
      <c r="K3541" s="1"/>
      <c r="Q3541" s="1"/>
      <c r="AD3541" s="1"/>
      <c r="AG3541" s="1"/>
      <c r="AI3541" s="1"/>
    </row>
    <row r="3542" spans="4:35" hidden="1">
      <c r="D3542" s="1"/>
      <c r="K3542" s="1"/>
      <c r="Q3542" s="1"/>
      <c r="AD3542" s="1"/>
      <c r="AG3542" s="1"/>
      <c r="AI3542" s="1"/>
    </row>
    <row r="3543" spans="4:35" hidden="1">
      <c r="D3543" s="1"/>
      <c r="K3543" s="1"/>
      <c r="Q3543" s="1"/>
      <c r="AD3543" s="1"/>
      <c r="AG3543" s="1"/>
      <c r="AI3543" s="1"/>
    </row>
    <row r="3544" spans="4:35" hidden="1">
      <c r="D3544" s="1"/>
      <c r="K3544" s="1"/>
      <c r="Q3544" s="1"/>
      <c r="AD3544" s="1"/>
      <c r="AG3544" s="1"/>
      <c r="AI3544" s="1"/>
    </row>
    <row r="3545" spans="4:35" hidden="1">
      <c r="D3545" s="1"/>
      <c r="K3545" s="1"/>
      <c r="Q3545" s="1"/>
      <c r="AD3545" s="1"/>
      <c r="AG3545" s="1"/>
      <c r="AI3545" s="1"/>
    </row>
    <row r="3546" spans="4:35" hidden="1">
      <c r="D3546" s="1"/>
      <c r="K3546" s="1"/>
      <c r="Q3546" s="1"/>
      <c r="AD3546" s="1"/>
      <c r="AG3546" s="1"/>
      <c r="AI3546" s="1"/>
    </row>
    <row r="3547" spans="4:35" hidden="1">
      <c r="D3547" s="1"/>
      <c r="K3547" s="1"/>
      <c r="Q3547" s="1"/>
      <c r="AD3547" s="1"/>
      <c r="AG3547" s="1"/>
      <c r="AI3547" s="1"/>
    </row>
    <row r="3548" spans="4:35" hidden="1">
      <c r="D3548" s="1"/>
      <c r="K3548" s="1"/>
      <c r="Q3548" s="1"/>
      <c r="AD3548" s="1"/>
      <c r="AG3548" s="1"/>
      <c r="AI3548" s="1"/>
    </row>
    <row r="3549" spans="4:35" hidden="1">
      <c r="D3549" s="1"/>
      <c r="K3549" s="1"/>
      <c r="Q3549" s="1"/>
      <c r="AD3549" s="1"/>
      <c r="AG3549" s="1"/>
      <c r="AI3549" s="1"/>
    </row>
    <row r="3550" spans="4:35" hidden="1">
      <c r="D3550" s="1"/>
      <c r="K3550" s="1"/>
      <c r="Q3550" s="1"/>
      <c r="AD3550" s="1"/>
      <c r="AG3550" s="1"/>
      <c r="AI3550" s="1"/>
    </row>
    <row r="3551" spans="4:35" hidden="1">
      <c r="D3551" s="1"/>
      <c r="K3551" s="1"/>
      <c r="Q3551" s="1"/>
      <c r="AD3551" s="1"/>
      <c r="AG3551" s="1"/>
      <c r="AI3551" s="1"/>
    </row>
    <row r="3552" spans="4:35" hidden="1">
      <c r="D3552" s="1"/>
      <c r="K3552" s="1"/>
      <c r="Q3552" s="1"/>
      <c r="AD3552" s="1"/>
      <c r="AG3552" s="1"/>
      <c r="AI3552" s="1"/>
    </row>
    <row r="3553" spans="4:35" hidden="1">
      <c r="D3553" s="1"/>
      <c r="K3553" s="1"/>
      <c r="Q3553" s="1"/>
      <c r="AD3553" s="1"/>
      <c r="AG3553" s="1"/>
      <c r="AI3553" s="1"/>
    </row>
    <row r="3554" spans="4:35" hidden="1">
      <c r="D3554" s="1"/>
      <c r="K3554" s="1"/>
      <c r="Q3554" s="1"/>
      <c r="AD3554" s="1"/>
      <c r="AG3554" s="1"/>
      <c r="AI3554" s="1"/>
    </row>
    <row r="3555" spans="4:35" hidden="1">
      <c r="D3555" s="1"/>
      <c r="K3555" s="1"/>
      <c r="Q3555" s="1"/>
      <c r="AD3555" s="1"/>
      <c r="AG3555" s="1"/>
      <c r="AI3555" s="1"/>
    </row>
    <row r="3556" spans="4:35" hidden="1">
      <c r="D3556" s="1"/>
      <c r="K3556" s="1"/>
      <c r="Q3556" s="1"/>
      <c r="AD3556" s="1"/>
      <c r="AG3556" s="1"/>
      <c r="AI3556" s="1"/>
    </row>
    <row r="3557" spans="4:35" hidden="1">
      <c r="D3557" s="1"/>
      <c r="K3557" s="1"/>
      <c r="Q3557" s="1"/>
      <c r="AD3557" s="1"/>
      <c r="AG3557" s="1"/>
      <c r="AI3557" s="1"/>
    </row>
    <row r="3558" spans="4:35" hidden="1">
      <c r="D3558" s="1"/>
      <c r="K3558" s="1"/>
      <c r="Q3558" s="1"/>
      <c r="AD3558" s="1"/>
      <c r="AG3558" s="1"/>
      <c r="AI3558" s="1"/>
    </row>
    <row r="3559" spans="4:35" hidden="1">
      <c r="D3559" s="1"/>
      <c r="K3559" s="1"/>
      <c r="Q3559" s="1"/>
      <c r="AD3559" s="1"/>
      <c r="AG3559" s="1"/>
      <c r="AI3559" s="1"/>
    </row>
    <row r="3560" spans="4:35" hidden="1">
      <c r="D3560" s="1"/>
      <c r="K3560" s="1"/>
      <c r="Q3560" s="1"/>
      <c r="AD3560" s="1"/>
      <c r="AG3560" s="1"/>
      <c r="AI3560" s="1"/>
    </row>
    <row r="3561" spans="4:35" hidden="1">
      <c r="D3561" s="1"/>
      <c r="K3561" s="1"/>
      <c r="Q3561" s="1"/>
      <c r="AD3561" s="1"/>
      <c r="AG3561" s="1"/>
      <c r="AI3561" s="1"/>
    </row>
    <row r="3562" spans="4:35" hidden="1">
      <c r="D3562" s="1"/>
      <c r="K3562" s="1"/>
      <c r="Q3562" s="1"/>
      <c r="AD3562" s="1"/>
      <c r="AG3562" s="1"/>
      <c r="AI3562" s="1"/>
    </row>
    <row r="3563" spans="4:35" hidden="1">
      <c r="D3563" s="1"/>
      <c r="K3563" s="1"/>
      <c r="Q3563" s="1"/>
      <c r="AD3563" s="1"/>
      <c r="AG3563" s="1"/>
      <c r="AI3563" s="1"/>
    </row>
    <row r="3564" spans="4:35" hidden="1">
      <c r="D3564" s="1"/>
      <c r="K3564" s="1"/>
      <c r="Q3564" s="1"/>
      <c r="AD3564" s="1"/>
      <c r="AG3564" s="1"/>
      <c r="AI3564" s="1"/>
    </row>
    <row r="3565" spans="4:35" hidden="1">
      <c r="D3565" s="1"/>
      <c r="K3565" s="1"/>
      <c r="Q3565" s="1"/>
      <c r="AD3565" s="1"/>
      <c r="AG3565" s="1"/>
      <c r="AI3565" s="1"/>
    </row>
    <row r="3566" spans="4:35" hidden="1">
      <c r="D3566" s="1"/>
      <c r="K3566" s="1"/>
      <c r="Q3566" s="1"/>
      <c r="AD3566" s="1"/>
      <c r="AG3566" s="1"/>
      <c r="AI3566" s="1"/>
    </row>
    <row r="3567" spans="4:35" hidden="1">
      <c r="D3567" s="1"/>
      <c r="K3567" s="1"/>
      <c r="Q3567" s="1"/>
      <c r="AD3567" s="1"/>
      <c r="AG3567" s="1"/>
      <c r="AI3567" s="1"/>
    </row>
    <row r="3568" spans="4:35" hidden="1">
      <c r="D3568" s="1"/>
      <c r="K3568" s="1"/>
      <c r="Q3568" s="1"/>
      <c r="AD3568" s="1"/>
      <c r="AG3568" s="1"/>
      <c r="AI3568" s="1"/>
    </row>
    <row r="3569" spans="4:35" hidden="1">
      <c r="D3569" s="1"/>
      <c r="K3569" s="1"/>
      <c r="Q3569" s="1"/>
      <c r="AD3569" s="1"/>
      <c r="AG3569" s="1"/>
      <c r="AI3569" s="1"/>
    </row>
    <row r="3570" spans="4:35" hidden="1">
      <c r="D3570" s="1"/>
      <c r="K3570" s="1"/>
      <c r="Q3570" s="1"/>
      <c r="AD3570" s="1"/>
      <c r="AG3570" s="1"/>
      <c r="AI3570" s="1"/>
    </row>
    <row r="3571" spans="4:35" hidden="1">
      <c r="D3571" s="1"/>
      <c r="K3571" s="1"/>
      <c r="Q3571" s="1"/>
      <c r="AD3571" s="1"/>
      <c r="AG3571" s="1"/>
      <c r="AI3571" s="1"/>
    </row>
    <row r="3572" spans="4:35" hidden="1">
      <c r="D3572" s="1"/>
      <c r="K3572" s="1"/>
      <c r="Q3572" s="1"/>
      <c r="AD3572" s="1"/>
      <c r="AG3572" s="1"/>
      <c r="AI3572" s="1"/>
    </row>
    <row r="3573" spans="4:35" hidden="1">
      <c r="D3573" s="1"/>
      <c r="K3573" s="1"/>
      <c r="Q3573" s="1"/>
      <c r="AD3573" s="1"/>
      <c r="AG3573" s="1"/>
      <c r="AI3573" s="1"/>
    </row>
    <row r="3574" spans="4:35" hidden="1">
      <c r="D3574" s="1"/>
      <c r="K3574" s="1"/>
      <c r="Q3574" s="1"/>
      <c r="AD3574" s="1"/>
      <c r="AG3574" s="1"/>
      <c r="AI3574" s="1"/>
    </row>
    <row r="3575" spans="4:35" hidden="1">
      <c r="D3575" s="1"/>
      <c r="K3575" s="1"/>
      <c r="Q3575" s="1"/>
      <c r="AD3575" s="1"/>
      <c r="AG3575" s="1"/>
      <c r="AI3575" s="1"/>
    </row>
    <row r="3576" spans="4:35" hidden="1">
      <c r="D3576" s="1"/>
      <c r="K3576" s="1"/>
      <c r="Q3576" s="1"/>
      <c r="AD3576" s="1"/>
      <c r="AG3576" s="1"/>
      <c r="AI3576" s="1"/>
    </row>
    <row r="3577" spans="4:35" hidden="1">
      <c r="D3577" s="1"/>
      <c r="K3577" s="1"/>
      <c r="Q3577" s="1"/>
      <c r="AD3577" s="1"/>
      <c r="AG3577" s="1"/>
      <c r="AI3577" s="1"/>
    </row>
    <row r="3578" spans="4:35" hidden="1">
      <c r="D3578" s="1"/>
      <c r="K3578" s="1"/>
      <c r="Q3578" s="1"/>
      <c r="AD3578" s="1"/>
      <c r="AG3578" s="1"/>
      <c r="AI3578" s="1"/>
    </row>
    <row r="3579" spans="4:35" hidden="1">
      <c r="D3579" s="1"/>
      <c r="K3579" s="1"/>
      <c r="Q3579" s="1"/>
      <c r="AD3579" s="1"/>
      <c r="AG3579" s="1"/>
      <c r="AI3579" s="1"/>
    </row>
    <row r="3580" spans="4:35" hidden="1">
      <c r="D3580" s="1"/>
      <c r="K3580" s="1"/>
      <c r="Q3580" s="1"/>
      <c r="AD3580" s="1"/>
      <c r="AG3580" s="1"/>
      <c r="AI3580" s="1"/>
    </row>
    <row r="3581" spans="4:35" hidden="1">
      <c r="D3581" s="1"/>
      <c r="K3581" s="1"/>
      <c r="Q3581" s="1"/>
      <c r="AD3581" s="1"/>
      <c r="AG3581" s="1"/>
      <c r="AI3581" s="1"/>
    </row>
    <row r="3582" spans="4:35" hidden="1">
      <c r="D3582" s="1"/>
      <c r="K3582" s="1"/>
      <c r="Q3582" s="1"/>
      <c r="AD3582" s="1"/>
      <c r="AG3582" s="1"/>
      <c r="AI3582" s="1"/>
    </row>
    <row r="3583" spans="4:35" hidden="1">
      <c r="D3583" s="1"/>
      <c r="K3583" s="1"/>
      <c r="Q3583" s="1"/>
      <c r="AD3583" s="1"/>
      <c r="AG3583" s="1"/>
      <c r="AI3583" s="1"/>
    </row>
    <row r="3584" spans="4:35" hidden="1">
      <c r="D3584" s="1"/>
      <c r="K3584" s="1"/>
      <c r="Q3584" s="1"/>
      <c r="AD3584" s="1"/>
      <c r="AG3584" s="1"/>
      <c r="AI3584" s="1"/>
    </row>
    <row r="3585" spans="4:35" hidden="1">
      <c r="D3585" s="1"/>
      <c r="K3585" s="1"/>
      <c r="Q3585" s="1"/>
      <c r="AD3585" s="1"/>
      <c r="AG3585" s="1"/>
      <c r="AI3585" s="1"/>
    </row>
    <row r="3586" spans="4:35" hidden="1">
      <c r="D3586" s="1"/>
      <c r="K3586" s="1"/>
      <c r="Q3586" s="1"/>
      <c r="AD3586" s="1"/>
      <c r="AG3586" s="1"/>
      <c r="AI3586" s="1"/>
    </row>
    <row r="3587" spans="4:35" hidden="1">
      <c r="D3587" s="1"/>
      <c r="K3587" s="1"/>
      <c r="Q3587" s="1"/>
      <c r="AD3587" s="1"/>
      <c r="AG3587" s="1"/>
      <c r="AI3587" s="1"/>
    </row>
    <row r="3588" spans="4:35" hidden="1">
      <c r="D3588" s="1"/>
      <c r="K3588" s="1"/>
      <c r="Q3588" s="1"/>
      <c r="AD3588" s="1"/>
      <c r="AG3588" s="1"/>
      <c r="AI3588" s="1"/>
    </row>
    <row r="3589" spans="4:35" hidden="1">
      <c r="D3589" s="1"/>
      <c r="K3589" s="1"/>
      <c r="Q3589" s="1"/>
      <c r="AD3589" s="1"/>
      <c r="AG3589" s="1"/>
      <c r="AI3589" s="1"/>
    </row>
    <row r="3590" spans="4:35" hidden="1">
      <c r="D3590" s="1"/>
      <c r="K3590" s="1"/>
      <c r="Q3590" s="1"/>
      <c r="AD3590" s="1"/>
      <c r="AG3590" s="1"/>
      <c r="AI3590" s="1"/>
    </row>
    <row r="3591" spans="4:35" hidden="1">
      <c r="D3591" s="1"/>
      <c r="K3591" s="1"/>
      <c r="Q3591" s="1"/>
      <c r="AD3591" s="1"/>
      <c r="AG3591" s="1"/>
      <c r="AI3591" s="1"/>
    </row>
    <row r="3592" spans="4:35" hidden="1">
      <c r="D3592" s="1"/>
      <c r="K3592" s="1"/>
      <c r="Q3592" s="1"/>
      <c r="AD3592" s="1"/>
      <c r="AG3592" s="1"/>
      <c r="AI3592" s="1"/>
    </row>
    <row r="3593" spans="4:35" hidden="1">
      <c r="D3593" s="1"/>
      <c r="K3593" s="1"/>
      <c r="Q3593" s="1"/>
      <c r="AD3593" s="1"/>
      <c r="AG3593" s="1"/>
      <c r="AI3593" s="1"/>
    </row>
    <row r="3594" spans="4:35" hidden="1">
      <c r="D3594" s="1"/>
      <c r="K3594" s="1"/>
      <c r="Q3594" s="1"/>
      <c r="AD3594" s="1"/>
      <c r="AG3594" s="1"/>
      <c r="AI3594" s="1"/>
    </row>
    <row r="3595" spans="4:35" hidden="1">
      <c r="D3595" s="1"/>
      <c r="K3595" s="1"/>
      <c r="Q3595" s="1"/>
      <c r="AD3595" s="1"/>
      <c r="AG3595" s="1"/>
      <c r="AI3595" s="1"/>
    </row>
    <row r="3596" spans="4:35" hidden="1">
      <c r="D3596" s="1"/>
      <c r="K3596" s="1"/>
      <c r="Q3596" s="1"/>
      <c r="AD3596" s="1"/>
      <c r="AG3596" s="1"/>
      <c r="AI3596" s="1"/>
    </row>
    <row r="3597" spans="4:35" hidden="1">
      <c r="D3597" s="1"/>
      <c r="K3597" s="1"/>
      <c r="Q3597" s="1"/>
      <c r="AD3597" s="1"/>
      <c r="AG3597" s="1"/>
      <c r="AI3597" s="1"/>
    </row>
    <row r="3598" spans="4:35" hidden="1">
      <c r="D3598" s="1"/>
      <c r="K3598" s="1"/>
      <c r="Q3598" s="1"/>
      <c r="AD3598" s="1"/>
      <c r="AG3598" s="1"/>
      <c r="AI3598" s="1"/>
    </row>
    <row r="3599" spans="4:35" hidden="1">
      <c r="D3599" s="1"/>
      <c r="K3599" s="1"/>
      <c r="Q3599" s="1"/>
      <c r="AD3599" s="1"/>
      <c r="AG3599" s="1"/>
      <c r="AI3599" s="1"/>
    </row>
    <row r="3600" spans="4:35" hidden="1">
      <c r="D3600" s="1"/>
      <c r="K3600" s="1"/>
      <c r="Q3600" s="1"/>
      <c r="AD3600" s="1"/>
      <c r="AG3600" s="1"/>
      <c r="AI3600" s="1"/>
    </row>
    <row r="3601" spans="4:35" hidden="1">
      <c r="D3601" s="1"/>
      <c r="K3601" s="1"/>
      <c r="Q3601" s="1"/>
      <c r="AD3601" s="1"/>
      <c r="AG3601" s="1"/>
      <c r="AI3601" s="1"/>
    </row>
    <row r="3602" spans="4:35" hidden="1">
      <c r="D3602" s="1"/>
      <c r="K3602" s="1"/>
      <c r="Q3602" s="1"/>
      <c r="AD3602" s="1"/>
      <c r="AG3602" s="1"/>
      <c r="AI3602" s="1"/>
    </row>
    <row r="3603" spans="4:35" hidden="1">
      <c r="D3603" s="1"/>
      <c r="K3603" s="1"/>
      <c r="Q3603" s="1"/>
      <c r="AD3603" s="1"/>
      <c r="AG3603" s="1"/>
      <c r="AI3603" s="1"/>
    </row>
    <row r="3604" spans="4:35" hidden="1">
      <c r="D3604" s="1"/>
      <c r="K3604" s="1"/>
      <c r="Q3604" s="1"/>
      <c r="AD3604" s="1"/>
      <c r="AG3604" s="1"/>
      <c r="AI3604" s="1"/>
    </row>
    <row r="3605" spans="4:35" hidden="1">
      <c r="D3605" s="1"/>
      <c r="K3605" s="1"/>
      <c r="Q3605" s="1"/>
      <c r="AD3605" s="1"/>
      <c r="AG3605" s="1"/>
      <c r="AI3605" s="1"/>
    </row>
    <row r="3606" spans="4:35" hidden="1">
      <c r="D3606" s="1"/>
      <c r="K3606" s="1"/>
      <c r="Q3606" s="1"/>
      <c r="AD3606" s="1"/>
      <c r="AG3606" s="1"/>
      <c r="AI3606" s="1"/>
    </row>
    <row r="3607" spans="4:35" hidden="1">
      <c r="D3607" s="1"/>
      <c r="K3607" s="1"/>
      <c r="Q3607" s="1"/>
      <c r="AD3607" s="1"/>
      <c r="AG3607" s="1"/>
      <c r="AI3607" s="1"/>
    </row>
    <row r="3608" spans="4:35" hidden="1">
      <c r="D3608" s="1"/>
      <c r="K3608" s="1"/>
      <c r="Q3608" s="1"/>
      <c r="AD3608" s="1"/>
      <c r="AG3608" s="1"/>
      <c r="AI3608" s="1"/>
    </row>
    <row r="3609" spans="4:35" hidden="1">
      <c r="D3609" s="1"/>
      <c r="K3609" s="1"/>
      <c r="Q3609" s="1"/>
      <c r="AD3609" s="1"/>
      <c r="AG3609" s="1"/>
      <c r="AI3609" s="1"/>
    </row>
    <row r="3610" spans="4:35" hidden="1">
      <c r="D3610" s="1"/>
      <c r="K3610" s="1"/>
      <c r="Q3610" s="1"/>
      <c r="AD3610" s="1"/>
      <c r="AG3610" s="1"/>
      <c r="AI3610" s="1"/>
    </row>
    <row r="3611" spans="4:35" hidden="1">
      <c r="D3611" s="1"/>
      <c r="K3611" s="1"/>
      <c r="Q3611" s="1"/>
      <c r="AD3611" s="1"/>
      <c r="AG3611" s="1"/>
      <c r="AI3611" s="1"/>
    </row>
    <row r="3612" spans="4:35" hidden="1">
      <c r="D3612" s="1"/>
      <c r="K3612" s="1"/>
      <c r="Q3612" s="1"/>
      <c r="AD3612" s="1"/>
      <c r="AG3612" s="1"/>
      <c r="AI3612" s="1"/>
    </row>
    <row r="3613" spans="4:35" hidden="1">
      <c r="D3613" s="1"/>
      <c r="K3613" s="1"/>
      <c r="Q3613" s="1"/>
      <c r="AD3613" s="1"/>
      <c r="AG3613" s="1"/>
      <c r="AI3613" s="1"/>
    </row>
    <row r="3614" spans="4:35" hidden="1">
      <c r="D3614" s="1"/>
      <c r="K3614" s="1"/>
      <c r="Q3614" s="1"/>
      <c r="AD3614" s="1"/>
      <c r="AG3614" s="1"/>
      <c r="AI3614" s="1"/>
    </row>
    <row r="3615" spans="4:35" hidden="1">
      <c r="D3615" s="1"/>
      <c r="K3615" s="1"/>
      <c r="Q3615" s="1"/>
      <c r="AD3615" s="1"/>
      <c r="AG3615" s="1"/>
      <c r="AI3615" s="1"/>
    </row>
    <row r="3616" spans="4:35" hidden="1">
      <c r="D3616" s="1"/>
      <c r="K3616" s="1"/>
      <c r="Q3616" s="1"/>
      <c r="AD3616" s="1"/>
      <c r="AG3616" s="1"/>
      <c r="AI3616" s="1"/>
    </row>
    <row r="3617" spans="4:35" hidden="1">
      <c r="D3617" s="1"/>
      <c r="K3617" s="1"/>
      <c r="Q3617" s="1"/>
      <c r="AD3617" s="1"/>
      <c r="AG3617" s="1"/>
      <c r="AI3617" s="1"/>
    </row>
    <row r="3618" spans="4:35" hidden="1">
      <c r="D3618" s="1"/>
      <c r="K3618" s="1"/>
      <c r="Q3618" s="1"/>
      <c r="AD3618" s="1"/>
      <c r="AG3618" s="1"/>
      <c r="AI3618" s="1"/>
    </row>
    <row r="3619" spans="4:35" hidden="1">
      <c r="D3619" s="1"/>
      <c r="K3619" s="1"/>
      <c r="Q3619" s="1"/>
      <c r="AD3619" s="1"/>
      <c r="AG3619" s="1"/>
      <c r="AI3619" s="1"/>
    </row>
    <row r="3620" spans="4:35" hidden="1">
      <c r="D3620" s="1"/>
      <c r="K3620" s="1"/>
      <c r="Q3620" s="1"/>
      <c r="AD3620" s="1"/>
      <c r="AG3620" s="1"/>
      <c r="AI3620" s="1"/>
    </row>
    <row r="3621" spans="4:35" hidden="1">
      <c r="D3621" s="1"/>
      <c r="K3621" s="1"/>
      <c r="Q3621" s="1"/>
      <c r="AD3621" s="1"/>
      <c r="AG3621" s="1"/>
      <c r="AI3621" s="1"/>
    </row>
    <row r="3622" spans="4:35" hidden="1">
      <c r="D3622" s="1"/>
      <c r="K3622" s="1"/>
      <c r="Q3622" s="1"/>
      <c r="AD3622" s="1"/>
      <c r="AG3622" s="1"/>
      <c r="AI3622" s="1"/>
    </row>
    <row r="3623" spans="4:35" hidden="1">
      <c r="D3623" s="1"/>
      <c r="K3623" s="1"/>
      <c r="Q3623" s="1"/>
      <c r="AD3623" s="1"/>
      <c r="AG3623" s="1"/>
      <c r="AI3623" s="1"/>
    </row>
    <row r="3624" spans="4:35" hidden="1">
      <c r="D3624" s="1"/>
      <c r="K3624" s="1"/>
      <c r="Q3624" s="1"/>
      <c r="AD3624" s="1"/>
      <c r="AG3624" s="1"/>
      <c r="AI3624" s="1"/>
    </row>
    <row r="3625" spans="4:35" hidden="1">
      <c r="D3625" s="1"/>
      <c r="K3625" s="1"/>
      <c r="Q3625" s="1"/>
      <c r="AD3625" s="1"/>
      <c r="AG3625" s="1"/>
      <c r="AI3625" s="1"/>
    </row>
    <row r="3626" spans="4:35" hidden="1">
      <c r="D3626" s="1"/>
      <c r="K3626" s="1"/>
      <c r="Q3626" s="1"/>
      <c r="AD3626" s="1"/>
      <c r="AG3626" s="1"/>
      <c r="AI3626" s="1"/>
    </row>
    <row r="3627" spans="4:35" hidden="1">
      <c r="D3627" s="1"/>
      <c r="K3627" s="1"/>
      <c r="Q3627" s="1"/>
      <c r="AD3627" s="1"/>
      <c r="AG3627" s="1"/>
      <c r="AI3627" s="1"/>
    </row>
    <row r="3628" spans="4:35" hidden="1">
      <c r="D3628" s="1"/>
      <c r="K3628" s="1"/>
      <c r="Q3628" s="1"/>
      <c r="AD3628" s="1"/>
      <c r="AG3628" s="1"/>
      <c r="AI3628" s="1"/>
    </row>
    <row r="3629" spans="4:35" hidden="1">
      <c r="D3629" s="1"/>
      <c r="K3629" s="1"/>
      <c r="Q3629" s="1"/>
      <c r="AD3629" s="1"/>
      <c r="AG3629" s="1"/>
      <c r="AI3629" s="1"/>
    </row>
    <row r="3630" spans="4:35" hidden="1">
      <c r="D3630" s="1"/>
      <c r="K3630" s="1"/>
      <c r="Q3630" s="1"/>
      <c r="AD3630" s="1"/>
      <c r="AG3630" s="1"/>
      <c r="AI3630" s="1"/>
    </row>
    <row r="3631" spans="4:35" hidden="1">
      <c r="D3631" s="1"/>
      <c r="K3631" s="1"/>
      <c r="Q3631" s="1"/>
      <c r="AD3631" s="1"/>
      <c r="AG3631" s="1"/>
      <c r="AI3631" s="1"/>
    </row>
    <row r="3632" spans="4:35" hidden="1">
      <c r="D3632" s="1"/>
      <c r="K3632" s="1"/>
      <c r="Q3632" s="1"/>
      <c r="AD3632" s="1"/>
      <c r="AG3632" s="1"/>
      <c r="AI3632" s="1"/>
    </row>
    <row r="3633" spans="4:35" hidden="1">
      <c r="D3633" s="1"/>
      <c r="K3633" s="1"/>
      <c r="Q3633" s="1"/>
      <c r="AD3633" s="1"/>
      <c r="AG3633" s="1"/>
      <c r="AI3633" s="1"/>
    </row>
    <row r="3634" spans="4:35" hidden="1">
      <c r="D3634" s="1"/>
      <c r="K3634" s="1"/>
      <c r="Q3634" s="1"/>
      <c r="AD3634" s="1"/>
      <c r="AG3634" s="1"/>
      <c r="AI3634" s="1"/>
    </row>
    <row r="3635" spans="4:35" hidden="1">
      <c r="D3635" s="1"/>
      <c r="K3635" s="1"/>
      <c r="Q3635" s="1"/>
      <c r="AD3635" s="1"/>
      <c r="AG3635" s="1"/>
      <c r="AI3635" s="1"/>
    </row>
    <row r="3636" spans="4:35" hidden="1">
      <c r="D3636" s="1"/>
      <c r="K3636" s="1"/>
      <c r="Q3636" s="1"/>
      <c r="AD3636" s="1"/>
      <c r="AG3636" s="1"/>
      <c r="AI3636" s="1"/>
    </row>
    <row r="3637" spans="4:35" hidden="1">
      <c r="D3637" s="1"/>
      <c r="K3637" s="1"/>
      <c r="Q3637" s="1"/>
      <c r="AD3637" s="1"/>
      <c r="AG3637" s="1"/>
      <c r="AI3637" s="1"/>
    </row>
    <row r="3638" spans="4:35" hidden="1">
      <c r="D3638" s="1"/>
      <c r="K3638" s="1"/>
      <c r="Q3638" s="1"/>
      <c r="AD3638" s="1"/>
      <c r="AG3638" s="1"/>
      <c r="AI3638" s="1"/>
    </row>
    <row r="3639" spans="4:35" hidden="1">
      <c r="D3639" s="1"/>
      <c r="K3639" s="1"/>
      <c r="Q3639" s="1"/>
      <c r="AD3639" s="1"/>
      <c r="AG3639" s="1"/>
      <c r="AI3639" s="1"/>
    </row>
    <row r="3640" spans="4:35" hidden="1">
      <c r="D3640" s="1"/>
      <c r="K3640" s="1"/>
      <c r="Q3640" s="1"/>
      <c r="AD3640" s="1"/>
      <c r="AG3640" s="1"/>
      <c r="AI3640" s="1"/>
    </row>
    <row r="3641" spans="4:35" hidden="1">
      <c r="D3641" s="1"/>
      <c r="K3641" s="1"/>
      <c r="Q3641" s="1"/>
      <c r="AD3641" s="1"/>
      <c r="AG3641" s="1"/>
      <c r="AI3641" s="1"/>
    </row>
    <row r="3642" spans="4:35" hidden="1">
      <c r="D3642" s="1"/>
      <c r="K3642" s="1"/>
      <c r="Q3642" s="1"/>
      <c r="AD3642" s="1"/>
      <c r="AG3642" s="1"/>
      <c r="AI3642" s="1"/>
    </row>
    <row r="3643" spans="4:35" hidden="1">
      <c r="D3643" s="1"/>
      <c r="K3643" s="1"/>
      <c r="Q3643" s="1"/>
      <c r="AD3643" s="1"/>
      <c r="AG3643" s="1"/>
      <c r="AI3643" s="1"/>
    </row>
    <row r="3644" spans="4:35" hidden="1">
      <c r="D3644" s="1"/>
      <c r="K3644" s="1"/>
      <c r="Q3644" s="1"/>
      <c r="AD3644" s="1"/>
      <c r="AG3644" s="1"/>
      <c r="AI3644" s="1"/>
    </row>
    <row r="3645" spans="4:35" hidden="1">
      <c r="D3645" s="1"/>
      <c r="K3645" s="1"/>
      <c r="Q3645" s="1"/>
      <c r="AD3645" s="1"/>
      <c r="AG3645" s="1"/>
      <c r="AI3645" s="1"/>
    </row>
    <row r="3646" spans="4:35" hidden="1">
      <c r="D3646" s="1"/>
      <c r="K3646" s="1"/>
      <c r="Q3646" s="1"/>
      <c r="AD3646" s="1"/>
      <c r="AG3646" s="1"/>
      <c r="AI3646" s="1"/>
    </row>
    <row r="3647" spans="4:35" hidden="1">
      <c r="D3647" s="1"/>
      <c r="K3647" s="1"/>
      <c r="Q3647" s="1"/>
      <c r="AD3647" s="1"/>
      <c r="AG3647" s="1"/>
      <c r="AI3647" s="1"/>
    </row>
    <row r="3648" spans="4:35" hidden="1">
      <c r="D3648" s="1"/>
      <c r="K3648" s="1"/>
      <c r="Q3648" s="1"/>
      <c r="AD3648" s="1"/>
      <c r="AG3648" s="1"/>
      <c r="AI3648" s="1"/>
    </row>
    <row r="3649" spans="4:35" hidden="1">
      <c r="D3649" s="1"/>
      <c r="K3649" s="1"/>
      <c r="Q3649" s="1"/>
      <c r="AD3649" s="1"/>
      <c r="AG3649" s="1"/>
      <c r="AI3649" s="1"/>
    </row>
    <row r="3650" spans="4:35" hidden="1">
      <c r="D3650" s="1"/>
      <c r="K3650" s="1"/>
      <c r="Q3650" s="1"/>
      <c r="AD3650" s="1"/>
      <c r="AG3650" s="1"/>
      <c r="AI3650" s="1"/>
    </row>
    <row r="3651" spans="4:35" hidden="1">
      <c r="D3651" s="1"/>
      <c r="K3651" s="1"/>
      <c r="Q3651" s="1"/>
      <c r="AD3651" s="1"/>
      <c r="AG3651" s="1"/>
      <c r="AI3651" s="1"/>
    </row>
    <row r="3652" spans="4:35" hidden="1">
      <c r="D3652" s="1"/>
      <c r="K3652" s="1"/>
      <c r="Q3652" s="1"/>
      <c r="AD3652" s="1"/>
      <c r="AG3652" s="1"/>
      <c r="AI3652" s="1"/>
    </row>
    <row r="3653" spans="4:35" hidden="1">
      <c r="D3653" s="1"/>
      <c r="K3653" s="1"/>
      <c r="Q3653" s="1"/>
      <c r="AD3653" s="1"/>
      <c r="AG3653" s="1"/>
      <c r="AI3653" s="1"/>
    </row>
    <row r="3654" spans="4:35" hidden="1">
      <c r="D3654" s="1"/>
      <c r="K3654" s="1"/>
      <c r="Q3654" s="1"/>
      <c r="AD3654" s="1"/>
      <c r="AG3654" s="1"/>
      <c r="AI3654" s="1"/>
    </row>
    <row r="3655" spans="4:35" hidden="1">
      <c r="D3655" s="1"/>
      <c r="K3655" s="1"/>
      <c r="Q3655" s="1"/>
      <c r="AD3655" s="1"/>
      <c r="AG3655" s="1"/>
      <c r="AI3655" s="1"/>
    </row>
    <row r="3656" spans="4:35" hidden="1">
      <c r="D3656" s="1"/>
      <c r="K3656" s="1"/>
      <c r="Q3656" s="1"/>
      <c r="AD3656" s="1"/>
      <c r="AG3656" s="1"/>
      <c r="AI3656" s="1"/>
    </row>
    <row r="3657" spans="4:35" hidden="1">
      <c r="D3657" s="1"/>
      <c r="K3657" s="1"/>
      <c r="Q3657" s="1"/>
      <c r="AD3657" s="1"/>
      <c r="AG3657" s="1"/>
      <c r="AI3657" s="1"/>
    </row>
    <row r="3658" spans="4:35" hidden="1">
      <c r="D3658" s="1"/>
      <c r="K3658" s="1"/>
      <c r="Q3658" s="1"/>
      <c r="AD3658" s="1"/>
      <c r="AG3658" s="1"/>
      <c r="AI3658" s="1"/>
    </row>
    <row r="3659" spans="4:35" hidden="1">
      <c r="D3659" s="1"/>
      <c r="K3659" s="1"/>
      <c r="Q3659" s="1"/>
      <c r="AD3659" s="1"/>
      <c r="AG3659" s="1"/>
      <c r="AI3659" s="1"/>
    </row>
    <row r="3660" spans="4:35" hidden="1">
      <c r="D3660" s="1"/>
      <c r="K3660" s="1"/>
      <c r="Q3660" s="1"/>
      <c r="AD3660" s="1"/>
      <c r="AG3660" s="1"/>
      <c r="AI3660" s="1"/>
    </row>
    <row r="3661" spans="4:35" hidden="1">
      <c r="D3661" s="1"/>
      <c r="K3661" s="1"/>
      <c r="Q3661" s="1"/>
      <c r="AD3661" s="1"/>
      <c r="AG3661" s="1"/>
      <c r="AI3661" s="1"/>
    </row>
    <row r="3662" spans="4:35" hidden="1">
      <c r="D3662" s="1"/>
      <c r="K3662" s="1"/>
      <c r="Q3662" s="1"/>
      <c r="AD3662" s="1"/>
      <c r="AG3662" s="1"/>
      <c r="AI3662" s="1"/>
    </row>
    <row r="3663" spans="4:35" hidden="1">
      <c r="D3663" s="1"/>
      <c r="K3663" s="1"/>
      <c r="Q3663" s="1"/>
      <c r="AD3663" s="1"/>
      <c r="AG3663" s="1"/>
      <c r="AI3663" s="1"/>
    </row>
    <row r="3664" spans="4:35" hidden="1">
      <c r="D3664" s="1"/>
      <c r="K3664" s="1"/>
      <c r="Q3664" s="1"/>
      <c r="AD3664" s="1"/>
      <c r="AG3664" s="1"/>
      <c r="AI3664" s="1"/>
    </row>
    <row r="3665" spans="4:35" hidden="1">
      <c r="D3665" s="1"/>
      <c r="K3665" s="1"/>
      <c r="Q3665" s="1"/>
      <c r="AD3665" s="1"/>
      <c r="AG3665" s="1"/>
      <c r="AI3665" s="1"/>
    </row>
    <row r="3666" spans="4:35" hidden="1">
      <c r="D3666" s="1"/>
      <c r="K3666" s="1"/>
      <c r="Q3666" s="1"/>
      <c r="AD3666" s="1"/>
      <c r="AG3666" s="1"/>
      <c r="AI3666" s="1"/>
    </row>
    <row r="3667" spans="4:35" hidden="1">
      <c r="D3667" s="1"/>
      <c r="K3667" s="1"/>
      <c r="Q3667" s="1"/>
      <c r="AD3667" s="1"/>
      <c r="AG3667" s="1"/>
      <c r="AI3667" s="1"/>
    </row>
    <row r="3668" spans="4:35" hidden="1">
      <c r="D3668" s="1"/>
      <c r="K3668" s="1"/>
      <c r="Q3668" s="1"/>
      <c r="AD3668" s="1"/>
      <c r="AG3668" s="1"/>
      <c r="AI3668" s="1"/>
    </row>
    <row r="3669" spans="4:35" hidden="1">
      <c r="D3669" s="1"/>
      <c r="K3669" s="1"/>
      <c r="Q3669" s="1"/>
      <c r="AD3669" s="1"/>
      <c r="AG3669" s="1"/>
      <c r="AI3669" s="1"/>
    </row>
    <row r="3670" spans="4:35" hidden="1">
      <c r="D3670" s="1"/>
      <c r="K3670" s="1"/>
      <c r="Q3670" s="1"/>
      <c r="AD3670" s="1"/>
      <c r="AG3670" s="1"/>
      <c r="AI3670" s="1"/>
    </row>
    <row r="3671" spans="4:35" hidden="1">
      <c r="D3671" s="1"/>
      <c r="K3671" s="1"/>
      <c r="Q3671" s="1"/>
      <c r="AD3671" s="1"/>
      <c r="AG3671" s="1"/>
      <c r="AI3671" s="1"/>
    </row>
    <row r="3672" spans="4:35" hidden="1">
      <c r="D3672" s="1"/>
      <c r="K3672" s="1"/>
      <c r="Q3672" s="1"/>
      <c r="AD3672" s="1"/>
      <c r="AG3672" s="1"/>
      <c r="AI3672" s="1"/>
    </row>
    <row r="3673" spans="4:35" hidden="1">
      <c r="D3673" s="1"/>
      <c r="K3673" s="1"/>
      <c r="Q3673" s="1"/>
      <c r="AD3673" s="1"/>
      <c r="AG3673" s="1"/>
      <c r="AI3673" s="1"/>
    </row>
    <row r="3674" spans="4:35" hidden="1">
      <c r="D3674" s="1"/>
      <c r="K3674" s="1"/>
      <c r="Q3674" s="1"/>
      <c r="AD3674" s="1"/>
      <c r="AG3674" s="1"/>
      <c r="AI3674" s="1"/>
    </row>
    <row r="3675" spans="4:35" hidden="1">
      <c r="D3675" s="1"/>
      <c r="K3675" s="1"/>
      <c r="Q3675" s="1"/>
      <c r="AD3675" s="1"/>
      <c r="AG3675" s="1"/>
      <c r="AI3675" s="1"/>
    </row>
    <row r="3676" spans="4:35" hidden="1">
      <c r="D3676" s="1"/>
      <c r="K3676" s="1"/>
      <c r="Q3676" s="1"/>
      <c r="AD3676" s="1"/>
      <c r="AG3676" s="1"/>
      <c r="AI3676" s="1"/>
    </row>
    <row r="3677" spans="4:35" hidden="1">
      <c r="D3677" s="1"/>
      <c r="K3677" s="1"/>
      <c r="Q3677" s="1"/>
      <c r="AD3677" s="1"/>
      <c r="AG3677" s="1"/>
      <c r="AI3677" s="1"/>
    </row>
    <row r="3678" spans="4:35" hidden="1">
      <c r="D3678" s="1"/>
      <c r="K3678" s="1"/>
      <c r="Q3678" s="1"/>
      <c r="AD3678" s="1"/>
      <c r="AG3678" s="1"/>
      <c r="AI3678" s="1"/>
    </row>
    <row r="3679" spans="4:35" hidden="1">
      <c r="D3679" s="1"/>
      <c r="K3679" s="1"/>
      <c r="Q3679" s="1"/>
      <c r="AD3679" s="1"/>
      <c r="AG3679" s="1"/>
      <c r="AI3679" s="1"/>
    </row>
    <row r="3680" spans="4:35" hidden="1">
      <c r="D3680" s="1"/>
      <c r="K3680" s="1"/>
      <c r="Q3680" s="1"/>
      <c r="AD3680" s="1"/>
      <c r="AG3680" s="1"/>
      <c r="AI3680" s="1"/>
    </row>
    <row r="3681" spans="4:35" hidden="1">
      <c r="D3681" s="1"/>
      <c r="K3681" s="1"/>
      <c r="Q3681" s="1"/>
      <c r="AD3681" s="1"/>
      <c r="AG3681" s="1"/>
      <c r="AI3681" s="1"/>
    </row>
    <row r="3682" spans="4:35" hidden="1">
      <c r="D3682" s="1"/>
      <c r="K3682" s="1"/>
      <c r="Q3682" s="1"/>
      <c r="AD3682" s="1"/>
      <c r="AG3682" s="1"/>
      <c r="AI3682" s="1"/>
    </row>
    <row r="3683" spans="4:35" hidden="1">
      <c r="D3683" s="1"/>
      <c r="K3683" s="1"/>
      <c r="Q3683" s="1"/>
      <c r="AD3683" s="1"/>
      <c r="AG3683" s="1"/>
      <c r="AI3683" s="1"/>
    </row>
    <row r="3684" spans="4:35" hidden="1">
      <c r="D3684" s="1"/>
      <c r="K3684" s="1"/>
      <c r="Q3684" s="1"/>
      <c r="AD3684" s="1"/>
      <c r="AG3684" s="1"/>
      <c r="AI3684" s="1"/>
    </row>
    <row r="3685" spans="4:35" hidden="1">
      <c r="D3685" s="1"/>
      <c r="K3685" s="1"/>
      <c r="Q3685" s="1"/>
      <c r="AD3685" s="1"/>
      <c r="AG3685" s="1"/>
      <c r="AI3685" s="1"/>
    </row>
    <row r="3686" spans="4:35" hidden="1">
      <c r="D3686" s="1"/>
      <c r="K3686" s="1"/>
      <c r="Q3686" s="1"/>
      <c r="AD3686" s="1"/>
      <c r="AG3686" s="1"/>
      <c r="AI3686" s="1"/>
    </row>
    <row r="3687" spans="4:35" hidden="1">
      <c r="D3687" s="1"/>
      <c r="K3687" s="1"/>
      <c r="Q3687" s="1"/>
      <c r="AD3687" s="1"/>
      <c r="AG3687" s="1"/>
      <c r="AI3687" s="1"/>
    </row>
    <row r="3688" spans="4:35" hidden="1">
      <c r="D3688" s="1"/>
      <c r="K3688" s="1"/>
      <c r="Q3688" s="1"/>
      <c r="AD3688" s="1"/>
      <c r="AG3688" s="1"/>
      <c r="AI3688" s="1"/>
    </row>
    <row r="3689" spans="4:35" hidden="1">
      <c r="D3689" s="1"/>
      <c r="K3689" s="1"/>
      <c r="Q3689" s="1"/>
      <c r="AD3689" s="1"/>
      <c r="AG3689" s="1"/>
      <c r="AI3689" s="1"/>
    </row>
    <row r="3690" spans="4:35" hidden="1">
      <c r="D3690" s="1"/>
      <c r="K3690" s="1"/>
      <c r="Q3690" s="1"/>
      <c r="AD3690" s="1"/>
      <c r="AG3690" s="1"/>
      <c r="AI3690" s="1"/>
    </row>
    <row r="3691" spans="4:35" hidden="1">
      <c r="D3691" s="1"/>
      <c r="K3691" s="1"/>
      <c r="Q3691" s="1"/>
      <c r="AD3691" s="1"/>
      <c r="AG3691" s="1"/>
      <c r="AI3691" s="1"/>
    </row>
    <row r="3692" spans="4:35" hidden="1">
      <c r="D3692" s="1"/>
      <c r="K3692" s="1"/>
      <c r="Q3692" s="1"/>
      <c r="AD3692" s="1"/>
      <c r="AG3692" s="1"/>
      <c r="AI3692" s="1"/>
    </row>
    <row r="3693" spans="4:35" hidden="1">
      <c r="D3693" s="1"/>
      <c r="K3693" s="1"/>
      <c r="Q3693" s="1"/>
      <c r="AD3693" s="1"/>
      <c r="AG3693" s="1"/>
      <c r="AI3693" s="1"/>
    </row>
    <row r="3694" spans="4:35" hidden="1">
      <c r="D3694" s="1"/>
      <c r="K3694" s="1"/>
      <c r="Q3694" s="1"/>
      <c r="AD3694" s="1"/>
      <c r="AG3694" s="1"/>
      <c r="AI3694" s="1"/>
    </row>
    <row r="3695" spans="4:35" hidden="1">
      <c r="D3695" s="1"/>
      <c r="K3695" s="1"/>
      <c r="Q3695" s="1"/>
      <c r="AD3695" s="1"/>
      <c r="AG3695" s="1"/>
      <c r="AI3695" s="1"/>
    </row>
    <row r="3696" spans="4:35" hidden="1">
      <c r="D3696" s="1"/>
      <c r="K3696" s="1"/>
      <c r="Q3696" s="1"/>
      <c r="AD3696" s="1"/>
      <c r="AG3696" s="1"/>
      <c r="AI3696" s="1"/>
    </row>
    <row r="3697" spans="4:35" hidden="1">
      <c r="D3697" s="1"/>
      <c r="K3697" s="1"/>
      <c r="Q3697" s="1"/>
      <c r="AD3697" s="1"/>
      <c r="AG3697" s="1"/>
      <c r="AI3697" s="1"/>
    </row>
    <row r="3698" spans="4:35" hidden="1">
      <c r="D3698" s="1"/>
      <c r="K3698" s="1"/>
      <c r="Q3698" s="1"/>
      <c r="AD3698" s="1"/>
      <c r="AG3698" s="1"/>
      <c r="AI3698" s="1"/>
    </row>
    <row r="3699" spans="4:35" hidden="1">
      <c r="D3699" s="1"/>
      <c r="K3699" s="1"/>
      <c r="Q3699" s="1"/>
      <c r="AD3699" s="1"/>
      <c r="AG3699" s="1"/>
      <c r="AI3699" s="1"/>
    </row>
    <row r="3700" spans="4:35" hidden="1">
      <c r="D3700" s="1"/>
      <c r="K3700" s="1"/>
      <c r="Q3700" s="1"/>
      <c r="AD3700" s="1"/>
      <c r="AG3700" s="1"/>
      <c r="AI3700" s="1"/>
    </row>
    <row r="3701" spans="4:35" hidden="1">
      <c r="D3701" s="1"/>
      <c r="K3701" s="1"/>
      <c r="Q3701" s="1"/>
      <c r="AD3701" s="1"/>
      <c r="AG3701" s="1"/>
      <c r="AI3701" s="1"/>
    </row>
    <row r="3702" spans="4:35" hidden="1">
      <c r="D3702" s="1"/>
      <c r="K3702" s="1"/>
      <c r="Q3702" s="1"/>
      <c r="AD3702" s="1"/>
      <c r="AG3702" s="1"/>
      <c r="AI3702" s="1"/>
    </row>
    <row r="3703" spans="4:35" hidden="1">
      <c r="D3703" s="1"/>
      <c r="K3703" s="1"/>
      <c r="Q3703" s="1"/>
      <c r="AD3703" s="1"/>
      <c r="AG3703" s="1"/>
      <c r="AI3703" s="1"/>
    </row>
    <row r="3704" spans="4:35" hidden="1">
      <c r="D3704" s="1"/>
      <c r="K3704" s="1"/>
      <c r="Q3704" s="1"/>
      <c r="AD3704" s="1"/>
      <c r="AG3704" s="1"/>
      <c r="AI3704" s="1"/>
    </row>
    <row r="3705" spans="4:35" hidden="1">
      <c r="D3705" s="1"/>
      <c r="K3705" s="1"/>
      <c r="Q3705" s="1"/>
      <c r="AD3705" s="1"/>
      <c r="AG3705" s="1"/>
      <c r="AI3705" s="1"/>
    </row>
    <row r="3706" spans="4:35" hidden="1">
      <c r="D3706" s="1"/>
      <c r="K3706" s="1"/>
      <c r="Q3706" s="1"/>
      <c r="AD3706" s="1"/>
      <c r="AG3706" s="1"/>
      <c r="AI3706" s="1"/>
    </row>
    <row r="3707" spans="4:35" hidden="1">
      <c r="D3707" s="1"/>
      <c r="K3707" s="1"/>
      <c r="Q3707" s="1"/>
      <c r="AD3707" s="1"/>
      <c r="AG3707" s="1"/>
      <c r="AI3707" s="1"/>
    </row>
    <row r="3708" spans="4:35" hidden="1">
      <c r="D3708" s="1"/>
      <c r="K3708" s="1"/>
      <c r="Q3708" s="1"/>
      <c r="AD3708" s="1"/>
      <c r="AG3708" s="1"/>
      <c r="AI3708" s="1"/>
    </row>
    <row r="3709" spans="4:35" hidden="1">
      <c r="D3709" s="1"/>
      <c r="K3709" s="1"/>
      <c r="Q3709" s="1"/>
      <c r="AD3709" s="1"/>
      <c r="AG3709" s="1"/>
      <c r="AI3709" s="1"/>
    </row>
    <row r="3710" spans="4:35" hidden="1">
      <c r="D3710" s="1"/>
      <c r="K3710" s="1"/>
      <c r="Q3710" s="1"/>
      <c r="AD3710" s="1"/>
      <c r="AG3710" s="1"/>
      <c r="AI3710" s="1"/>
    </row>
    <row r="3711" spans="4:35" hidden="1">
      <c r="D3711" s="1"/>
      <c r="K3711" s="1"/>
      <c r="Q3711" s="1"/>
      <c r="AD3711" s="1"/>
      <c r="AG3711" s="1"/>
      <c r="AI3711" s="1"/>
    </row>
    <row r="3712" spans="4:35" hidden="1">
      <c r="D3712" s="1"/>
      <c r="K3712" s="1"/>
      <c r="Q3712" s="1"/>
      <c r="AD3712" s="1"/>
      <c r="AG3712" s="1"/>
      <c r="AI3712" s="1"/>
    </row>
    <row r="3713" spans="4:35" hidden="1">
      <c r="D3713" s="1"/>
      <c r="K3713" s="1"/>
      <c r="Q3713" s="1"/>
      <c r="AD3713" s="1"/>
      <c r="AG3713" s="1"/>
      <c r="AI3713" s="1"/>
    </row>
    <row r="3714" spans="4:35" hidden="1">
      <c r="D3714" s="1"/>
      <c r="K3714" s="1"/>
      <c r="Q3714" s="1"/>
      <c r="AD3714" s="1"/>
      <c r="AG3714" s="1"/>
      <c r="AI3714" s="1"/>
    </row>
    <row r="3715" spans="4:35" hidden="1">
      <c r="D3715" s="1"/>
      <c r="K3715" s="1"/>
      <c r="Q3715" s="1"/>
      <c r="AD3715" s="1"/>
      <c r="AG3715" s="1"/>
      <c r="AI3715" s="1"/>
    </row>
    <row r="3716" spans="4:35" hidden="1">
      <c r="D3716" s="1"/>
      <c r="K3716" s="1"/>
      <c r="Q3716" s="1"/>
      <c r="AD3716" s="1"/>
      <c r="AG3716" s="1"/>
      <c r="AI3716" s="1"/>
    </row>
    <row r="3717" spans="4:35" hidden="1">
      <c r="D3717" s="1"/>
      <c r="K3717" s="1"/>
      <c r="Q3717" s="1"/>
      <c r="AD3717" s="1"/>
      <c r="AG3717" s="1"/>
      <c r="AI3717" s="1"/>
    </row>
    <row r="3718" spans="4:35" hidden="1">
      <c r="D3718" s="1"/>
      <c r="K3718" s="1"/>
      <c r="Q3718" s="1"/>
      <c r="AD3718" s="1"/>
      <c r="AG3718" s="1"/>
      <c r="AI3718" s="1"/>
    </row>
    <row r="3719" spans="4:35" hidden="1">
      <c r="D3719" s="1"/>
      <c r="K3719" s="1"/>
      <c r="Q3719" s="1"/>
      <c r="AD3719" s="1"/>
      <c r="AG3719" s="1"/>
      <c r="AI3719" s="1"/>
    </row>
    <row r="3720" spans="4:35" hidden="1">
      <c r="D3720" s="1"/>
      <c r="K3720" s="1"/>
      <c r="Q3720" s="1"/>
      <c r="AD3720" s="1"/>
      <c r="AG3720" s="1"/>
      <c r="AI3720" s="1"/>
    </row>
    <row r="3721" spans="4:35" hidden="1">
      <c r="D3721" s="1"/>
      <c r="K3721" s="1"/>
      <c r="Q3721" s="1"/>
      <c r="AD3721" s="1"/>
      <c r="AG3721" s="1"/>
      <c r="AI3721" s="1"/>
    </row>
    <row r="3722" spans="4:35" hidden="1">
      <c r="D3722" s="1"/>
      <c r="K3722" s="1"/>
      <c r="Q3722" s="1"/>
      <c r="AD3722" s="1"/>
      <c r="AG3722" s="1"/>
      <c r="AI3722" s="1"/>
    </row>
    <row r="3723" spans="4:35" hidden="1">
      <c r="D3723" s="1"/>
      <c r="K3723" s="1"/>
      <c r="Q3723" s="1"/>
      <c r="AD3723" s="1"/>
      <c r="AG3723" s="1"/>
      <c r="AI3723" s="1"/>
    </row>
    <row r="3724" spans="4:35" hidden="1">
      <c r="D3724" s="1"/>
      <c r="K3724" s="1"/>
      <c r="Q3724" s="1"/>
      <c r="AD3724" s="1"/>
      <c r="AG3724" s="1"/>
      <c r="AI3724" s="1"/>
    </row>
    <row r="3725" spans="4:35" hidden="1">
      <c r="D3725" s="1"/>
      <c r="K3725" s="1"/>
      <c r="Q3725" s="1"/>
      <c r="AD3725" s="1"/>
      <c r="AG3725" s="1"/>
      <c r="AI3725" s="1"/>
    </row>
    <row r="3726" spans="4:35" hidden="1">
      <c r="D3726" s="1"/>
      <c r="K3726" s="1"/>
      <c r="Q3726" s="1"/>
      <c r="AD3726" s="1"/>
      <c r="AG3726" s="1"/>
      <c r="AI3726" s="1"/>
    </row>
    <row r="3727" spans="4:35" hidden="1">
      <c r="D3727" s="1"/>
      <c r="K3727" s="1"/>
      <c r="Q3727" s="1"/>
      <c r="AD3727" s="1"/>
      <c r="AG3727" s="1"/>
      <c r="AI3727" s="1"/>
    </row>
    <row r="3728" spans="4:35" hidden="1">
      <c r="D3728" s="1"/>
      <c r="K3728" s="1"/>
      <c r="Q3728" s="1"/>
      <c r="AD3728" s="1"/>
      <c r="AG3728" s="1"/>
      <c r="AI3728" s="1"/>
    </row>
    <row r="3729" spans="4:35" hidden="1">
      <c r="D3729" s="1"/>
      <c r="K3729" s="1"/>
      <c r="Q3729" s="1"/>
      <c r="AD3729" s="1"/>
      <c r="AG3729" s="1"/>
      <c r="AI3729" s="1"/>
    </row>
    <row r="3730" spans="4:35" hidden="1">
      <c r="D3730" s="1"/>
      <c r="K3730" s="1"/>
      <c r="Q3730" s="1"/>
      <c r="AD3730" s="1"/>
      <c r="AG3730" s="1"/>
      <c r="AI3730" s="1"/>
    </row>
    <row r="3731" spans="4:35" hidden="1">
      <c r="D3731" s="1"/>
      <c r="K3731" s="1"/>
      <c r="Q3731" s="1"/>
      <c r="AD3731" s="1"/>
      <c r="AG3731" s="1"/>
      <c r="AI3731" s="1"/>
    </row>
    <row r="3732" spans="4:35" hidden="1">
      <c r="D3732" s="1"/>
      <c r="K3732" s="1"/>
      <c r="Q3732" s="1"/>
      <c r="AD3732" s="1"/>
      <c r="AG3732" s="1"/>
      <c r="AI3732" s="1"/>
    </row>
    <row r="3733" spans="4:35" hidden="1">
      <c r="D3733" s="1"/>
      <c r="K3733" s="1"/>
      <c r="Q3733" s="1"/>
      <c r="AD3733" s="1"/>
      <c r="AG3733" s="1"/>
      <c r="AI3733" s="1"/>
    </row>
    <row r="3734" spans="4:35" hidden="1">
      <c r="D3734" s="1"/>
      <c r="K3734" s="1"/>
      <c r="Q3734" s="1"/>
      <c r="AD3734" s="1"/>
      <c r="AG3734" s="1"/>
      <c r="AI3734" s="1"/>
    </row>
    <row r="3735" spans="4:35" hidden="1">
      <c r="D3735" s="1"/>
      <c r="K3735" s="1"/>
      <c r="Q3735" s="1"/>
      <c r="AD3735" s="1"/>
      <c r="AG3735" s="1"/>
      <c r="AI3735" s="1"/>
    </row>
    <row r="3736" spans="4:35" hidden="1">
      <c r="D3736" s="1"/>
      <c r="K3736" s="1"/>
      <c r="Q3736" s="1"/>
      <c r="AD3736" s="1"/>
      <c r="AG3736" s="1"/>
      <c r="AI3736" s="1"/>
    </row>
    <row r="3737" spans="4:35" hidden="1">
      <c r="D3737" s="1"/>
      <c r="K3737" s="1"/>
      <c r="Q3737" s="1"/>
      <c r="AD3737" s="1"/>
      <c r="AG3737" s="1"/>
      <c r="AI3737" s="1"/>
    </row>
    <row r="3738" spans="4:35" hidden="1">
      <c r="D3738" s="1"/>
      <c r="K3738" s="1"/>
      <c r="Q3738" s="1"/>
      <c r="AD3738" s="1"/>
      <c r="AG3738" s="1"/>
      <c r="AI3738" s="1"/>
    </row>
    <row r="3739" spans="4:35" hidden="1">
      <c r="D3739" s="1"/>
      <c r="K3739" s="1"/>
      <c r="Q3739" s="1"/>
      <c r="AD3739" s="1"/>
      <c r="AG3739" s="1"/>
      <c r="AI3739" s="1"/>
    </row>
    <row r="3740" spans="4:35" hidden="1">
      <c r="D3740" s="1"/>
      <c r="K3740" s="1"/>
      <c r="Q3740" s="1"/>
      <c r="AD3740" s="1"/>
      <c r="AG3740" s="1"/>
      <c r="AI3740" s="1"/>
    </row>
    <row r="3741" spans="4:35" hidden="1">
      <c r="D3741" s="1"/>
      <c r="K3741" s="1"/>
      <c r="Q3741" s="1"/>
      <c r="AD3741" s="1"/>
      <c r="AG3741" s="1"/>
      <c r="AI3741" s="1"/>
    </row>
    <row r="3742" spans="4:35" hidden="1">
      <c r="D3742" s="1"/>
      <c r="K3742" s="1"/>
      <c r="Q3742" s="1"/>
      <c r="AD3742" s="1"/>
      <c r="AG3742" s="1"/>
      <c r="AI3742" s="1"/>
    </row>
    <row r="3743" spans="4:35" hidden="1">
      <c r="D3743" s="1"/>
      <c r="K3743" s="1"/>
      <c r="Q3743" s="1"/>
      <c r="AD3743" s="1"/>
      <c r="AG3743" s="1"/>
      <c r="AI3743" s="1"/>
    </row>
    <row r="3744" spans="4:35" hidden="1">
      <c r="D3744" s="1"/>
      <c r="K3744" s="1"/>
      <c r="Q3744" s="1"/>
      <c r="AD3744" s="1"/>
      <c r="AG3744" s="1"/>
      <c r="AI3744" s="1"/>
    </row>
    <row r="3745" spans="4:35" hidden="1">
      <c r="D3745" s="1"/>
      <c r="K3745" s="1"/>
      <c r="Q3745" s="1"/>
      <c r="AD3745" s="1"/>
      <c r="AG3745" s="1"/>
      <c r="AI3745" s="1"/>
    </row>
    <row r="3746" spans="4:35" hidden="1">
      <c r="D3746" s="1"/>
      <c r="K3746" s="1"/>
      <c r="Q3746" s="1"/>
      <c r="AD3746" s="1"/>
      <c r="AG3746" s="1"/>
      <c r="AI3746" s="1"/>
    </row>
    <row r="3747" spans="4:35" hidden="1">
      <c r="D3747" s="1"/>
      <c r="K3747" s="1"/>
      <c r="Q3747" s="1"/>
      <c r="AD3747" s="1"/>
      <c r="AG3747" s="1"/>
      <c r="AI3747" s="1"/>
    </row>
    <row r="3748" spans="4:35" hidden="1">
      <c r="D3748" s="1"/>
      <c r="K3748" s="1"/>
      <c r="Q3748" s="1"/>
      <c r="AD3748" s="1"/>
      <c r="AG3748" s="1"/>
      <c r="AI3748" s="1"/>
    </row>
    <row r="3749" spans="4:35" hidden="1">
      <c r="D3749" s="1"/>
      <c r="K3749" s="1"/>
      <c r="Q3749" s="1"/>
      <c r="AD3749" s="1"/>
      <c r="AG3749" s="1"/>
      <c r="AI3749" s="1"/>
    </row>
    <row r="3750" spans="4:35" hidden="1">
      <c r="D3750" s="1"/>
      <c r="K3750" s="1"/>
      <c r="Q3750" s="1"/>
      <c r="AD3750" s="1"/>
      <c r="AG3750" s="1"/>
      <c r="AI3750" s="1"/>
    </row>
    <row r="3751" spans="4:35" hidden="1">
      <c r="D3751" s="1"/>
      <c r="K3751" s="1"/>
      <c r="Q3751" s="1"/>
      <c r="AD3751" s="1"/>
      <c r="AG3751" s="1"/>
      <c r="AI3751" s="1"/>
    </row>
    <row r="3752" spans="4:35" hidden="1">
      <c r="D3752" s="1"/>
      <c r="K3752" s="1"/>
      <c r="Q3752" s="1"/>
      <c r="AD3752" s="1"/>
      <c r="AG3752" s="1"/>
      <c r="AI3752" s="1"/>
    </row>
    <row r="3753" spans="4:35" hidden="1">
      <c r="D3753" s="1"/>
      <c r="K3753" s="1"/>
      <c r="Q3753" s="1"/>
      <c r="AD3753" s="1"/>
      <c r="AG3753" s="1"/>
      <c r="AI3753" s="1"/>
    </row>
    <row r="3754" spans="4:35" hidden="1">
      <c r="D3754" s="1"/>
      <c r="K3754" s="1"/>
      <c r="Q3754" s="1"/>
      <c r="AD3754" s="1"/>
      <c r="AG3754" s="1"/>
      <c r="AI3754" s="1"/>
    </row>
    <row r="3755" spans="4:35" hidden="1">
      <c r="D3755" s="1"/>
      <c r="K3755" s="1"/>
      <c r="Q3755" s="1"/>
      <c r="AD3755" s="1"/>
      <c r="AG3755" s="1"/>
      <c r="AI3755" s="1"/>
    </row>
    <row r="3756" spans="4:35" hidden="1">
      <c r="D3756" s="1"/>
      <c r="K3756" s="1"/>
      <c r="Q3756" s="1"/>
      <c r="AD3756" s="1"/>
      <c r="AG3756" s="1"/>
      <c r="AI3756" s="1"/>
    </row>
    <row r="3757" spans="4:35" hidden="1">
      <c r="D3757" s="1"/>
      <c r="K3757" s="1"/>
      <c r="Q3757" s="1"/>
      <c r="AD3757" s="1"/>
      <c r="AG3757" s="1"/>
      <c r="AI3757" s="1"/>
    </row>
    <row r="3758" spans="4:35" hidden="1">
      <c r="D3758" s="1"/>
      <c r="K3758" s="1"/>
      <c r="Q3758" s="1"/>
      <c r="AD3758" s="1"/>
      <c r="AG3758" s="1"/>
      <c r="AI3758" s="1"/>
    </row>
    <row r="3759" spans="4:35" hidden="1">
      <c r="D3759" s="1"/>
      <c r="K3759" s="1"/>
      <c r="Q3759" s="1"/>
      <c r="AD3759" s="1"/>
      <c r="AG3759" s="1"/>
      <c r="AI3759" s="1"/>
    </row>
    <row r="3760" spans="4:35" hidden="1">
      <c r="D3760" s="1"/>
      <c r="K3760" s="1"/>
      <c r="Q3760" s="1"/>
      <c r="AD3760" s="1"/>
      <c r="AG3760" s="1"/>
      <c r="AI3760" s="1"/>
    </row>
    <row r="3761" spans="4:35" hidden="1">
      <c r="D3761" s="1"/>
      <c r="K3761" s="1"/>
      <c r="Q3761" s="1"/>
      <c r="AD3761" s="1"/>
      <c r="AG3761" s="1"/>
      <c r="AI3761" s="1"/>
    </row>
    <row r="3762" spans="4:35" hidden="1">
      <c r="D3762" s="1"/>
      <c r="K3762" s="1"/>
      <c r="Q3762" s="1"/>
      <c r="AD3762" s="1"/>
      <c r="AG3762" s="1"/>
      <c r="AI3762" s="1"/>
    </row>
    <row r="3763" spans="4:35" hidden="1">
      <c r="D3763" s="1"/>
      <c r="K3763" s="1"/>
      <c r="Q3763" s="1"/>
      <c r="AD3763" s="1"/>
      <c r="AG3763" s="1"/>
      <c r="AI3763" s="1"/>
    </row>
    <row r="3764" spans="4:35" hidden="1">
      <c r="D3764" s="1"/>
      <c r="K3764" s="1"/>
      <c r="Q3764" s="1"/>
      <c r="AD3764" s="1"/>
      <c r="AG3764" s="1"/>
      <c r="AI3764" s="1"/>
    </row>
    <row r="3765" spans="4:35" hidden="1">
      <c r="D3765" s="1"/>
      <c r="K3765" s="1"/>
      <c r="Q3765" s="1"/>
      <c r="AD3765" s="1"/>
      <c r="AG3765" s="1"/>
      <c r="AI3765" s="1"/>
    </row>
    <row r="3766" spans="4:35" hidden="1">
      <c r="D3766" s="1"/>
      <c r="K3766" s="1"/>
      <c r="Q3766" s="1"/>
      <c r="AD3766" s="1"/>
      <c r="AG3766" s="1"/>
      <c r="AI3766" s="1"/>
    </row>
    <row r="3767" spans="4:35" hidden="1">
      <c r="D3767" s="1"/>
      <c r="K3767" s="1"/>
      <c r="Q3767" s="1"/>
      <c r="AD3767" s="1"/>
      <c r="AG3767" s="1"/>
      <c r="AI3767" s="1"/>
    </row>
    <row r="3768" spans="4:35" hidden="1">
      <c r="D3768" s="1"/>
      <c r="K3768" s="1"/>
      <c r="Q3768" s="1"/>
      <c r="AD3768" s="1"/>
      <c r="AG3768" s="1"/>
      <c r="AI3768" s="1"/>
    </row>
    <row r="3769" spans="4:35" hidden="1">
      <c r="D3769" s="1"/>
      <c r="K3769" s="1"/>
      <c r="Q3769" s="1"/>
      <c r="AD3769" s="1"/>
      <c r="AG3769" s="1"/>
      <c r="AI3769" s="1"/>
    </row>
    <row r="3770" spans="4:35" hidden="1">
      <c r="D3770" s="1"/>
      <c r="K3770" s="1"/>
      <c r="Q3770" s="1"/>
      <c r="AD3770" s="1"/>
      <c r="AG3770" s="1"/>
      <c r="AI3770" s="1"/>
    </row>
    <row r="3771" spans="4:35" hidden="1">
      <c r="D3771" s="1"/>
      <c r="K3771" s="1"/>
      <c r="Q3771" s="1"/>
      <c r="AD3771" s="1"/>
      <c r="AG3771" s="1"/>
      <c r="AI3771" s="1"/>
    </row>
    <row r="3772" spans="4:35" hidden="1">
      <c r="D3772" s="1"/>
      <c r="K3772" s="1"/>
      <c r="Q3772" s="1"/>
      <c r="AD3772" s="1"/>
      <c r="AG3772" s="1"/>
      <c r="AI3772" s="1"/>
    </row>
    <row r="3773" spans="4:35" hidden="1">
      <c r="D3773" s="1"/>
      <c r="K3773" s="1"/>
      <c r="Q3773" s="1"/>
      <c r="AD3773" s="1"/>
      <c r="AG3773" s="1"/>
      <c r="AI3773" s="1"/>
    </row>
    <row r="3774" spans="4:35" hidden="1">
      <c r="D3774" s="1"/>
      <c r="K3774" s="1"/>
      <c r="Q3774" s="1"/>
      <c r="AD3774" s="1"/>
      <c r="AG3774" s="1"/>
      <c r="AI3774" s="1"/>
    </row>
    <row r="3775" spans="4:35" hidden="1">
      <c r="D3775" s="1"/>
      <c r="K3775" s="1"/>
      <c r="Q3775" s="1"/>
      <c r="AD3775" s="1"/>
      <c r="AG3775" s="1"/>
      <c r="AI3775" s="1"/>
    </row>
    <row r="3776" spans="4:35" hidden="1">
      <c r="D3776" s="1"/>
      <c r="K3776" s="1"/>
      <c r="Q3776" s="1"/>
      <c r="AD3776" s="1"/>
      <c r="AG3776" s="1"/>
      <c r="AI3776" s="1"/>
    </row>
    <row r="3777" spans="4:35" hidden="1">
      <c r="D3777" s="1"/>
      <c r="K3777" s="1"/>
      <c r="Q3777" s="1"/>
      <c r="AD3777" s="1"/>
      <c r="AG3777" s="1"/>
      <c r="AI3777" s="1"/>
    </row>
    <row r="3778" spans="4:35" hidden="1">
      <c r="D3778" s="1"/>
      <c r="K3778" s="1"/>
      <c r="Q3778" s="1"/>
      <c r="AD3778" s="1"/>
      <c r="AG3778" s="1"/>
      <c r="AI3778" s="1"/>
    </row>
    <row r="3779" spans="4:35" hidden="1">
      <c r="D3779" s="1"/>
      <c r="K3779" s="1"/>
      <c r="Q3779" s="1"/>
      <c r="AD3779" s="1"/>
      <c r="AG3779" s="1"/>
      <c r="AI3779" s="1"/>
    </row>
    <row r="3780" spans="4:35" hidden="1">
      <c r="D3780" s="1"/>
      <c r="K3780" s="1"/>
      <c r="Q3780" s="1"/>
      <c r="AD3780" s="1"/>
      <c r="AG3780" s="1"/>
      <c r="AI3780" s="1"/>
    </row>
    <row r="3781" spans="4:35" hidden="1">
      <c r="D3781" s="1"/>
      <c r="K3781" s="1"/>
      <c r="Q3781" s="1"/>
      <c r="AD3781" s="1"/>
      <c r="AG3781" s="1"/>
      <c r="AI3781" s="1"/>
    </row>
    <row r="3782" spans="4:35" hidden="1">
      <c r="D3782" s="1"/>
      <c r="K3782" s="1"/>
      <c r="Q3782" s="1"/>
      <c r="AD3782" s="1"/>
      <c r="AG3782" s="1"/>
      <c r="AI3782" s="1"/>
    </row>
    <row r="3783" spans="4:35" hidden="1">
      <c r="D3783" s="1"/>
      <c r="K3783" s="1"/>
      <c r="Q3783" s="1"/>
      <c r="AD3783" s="1"/>
      <c r="AG3783" s="1"/>
      <c r="AI3783" s="1"/>
    </row>
    <row r="3784" spans="4:35" hidden="1">
      <c r="D3784" s="1"/>
      <c r="K3784" s="1"/>
      <c r="Q3784" s="1"/>
      <c r="AD3784" s="1"/>
      <c r="AG3784" s="1"/>
      <c r="AI3784" s="1"/>
    </row>
    <row r="3785" spans="4:35" hidden="1">
      <c r="D3785" s="1"/>
      <c r="K3785" s="1"/>
      <c r="Q3785" s="1"/>
      <c r="AD3785" s="1"/>
      <c r="AG3785" s="1"/>
      <c r="AI3785" s="1"/>
    </row>
    <row r="3786" spans="4:35" hidden="1">
      <c r="D3786" s="1"/>
      <c r="K3786" s="1"/>
      <c r="Q3786" s="1"/>
      <c r="AD3786" s="1"/>
      <c r="AG3786" s="1"/>
      <c r="AI3786" s="1"/>
    </row>
    <row r="3787" spans="4:35" hidden="1">
      <c r="D3787" s="1"/>
      <c r="K3787" s="1"/>
      <c r="Q3787" s="1"/>
      <c r="AD3787" s="1"/>
      <c r="AG3787" s="1"/>
      <c r="AI3787" s="1"/>
    </row>
    <row r="3788" spans="4:35" hidden="1">
      <c r="D3788" s="1"/>
      <c r="K3788" s="1"/>
      <c r="Q3788" s="1"/>
      <c r="AD3788" s="1"/>
      <c r="AG3788" s="1"/>
      <c r="AI3788" s="1"/>
    </row>
    <row r="3789" spans="4:35" hidden="1">
      <c r="D3789" s="1"/>
      <c r="K3789" s="1"/>
      <c r="Q3789" s="1"/>
      <c r="AD3789" s="1"/>
      <c r="AG3789" s="1"/>
      <c r="AI3789" s="1"/>
    </row>
    <row r="3790" spans="4:35" hidden="1">
      <c r="D3790" s="1"/>
      <c r="K3790" s="1"/>
      <c r="Q3790" s="1"/>
      <c r="AD3790" s="1"/>
      <c r="AG3790" s="1"/>
      <c r="AI3790" s="1"/>
    </row>
    <row r="3791" spans="4:35" hidden="1">
      <c r="D3791" s="1"/>
      <c r="K3791" s="1"/>
      <c r="Q3791" s="1"/>
      <c r="AD3791" s="1"/>
      <c r="AG3791" s="1"/>
      <c r="AI3791" s="1"/>
    </row>
    <row r="3792" spans="4:35" hidden="1">
      <c r="D3792" s="1"/>
      <c r="K3792" s="1"/>
      <c r="Q3792" s="1"/>
      <c r="AD3792" s="1"/>
      <c r="AG3792" s="1"/>
      <c r="AI3792" s="1"/>
    </row>
    <row r="3793" spans="4:35" hidden="1">
      <c r="D3793" s="1"/>
      <c r="K3793" s="1"/>
      <c r="Q3793" s="1"/>
      <c r="AD3793" s="1"/>
      <c r="AG3793" s="1"/>
      <c r="AI3793" s="1"/>
    </row>
    <row r="3794" spans="4:35" hidden="1">
      <c r="D3794" s="1"/>
      <c r="K3794" s="1"/>
      <c r="Q3794" s="1"/>
      <c r="AD3794" s="1"/>
      <c r="AG3794" s="1"/>
      <c r="AI3794" s="1"/>
    </row>
    <row r="3795" spans="4:35" hidden="1">
      <c r="D3795" s="1"/>
      <c r="K3795" s="1"/>
      <c r="Q3795" s="1"/>
      <c r="AD3795" s="1"/>
      <c r="AG3795" s="1"/>
      <c r="AI3795" s="1"/>
    </row>
    <row r="3796" spans="4:35" hidden="1">
      <c r="D3796" s="1"/>
      <c r="K3796" s="1"/>
      <c r="Q3796" s="1"/>
      <c r="AD3796" s="1"/>
      <c r="AG3796" s="1"/>
      <c r="AI3796" s="1"/>
    </row>
    <row r="3797" spans="4:35" hidden="1">
      <c r="D3797" s="1"/>
      <c r="K3797" s="1"/>
      <c r="Q3797" s="1"/>
      <c r="AD3797" s="1"/>
      <c r="AG3797" s="1"/>
      <c r="AI3797" s="1"/>
    </row>
    <row r="3798" spans="4:35" hidden="1">
      <c r="D3798" s="1"/>
      <c r="K3798" s="1"/>
      <c r="Q3798" s="1"/>
      <c r="AD3798" s="1"/>
      <c r="AG3798" s="1"/>
      <c r="AI3798" s="1"/>
    </row>
    <row r="3799" spans="4:35" hidden="1">
      <c r="D3799" s="1"/>
      <c r="K3799" s="1"/>
      <c r="Q3799" s="1"/>
      <c r="AD3799" s="1"/>
      <c r="AG3799" s="1"/>
      <c r="AI3799" s="1"/>
    </row>
    <row r="3800" spans="4:35" hidden="1">
      <c r="D3800" s="1"/>
      <c r="K3800" s="1"/>
      <c r="Q3800" s="1"/>
      <c r="AD3800" s="1"/>
      <c r="AG3800" s="1"/>
      <c r="AI3800" s="1"/>
    </row>
    <row r="3801" spans="4:35" hidden="1">
      <c r="D3801" s="1"/>
      <c r="K3801" s="1"/>
      <c r="Q3801" s="1"/>
      <c r="AD3801" s="1"/>
      <c r="AG3801" s="1"/>
      <c r="AI3801" s="1"/>
    </row>
    <row r="3802" spans="4:35" hidden="1">
      <c r="D3802" s="1"/>
      <c r="K3802" s="1"/>
      <c r="Q3802" s="1"/>
      <c r="AD3802" s="1"/>
      <c r="AG3802" s="1"/>
      <c r="AI3802" s="1"/>
    </row>
    <row r="3803" spans="4:35" hidden="1">
      <c r="D3803" s="1"/>
      <c r="K3803" s="1"/>
      <c r="Q3803" s="1"/>
      <c r="AD3803" s="1"/>
      <c r="AG3803" s="1"/>
      <c r="AI3803" s="1"/>
    </row>
    <row r="3804" spans="4:35" hidden="1">
      <c r="D3804" s="1"/>
      <c r="K3804" s="1"/>
      <c r="Q3804" s="1"/>
      <c r="AD3804" s="1"/>
      <c r="AG3804" s="1"/>
      <c r="AI3804" s="1"/>
    </row>
    <row r="3805" spans="4:35" hidden="1">
      <c r="D3805" s="1"/>
      <c r="K3805" s="1"/>
      <c r="Q3805" s="1"/>
      <c r="AD3805" s="1"/>
      <c r="AG3805" s="1"/>
      <c r="AI3805" s="1"/>
    </row>
    <row r="3806" spans="4:35" hidden="1">
      <c r="D3806" s="1"/>
      <c r="K3806" s="1"/>
      <c r="Q3806" s="1"/>
      <c r="AD3806" s="1"/>
      <c r="AG3806" s="1"/>
      <c r="AI3806" s="1"/>
    </row>
    <row r="3807" spans="4:35" hidden="1">
      <c r="D3807" s="1"/>
      <c r="K3807" s="1"/>
      <c r="Q3807" s="1"/>
      <c r="AD3807" s="1"/>
      <c r="AG3807" s="1"/>
      <c r="AI3807" s="1"/>
    </row>
    <row r="3808" spans="4:35" hidden="1">
      <c r="D3808" s="1"/>
      <c r="K3808" s="1"/>
      <c r="Q3808" s="1"/>
      <c r="AD3808" s="1"/>
      <c r="AG3808" s="1"/>
      <c r="AI3808" s="1"/>
    </row>
    <row r="3809" spans="4:35" hidden="1">
      <c r="D3809" s="1"/>
      <c r="K3809" s="1"/>
      <c r="Q3809" s="1"/>
      <c r="AD3809" s="1"/>
      <c r="AG3809" s="1"/>
      <c r="AI3809" s="1"/>
    </row>
    <row r="3810" spans="4:35" hidden="1">
      <c r="D3810" s="1"/>
      <c r="K3810" s="1"/>
      <c r="Q3810" s="1"/>
      <c r="AD3810" s="1"/>
      <c r="AG3810" s="1"/>
      <c r="AI3810" s="1"/>
    </row>
    <row r="3811" spans="4:35" hidden="1">
      <c r="D3811" s="1"/>
      <c r="K3811" s="1"/>
      <c r="Q3811" s="1"/>
      <c r="AD3811" s="1"/>
      <c r="AG3811" s="1"/>
      <c r="AI3811" s="1"/>
    </row>
    <row r="3812" spans="4:35" hidden="1">
      <c r="D3812" s="1"/>
      <c r="K3812" s="1"/>
      <c r="Q3812" s="1"/>
      <c r="AD3812" s="1"/>
      <c r="AG3812" s="1"/>
      <c r="AI3812" s="1"/>
    </row>
    <row r="3813" spans="4:35" hidden="1">
      <c r="D3813" s="1"/>
      <c r="K3813" s="1"/>
      <c r="Q3813" s="1"/>
      <c r="AD3813" s="1"/>
      <c r="AG3813" s="1"/>
      <c r="AI3813" s="1"/>
    </row>
    <row r="3814" spans="4:35" hidden="1">
      <c r="D3814" s="1"/>
      <c r="K3814" s="1"/>
      <c r="Q3814" s="1"/>
      <c r="AD3814" s="1"/>
      <c r="AG3814" s="1"/>
      <c r="AI3814" s="1"/>
    </row>
    <row r="3815" spans="4:35" hidden="1">
      <c r="D3815" s="1"/>
      <c r="K3815" s="1"/>
      <c r="Q3815" s="1"/>
      <c r="AD3815" s="1"/>
      <c r="AG3815" s="1"/>
      <c r="AI3815" s="1"/>
    </row>
    <row r="3816" spans="4:35" hidden="1">
      <c r="D3816" s="1"/>
      <c r="K3816" s="1"/>
      <c r="Q3816" s="1"/>
      <c r="AD3816" s="1"/>
      <c r="AG3816" s="1"/>
      <c r="AI3816" s="1"/>
    </row>
    <row r="3817" spans="4:35" hidden="1">
      <c r="D3817" s="1"/>
      <c r="K3817" s="1"/>
      <c r="Q3817" s="1"/>
      <c r="AD3817" s="1"/>
      <c r="AG3817" s="1"/>
      <c r="AI3817" s="1"/>
    </row>
    <row r="3818" spans="4:35" hidden="1">
      <c r="D3818" s="1"/>
      <c r="K3818" s="1"/>
      <c r="Q3818" s="1"/>
      <c r="AD3818" s="1"/>
      <c r="AG3818" s="1"/>
      <c r="AI3818" s="1"/>
    </row>
    <row r="3819" spans="4:35" hidden="1">
      <c r="D3819" s="1"/>
      <c r="K3819" s="1"/>
      <c r="Q3819" s="1"/>
      <c r="AD3819" s="1"/>
      <c r="AG3819" s="1"/>
      <c r="AI3819" s="1"/>
    </row>
    <row r="3820" spans="4:35" hidden="1">
      <c r="D3820" s="1"/>
      <c r="K3820" s="1"/>
      <c r="Q3820" s="1"/>
      <c r="AD3820" s="1"/>
      <c r="AG3820" s="1"/>
      <c r="AI3820" s="1"/>
    </row>
    <row r="3821" spans="4:35" hidden="1">
      <c r="D3821" s="1"/>
      <c r="K3821" s="1"/>
      <c r="Q3821" s="1"/>
      <c r="AD3821" s="1"/>
      <c r="AG3821" s="1"/>
      <c r="AI3821" s="1"/>
    </row>
    <row r="3822" spans="4:35" hidden="1">
      <c r="D3822" s="1"/>
      <c r="K3822" s="1"/>
      <c r="Q3822" s="1"/>
      <c r="AD3822" s="1"/>
      <c r="AG3822" s="1"/>
      <c r="AI3822" s="1"/>
    </row>
    <row r="3823" spans="4:35" hidden="1">
      <c r="D3823" s="1"/>
      <c r="K3823" s="1"/>
      <c r="Q3823" s="1"/>
      <c r="AD3823" s="1"/>
      <c r="AG3823" s="1"/>
      <c r="AI3823" s="1"/>
    </row>
    <row r="3824" spans="4:35" hidden="1">
      <c r="D3824" s="1"/>
      <c r="K3824" s="1"/>
      <c r="Q3824" s="1"/>
      <c r="AD3824" s="1"/>
      <c r="AG3824" s="1"/>
      <c r="AI3824" s="1"/>
    </row>
    <row r="3825" spans="4:35" hidden="1">
      <c r="D3825" s="1"/>
      <c r="K3825" s="1"/>
      <c r="Q3825" s="1"/>
      <c r="AD3825" s="1"/>
      <c r="AG3825" s="1"/>
      <c r="AI3825" s="1"/>
    </row>
    <row r="3826" spans="4:35" hidden="1">
      <c r="D3826" s="1"/>
      <c r="K3826" s="1"/>
      <c r="Q3826" s="1"/>
      <c r="AD3826" s="1"/>
      <c r="AG3826" s="1"/>
      <c r="AI3826" s="1"/>
    </row>
    <row r="3827" spans="4:35" hidden="1">
      <c r="D3827" s="1"/>
      <c r="K3827" s="1"/>
      <c r="Q3827" s="1"/>
      <c r="AD3827" s="1"/>
      <c r="AG3827" s="1"/>
      <c r="AI3827" s="1"/>
    </row>
    <row r="3828" spans="4:35" hidden="1">
      <c r="D3828" s="1"/>
      <c r="K3828" s="1"/>
      <c r="Q3828" s="1"/>
      <c r="AD3828" s="1"/>
      <c r="AG3828" s="1"/>
      <c r="AI3828" s="1"/>
    </row>
    <row r="3829" spans="4:35" hidden="1">
      <c r="D3829" s="1"/>
      <c r="K3829" s="1"/>
      <c r="Q3829" s="1"/>
      <c r="AD3829" s="1"/>
      <c r="AG3829" s="1"/>
      <c r="AI3829" s="1"/>
    </row>
    <row r="3830" spans="4:35" hidden="1">
      <c r="D3830" s="1"/>
      <c r="K3830" s="1"/>
      <c r="Q3830" s="1"/>
      <c r="AD3830" s="1"/>
      <c r="AG3830" s="1"/>
      <c r="AI3830" s="1"/>
    </row>
    <row r="3831" spans="4:35" hidden="1">
      <c r="D3831" s="1"/>
      <c r="K3831" s="1"/>
      <c r="Q3831" s="1"/>
      <c r="AD3831" s="1"/>
      <c r="AG3831" s="1"/>
      <c r="AI3831" s="1"/>
    </row>
    <row r="3832" spans="4:35" hidden="1">
      <c r="D3832" s="1"/>
      <c r="K3832" s="1"/>
      <c r="Q3832" s="1"/>
      <c r="AD3832" s="1"/>
      <c r="AG3832" s="1"/>
      <c r="AI3832" s="1"/>
    </row>
    <row r="3833" spans="4:35" hidden="1">
      <c r="D3833" s="1"/>
      <c r="K3833" s="1"/>
      <c r="Q3833" s="1"/>
      <c r="AD3833" s="1"/>
      <c r="AG3833" s="1"/>
      <c r="AI3833" s="1"/>
    </row>
    <row r="3834" spans="4:35" hidden="1">
      <c r="D3834" s="1"/>
      <c r="K3834" s="1"/>
      <c r="Q3834" s="1"/>
      <c r="AD3834" s="1"/>
      <c r="AG3834" s="1"/>
      <c r="AI3834" s="1"/>
    </row>
    <row r="3835" spans="4:35" hidden="1">
      <c r="D3835" s="1"/>
      <c r="K3835" s="1"/>
      <c r="Q3835" s="1"/>
      <c r="AD3835" s="1"/>
      <c r="AG3835" s="1"/>
      <c r="AI3835" s="1"/>
    </row>
    <row r="3836" spans="4:35" hidden="1">
      <c r="D3836" s="1"/>
      <c r="K3836" s="1"/>
      <c r="Q3836" s="1"/>
      <c r="AD3836" s="1"/>
      <c r="AG3836" s="1"/>
      <c r="AI3836" s="1"/>
    </row>
    <row r="3837" spans="4:35" hidden="1">
      <c r="D3837" s="1"/>
      <c r="K3837" s="1"/>
      <c r="Q3837" s="1"/>
      <c r="AD3837" s="1"/>
      <c r="AG3837" s="1"/>
      <c r="AI3837" s="1"/>
    </row>
    <row r="3838" spans="4:35" hidden="1">
      <c r="D3838" s="1"/>
      <c r="K3838" s="1"/>
      <c r="Q3838" s="1"/>
      <c r="AD3838" s="1"/>
      <c r="AG3838" s="1"/>
      <c r="AI3838" s="1"/>
    </row>
    <row r="3839" spans="4:35" hidden="1">
      <c r="D3839" s="1"/>
      <c r="K3839" s="1"/>
      <c r="Q3839" s="1"/>
      <c r="AD3839" s="1"/>
      <c r="AG3839" s="1"/>
      <c r="AI3839" s="1"/>
    </row>
    <row r="3840" spans="4:35" hidden="1">
      <c r="D3840" s="1"/>
      <c r="K3840" s="1"/>
      <c r="Q3840" s="1"/>
      <c r="AD3840" s="1"/>
      <c r="AG3840" s="1"/>
      <c r="AI3840" s="1"/>
    </row>
    <row r="3841" spans="4:35" hidden="1">
      <c r="D3841" s="1"/>
      <c r="K3841" s="1"/>
      <c r="Q3841" s="1"/>
      <c r="AD3841" s="1"/>
      <c r="AG3841" s="1"/>
      <c r="AI3841" s="1"/>
    </row>
    <row r="3842" spans="4:35" hidden="1">
      <c r="D3842" s="1"/>
      <c r="K3842" s="1"/>
      <c r="Q3842" s="1"/>
      <c r="AD3842" s="1"/>
      <c r="AG3842" s="1"/>
      <c r="AI3842" s="1"/>
    </row>
    <row r="3843" spans="4:35" hidden="1">
      <c r="D3843" s="1"/>
      <c r="K3843" s="1"/>
      <c r="Q3843" s="1"/>
      <c r="AD3843" s="1"/>
      <c r="AG3843" s="1"/>
      <c r="AI3843" s="1"/>
    </row>
    <row r="3844" spans="4:35" hidden="1">
      <c r="D3844" s="1"/>
      <c r="K3844" s="1"/>
      <c r="Q3844" s="1"/>
      <c r="AD3844" s="1"/>
      <c r="AG3844" s="1"/>
      <c r="AI3844" s="1"/>
    </row>
    <row r="3845" spans="4:35" hidden="1">
      <c r="D3845" s="1"/>
      <c r="K3845" s="1"/>
      <c r="Q3845" s="1"/>
      <c r="AD3845" s="1"/>
      <c r="AG3845" s="1"/>
      <c r="AI3845" s="1"/>
    </row>
    <row r="3846" spans="4:35" hidden="1">
      <c r="D3846" s="1"/>
      <c r="K3846" s="1"/>
      <c r="Q3846" s="1"/>
      <c r="AD3846" s="1"/>
      <c r="AG3846" s="1"/>
      <c r="AI3846" s="1"/>
    </row>
    <row r="3847" spans="4:35" hidden="1">
      <c r="D3847" s="1"/>
      <c r="K3847" s="1"/>
      <c r="Q3847" s="1"/>
      <c r="AD3847" s="1"/>
      <c r="AG3847" s="1"/>
      <c r="AI3847" s="1"/>
    </row>
    <row r="3848" spans="4:35" hidden="1">
      <c r="D3848" s="1"/>
      <c r="K3848" s="1"/>
      <c r="Q3848" s="1"/>
      <c r="AD3848" s="1"/>
      <c r="AG3848" s="1"/>
      <c r="AI3848" s="1"/>
    </row>
    <row r="3849" spans="4:35" hidden="1">
      <c r="D3849" s="1"/>
      <c r="K3849" s="1"/>
      <c r="Q3849" s="1"/>
      <c r="AD3849" s="1"/>
      <c r="AG3849" s="1"/>
      <c r="AI3849" s="1"/>
    </row>
    <row r="3850" spans="4:35" hidden="1">
      <c r="D3850" s="1"/>
      <c r="K3850" s="1"/>
      <c r="Q3850" s="1"/>
      <c r="AD3850" s="1"/>
      <c r="AG3850" s="1"/>
      <c r="AI3850" s="1"/>
    </row>
    <row r="3851" spans="4:35" hidden="1">
      <c r="D3851" s="1"/>
      <c r="K3851" s="1"/>
      <c r="Q3851" s="1"/>
      <c r="AD3851" s="1"/>
      <c r="AG3851" s="1"/>
      <c r="AI3851" s="1"/>
    </row>
    <row r="3852" spans="4:35" hidden="1">
      <c r="D3852" s="1"/>
      <c r="K3852" s="1"/>
      <c r="Q3852" s="1"/>
      <c r="AD3852" s="1"/>
      <c r="AG3852" s="1"/>
      <c r="AI3852" s="1"/>
    </row>
    <row r="3853" spans="4:35" hidden="1">
      <c r="D3853" s="1"/>
      <c r="K3853" s="1"/>
      <c r="Q3853" s="1"/>
      <c r="AD3853" s="1"/>
      <c r="AG3853" s="1"/>
      <c r="AI3853" s="1"/>
    </row>
    <row r="3854" spans="4:35" hidden="1">
      <c r="D3854" s="1"/>
      <c r="K3854" s="1"/>
      <c r="Q3854" s="1"/>
      <c r="AD3854" s="1"/>
      <c r="AG3854" s="1"/>
      <c r="AI3854" s="1"/>
    </row>
    <row r="3855" spans="4:35" hidden="1">
      <c r="D3855" s="1"/>
      <c r="K3855" s="1"/>
      <c r="Q3855" s="1"/>
      <c r="AD3855" s="1"/>
      <c r="AG3855" s="1"/>
      <c r="AI3855" s="1"/>
    </row>
    <row r="3856" spans="4:35" hidden="1">
      <c r="D3856" s="1"/>
      <c r="K3856" s="1"/>
      <c r="Q3856" s="1"/>
      <c r="AD3856" s="1"/>
      <c r="AG3856" s="1"/>
      <c r="AI3856" s="1"/>
    </row>
    <row r="3857" spans="4:35" hidden="1">
      <c r="D3857" s="1"/>
      <c r="K3857" s="1"/>
      <c r="Q3857" s="1"/>
      <c r="AD3857" s="1"/>
      <c r="AG3857" s="1"/>
      <c r="AI3857" s="1"/>
    </row>
    <row r="3858" spans="4:35" hidden="1">
      <c r="D3858" s="1"/>
      <c r="K3858" s="1"/>
      <c r="Q3858" s="1"/>
      <c r="AD3858" s="1"/>
      <c r="AG3858" s="1"/>
      <c r="AI3858" s="1"/>
    </row>
    <row r="3859" spans="4:35" hidden="1">
      <c r="D3859" s="1"/>
      <c r="K3859" s="1"/>
      <c r="Q3859" s="1"/>
      <c r="AD3859" s="1"/>
      <c r="AG3859" s="1"/>
      <c r="AI3859" s="1"/>
    </row>
    <row r="3860" spans="4:35" hidden="1">
      <c r="D3860" s="1"/>
      <c r="K3860" s="1"/>
      <c r="Q3860" s="1"/>
      <c r="AD3860" s="1"/>
      <c r="AG3860" s="1"/>
      <c r="AI3860" s="1"/>
    </row>
    <row r="3861" spans="4:35" hidden="1">
      <c r="D3861" s="1"/>
      <c r="K3861" s="1"/>
      <c r="Q3861" s="1"/>
      <c r="AD3861" s="1"/>
      <c r="AG3861" s="1"/>
      <c r="AI3861" s="1"/>
    </row>
    <row r="3862" spans="4:35" hidden="1">
      <c r="D3862" s="1"/>
      <c r="K3862" s="1"/>
      <c r="Q3862" s="1"/>
      <c r="AD3862" s="1"/>
      <c r="AG3862" s="1"/>
      <c r="AI3862" s="1"/>
    </row>
    <row r="3863" spans="4:35" hidden="1">
      <c r="D3863" s="1"/>
      <c r="K3863" s="1"/>
      <c r="Q3863" s="1"/>
      <c r="AD3863" s="1"/>
      <c r="AG3863" s="1"/>
      <c r="AI3863" s="1"/>
    </row>
    <row r="3864" spans="4:35" hidden="1">
      <c r="D3864" s="1"/>
      <c r="K3864" s="1"/>
      <c r="Q3864" s="1"/>
      <c r="AD3864" s="1"/>
      <c r="AG3864" s="1"/>
      <c r="AI3864" s="1"/>
    </row>
    <row r="3865" spans="4:35" hidden="1">
      <c r="D3865" s="1"/>
      <c r="K3865" s="1"/>
      <c r="Q3865" s="1"/>
      <c r="AD3865" s="1"/>
      <c r="AG3865" s="1"/>
      <c r="AI3865" s="1"/>
    </row>
    <row r="3866" spans="4:35" hidden="1">
      <c r="D3866" s="1"/>
      <c r="K3866" s="1"/>
      <c r="Q3866" s="1"/>
      <c r="AD3866" s="1"/>
      <c r="AG3866" s="1"/>
      <c r="AI3866" s="1"/>
    </row>
    <row r="3867" spans="4:35" hidden="1">
      <c r="D3867" s="1"/>
      <c r="K3867" s="1"/>
      <c r="Q3867" s="1"/>
      <c r="AD3867" s="1"/>
      <c r="AG3867" s="1"/>
      <c r="AI3867" s="1"/>
    </row>
    <row r="3868" spans="4:35" hidden="1">
      <c r="D3868" s="1"/>
      <c r="K3868" s="1"/>
      <c r="Q3868" s="1"/>
      <c r="AD3868" s="1"/>
      <c r="AG3868" s="1"/>
      <c r="AI3868" s="1"/>
    </row>
    <row r="3869" spans="4:35" hidden="1">
      <c r="D3869" s="1"/>
      <c r="K3869" s="1"/>
      <c r="Q3869" s="1"/>
      <c r="AD3869" s="1"/>
      <c r="AG3869" s="1"/>
      <c r="AI3869" s="1"/>
    </row>
    <row r="3870" spans="4:35" hidden="1">
      <c r="D3870" s="1"/>
      <c r="K3870" s="1"/>
      <c r="Q3870" s="1"/>
      <c r="AD3870" s="1"/>
      <c r="AG3870" s="1"/>
      <c r="AI3870" s="1"/>
    </row>
    <row r="3871" spans="4:35" hidden="1">
      <c r="D3871" s="1"/>
      <c r="K3871" s="1"/>
      <c r="Q3871" s="1"/>
      <c r="AD3871" s="1"/>
      <c r="AG3871" s="1"/>
      <c r="AI3871" s="1"/>
    </row>
    <row r="3872" spans="4:35" hidden="1">
      <c r="D3872" s="1"/>
      <c r="K3872" s="1"/>
      <c r="Q3872" s="1"/>
      <c r="AD3872" s="1"/>
      <c r="AG3872" s="1"/>
      <c r="AI3872" s="1"/>
    </row>
    <row r="3873" spans="4:35" hidden="1">
      <c r="D3873" s="1"/>
      <c r="K3873" s="1"/>
      <c r="Q3873" s="1"/>
      <c r="AD3873" s="1"/>
      <c r="AG3873" s="1"/>
      <c r="AI3873" s="1"/>
    </row>
    <row r="3874" spans="4:35" hidden="1">
      <c r="D3874" s="1"/>
      <c r="K3874" s="1"/>
      <c r="Q3874" s="1"/>
      <c r="AD3874" s="1"/>
      <c r="AG3874" s="1"/>
      <c r="AI3874" s="1"/>
    </row>
    <row r="3875" spans="4:35" hidden="1">
      <c r="D3875" s="1"/>
      <c r="K3875" s="1"/>
      <c r="Q3875" s="1"/>
      <c r="AD3875" s="1"/>
      <c r="AG3875" s="1"/>
      <c r="AI3875" s="1"/>
    </row>
    <row r="3876" spans="4:35" hidden="1">
      <c r="D3876" s="1"/>
      <c r="K3876" s="1"/>
      <c r="Q3876" s="1"/>
      <c r="AD3876" s="1"/>
      <c r="AG3876" s="1"/>
      <c r="AI3876" s="1"/>
    </row>
    <row r="3877" spans="4:35" hidden="1">
      <c r="D3877" s="1"/>
      <c r="K3877" s="1"/>
      <c r="Q3877" s="1"/>
      <c r="AD3877" s="1"/>
      <c r="AG3877" s="1"/>
      <c r="AI3877" s="1"/>
    </row>
    <row r="3878" spans="4:35" hidden="1">
      <c r="D3878" s="1"/>
      <c r="K3878" s="1"/>
      <c r="Q3878" s="1"/>
      <c r="AD3878" s="1"/>
      <c r="AG3878" s="1"/>
      <c r="AI3878" s="1"/>
    </row>
    <row r="3879" spans="4:35" hidden="1">
      <c r="D3879" s="1"/>
      <c r="K3879" s="1"/>
      <c r="Q3879" s="1"/>
      <c r="AD3879" s="1"/>
      <c r="AG3879" s="1"/>
      <c r="AI3879" s="1"/>
    </row>
    <row r="3880" spans="4:35" hidden="1">
      <c r="D3880" s="1"/>
      <c r="K3880" s="1"/>
      <c r="Q3880" s="1"/>
      <c r="AD3880" s="1"/>
      <c r="AG3880" s="1"/>
      <c r="AI3880" s="1"/>
    </row>
    <row r="3881" spans="4:35" hidden="1">
      <c r="D3881" s="1"/>
      <c r="K3881" s="1"/>
      <c r="Q3881" s="1"/>
      <c r="AD3881" s="1"/>
      <c r="AG3881" s="1"/>
      <c r="AI3881" s="1"/>
    </row>
    <row r="3882" spans="4:35" hidden="1">
      <c r="D3882" s="1"/>
      <c r="K3882" s="1"/>
      <c r="Q3882" s="1"/>
      <c r="AD3882" s="1"/>
      <c r="AG3882" s="1"/>
      <c r="AI3882" s="1"/>
    </row>
    <row r="3883" spans="4:35" hidden="1">
      <c r="D3883" s="1"/>
      <c r="K3883" s="1"/>
      <c r="Q3883" s="1"/>
      <c r="AD3883" s="1"/>
      <c r="AG3883" s="1"/>
      <c r="AI3883" s="1"/>
    </row>
    <row r="3884" spans="4:35" hidden="1">
      <c r="D3884" s="1"/>
      <c r="K3884" s="1"/>
      <c r="Q3884" s="1"/>
      <c r="AD3884" s="1"/>
      <c r="AG3884" s="1"/>
      <c r="AI3884" s="1"/>
    </row>
    <row r="3885" spans="4:35" hidden="1">
      <c r="D3885" s="1"/>
      <c r="K3885" s="1"/>
      <c r="Q3885" s="1"/>
      <c r="AD3885" s="1"/>
      <c r="AG3885" s="1"/>
      <c r="AI3885" s="1"/>
    </row>
    <row r="3886" spans="4:35" hidden="1">
      <c r="D3886" s="1"/>
      <c r="K3886" s="1"/>
      <c r="Q3886" s="1"/>
      <c r="AD3886" s="1"/>
      <c r="AG3886" s="1"/>
      <c r="AI3886" s="1"/>
    </row>
    <row r="3887" spans="4:35" hidden="1">
      <c r="D3887" s="1"/>
      <c r="K3887" s="1"/>
      <c r="Q3887" s="1"/>
      <c r="AD3887" s="1"/>
      <c r="AG3887" s="1"/>
      <c r="AI3887" s="1"/>
    </row>
    <row r="3888" spans="4:35" hidden="1">
      <c r="D3888" s="1"/>
      <c r="K3888" s="1"/>
      <c r="Q3888" s="1"/>
      <c r="AD3888" s="1"/>
      <c r="AG3888" s="1"/>
      <c r="AI3888" s="1"/>
    </row>
    <row r="3889" spans="4:35" hidden="1">
      <c r="D3889" s="1"/>
      <c r="K3889" s="1"/>
      <c r="Q3889" s="1"/>
      <c r="AD3889" s="1"/>
      <c r="AG3889" s="1"/>
      <c r="AI3889" s="1"/>
    </row>
    <row r="3890" spans="4:35" hidden="1">
      <c r="D3890" s="1"/>
      <c r="K3890" s="1"/>
      <c r="Q3890" s="1"/>
      <c r="AD3890" s="1"/>
      <c r="AG3890" s="1"/>
      <c r="AI3890" s="1"/>
    </row>
    <row r="3891" spans="4:35" hidden="1">
      <c r="D3891" s="1"/>
      <c r="K3891" s="1"/>
      <c r="Q3891" s="1"/>
      <c r="AD3891" s="1"/>
      <c r="AG3891" s="1"/>
      <c r="AI3891" s="1"/>
    </row>
    <row r="3892" spans="4:35" hidden="1">
      <c r="D3892" s="1"/>
      <c r="K3892" s="1"/>
      <c r="Q3892" s="1"/>
      <c r="AD3892" s="1"/>
      <c r="AG3892" s="1"/>
      <c r="AI3892" s="1"/>
    </row>
    <row r="3893" spans="4:35" hidden="1">
      <c r="D3893" s="1"/>
      <c r="K3893" s="1"/>
      <c r="Q3893" s="1"/>
      <c r="AD3893" s="1"/>
      <c r="AG3893" s="1"/>
      <c r="AI3893" s="1"/>
    </row>
    <row r="3894" spans="4:35" hidden="1">
      <c r="D3894" s="1"/>
      <c r="K3894" s="1"/>
      <c r="Q3894" s="1"/>
      <c r="AD3894" s="1"/>
      <c r="AG3894" s="1"/>
      <c r="AI3894" s="1"/>
    </row>
    <row r="3895" spans="4:35" hidden="1">
      <c r="D3895" s="1"/>
      <c r="K3895" s="1"/>
      <c r="Q3895" s="1"/>
      <c r="AD3895" s="1"/>
      <c r="AG3895" s="1"/>
      <c r="AI3895" s="1"/>
    </row>
    <row r="3896" spans="4:35" hidden="1">
      <c r="D3896" s="1"/>
      <c r="K3896" s="1"/>
      <c r="Q3896" s="1"/>
      <c r="AD3896" s="1"/>
      <c r="AG3896" s="1"/>
      <c r="AI3896" s="1"/>
    </row>
    <row r="3897" spans="4:35" hidden="1">
      <c r="D3897" s="1"/>
      <c r="K3897" s="1"/>
      <c r="Q3897" s="1"/>
      <c r="AD3897" s="1"/>
      <c r="AG3897" s="1"/>
      <c r="AI3897" s="1"/>
    </row>
    <row r="3898" spans="4:35" hidden="1">
      <c r="D3898" s="1"/>
      <c r="K3898" s="1"/>
      <c r="Q3898" s="1"/>
      <c r="AD3898" s="1"/>
      <c r="AG3898" s="1"/>
      <c r="AI3898" s="1"/>
    </row>
    <row r="3899" spans="4:35" hidden="1">
      <c r="D3899" s="1"/>
      <c r="K3899" s="1"/>
      <c r="Q3899" s="1"/>
      <c r="AD3899" s="1"/>
      <c r="AG3899" s="1"/>
      <c r="AI3899" s="1"/>
    </row>
    <row r="3900" spans="4:35" hidden="1">
      <c r="D3900" s="1"/>
      <c r="K3900" s="1"/>
      <c r="Q3900" s="1"/>
      <c r="AD3900" s="1"/>
      <c r="AG3900" s="1"/>
      <c r="AI3900" s="1"/>
    </row>
    <row r="3901" spans="4:35" hidden="1">
      <c r="D3901" s="1"/>
      <c r="K3901" s="1"/>
      <c r="Q3901" s="1"/>
      <c r="AD3901" s="1"/>
      <c r="AG3901" s="1"/>
      <c r="AI3901" s="1"/>
    </row>
    <row r="3902" spans="4:35" hidden="1">
      <c r="D3902" s="1"/>
      <c r="K3902" s="1"/>
      <c r="Q3902" s="1"/>
      <c r="AD3902" s="1"/>
      <c r="AG3902" s="1"/>
      <c r="AI3902" s="1"/>
    </row>
    <row r="3903" spans="4:35" hidden="1">
      <c r="D3903" s="1"/>
      <c r="K3903" s="1"/>
      <c r="Q3903" s="1"/>
      <c r="AD3903" s="1"/>
      <c r="AG3903" s="1"/>
      <c r="AI3903" s="1"/>
    </row>
    <row r="3904" spans="4:35" hidden="1">
      <c r="D3904" s="1"/>
      <c r="K3904" s="1"/>
      <c r="Q3904" s="1"/>
      <c r="AD3904" s="1"/>
      <c r="AG3904" s="1"/>
      <c r="AI3904" s="1"/>
    </row>
    <row r="3905" spans="4:35" hidden="1">
      <c r="D3905" s="1"/>
      <c r="K3905" s="1"/>
      <c r="Q3905" s="1"/>
      <c r="AD3905" s="1"/>
      <c r="AG3905" s="1"/>
      <c r="AI3905" s="1"/>
    </row>
    <row r="3906" spans="4:35" hidden="1">
      <c r="D3906" s="1"/>
      <c r="K3906" s="1"/>
      <c r="Q3906" s="1"/>
      <c r="AD3906" s="1"/>
      <c r="AG3906" s="1"/>
      <c r="AI3906" s="1"/>
    </row>
    <row r="3907" spans="4:35" hidden="1">
      <c r="D3907" s="1"/>
      <c r="K3907" s="1"/>
      <c r="Q3907" s="1"/>
      <c r="AD3907" s="1"/>
      <c r="AG3907" s="1"/>
      <c r="AI3907" s="1"/>
    </row>
    <row r="3908" spans="4:35" hidden="1">
      <c r="D3908" s="1"/>
      <c r="K3908" s="1"/>
      <c r="Q3908" s="1"/>
      <c r="AD3908" s="1"/>
      <c r="AG3908" s="1"/>
      <c r="AI3908" s="1"/>
    </row>
    <row r="3909" spans="4:35" hidden="1">
      <c r="D3909" s="1"/>
      <c r="K3909" s="1"/>
      <c r="Q3909" s="1"/>
      <c r="AD3909" s="1"/>
      <c r="AG3909" s="1"/>
      <c r="AI3909" s="1"/>
    </row>
    <row r="3910" spans="4:35" hidden="1">
      <c r="D3910" s="1"/>
      <c r="K3910" s="1"/>
      <c r="Q3910" s="1"/>
      <c r="AD3910" s="1"/>
      <c r="AG3910" s="1"/>
      <c r="AI3910" s="1"/>
    </row>
    <row r="3911" spans="4:35" hidden="1">
      <c r="D3911" s="1"/>
      <c r="K3911" s="1"/>
      <c r="Q3911" s="1"/>
      <c r="AD3911" s="1"/>
      <c r="AG3911" s="1"/>
      <c r="AI3911" s="1"/>
    </row>
    <row r="3912" spans="4:35" hidden="1">
      <c r="D3912" s="1"/>
      <c r="K3912" s="1"/>
      <c r="Q3912" s="1"/>
      <c r="AD3912" s="1"/>
      <c r="AG3912" s="1"/>
      <c r="AI3912" s="1"/>
    </row>
    <row r="3913" spans="4:35" hidden="1">
      <c r="D3913" s="1"/>
      <c r="K3913" s="1"/>
      <c r="Q3913" s="1"/>
      <c r="AD3913" s="1"/>
      <c r="AG3913" s="1"/>
      <c r="AI3913" s="1"/>
    </row>
    <row r="3914" spans="4:35" hidden="1">
      <c r="D3914" s="1"/>
      <c r="K3914" s="1"/>
      <c r="Q3914" s="1"/>
      <c r="AD3914" s="1"/>
      <c r="AG3914" s="1"/>
      <c r="AI3914" s="1"/>
    </row>
    <row r="3915" spans="4:35" hidden="1">
      <c r="D3915" s="1"/>
      <c r="K3915" s="1"/>
      <c r="Q3915" s="1"/>
      <c r="AD3915" s="1"/>
      <c r="AG3915" s="1"/>
      <c r="AI3915" s="1"/>
    </row>
    <row r="3916" spans="4:35" hidden="1">
      <c r="D3916" s="1"/>
      <c r="K3916" s="1"/>
      <c r="Q3916" s="1"/>
      <c r="AD3916" s="1"/>
      <c r="AG3916" s="1"/>
      <c r="AI3916" s="1"/>
    </row>
    <row r="3917" spans="4:35" hidden="1">
      <c r="D3917" s="1"/>
      <c r="K3917" s="1"/>
      <c r="Q3917" s="1"/>
      <c r="AD3917" s="1"/>
      <c r="AG3917" s="1"/>
      <c r="AI3917" s="1"/>
    </row>
    <row r="3918" spans="4:35" hidden="1">
      <c r="D3918" s="1"/>
      <c r="K3918" s="1"/>
      <c r="Q3918" s="1"/>
      <c r="AD3918" s="1"/>
      <c r="AG3918" s="1"/>
      <c r="AI3918" s="1"/>
    </row>
    <row r="3919" spans="4:35" hidden="1">
      <c r="D3919" s="1"/>
      <c r="K3919" s="1"/>
      <c r="Q3919" s="1"/>
      <c r="AD3919" s="1"/>
      <c r="AG3919" s="1"/>
      <c r="AI3919" s="1"/>
    </row>
    <row r="3920" spans="4:35" hidden="1">
      <c r="D3920" s="1"/>
      <c r="K3920" s="1"/>
      <c r="Q3920" s="1"/>
      <c r="AD3920" s="1"/>
      <c r="AG3920" s="1"/>
      <c r="AI3920" s="1"/>
    </row>
    <row r="3921" spans="4:35" hidden="1">
      <c r="D3921" s="1"/>
      <c r="K3921" s="1"/>
      <c r="Q3921" s="1"/>
      <c r="AD3921" s="1"/>
      <c r="AG3921" s="1"/>
      <c r="AI3921" s="1"/>
    </row>
    <row r="3922" spans="4:35" hidden="1">
      <c r="D3922" s="1"/>
      <c r="K3922" s="1"/>
      <c r="Q3922" s="1"/>
      <c r="AD3922" s="1"/>
      <c r="AG3922" s="1"/>
      <c r="AI3922" s="1"/>
    </row>
    <row r="3923" spans="4:35" hidden="1">
      <c r="D3923" s="1"/>
      <c r="K3923" s="1"/>
      <c r="Q3923" s="1"/>
      <c r="AD3923" s="1"/>
      <c r="AG3923" s="1"/>
      <c r="AI3923" s="1"/>
    </row>
    <row r="3924" spans="4:35" hidden="1">
      <c r="D3924" s="1"/>
      <c r="K3924" s="1"/>
      <c r="Q3924" s="1"/>
      <c r="AD3924" s="1"/>
      <c r="AG3924" s="1"/>
      <c r="AI3924" s="1"/>
    </row>
    <row r="3925" spans="4:35" hidden="1">
      <c r="D3925" s="1"/>
      <c r="K3925" s="1"/>
      <c r="Q3925" s="1"/>
      <c r="AD3925" s="1"/>
      <c r="AG3925" s="1"/>
      <c r="AI3925" s="1"/>
    </row>
    <row r="3926" spans="4:35" hidden="1">
      <c r="D3926" s="1"/>
      <c r="K3926" s="1"/>
      <c r="Q3926" s="1"/>
      <c r="AD3926" s="1"/>
      <c r="AG3926" s="1"/>
      <c r="AI3926" s="1"/>
    </row>
    <row r="3927" spans="4:35" hidden="1">
      <c r="D3927" s="1"/>
      <c r="K3927" s="1"/>
      <c r="Q3927" s="1"/>
      <c r="AD3927" s="1"/>
      <c r="AG3927" s="1"/>
      <c r="AI3927" s="1"/>
    </row>
    <row r="3928" spans="4:35" hidden="1">
      <c r="D3928" s="1"/>
      <c r="K3928" s="1"/>
      <c r="Q3928" s="1"/>
      <c r="AD3928" s="1"/>
      <c r="AG3928" s="1"/>
      <c r="AI3928" s="1"/>
    </row>
    <row r="3929" spans="4:35" hidden="1">
      <c r="D3929" s="1"/>
      <c r="K3929" s="1"/>
      <c r="Q3929" s="1"/>
      <c r="AD3929" s="1"/>
      <c r="AG3929" s="1"/>
      <c r="AI3929" s="1"/>
    </row>
    <row r="3930" spans="4:35" hidden="1">
      <c r="D3930" s="1"/>
      <c r="K3930" s="1"/>
      <c r="Q3930" s="1"/>
      <c r="AD3930" s="1"/>
      <c r="AG3930" s="1"/>
      <c r="AI3930" s="1"/>
    </row>
    <row r="3931" spans="4:35" hidden="1">
      <c r="D3931" s="1"/>
      <c r="K3931" s="1"/>
      <c r="Q3931" s="1"/>
      <c r="AD3931" s="1"/>
      <c r="AG3931" s="1"/>
      <c r="AI3931" s="1"/>
    </row>
    <row r="3932" spans="4:35" hidden="1">
      <c r="D3932" s="1"/>
      <c r="K3932" s="1"/>
      <c r="Q3932" s="1"/>
      <c r="AD3932" s="1"/>
      <c r="AG3932" s="1"/>
      <c r="AI3932" s="1"/>
    </row>
    <row r="3933" spans="4:35" hidden="1">
      <c r="D3933" s="1"/>
      <c r="K3933" s="1"/>
      <c r="Q3933" s="1"/>
      <c r="AD3933" s="1"/>
      <c r="AG3933" s="1"/>
      <c r="AI3933" s="1"/>
    </row>
    <row r="3934" spans="4:35" hidden="1">
      <c r="D3934" s="1"/>
      <c r="K3934" s="1"/>
      <c r="Q3934" s="1"/>
      <c r="AD3934" s="1"/>
      <c r="AG3934" s="1"/>
      <c r="AI3934" s="1"/>
    </row>
    <row r="3935" spans="4:35" hidden="1">
      <c r="D3935" s="1"/>
      <c r="K3935" s="1"/>
      <c r="Q3935" s="1"/>
      <c r="AD3935" s="1"/>
      <c r="AG3935" s="1"/>
      <c r="AI3935" s="1"/>
    </row>
    <row r="3936" spans="4:35" hidden="1">
      <c r="D3936" s="1"/>
      <c r="K3936" s="1"/>
      <c r="Q3936" s="1"/>
      <c r="AD3936" s="1"/>
      <c r="AG3936" s="1"/>
      <c r="AI3936" s="1"/>
    </row>
    <row r="3937" spans="4:35" hidden="1">
      <c r="D3937" s="1"/>
      <c r="K3937" s="1"/>
      <c r="Q3937" s="1"/>
      <c r="AD3937" s="1"/>
      <c r="AG3937" s="1"/>
      <c r="AI3937" s="1"/>
    </row>
    <row r="3938" spans="4:35" hidden="1">
      <c r="D3938" s="1"/>
      <c r="K3938" s="1"/>
      <c r="Q3938" s="1"/>
      <c r="AD3938" s="1"/>
      <c r="AG3938" s="1"/>
      <c r="AI3938" s="1"/>
    </row>
    <row r="3939" spans="4:35" hidden="1">
      <c r="D3939" s="1"/>
      <c r="K3939" s="1"/>
      <c r="Q3939" s="1"/>
      <c r="AD3939" s="1"/>
      <c r="AG3939" s="1"/>
      <c r="AI3939" s="1"/>
    </row>
    <row r="3940" spans="4:35" hidden="1">
      <c r="D3940" s="1"/>
      <c r="K3940" s="1"/>
      <c r="Q3940" s="1"/>
      <c r="AD3940" s="1"/>
      <c r="AG3940" s="1"/>
      <c r="AI3940" s="1"/>
    </row>
    <row r="3941" spans="4:35" hidden="1">
      <c r="D3941" s="1"/>
      <c r="K3941" s="1"/>
      <c r="Q3941" s="1"/>
      <c r="AD3941" s="1"/>
      <c r="AG3941" s="1"/>
      <c r="AI3941" s="1"/>
    </row>
    <row r="3942" spans="4:35" hidden="1">
      <c r="D3942" s="1"/>
      <c r="K3942" s="1"/>
      <c r="Q3942" s="1"/>
      <c r="AD3942" s="1"/>
      <c r="AG3942" s="1"/>
      <c r="AI3942" s="1"/>
    </row>
    <row r="3943" spans="4:35" hidden="1">
      <c r="D3943" s="1"/>
      <c r="K3943" s="1"/>
      <c r="Q3943" s="1"/>
      <c r="AD3943" s="1"/>
      <c r="AG3943" s="1"/>
      <c r="AI3943" s="1"/>
    </row>
    <row r="3944" spans="4:35" hidden="1">
      <c r="D3944" s="1"/>
      <c r="K3944" s="1"/>
      <c r="Q3944" s="1"/>
      <c r="AD3944" s="1"/>
      <c r="AG3944" s="1"/>
      <c r="AI3944" s="1"/>
    </row>
    <row r="3945" spans="4:35" hidden="1">
      <c r="D3945" s="1"/>
      <c r="K3945" s="1"/>
      <c r="Q3945" s="1"/>
      <c r="AD3945" s="1"/>
      <c r="AG3945" s="1"/>
      <c r="AI3945" s="1"/>
    </row>
    <row r="3946" spans="4:35" hidden="1">
      <c r="D3946" s="1"/>
      <c r="K3946" s="1"/>
      <c r="Q3946" s="1"/>
      <c r="AD3946" s="1"/>
      <c r="AG3946" s="1"/>
      <c r="AI3946" s="1"/>
    </row>
    <row r="3947" spans="4:35" hidden="1">
      <c r="D3947" s="1"/>
      <c r="K3947" s="1"/>
      <c r="Q3947" s="1"/>
      <c r="AD3947" s="1"/>
      <c r="AG3947" s="1"/>
      <c r="AI3947" s="1"/>
    </row>
    <row r="3948" spans="4:35" hidden="1">
      <c r="D3948" s="1"/>
      <c r="K3948" s="1"/>
      <c r="Q3948" s="1"/>
      <c r="AD3948" s="1"/>
      <c r="AG3948" s="1"/>
      <c r="AI3948" s="1"/>
    </row>
    <row r="3949" spans="4:35" hidden="1">
      <c r="D3949" s="1"/>
      <c r="K3949" s="1"/>
      <c r="Q3949" s="1"/>
      <c r="AD3949" s="1"/>
      <c r="AG3949" s="1"/>
      <c r="AI3949" s="1"/>
    </row>
    <row r="3950" spans="4:35" hidden="1">
      <c r="D3950" s="1"/>
      <c r="K3950" s="1"/>
      <c r="Q3950" s="1"/>
      <c r="AD3950" s="1"/>
      <c r="AG3950" s="1"/>
      <c r="AI3950" s="1"/>
    </row>
    <row r="3951" spans="4:35" hidden="1">
      <c r="D3951" s="1"/>
      <c r="K3951" s="1"/>
      <c r="Q3951" s="1"/>
      <c r="AD3951" s="1"/>
      <c r="AG3951" s="1"/>
      <c r="AI3951" s="1"/>
    </row>
    <row r="3952" spans="4:35" hidden="1">
      <c r="D3952" s="1"/>
      <c r="K3952" s="1"/>
      <c r="Q3952" s="1"/>
      <c r="AD3952" s="1"/>
      <c r="AG3952" s="1"/>
      <c r="AI3952" s="1"/>
    </row>
    <row r="3953" spans="4:35" hidden="1">
      <c r="D3953" s="1"/>
      <c r="K3953" s="1"/>
      <c r="Q3953" s="1"/>
      <c r="AD3953" s="1"/>
      <c r="AG3953" s="1"/>
      <c r="AI3953" s="1"/>
    </row>
    <row r="3954" spans="4:35" hidden="1">
      <c r="D3954" s="1"/>
      <c r="K3954" s="1"/>
      <c r="Q3954" s="1"/>
      <c r="AD3954" s="1"/>
      <c r="AG3954" s="1"/>
      <c r="AI3954" s="1"/>
    </row>
    <row r="3955" spans="4:35" hidden="1">
      <c r="D3955" s="1"/>
      <c r="K3955" s="1"/>
      <c r="Q3955" s="1"/>
      <c r="AD3955" s="1"/>
      <c r="AG3955" s="1"/>
      <c r="AI3955" s="1"/>
    </row>
    <row r="3956" spans="4:35" hidden="1">
      <c r="D3956" s="1"/>
      <c r="K3956" s="1"/>
      <c r="Q3956" s="1"/>
      <c r="AD3956" s="1"/>
      <c r="AG3956" s="1"/>
      <c r="AI3956" s="1"/>
    </row>
    <row r="3957" spans="4:35" hidden="1">
      <c r="D3957" s="1"/>
      <c r="K3957" s="1"/>
      <c r="Q3957" s="1"/>
      <c r="AD3957" s="1"/>
      <c r="AG3957" s="1"/>
      <c r="AI3957" s="1"/>
    </row>
    <row r="3958" spans="4:35" hidden="1">
      <c r="D3958" s="1"/>
      <c r="K3958" s="1"/>
      <c r="Q3958" s="1"/>
      <c r="AD3958" s="1"/>
      <c r="AG3958" s="1"/>
      <c r="AI3958" s="1"/>
    </row>
    <row r="3959" spans="4:35" hidden="1">
      <c r="D3959" s="1"/>
      <c r="K3959" s="1"/>
      <c r="Q3959" s="1"/>
      <c r="AD3959" s="1"/>
      <c r="AG3959" s="1"/>
      <c r="AI3959" s="1"/>
    </row>
    <row r="3960" spans="4:35" hidden="1">
      <c r="D3960" s="1"/>
      <c r="K3960" s="1"/>
      <c r="Q3960" s="1"/>
      <c r="AD3960" s="1"/>
      <c r="AG3960" s="1"/>
      <c r="AI3960" s="1"/>
    </row>
    <row r="3961" spans="4:35" hidden="1">
      <c r="D3961" s="1"/>
      <c r="K3961" s="1"/>
      <c r="Q3961" s="1"/>
      <c r="AD3961" s="1"/>
      <c r="AG3961" s="1"/>
      <c r="AI3961" s="1"/>
    </row>
    <row r="3962" spans="4:35" hidden="1">
      <c r="D3962" s="1"/>
      <c r="K3962" s="1"/>
      <c r="Q3962" s="1"/>
      <c r="AD3962" s="1"/>
      <c r="AG3962" s="1"/>
      <c r="AI3962" s="1"/>
    </row>
    <row r="3963" spans="4:35" hidden="1">
      <c r="D3963" s="1"/>
      <c r="K3963" s="1"/>
      <c r="Q3963" s="1"/>
      <c r="AD3963" s="1"/>
      <c r="AG3963" s="1"/>
      <c r="AI3963" s="1"/>
    </row>
    <row r="3964" spans="4:35" hidden="1">
      <c r="D3964" s="1"/>
      <c r="K3964" s="1"/>
      <c r="Q3964" s="1"/>
      <c r="AD3964" s="1"/>
      <c r="AG3964" s="1"/>
      <c r="AI3964" s="1"/>
    </row>
    <row r="3965" spans="4:35" hidden="1">
      <c r="D3965" s="1"/>
      <c r="K3965" s="1"/>
      <c r="Q3965" s="1"/>
      <c r="AD3965" s="1"/>
      <c r="AG3965" s="1"/>
      <c r="AI3965" s="1"/>
    </row>
    <row r="3966" spans="4:35" hidden="1">
      <c r="D3966" s="1"/>
      <c r="K3966" s="1"/>
      <c r="Q3966" s="1"/>
      <c r="AD3966" s="1"/>
      <c r="AG3966" s="1"/>
      <c r="AI3966" s="1"/>
    </row>
    <row r="3967" spans="4:35" hidden="1">
      <c r="D3967" s="1"/>
      <c r="K3967" s="1"/>
      <c r="Q3967" s="1"/>
      <c r="AD3967" s="1"/>
      <c r="AG3967" s="1"/>
      <c r="AI3967" s="1"/>
    </row>
    <row r="3968" spans="4:35" hidden="1">
      <c r="D3968" s="1"/>
      <c r="K3968" s="1"/>
      <c r="Q3968" s="1"/>
      <c r="AD3968" s="1"/>
      <c r="AG3968" s="1"/>
      <c r="AI3968" s="1"/>
    </row>
    <row r="3969" spans="4:35" hidden="1">
      <c r="D3969" s="1"/>
      <c r="K3969" s="1"/>
      <c r="Q3969" s="1"/>
      <c r="AD3969" s="1"/>
      <c r="AG3969" s="1"/>
      <c r="AI3969" s="1"/>
    </row>
    <row r="3970" spans="4:35" hidden="1">
      <c r="D3970" s="1"/>
      <c r="K3970" s="1"/>
      <c r="Q3970" s="1"/>
      <c r="AD3970" s="1"/>
      <c r="AG3970" s="1"/>
      <c r="AI3970" s="1"/>
    </row>
    <row r="3971" spans="4:35" hidden="1">
      <c r="D3971" s="1"/>
      <c r="K3971" s="1"/>
      <c r="Q3971" s="1"/>
      <c r="AD3971" s="1"/>
      <c r="AG3971" s="1"/>
      <c r="AI3971" s="1"/>
    </row>
    <row r="3972" spans="4:35" hidden="1">
      <c r="D3972" s="1"/>
      <c r="K3972" s="1"/>
      <c r="Q3972" s="1"/>
      <c r="AD3972" s="1"/>
      <c r="AG3972" s="1"/>
      <c r="AI3972" s="1"/>
    </row>
    <row r="3973" spans="4:35" hidden="1">
      <c r="D3973" s="1"/>
      <c r="K3973" s="1"/>
      <c r="Q3973" s="1"/>
      <c r="AD3973" s="1"/>
      <c r="AG3973" s="1"/>
      <c r="AI3973" s="1"/>
    </row>
    <row r="3974" spans="4:35" hidden="1">
      <c r="D3974" s="1"/>
      <c r="K3974" s="1"/>
      <c r="Q3974" s="1"/>
      <c r="AD3974" s="1"/>
      <c r="AG3974" s="1"/>
      <c r="AI3974" s="1"/>
    </row>
    <row r="3975" spans="4:35" hidden="1">
      <c r="D3975" s="1"/>
      <c r="K3975" s="1"/>
      <c r="Q3975" s="1"/>
      <c r="AD3975" s="1"/>
      <c r="AG3975" s="1"/>
      <c r="AI3975" s="1"/>
    </row>
    <row r="3976" spans="4:35" hidden="1">
      <c r="D3976" s="1"/>
      <c r="K3976" s="1"/>
      <c r="Q3976" s="1"/>
      <c r="AD3976" s="1"/>
      <c r="AG3976" s="1"/>
      <c r="AI3976" s="1"/>
    </row>
    <row r="3977" spans="4:35" hidden="1">
      <c r="D3977" s="1"/>
      <c r="K3977" s="1"/>
      <c r="Q3977" s="1"/>
      <c r="AD3977" s="1"/>
      <c r="AG3977" s="1"/>
      <c r="AI3977" s="1"/>
    </row>
    <row r="3978" spans="4:35" hidden="1">
      <c r="D3978" s="1"/>
      <c r="K3978" s="1"/>
      <c r="Q3978" s="1"/>
      <c r="AD3978" s="1"/>
      <c r="AG3978" s="1"/>
      <c r="AI3978" s="1"/>
    </row>
    <row r="3979" spans="4:35" hidden="1">
      <c r="D3979" s="1"/>
      <c r="K3979" s="1"/>
      <c r="Q3979" s="1"/>
      <c r="AD3979" s="1"/>
      <c r="AG3979" s="1"/>
      <c r="AI3979" s="1"/>
    </row>
    <row r="3980" spans="4:35" hidden="1">
      <c r="D3980" s="1"/>
      <c r="K3980" s="1"/>
      <c r="Q3980" s="1"/>
      <c r="AD3980" s="1"/>
      <c r="AG3980" s="1"/>
      <c r="AI3980" s="1"/>
    </row>
    <row r="3981" spans="4:35" hidden="1">
      <c r="D3981" s="1"/>
      <c r="K3981" s="1"/>
      <c r="Q3981" s="1"/>
      <c r="AD3981" s="1"/>
      <c r="AG3981" s="1"/>
      <c r="AI3981" s="1"/>
    </row>
    <row r="3982" spans="4:35" hidden="1">
      <c r="D3982" s="1"/>
      <c r="K3982" s="1"/>
      <c r="Q3982" s="1"/>
      <c r="AD3982" s="1"/>
      <c r="AG3982" s="1"/>
      <c r="AI3982" s="1"/>
    </row>
    <row r="3983" spans="4:35" hidden="1">
      <c r="D3983" s="1"/>
      <c r="K3983" s="1"/>
      <c r="Q3983" s="1"/>
      <c r="AD3983" s="1"/>
      <c r="AG3983" s="1"/>
      <c r="AI3983" s="1"/>
    </row>
    <row r="3984" spans="4:35" hidden="1">
      <c r="D3984" s="1"/>
      <c r="K3984" s="1"/>
      <c r="Q3984" s="1"/>
      <c r="AD3984" s="1"/>
      <c r="AG3984" s="1"/>
      <c r="AI3984" s="1"/>
    </row>
    <row r="3985" spans="4:35" hidden="1">
      <c r="D3985" s="1"/>
      <c r="K3985" s="1"/>
      <c r="Q3985" s="1"/>
      <c r="AD3985" s="1"/>
      <c r="AG3985" s="1"/>
      <c r="AI3985" s="1"/>
    </row>
    <row r="3986" spans="4:35" hidden="1">
      <c r="D3986" s="1"/>
      <c r="K3986" s="1"/>
      <c r="Q3986" s="1"/>
      <c r="AD3986" s="1"/>
      <c r="AG3986" s="1"/>
      <c r="AI3986" s="1"/>
    </row>
    <row r="3987" spans="4:35" hidden="1">
      <c r="D3987" s="1"/>
      <c r="K3987" s="1"/>
      <c r="Q3987" s="1"/>
      <c r="AD3987" s="1"/>
      <c r="AG3987" s="1"/>
      <c r="AI3987" s="1"/>
    </row>
    <row r="3988" spans="4:35" hidden="1">
      <c r="D3988" s="1"/>
      <c r="K3988" s="1"/>
      <c r="Q3988" s="1"/>
      <c r="AD3988" s="1"/>
      <c r="AG3988" s="1"/>
      <c r="AI3988" s="1"/>
    </row>
    <row r="3989" spans="4:35" hidden="1">
      <c r="D3989" s="1"/>
      <c r="K3989" s="1"/>
      <c r="Q3989" s="1"/>
      <c r="AD3989" s="1"/>
      <c r="AG3989" s="1"/>
      <c r="AI3989" s="1"/>
    </row>
    <row r="3990" spans="4:35" hidden="1">
      <c r="D3990" s="1"/>
      <c r="K3990" s="1"/>
      <c r="Q3990" s="1"/>
      <c r="AD3990" s="1"/>
      <c r="AG3990" s="1"/>
      <c r="AI3990" s="1"/>
    </row>
    <row r="3991" spans="4:35" hidden="1">
      <c r="D3991" s="1"/>
      <c r="K3991" s="1"/>
      <c r="Q3991" s="1"/>
      <c r="AD3991" s="1"/>
      <c r="AG3991" s="1"/>
      <c r="AI3991" s="1"/>
    </row>
    <row r="3992" spans="4:35" hidden="1">
      <c r="D3992" s="1"/>
      <c r="K3992" s="1"/>
      <c r="Q3992" s="1"/>
      <c r="AD3992" s="1"/>
      <c r="AG3992" s="1"/>
      <c r="AI3992" s="1"/>
    </row>
    <row r="3993" spans="4:35" hidden="1">
      <c r="D3993" s="1"/>
      <c r="K3993" s="1"/>
      <c r="Q3993" s="1"/>
      <c r="AD3993" s="1"/>
      <c r="AG3993" s="1"/>
      <c r="AI3993" s="1"/>
    </row>
    <row r="3994" spans="4:35" hidden="1">
      <c r="D3994" s="1"/>
      <c r="K3994" s="1"/>
      <c r="Q3994" s="1"/>
      <c r="AD3994" s="1"/>
      <c r="AG3994" s="1"/>
      <c r="AI3994" s="1"/>
    </row>
    <row r="3995" spans="4:35" hidden="1">
      <c r="D3995" s="1"/>
      <c r="K3995" s="1"/>
      <c r="Q3995" s="1"/>
      <c r="AD3995" s="1"/>
      <c r="AG3995" s="1"/>
      <c r="AI3995" s="1"/>
    </row>
    <row r="3996" spans="4:35" hidden="1">
      <c r="D3996" s="1"/>
      <c r="K3996" s="1"/>
      <c r="Q3996" s="1"/>
      <c r="AD3996" s="1"/>
      <c r="AG3996" s="1"/>
      <c r="AI3996" s="1"/>
    </row>
    <row r="3997" spans="4:35" hidden="1">
      <c r="D3997" s="1"/>
      <c r="K3997" s="1"/>
      <c r="Q3997" s="1"/>
      <c r="AD3997" s="1"/>
      <c r="AG3997" s="1"/>
      <c r="AI3997" s="1"/>
    </row>
    <row r="3998" spans="4:35" hidden="1">
      <c r="D3998" s="1"/>
      <c r="K3998" s="1"/>
      <c r="Q3998" s="1"/>
      <c r="AD3998" s="1"/>
      <c r="AG3998" s="1"/>
      <c r="AI3998" s="1"/>
    </row>
    <row r="3999" spans="4:35" hidden="1">
      <c r="D3999" s="1"/>
      <c r="K3999" s="1"/>
      <c r="Q3999" s="1"/>
      <c r="AD3999" s="1"/>
      <c r="AG3999" s="1"/>
      <c r="AI3999" s="1"/>
    </row>
    <row r="4000" spans="4:35" hidden="1">
      <c r="D4000" s="1"/>
      <c r="K4000" s="1"/>
      <c r="Q4000" s="1"/>
      <c r="AD4000" s="1"/>
      <c r="AG4000" s="1"/>
      <c r="AI4000" s="1"/>
    </row>
    <row r="4001" spans="4:35" hidden="1">
      <c r="D4001" s="1"/>
      <c r="K4001" s="1"/>
      <c r="Q4001" s="1"/>
      <c r="AD4001" s="1"/>
      <c r="AG4001" s="1"/>
      <c r="AI4001" s="1"/>
    </row>
    <row r="4002" spans="4:35" hidden="1">
      <c r="D4002" s="1"/>
      <c r="K4002" s="1"/>
      <c r="Q4002" s="1"/>
      <c r="AD4002" s="1"/>
      <c r="AG4002" s="1"/>
      <c r="AI4002" s="1"/>
    </row>
    <row r="4003" spans="4:35" hidden="1">
      <c r="D4003" s="1"/>
      <c r="K4003" s="1"/>
      <c r="Q4003" s="1"/>
      <c r="AD4003" s="1"/>
      <c r="AG4003" s="1"/>
      <c r="AI4003" s="1"/>
    </row>
    <row r="4004" spans="4:35" hidden="1">
      <c r="D4004" s="1"/>
      <c r="K4004" s="1"/>
      <c r="Q4004" s="1"/>
      <c r="AD4004" s="1"/>
      <c r="AG4004" s="1"/>
      <c r="AI4004" s="1"/>
    </row>
    <row r="4005" spans="4:35" hidden="1">
      <c r="D4005" s="1"/>
      <c r="K4005" s="1"/>
      <c r="Q4005" s="1"/>
      <c r="AD4005" s="1"/>
      <c r="AG4005" s="1"/>
      <c r="AI4005" s="1"/>
    </row>
    <row r="4006" spans="4:35" hidden="1">
      <c r="D4006" s="1"/>
      <c r="K4006" s="1"/>
      <c r="Q4006" s="1"/>
      <c r="AD4006" s="1"/>
      <c r="AG4006" s="1"/>
      <c r="AI4006" s="1"/>
    </row>
    <row r="4007" spans="4:35" hidden="1">
      <c r="D4007" s="1"/>
      <c r="K4007" s="1"/>
      <c r="Q4007" s="1"/>
      <c r="AD4007" s="1"/>
      <c r="AG4007" s="1"/>
      <c r="AI4007" s="1"/>
    </row>
    <row r="4008" spans="4:35" hidden="1">
      <c r="D4008" s="1"/>
      <c r="K4008" s="1"/>
      <c r="Q4008" s="1"/>
      <c r="AD4008" s="1"/>
      <c r="AG4008" s="1"/>
      <c r="AI4008" s="1"/>
    </row>
    <row r="4009" spans="4:35" hidden="1">
      <c r="D4009" s="1"/>
      <c r="K4009" s="1"/>
      <c r="Q4009" s="1"/>
      <c r="AD4009" s="1"/>
      <c r="AG4009" s="1"/>
      <c r="AI4009" s="1"/>
    </row>
    <row r="4010" spans="4:35" hidden="1">
      <c r="D4010" s="1"/>
      <c r="K4010" s="1"/>
      <c r="Q4010" s="1"/>
      <c r="AD4010" s="1"/>
      <c r="AG4010" s="1"/>
      <c r="AI4010" s="1"/>
    </row>
    <row r="4011" spans="4:35" hidden="1">
      <c r="D4011" s="1"/>
      <c r="K4011" s="1"/>
      <c r="Q4011" s="1"/>
      <c r="AD4011" s="1"/>
      <c r="AG4011" s="1"/>
      <c r="AI4011" s="1"/>
    </row>
    <row r="4012" spans="4:35" hidden="1">
      <c r="D4012" s="1"/>
      <c r="K4012" s="1"/>
      <c r="Q4012" s="1"/>
      <c r="AD4012" s="1"/>
      <c r="AG4012" s="1"/>
      <c r="AI4012" s="1"/>
    </row>
    <row r="4013" spans="4:35" hidden="1">
      <c r="D4013" s="1"/>
      <c r="K4013" s="1"/>
      <c r="Q4013" s="1"/>
      <c r="AD4013" s="1"/>
      <c r="AG4013" s="1"/>
      <c r="AI4013" s="1"/>
    </row>
    <row r="4014" spans="4:35" hidden="1">
      <c r="D4014" s="1"/>
      <c r="K4014" s="1"/>
      <c r="Q4014" s="1"/>
      <c r="AD4014" s="1"/>
      <c r="AG4014" s="1"/>
      <c r="AI4014" s="1"/>
    </row>
    <row r="4015" spans="4:35" hidden="1">
      <c r="D4015" s="1"/>
      <c r="K4015" s="1"/>
      <c r="Q4015" s="1"/>
      <c r="AD4015" s="1"/>
      <c r="AG4015" s="1"/>
      <c r="AI4015" s="1"/>
    </row>
    <row r="4016" spans="4:35" hidden="1">
      <c r="D4016" s="1"/>
      <c r="K4016" s="1"/>
      <c r="Q4016" s="1"/>
      <c r="AD4016" s="1"/>
      <c r="AG4016" s="1"/>
      <c r="AI4016" s="1"/>
    </row>
    <row r="4017" spans="4:35" hidden="1">
      <c r="D4017" s="1"/>
      <c r="K4017" s="1"/>
      <c r="Q4017" s="1"/>
      <c r="AD4017" s="1"/>
      <c r="AG4017" s="1"/>
      <c r="AI4017" s="1"/>
    </row>
    <row r="4018" spans="4:35" hidden="1">
      <c r="D4018" s="1"/>
      <c r="K4018" s="1"/>
      <c r="Q4018" s="1"/>
      <c r="AD4018" s="1"/>
      <c r="AG4018" s="1"/>
      <c r="AI4018" s="1"/>
    </row>
    <row r="4019" spans="4:35" hidden="1">
      <c r="D4019" s="1"/>
      <c r="K4019" s="1"/>
      <c r="Q4019" s="1"/>
      <c r="AD4019" s="1"/>
      <c r="AG4019" s="1"/>
      <c r="AI4019" s="1"/>
    </row>
    <row r="4020" spans="4:35" hidden="1">
      <c r="D4020" s="1"/>
      <c r="K4020" s="1"/>
      <c r="Q4020" s="1"/>
      <c r="AD4020" s="1"/>
      <c r="AG4020" s="1"/>
      <c r="AI4020" s="1"/>
    </row>
    <row r="4021" spans="4:35" hidden="1">
      <c r="D4021" s="1"/>
      <c r="K4021" s="1"/>
      <c r="Q4021" s="1"/>
      <c r="AD4021" s="1"/>
      <c r="AG4021" s="1"/>
      <c r="AI4021" s="1"/>
    </row>
    <row r="4022" spans="4:35" hidden="1">
      <c r="D4022" s="1"/>
      <c r="K4022" s="1"/>
      <c r="Q4022" s="1"/>
      <c r="AD4022" s="1"/>
      <c r="AG4022" s="1"/>
      <c r="AI4022" s="1"/>
    </row>
    <row r="4023" spans="4:35" hidden="1">
      <c r="D4023" s="1"/>
      <c r="K4023" s="1"/>
      <c r="Q4023" s="1"/>
      <c r="AD4023" s="1"/>
      <c r="AG4023" s="1"/>
      <c r="AI4023" s="1"/>
    </row>
    <row r="4024" spans="4:35" hidden="1">
      <c r="D4024" s="1"/>
      <c r="K4024" s="1"/>
      <c r="Q4024" s="1"/>
      <c r="AD4024" s="1"/>
      <c r="AG4024" s="1"/>
      <c r="AI4024" s="1"/>
    </row>
    <row r="4025" spans="4:35" hidden="1">
      <c r="D4025" s="1"/>
      <c r="K4025" s="1"/>
      <c r="Q4025" s="1"/>
      <c r="AD4025" s="1"/>
      <c r="AG4025" s="1"/>
      <c r="AI4025" s="1"/>
    </row>
    <row r="4026" spans="4:35" hidden="1">
      <c r="D4026" s="1"/>
      <c r="K4026" s="1"/>
      <c r="Q4026" s="1"/>
      <c r="AD4026" s="1"/>
      <c r="AG4026" s="1"/>
      <c r="AI4026" s="1"/>
    </row>
    <row r="4027" spans="4:35" hidden="1">
      <c r="D4027" s="1"/>
      <c r="K4027" s="1"/>
      <c r="Q4027" s="1"/>
      <c r="AD4027" s="1"/>
      <c r="AG4027" s="1"/>
      <c r="AI4027" s="1"/>
    </row>
    <row r="4028" spans="4:35" hidden="1">
      <c r="D4028" s="1"/>
      <c r="K4028" s="1"/>
      <c r="Q4028" s="1"/>
      <c r="AD4028" s="1"/>
      <c r="AG4028" s="1"/>
      <c r="AI4028" s="1"/>
    </row>
    <row r="4029" spans="4:35" hidden="1">
      <c r="D4029" s="1"/>
      <c r="K4029" s="1"/>
      <c r="Q4029" s="1"/>
      <c r="AD4029" s="1"/>
      <c r="AG4029" s="1"/>
      <c r="AI4029" s="1"/>
    </row>
    <row r="4030" spans="4:35" hidden="1">
      <c r="D4030" s="1"/>
      <c r="K4030" s="1"/>
      <c r="Q4030" s="1"/>
      <c r="AD4030" s="1"/>
      <c r="AG4030" s="1"/>
      <c r="AI4030" s="1"/>
    </row>
    <row r="4031" spans="4:35" hidden="1">
      <c r="D4031" s="1"/>
      <c r="K4031" s="1"/>
      <c r="Q4031" s="1"/>
      <c r="AD4031" s="1"/>
      <c r="AG4031" s="1"/>
      <c r="AI4031" s="1"/>
    </row>
    <row r="4032" spans="4:35" hidden="1">
      <c r="D4032" s="1"/>
      <c r="K4032" s="1"/>
      <c r="Q4032" s="1"/>
      <c r="AD4032" s="1"/>
      <c r="AG4032" s="1"/>
      <c r="AI4032" s="1"/>
    </row>
    <row r="4033" spans="4:35" hidden="1">
      <c r="D4033" s="1"/>
      <c r="K4033" s="1"/>
      <c r="Q4033" s="1"/>
      <c r="AD4033" s="1"/>
      <c r="AG4033" s="1"/>
      <c r="AI4033" s="1"/>
    </row>
    <row r="4034" spans="4:35" hidden="1">
      <c r="D4034" s="1"/>
      <c r="K4034" s="1"/>
      <c r="Q4034" s="1"/>
      <c r="AD4034" s="1"/>
      <c r="AG4034" s="1"/>
      <c r="AI4034" s="1"/>
    </row>
    <row r="4035" spans="4:35" hidden="1">
      <c r="D4035" s="1"/>
      <c r="K4035" s="1"/>
      <c r="Q4035" s="1"/>
      <c r="AD4035" s="1"/>
      <c r="AG4035" s="1"/>
      <c r="AI4035" s="1"/>
    </row>
    <row r="4036" spans="4:35" hidden="1">
      <c r="D4036" s="1"/>
      <c r="K4036" s="1"/>
      <c r="Q4036" s="1"/>
      <c r="AD4036" s="1"/>
      <c r="AG4036" s="1"/>
      <c r="AI4036" s="1"/>
    </row>
    <row r="4037" spans="4:35" hidden="1">
      <c r="D4037" s="1"/>
      <c r="K4037" s="1"/>
      <c r="Q4037" s="1"/>
      <c r="AD4037" s="1"/>
      <c r="AG4037" s="1"/>
      <c r="AI4037" s="1"/>
    </row>
    <row r="4038" spans="4:35" hidden="1">
      <c r="D4038" s="1"/>
      <c r="K4038" s="1"/>
      <c r="Q4038" s="1"/>
      <c r="AD4038" s="1"/>
      <c r="AG4038" s="1"/>
      <c r="AI4038" s="1"/>
    </row>
    <row r="4039" spans="4:35" hidden="1">
      <c r="D4039" s="1"/>
      <c r="K4039" s="1"/>
      <c r="Q4039" s="1"/>
      <c r="AD4039" s="1"/>
      <c r="AG4039" s="1"/>
      <c r="AI4039" s="1"/>
    </row>
    <row r="4040" spans="4:35" hidden="1">
      <c r="D4040" s="1"/>
      <c r="K4040" s="1"/>
      <c r="Q4040" s="1"/>
      <c r="AD4040" s="1"/>
      <c r="AG4040" s="1"/>
      <c r="AI4040" s="1"/>
    </row>
    <row r="4041" spans="4:35" hidden="1">
      <c r="D4041" s="1"/>
      <c r="K4041" s="1"/>
      <c r="Q4041" s="1"/>
      <c r="AD4041" s="1"/>
      <c r="AG4041" s="1"/>
      <c r="AI4041" s="1"/>
    </row>
    <row r="4042" spans="4:35" hidden="1">
      <c r="D4042" s="1"/>
      <c r="K4042" s="1"/>
      <c r="Q4042" s="1"/>
      <c r="AD4042" s="1"/>
      <c r="AG4042" s="1"/>
      <c r="AI4042" s="1"/>
    </row>
    <row r="4043" spans="4:35" hidden="1">
      <c r="D4043" s="1"/>
      <c r="K4043" s="1"/>
      <c r="Q4043" s="1"/>
      <c r="AD4043" s="1"/>
      <c r="AG4043" s="1"/>
      <c r="AI4043" s="1"/>
    </row>
    <row r="4044" spans="4:35" hidden="1">
      <c r="D4044" s="1"/>
      <c r="K4044" s="1"/>
      <c r="Q4044" s="1"/>
      <c r="AD4044" s="1"/>
      <c r="AG4044" s="1"/>
      <c r="AI4044" s="1"/>
    </row>
    <row r="4045" spans="4:35" hidden="1">
      <c r="D4045" s="1"/>
      <c r="K4045" s="1"/>
      <c r="Q4045" s="1"/>
      <c r="AD4045" s="1"/>
      <c r="AG4045" s="1"/>
      <c r="AI4045" s="1"/>
    </row>
    <row r="4046" spans="4:35" hidden="1">
      <c r="D4046" s="1"/>
      <c r="K4046" s="1"/>
      <c r="Q4046" s="1"/>
      <c r="AD4046" s="1"/>
      <c r="AG4046" s="1"/>
      <c r="AI4046" s="1"/>
    </row>
    <row r="4047" spans="4:35" hidden="1">
      <c r="D4047" s="1"/>
      <c r="K4047" s="1"/>
      <c r="Q4047" s="1"/>
      <c r="AD4047" s="1"/>
      <c r="AG4047" s="1"/>
      <c r="AI4047" s="1"/>
    </row>
    <row r="4048" spans="4:35" hidden="1">
      <c r="D4048" s="1"/>
      <c r="K4048" s="1"/>
      <c r="Q4048" s="1"/>
      <c r="AD4048" s="1"/>
      <c r="AG4048" s="1"/>
      <c r="AI4048" s="1"/>
    </row>
    <row r="4049" spans="4:35" hidden="1">
      <c r="D4049" s="1"/>
      <c r="K4049" s="1"/>
      <c r="Q4049" s="1"/>
      <c r="AD4049" s="1"/>
      <c r="AG4049" s="1"/>
      <c r="AI4049" s="1"/>
    </row>
    <row r="4050" spans="4:35" hidden="1">
      <c r="D4050" s="1"/>
      <c r="K4050" s="1"/>
      <c r="Q4050" s="1"/>
      <c r="AD4050" s="1"/>
      <c r="AG4050" s="1"/>
      <c r="AI4050" s="1"/>
    </row>
    <row r="4051" spans="4:35" hidden="1">
      <c r="D4051" s="1"/>
      <c r="K4051" s="1"/>
      <c r="Q4051" s="1"/>
      <c r="AD4051" s="1"/>
      <c r="AG4051" s="1"/>
      <c r="AI4051" s="1"/>
    </row>
    <row r="4052" spans="4:35" hidden="1">
      <c r="D4052" s="1"/>
      <c r="K4052" s="1"/>
      <c r="Q4052" s="1"/>
      <c r="AD4052" s="1"/>
      <c r="AG4052" s="1"/>
      <c r="AI4052" s="1"/>
    </row>
    <row r="4053" spans="4:35" hidden="1">
      <c r="D4053" s="1"/>
      <c r="K4053" s="1"/>
      <c r="Q4053" s="1"/>
      <c r="AD4053" s="1"/>
      <c r="AG4053" s="1"/>
      <c r="AI4053" s="1"/>
    </row>
    <row r="4054" spans="4:35" hidden="1">
      <c r="D4054" s="1"/>
      <c r="K4054" s="1"/>
      <c r="Q4054" s="1"/>
      <c r="AD4054" s="1"/>
      <c r="AG4054" s="1"/>
      <c r="AI4054" s="1"/>
    </row>
    <row r="4055" spans="4:35" hidden="1">
      <c r="D4055" s="1"/>
      <c r="K4055" s="1"/>
      <c r="Q4055" s="1"/>
      <c r="AD4055" s="1"/>
      <c r="AG4055" s="1"/>
      <c r="AI4055" s="1"/>
    </row>
    <row r="4056" spans="4:35" hidden="1">
      <c r="D4056" s="1"/>
      <c r="K4056" s="1"/>
      <c r="Q4056" s="1"/>
      <c r="AD4056" s="1"/>
      <c r="AG4056" s="1"/>
      <c r="AI4056" s="1"/>
    </row>
    <row r="4057" spans="4:35" hidden="1">
      <c r="D4057" s="1"/>
      <c r="K4057" s="1"/>
      <c r="Q4057" s="1"/>
      <c r="AD4057" s="1"/>
      <c r="AG4057" s="1"/>
      <c r="AI4057" s="1"/>
    </row>
    <row r="4058" spans="4:35" hidden="1">
      <c r="D4058" s="1"/>
      <c r="K4058" s="1"/>
      <c r="Q4058" s="1"/>
      <c r="AD4058" s="1"/>
      <c r="AG4058" s="1"/>
      <c r="AI4058" s="1"/>
    </row>
    <row r="4059" spans="4:35" hidden="1">
      <c r="D4059" s="1"/>
      <c r="K4059" s="1"/>
      <c r="Q4059" s="1"/>
      <c r="AD4059" s="1"/>
      <c r="AG4059" s="1"/>
      <c r="AI4059" s="1"/>
    </row>
    <row r="4060" spans="4:35" hidden="1">
      <c r="D4060" s="1"/>
      <c r="K4060" s="1"/>
      <c r="Q4060" s="1"/>
      <c r="AD4060" s="1"/>
      <c r="AG4060" s="1"/>
      <c r="AI4060" s="1"/>
    </row>
    <row r="4061" spans="4:35" hidden="1">
      <c r="D4061" s="1"/>
      <c r="K4061" s="1"/>
      <c r="Q4061" s="1"/>
      <c r="AD4061" s="1"/>
      <c r="AG4061" s="1"/>
      <c r="AI4061" s="1"/>
    </row>
    <row r="4062" spans="4:35" hidden="1">
      <c r="D4062" s="1"/>
      <c r="K4062" s="1"/>
      <c r="Q4062" s="1"/>
      <c r="AD4062" s="1"/>
      <c r="AG4062" s="1"/>
      <c r="AI4062" s="1"/>
    </row>
    <row r="4063" spans="4:35" hidden="1">
      <c r="D4063" s="1"/>
      <c r="K4063" s="1"/>
      <c r="Q4063" s="1"/>
      <c r="AD4063" s="1"/>
      <c r="AG4063" s="1"/>
      <c r="AI4063" s="1"/>
    </row>
    <row r="4064" spans="4:35" hidden="1">
      <c r="D4064" s="1"/>
      <c r="K4064" s="1"/>
      <c r="Q4064" s="1"/>
      <c r="AD4064" s="1"/>
      <c r="AG4064" s="1"/>
      <c r="AI4064" s="1"/>
    </row>
    <row r="4065" spans="4:35" hidden="1">
      <c r="D4065" s="1"/>
      <c r="K4065" s="1"/>
      <c r="Q4065" s="1"/>
      <c r="AD4065" s="1"/>
      <c r="AG4065" s="1"/>
      <c r="AI4065" s="1"/>
    </row>
    <row r="4066" spans="4:35" hidden="1">
      <c r="D4066" s="1"/>
      <c r="K4066" s="1"/>
      <c r="Q4066" s="1"/>
      <c r="AD4066" s="1"/>
      <c r="AG4066" s="1"/>
      <c r="AI4066" s="1"/>
    </row>
    <row r="4067" spans="4:35" hidden="1">
      <c r="D4067" s="1"/>
      <c r="K4067" s="1"/>
      <c r="Q4067" s="1"/>
      <c r="AD4067" s="1"/>
      <c r="AG4067" s="1"/>
      <c r="AI4067" s="1"/>
    </row>
    <row r="4068" spans="4:35" hidden="1">
      <c r="D4068" s="1"/>
      <c r="K4068" s="1"/>
      <c r="Q4068" s="1"/>
      <c r="AD4068" s="1"/>
      <c r="AG4068" s="1"/>
      <c r="AI4068" s="1"/>
    </row>
    <row r="4069" spans="4:35" hidden="1">
      <c r="D4069" s="1"/>
      <c r="K4069" s="1"/>
      <c r="Q4069" s="1"/>
      <c r="AD4069" s="1"/>
      <c r="AG4069" s="1"/>
      <c r="AI4069" s="1"/>
    </row>
    <row r="4070" spans="4:35" hidden="1">
      <c r="D4070" s="1"/>
      <c r="K4070" s="1"/>
      <c r="Q4070" s="1"/>
      <c r="AD4070" s="1"/>
      <c r="AG4070" s="1"/>
      <c r="AI4070" s="1"/>
    </row>
    <row r="4071" spans="4:35" hidden="1">
      <c r="D4071" s="1"/>
      <c r="K4071" s="1"/>
      <c r="Q4071" s="1"/>
      <c r="AD4071" s="1"/>
      <c r="AG4071" s="1"/>
      <c r="AI4071" s="1"/>
    </row>
    <row r="4072" spans="4:35" hidden="1">
      <c r="D4072" s="1"/>
      <c r="K4072" s="1"/>
      <c r="Q4072" s="1"/>
      <c r="AD4072" s="1"/>
      <c r="AG4072" s="1"/>
      <c r="AI4072" s="1"/>
    </row>
    <row r="4073" spans="4:35" hidden="1">
      <c r="D4073" s="1"/>
      <c r="K4073" s="1"/>
      <c r="Q4073" s="1"/>
      <c r="AD4073" s="1"/>
      <c r="AG4073" s="1"/>
      <c r="AI4073" s="1"/>
    </row>
    <row r="4074" spans="4:35" hidden="1">
      <c r="D4074" s="1"/>
      <c r="K4074" s="1"/>
      <c r="Q4074" s="1"/>
      <c r="AD4074" s="1"/>
      <c r="AG4074" s="1"/>
      <c r="AI4074" s="1"/>
    </row>
    <row r="4075" spans="4:35" hidden="1">
      <c r="D4075" s="1"/>
      <c r="K4075" s="1"/>
      <c r="Q4075" s="1"/>
      <c r="AD4075" s="1"/>
      <c r="AG4075" s="1"/>
      <c r="AI4075" s="1"/>
    </row>
    <row r="4076" spans="4:35" hidden="1">
      <c r="D4076" s="1"/>
      <c r="K4076" s="1"/>
      <c r="Q4076" s="1"/>
      <c r="AD4076" s="1"/>
      <c r="AG4076" s="1"/>
      <c r="AI4076" s="1"/>
    </row>
    <row r="4077" spans="4:35" hidden="1">
      <c r="D4077" s="1"/>
      <c r="K4077" s="1"/>
      <c r="Q4077" s="1"/>
      <c r="AD4077" s="1"/>
      <c r="AG4077" s="1"/>
      <c r="AI4077" s="1"/>
    </row>
    <row r="4078" spans="4:35" hidden="1">
      <c r="D4078" s="1"/>
      <c r="K4078" s="1"/>
      <c r="Q4078" s="1"/>
      <c r="AD4078" s="1"/>
      <c r="AG4078" s="1"/>
      <c r="AI4078" s="1"/>
    </row>
    <row r="4079" spans="4:35" hidden="1">
      <c r="D4079" s="1"/>
      <c r="K4079" s="1"/>
      <c r="Q4079" s="1"/>
      <c r="AD4079" s="1"/>
      <c r="AG4079" s="1"/>
      <c r="AI4079" s="1"/>
    </row>
    <row r="4080" spans="4:35" hidden="1">
      <c r="D4080" s="1"/>
      <c r="K4080" s="1"/>
      <c r="Q4080" s="1"/>
      <c r="AD4080" s="1"/>
      <c r="AG4080" s="1"/>
      <c r="AI4080" s="1"/>
    </row>
    <row r="4081" spans="4:35" hidden="1">
      <c r="D4081" s="1"/>
      <c r="K4081" s="1"/>
      <c r="Q4081" s="1"/>
      <c r="AD4081" s="1"/>
      <c r="AG4081" s="1"/>
      <c r="AI4081" s="1"/>
    </row>
    <row r="4082" spans="4:35" hidden="1">
      <c r="D4082" s="1"/>
      <c r="K4082" s="1"/>
      <c r="Q4082" s="1"/>
      <c r="AD4082" s="1"/>
      <c r="AG4082" s="1"/>
      <c r="AI4082" s="1"/>
    </row>
    <row r="4083" spans="4:35" hidden="1">
      <c r="D4083" s="1"/>
      <c r="K4083" s="1"/>
      <c r="Q4083" s="1"/>
      <c r="AD4083" s="1"/>
      <c r="AG4083" s="1"/>
      <c r="AI4083" s="1"/>
    </row>
    <row r="4084" spans="4:35" hidden="1">
      <c r="D4084" s="1"/>
      <c r="K4084" s="1"/>
      <c r="Q4084" s="1"/>
      <c r="AD4084" s="1"/>
      <c r="AG4084" s="1"/>
      <c r="AI4084" s="1"/>
    </row>
    <row r="4085" spans="4:35" hidden="1">
      <c r="D4085" s="1"/>
      <c r="K4085" s="1"/>
      <c r="Q4085" s="1"/>
      <c r="AD4085" s="1"/>
      <c r="AG4085" s="1"/>
      <c r="AI4085" s="1"/>
    </row>
    <row r="4086" spans="4:35" hidden="1">
      <c r="D4086" s="1"/>
      <c r="K4086" s="1"/>
      <c r="Q4086" s="1"/>
      <c r="AD4086" s="1"/>
      <c r="AG4086" s="1"/>
      <c r="AI4086" s="1"/>
    </row>
    <row r="4087" spans="4:35" hidden="1">
      <c r="D4087" s="1"/>
      <c r="K4087" s="1"/>
      <c r="Q4087" s="1"/>
      <c r="AD4087" s="1"/>
      <c r="AG4087" s="1"/>
      <c r="AI4087" s="1"/>
    </row>
    <row r="4088" spans="4:35" hidden="1">
      <c r="D4088" s="1"/>
      <c r="K4088" s="1"/>
      <c r="Q4088" s="1"/>
      <c r="AD4088" s="1"/>
      <c r="AG4088" s="1"/>
      <c r="AI4088" s="1"/>
    </row>
    <row r="4089" spans="4:35" hidden="1">
      <c r="D4089" s="1"/>
      <c r="K4089" s="1"/>
      <c r="Q4089" s="1"/>
      <c r="AD4089" s="1"/>
      <c r="AG4089" s="1"/>
      <c r="AI4089" s="1"/>
    </row>
    <row r="4090" spans="4:35" hidden="1">
      <c r="D4090" s="1"/>
      <c r="K4090" s="1"/>
      <c r="Q4090" s="1"/>
      <c r="AD4090" s="1"/>
      <c r="AG4090" s="1"/>
      <c r="AI4090" s="1"/>
    </row>
    <row r="4091" spans="4:35" hidden="1">
      <c r="D4091" s="1"/>
      <c r="K4091" s="1"/>
      <c r="Q4091" s="1"/>
      <c r="AD4091" s="1"/>
      <c r="AG4091" s="1"/>
      <c r="AI4091" s="1"/>
    </row>
    <row r="4092" spans="4:35" hidden="1">
      <c r="D4092" s="1"/>
      <c r="K4092" s="1"/>
      <c r="Q4092" s="1"/>
      <c r="AD4092" s="1"/>
      <c r="AG4092" s="1"/>
      <c r="AI4092" s="1"/>
    </row>
    <row r="4093" spans="4:35" hidden="1">
      <c r="D4093" s="1"/>
      <c r="K4093" s="1"/>
      <c r="Q4093" s="1"/>
      <c r="AD4093" s="1"/>
      <c r="AG4093" s="1"/>
      <c r="AI4093" s="1"/>
    </row>
    <row r="4094" spans="4:35" hidden="1">
      <c r="D4094" s="1"/>
      <c r="K4094" s="1"/>
      <c r="Q4094" s="1"/>
      <c r="AD4094" s="1"/>
      <c r="AG4094" s="1"/>
      <c r="AI4094" s="1"/>
    </row>
    <row r="4095" spans="4:35" hidden="1">
      <c r="D4095" s="1"/>
      <c r="K4095" s="1"/>
      <c r="Q4095" s="1"/>
      <c r="AD4095" s="1"/>
      <c r="AG4095" s="1"/>
      <c r="AI4095" s="1"/>
    </row>
    <row r="4096" spans="4:35" hidden="1">
      <c r="D4096" s="1"/>
      <c r="K4096" s="1"/>
      <c r="Q4096" s="1"/>
      <c r="AD4096" s="1"/>
      <c r="AG4096" s="1"/>
      <c r="AI4096" s="1"/>
    </row>
    <row r="4097" spans="4:35" hidden="1">
      <c r="D4097" s="1"/>
      <c r="K4097" s="1"/>
      <c r="Q4097" s="1"/>
      <c r="AD4097" s="1"/>
      <c r="AG4097" s="1"/>
      <c r="AI4097" s="1"/>
    </row>
    <row r="4098" spans="4:35" hidden="1">
      <c r="D4098" s="1"/>
      <c r="K4098" s="1"/>
      <c r="Q4098" s="1"/>
      <c r="AD4098" s="1"/>
      <c r="AG4098" s="1"/>
      <c r="AI4098" s="1"/>
    </row>
    <row r="4099" spans="4:35" hidden="1">
      <c r="D4099" s="1"/>
      <c r="K4099" s="1"/>
      <c r="Q4099" s="1"/>
      <c r="AD4099" s="1"/>
      <c r="AG4099" s="1"/>
      <c r="AI4099" s="1"/>
    </row>
    <row r="4100" spans="4:35" hidden="1">
      <c r="D4100" s="1"/>
      <c r="K4100" s="1"/>
      <c r="Q4100" s="1"/>
      <c r="AD4100" s="1"/>
      <c r="AG4100" s="1"/>
      <c r="AI4100" s="1"/>
    </row>
    <row r="4101" spans="4:35" hidden="1">
      <c r="D4101" s="1"/>
      <c r="K4101" s="1"/>
      <c r="Q4101" s="1"/>
      <c r="AD4101" s="1"/>
      <c r="AG4101" s="1"/>
      <c r="AI4101" s="1"/>
    </row>
    <row r="4102" spans="4:35" hidden="1">
      <c r="D4102" s="1"/>
      <c r="K4102" s="1"/>
      <c r="Q4102" s="1"/>
      <c r="AD4102" s="1"/>
      <c r="AG4102" s="1"/>
      <c r="AI4102" s="1"/>
    </row>
    <row r="4103" spans="4:35" hidden="1">
      <c r="D4103" s="1"/>
      <c r="K4103" s="1"/>
      <c r="Q4103" s="1"/>
      <c r="AD4103" s="1"/>
      <c r="AG4103" s="1"/>
      <c r="AI4103" s="1"/>
    </row>
    <row r="4104" spans="4:35" hidden="1">
      <c r="D4104" s="1"/>
      <c r="K4104" s="1"/>
      <c r="Q4104" s="1"/>
      <c r="AD4104" s="1"/>
      <c r="AG4104" s="1"/>
      <c r="AI4104" s="1"/>
    </row>
    <row r="4105" spans="4:35" hidden="1">
      <c r="D4105" s="1"/>
      <c r="K4105" s="1"/>
      <c r="Q4105" s="1"/>
      <c r="AD4105" s="1"/>
      <c r="AG4105" s="1"/>
      <c r="AI4105" s="1"/>
    </row>
    <row r="4106" spans="4:35" hidden="1">
      <c r="D4106" s="1"/>
      <c r="K4106" s="1"/>
      <c r="Q4106" s="1"/>
      <c r="AD4106" s="1"/>
      <c r="AG4106" s="1"/>
      <c r="AI4106" s="1"/>
    </row>
    <row r="4107" spans="4:35" hidden="1">
      <c r="D4107" s="1"/>
      <c r="K4107" s="1"/>
      <c r="Q4107" s="1"/>
      <c r="AD4107" s="1"/>
      <c r="AG4107" s="1"/>
      <c r="AI4107" s="1"/>
    </row>
    <row r="4108" spans="4:35" hidden="1">
      <c r="D4108" s="1"/>
      <c r="K4108" s="1"/>
      <c r="Q4108" s="1"/>
      <c r="AD4108" s="1"/>
      <c r="AG4108" s="1"/>
      <c r="AI4108" s="1"/>
    </row>
    <row r="4109" spans="4:35" hidden="1">
      <c r="D4109" s="1"/>
      <c r="K4109" s="1"/>
      <c r="Q4109" s="1"/>
      <c r="AD4109" s="1"/>
      <c r="AG4109" s="1"/>
      <c r="AI4109" s="1"/>
    </row>
    <row r="4110" spans="4:35" hidden="1">
      <c r="D4110" s="1"/>
      <c r="K4110" s="1"/>
      <c r="Q4110" s="1"/>
      <c r="AD4110" s="1"/>
      <c r="AG4110" s="1"/>
      <c r="AI4110" s="1"/>
    </row>
    <row r="4111" spans="4:35" hidden="1">
      <c r="D4111" s="1"/>
      <c r="K4111" s="1"/>
      <c r="Q4111" s="1"/>
      <c r="AD4111" s="1"/>
      <c r="AG4111" s="1"/>
      <c r="AI4111" s="1"/>
    </row>
    <row r="4112" spans="4:35" hidden="1">
      <c r="D4112" s="1"/>
      <c r="K4112" s="1"/>
      <c r="Q4112" s="1"/>
      <c r="AD4112" s="1"/>
      <c r="AG4112" s="1"/>
      <c r="AI4112" s="1"/>
    </row>
    <row r="4113" spans="4:35" hidden="1">
      <c r="D4113" s="1"/>
      <c r="K4113" s="1"/>
      <c r="Q4113" s="1"/>
      <c r="AD4113" s="1"/>
      <c r="AG4113" s="1"/>
      <c r="AI4113" s="1"/>
    </row>
    <row r="4114" spans="4:35" hidden="1">
      <c r="D4114" s="1"/>
      <c r="K4114" s="1"/>
      <c r="Q4114" s="1"/>
      <c r="AD4114" s="1"/>
      <c r="AG4114" s="1"/>
      <c r="AI4114" s="1"/>
    </row>
    <row r="4115" spans="4:35" hidden="1">
      <c r="D4115" s="1"/>
      <c r="K4115" s="1"/>
      <c r="Q4115" s="1"/>
      <c r="AD4115" s="1"/>
      <c r="AG4115" s="1"/>
      <c r="AI4115" s="1"/>
    </row>
    <row r="4116" spans="4:35" hidden="1">
      <c r="D4116" s="1"/>
      <c r="K4116" s="1"/>
      <c r="Q4116" s="1"/>
      <c r="AD4116" s="1"/>
      <c r="AG4116" s="1"/>
      <c r="AI4116" s="1"/>
    </row>
    <row r="4117" spans="4:35" hidden="1">
      <c r="D4117" s="1"/>
      <c r="K4117" s="1"/>
      <c r="Q4117" s="1"/>
      <c r="AD4117" s="1"/>
      <c r="AG4117" s="1"/>
      <c r="AI4117" s="1"/>
    </row>
    <row r="4118" spans="4:35" hidden="1">
      <c r="D4118" s="1"/>
      <c r="K4118" s="1"/>
      <c r="Q4118" s="1"/>
      <c r="AD4118" s="1"/>
      <c r="AG4118" s="1"/>
      <c r="AI4118" s="1"/>
    </row>
    <row r="4119" spans="4:35" hidden="1">
      <c r="D4119" s="1"/>
      <c r="K4119" s="1"/>
      <c r="Q4119" s="1"/>
      <c r="AD4119" s="1"/>
      <c r="AG4119" s="1"/>
      <c r="AI4119" s="1"/>
    </row>
    <row r="4120" spans="4:35" hidden="1">
      <c r="D4120" s="1"/>
      <c r="K4120" s="1"/>
      <c r="Q4120" s="1"/>
      <c r="AD4120" s="1"/>
      <c r="AG4120" s="1"/>
      <c r="AI4120" s="1"/>
    </row>
    <row r="4121" spans="4:35" hidden="1">
      <c r="D4121" s="1"/>
      <c r="K4121" s="1"/>
      <c r="Q4121" s="1"/>
      <c r="AD4121" s="1"/>
      <c r="AG4121" s="1"/>
      <c r="AI4121" s="1"/>
    </row>
    <row r="4122" spans="4:35" hidden="1">
      <c r="D4122" s="1"/>
      <c r="K4122" s="1"/>
      <c r="Q4122" s="1"/>
      <c r="AD4122" s="1"/>
      <c r="AG4122" s="1"/>
      <c r="AI4122" s="1"/>
    </row>
    <row r="4123" spans="4:35" hidden="1">
      <c r="D4123" s="1"/>
      <c r="K4123" s="1"/>
      <c r="Q4123" s="1"/>
      <c r="AD4123" s="1"/>
      <c r="AG4123" s="1"/>
      <c r="AI4123" s="1"/>
    </row>
    <row r="4124" spans="4:35" hidden="1">
      <c r="D4124" s="1"/>
      <c r="K4124" s="1"/>
      <c r="Q4124" s="1"/>
      <c r="AD4124" s="1"/>
      <c r="AG4124" s="1"/>
      <c r="AI4124" s="1"/>
    </row>
    <row r="4125" spans="4:35" hidden="1">
      <c r="D4125" s="1"/>
      <c r="K4125" s="1"/>
      <c r="Q4125" s="1"/>
      <c r="AD4125" s="1"/>
      <c r="AG4125" s="1"/>
      <c r="AI4125" s="1"/>
    </row>
    <row r="4126" spans="4:35" hidden="1">
      <c r="D4126" s="1"/>
      <c r="K4126" s="1"/>
      <c r="Q4126" s="1"/>
      <c r="AD4126" s="1"/>
      <c r="AG4126" s="1"/>
      <c r="AI4126" s="1"/>
    </row>
    <row r="4127" spans="4:35" hidden="1">
      <c r="D4127" s="1"/>
      <c r="K4127" s="1"/>
      <c r="Q4127" s="1"/>
      <c r="AD4127" s="1"/>
      <c r="AG4127" s="1"/>
      <c r="AI4127" s="1"/>
    </row>
    <row r="4128" spans="4:35" hidden="1">
      <c r="D4128" s="1"/>
      <c r="K4128" s="1"/>
      <c r="Q4128" s="1"/>
      <c r="AD4128" s="1"/>
      <c r="AG4128" s="1"/>
      <c r="AI4128" s="1"/>
    </row>
    <row r="4129" spans="4:35" hidden="1">
      <c r="D4129" s="1"/>
      <c r="K4129" s="1"/>
      <c r="Q4129" s="1"/>
      <c r="AD4129" s="1"/>
      <c r="AG4129" s="1"/>
      <c r="AI4129" s="1"/>
    </row>
    <row r="4130" spans="4:35" hidden="1">
      <c r="D4130" s="1"/>
      <c r="K4130" s="1"/>
      <c r="Q4130" s="1"/>
      <c r="AD4130" s="1"/>
      <c r="AG4130" s="1"/>
      <c r="AI4130" s="1"/>
    </row>
    <row r="4131" spans="4:35" hidden="1">
      <c r="D4131" s="1"/>
      <c r="K4131" s="1"/>
      <c r="Q4131" s="1"/>
      <c r="AD4131" s="1"/>
      <c r="AG4131" s="1"/>
      <c r="AI4131" s="1"/>
    </row>
    <row r="4132" spans="4:35" hidden="1">
      <c r="D4132" s="1"/>
      <c r="K4132" s="1"/>
      <c r="Q4132" s="1"/>
      <c r="AD4132" s="1"/>
      <c r="AG4132" s="1"/>
      <c r="AI4132" s="1"/>
    </row>
    <row r="4133" spans="4:35" hidden="1">
      <c r="D4133" s="1"/>
      <c r="K4133" s="1"/>
      <c r="Q4133" s="1"/>
      <c r="AD4133" s="1"/>
      <c r="AG4133" s="1"/>
      <c r="AI4133" s="1"/>
    </row>
    <row r="4134" spans="4:35" hidden="1">
      <c r="D4134" s="1"/>
      <c r="K4134" s="1"/>
      <c r="Q4134" s="1"/>
      <c r="AD4134" s="1"/>
      <c r="AG4134" s="1"/>
      <c r="AI4134" s="1"/>
    </row>
    <row r="4135" spans="4:35" hidden="1">
      <c r="D4135" s="1"/>
      <c r="K4135" s="1"/>
      <c r="Q4135" s="1"/>
      <c r="AD4135" s="1"/>
      <c r="AG4135" s="1"/>
      <c r="AI4135" s="1"/>
    </row>
    <row r="4136" spans="4:35" hidden="1">
      <c r="D4136" s="1"/>
      <c r="K4136" s="1"/>
      <c r="Q4136" s="1"/>
      <c r="AD4136" s="1"/>
      <c r="AG4136" s="1"/>
      <c r="AI4136" s="1"/>
    </row>
    <row r="4137" spans="4:35" hidden="1">
      <c r="D4137" s="1"/>
      <c r="K4137" s="1"/>
      <c r="Q4137" s="1"/>
      <c r="AD4137" s="1"/>
      <c r="AG4137" s="1"/>
      <c r="AI4137" s="1"/>
    </row>
    <row r="4138" spans="4:35" hidden="1">
      <c r="D4138" s="1"/>
      <c r="K4138" s="1"/>
      <c r="Q4138" s="1"/>
      <c r="AD4138" s="1"/>
      <c r="AG4138" s="1"/>
      <c r="AI4138" s="1"/>
    </row>
    <row r="4139" spans="4:35" hidden="1">
      <c r="D4139" s="1"/>
      <c r="K4139" s="1"/>
      <c r="Q4139" s="1"/>
      <c r="AD4139" s="1"/>
      <c r="AG4139" s="1"/>
      <c r="AI4139" s="1"/>
    </row>
    <row r="4140" spans="4:35" hidden="1">
      <c r="D4140" s="1"/>
      <c r="K4140" s="1"/>
      <c r="Q4140" s="1"/>
      <c r="AD4140" s="1"/>
      <c r="AG4140" s="1"/>
      <c r="AI4140" s="1"/>
    </row>
    <row r="4141" spans="4:35" hidden="1">
      <c r="D4141" s="1"/>
      <c r="K4141" s="1"/>
      <c r="Q4141" s="1"/>
      <c r="AD4141" s="1"/>
      <c r="AG4141" s="1"/>
      <c r="AI4141" s="1"/>
    </row>
    <row r="4142" spans="4:35" hidden="1">
      <c r="D4142" s="1"/>
      <c r="K4142" s="1"/>
      <c r="Q4142" s="1"/>
      <c r="AD4142" s="1"/>
      <c r="AG4142" s="1"/>
      <c r="AI4142" s="1"/>
    </row>
    <row r="4143" spans="4:35" hidden="1">
      <c r="D4143" s="1"/>
      <c r="K4143" s="1"/>
      <c r="Q4143" s="1"/>
      <c r="AD4143" s="1"/>
      <c r="AG4143" s="1"/>
      <c r="AI4143" s="1"/>
    </row>
    <row r="4144" spans="4:35" hidden="1">
      <c r="D4144" s="1"/>
      <c r="K4144" s="1"/>
      <c r="Q4144" s="1"/>
      <c r="AD4144" s="1"/>
      <c r="AG4144" s="1"/>
      <c r="AI4144" s="1"/>
    </row>
    <row r="4145" spans="4:35" hidden="1">
      <c r="D4145" s="1"/>
      <c r="K4145" s="1"/>
      <c r="Q4145" s="1"/>
      <c r="AD4145" s="1"/>
      <c r="AG4145" s="1"/>
      <c r="AI4145" s="1"/>
    </row>
    <row r="4146" spans="4:35" hidden="1">
      <c r="D4146" s="1"/>
      <c r="K4146" s="1"/>
      <c r="Q4146" s="1"/>
      <c r="AD4146" s="1"/>
      <c r="AG4146" s="1"/>
      <c r="AI4146" s="1"/>
    </row>
    <row r="4147" spans="4:35" hidden="1">
      <c r="D4147" s="1"/>
      <c r="K4147" s="1"/>
      <c r="Q4147" s="1"/>
      <c r="AD4147" s="1"/>
      <c r="AG4147" s="1"/>
      <c r="AI4147" s="1"/>
    </row>
    <row r="4148" spans="4:35" hidden="1">
      <c r="D4148" s="1"/>
      <c r="K4148" s="1"/>
      <c r="Q4148" s="1"/>
      <c r="AD4148" s="1"/>
      <c r="AG4148" s="1"/>
      <c r="AI4148" s="1"/>
    </row>
    <row r="4149" spans="4:35" hidden="1">
      <c r="D4149" s="1"/>
      <c r="K4149" s="1"/>
      <c r="Q4149" s="1"/>
      <c r="AD4149" s="1"/>
      <c r="AG4149" s="1"/>
      <c r="AI4149" s="1"/>
    </row>
    <row r="4150" spans="4:35" hidden="1">
      <c r="D4150" s="1"/>
      <c r="K4150" s="1"/>
      <c r="Q4150" s="1"/>
      <c r="AD4150" s="1"/>
      <c r="AG4150" s="1"/>
      <c r="AI4150" s="1"/>
    </row>
    <row r="4151" spans="4:35" hidden="1">
      <c r="D4151" s="1"/>
      <c r="K4151" s="1"/>
      <c r="Q4151" s="1"/>
      <c r="AD4151" s="1"/>
      <c r="AG4151" s="1"/>
      <c r="AI4151" s="1"/>
    </row>
    <row r="4152" spans="4:35" hidden="1">
      <c r="D4152" s="1"/>
      <c r="K4152" s="1"/>
      <c r="Q4152" s="1"/>
      <c r="AD4152" s="1"/>
      <c r="AG4152" s="1"/>
      <c r="AI4152" s="1"/>
    </row>
    <row r="4153" spans="4:35" hidden="1">
      <c r="D4153" s="1"/>
      <c r="K4153" s="1"/>
      <c r="Q4153" s="1"/>
      <c r="AD4153" s="1"/>
      <c r="AG4153" s="1"/>
      <c r="AI4153" s="1"/>
    </row>
    <row r="4154" spans="4:35" hidden="1">
      <c r="D4154" s="1"/>
      <c r="K4154" s="1"/>
      <c r="Q4154" s="1"/>
      <c r="AD4154" s="1"/>
      <c r="AG4154" s="1"/>
      <c r="AI4154" s="1"/>
    </row>
    <row r="4155" spans="4:35" hidden="1">
      <c r="D4155" s="1"/>
      <c r="K4155" s="1"/>
      <c r="Q4155" s="1"/>
      <c r="AD4155" s="1"/>
      <c r="AG4155" s="1"/>
      <c r="AI4155" s="1"/>
    </row>
    <row r="4156" spans="4:35" hidden="1">
      <c r="D4156" s="1"/>
      <c r="K4156" s="1"/>
      <c r="Q4156" s="1"/>
      <c r="AD4156" s="1"/>
      <c r="AG4156" s="1"/>
      <c r="AI4156" s="1"/>
    </row>
    <row r="4157" spans="4:35" hidden="1">
      <c r="D4157" s="1"/>
      <c r="K4157" s="1"/>
      <c r="Q4157" s="1"/>
      <c r="AD4157" s="1"/>
      <c r="AG4157" s="1"/>
      <c r="AI4157" s="1"/>
    </row>
    <row r="4158" spans="4:35" hidden="1">
      <c r="D4158" s="1"/>
      <c r="K4158" s="1"/>
      <c r="Q4158" s="1"/>
      <c r="AD4158" s="1"/>
      <c r="AG4158" s="1"/>
      <c r="AI4158" s="1"/>
    </row>
    <row r="4159" spans="4:35" hidden="1">
      <c r="D4159" s="1"/>
      <c r="K4159" s="1"/>
      <c r="Q4159" s="1"/>
      <c r="AD4159" s="1"/>
      <c r="AG4159" s="1"/>
      <c r="AI4159" s="1"/>
    </row>
    <row r="4160" spans="4:35" hidden="1">
      <c r="D4160" s="1"/>
      <c r="K4160" s="1"/>
      <c r="Q4160" s="1"/>
      <c r="AD4160" s="1"/>
      <c r="AG4160" s="1"/>
      <c r="AI4160" s="1"/>
    </row>
    <row r="4161" spans="4:35" hidden="1">
      <c r="D4161" s="1"/>
      <c r="K4161" s="1"/>
      <c r="Q4161" s="1"/>
      <c r="AD4161" s="1"/>
      <c r="AG4161" s="1"/>
      <c r="AI4161" s="1"/>
    </row>
    <row r="4162" spans="4:35" hidden="1">
      <c r="D4162" s="1"/>
      <c r="K4162" s="1"/>
      <c r="Q4162" s="1"/>
      <c r="AD4162" s="1"/>
      <c r="AG4162" s="1"/>
      <c r="AI4162" s="1"/>
    </row>
    <row r="4163" spans="4:35" hidden="1">
      <c r="D4163" s="1"/>
      <c r="K4163" s="1"/>
      <c r="Q4163" s="1"/>
      <c r="AD4163" s="1"/>
      <c r="AG4163" s="1"/>
      <c r="AI4163" s="1"/>
    </row>
    <row r="4164" spans="4:35" hidden="1">
      <c r="D4164" s="1"/>
      <c r="K4164" s="1"/>
      <c r="Q4164" s="1"/>
      <c r="AD4164" s="1"/>
      <c r="AG4164" s="1"/>
      <c r="AI4164" s="1"/>
    </row>
    <row r="4165" spans="4:35" hidden="1">
      <c r="D4165" s="1"/>
      <c r="K4165" s="1"/>
      <c r="Q4165" s="1"/>
      <c r="AD4165" s="1"/>
      <c r="AG4165" s="1"/>
      <c r="AI4165" s="1"/>
    </row>
    <row r="4166" spans="4:35" hidden="1">
      <c r="D4166" s="1"/>
      <c r="K4166" s="1"/>
      <c r="Q4166" s="1"/>
      <c r="AD4166" s="1"/>
      <c r="AG4166" s="1"/>
      <c r="AI4166" s="1"/>
    </row>
    <row r="4167" spans="4:35" hidden="1">
      <c r="D4167" s="1"/>
      <c r="K4167" s="1"/>
      <c r="Q4167" s="1"/>
      <c r="AD4167" s="1"/>
      <c r="AG4167" s="1"/>
      <c r="AI4167" s="1"/>
    </row>
    <row r="4168" spans="4:35" hidden="1">
      <c r="D4168" s="1"/>
      <c r="K4168" s="1"/>
      <c r="Q4168" s="1"/>
      <c r="AD4168" s="1"/>
      <c r="AG4168" s="1"/>
      <c r="AI4168" s="1"/>
    </row>
    <row r="4169" spans="4:35" hidden="1">
      <c r="D4169" s="1"/>
      <c r="K4169" s="1"/>
      <c r="Q4169" s="1"/>
      <c r="AD4169" s="1"/>
      <c r="AG4169" s="1"/>
      <c r="AI4169" s="1"/>
    </row>
    <row r="4170" spans="4:35" hidden="1">
      <c r="D4170" s="1"/>
      <c r="K4170" s="1"/>
      <c r="Q4170" s="1"/>
      <c r="AD4170" s="1"/>
      <c r="AG4170" s="1"/>
      <c r="AI4170" s="1"/>
    </row>
    <row r="4171" spans="4:35" hidden="1">
      <c r="D4171" s="1"/>
      <c r="K4171" s="1"/>
      <c r="Q4171" s="1"/>
      <c r="AD4171" s="1"/>
      <c r="AG4171" s="1"/>
      <c r="AI4171" s="1"/>
    </row>
    <row r="4172" spans="4:35" hidden="1">
      <c r="D4172" s="1"/>
      <c r="K4172" s="1"/>
      <c r="Q4172" s="1"/>
      <c r="AD4172" s="1"/>
      <c r="AG4172" s="1"/>
      <c r="AI4172" s="1"/>
    </row>
    <row r="4173" spans="4:35" hidden="1">
      <c r="D4173" s="1"/>
      <c r="K4173" s="1"/>
      <c r="Q4173" s="1"/>
      <c r="AD4173" s="1"/>
      <c r="AG4173" s="1"/>
      <c r="AI4173" s="1"/>
    </row>
    <row r="4174" spans="4:35" hidden="1">
      <c r="D4174" s="1"/>
      <c r="K4174" s="1"/>
      <c r="Q4174" s="1"/>
      <c r="AD4174" s="1"/>
      <c r="AG4174" s="1"/>
      <c r="AI4174" s="1"/>
    </row>
    <row r="4175" spans="4:35" hidden="1">
      <c r="D4175" s="1"/>
      <c r="K4175" s="1"/>
      <c r="Q4175" s="1"/>
      <c r="AD4175" s="1"/>
      <c r="AG4175" s="1"/>
      <c r="AI4175" s="1"/>
    </row>
    <row r="4176" spans="4:35" hidden="1">
      <c r="D4176" s="1"/>
      <c r="K4176" s="1"/>
      <c r="Q4176" s="1"/>
      <c r="AD4176" s="1"/>
      <c r="AG4176" s="1"/>
      <c r="AI4176" s="1"/>
    </row>
    <row r="4177" spans="4:35" hidden="1">
      <c r="D4177" s="1"/>
      <c r="K4177" s="1"/>
      <c r="Q4177" s="1"/>
      <c r="AD4177" s="1"/>
      <c r="AG4177" s="1"/>
      <c r="AI4177" s="1"/>
    </row>
    <row r="4178" spans="4:35" hidden="1">
      <c r="D4178" s="1"/>
      <c r="K4178" s="1"/>
      <c r="Q4178" s="1"/>
      <c r="AD4178" s="1"/>
      <c r="AG4178" s="1"/>
      <c r="AI4178" s="1"/>
    </row>
    <row r="4179" spans="4:35" hidden="1">
      <c r="D4179" s="1"/>
      <c r="K4179" s="1"/>
      <c r="Q4179" s="1"/>
      <c r="AD4179" s="1"/>
      <c r="AG4179" s="1"/>
      <c r="AI4179" s="1"/>
    </row>
    <row r="4180" spans="4:35" hidden="1">
      <c r="D4180" s="1"/>
      <c r="K4180" s="1"/>
      <c r="Q4180" s="1"/>
      <c r="AD4180" s="1"/>
      <c r="AG4180" s="1"/>
      <c r="AI4180" s="1"/>
    </row>
    <row r="4181" spans="4:35" hidden="1">
      <c r="D4181" s="1"/>
      <c r="K4181" s="1"/>
      <c r="Q4181" s="1"/>
      <c r="AD4181" s="1"/>
      <c r="AG4181" s="1"/>
      <c r="AI4181" s="1"/>
    </row>
    <row r="4182" spans="4:35" hidden="1">
      <c r="D4182" s="1"/>
      <c r="K4182" s="1"/>
      <c r="Q4182" s="1"/>
      <c r="AD4182" s="1"/>
      <c r="AG4182" s="1"/>
      <c r="AI4182" s="1"/>
    </row>
    <row r="4183" spans="4:35" hidden="1">
      <c r="D4183" s="1"/>
      <c r="K4183" s="1"/>
      <c r="Q4183" s="1"/>
      <c r="AD4183" s="1"/>
      <c r="AG4183" s="1"/>
      <c r="AI4183" s="1"/>
    </row>
    <row r="4184" spans="4:35" hidden="1">
      <c r="D4184" s="1"/>
      <c r="K4184" s="1"/>
      <c r="Q4184" s="1"/>
      <c r="AD4184" s="1"/>
      <c r="AG4184" s="1"/>
      <c r="AI4184" s="1"/>
    </row>
    <row r="4185" spans="4:35" hidden="1">
      <c r="D4185" s="1"/>
      <c r="K4185" s="1"/>
      <c r="Q4185" s="1"/>
      <c r="AD4185" s="1"/>
      <c r="AG4185" s="1"/>
      <c r="AI4185" s="1"/>
    </row>
    <row r="4186" spans="4:35" hidden="1">
      <c r="D4186" s="1"/>
      <c r="K4186" s="1"/>
      <c r="Q4186" s="1"/>
      <c r="AD4186" s="1"/>
      <c r="AG4186" s="1"/>
      <c r="AI4186" s="1"/>
    </row>
    <row r="4187" spans="4:35" hidden="1">
      <c r="D4187" s="1"/>
      <c r="K4187" s="1"/>
      <c r="Q4187" s="1"/>
      <c r="AD4187" s="1"/>
      <c r="AG4187" s="1"/>
      <c r="AI4187" s="1"/>
    </row>
    <row r="4188" spans="4:35" hidden="1">
      <c r="D4188" s="1"/>
      <c r="K4188" s="1"/>
      <c r="Q4188" s="1"/>
      <c r="AD4188" s="1"/>
      <c r="AG4188" s="1"/>
      <c r="AI4188" s="1"/>
    </row>
    <row r="4189" spans="4:35" hidden="1">
      <c r="D4189" s="1"/>
      <c r="K4189" s="1"/>
      <c r="Q4189" s="1"/>
      <c r="AD4189" s="1"/>
      <c r="AG4189" s="1"/>
      <c r="AI4189" s="1"/>
    </row>
    <row r="4190" spans="4:35" hidden="1">
      <c r="D4190" s="1"/>
      <c r="K4190" s="1"/>
      <c r="Q4190" s="1"/>
      <c r="AD4190" s="1"/>
      <c r="AG4190" s="1"/>
      <c r="AI4190" s="1"/>
    </row>
    <row r="4191" spans="4:35" hidden="1">
      <c r="D4191" s="1"/>
      <c r="K4191" s="1"/>
      <c r="Q4191" s="1"/>
      <c r="AD4191" s="1"/>
      <c r="AG4191" s="1"/>
      <c r="AI4191" s="1"/>
    </row>
    <row r="4192" spans="4:35" hidden="1">
      <c r="D4192" s="1"/>
      <c r="K4192" s="1"/>
      <c r="Q4192" s="1"/>
      <c r="AD4192" s="1"/>
      <c r="AG4192" s="1"/>
      <c r="AI4192" s="1"/>
    </row>
    <row r="4193" spans="4:35" hidden="1">
      <c r="D4193" s="1"/>
      <c r="K4193" s="1"/>
      <c r="Q4193" s="1"/>
      <c r="AD4193" s="1"/>
      <c r="AG4193" s="1"/>
      <c r="AI4193" s="1"/>
    </row>
    <row r="4194" spans="4:35" hidden="1">
      <c r="D4194" s="1"/>
      <c r="K4194" s="1"/>
      <c r="Q4194" s="1"/>
      <c r="AD4194" s="1"/>
      <c r="AG4194" s="1"/>
      <c r="AI4194" s="1"/>
    </row>
    <row r="4195" spans="4:35" hidden="1">
      <c r="D4195" s="1"/>
      <c r="K4195" s="1"/>
      <c r="Q4195" s="1"/>
      <c r="AD4195" s="1"/>
      <c r="AG4195" s="1"/>
      <c r="AI4195" s="1"/>
    </row>
    <row r="4196" spans="4:35" hidden="1">
      <c r="D4196" s="1"/>
      <c r="K4196" s="1"/>
      <c r="Q4196" s="1"/>
      <c r="AD4196" s="1"/>
      <c r="AG4196" s="1"/>
      <c r="AI4196" s="1"/>
    </row>
    <row r="4197" spans="4:35" hidden="1">
      <c r="D4197" s="1"/>
      <c r="K4197" s="1"/>
      <c r="Q4197" s="1"/>
      <c r="AD4197" s="1"/>
      <c r="AG4197" s="1"/>
      <c r="AI4197" s="1"/>
    </row>
    <row r="4198" spans="4:35" hidden="1">
      <c r="D4198" s="1"/>
      <c r="K4198" s="1"/>
      <c r="Q4198" s="1"/>
      <c r="AD4198" s="1"/>
      <c r="AG4198" s="1"/>
      <c r="AI4198" s="1"/>
    </row>
    <row r="4199" spans="4:35" hidden="1">
      <c r="D4199" s="1"/>
      <c r="K4199" s="1"/>
      <c r="Q4199" s="1"/>
      <c r="AD4199" s="1"/>
      <c r="AG4199" s="1"/>
      <c r="AI4199" s="1"/>
    </row>
    <row r="4200" spans="4:35" hidden="1">
      <c r="D4200" s="1"/>
      <c r="K4200" s="1"/>
      <c r="Q4200" s="1"/>
      <c r="AD4200" s="1"/>
      <c r="AG4200" s="1"/>
      <c r="AI4200" s="1"/>
    </row>
    <row r="4201" spans="4:35" hidden="1">
      <c r="D4201" s="1"/>
      <c r="K4201" s="1"/>
      <c r="Q4201" s="1"/>
      <c r="AD4201" s="1"/>
      <c r="AG4201" s="1"/>
      <c r="AI4201" s="1"/>
    </row>
    <row r="4202" spans="4:35" hidden="1">
      <c r="D4202" s="1"/>
      <c r="K4202" s="1"/>
      <c r="Q4202" s="1"/>
      <c r="AD4202" s="1"/>
      <c r="AG4202" s="1"/>
      <c r="AI4202" s="1"/>
    </row>
    <row r="4203" spans="4:35" hidden="1">
      <c r="D4203" s="1"/>
      <c r="K4203" s="1"/>
      <c r="Q4203" s="1"/>
      <c r="AD4203" s="1"/>
      <c r="AG4203" s="1"/>
      <c r="AI4203" s="1"/>
    </row>
    <row r="4204" spans="4:35" hidden="1">
      <c r="D4204" s="1"/>
      <c r="K4204" s="1"/>
      <c r="Q4204" s="1"/>
      <c r="AD4204" s="1"/>
      <c r="AG4204" s="1"/>
      <c r="AI4204" s="1"/>
    </row>
    <row r="4205" spans="4:35" hidden="1">
      <c r="D4205" s="1"/>
      <c r="K4205" s="1"/>
      <c r="Q4205" s="1"/>
      <c r="AD4205" s="1"/>
      <c r="AG4205" s="1"/>
      <c r="AI4205" s="1"/>
    </row>
    <row r="4206" spans="4:35" hidden="1">
      <c r="D4206" s="1"/>
      <c r="K4206" s="1"/>
      <c r="Q4206" s="1"/>
      <c r="AD4206" s="1"/>
      <c r="AG4206" s="1"/>
      <c r="AI4206" s="1"/>
    </row>
    <row r="4207" spans="4:35" hidden="1">
      <c r="D4207" s="1"/>
      <c r="K4207" s="1"/>
      <c r="Q4207" s="1"/>
      <c r="AD4207" s="1"/>
      <c r="AG4207" s="1"/>
      <c r="AI4207" s="1"/>
    </row>
    <row r="4208" spans="4:35" hidden="1">
      <c r="D4208" s="1"/>
      <c r="K4208" s="1"/>
      <c r="Q4208" s="1"/>
      <c r="AD4208" s="1"/>
      <c r="AG4208" s="1"/>
      <c r="AI4208" s="1"/>
    </row>
    <row r="4209" spans="4:35" hidden="1">
      <c r="D4209" s="1"/>
      <c r="K4209" s="1"/>
      <c r="Q4209" s="1"/>
      <c r="AD4209" s="1"/>
      <c r="AG4209" s="1"/>
      <c r="AI4209" s="1"/>
    </row>
    <row r="4210" spans="4:35" hidden="1">
      <c r="D4210" s="1"/>
      <c r="K4210" s="1"/>
      <c r="Q4210" s="1"/>
      <c r="AD4210" s="1"/>
      <c r="AG4210" s="1"/>
      <c r="AI4210" s="1"/>
    </row>
    <row r="4211" spans="4:35" hidden="1">
      <c r="D4211" s="1"/>
      <c r="K4211" s="1"/>
      <c r="Q4211" s="1"/>
      <c r="AD4211" s="1"/>
      <c r="AG4211" s="1"/>
      <c r="AI4211" s="1"/>
    </row>
    <row r="4212" spans="4:35" hidden="1">
      <c r="D4212" s="1"/>
      <c r="K4212" s="1"/>
      <c r="Q4212" s="1"/>
      <c r="AD4212" s="1"/>
      <c r="AG4212" s="1"/>
      <c r="AI4212" s="1"/>
    </row>
    <row r="4213" spans="4:35" hidden="1">
      <c r="D4213" s="1"/>
      <c r="K4213" s="1"/>
      <c r="Q4213" s="1"/>
      <c r="AD4213" s="1"/>
      <c r="AG4213" s="1"/>
      <c r="AI4213" s="1"/>
    </row>
    <row r="4214" spans="4:35" hidden="1">
      <c r="D4214" s="1"/>
      <c r="K4214" s="1"/>
      <c r="Q4214" s="1"/>
      <c r="AD4214" s="1"/>
      <c r="AG4214" s="1"/>
      <c r="AI4214" s="1"/>
    </row>
    <row r="4215" spans="4:35" hidden="1">
      <c r="D4215" s="1"/>
      <c r="K4215" s="1"/>
      <c r="Q4215" s="1"/>
      <c r="AD4215" s="1"/>
      <c r="AG4215" s="1"/>
      <c r="AI4215" s="1"/>
    </row>
    <row r="4216" spans="4:35" hidden="1">
      <c r="D4216" s="1"/>
      <c r="K4216" s="1"/>
      <c r="Q4216" s="1"/>
      <c r="AD4216" s="1"/>
      <c r="AG4216" s="1"/>
      <c r="AI4216" s="1"/>
    </row>
    <row r="4217" spans="4:35" hidden="1">
      <c r="D4217" s="1"/>
      <c r="K4217" s="1"/>
      <c r="Q4217" s="1"/>
      <c r="AD4217" s="1"/>
      <c r="AG4217" s="1"/>
      <c r="AI4217" s="1"/>
    </row>
    <row r="4218" spans="4:35" hidden="1">
      <c r="D4218" s="1"/>
      <c r="K4218" s="1"/>
      <c r="Q4218" s="1"/>
      <c r="AD4218" s="1"/>
      <c r="AG4218" s="1"/>
      <c r="AI4218" s="1"/>
    </row>
    <row r="4219" spans="4:35" hidden="1">
      <c r="D4219" s="1"/>
      <c r="K4219" s="1"/>
      <c r="Q4219" s="1"/>
      <c r="AD4219" s="1"/>
      <c r="AG4219" s="1"/>
      <c r="AI4219" s="1"/>
    </row>
    <row r="4220" spans="4:35" hidden="1">
      <c r="D4220" s="1"/>
      <c r="K4220" s="1"/>
      <c r="Q4220" s="1"/>
      <c r="AD4220" s="1"/>
      <c r="AG4220" s="1"/>
      <c r="AI4220" s="1"/>
    </row>
    <row r="4221" spans="4:35" hidden="1">
      <c r="D4221" s="1"/>
      <c r="K4221" s="1"/>
      <c r="Q4221" s="1"/>
      <c r="AD4221" s="1"/>
      <c r="AG4221" s="1"/>
      <c r="AI4221" s="1"/>
    </row>
    <row r="4222" spans="4:35" hidden="1">
      <c r="D4222" s="1"/>
      <c r="K4222" s="1"/>
      <c r="Q4222" s="1"/>
      <c r="AD4222" s="1"/>
      <c r="AG4222" s="1"/>
      <c r="AI4222" s="1"/>
    </row>
    <row r="4223" spans="4:35" hidden="1">
      <c r="D4223" s="1"/>
      <c r="K4223" s="1"/>
      <c r="Q4223" s="1"/>
      <c r="AD4223" s="1"/>
      <c r="AG4223" s="1"/>
      <c r="AI4223" s="1"/>
    </row>
    <row r="4224" spans="4:35" hidden="1">
      <c r="D4224" s="1"/>
      <c r="K4224" s="1"/>
      <c r="Q4224" s="1"/>
      <c r="AD4224" s="1"/>
      <c r="AG4224" s="1"/>
      <c r="AI4224" s="1"/>
    </row>
    <row r="4225" spans="4:35" hidden="1">
      <c r="D4225" s="1"/>
      <c r="K4225" s="1"/>
      <c r="Q4225" s="1"/>
      <c r="AD4225" s="1"/>
      <c r="AG4225" s="1"/>
      <c r="AI4225" s="1"/>
    </row>
    <row r="4226" spans="4:35" hidden="1">
      <c r="D4226" s="1"/>
      <c r="K4226" s="1"/>
      <c r="Q4226" s="1"/>
      <c r="AD4226" s="1"/>
      <c r="AG4226" s="1"/>
      <c r="AI4226" s="1"/>
    </row>
    <row r="4227" spans="4:35" hidden="1">
      <c r="D4227" s="1"/>
      <c r="K4227" s="1"/>
      <c r="Q4227" s="1"/>
      <c r="AD4227" s="1"/>
      <c r="AG4227" s="1"/>
      <c r="AI4227" s="1"/>
    </row>
    <row r="4228" spans="4:35" hidden="1">
      <c r="D4228" s="1"/>
      <c r="K4228" s="1"/>
      <c r="Q4228" s="1"/>
      <c r="AD4228" s="1"/>
      <c r="AG4228" s="1"/>
      <c r="AI4228" s="1"/>
    </row>
    <row r="4229" spans="4:35" hidden="1">
      <c r="D4229" s="1"/>
      <c r="K4229" s="1"/>
      <c r="Q4229" s="1"/>
      <c r="AD4229" s="1"/>
      <c r="AG4229" s="1"/>
      <c r="AI4229" s="1"/>
    </row>
    <row r="4230" spans="4:35" hidden="1">
      <c r="D4230" s="1"/>
      <c r="K4230" s="1"/>
      <c r="Q4230" s="1"/>
      <c r="AD4230" s="1"/>
      <c r="AG4230" s="1"/>
      <c r="AI4230" s="1"/>
    </row>
    <row r="4231" spans="4:35" hidden="1">
      <c r="D4231" s="1"/>
      <c r="K4231" s="1"/>
      <c r="Q4231" s="1"/>
      <c r="AD4231" s="1"/>
      <c r="AG4231" s="1"/>
      <c r="AI4231" s="1"/>
    </row>
    <row r="4232" spans="4:35" hidden="1">
      <c r="D4232" s="1"/>
      <c r="K4232" s="1"/>
      <c r="Q4232" s="1"/>
      <c r="AD4232" s="1"/>
      <c r="AG4232" s="1"/>
      <c r="AI4232" s="1"/>
    </row>
    <row r="4233" spans="4:35" hidden="1">
      <c r="D4233" s="1"/>
      <c r="K4233" s="1"/>
      <c r="Q4233" s="1"/>
      <c r="AD4233" s="1"/>
      <c r="AG4233" s="1"/>
      <c r="AI4233" s="1"/>
    </row>
    <row r="4234" spans="4:35" hidden="1">
      <c r="D4234" s="1"/>
      <c r="K4234" s="1"/>
      <c r="Q4234" s="1"/>
      <c r="AD4234" s="1"/>
      <c r="AG4234" s="1"/>
      <c r="AI4234" s="1"/>
    </row>
    <row r="4235" spans="4:35" hidden="1">
      <c r="D4235" s="1"/>
      <c r="K4235" s="1"/>
      <c r="Q4235" s="1"/>
      <c r="AD4235" s="1"/>
      <c r="AG4235" s="1"/>
      <c r="AI4235" s="1"/>
    </row>
    <row r="4236" spans="4:35" hidden="1">
      <c r="D4236" s="1"/>
      <c r="K4236" s="1"/>
      <c r="Q4236" s="1"/>
      <c r="AD4236" s="1"/>
      <c r="AG4236" s="1"/>
      <c r="AI4236" s="1"/>
    </row>
    <row r="4237" spans="4:35" hidden="1">
      <c r="D4237" s="1"/>
      <c r="K4237" s="1"/>
      <c r="Q4237" s="1"/>
      <c r="AD4237" s="1"/>
      <c r="AG4237" s="1"/>
      <c r="AI4237" s="1"/>
    </row>
    <row r="4238" spans="4:35" hidden="1">
      <c r="D4238" s="1"/>
      <c r="K4238" s="1"/>
      <c r="Q4238" s="1"/>
      <c r="AD4238" s="1"/>
      <c r="AG4238" s="1"/>
      <c r="AI4238" s="1"/>
    </row>
    <row r="4239" spans="4:35" hidden="1">
      <c r="D4239" s="1"/>
      <c r="K4239" s="1"/>
      <c r="Q4239" s="1"/>
      <c r="AD4239" s="1"/>
      <c r="AG4239" s="1"/>
      <c r="AI4239" s="1"/>
    </row>
    <row r="4240" spans="4:35" hidden="1">
      <c r="D4240" s="1"/>
      <c r="K4240" s="1"/>
      <c r="Q4240" s="1"/>
      <c r="AD4240" s="1"/>
      <c r="AG4240" s="1"/>
      <c r="AI4240" s="1"/>
    </row>
    <row r="4241" spans="4:35" hidden="1">
      <c r="D4241" s="1"/>
      <c r="K4241" s="1"/>
      <c r="Q4241" s="1"/>
      <c r="AD4241" s="1"/>
      <c r="AG4241" s="1"/>
      <c r="AI4241" s="1"/>
    </row>
    <row r="4242" spans="4:35" hidden="1">
      <c r="D4242" s="1"/>
      <c r="K4242" s="1"/>
      <c r="Q4242" s="1"/>
      <c r="AD4242" s="1"/>
      <c r="AG4242" s="1"/>
      <c r="AI4242" s="1"/>
    </row>
    <row r="4243" spans="4:35" hidden="1">
      <c r="D4243" s="1"/>
      <c r="K4243" s="1"/>
      <c r="Q4243" s="1"/>
      <c r="AD4243" s="1"/>
      <c r="AG4243" s="1"/>
      <c r="AI4243" s="1"/>
    </row>
    <row r="4244" spans="4:35" hidden="1">
      <c r="D4244" s="1"/>
      <c r="K4244" s="1"/>
      <c r="Q4244" s="1"/>
      <c r="AD4244" s="1"/>
      <c r="AG4244" s="1"/>
      <c r="AI4244" s="1"/>
    </row>
    <row r="4245" spans="4:35" hidden="1">
      <c r="D4245" s="1"/>
      <c r="K4245" s="1"/>
      <c r="Q4245" s="1"/>
      <c r="AD4245" s="1"/>
      <c r="AG4245" s="1"/>
      <c r="AI4245" s="1"/>
    </row>
    <row r="4246" spans="4:35" hidden="1">
      <c r="D4246" s="1"/>
      <c r="K4246" s="1"/>
      <c r="Q4246" s="1"/>
      <c r="AD4246" s="1"/>
      <c r="AG4246" s="1"/>
      <c r="AI4246" s="1"/>
    </row>
    <row r="4247" spans="4:35" hidden="1">
      <c r="D4247" s="1"/>
      <c r="K4247" s="1"/>
      <c r="Q4247" s="1"/>
      <c r="AD4247" s="1"/>
      <c r="AG4247" s="1"/>
      <c r="AI4247" s="1"/>
    </row>
    <row r="4248" spans="4:35" hidden="1">
      <c r="D4248" s="1"/>
      <c r="K4248" s="1"/>
      <c r="Q4248" s="1"/>
      <c r="AD4248" s="1"/>
      <c r="AG4248" s="1"/>
      <c r="AI4248" s="1"/>
    </row>
    <row r="4249" spans="4:35" hidden="1">
      <c r="D4249" s="1"/>
      <c r="K4249" s="1"/>
      <c r="Q4249" s="1"/>
      <c r="AD4249" s="1"/>
      <c r="AG4249" s="1"/>
      <c r="AI4249" s="1"/>
    </row>
    <row r="4250" spans="4:35" hidden="1">
      <c r="D4250" s="1"/>
      <c r="K4250" s="1"/>
      <c r="Q4250" s="1"/>
      <c r="AD4250" s="1"/>
      <c r="AG4250" s="1"/>
      <c r="AI4250" s="1"/>
    </row>
    <row r="4251" spans="4:35" hidden="1">
      <c r="D4251" s="1"/>
      <c r="K4251" s="1"/>
      <c r="Q4251" s="1"/>
      <c r="AD4251" s="1"/>
      <c r="AG4251" s="1"/>
      <c r="AI4251" s="1"/>
    </row>
    <row r="4252" spans="4:35" hidden="1">
      <c r="D4252" s="1"/>
      <c r="K4252" s="1"/>
      <c r="Q4252" s="1"/>
      <c r="AD4252" s="1"/>
      <c r="AG4252" s="1"/>
      <c r="AI4252" s="1"/>
    </row>
    <row r="4253" spans="4:35" hidden="1">
      <c r="D4253" s="1"/>
      <c r="K4253" s="1"/>
      <c r="Q4253" s="1"/>
      <c r="AD4253" s="1"/>
      <c r="AG4253" s="1"/>
      <c r="AI4253" s="1"/>
    </row>
    <row r="4254" spans="4:35" hidden="1">
      <c r="D4254" s="1"/>
      <c r="K4254" s="1"/>
      <c r="Q4254" s="1"/>
      <c r="AD4254" s="1"/>
      <c r="AG4254" s="1"/>
      <c r="AI4254" s="1"/>
    </row>
    <row r="4255" spans="4:35" hidden="1">
      <c r="D4255" s="1"/>
      <c r="K4255" s="1"/>
      <c r="Q4255" s="1"/>
      <c r="AD4255" s="1"/>
      <c r="AG4255" s="1"/>
      <c r="AI4255" s="1"/>
    </row>
    <row r="4256" spans="4:35" hidden="1">
      <c r="D4256" s="1"/>
      <c r="K4256" s="1"/>
      <c r="Q4256" s="1"/>
      <c r="AD4256" s="1"/>
      <c r="AG4256" s="1"/>
      <c r="AI4256" s="1"/>
    </row>
    <row r="4257" spans="4:35" hidden="1">
      <c r="D4257" s="1"/>
      <c r="K4257" s="1"/>
      <c r="Q4257" s="1"/>
      <c r="AD4257" s="1"/>
      <c r="AG4257" s="1"/>
      <c r="AI4257" s="1"/>
    </row>
    <row r="4258" spans="4:35" hidden="1">
      <c r="D4258" s="1"/>
      <c r="K4258" s="1"/>
      <c r="Q4258" s="1"/>
      <c r="AD4258" s="1"/>
      <c r="AG4258" s="1"/>
      <c r="AI4258" s="1"/>
    </row>
    <row r="4259" spans="4:35" hidden="1">
      <c r="D4259" s="1"/>
      <c r="K4259" s="1"/>
      <c r="Q4259" s="1"/>
      <c r="AD4259" s="1"/>
      <c r="AG4259" s="1"/>
      <c r="AI4259" s="1"/>
    </row>
    <row r="4260" spans="4:35" hidden="1">
      <c r="D4260" s="1"/>
      <c r="K4260" s="1"/>
      <c r="Q4260" s="1"/>
      <c r="AD4260" s="1"/>
      <c r="AG4260" s="1"/>
      <c r="AI4260" s="1"/>
    </row>
    <row r="4261" spans="4:35" hidden="1">
      <c r="D4261" s="1"/>
      <c r="K4261" s="1"/>
      <c r="Q4261" s="1"/>
      <c r="AD4261" s="1"/>
      <c r="AG4261" s="1"/>
      <c r="AI4261" s="1"/>
    </row>
    <row r="4262" spans="4:35" hidden="1">
      <c r="D4262" s="1"/>
      <c r="K4262" s="1"/>
      <c r="Q4262" s="1"/>
      <c r="AD4262" s="1"/>
      <c r="AG4262" s="1"/>
      <c r="AI4262" s="1"/>
    </row>
    <row r="4263" spans="4:35" hidden="1">
      <c r="D4263" s="1"/>
      <c r="K4263" s="1"/>
      <c r="Q4263" s="1"/>
      <c r="AD4263" s="1"/>
      <c r="AG4263" s="1"/>
      <c r="AI4263" s="1"/>
    </row>
    <row r="4264" spans="4:35" hidden="1">
      <c r="D4264" s="1"/>
      <c r="K4264" s="1"/>
      <c r="Q4264" s="1"/>
      <c r="AD4264" s="1"/>
      <c r="AG4264" s="1"/>
      <c r="AI4264" s="1"/>
    </row>
    <row r="4265" spans="4:35" hidden="1">
      <c r="D4265" s="1"/>
      <c r="K4265" s="1"/>
      <c r="Q4265" s="1"/>
      <c r="AD4265" s="1"/>
      <c r="AG4265" s="1"/>
      <c r="AI4265" s="1"/>
    </row>
    <row r="4266" spans="4:35" hidden="1">
      <c r="D4266" s="1"/>
      <c r="K4266" s="1"/>
      <c r="Q4266" s="1"/>
      <c r="AD4266" s="1"/>
      <c r="AG4266" s="1"/>
      <c r="AI4266" s="1"/>
    </row>
    <row r="4267" spans="4:35" hidden="1">
      <c r="D4267" s="1"/>
      <c r="K4267" s="1"/>
      <c r="Q4267" s="1"/>
      <c r="AD4267" s="1"/>
      <c r="AG4267" s="1"/>
      <c r="AI4267" s="1"/>
    </row>
    <row r="4268" spans="4:35" hidden="1">
      <c r="D4268" s="1"/>
      <c r="K4268" s="1"/>
      <c r="Q4268" s="1"/>
      <c r="AD4268" s="1"/>
      <c r="AG4268" s="1"/>
      <c r="AI4268" s="1"/>
    </row>
    <row r="4269" spans="4:35" hidden="1">
      <c r="D4269" s="1"/>
      <c r="K4269" s="1"/>
      <c r="Q4269" s="1"/>
      <c r="AD4269" s="1"/>
      <c r="AG4269" s="1"/>
      <c r="AI4269" s="1"/>
    </row>
    <row r="4270" spans="4:35" hidden="1">
      <c r="D4270" s="1"/>
      <c r="K4270" s="1"/>
      <c r="Q4270" s="1"/>
      <c r="AD4270" s="1"/>
      <c r="AG4270" s="1"/>
      <c r="AI4270" s="1"/>
    </row>
    <row r="4271" spans="4:35" hidden="1">
      <c r="D4271" s="1"/>
      <c r="K4271" s="1"/>
      <c r="Q4271" s="1"/>
      <c r="AD4271" s="1"/>
      <c r="AG4271" s="1"/>
      <c r="AI4271" s="1"/>
    </row>
    <row r="4272" spans="4:35" hidden="1">
      <c r="D4272" s="1"/>
      <c r="K4272" s="1"/>
      <c r="Q4272" s="1"/>
      <c r="AD4272" s="1"/>
      <c r="AG4272" s="1"/>
      <c r="AI4272" s="1"/>
    </row>
    <row r="4273" spans="4:35" hidden="1">
      <c r="D4273" s="1"/>
      <c r="K4273" s="1"/>
      <c r="Q4273" s="1"/>
      <c r="AD4273" s="1"/>
      <c r="AG4273" s="1"/>
      <c r="AI4273" s="1"/>
    </row>
    <row r="4274" spans="4:35" hidden="1">
      <c r="D4274" s="1"/>
      <c r="K4274" s="1"/>
      <c r="Q4274" s="1"/>
      <c r="AD4274" s="1"/>
      <c r="AG4274" s="1"/>
      <c r="AI4274" s="1"/>
    </row>
    <row r="4275" spans="4:35" hidden="1">
      <c r="D4275" s="1"/>
      <c r="K4275" s="1"/>
      <c r="Q4275" s="1"/>
      <c r="AD4275" s="1"/>
      <c r="AG4275" s="1"/>
      <c r="AI4275" s="1"/>
    </row>
    <row r="4276" spans="4:35" hidden="1">
      <c r="D4276" s="1"/>
      <c r="K4276" s="1"/>
      <c r="Q4276" s="1"/>
      <c r="AD4276" s="1"/>
      <c r="AG4276" s="1"/>
      <c r="AI4276" s="1"/>
    </row>
    <row r="4277" spans="4:35" hidden="1">
      <c r="D4277" s="1"/>
      <c r="K4277" s="1"/>
      <c r="Q4277" s="1"/>
      <c r="AD4277" s="1"/>
      <c r="AG4277" s="1"/>
      <c r="AI4277" s="1"/>
    </row>
    <row r="4278" spans="4:35" hidden="1">
      <c r="D4278" s="1"/>
      <c r="K4278" s="1"/>
      <c r="Q4278" s="1"/>
      <c r="AD4278" s="1"/>
      <c r="AG4278" s="1"/>
      <c r="AI4278" s="1"/>
    </row>
    <row r="4279" spans="4:35" hidden="1">
      <c r="D4279" s="1"/>
      <c r="K4279" s="1"/>
      <c r="Q4279" s="1"/>
      <c r="AD4279" s="1"/>
      <c r="AG4279" s="1"/>
      <c r="AI4279" s="1"/>
    </row>
    <row r="4280" spans="4:35" hidden="1">
      <c r="D4280" s="1"/>
      <c r="K4280" s="1"/>
      <c r="Q4280" s="1"/>
      <c r="AD4280" s="1"/>
      <c r="AG4280" s="1"/>
      <c r="AI4280" s="1"/>
    </row>
    <row r="4281" spans="4:35" hidden="1">
      <c r="D4281" s="1"/>
      <c r="K4281" s="1"/>
      <c r="Q4281" s="1"/>
      <c r="AD4281" s="1"/>
      <c r="AG4281" s="1"/>
      <c r="AI4281" s="1"/>
    </row>
    <row r="4282" spans="4:35" hidden="1">
      <c r="D4282" s="1"/>
      <c r="K4282" s="1"/>
      <c r="Q4282" s="1"/>
      <c r="AD4282" s="1"/>
      <c r="AG4282" s="1"/>
      <c r="AI4282" s="1"/>
    </row>
    <row r="4283" spans="4:35" hidden="1">
      <c r="D4283" s="1"/>
      <c r="K4283" s="1"/>
      <c r="Q4283" s="1"/>
      <c r="AD4283" s="1"/>
      <c r="AG4283" s="1"/>
      <c r="AI4283" s="1"/>
    </row>
    <row r="4284" spans="4:35" hidden="1">
      <c r="D4284" s="1"/>
      <c r="K4284" s="1"/>
      <c r="Q4284" s="1"/>
      <c r="AD4284" s="1"/>
      <c r="AG4284" s="1"/>
      <c r="AI4284" s="1"/>
    </row>
    <row r="4285" spans="4:35" hidden="1">
      <c r="D4285" s="1"/>
      <c r="K4285" s="1"/>
      <c r="Q4285" s="1"/>
      <c r="AD4285" s="1"/>
      <c r="AG4285" s="1"/>
      <c r="AI4285" s="1"/>
    </row>
    <row r="4286" spans="4:35" hidden="1">
      <c r="D4286" s="1"/>
      <c r="K4286" s="1"/>
      <c r="Q4286" s="1"/>
      <c r="AD4286" s="1"/>
      <c r="AG4286" s="1"/>
      <c r="AI4286" s="1"/>
    </row>
    <row r="4287" spans="4:35" hidden="1">
      <c r="D4287" s="1"/>
      <c r="K4287" s="1"/>
      <c r="Q4287" s="1"/>
      <c r="AD4287" s="1"/>
      <c r="AG4287" s="1"/>
      <c r="AI4287" s="1"/>
    </row>
    <row r="4288" spans="4:35" hidden="1">
      <c r="D4288" s="1"/>
      <c r="K4288" s="1"/>
      <c r="Q4288" s="1"/>
      <c r="AD4288" s="1"/>
      <c r="AG4288" s="1"/>
      <c r="AI4288" s="1"/>
    </row>
    <row r="4289" spans="4:35" hidden="1">
      <c r="D4289" s="1"/>
      <c r="K4289" s="1"/>
      <c r="Q4289" s="1"/>
      <c r="AD4289" s="1"/>
      <c r="AG4289" s="1"/>
      <c r="AI4289" s="1"/>
    </row>
    <row r="4290" spans="4:35" hidden="1">
      <c r="D4290" s="1"/>
      <c r="K4290" s="1"/>
      <c r="Q4290" s="1"/>
      <c r="AD4290" s="1"/>
      <c r="AG4290" s="1"/>
      <c r="AI4290" s="1"/>
    </row>
    <row r="4291" spans="4:35" hidden="1">
      <c r="D4291" s="1"/>
      <c r="K4291" s="1"/>
      <c r="Q4291" s="1"/>
      <c r="AD4291" s="1"/>
      <c r="AG4291" s="1"/>
      <c r="AI4291" s="1"/>
    </row>
    <row r="4292" spans="4:35" hidden="1">
      <c r="D4292" s="1"/>
      <c r="K4292" s="1"/>
      <c r="Q4292" s="1"/>
      <c r="AD4292" s="1"/>
      <c r="AG4292" s="1"/>
      <c r="AI4292" s="1"/>
    </row>
    <row r="4293" spans="4:35" hidden="1">
      <c r="D4293" s="1"/>
      <c r="K4293" s="1"/>
      <c r="Q4293" s="1"/>
      <c r="AD4293" s="1"/>
      <c r="AG4293" s="1"/>
      <c r="AI4293" s="1"/>
    </row>
    <row r="4294" spans="4:35" hidden="1">
      <c r="D4294" s="1"/>
      <c r="K4294" s="1"/>
      <c r="Q4294" s="1"/>
      <c r="AD4294" s="1"/>
      <c r="AG4294" s="1"/>
      <c r="AI4294" s="1"/>
    </row>
    <row r="4295" spans="4:35" hidden="1">
      <c r="D4295" s="1"/>
      <c r="K4295" s="1"/>
      <c r="Q4295" s="1"/>
      <c r="AD4295" s="1"/>
      <c r="AG4295" s="1"/>
      <c r="AI4295" s="1"/>
    </row>
    <row r="4296" spans="4:35" hidden="1">
      <c r="D4296" s="1"/>
      <c r="K4296" s="1"/>
      <c r="Q4296" s="1"/>
      <c r="AD4296" s="1"/>
      <c r="AG4296" s="1"/>
      <c r="AI4296" s="1"/>
    </row>
    <row r="4297" spans="4:35" hidden="1">
      <c r="D4297" s="1"/>
      <c r="K4297" s="1"/>
      <c r="Q4297" s="1"/>
      <c r="AD4297" s="1"/>
      <c r="AG4297" s="1"/>
      <c r="AI4297" s="1"/>
    </row>
    <row r="4298" spans="4:35" hidden="1">
      <c r="D4298" s="1"/>
      <c r="K4298" s="1"/>
      <c r="Q4298" s="1"/>
      <c r="AD4298" s="1"/>
      <c r="AG4298" s="1"/>
      <c r="AI4298" s="1"/>
    </row>
    <row r="4299" spans="4:35" hidden="1">
      <c r="D4299" s="1"/>
      <c r="K4299" s="1"/>
      <c r="Q4299" s="1"/>
      <c r="AD4299" s="1"/>
      <c r="AG4299" s="1"/>
      <c r="AI4299" s="1"/>
    </row>
    <row r="4300" spans="4:35" hidden="1">
      <c r="D4300" s="1"/>
      <c r="K4300" s="1"/>
      <c r="Q4300" s="1"/>
      <c r="AD4300" s="1"/>
      <c r="AG4300" s="1"/>
      <c r="AI4300" s="1"/>
    </row>
    <row r="4301" spans="4:35" hidden="1">
      <c r="D4301" s="1"/>
      <c r="K4301" s="1"/>
      <c r="Q4301" s="1"/>
      <c r="AD4301" s="1"/>
      <c r="AG4301" s="1"/>
      <c r="AI4301" s="1"/>
    </row>
    <row r="4302" spans="4:35" hidden="1">
      <c r="D4302" s="1"/>
      <c r="K4302" s="1"/>
      <c r="Q4302" s="1"/>
      <c r="AD4302" s="1"/>
      <c r="AG4302" s="1"/>
      <c r="AI4302" s="1"/>
    </row>
    <row r="4303" spans="4:35" hidden="1">
      <c r="D4303" s="1"/>
      <c r="K4303" s="1"/>
      <c r="Q4303" s="1"/>
      <c r="AD4303" s="1"/>
      <c r="AG4303" s="1"/>
      <c r="AI4303" s="1"/>
    </row>
    <row r="4304" spans="4:35" hidden="1">
      <c r="D4304" s="1"/>
      <c r="K4304" s="1"/>
      <c r="Q4304" s="1"/>
      <c r="AD4304" s="1"/>
      <c r="AG4304" s="1"/>
      <c r="AI4304" s="1"/>
    </row>
    <row r="4305" spans="4:35" hidden="1">
      <c r="D4305" s="1"/>
      <c r="K4305" s="1"/>
      <c r="Q4305" s="1"/>
      <c r="AD4305" s="1"/>
      <c r="AG4305" s="1"/>
      <c r="AI4305" s="1"/>
    </row>
    <row r="4306" spans="4:35" hidden="1">
      <c r="D4306" s="1"/>
      <c r="K4306" s="1"/>
      <c r="Q4306" s="1"/>
      <c r="AD4306" s="1"/>
      <c r="AG4306" s="1"/>
      <c r="AI4306" s="1"/>
    </row>
    <row r="4307" spans="4:35" hidden="1">
      <c r="D4307" s="1"/>
      <c r="K4307" s="1"/>
      <c r="Q4307" s="1"/>
      <c r="AD4307" s="1"/>
      <c r="AG4307" s="1"/>
      <c r="AI4307" s="1"/>
    </row>
    <row r="4308" spans="4:35" hidden="1">
      <c r="D4308" s="1"/>
      <c r="K4308" s="1"/>
      <c r="Q4308" s="1"/>
      <c r="AD4308" s="1"/>
      <c r="AG4308" s="1"/>
      <c r="AI4308" s="1"/>
    </row>
    <row r="4309" spans="4:35" hidden="1">
      <c r="D4309" s="1"/>
      <c r="K4309" s="1"/>
      <c r="Q4309" s="1"/>
      <c r="AD4309" s="1"/>
      <c r="AG4309" s="1"/>
      <c r="AI4309" s="1"/>
    </row>
    <row r="4310" spans="4:35" hidden="1">
      <c r="D4310" s="1"/>
      <c r="K4310" s="1"/>
      <c r="Q4310" s="1"/>
      <c r="AD4310" s="1"/>
      <c r="AG4310" s="1"/>
      <c r="AI4310" s="1"/>
    </row>
    <row r="4311" spans="4:35" hidden="1">
      <c r="D4311" s="1"/>
      <c r="K4311" s="1"/>
      <c r="Q4311" s="1"/>
      <c r="AD4311" s="1"/>
      <c r="AG4311" s="1"/>
      <c r="AI4311" s="1"/>
    </row>
    <row r="4312" spans="4:35" hidden="1">
      <c r="D4312" s="1"/>
      <c r="K4312" s="1"/>
      <c r="Q4312" s="1"/>
      <c r="AD4312" s="1"/>
      <c r="AG4312" s="1"/>
      <c r="AI4312" s="1"/>
    </row>
    <row r="4313" spans="4:35" hidden="1">
      <c r="D4313" s="1"/>
      <c r="K4313" s="1"/>
      <c r="Q4313" s="1"/>
      <c r="AD4313" s="1"/>
      <c r="AG4313" s="1"/>
      <c r="AI4313" s="1"/>
    </row>
    <row r="4314" spans="4:35" hidden="1">
      <c r="D4314" s="1"/>
      <c r="K4314" s="1"/>
      <c r="Q4314" s="1"/>
      <c r="AD4314" s="1"/>
      <c r="AG4314" s="1"/>
      <c r="AI4314" s="1"/>
    </row>
    <row r="4315" spans="4:35" hidden="1">
      <c r="D4315" s="1"/>
      <c r="K4315" s="1"/>
      <c r="Q4315" s="1"/>
      <c r="AD4315" s="1"/>
      <c r="AG4315" s="1"/>
      <c r="AI4315" s="1"/>
    </row>
    <row r="4316" spans="4:35" hidden="1">
      <c r="D4316" s="1"/>
      <c r="K4316" s="1"/>
      <c r="Q4316" s="1"/>
      <c r="AD4316" s="1"/>
      <c r="AG4316" s="1"/>
      <c r="AI4316" s="1"/>
    </row>
    <row r="4317" spans="4:35" hidden="1">
      <c r="D4317" s="1"/>
      <c r="K4317" s="1"/>
      <c r="Q4317" s="1"/>
      <c r="AD4317" s="1"/>
      <c r="AG4317" s="1"/>
      <c r="AI4317" s="1"/>
    </row>
    <row r="4318" spans="4:35" hidden="1">
      <c r="D4318" s="1"/>
      <c r="K4318" s="1"/>
      <c r="Q4318" s="1"/>
      <c r="AD4318" s="1"/>
      <c r="AG4318" s="1"/>
      <c r="AI4318" s="1"/>
    </row>
    <row r="4319" spans="4:35" hidden="1">
      <c r="D4319" s="1"/>
      <c r="K4319" s="1"/>
      <c r="Q4319" s="1"/>
      <c r="AD4319" s="1"/>
      <c r="AG4319" s="1"/>
      <c r="AI4319" s="1"/>
    </row>
    <row r="4320" spans="4:35" hidden="1">
      <c r="D4320" s="1"/>
      <c r="K4320" s="1"/>
      <c r="Q4320" s="1"/>
      <c r="AD4320" s="1"/>
      <c r="AG4320" s="1"/>
      <c r="AI4320" s="1"/>
    </row>
    <row r="4321" spans="4:35" hidden="1">
      <c r="D4321" s="1"/>
      <c r="K4321" s="1"/>
      <c r="Q4321" s="1"/>
      <c r="AD4321" s="1"/>
      <c r="AG4321" s="1"/>
      <c r="AI4321" s="1"/>
    </row>
    <row r="4322" spans="4:35" hidden="1">
      <c r="D4322" s="1"/>
      <c r="K4322" s="1"/>
      <c r="Q4322" s="1"/>
      <c r="AD4322" s="1"/>
      <c r="AG4322" s="1"/>
      <c r="AI4322" s="1"/>
    </row>
    <row r="4323" spans="4:35" hidden="1">
      <c r="D4323" s="1"/>
      <c r="K4323" s="1"/>
      <c r="Q4323" s="1"/>
      <c r="AD4323" s="1"/>
      <c r="AG4323" s="1"/>
      <c r="AI4323" s="1"/>
    </row>
    <row r="4324" spans="4:35" hidden="1">
      <c r="D4324" s="1"/>
      <c r="K4324" s="1"/>
      <c r="Q4324" s="1"/>
      <c r="AD4324" s="1"/>
      <c r="AG4324" s="1"/>
      <c r="AI4324" s="1"/>
    </row>
    <row r="4325" spans="4:35" hidden="1">
      <c r="D4325" s="1"/>
      <c r="K4325" s="1"/>
      <c r="Q4325" s="1"/>
      <c r="AD4325" s="1"/>
      <c r="AG4325" s="1"/>
      <c r="AI4325" s="1"/>
    </row>
    <row r="4326" spans="4:35" hidden="1">
      <c r="D4326" s="1"/>
      <c r="K4326" s="1"/>
      <c r="Q4326" s="1"/>
      <c r="AD4326" s="1"/>
      <c r="AG4326" s="1"/>
      <c r="AI4326" s="1"/>
    </row>
    <row r="4327" spans="4:35" hidden="1">
      <c r="D4327" s="1"/>
      <c r="K4327" s="1"/>
      <c r="Q4327" s="1"/>
      <c r="AD4327" s="1"/>
      <c r="AG4327" s="1"/>
      <c r="AI4327" s="1"/>
    </row>
    <row r="4328" spans="4:35" hidden="1">
      <c r="D4328" s="1"/>
      <c r="K4328" s="1"/>
      <c r="Q4328" s="1"/>
      <c r="AD4328" s="1"/>
      <c r="AG4328" s="1"/>
      <c r="AI4328" s="1"/>
    </row>
    <row r="4329" spans="4:35" hidden="1">
      <c r="D4329" s="1"/>
      <c r="K4329" s="1"/>
      <c r="Q4329" s="1"/>
      <c r="AD4329" s="1"/>
      <c r="AG4329" s="1"/>
      <c r="AI4329" s="1"/>
    </row>
    <row r="4330" spans="4:35" hidden="1">
      <c r="D4330" s="1"/>
      <c r="K4330" s="1"/>
      <c r="Q4330" s="1"/>
      <c r="AD4330" s="1"/>
      <c r="AG4330" s="1"/>
      <c r="AI4330" s="1"/>
    </row>
    <row r="4331" spans="4:35" hidden="1">
      <c r="D4331" s="1"/>
      <c r="K4331" s="1"/>
      <c r="Q4331" s="1"/>
      <c r="AD4331" s="1"/>
      <c r="AG4331" s="1"/>
      <c r="AI4331" s="1"/>
    </row>
    <row r="4332" spans="4:35" hidden="1">
      <c r="D4332" s="1"/>
      <c r="K4332" s="1"/>
      <c r="Q4332" s="1"/>
      <c r="AD4332" s="1"/>
      <c r="AG4332" s="1"/>
      <c r="AI4332" s="1"/>
    </row>
    <row r="4333" spans="4:35" hidden="1">
      <c r="D4333" s="1"/>
      <c r="K4333" s="1"/>
      <c r="Q4333" s="1"/>
      <c r="AD4333" s="1"/>
      <c r="AG4333" s="1"/>
      <c r="AI4333" s="1"/>
    </row>
    <row r="4334" spans="4:35" hidden="1">
      <c r="D4334" s="1"/>
      <c r="K4334" s="1"/>
      <c r="Q4334" s="1"/>
      <c r="AD4334" s="1"/>
      <c r="AG4334" s="1"/>
      <c r="AI4334" s="1"/>
    </row>
    <row r="4335" spans="4:35" hidden="1">
      <c r="D4335" s="1"/>
      <c r="K4335" s="1"/>
      <c r="Q4335" s="1"/>
      <c r="AD4335" s="1"/>
      <c r="AG4335" s="1"/>
      <c r="AI4335" s="1"/>
    </row>
    <row r="4336" spans="4:35" hidden="1">
      <c r="D4336" s="1"/>
      <c r="K4336" s="1"/>
      <c r="Q4336" s="1"/>
      <c r="AD4336" s="1"/>
      <c r="AG4336" s="1"/>
      <c r="AI4336" s="1"/>
    </row>
    <row r="4337" spans="4:35" hidden="1">
      <c r="D4337" s="1"/>
      <c r="K4337" s="1"/>
      <c r="Q4337" s="1"/>
      <c r="AD4337" s="1"/>
      <c r="AG4337" s="1"/>
      <c r="AI4337" s="1"/>
    </row>
    <row r="4338" spans="4:35" hidden="1">
      <c r="D4338" s="1"/>
      <c r="K4338" s="1"/>
      <c r="Q4338" s="1"/>
      <c r="AD4338" s="1"/>
      <c r="AG4338" s="1"/>
      <c r="AI4338" s="1"/>
    </row>
    <row r="4339" spans="4:35" hidden="1">
      <c r="D4339" s="1"/>
      <c r="K4339" s="1"/>
      <c r="Q4339" s="1"/>
      <c r="AD4339" s="1"/>
      <c r="AG4339" s="1"/>
      <c r="AI4339" s="1"/>
    </row>
    <row r="4340" spans="4:35" hidden="1">
      <c r="D4340" s="1"/>
      <c r="K4340" s="1"/>
      <c r="Q4340" s="1"/>
      <c r="AD4340" s="1"/>
      <c r="AG4340" s="1"/>
      <c r="AI4340" s="1"/>
    </row>
    <row r="4341" spans="4:35" hidden="1">
      <c r="D4341" s="1"/>
      <c r="K4341" s="1"/>
      <c r="Q4341" s="1"/>
      <c r="AD4341" s="1"/>
      <c r="AG4341" s="1"/>
      <c r="AI4341" s="1"/>
    </row>
    <row r="4342" spans="4:35" hidden="1">
      <c r="D4342" s="1"/>
      <c r="K4342" s="1"/>
      <c r="Q4342" s="1"/>
      <c r="AD4342" s="1"/>
      <c r="AG4342" s="1"/>
      <c r="AI4342" s="1"/>
    </row>
    <row r="4343" spans="4:35" hidden="1">
      <c r="D4343" s="1"/>
      <c r="K4343" s="1"/>
      <c r="Q4343" s="1"/>
      <c r="AD4343" s="1"/>
      <c r="AG4343" s="1"/>
      <c r="AI4343" s="1"/>
    </row>
    <row r="4344" spans="4:35" hidden="1">
      <c r="D4344" s="1"/>
      <c r="K4344" s="1"/>
      <c r="Q4344" s="1"/>
      <c r="AD4344" s="1"/>
      <c r="AG4344" s="1"/>
      <c r="AI4344" s="1"/>
    </row>
    <row r="4345" spans="4:35" hidden="1">
      <c r="D4345" s="1"/>
      <c r="K4345" s="1"/>
      <c r="Q4345" s="1"/>
      <c r="AD4345" s="1"/>
      <c r="AG4345" s="1"/>
      <c r="AI4345" s="1"/>
    </row>
    <row r="4346" spans="4:35" hidden="1">
      <c r="D4346" s="1"/>
      <c r="K4346" s="1"/>
      <c r="Q4346" s="1"/>
      <c r="AD4346" s="1"/>
      <c r="AG4346" s="1"/>
      <c r="AI4346" s="1"/>
    </row>
    <row r="4347" spans="4:35" hidden="1">
      <c r="D4347" s="1"/>
      <c r="K4347" s="1"/>
      <c r="Q4347" s="1"/>
      <c r="AD4347" s="1"/>
      <c r="AG4347" s="1"/>
      <c r="AI4347" s="1"/>
    </row>
    <row r="4348" spans="4:35" hidden="1">
      <c r="D4348" s="1"/>
      <c r="K4348" s="1"/>
      <c r="Q4348" s="1"/>
      <c r="AD4348" s="1"/>
      <c r="AG4348" s="1"/>
      <c r="AI4348" s="1"/>
    </row>
    <row r="4349" spans="4:35" hidden="1">
      <c r="D4349" s="1"/>
      <c r="K4349" s="1"/>
      <c r="Q4349" s="1"/>
      <c r="AD4349" s="1"/>
      <c r="AG4349" s="1"/>
      <c r="AI4349" s="1"/>
    </row>
    <row r="4350" spans="4:35" hidden="1">
      <c r="D4350" s="1"/>
      <c r="K4350" s="1"/>
      <c r="Q4350" s="1"/>
      <c r="AD4350" s="1"/>
      <c r="AG4350" s="1"/>
      <c r="AI4350" s="1"/>
    </row>
    <row r="4351" spans="4:35" hidden="1">
      <c r="D4351" s="1"/>
      <c r="K4351" s="1"/>
      <c r="Q4351" s="1"/>
      <c r="AD4351" s="1"/>
      <c r="AG4351" s="1"/>
      <c r="AI4351" s="1"/>
    </row>
    <row r="4352" spans="4:35" hidden="1">
      <c r="D4352" s="1"/>
      <c r="K4352" s="1"/>
      <c r="Q4352" s="1"/>
      <c r="AD4352" s="1"/>
      <c r="AG4352" s="1"/>
      <c r="AI4352" s="1"/>
    </row>
    <row r="4353" spans="4:35" hidden="1">
      <c r="D4353" s="1"/>
      <c r="K4353" s="1"/>
      <c r="Q4353" s="1"/>
      <c r="AD4353" s="1"/>
      <c r="AG4353" s="1"/>
      <c r="AI4353" s="1"/>
    </row>
    <row r="4354" spans="4:35" hidden="1">
      <c r="D4354" s="1"/>
      <c r="K4354" s="1"/>
      <c r="Q4354" s="1"/>
      <c r="AD4354" s="1"/>
      <c r="AG4354" s="1"/>
      <c r="AI4354" s="1"/>
    </row>
    <row r="4355" spans="4:35" hidden="1">
      <c r="D4355" s="1"/>
      <c r="K4355" s="1"/>
      <c r="Q4355" s="1"/>
      <c r="AD4355" s="1"/>
      <c r="AG4355" s="1"/>
      <c r="AI4355" s="1"/>
    </row>
    <row r="4356" spans="4:35" hidden="1">
      <c r="D4356" s="1"/>
      <c r="K4356" s="1"/>
      <c r="Q4356" s="1"/>
      <c r="AD4356" s="1"/>
      <c r="AG4356" s="1"/>
      <c r="AI4356" s="1"/>
    </row>
    <row r="4357" spans="4:35" hidden="1">
      <c r="D4357" s="1"/>
      <c r="K4357" s="1"/>
      <c r="Q4357" s="1"/>
      <c r="AD4357" s="1"/>
      <c r="AG4357" s="1"/>
      <c r="AI4357" s="1"/>
    </row>
    <row r="4358" spans="4:35" hidden="1">
      <c r="D4358" s="1"/>
      <c r="K4358" s="1"/>
      <c r="Q4358" s="1"/>
      <c r="AD4358" s="1"/>
      <c r="AG4358" s="1"/>
      <c r="AI4358" s="1"/>
    </row>
    <row r="4359" spans="4:35" hidden="1">
      <c r="D4359" s="1"/>
      <c r="K4359" s="1"/>
      <c r="Q4359" s="1"/>
      <c r="AD4359" s="1"/>
      <c r="AG4359" s="1"/>
      <c r="AI4359" s="1"/>
    </row>
    <row r="4360" spans="4:35" hidden="1">
      <c r="D4360" s="1"/>
      <c r="K4360" s="1"/>
      <c r="Q4360" s="1"/>
      <c r="AD4360" s="1"/>
      <c r="AG4360" s="1"/>
      <c r="AI4360" s="1"/>
    </row>
    <row r="4361" spans="4:35" hidden="1">
      <c r="D4361" s="1"/>
      <c r="K4361" s="1"/>
      <c r="Q4361" s="1"/>
      <c r="AD4361" s="1"/>
      <c r="AG4361" s="1"/>
      <c r="AI4361" s="1"/>
    </row>
    <row r="4362" spans="4:35" hidden="1">
      <c r="D4362" s="1"/>
      <c r="K4362" s="1"/>
      <c r="Q4362" s="1"/>
      <c r="AD4362" s="1"/>
      <c r="AG4362" s="1"/>
      <c r="AI4362" s="1"/>
    </row>
    <row r="4363" spans="4:35" hidden="1">
      <c r="D4363" s="1"/>
      <c r="K4363" s="1"/>
      <c r="Q4363" s="1"/>
      <c r="AD4363" s="1"/>
      <c r="AG4363" s="1"/>
      <c r="AI4363" s="1"/>
    </row>
    <row r="4364" spans="4:35" hidden="1">
      <c r="D4364" s="1"/>
      <c r="K4364" s="1"/>
      <c r="Q4364" s="1"/>
      <c r="AD4364" s="1"/>
      <c r="AG4364" s="1"/>
      <c r="AI4364" s="1"/>
    </row>
    <row r="4365" spans="4:35" hidden="1">
      <c r="D4365" s="1"/>
      <c r="K4365" s="1"/>
      <c r="Q4365" s="1"/>
      <c r="AD4365" s="1"/>
      <c r="AG4365" s="1"/>
      <c r="AI4365" s="1"/>
    </row>
    <row r="4366" spans="4:35" hidden="1">
      <c r="D4366" s="1"/>
      <c r="K4366" s="1"/>
      <c r="Q4366" s="1"/>
      <c r="AD4366" s="1"/>
      <c r="AG4366" s="1"/>
      <c r="AI4366" s="1"/>
    </row>
    <row r="4367" spans="4:35" hidden="1">
      <c r="D4367" s="1"/>
      <c r="K4367" s="1"/>
      <c r="Q4367" s="1"/>
      <c r="AD4367" s="1"/>
      <c r="AG4367" s="1"/>
      <c r="AI4367" s="1"/>
    </row>
    <row r="4368" spans="4:35" hidden="1">
      <c r="D4368" s="1"/>
      <c r="K4368" s="1"/>
      <c r="Q4368" s="1"/>
      <c r="AD4368" s="1"/>
      <c r="AG4368" s="1"/>
      <c r="AI4368" s="1"/>
    </row>
    <row r="4369" spans="4:35" hidden="1">
      <c r="D4369" s="1"/>
      <c r="K4369" s="1"/>
      <c r="Q4369" s="1"/>
      <c r="AD4369" s="1"/>
      <c r="AG4369" s="1"/>
      <c r="AI4369" s="1"/>
    </row>
    <row r="4370" spans="4:35" hidden="1">
      <c r="D4370" s="1"/>
      <c r="K4370" s="1"/>
      <c r="Q4370" s="1"/>
      <c r="AD4370" s="1"/>
      <c r="AG4370" s="1"/>
      <c r="AI4370" s="1"/>
    </row>
    <row r="4371" spans="4:35" hidden="1">
      <c r="D4371" s="1"/>
      <c r="K4371" s="1"/>
      <c r="Q4371" s="1"/>
      <c r="AD4371" s="1"/>
      <c r="AG4371" s="1"/>
      <c r="AI4371" s="1"/>
    </row>
    <row r="4372" spans="4:35" hidden="1">
      <c r="D4372" s="1"/>
      <c r="K4372" s="1"/>
      <c r="Q4372" s="1"/>
      <c r="AD4372" s="1"/>
      <c r="AG4372" s="1"/>
      <c r="AI4372" s="1"/>
    </row>
    <row r="4373" spans="4:35" hidden="1">
      <c r="D4373" s="1"/>
      <c r="K4373" s="1"/>
      <c r="Q4373" s="1"/>
      <c r="AD4373" s="1"/>
      <c r="AG4373" s="1"/>
      <c r="AI4373" s="1"/>
    </row>
    <row r="4374" spans="4:35" hidden="1">
      <c r="D4374" s="1"/>
      <c r="K4374" s="1"/>
      <c r="Q4374" s="1"/>
      <c r="AD4374" s="1"/>
      <c r="AG4374" s="1"/>
      <c r="AI4374" s="1"/>
    </row>
    <row r="4375" spans="4:35" hidden="1">
      <c r="D4375" s="1"/>
      <c r="K4375" s="1"/>
      <c r="Q4375" s="1"/>
      <c r="AD4375" s="1"/>
      <c r="AG4375" s="1"/>
      <c r="AI4375" s="1"/>
    </row>
    <row r="4376" spans="4:35" hidden="1">
      <c r="D4376" s="1"/>
      <c r="K4376" s="1"/>
      <c r="Q4376" s="1"/>
      <c r="AD4376" s="1"/>
      <c r="AG4376" s="1"/>
      <c r="AI4376" s="1"/>
    </row>
    <row r="4377" spans="4:35" hidden="1">
      <c r="D4377" s="1"/>
      <c r="K4377" s="1"/>
      <c r="Q4377" s="1"/>
      <c r="AD4377" s="1"/>
      <c r="AG4377" s="1"/>
      <c r="AI4377" s="1"/>
    </row>
    <row r="4378" spans="4:35" hidden="1">
      <c r="D4378" s="1"/>
      <c r="K4378" s="1"/>
      <c r="Q4378" s="1"/>
      <c r="AD4378" s="1"/>
      <c r="AG4378" s="1"/>
      <c r="AI4378" s="1"/>
    </row>
    <row r="4379" spans="4:35" hidden="1">
      <c r="D4379" s="1"/>
      <c r="K4379" s="1"/>
      <c r="Q4379" s="1"/>
      <c r="AD4379" s="1"/>
      <c r="AG4379" s="1"/>
      <c r="AI4379" s="1"/>
    </row>
    <row r="4380" spans="4:35" hidden="1">
      <c r="D4380" s="1"/>
      <c r="K4380" s="1"/>
      <c r="Q4380" s="1"/>
      <c r="AD4380" s="1"/>
      <c r="AG4380" s="1"/>
      <c r="AI4380" s="1"/>
    </row>
    <row r="4381" spans="4:35" hidden="1">
      <c r="D4381" s="1"/>
      <c r="K4381" s="1"/>
      <c r="Q4381" s="1"/>
      <c r="AD4381" s="1"/>
      <c r="AG4381" s="1"/>
      <c r="AI4381" s="1"/>
    </row>
    <row r="4382" spans="4:35" hidden="1">
      <c r="D4382" s="1"/>
      <c r="K4382" s="1"/>
      <c r="Q4382" s="1"/>
      <c r="AD4382" s="1"/>
      <c r="AG4382" s="1"/>
      <c r="AI4382" s="1"/>
    </row>
    <row r="4383" spans="4:35" hidden="1">
      <c r="D4383" s="1"/>
      <c r="K4383" s="1"/>
      <c r="Q4383" s="1"/>
      <c r="AD4383" s="1"/>
      <c r="AG4383" s="1"/>
      <c r="AI4383" s="1"/>
    </row>
    <row r="4384" spans="4:35" hidden="1">
      <c r="D4384" s="1"/>
      <c r="K4384" s="1"/>
      <c r="Q4384" s="1"/>
      <c r="AD4384" s="1"/>
      <c r="AG4384" s="1"/>
      <c r="AI4384" s="1"/>
    </row>
    <row r="4385" spans="4:35" hidden="1">
      <c r="D4385" s="1"/>
      <c r="K4385" s="1"/>
      <c r="Q4385" s="1"/>
      <c r="AD4385" s="1"/>
      <c r="AG4385" s="1"/>
      <c r="AI4385" s="1"/>
    </row>
    <row r="4386" spans="4:35" hidden="1">
      <c r="D4386" s="1"/>
      <c r="K4386" s="1"/>
      <c r="Q4386" s="1"/>
      <c r="AD4386" s="1"/>
      <c r="AG4386" s="1"/>
      <c r="AI4386" s="1"/>
    </row>
    <row r="4387" spans="4:35" hidden="1">
      <c r="D4387" s="1"/>
      <c r="K4387" s="1"/>
      <c r="Q4387" s="1"/>
      <c r="AD4387" s="1"/>
      <c r="AG4387" s="1"/>
      <c r="AI4387" s="1"/>
    </row>
    <row r="4388" spans="4:35" hidden="1">
      <c r="D4388" s="1"/>
      <c r="K4388" s="1"/>
      <c r="Q4388" s="1"/>
      <c r="AD4388" s="1"/>
      <c r="AG4388" s="1"/>
      <c r="AI4388" s="1"/>
    </row>
    <row r="4389" spans="4:35" hidden="1">
      <c r="D4389" s="1"/>
      <c r="K4389" s="1"/>
      <c r="Q4389" s="1"/>
      <c r="AD4389" s="1"/>
      <c r="AG4389" s="1"/>
      <c r="AI4389" s="1"/>
    </row>
    <row r="4390" spans="4:35" hidden="1">
      <c r="D4390" s="1"/>
      <c r="K4390" s="1"/>
      <c r="Q4390" s="1"/>
      <c r="AD4390" s="1"/>
      <c r="AG4390" s="1"/>
      <c r="AI4390" s="1"/>
    </row>
    <row r="4391" spans="4:35" hidden="1">
      <c r="D4391" s="1"/>
      <c r="K4391" s="1"/>
      <c r="Q4391" s="1"/>
      <c r="AD4391" s="1"/>
      <c r="AG4391" s="1"/>
      <c r="AI4391" s="1"/>
    </row>
    <row r="4392" spans="4:35" hidden="1">
      <c r="D4392" s="1"/>
      <c r="K4392" s="1"/>
      <c r="Q4392" s="1"/>
      <c r="AD4392" s="1"/>
      <c r="AG4392" s="1"/>
      <c r="AI4392" s="1"/>
    </row>
    <row r="4393" spans="4:35" hidden="1">
      <c r="D4393" s="1"/>
      <c r="K4393" s="1"/>
      <c r="Q4393" s="1"/>
      <c r="AD4393" s="1"/>
      <c r="AG4393" s="1"/>
      <c r="AI4393" s="1"/>
    </row>
    <row r="4394" spans="4:35" hidden="1">
      <c r="D4394" s="1"/>
      <c r="K4394" s="1"/>
      <c r="Q4394" s="1"/>
      <c r="AD4394" s="1"/>
      <c r="AG4394" s="1"/>
      <c r="AI4394" s="1"/>
    </row>
    <row r="4395" spans="4:35" hidden="1">
      <c r="D4395" s="1"/>
      <c r="K4395" s="1"/>
      <c r="Q4395" s="1"/>
      <c r="AD4395" s="1"/>
      <c r="AG4395" s="1"/>
      <c r="AI4395" s="1"/>
    </row>
    <row r="4396" spans="4:35" hidden="1">
      <c r="D4396" s="1"/>
      <c r="K4396" s="1"/>
      <c r="Q4396" s="1"/>
      <c r="AD4396" s="1"/>
      <c r="AG4396" s="1"/>
      <c r="AI4396" s="1"/>
    </row>
    <row r="4397" spans="4:35" hidden="1">
      <c r="D4397" s="1"/>
      <c r="K4397" s="1"/>
      <c r="Q4397" s="1"/>
      <c r="AD4397" s="1"/>
      <c r="AG4397" s="1"/>
      <c r="AI4397" s="1"/>
    </row>
    <row r="4398" spans="4:35" hidden="1">
      <c r="D4398" s="1"/>
      <c r="K4398" s="1"/>
      <c r="Q4398" s="1"/>
      <c r="AD4398" s="1"/>
      <c r="AG4398" s="1"/>
      <c r="AI4398" s="1"/>
    </row>
    <row r="4399" spans="4:35" hidden="1">
      <c r="D4399" s="1"/>
      <c r="K4399" s="1"/>
      <c r="Q4399" s="1"/>
      <c r="AD4399" s="1"/>
      <c r="AG4399" s="1"/>
      <c r="AI4399" s="1"/>
    </row>
    <row r="4400" spans="4:35" hidden="1">
      <c r="D4400" s="1"/>
      <c r="K4400" s="1"/>
      <c r="Q4400" s="1"/>
      <c r="AD4400" s="1"/>
      <c r="AG4400" s="1"/>
      <c r="AI4400" s="1"/>
    </row>
    <row r="4401" spans="4:35" hidden="1">
      <c r="D4401" s="1"/>
      <c r="K4401" s="1"/>
      <c r="Q4401" s="1"/>
      <c r="AD4401" s="1"/>
      <c r="AG4401" s="1"/>
      <c r="AI4401" s="1"/>
    </row>
    <row r="4402" spans="4:35" hidden="1">
      <c r="D4402" s="1"/>
      <c r="K4402" s="1"/>
      <c r="Q4402" s="1"/>
      <c r="AD4402" s="1"/>
      <c r="AG4402" s="1"/>
      <c r="AI4402" s="1"/>
    </row>
    <row r="4403" spans="4:35" hidden="1">
      <c r="D4403" s="1"/>
      <c r="K4403" s="1"/>
      <c r="Q4403" s="1"/>
      <c r="AD4403" s="1"/>
      <c r="AG4403" s="1"/>
      <c r="AI4403" s="1"/>
    </row>
    <row r="4404" spans="4:35" hidden="1">
      <c r="D4404" s="1"/>
      <c r="K4404" s="1"/>
      <c r="Q4404" s="1"/>
      <c r="AD4404" s="1"/>
      <c r="AG4404" s="1"/>
      <c r="AI4404" s="1"/>
    </row>
    <row r="4405" spans="4:35" hidden="1">
      <c r="D4405" s="1"/>
      <c r="K4405" s="1"/>
      <c r="Q4405" s="1"/>
      <c r="AD4405" s="1"/>
      <c r="AG4405" s="1"/>
      <c r="AI4405" s="1"/>
    </row>
    <row r="4406" spans="4:35" hidden="1">
      <c r="D4406" s="1"/>
      <c r="K4406" s="1"/>
      <c r="Q4406" s="1"/>
      <c r="AD4406" s="1"/>
      <c r="AG4406" s="1"/>
      <c r="AI4406" s="1"/>
    </row>
    <row r="4407" spans="4:35" hidden="1">
      <c r="D4407" s="1"/>
      <c r="K4407" s="1"/>
      <c r="Q4407" s="1"/>
      <c r="AD4407" s="1"/>
      <c r="AG4407" s="1"/>
      <c r="AI4407" s="1"/>
    </row>
    <row r="4408" spans="4:35" hidden="1">
      <c r="D4408" s="1"/>
      <c r="K4408" s="1"/>
      <c r="Q4408" s="1"/>
      <c r="AD4408" s="1"/>
      <c r="AG4408" s="1"/>
      <c r="AI4408" s="1"/>
    </row>
    <row r="4409" spans="4:35" hidden="1">
      <c r="D4409" s="1"/>
      <c r="K4409" s="1"/>
      <c r="Q4409" s="1"/>
      <c r="AD4409" s="1"/>
      <c r="AG4409" s="1"/>
      <c r="AI4409" s="1"/>
    </row>
    <row r="4410" spans="4:35" hidden="1">
      <c r="D4410" s="1"/>
      <c r="K4410" s="1"/>
      <c r="Q4410" s="1"/>
      <c r="AD4410" s="1"/>
      <c r="AG4410" s="1"/>
      <c r="AI4410" s="1"/>
    </row>
    <row r="4411" spans="4:35" hidden="1">
      <c r="D4411" s="1"/>
      <c r="K4411" s="1"/>
      <c r="Q4411" s="1"/>
      <c r="AD4411" s="1"/>
      <c r="AG4411" s="1"/>
      <c r="AI4411" s="1"/>
    </row>
    <row r="4412" spans="4:35" hidden="1">
      <c r="D4412" s="1"/>
      <c r="K4412" s="1"/>
      <c r="Q4412" s="1"/>
      <c r="AD4412" s="1"/>
      <c r="AG4412" s="1"/>
      <c r="AI4412" s="1"/>
    </row>
    <row r="4413" spans="4:35" hidden="1">
      <c r="D4413" s="1"/>
      <c r="K4413" s="1"/>
      <c r="Q4413" s="1"/>
      <c r="AD4413" s="1"/>
      <c r="AG4413" s="1"/>
      <c r="AI4413" s="1"/>
    </row>
    <row r="4414" spans="4:35" hidden="1">
      <c r="D4414" s="1"/>
      <c r="K4414" s="1"/>
      <c r="Q4414" s="1"/>
      <c r="AD4414" s="1"/>
      <c r="AG4414" s="1"/>
      <c r="AI4414" s="1"/>
    </row>
    <row r="4415" spans="4:35" hidden="1">
      <c r="D4415" s="1"/>
      <c r="K4415" s="1"/>
      <c r="Q4415" s="1"/>
      <c r="AD4415" s="1"/>
      <c r="AG4415" s="1"/>
      <c r="AI4415" s="1"/>
    </row>
    <row r="4416" spans="4:35" hidden="1">
      <c r="D4416" s="1"/>
      <c r="K4416" s="1"/>
      <c r="Q4416" s="1"/>
      <c r="AD4416" s="1"/>
      <c r="AG4416" s="1"/>
      <c r="AI4416" s="1"/>
    </row>
    <row r="4417" spans="4:35" hidden="1">
      <c r="D4417" s="1"/>
      <c r="K4417" s="1"/>
      <c r="Q4417" s="1"/>
      <c r="AD4417" s="1"/>
      <c r="AG4417" s="1"/>
      <c r="AI4417" s="1"/>
    </row>
    <row r="4418" spans="4:35" hidden="1">
      <c r="D4418" s="1"/>
      <c r="K4418" s="1"/>
      <c r="Q4418" s="1"/>
      <c r="AD4418" s="1"/>
      <c r="AG4418" s="1"/>
      <c r="AI4418" s="1"/>
    </row>
    <row r="4419" spans="4:35" hidden="1">
      <c r="D4419" s="1"/>
      <c r="K4419" s="1"/>
      <c r="Q4419" s="1"/>
      <c r="AD4419" s="1"/>
      <c r="AG4419" s="1"/>
      <c r="AI4419" s="1"/>
    </row>
    <row r="4420" spans="4:35" hidden="1">
      <c r="D4420" s="1"/>
      <c r="K4420" s="1"/>
      <c r="Q4420" s="1"/>
      <c r="AD4420" s="1"/>
      <c r="AG4420" s="1"/>
      <c r="AI4420" s="1"/>
    </row>
    <row r="4421" spans="4:35" hidden="1">
      <c r="D4421" s="1"/>
      <c r="K4421" s="1"/>
      <c r="Q4421" s="1"/>
      <c r="AD4421" s="1"/>
      <c r="AG4421" s="1"/>
      <c r="AI4421" s="1"/>
    </row>
    <row r="4422" spans="4:35" hidden="1">
      <c r="D4422" s="1"/>
      <c r="K4422" s="1"/>
      <c r="Q4422" s="1"/>
      <c r="AD4422" s="1"/>
      <c r="AG4422" s="1"/>
      <c r="AI4422" s="1"/>
    </row>
    <row r="4423" spans="4:35" hidden="1">
      <c r="D4423" s="1"/>
      <c r="K4423" s="1"/>
      <c r="Q4423" s="1"/>
      <c r="AD4423" s="1"/>
      <c r="AG4423" s="1"/>
      <c r="AI4423" s="1"/>
    </row>
    <row r="4424" spans="4:35" hidden="1">
      <c r="D4424" s="1"/>
      <c r="K4424" s="1"/>
      <c r="Q4424" s="1"/>
      <c r="AD4424" s="1"/>
      <c r="AG4424" s="1"/>
      <c r="AI4424" s="1"/>
    </row>
    <row r="4425" spans="4:35" hidden="1">
      <c r="D4425" s="1"/>
      <c r="K4425" s="1"/>
      <c r="Q4425" s="1"/>
      <c r="AD4425" s="1"/>
      <c r="AG4425" s="1"/>
      <c r="AI4425" s="1"/>
    </row>
    <row r="4426" spans="4:35" hidden="1">
      <c r="D4426" s="1"/>
      <c r="K4426" s="1"/>
      <c r="Q4426" s="1"/>
      <c r="AD4426" s="1"/>
      <c r="AG4426" s="1"/>
      <c r="AI4426" s="1"/>
    </row>
    <row r="4427" spans="4:35" hidden="1">
      <c r="D4427" s="1"/>
      <c r="K4427" s="1"/>
      <c r="Q4427" s="1"/>
      <c r="AD4427" s="1"/>
      <c r="AG4427" s="1"/>
      <c r="AI4427" s="1"/>
    </row>
    <row r="4428" spans="4:35" hidden="1">
      <c r="D4428" s="1"/>
      <c r="K4428" s="1"/>
      <c r="Q4428" s="1"/>
      <c r="AD4428" s="1"/>
      <c r="AG4428" s="1"/>
      <c r="AI4428" s="1"/>
    </row>
    <row r="4429" spans="4:35" hidden="1">
      <c r="D4429" s="1"/>
      <c r="K4429" s="1"/>
      <c r="Q4429" s="1"/>
      <c r="AD4429" s="1"/>
      <c r="AG4429" s="1"/>
      <c r="AI4429" s="1"/>
    </row>
    <row r="4430" spans="4:35" hidden="1">
      <c r="D4430" s="1"/>
      <c r="K4430" s="1"/>
      <c r="Q4430" s="1"/>
      <c r="AD4430" s="1"/>
      <c r="AG4430" s="1"/>
      <c r="AI4430" s="1"/>
    </row>
    <row r="4431" spans="4:35" hidden="1">
      <c r="D4431" s="1"/>
      <c r="K4431" s="1"/>
      <c r="Q4431" s="1"/>
      <c r="AD4431" s="1"/>
      <c r="AG4431" s="1"/>
      <c r="AI4431" s="1"/>
    </row>
    <row r="4432" spans="4:35" hidden="1">
      <c r="D4432" s="1"/>
      <c r="K4432" s="1"/>
      <c r="Q4432" s="1"/>
      <c r="AD4432" s="1"/>
      <c r="AG4432" s="1"/>
      <c r="AI4432" s="1"/>
    </row>
    <row r="4433" spans="4:35" hidden="1">
      <c r="D4433" s="1"/>
      <c r="K4433" s="1"/>
      <c r="Q4433" s="1"/>
      <c r="AD4433" s="1"/>
      <c r="AG4433" s="1"/>
      <c r="AI4433" s="1"/>
    </row>
    <row r="4434" spans="4:35" hidden="1">
      <c r="D4434" s="1"/>
      <c r="K4434" s="1"/>
      <c r="Q4434" s="1"/>
      <c r="AD4434" s="1"/>
      <c r="AG4434" s="1"/>
      <c r="AI4434" s="1"/>
    </row>
    <row r="4435" spans="4:35" hidden="1">
      <c r="D4435" s="1"/>
      <c r="K4435" s="1"/>
      <c r="Q4435" s="1"/>
      <c r="AD4435" s="1"/>
      <c r="AG4435" s="1"/>
      <c r="AI4435" s="1"/>
    </row>
    <row r="4436" spans="4:35" hidden="1">
      <c r="D4436" s="1"/>
      <c r="K4436" s="1"/>
      <c r="Q4436" s="1"/>
      <c r="AD4436" s="1"/>
      <c r="AG4436" s="1"/>
      <c r="AI4436" s="1"/>
    </row>
    <row r="4437" spans="4:35" hidden="1">
      <c r="D4437" s="1"/>
      <c r="K4437" s="1"/>
      <c r="Q4437" s="1"/>
      <c r="AD4437" s="1"/>
      <c r="AG4437" s="1"/>
      <c r="AI4437" s="1"/>
    </row>
    <row r="4438" spans="4:35" hidden="1">
      <c r="D4438" s="1"/>
      <c r="K4438" s="1"/>
      <c r="Q4438" s="1"/>
      <c r="AD4438" s="1"/>
      <c r="AG4438" s="1"/>
      <c r="AI4438" s="1"/>
    </row>
    <row r="4439" spans="4:35" hidden="1">
      <c r="D4439" s="1"/>
      <c r="K4439" s="1"/>
      <c r="Q4439" s="1"/>
      <c r="AD4439" s="1"/>
      <c r="AG4439" s="1"/>
      <c r="AI4439" s="1"/>
    </row>
    <row r="4440" spans="4:35" hidden="1">
      <c r="D4440" s="1"/>
      <c r="K4440" s="1"/>
      <c r="Q4440" s="1"/>
      <c r="AD4440" s="1"/>
      <c r="AG4440" s="1"/>
      <c r="AI4440" s="1"/>
    </row>
    <row r="4441" spans="4:35" hidden="1">
      <c r="D4441" s="1"/>
      <c r="K4441" s="1"/>
      <c r="Q4441" s="1"/>
      <c r="AD4441" s="1"/>
      <c r="AG4441" s="1"/>
      <c r="AI4441" s="1"/>
    </row>
    <row r="4442" spans="4:35" hidden="1">
      <c r="D4442" s="1"/>
      <c r="K4442" s="1"/>
      <c r="Q4442" s="1"/>
      <c r="AD4442" s="1"/>
      <c r="AG4442" s="1"/>
      <c r="AI4442" s="1"/>
    </row>
    <row r="4443" spans="4:35" hidden="1">
      <c r="D4443" s="1"/>
      <c r="K4443" s="1"/>
      <c r="Q4443" s="1"/>
      <c r="AD4443" s="1"/>
      <c r="AG4443" s="1"/>
      <c r="AI4443" s="1"/>
    </row>
    <row r="4444" spans="4:35" hidden="1">
      <c r="D4444" s="1"/>
      <c r="K4444" s="1"/>
      <c r="Q4444" s="1"/>
      <c r="AD4444" s="1"/>
      <c r="AG4444" s="1"/>
      <c r="AI4444" s="1"/>
    </row>
    <row r="4445" spans="4:35" hidden="1">
      <c r="D4445" s="1"/>
      <c r="K4445" s="1"/>
      <c r="Q4445" s="1"/>
      <c r="AD4445" s="1"/>
      <c r="AG4445" s="1"/>
      <c r="AI4445" s="1"/>
    </row>
    <row r="4446" spans="4:35" hidden="1">
      <c r="D4446" s="1"/>
      <c r="K4446" s="1"/>
      <c r="Q4446" s="1"/>
      <c r="AD4446" s="1"/>
      <c r="AG4446" s="1"/>
      <c r="AI4446" s="1"/>
    </row>
    <row r="4447" spans="4:35" hidden="1">
      <c r="D4447" s="1"/>
      <c r="K4447" s="1"/>
      <c r="Q4447" s="1"/>
      <c r="AD4447" s="1"/>
      <c r="AG4447" s="1"/>
      <c r="AI4447" s="1"/>
    </row>
    <row r="4448" spans="4:35" hidden="1">
      <c r="D4448" s="1"/>
      <c r="K4448" s="1"/>
      <c r="Q4448" s="1"/>
      <c r="AD4448" s="1"/>
      <c r="AG4448" s="1"/>
      <c r="AI4448" s="1"/>
    </row>
    <row r="4449" spans="4:35" hidden="1">
      <c r="D4449" s="1"/>
      <c r="K4449" s="1"/>
      <c r="Q4449" s="1"/>
      <c r="AD4449" s="1"/>
      <c r="AG4449" s="1"/>
      <c r="AI4449" s="1"/>
    </row>
    <row r="4450" spans="4:35" hidden="1">
      <c r="D4450" s="1"/>
      <c r="K4450" s="1"/>
      <c r="Q4450" s="1"/>
      <c r="AD4450" s="1"/>
      <c r="AG4450" s="1"/>
      <c r="AI4450" s="1"/>
    </row>
    <row r="4451" spans="4:35" hidden="1">
      <c r="D4451" s="1"/>
      <c r="K4451" s="1"/>
      <c r="Q4451" s="1"/>
      <c r="AD4451" s="1"/>
      <c r="AG4451" s="1"/>
      <c r="AI4451" s="1"/>
    </row>
    <row r="4452" spans="4:35" hidden="1">
      <c r="D4452" s="1"/>
      <c r="K4452" s="1"/>
      <c r="Q4452" s="1"/>
      <c r="AD4452" s="1"/>
      <c r="AG4452" s="1"/>
      <c r="AI4452" s="1"/>
    </row>
    <row r="4453" spans="4:35" hidden="1">
      <c r="D4453" s="1"/>
      <c r="K4453" s="1"/>
      <c r="Q4453" s="1"/>
      <c r="AD4453" s="1"/>
      <c r="AG4453" s="1"/>
      <c r="AI4453" s="1"/>
    </row>
    <row r="4454" spans="4:35" hidden="1">
      <c r="D4454" s="1"/>
      <c r="K4454" s="1"/>
      <c r="Q4454" s="1"/>
      <c r="AD4454" s="1"/>
      <c r="AG4454" s="1"/>
      <c r="AI4454" s="1"/>
    </row>
    <row r="4455" spans="4:35" hidden="1">
      <c r="D4455" s="1"/>
      <c r="K4455" s="1"/>
      <c r="Q4455" s="1"/>
      <c r="AD4455" s="1"/>
      <c r="AG4455" s="1"/>
      <c r="AI4455" s="1"/>
    </row>
    <row r="4456" spans="4:35" hidden="1">
      <c r="D4456" s="1"/>
      <c r="K4456" s="1"/>
      <c r="Q4456" s="1"/>
      <c r="AD4456" s="1"/>
      <c r="AG4456" s="1"/>
      <c r="AI4456" s="1"/>
    </row>
    <row r="4457" spans="4:35" hidden="1">
      <c r="D4457" s="1"/>
      <c r="K4457" s="1"/>
      <c r="Q4457" s="1"/>
      <c r="AD4457" s="1"/>
      <c r="AG4457" s="1"/>
      <c r="AI4457" s="1"/>
    </row>
    <row r="4458" spans="4:35" hidden="1">
      <c r="D4458" s="1"/>
      <c r="K4458" s="1"/>
      <c r="Q4458" s="1"/>
      <c r="AD4458" s="1"/>
      <c r="AG4458" s="1"/>
      <c r="AI4458" s="1"/>
    </row>
    <row r="4459" spans="4:35" hidden="1">
      <c r="D4459" s="1"/>
      <c r="K4459" s="1"/>
      <c r="Q4459" s="1"/>
      <c r="AD4459" s="1"/>
      <c r="AG4459" s="1"/>
      <c r="AI4459" s="1"/>
    </row>
    <row r="4460" spans="4:35" hidden="1">
      <c r="D4460" s="1"/>
      <c r="K4460" s="1"/>
      <c r="Q4460" s="1"/>
      <c r="AD4460" s="1"/>
      <c r="AG4460" s="1"/>
      <c r="AI4460" s="1"/>
    </row>
    <row r="4461" spans="4:35" hidden="1">
      <c r="D4461" s="1"/>
      <c r="K4461" s="1"/>
      <c r="Q4461" s="1"/>
      <c r="AD4461" s="1"/>
      <c r="AG4461" s="1"/>
      <c r="AI4461" s="1"/>
    </row>
    <row r="4462" spans="4:35" hidden="1">
      <c r="D4462" s="1"/>
      <c r="K4462" s="1"/>
      <c r="Q4462" s="1"/>
      <c r="AD4462" s="1"/>
      <c r="AG4462" s="1"/>
      <c r="AI4462" s="1"/>
    </row>
    <row r="4463" spans="4:35" hidden="1">
      <c r="D4463" s="1"/>
      <c r="K4463" s="1"/>
      <c r="Q4463" s="1"/>
      <c r="AD4463" s="1"/>
      <c r="AG4463" s="1"/>
      <c r="AI4463" s="1"/>
    </row>
    <row r="4464" spans="4:35" hidden="1">
      <c r="D4464" s="1"/>
      <c r="K4464" s="1"/>
      <c r="Q4464" s="1"/>
      <c r="AD4464" s="1"/>
      <c r="AG4464" s="1"/>
      <c r="AI4464" s="1"/>
    </row>
    <row r="4465" spans="4:35" hidden="1">
      <c r="D4465" s="1"/>
      <c r="K4465" s="1"/>
      <c r="Q4465" s="1"/>
      <c r="AD4465" s="1"/>
      <c r="AG4465" s="1"/>
      <c r="AI4465" s="1"/>
    </row>
    <row r="4466" spans="4:35" hidden="1">
      <c r="D4466" s="1"/>
      <c r="K4466" s="1"/>
      <c r="Q4466" s="1"/>
      <c r="AD4466" s="1"/>
      <c r="AG4466" s="1"/>
      <c r="AI4466" s="1"/>
    </row>
    <row r="4467" spans="4:35" hidden="1">
      <c r="D4467" s="1"/>
      <c r="K4467" s="1"/>
      <c r="Q4467" s="1"/>
      <c r="AD4467" s="1"/>
      <c r="AG4467" s="1"/>
      <c r="AI4467" s="1"/>
    </row>
    <row r="4468" spans="4:35" hidden="1">
      <c r="D4468" s="1"/>
      <c r="K4468" s="1"/>
      <c r="Q4468" s="1"/>
      <c r="AD4468" s="1"/>
      <c r="AG4468" s="1"/>
      <c r="AI4468" s="1"/>
    </row>
    <row r="4469" spans="4:35" hidden="1">
      <c r="D4469" s="1"/>
      <c r="K4469" s="1"/>
      <c r="Q4469" s="1"/>
      <c r="AD4469" s="1"/>
      <c r="AG4469" s="1"/>
      <c r="AI4469" s="1"/>
    </row>
    <row r="4470" spans="4:35" hidden="1">
      <c r="D4470" s="1"/>
      <c r="K4470" s="1"/>
      <c r="Q4470" s="1"/>
      <c r="AD4470" s="1"/>
      <c r="AG4470" s="1"/>
      <c r="AI4470" s="1"/>
    </row>
    <row r="4471" spans="4:35" hidden="1">
      <c r="D4471" s="1"/>
      <c r="K4471" s="1"/>
      <c r="Q4471" s="1"/>
      <c r="AD4471" s="1"/>
      <c r="AG4471" s="1"/>
      <c r="AI4471" s="1"/>
    </row>
    <row r="4472" spans="4:35" hidden="1">
      <c r="D4472" s="1"/>
      <c r="K4472" s="1"/>
      <c r="Q4472" s="1"/>
      <c r="AD4472" s="1"/>
      <c r="AG4472" s="1"/>
      <c r="AI4472" s="1"/>
    </row>
    <row r="4473" spans="4:35" hidden="1">
      <c r="D4473" s="1"/>
      <c r="K4473" s="1"/>
      <c r="Q4473" s="1"/>
      <c r="AD4473" s="1"/>
      <c r="AG4473" s="1"/>
      <c r="AI4473" s="1"/>
    </row>
    <row r="4474" spans="4:35" hidden="1">
      <c r="D4474" s="1"/>
      <c r="K4474" s="1"/>
      <c r="Q4474" s="1"/>
      <c r="AD4474" s="1"/>
      <c r="AG4474" s="1"/>
      <c r="AI4474" s="1"/>
    </row>
    <row r="4475" spans="4:35" hidden="1">
      <c r="D4475" s="1"/>
      <c r="K4475" s="1"/>
      <c r="Q4475" s="1"/>
      <c r="AD4475" s="1"/>
      <c r="AG4475" s="1"/>
      <c r="AI4475" s="1"/>
    </row>
    <row r="4476" spans="4:35" hidden="1">
      <c r="D4476" s="1"/>
      <c r="K4476" s="1"/>
      <c r="Q4476" s="1"/>
      <c r="AD4476" s="1"/>
      <c r="AG4476" s="1"/>
      <c r="AI4476" s="1"/>
    </row>
    <row r="4477" spans="4:35" hidden="1">
      <c r="D4477" s="1"/>
      <c r="K4477" s="1"/>
      <c r="Q4477" s="1"/>
      <c r="AD4477" s="1"/>
      <c r="AG4477" s="1"/>
      <c r="AI4477" s="1"/>
    </row>
    <row r="4478" spans="4:35" hidden="1">
      <c r="D4478" s="1"/>
      <c r="K4478" s="1"/>
      <c r="Q4478" s="1"/>
      <c r="AD4478" s="1"/>
      <c r="AG4478" s="1"/>
      <c r="AI4478" s="1"/>
    </row>
    <row r="4479" spans="4:35" hidden="1">
      <c r="D4479" s="1"/>
      <c r="K4479" s="1"/>
      <c r="Q4479" s="1"/>
      <c r="AD4479" s="1"/>
      <c r="AG4479" s="1"/>
      <c r="AI4479" s="1"/>
    </row>
    <row r="4480" spans="4:35" hidden="1">
      <c r="D4480" s="1"/>
      <c r="K4480" s="1"/>
      <c r="Q4480" s="1"/>
      <c r="AD4480" s="1"/>
      <c r="AG4480" s="1"/>
      <c r="AI4480" s="1"/>
    </row>
    <row r="4481" spans="4:35" hidden="1">
      <c r="D4481" s="1"/>
      <c r="K4481" s="1"/>
      <c r="Q4481" s="1"/>
      <c r="AD4481" s="1"/>
      <c r="AG4481" s="1"/>
      <c r="AI4481" s="1"/>
    </row>
    <row r="4482" spans="4:35" hidden="1">
      <c r="D4482" s="1"/>
      <c r="K4482" s="1"/>
      <c r="Q4482" s="1"/>
      <c r="AD4482" s="1"/>
      <c r="AG4482" s="1"/>
      <c r="AI4482" s="1"/>
    </row>
    <row r="4483" spans="4:35" hidden="1">
      <c r="D4483" s="1"/>
      <c r="K4483" s="1"/>
      <c r="Q4483" s="1"/>
      <c r="AD4483" s="1"/>
      <c r="AG4483" s="1"/>
      <c r="AI4483" s="1"/>
    </row>
    <row r="4484" spans="4:35" hidden="1">
      <c r="D4484" s="1"/>
      <c r="K4484" s="1"/>
      <c r="Q4484" s="1"/>
      <c r="AD4484" s="1"/>
      <c r="AG4484" s="1"/>
      <c r="AI4484" s="1"/>
    </row>
    <row r="4485" spans="4:35" hidden="1">
      <c r="D4485" s="1"/>
      <c r="K4485" s="1"/>
      <c r="Q4485" s="1"/>
      <c r="AD4485" s="1"/>
      <c r="AG4485" s="1"/>
      <c r="AI4485" s="1"/>
    </row>
    <row r="4486" spans="4:35" hidden="1">
      <c r="D4486" s="1"/>
      <c r="K4486" s="1"/>
      <c r="Q4486" s="1"/>
      <c r="AD4486" s="1"/>
      <c r="AG4486" s="1"/>
      <c r="AI4486" s="1"/>
    </row>
    <row r="4487" spans="4:35" hidden="1">
      <c r="D4487" s="1"/>
      <c r="K4487" s="1"/>
      <c r="Q4487" s="1"/>
      <c r="AD4487" s="1"/>
      <c r="AG4487" s="1"/>
      <c r="AI4487" s="1"/>
    </row>
    <row r="4488" spans="4:35" hidden="1">
      <c r="D4488" s="1"/>
      <c r="K4488" s="1"/>
      <c r="Q4488" s="1"/>
      <c r="AD4488" s="1"/>
      <c r="AG4488" s="1"/>
      <c r="AI4488" s="1"/>
    </row>
    <row r="4489" spans="4:35" hidden="1">
      <c r="D4489" s="1"/>
      <c r="K4489" s="1"/>
      <c r="Q4489" s="1"/>
      <c r="AD4489" s="1"/>
      <c r="AG4489" s="1"/>
      <c r="AI4489" s="1"/>
    </row>
    <row r="4490" spans="4:35" hidden="1">
      <c r="D4490" s="1"/>
      <c r="K4490" s="1"/>
      <c r="Q4490" s="1"/>
      <c r="AD4490" s="1"/>
      <c r="AG4490" s="1"/>
      <c r="AI4490" s="1"/>
    </row>
    <row r="4491" spans="4:35" hidden="1">
      <c r="D4491" s="1"/>
      <c r="K4491" s="1"/>
      <c r="Q4491" s="1"/>
      <c r="AD4491" s="1"/>
      <c r="AG4491" s="1"/>
      <c r="AI4491" s="1"/>
    </row>
    <row r="4492" spans="4:35" hidden="1">
      <c r="D4492" s="1"/>
      <c r="K4492" s="1"/>
      <c r="Q4492" s="1"/>
      <c r="AD4492" s="1"/>
      <c r="AG4492" s="1"/>
      <c r="AI4492" s="1"/>
    </row>
    <row r="4493" spans="4:35" hidden="1">
      <c r="D4493" s="1"/>
      <c r="K4493" s="1"/>
      <c r="Q4493" s="1"/>
      <c r="AD4493" s="1"/>
      <c r="AG4493" s="1"/>
      <c r="AI4493" s="1"/>
    </row>
    <row r="4494" spans="4:35" hidden="1">
      <c r="D4494" s="1"/>
      <c r="K4494" s="1"/>
      <c r="Q4494" s="1"/>
      <c r="AD4494" s="1"/>
      <c r="AG4494" s="1"/>
      <c r="AI4494" s="1"/>
    </row>
    <row r="4495" spans="4:35" hidden="1">
      <c r="D4495" s="1"/>
      <c r="K4495" s="1"/>
      <c r="Q4495" s="1"/>
      <c r="AD4495" s="1"/>
      <c r="AG4495" s="1"/>
      <c r="AI4495" s="1"/>
    </row>
    <row r="4496" spans="4:35" hidden="1">
      <c r="D4496" s="1"/>
      <c r="K4496" s="1"/>
      <c r="Q4496" s="1"/>
      <c r="AD4496" s="1"/>
      <c r="AG4496" s="1"/>
      <c r="AI4496" s="1"/>
    </row>
    <row r="4497" spans="4:35" hidden="1">
      <c r="D4497" s="1"/>
      <c r="K4497" s="1"/>
      <c r="Q4497" s="1"/>
      <c r="AD4497" s="1"/>
      <c r="AG4497" s="1"/>
      <c r="AI4497" s="1"/>
    </row>
    <row r="4498" spans="4:35" hidden="1">
      <c r="D4498" s="1"/>
      <c r="K4498" s="1"/>
      <c r="Q4498" s="1"/>
      <c r="AD4498" s="1"/>
      <c r="AG4498" s="1"/>
      <c r="AI4498" s="1"/>
    </row>
    <row r="4499" spans="4:35" hidden="1">
      <c r="D4499" s="1"/>
      <c r="K4499" s="1"/>
      <c r="Q4499" s="1"/>
      <c r="AD4499" s="1"/>
      <c r="AG4499" s="1"/>
      <c r="AI4499" s="1"/>
    </row>
    <row r="4500" spans="4:35" hidden="1">
      <c r="D4500" s="1"/>
      <c r="K4500" s="1"/>
      <c r="Q4500" s="1"/>
      <c r="AD4500" s="1"/>
      <c r="AG4500" s="1"/>
      <c r="AI4500" s="1"/>
    </row>
    <row r="4501" spans="4:35" hidden="1">
      <c r="D4501" s="1"/>
      <c r="K4501" s="1"/>
      <c r="Q4501" s="1"/>
      <c r="AD4501" s="1"/>
      <c r="AG4501" s="1"/>
      <c r="AI4501" s="1"/>
    </row>
    <row r="4502" spans="4:35" hidden="1">
      <c r="D4502" s="1"/>
      <c r="K4502" s="1"/>
      <c r="Q4502" s="1"/>
      <c r="AD4502" s="1"/>
      <c r="AG4502" s="1"/>
      <c r="AI4502" s="1"/>
    </row>
    <row r="4503" spans="4:35" hidden="1">
      <c r="D4503" s="1"/>
      <c r="K4503" s="1"/>
      <c r="Q4503" s="1"/>
      <c r="AD4503" s="1"/>
      <c r="AG4503" s="1"/>
      <c r="AI4503" s="1"/>
    </row>
    <row r="4504" spans="4:35" hidden="1">
      <c r="D4504" s="1"/>
      <c r="K4504" s="1"/>
      <c r="Q4504" s="1"/>
      <c r="AD4504" s="1"/>
      <c r="AG4504" s="1"/>
      <c r="AI4504" s="1"/>
    </row>
    <row r="4505" spans="4:35" hidden="1">
      <c r="D4505" s="1"/>
      <c r="K4505" s="1"/>
      <c r="Q4505" s="1"/>
      <c r="AD4505" s="1"/>
      <c r="AG4505" s="1"/>
      <c r="AI4505" s="1"/>
    </row>
    <row r="4506" spans="4:35" hidden="1">
      <c r="D4506" s="1"/>
      <c r="K4506" s="1"/>
      <c r="Q4506" s="1"/>
      <c r="AD4506" s="1"/>
      <c r="AG4506" s="1"/>
      <c r="AI4506" s="1"/>
    </row>
    <row r="4507" spans="4:35" hidden="1">
      <c r="D4507" s="1"/>
      <c r="K4507" s="1"/>
      <c r="Q4507" s="1"/>
      <c r="AD4507" s="1"/>
      <c r="AG4507" s="1"/>
      <c r="AI4507" s="1"/>
    </row>
    <row r="4508" spans="4:35" hidden="1">
      <c r="D4508" s="1"/>
      <c r="K4508" s="1"/>
      <c r="Q4508" s="1"/>
      <c r="AD4508" s="1"/>
      <c r="AG4508" s="1"/>
      <c r="AI4508" s="1"/>
    </row>
    <row r="4509" spans="4:35" hidden="1">
      <c r="D4509" s="1"/>
      <c r="K4509" s="1"/>
      <c r="Q4509" s="1"/>
      <c r="AD4509" s="1"/>
      <c r="AG4509" s="1"/>
      <c r="AI4509" s="1"/>
    </row>
    <row r="4510" spans="4:35" hidden="1">
      <c r="D4510" s="1"/>
      <c r="K4510" s="1"/>
      <c r="Q4510" s="1"/>
      <c r="AD4510" s="1"/>
      <c r="AG4510" s="1"/>
      <c r="AI4510" s="1"/>
    </row>
    <row r="4511" spans="4:35" hidden="1">
      <c r="D4511" s="1"/>
      <c r="K4511" s="1"/>
      <c r="Q4511" s="1"/>
      <c r="AD4511" s="1"/>
      <c r="AG4511" s="1"/>
      <c r="AI4511" s="1"/>
    </row>
    <row r="4512" spans="4:35" hidden="1">
      <c r="D4512" s="1"/>
      <c r="K4512" s="1"/>
      <c r="Q4512" s="1"/>
      <c r="AD4512" s="1"/>
      <c r="AG4512" s="1"/>
      <c r="AI4512" s="1"/>
    </row>
    <row r="4513" spans="4:35" hidden="1">
      <c r="D4513" s="1"/>
      <c r="K4513" s="1"/>
      <c r="Q4513" s="1"/>
      <c r="AD4513" s="1"/>
      <c r="AG4513" s="1"/>
      <c r="AI4513" s="1"/>
    </row>
    <row r="4514" spans="4:35" hidden="1">
      <c r="D4514" s="1"/>
      <c r="K4514" s="1"/>
      <c r="Q4514" s="1"/>
      <c r="AD4514" s="1"/>
      <c r="AG4514" s="1"/>
      <c r="AI4514" s="1"/>
    </row>
    <row r="4515" spans="4:35" hidden="1">
      <c r="D4515" s="1"/>
      <c r="K4515" s="1"/>
      <c r="Q4515" s="1"/>
      <c r="AD4515" s="1"/>
      <c r="AG4515" s="1"/>
      <c r="AI4515" s="1"/>
    </row>
    <row r="4516" spans="4:35" hidden="1">
      <c r="D4516" s="1"/>
      <c r="K4516" s="1"/>
      <c r="Q4516" s="1"/>
      <c r="AD4516" s="1"/>
      <c r="AG4516" s="1"/>
      <c r="AI4516" s="1"/>
    </row>
    <row r="4517" spans="4:35" hidden="1">
      <c r="D4517" s="1"/>
      <c r="K4517" s="1"/>
      <c r="Q4517" s="1"/>
      <c r="AD4517" s="1"/>
      <c r="AG4517" s="1"/>
      <c r="AI4517" s="1"/>
    </row>
    <row r="4518" spans="4:35" hidden="1">
      <c r="D4518" s="1"/>
      <c r="K4518" s="1"/>
      <c r="Q4518" s="1"/>
      <c r="AD4518" s="1"/>
      <c r="AG4518" s="1"/>
      <c r="AI4518" s="1"/>
    </row>
    <row r="4519" spans="4:35" hidden="1">
      <c r="D4519" s="1"/>
      <c r="K4519" s="1"/>
      <c r="Q4519" s="1"/>
      <c r="AD4519" s="1"/>
      <c r="AG4519" s="1"/>
      <c r="AI4519" s="1"/>
    </row>
    <row r="4520" spans="4:35" hidden="1">
      <c r="D4520" s="1"/>
      <c r="K4520" s="1"/>
      <c r="Q4520" s="1"/>
      <c r="AD4520" s="1"/>
      <c r="AG4520" s="1"/>
      <c r="AI4520" s="1"/>
    </row>
    <row r="4521" spans="4:35" hidden="1">
      <c r="D4521" s="1"/>
      <c r="K4521" s="1"/>
      <c r="Q4521" s="1"/>
      <c r="AD4521" s="1"/>
      <c r="AG4521" s="1"/>
      <c r="AI4521" s="1"/>
    </row>
    <row r="4522" spans="4:35" hidden="1">
      <c r="D4522" s="1"/>
      <c r="K4522" s="1"/>
      <c r="Q4522" s="1"/>
      <c r="AD4522" s="1"/>
      <c r="AG4522" s="1"/>
      <c r="AI4522" s="1"/>
    </row>
    <row r="4523" spans="4:35" hidden="1">
      <c r="D4523" s="1"/>
      <c r="K4523" s="1"/>
      <c r="Q4523" s="1"/>
      <c r="AD4523" s="1"/>
      <c r="AG4523" s="1"/>
      <c r="AI4523" s="1"/>
    </row>
    <row r="4524" spans="4:35" hidden="1">
      <c r="D4524" s="1"/>
      <c r="K4524" s="1"/>
      <c r="Q4524" s="1"/>
      <c r="AD4524" s="1"/>
      <c r="AG4524" s="1"/>
      <c r="AI4524" s="1"/>
    </row>
    <row r="4525" spans="4:35" hidden="1">
      <c r="D4525" s="1"/>
      <c r="K4525" s="1"/>
      <c r="Q4525" s="1"/>
      <c r="AD4525" s="1"/>
      <c r="AG4525" s="1"/>
      <c r="AI4525" s="1"/>
    </row>
    <row r="4526" spans="4:35" hidden="1">
      <c r="D4526" s="1"/>
      <c r="K4526" s="1"/>
      <c r="Q4526" s="1"/>
      <c r="AD4526" s="1"/>
      <c r="AG4526" s="1"/>
      <c r="AI4526" s="1"/>
    </row>
    <row r="4527" spans="4:35" hidden="1">
      <c r="D4527" s="1"/>
      <c r="K4527" s="1"/>
      <c r="Q4527" s="1"/>
      <c r="AD4527" s="1"/>
      <c r="AG4527" s="1"/>
      <c r="AI4527" s="1"/>
    </row>
    <row r="4528" spans="4:35" hidden="1">
      <c r="D4528" s="1"/>
      <c r="K4528" s="1"/>
      <c r="Q4528" s="1"/>
      <c r="AD4528" s="1"/>
      <c r="AG4528" s="1"/>
      <c r="AI4528" s="1"/>
    </row>
    <row r="4529" spans="4:35" hidden="1">
      <c r="D4529" s="1"/>
      <c r="K4529" s="1"/>
      <c r="Q4529" s="1"/>
      <c r="AD4529" s="1"/>
      <c r="AG4529" s="1"/>
      <c r="AI4529" s="1"/>
    </row>
    <row r="4530" spans="4:35" hidden="1">
      <c r="D4530" s="1"/>
      <c r="K4530" s="1"/>
      <c r="Q4530" s="1"/>
      <c r="AD4530" s="1"/>
      <c r="AG4530" s="1"/>
      <c r="AI4530" s="1"/>
    </row>
    <row r="4531" spans="4:35" hidden="1">
      <c r="D4531" s="1"/>
      <c r="K4531" s="1"/>
      <c r="Q4531" s="1"/>
      <c r="AD4531" s="1"/>
      <c r="AG4531" s="1"/>
      <c r="AI4531" s="1"/>
    </row>
    <row r="4532" spans="4:35" hidden="1">
      <c r="D4532" s="1"/>
      <c r="K4532" s="1"/>
      <c r="Q4532" s="1"/>
      <c r="AD4532" s="1"/>
      <c r="AG4532" s="1"/>
      <c r="AI4532" s="1"/>
    </row>
    <row r="4533" spans="4:35" hidden="1">
      <c r="D4533" s="1"/>
      <c r="K4533" s="1"/>
      <c r="Q4533" s="1"/>
      <c r="AD4533" s="1"/>
      <c r="AG4533" s="1"/>
      <c r="AI4533" s="1"/>
    </row>
    <row r="4534" spans="4:35" hidden="1">
      <c r="D4534" s="1"/>
      <c r="K4534" s="1"/>
      <c r="Q4534" s="1"/>
      <c r="AD4534" s="1"/>
      <c r="AG4534" s="1"/>
      <c r="AI4534" s="1"/>
    </row>
    <row r="4535" spans="4:35" hidden="1">
      <c r="D4535" s="1"/>
      <c r="K4535" s="1"/>
      <c r="Q4535" s="1"/>
      <c r="AD4535" s="1"/>
      <c r="AG4535" s="1"/>
      <c r="AI4535" s="1"/>
    </row>
    <row r="4536" spans="4:35" hidden="1">
      <c r="D4536" s="1"/>
      <c r="K4536" s="1"/>
      <c r="Q4536" s="1"/>
      <c r="AD4536" s="1"/>
      <c r="AG4536" s="1"/>
      <c r="AI4536" s="1"/>
    </row>
    <row r="4537" spans="4:35" hidden="1">
      <c r="D4537" s="1"/>
      <c r="K4537" s="1"/>
      <c r="Q4537" s="1"/>
      <c r="AD4537" s="1"/>
      <c r="AG4537" s="1"/>
      <c r="AI4537" s="1"/>
    </row>
    <row r="4538" spans="4:35" hidden="1">
      <c r="D4538" s="1"/>
      <c r="K4538" s="1"/>
      <c r="Q4538" s="1"/>
      <c r="AD4538" s="1"/>
      <c r="AG4538" s="1"/>
      <c r="AI4538" s="1"/>
    </row>
    <row r="4539" spans="4:35" hidden="1">
      <c r="D4539" s="1"/>
      <c r="K4539" s="1"/>
      <c r="Q4539" s="1"/>
      <c r="AD4539" s="1"/>
      <c r="AG4539" s="1"/>
      <c r="AI4539" s="1"/>
    </row>
    <row r="4540" spans="4:35" hidden="1">
      <c r="D4540" s="1"/>
      <c r="K4540" s="1"/>
      <c r="Q4540" s="1"/>
      <c r="AD4540" s="1"/>
      <c r="AG4540" s="1"/>
      <c r="AI4540" s="1"/>
    </row>
    <row r="4541" spans="4:35" hidden="1">
      <c r="D4541" s="1"/>
      <c r="K4541" s="1"/>
      <c r="Q4541" s="1"/>
      <c r="AD4541" s="1"/>
      <c r="AG4541" s="1"/>
      <c r="AI4541" s="1"/>
    </row>
    <row r="4542" spans="4:35" hidden="1">
      <c r="D4542" s="1"/>
      <c r="K4542" s="1"/>
      <c r="Q4542" s="1"/>
      <c r="AD4542" s="1"/>
      <c r="AG4542" s="1"/>
      <c r="AI4542" s="1"/>
    </row>
    <row r="4543" spans="4:35" hidden="1">
      <c r="D4543" s="1"/>
      <c r="K4543" s="1"/>
      <c r="Q4543" s="1"/>
      <c r="AD4543" s="1"/>
      <c r="AG4543" s="1"/>
      <c r="AI4543" s="1"/>
    </row>
    <row r="4544" spans="4:35" hidden="1">
      <c r="D4544" s="1"/>
      <c r="K4544" s="1"/>
      <c r="Q4544" s="1"/>
      <c r="AD4544" s="1"/>
      <c r="AG4544" s="1"/>
      <c r="AI4544" s="1"/>
    </row>
    <row r="4545" spans="4:35" hidden="1">
      <c r="D4545" s="1"/>
      <c r="K4545" s="1"/>
      <c r="Q4545" s="1"/>
      <c r="AD4545" s="1"/>
      <c r="AG4545" s="1"/>
      <c r="AI4545" s="1"/>
    </row>
    <row r="4546" spans="4:35" hidden="1">
      <c r="D4546" s="1"/>
      <c r="K4546" s="1"/>
      <c r="Q4546" s="1"/>
      <c r="AD4546" s="1"/>
      <c r="AG4546" s="1"/>
      <c r="AI4546" s="1"/>
    </row>
    <row r="4547" spans="4:35" hidden="1">
      <c r="D4547" s="1"/>
      <c r="K4547" s="1"/>
      <c r="Q4547" s="1"/>
      <c r="AD4547" s="1"/>
      <c r="AG4547" s="1"/>
      <c r="AI4547" s="1"/>
    </row>
    <row r="4548" spans="4:35" hidden="1">
      <c r="D4548" s="1"/>
      <c r="K4548" s="1"/>
      <c r="Q4548" s="1"/>
      <c r="AD4548" s="1"/>
      <c r="AG4548" s="1"/>
      <c r="AI4548" s="1"/>
    </row>
    <row r="4549" spans="4:35" hidden="1">
      <c r="D4549" s="1"/>
      <c r="K4549" s="1"/>
      <c r="Q4549" s="1"/>
      <c r="AD4549" s="1"/>
      <c r="AG4549" s="1"/>
      <c r="AI4549" s="1"/>
    </row>
    <row r="4550" spans="4:35" hidden="1">
      <c r="D4550" s="1"/>
      <c r="K4550" s="1"/>
      <c r="Q4550" s="1"/>
      <c r="AD4550" s="1"/>
      <c r="AG4550" s="1"/>
      <c r="AI4550" s="1"/>
    </row>
    <row r="4551" spans="4:35" hidden="1">
      <c r="D4551" s="1"/>
      <c r="K4551" s="1"/>
      <c r="Q4551" s="1"/>
      <c r="AD4551" s="1"/>
      <c r="AG4551" s="1"/>
      <c r="AI4551" s="1"/>
    </row>
    <row r="4552" spans="4:35" hidden="1">
      <c r="D4552" s="1"/>
      <c r="K4552" s="1"/>
      <c r="Q4552" s="1"/>
      <c r="AD4552" s="1"/>
      <c r="AG4552" s="1"/>
      <c r="AI4552" s="1"/>
    </row>
    <row r="4553" spans="4:35" hidden="1">
      <c r="D4553" s="1"/>
      <c r="K4553" s="1"/>
      <c r="Q4553" s="1"/>
      <c r="AD4553" s="1"/>
      <c r="AG4553" s="1"/>
      <c r="AI4553" s="1"/>
    </row>
    <row r="4554" spans="4:35" hidden="1">
      <c r="D4554" s="1"/>
      <c r="K4554" s="1"/>
      <c r="Q4554" s="1"/>
      <c r="AD4554" s="1"/>
      <c r="AG4554" s="1"/>
      <c r="AI4554" s="1"/>
    </row>
    <row r="4555" spans="4:35" hidden="1">
      <c r="D4555" s="1"/>
      <c r="K4555" s="1"/>
      <c r="Q4555" s="1"/>
      <c r="AD4555" s="1"/>
      <c r="AG4555" s="1"/>
      <c r="AI4555" s="1"/>
    </row>
    <row r="4556" spans="4:35" hidden="1">
      <c r="D4556" s="1"/>
      <c r="K4556" s="1"/>
      <c r="Q4556" s="1"/>
      <c r="AD4556" s="1"/>
      <c r="AG4556" s="1"/>
      <c r="AI4556" s="1"/>
    </row>
    <row r="4557" spans="4:35" hidden="1">
      <c r="D4557" s="1"/>
      <c r="K4557" s="1"/>
      <c r="Q4557" s="1"/>
      <c r="AD4557" s="1"/>
      <c r="AG4557" s="1"/>
      <c r="AI4557" s="1"/>
    </row>
    <row r="4558" spans="4:35" hidden="1">
      <c r="D4558" s="1"/>
      <c r="K4558" s="1"/>
      <c r="Q4558" s="1"/>
      <c r="AD4558" s="1"/>
      <c r="AG4558" s="1"/>
      <c r="AI4558" s="1"/>
    </row>
    <row r="4559" spans="4:35" hidden="1">
      <c r="D4559" s="1"/>
      <c r="K4559" s="1"/>
      <c r="Q4559" s="1"/>
      <c r="AD4559" s="1"/>
      <c r="AG4559" s="1"/>
      <c r="AI4559" s="1"/>
    </row>
    <row r="4560" spans="4:35" hidden="1">
      <c r="D4560" s="1"/>
      <c r="K4560" s="1"/>
      <c r="Q4560" s="1"/>
      <c r="AD4560" s="1"/>
      <c r="AG4560" s="1"/>
      <c r="AI4560" s="1"/>
    </row>
    <row r="4561" spans="4:35" hidden="1">
      <c r="D4561" s="1"/>
      <c r="K4561" s="1"/>
      <c r="Q4561" s="1"/>
      <c r="AD4561" s="1"/>
      <c r="AG4561" s="1"/>
      <c r="AI4561" s="1"/>
    </row>
    <row r="4562" spans="4:35" hidden="1">
      <c r="D4562" s="1"/>
      <c r="K4562" s="1"/>
      <c r="Q4562" s="1"/>
      <c r="AD4562" s="1"/>
      <c r="AG4562" s="1"/>
      <c r="AI4562" s="1"/>
    </row>
    <row r="4563" spans="4:35" hidden="1">
      <c r="D4563" s="1"/>
      <c r="K4563" s="1"/>
      <c r="Q4563" s="1"/>
      <c r="AD4563" s="1"/>
      <c r="AG4563" s="1"/>
      <c r="AI4563" s="1"/>
    </row>
    <row r="4564" spans="4:35" hidden="1">
      <c r="D4564" s="1"/>
      <c r="K4564" s="1"/>
      <c r="Q4564" s="1"/>
      <c r="AD4564" s="1"/>
      <c r="AG4564" s="1"/>
      <c r="AI4564" s="1"/>
    </row>
    <row r="4565" spans="4:35" hidden="1">
      <c r="D4565" s="1"/>
      <c r="K4565" s="1"/>
      <c r="Q4565" s="1"/>
      <c r="AD4565" s="1"/>
      <c r="AG4565" s="1"/>
      <c r="AI4565" s="1"/>
    </row>
    <row r="4566" spans="4:35" hidden="1">
      <c r="D4566" s="1"/>
      <c r="K4566" s="1"/>
      <c r="Q4566" s="1"/>
      <c r="AD4566" s="1"/>
      <c r="AG4566" s="1"/>
      <c r="AI4566" s="1"/>
    </row>
    <row r="4567" spans="4:35" hidden="1">
      <c r="D4567" s="1"/>
      <c r="K4567" s="1"/>
      <c r="Q4567" s="1"/>
      <c r="AD4567" s="1"/>
      <c r="AG4567" s="1"/>
      <c r="AI4567" s="1"/>
    </row>
    <row r="4568" spans="4:35" hidden="1">
      <c r="D4568" s="1"/>
      <c r="K4568" s="1"/>
      <c r="Q4568" s="1"/>
      <c r="AD4568" s="1"/>
      <c r="AG4568" s="1"/>
      <c r="AI4568" s="1"/>
    </row>
    <row r="4569" spans="4:35" hidden="1">
      <c r="D4569" s="1"/>
      <c r="K4569" s="1"/>
      <c r="Q4569" s="1"/>
      <c r="AD4569" s="1"/>
      <c r="AG4569" s="1"/>
      <c r="AI4569" s="1"/>
    </row>
    <row r="4570" spans="4:35" hidden="1">
      <c r="D4570" s="1"/>
      <c r="K4570" s="1"/>
      <c r="Q4570" s="1"/>
      <c r="AD4570" s="1"/>
      <c r="AG4570" s="1"/>
      <c r="AI4570" s="1"/>
    </row>
    <row r="4571" spans="4:35" hidden="1">
      <c r="D4571" s="1"/>
      <c r="K4571" s="1"/>
      <c r="Q4571" s="1"/>
      <c r="AD4571" s="1"/>
      <c r="AG4571" s="1"/>
      <c r="AI4571" s="1"/>
    </row>
    <row r="4572" spans="4:35" hidden="1">
      <c r="D4572" s="1"/>
      <c r="K4572" s="1"/>
      <c r="Q4572" s="1"/>
      <c r="AD4572" s="1"/>
      <c r="AG4572" s="1"/>
      <c r="AI4572" s="1"/>
    </row>
    <row r="4573" spans="4:35" hidden="1">
      <c r="D4573" s="1"/>
      <c r="K4573" s="1"/>
      <c r="Q4573" s="1"/>
      <c r="AD4573" s="1"/>
      <c r="AG4573" s="1"/>
      <c r="AI4573" s="1"/>
    </row>
    <row r="4574" spans="4:35" hidden="1">
      <c r="D4574" s="1"/>
      <c r="K4574" s="1"/>
      <c r="Q4574" s="1"/>
      <c r="AD4574" s="1"/>
      <c r="AG4574" s="1"/>
      <c r="AI4574" s="1"/>
    </row>
    <row r="4575" spans="4:35" hidden="1">
      <c r="D4575" s="1"/>
      <c r="K4575" s="1"/>
      <c r="Q4575" s="1"/>
      <c r="AD4575" s="1"/>
      <c r="AG4575" s="1"/>
      <c r="AI4575" s="1"/>
    </row>
    <row r="4576" spans="4:35" hidden="1">
      <c r="D4576" s="1"/>
      <c r="K4576" s="1"/>
      <c r="Q4576" s="1"/>
      <c r="AD4576" s="1"/>
      <c r="AG4576" s="1"/>
      <c r="AI4576" s="1"/>
    </row>
    <row r="4577" spans="4:35" hidden="1">
      <c r="D4577" s="1"/>
      <c r="K4577" s="1"/>
      <c r="Q4577" s="1"/>
      <c r="AD4577" s="1"/>
      <c r="AG4577" s="1"/>
      <c r="AI4577" s="1"/>
    </row>
    <row r="4578" spans="4:35" hidden="1">
      <c r="D4578" s="1"/>
      <c r="K4578" s="1"/>
      <c r="Q4578" s="1"/>
      <c r="AD4578" s="1"/>
      <c r="AG4578" s="1"/>
      <c r="AI4578" s="1"/>
    </row>
    <row r="4579" spans="4:35" hidden="1">
      <c r="D4579" s="1"/>
      <c r="K4579" s="1"/>
      <c r="Q4579" s="1"/>
      <c r="AD4579" s="1"/>
      <c r="AG4579" s="1"/>
      <c r="AI4579" s="1"/>
    </row>
    <row r="4580" spans="4:35" hidden="1">
      <c r="D4580" s="1"/>
      <c r="K4580" s="1"/>
      <c r="Q4580" s="1"/>
      <c r="AD4580" s="1"/>
      <c r="AG4580" s="1"/>
      <c r="AI4580" s="1"/>
    </row>
    <row r="4581" spans="4:35" hidden="1">
      <c r="D4581" s="1"/>
      <c r="K4581" s="1"/>
      <c r="Q4581" s="1"/>
      <c r="AD4581" s="1"/>
      <c r="AG4581" s="1"/>
      <c r="AI4581" s="1"/>
    </row>
    <row r="4582" spans="4:35" hidden="1">
      <c r="D4582" s="1"/>
      <c r="K4582" s="1"/>
      <c r="Q4582" s="1"/>
      <c r="AD4582" s="1"/>
      <c r="AG4582" s="1"/>
      <c r="AI4582" s="1"/>
    </row>
    <row r="4583" spans="4:35" hidden="1">
      <c r="D4583" s="1"/>
      <c r="K4583" s="1"/>
      <c r="Q4583" s="1"/>
      <c r="AD4583" s="1"/>
      <c r="AG4583" s="1"/>
      <c r="AI4583" s="1"/>
    </row>
    <row r="4584" spans="4:35" hidden="1">
      <c r="D4584" s="1"/>
      <c r="K4584" s="1"/>
      <c r="Q4584" s="1"/>
      <c r="AD4584" s="1"/>
      <c r="AG4584" s="1"/>
      <c r="AI4584" s="1"/>
    </row>
    <row r="4585" spans="4:35" hidden="1">
      <c r="D4585" s="1"/>
      <c r="K4585" s="1"/>
      <c r="Q4585" s="1"/>
      <c r="AD4585" s="1"/>
      <c r="AG4585" s="1"/>
      <c r="AI4585" s="1"/>
    </row>
    <row r="4586" spans="4:35" hidden="1">
      <c r="D4586" s="1"/>
      <c r="K4586" s="1"/>
      <c r="Q4586" s="1"/>
      <c r="AD4586" s="1"/>
      <c r="AG4586" s="1"/>
      <c r="AI4586" s="1"/>
    </row>
    <row r="4587" spans="4:35" hidden="1">
      <c r="D4587" s="1"/>
      <c r="K4587" s="1"/>
      <c r="Q4587" s="1"/>
      <c r="AD4587" s="1"/>
      <c r="AG4587" s="1"/>
      <c r="AI4587" s="1"/>
    </row>
    <row r="4588" spans="4:35" hidden="1">
      <c r="D4588" s="1"/>
      <c r="K4588" s="1"/>
      <c r="Q4588" s="1"/>
      <c r="AD4588" s="1"/>
      <c r="AG4588" s="1"/>
      <c r="AI4588" s="1"/>
    </row>
    <row r="4589" spans="4:35" hidden="1">
      <c r="D4589" s="1"/>
      <c r="K4589" s="1"/>
      <c r="Q4589" s="1"/>
      <c r="AD4589" s="1"/>
      <c r="AG4589" s="1"/>
      <c r="AI4589" s="1"/>
    </row>
    <row r="4590" spans="4:35" hidden="1">
      <c r="D4590" s="1"/>
      <c r="K4590" s="1"/>
      <c r="Q4590" s="1"/>
      <c r="AD4590" s="1"/>
      <c r="AG4590" s="1"/>
      <c r="AI4590" s="1"/>
    </row>
    <row r="4591" spans="4:35" hidden="1">
      <c r="D4591" s="1"/>
      <c r="K4591" s="1"/>
      <c r="Q4591" s="1"/>
      <c r="AD4591" s="1"/>
      <c r="AG4591" s="1"/>
      <c r="AI4591" s="1"/>
    </row>
    <row r="4592" spans="4:35" hidden="1">
      <c r="D4592" s="1"/>
      <c r="K4592" s="1"/>
      <c r="Q4592" s="1"/>
      <c r="AD4592" s="1"/>
      <c r="AG4592" s="1"/>
      <c r="AI4592" s="1"/>
    </row>
    <row r="4593" spans="4:35" hidden="1">
      <c r="D4593" s="1"/>
      <c r="K4593" s="1"/>
      <c r="Q4593" s="1"/>
      <c r="AD4593" s="1"/>
      <c r="AG4593" s="1"/>
      <c r="AI4593" s="1"/>
    </row>
    <row r="4594" spans="4:35" hidden="1">
      <c r="D4594" s="1"/>
      <c r="K4594" s="1"/>
      <c r="Q4594" s="1"/>
      <c r="AD4594" s="1"/>
      <c r="AG4594" s="1"/>
      <c r="AI4594" s="1"/>
    </row>
    <row r="4595" spans="4:35" hidden="1">
      <c r="D4595" s="1"/>
      <c r="K4595" s="1"/>
      <c r="Q4595" s="1"/>
      <c r="AD4595" s="1"/>
      <c r="AG4595" s="1"/>
      <c r="AI4595" s="1"/>
    </row>
    <row r="4596" spans="4:35" hidden="1">
      <c r="D4596" s="1"/>
      <c r="K4596" s="1"/>
      <c r="Q4596" s="1"/>
      <c r="AD4596" s="1"/>
      <c r="AG4596" s="1"/>
      <c r="AI4596" s="1"/>
    </row>
    <row r="4597" spans="4:35" hidden="1">
      <c r="D4597" s="1"/>
      <c r="K4597" s="1"/>
      <c r="Q4597" s="1"/>
      <c r="AD4597" s="1"/>
      <c r="AG4597" s="1"/>
      <c r="AI4597" s="1"/>
    </row>
    <row r="4598" spans="4:35" hidden="1">
      <c r="D4598" s="1"/>
      <c r="K4598" s="1"/>
      <c r="Q4598" s="1"/>
      <c r="AD4598" s="1"/>
      <c r="AG4598" s="1"/>
      <c r="AI4598" s="1"/>
    </row>
    <row r="4599" spans="4:35" hidden="1">
      <c r="D4599" s="1"/>
      <c r="K4599" s="1"/>
      <c r="Q4599" s="1"/>
      <c r="AD4599" s="1"/>
      <c r="AG4599" s="1"/>
      <c r="AI4599" s="1"/>
    </row>
    <row r="4600" spans="4:35" hidden="1">
      <c r="D4600" s="1"/>
      <c r="K4600" s="1"/>
      <c r="Q4600" s="1"/>
      <c r="AD4600" s="1"/>
      <c r="AG4600" s="1"/>
      <c r="AI4600" s="1"/>
    </row>
    <row r="4601" spans="4:35" hidden="1">
      <c r="D4601" s="1"/>
      <c r="K4601" s="1"/>
      <c r="Q4601" s="1"/>
      <c r="AD4601" s="1"/>
      <c r="AG4601" s="1"/>
      <c r="AI4601" s="1"/>
    </row>
    <row r="4602" spans="4:35" hidden="1">
      <c r="D4602" s="1"/>
      <c r="K4602" s="1"/>
      <c r="Q4602" s="1"/>
      <c r="AD4602" s="1"/>
      <c r="AG4602" s="1"/>
      <c r="AI4602" s="1"/>
    </row>
    <row r="4603" spans="4:35" hidden="1">
      <c r="D4603" s="1"/>
      <c r="K4603" s="1"/>
      <c r="Q4603" s="1"/>
      <c r="AD4603" s="1"/>
      <c r="AG4603" s="1"/>
      <c r="AI4603" s="1"/>
    </row>
    <row r="4604" spans="4:35" hidden="1">
      <c r="D4604" s="1"/>
      <c r="K4604" s="1"/>
      <c r="Q4604" s="1"/>
      <c r="AD4604" s="1"/>
      <c r="AG4604" s="1"/>
      <c r="AI4604" s="1"/>
    </row>
    <row r="4605" spans="4:35" hidden="1">
      <c r="D4605" s="1"/>
      <c r="K4605" s="1"/>
      <c r="Q4605" s="1"/>
      <c r="AD4605" s="1"/>
      <c r="AG4605" s="1"/>
      <c r="AI4605" s="1"/>
    </row>
    <row r="4606" spans="4:35" hidden="1">
      <c r="D4606" s="1"/>
      <c r="K4606" s="1"/>
      <c r="Q4606" s="1"/>
      <c r="AD4606" s="1"/>
      <c r="AG4606" s="1"/>
      <c r="AI4606" s="1"/>
    </row>
    <row r="4607" spans="4:35" hidden="1">
      <c r="D4607" s="1"/>
      <c r="K4607" s="1"/>
      <c r="Q4607" s="1"/>
      <c r="AD4607" s="1"/>
      <c r="AG4607" s="1"/>
      <c r="AI4607" s="1"/>
    </row>
    <row r="4608" spans="4:35" hidden="1">
      <c r="D4608" s="1"/>
      <c r="K4608" s="1"/>
      <c r="Q4608" s="1"/>
      <c r="AD4608" s="1"/>
      <c r="AG4608" s="1"/>
      <c r="AI4608" s="1"/>
    </row>
    <row r="4609" spans="4:35" hidden="1">
      <c r="D4609" s="1"/>
      <c r="K4609" s="1"/>
      <c r="Q4609" s="1"/>
      <c r="AD4609" s="1"/>
      <c r="AG4609" s="1"/>
      <c r="AI4609" s="1"/>
    </row>
    <row r="4610" spans="4:35" hidden="1">
      <c r="D4610" s="1"/>
      <c r="K4610" s="1"/>
      <c r="Q4610" s="1"/>
      <c r="AD4610" s="1"/>
      <c r="AG4610" s="1"/>
      <c r="AI4610" s="1"/>
    </row>
    <row r="4611" spans="4:35" hidden="1">
      <c r="D4611" s="1"/>
      <c r="K4611" s="1"/>
      <c r="Q4611" s="1"/>
      <c r="AD4611" s="1"/>
      <c r="AG4611" s="1"/>
      <c r="AI4611" s="1"/>
    </row>
    <row r="4612" spans="4:35" hidden="1">
      <c r="D4612" s="1"/>
      <c r="K4612" s="1"/>
      <c r="Q4612" s="1"/>
      <c r="AD4612" s="1"/>
      <c r="AG4612" s="1"/>
      <c r="AI4612" s="1"/>
    </row>
    <row r="4613" spans="4:35" hidden="1">
      <c r="D4613" s="1"/>
      <c r="K4613" s="1"/>
      <c r="Q4613" s="1"/>
      <c r="AD4613" s="1"/>
      <c r="AG4613" s="1"/>
      <c r="AI4613" s="1"/>
    </row>
    <row r="4614" spans="4:35" hidden="1">
      <c r="D4614" s="1"/>
      <c r="K4614" s="1"/>
      <c r="Q4614" s="1"/>
      <c r="AD4614" s="1"/>
      <c r="AG4614" s="1"/>
      <c r="AI4614" s="1"/>
    </row>
    <row r="4615" spans="4:35" hidden="1">
      <c r="D4615" s="1"/>
      <c r="K4615" s="1"/>
      <c r="Q4615" s="1"/>
      <c r="AD4615" s="1"/>
      <c r="AG4615" s="1"/>
      <c r="AI4615" s="1"/>
    </row>
    <row r="4616" spans="4:35" hidden="1">
      <c r="D4616" s="1"/>
      <c r="K4616" s="1"/>
      <c r="Q4616" s="1"/>
      <c r="AD4616" s="1"/>
      <c r="AG4616" s="1"/>
      <c r="AI4616" s="1"/>
    </row>
    <row r="4617" spans="4:35" hidden="1">
      <c r="D4617" s="1"/>
      <c r="K4617" s="1"/>
      <c r="Q4617" s="1"/>
      <c r="AD4617" s="1"/>
      <c r="AG4617" s="1"/>
      <c r="AI4617" s="1"/>
    </row>
    <row r="4618" spans="4:35" hidden="1">
      <c r="D4618" s="1"/>
      <c r="K4618" s="1"/>
      <c r="Q4618" s="1"/>
      <c r="AD4618" s="1"/>
      <c r="AG4618" s="1"/>
      <c r="AI4618" s="1"/>
    </row>
    <row r="4619" spans="4:35" hidden="1">
      <c r="D4619" s="1"/>
      <c r="K4619" s="1"/>
      <c r="Q4619" s="1"/>
      <c r="AD4619" s="1"/>
      <c r="AG4619" s="1"/>
      <c r="AI4619" s="1"/>
    </row>
    <row r="4620" spans="4:35" hidden="1">
      <c r="D4620" s="1"/>
      <c r="K4620" s="1"/>
      <c r="Q4620" s="1"/>
      <c r="AD4620" s="1"/>
      <c r="AG4620" s="1"/>
      <c r="AI4620" s="1"/>
    </row>
    <row r="4621" spans="4:35" hidden="1">
      <c r="D4621" s="1"/>
      <c r="K4621" s="1"/>
      <c r="Q4621" s="1"/>
      <c r="AD4621" s="1"/>
      <c r="AG4621" s="1"/>
      <c r="AI4621" s="1"/>
    </row>
    <row r="4622" spans="4:35" hidden="1">
      <c r="D4622" s="1"/>
      <c r="K4622" s="1"/>
      <c r="Q4622" s="1"/>
      <c r="AD4622" s="1"/>
      <c r="AG4622" s="1"/>
      <c r="AI4622" s="1"/>
    </row>
    <row r="4623" spans="4:35" hidden="1">
      <c r="D4623" s="1"/>
      <c r="K4623" s="1"/>
      <c r="Q4623" s="1"/>
      <c r="AD4623" s="1"/>
      <c r="AG4623" s="1"/>
      <c r="AI4623" s="1"/>
    </row>
    <row r="4624" spans="4:35" hidden="1">
      <c r="D4624" s="1"/>
      <c r="K4624" s="1"/>
      <c r="Q4624" s="1"/>
      <c r="AD4624" s="1"/>
      <c r="AG4624" s="1"/>
      <c r="AI4624" s="1"/>
    </row>
    <row r="4625" spans="4:35" hidden="1">
      <c r="D4625" s="1"/>
      <c r="K4625" s="1"/>
      <c r="Q4625" s="1"/>
      <c r="AD4625" s="1"/>
      <c r="AG4625" s="1"/>
      <c r="AI4625" s="1"/>
    </row>
    <row r="4626" spans="4:35" hidden="1">
      <c r="D4626" s="1"/>
      <c r="K4626" s="1"/>
      <c r="Q4626" s="1"/>
      <c r="AD4626" s="1"/>
      <c r="AG4626" s="1"/>
      <c r="AI4626" s="1"/>
    </row>
    <row r="4627" spans="4:35" hidden="1">
      <c r="D4627" s="1"/>
      <c r="K4627" s="1"/>
      <c r="Q4627" s="1"/>
      <c r="AD4627" s="1"/>
      <c r="AG4627" s="1"/>
      <c r="AI4627" s="1"/>
    </row>
    <row r="4628" spans="4:35" hidden="1">
      <c r="D4628" s="1"/>
      <c r="K4628" s="1"/>
      <c r="Q4628" s="1"/>
      <c r="AD4628" s="1"/>
      <c r="AG4628" s="1"/>
      <c r="AI4628" s="1"/>
    </row>
    <row r="4629" spans="4:35" hidden="1">
      <c r="D4629" s="1"/>
      <c r="K4629" s="1"/>
      <c r="Q4629" s="1"/>
      <c r="AD4629" s="1"/>
      <c r="AG4629" s="1"/>
      <c r="AI4629" s="1"/>
    </row>
    <row r="4630" spans="4:35" hidden="1">
      <c r="D4630" s="1"/>
      <c r="K4630" s="1"/>
      <c r="Q4630" s="1"/>
      <c r="AD4630" s="1"/>
      <c r="AG4630" s="1"/>
      <c r="AI4630" s="1"/>
    </row>
    <row r="4631" spans="4:35" hidden="1">
      <c r="D4631" s="1"/>
      <c r="K4631" s="1"/>
      <c r="Q4631" s="1"/>
      <c r="AD4631" s="1"/>
      <c r="AG4631" s="1"/>
      <c r="AI4631" s="1"/>
    </row>
    <row r="4632" spans="4:35" hidden="1">
      <c r="D4632" s="1"/>
      <c r="K4632" s="1"/>
      <c r="Q4632" s="1"/>
      <c r="AD4632" s="1"/>
      <c r="AG4632" s="1"/>
      <c r="AI4632" s="1"/>
    </row>
    <row r="4633" spans="4:35" hidden="1">
      <c r="D4633" s="1"/>
      <c r="K4633" s="1"/>
      <c r="Q4633" s="1"/>
      <c r="AD4633" s="1"/>
      <c r="AG4633" s="1"/>
      <c r="AI4633" s="1"/>
    </row>
    <row r="4634" spans="4:35" hidden="1">
      <c r="D4634" s="1"/>
      <c r="K4634" s="1"/>
      <c r="Q4634" s="1"/>
      <c r="AD4634" s="1"/>
      <c r="AG4634" s="1"/>
      <c r="AI4634" s="1"/>
    </row>
    <row r="4635" spans="4:35" hidden="1">
      <c r="D4635" s="1"/>
      <c r="K4635" s="1"/>
      <c r="Q4635" s="1"/>
      <c r="AD4635" s="1"/>
      <c r="AG4635" s="1"/>
      <c r="AI4635" s="1"/>
    </row>
    <row r="4636" spans="4:35" hidden="1">
      <c r="D4636" s="1"/>
      <c r="K4636" s="1"/>
      <c r="Q4636" s="1"/>
      <c r="AD4636" s="1"/>
      <c r="AG4636" s="1"/>
      <c r="AI4636" s="1"/>
    </row>
    <row r="4637" spans="4:35" hidden="1">
      <c r="D4637" s="1"/>
      <c r="K4637" s="1"/>
      <c r="Q4637" s="1"/>
      <c r="AD4637" s="1"/>
      <c r="AG4637" s="1"/>
      <c r="AI4637" s="1"/>
    </row>
    <row r="4638" spans="4:35" hidden="1">
      <c r="D4638" s="1"/>
      <c r="K4638" s="1"/>
      <c r="Q4638" s="1"/>
      <c r="AD4638" s="1"/>
      <c r="AG4638" s="1"/>
      <c r="AI4638" s="1"/>
    </row>
    <row r="4639" spans="4:35" hidden="1">
      <c r="D4639" s="1"/>
      <c r="K4639" s="1"/>
      <c r="Q4639" s="1"/>
      <c r="AD4639" s="1"/>
      <c r="AG4639" s="1"/>
      <c r="AI4639" s="1"/>
    </row>
    <row r="4640" spans="4:35" hidden="1">
      <c r="D4640" s="1"/>
      <c r="K4640" s="1"/>
      <c r="Q4640" s="1"/>
      <c r="AD4640" s="1"/>
      <c r="AG4640" s="1"/>
      <c r="AI4640" s="1"/>
    </row>
    <row r="4641" spans="4:35" hidden="1">
      <c r="D4641" s="1"/>
      <c r="K4641" s="1"/>
      <c r="Q4641" s="1"/>
      <c r="AD4641" s="1"/>
      <c r="AG4641" s="1"/>
      <c r="AI4641" s="1"/>
    </row>
    <row r="4642" spans="4:35" hidden="1">
      <c r="D4642" s="1"/>
      <c r="K4642" s="1"/>
      <c r="Q4642" s="1"/>
      <c r="AD4642" s="1"/>
      <c r="AG4642" s="1"/>
      <c r="AI4642" s="1"/>
    </row>
    <row r="4643" spans="4:35" hidden="1">
      <c r="D4643" s="1"/>
      <c r="K4643" s="1"/>
      <c r="Q4643" s="1"/>
      <c r="AD4643" s="1"/>
      <c r="AG4643" s="1"/>
      <c r="AI4643" s="1"/>
    </row>
    <row r="4644" spans="4:35" hidden="1">
      <c r="D4644" s="1"/>
      <c r="K4644" s="1"/>
      <c r="Q4644" s="1"/>
      <c r="AD4644" s="1"/>
      <c r="AG4644" s="1"/>
      <c r="AI4644" s="1"/>
    </row>
    <row r="4645" spans="4:35" hidden="1">
      <c r="D4645" s="1"/>
      <c r="K4645" s="1"/>
      <c r="Q4645" s="1"/>
      <c r="AD4645" s="1"/>
      <c r="AG4645" s="1"/>
      <c r="AI4645" s="1"/>
    </row>
    <row r="4646" spans="4:35" hidden="1">
      <c r="D4646" s="1"/>
      <c r="K4646" s="1"/>
      <c r="Q4646" s="1"/>
      <c r="AD4646" s="1"/>
      <c r="AG4646" s="1"/>
      <c r="AI4646" s="1"/>
    </row>
    <row r="4647" spans="4:35" hidden="1">
      <c r="D4647" s="1"/>
      <c r="K4647" s="1"/>
      <c r="Q4647" s="1"/>
      <c r="AD4647" s="1"/>
      <c r="AG4647" s="1"/>
      <c r="AI4647" s="1"/>
    </row>
    <row r="4648" spans="4:35" hidden="1">
      <c r="D4648" s="1"/>
      <c r="K4648" s="1"/>
      <c r="Q4648" s="1"/>
      <c r="AD4648" s="1"/>
      <c r="AG4648" s="1"/>
      <c r="AI4648" s="1"/>
    </row>
    <row r="4649" spans="4:35" hidden="1">
      <c r="D4649" s="1"/>
      <c r="K4649" s="1"/>
      <c r="Q4649" s="1"/>
      <c r="AD4649" s="1"/>
      <c r="AG4649" s="1"/>
      <c r="AI4649" s="1"/>
    </row>
    <row r="4650" spans="4:35" hidden="1">
      <c r="D4650" s="1"/>
      <c r="K4650" s="1"/>
      <c r="Q4650" s="1"/>
      <c r="AD4650" s="1"/>
      <c r="AG4650" s="1"/>
      <c r="AI4650" s="1"/>
    </row>
    <row r="4651" spans="4:35" hidden="1">
      <c r="D4651" s="1"/>
      <c r="K4651" s="1"/>
      <c r="Q4651" s="1"/>
      <c r="AD4651" s="1"/>
      <c r="AG4651" s="1"/>
      <c r="AI4651" s="1"/>
    </row>
    <row r="4652" spans="4:35" hidden="1">
      <c r="D4652" s="1"/>
      <c r="K4652" s="1"/>
      <c r="Q4652" s="1"/>
      <c r="AD4652" s="1"/>
      <c r="AG4652" s="1"/>
      <c r="AI4652" s="1"/>
    </row>
    <row r="4653" spans="4:35" hidden="1">
      <c r="D4653" s="1"/>
      <c r="K4653" s="1"/>
      <c r="Q4653" s="1"/>
      <c r="AD4653" s="1"/>
      <c r="AG4653" s="1"/>
      <c r="AI4653" s="1"/>
    </row>
    <row r="4654" spans="4:35" hidden="1">
      <c r="D4654" s="1"/>
      <c r="K4654" s="1"/>
      <c r="Q4654" s="1"/>
      <c r="AD4654" s="1"/>
      <c r="AG4654" s="1"/>
      <c r="AI4654" s="1"/>
    </row>
    <row r="4655" spans="4:35" hidden="1">
      <c r="D4655" s="1"/>
      <c r="K4655" s="1"/>
      <c r="Q4655" s="1"/>
      <c r="AD4655" s="1"/>
      <c r="AG4655" s="1"/>
      <c r="AI4655" s="1"/>
    </row>
    <row r="4656" spans="4:35" hidden="1">
      <c r="D4656" s="1"/>
      <c r="K4656" s="1"/>
      <c r="Q4656" s="1"/>
      <c r="AD4656" s="1"/>
      <c r="AG4656" s="1"/>
      <c r="AI4656" s="1"/>
    </row>
    <row r="4657" spans="4:35" hidden="1">
      <c r="D4657" s="1"/>
      <c r="K4657" s="1"/>
      <c r="Q4657" s="1"/>
      <c r="AD4657" s="1"/>
      <c r="AG4657" s="1"/>
      <c r="AI4657" s="1"/>
    </row>
    <row r="4658" spans="4:35" hidden="1">
      <c r="D4658" s="1"/>
      <c r="K4658" s="1"/>
      <c r="Q4658" s="1"/>
      <c r="AD4658" s="1"/>
      <c r="AG4658" s="1"/>
      <c r="AI4658" s="1"/>
    </row>
    <row r="4659" spans="4:35" hidden="1">
      <c r="D4659" s="1"/>
      <c r="K4659" s="1"/>
      <c r="Q4659" s="1"/>
      <c r="AD4659" s="1"/>
      <c r="AG4659" s="1"/>
      <c r="AI4659" s="1"/>
    </row>
    <row r="4660" spans="4:35" hidden="1">
      <c r="D4660" s="1"/>
      <c r="K4660" s="1"/>
      <c r="Q4660" s="1"/>
      <c r="AD4660" s="1"/>
      <c r="AG4660" s="1"/>
      <c r="AI4660" s="1"/>
    </row>
    <row r="4661" spans="4:35" hidden="1">
      <c r="D4661" s="1"/>
      <c r="K4661" s="1"/>
      <c r="Q4661" s="1"/>
      <c r="AD4661" s="1"/>
      <c r="AG4661" s="1"/>
      <c r="AI4661" s="1"/>
    </row>
    <row r="4662" spans="4:35" hidden="1">
      <c r="D4662" s="1"/>
      <c r="K4662" s="1"/>
      <c r="Q4662" s="1"/>
      <c r="AD4662" s="1"/>
      <c r="AG4662" s="1"/>
      <c r="AI4662" s="1"/>
    </row>
    <row r="4663" spans="4:35" hidden="1">
      <c r="D4663" s="1"/>
      <c r="K4663" s="1"/>
      <c r="Q4663" s="1"/>
      <c r="AD4663" s="1"/>
      <c r="AG4663" s="1"/>
      <c r="AI4663" s="1"/>
    </row>
    <row r="4664" spans="4:35" hidden="1">
      <c r="D4664" s="1"/>
      <c r="K4664" s="1"/>
      <c r="Q4664" s="1"/>
      <c r="AD4664" s="1"/>
      <c r="AG4664" s="1"/>
      <c r="AI4664" s="1"/>
    </row>
    <row r="4665" spans="4:35" hidden="1">
      <c r="D4665" s="1"/>
      <c r="K4665" s="1"/>
      <c r="Q4665" s="1"/>
      <c r="AD4665" s="1"/>
      <c r="AG4665" s="1"/>
      <c r="AI4665" s="1"/>
    </row>
    <row r="4666" spans="4:35" hidden="1">
      <c r="D4666" s="1"/>
      <c r="K4666" s="1"/>
      <c r="Q4666" s="1"/>
      <c r="AD4666" s="1"/>
      <c r="AG4666" s="1"/>
      <c r="AI4666" s="1"/>
    </row>
    <row r="4667" spans="4:35" hidden="1">
      <c r="D4667" s="1"/>
      <c r="K4667" s="1"/>
      <c r="Q4667" s="1"/>
      <c r="AD4667" s="1"/>
      <c r="AG4667" s="1"/>
      <c r="AI4667" s="1"/>
    </row>
    <row r="4668" spans="4:35" hidden="1">
      <c r="D4668" s="1"/>
      <c r="K4668" s="1"/>
      <c r="Q4668" s="1"/>
      <c r="AD4668" s="1"/>
      <c r="AG4668" s="1"/>
      <c r="AI4668" s="1"/>
    </row>
    <row r="4669" spans="4:35" hidden="1">
      <c r="D4669" s="1"/>
      <c r="K4669" s="1"/>
      <c r="Q4669" s="1"/>
      <c r="AD4669" s="1"/>
      <c r="AG4669" s="1"/>
      <c r="AI4669" s="1"/>
    </row>
    <row r="4670" spans="4:35" hidden="1">
      <c r="D4670" s="1"/>
      <c r="K4670" s="1"/>
      <c r="Q4670" s="1"/>
      <c r="AD4670" s="1"/>
      <c r="AG4670" s="1"/>
      <c r="AI4670" s="1"/>
    </row>
    <row r="4671" spans="4:35" hidden="1">
      <c r="D4671" s="1"/>
      <c r="K4671" s="1"/>
      <c r="Q4671" s="1"/>
      <c r="AD4671" s="1"/>
      <c r="AG4671" s="1"/>
      <c r="AI4671" s="1"/>
    </row>
    <row r="4672" spans="4:35" hidden="1">
      <c r="D4672" s="1"/>
      <c r="K4672" s="1"/>
      <c r="Q4672" s="1"/>
      <c r="AD4672" s="1"/>
      <c r="AG4672" s="1"/>
      <c r="AI4672" s="1"/>
    </row>
    <row r="4673" spans="4:35" hidden="1">
      <c r="D4673" s="1"/>
      <c r="K4673" s="1"/>
      <c r="Q4673" s="1"/>
      <c r="AD4673" s="1"/>
      <c r="AG4673" s="1"/>
      <c r="AI4673" s="1"/>
    </row>
    <row r="4674" spans="4:35" hidden="1">
      <c r="D4674" s="1"/>
      <c r="K4674" s="1"/>
      <c r="Q4674" s="1"/>
      <c r="AD4674" s="1"/>
      <c r="AG4674" s="1"/>
      <c r="AI4674" s="1"/>
    </row>
    <row r="4675" spans="4:35" hidden="1">
      <c r="D4675" s="1"/>
      <c r="K4675" s="1"/>
      <c r="Q4675" s="1"/>
      <c r="AD4675" s="1"/>
      <c r="AG4675" s="1"/>
      <c r="AI4675" s="1"/>
    </row>
    <row r="4676" spans="4:35" hidden="1">
      <c r="D4676" s="1"/>
      <c r="K4676" s="1"/>
      <c r="Q4676" s="1"/>
      <c r="AD4676" s="1"/>
      <c r="AG4676" s="1"/>
      <c r="AI4676" s="1"/>
    </row>
    <row r="4677" spans="4:35" hidden="1">
      <c r="D4677" s="1"/>
      <c r="K4677" s="1"/>
      <c r="Q4677" s="1"/>
      <c r="AD4677" s="1"/>
      <c r="AG4677" s="1"/>
      <c r="AI4677" s="1"/>
    </row>
    <row r="4678" spans="4:35" hidden="1">
      <c r="D4678" s="1"/>
      <c r="K4678" s="1"/>
      <c r="Q4678" s="1"/>
      <c r="AD4678" s="1"/>
      <c r="AG4678" s="1"/>
      <c r="AI4678" s="1"/>
    </row>
    <row r="4679" spans="4:35" hidden="1">
      <c r="D4679" s="1"/>
      <c r="K4679" s="1"/>
      <c r="Q4679" s="1"/>
      <c r="AD4679" s="1"/>
      <c r="AG4679" s="1"/>
      <c r="AI4679" s="1"/>
    </row>
    <row r="4680" spans="4:35" hidden="1">
      <c r="D4680" s="1"/>
      <c r="K4680" s="1"/>
      <c r="Q4680" s="1"/>
      <c r="AD4680" s="1"/>
      <c r="AG4680" s="1"/>
      <c r="AI4680" s="1"/>
    </row>
    <row r="4681" spans="4:35" hidden="1">
      <c r="D4681" s="1"/>
      <c r="K4681" s="1"/>
      <c r="Q4681" s="1"/>
      <c r="AD4681" s="1"/>
      <c r="AG4681" s="1"/>
      <c r="AI4681" s="1"/>
    </row>
    <row r="4682" spans="4:35" hidden="1">
      <c r="D4682" s="1"/>
      <c r="K4682" s="1"/>
      <c r="Q4682" s="1"/>
      <c r="AD4682" s="1"/>
      <c r="AG4682" s="1"/>
      <c r="AI4682" s="1"/>
    </row>
    <row r="4683" spans="4:35" hidden="1">
      <c r="D4683" s="1"/>
      <c r="K4683" s="1"/>
      <c r="Q4683" s="1"/>
      <c r="AD4683" s="1"/>
      <c r="AG4683" s="1"/>
      <c r="AI4683" s="1"/>
    </row>
    <row r="4684" spans="4:35" hidden="1">
      <c r="D4684" s="1"/>
      <c r="K4684" s="1"/>
      <c r="Q4684" s="1"/>
      <c r="AD4684" s="1"/>
      <c r="AG4684" s="1"/>
      <c r="AI4684" s="1"/>
    </row>
    <row r="4685" spans="4:35" hidden="1">
      <c r="D4685" s="1"/>
      <c r="K4685" s="1"/>
      <c r="Q4685" s="1"/>
      <c r="AD4685" s="1"/>
      <c r="AG4685" s="1"/>
      <c r="AI4685" s="1"/>
    </row>
    <row r="4686" spans="4:35" hidden="1">
      <c r="D4686" s="1"/>
      <c r="K4686" s="1"/>
      <c r="Q4686" s="1"/>
      <c r="AD4686" s="1"/>
      <c r="AG4686" s="1"/>
      <c r="AI4686" s="1"/>
    </row>
    <row r="4687" spans="4:35" hidden="1">
      <c r="D4687" s="1"/>
      <c r="K4687" s="1"/>
      <c r="Q4687" s="1"/>
      <c r="AD4687" s="1"/>
      <c r="AG4687" s="1"/>
      <c r="AI4687" s="1"/>
    </row>
    <row r="4688" spans="4:35" hidden="1">
      <c r="D4688" s="1"/>
      <c r="K4688" s="1"/>
      <c r="Q4688" s="1"/>
      <c r="AD4688" s="1"/>
      <c r="AG4688" s="1"/>
      <c r="AI4688" s="1"/>
    </row>
    <row r="4689" spans="4:35" hidden="1">
      <c r="D4689" s="1"/>
      <c r="K4689" s="1"/>
      <c r="Q4689" s="1"/>
      <c r="AD4689" s="1"/>
      <c r="AG4689" s="1"/>
      <c r="AI4689" s="1"/>
    </row>
    <row r="4690" spans="4:35" hidden="1">
      <c r="D4690" s="1"/>
      <c r="K4690" s="1"/>
      <c r="Q4690" s="1"/>
      <c r="AD4690" s="1"/>
      <c r="AG4690" s="1"/>
      <c r="AI4690" s="1"/>
    </row>
    <row r="4691" spans="4:35" hidden="1">
      <c r="D4691" s="1"/>
      <c r="K4691" s="1"/>
      <c r="Q4691" s="1"/>
      <c r="AD4691" s="1"/>
      <c r="AG4691" s="1"/>
      <c r="AI4691" s="1"/>
    </row>
    <row r="4692" spans="4:35" hidden="1">
      <c r="D4692" s="1"/>
      <c r="K4692" s="1"/>
      <c r="Q4692" s="1"/>
      <c r="AD4692" s="1"/>
      <c r="AG4692" s="1"/>
      <c r="AI4692" s="1"/>
    </row>
    <row r="4693" spans="4:35" hidden="1">
      <c r="D4693" s="1"/>
      <c r="K4693" s="1"/>
      <c r="Q4693" s="1"/>
      <c r="AD4693" s="1"/>
      <c r="AG4693" s="1"/>
      <c r="AI4693" s="1"/>
    </row>
    <row r="4694" spans="4:35" hidden="1">
      <c r="D4694" s="1"/>
      <c r="K4694" s="1"/>
      <c r="Q4694" s="1"/>
      <c r="AD4694" s="1"/>
      <c r="AG4694" s="1"/>
      <c r="AI4694" s="1"/>
    </row>
    <row r="4695" spans="4:35" hidden="1">
      <c r="D4695" s="1"/>
      <c r="K4695" s="1"/>
      <c r="Q4695" s="1"/>
      <c r="AD4695" s="1"/>
      <c r="AG4695" s="1"/>
      <c r="AI4695" s="1"/>
    </row>
    <row r="4696" spans="4:35" hidden="1">
      <c r="D4696" s="1"/>
      <c r="K4696" s="1"/>
      <c r="Q4696" s="1"/>
      <c r="AD4696" s="1"/>
      <c r="AG4696" s="1"/>
      <c r="AI4696" s="1"/>
    </row>
    <row r="4697" spans="4:35" hidden="1">
      <c r="D4697" s="1"/>
      <c r="K4697" s="1"/>
      <c r="Q4697" s="1"/>
      <c r="AD4697" s="1"/>
      <c r="AG4697" s="1"/>
      <c r="AI4697" s="1"/>
    </row>
    <row r="4698" spans="4:35" hidden="1">
      <c r="D4698" s="1"/>
      <c r="K4698" s="1"/>
      <c r="Q4698" s="1"/>
      <c r="AD4698" s="1"/>
      <c r="AG4698" s="1"/>
      <c r="AI4698" s="1"/>
    </row>
    <row r="4699" spans="4:35" hidden="1">
      <c r="D4699" s="1"/>
      <c r="K4699" s="1"/>
      <c r="Q4699" s="1"/>
      <c r="AD4699" s="1"/>
      <c r="AG4699" s="1"/>
      <c r="AI4699" s="1"/>
    </row>
    <row r="4700" spans="4:35" hidden="1">
      <c r="D4700" s="1"/>
      <c r="K4700" s="1"/>
      <c r="Q4700" s="1"/>
      <c r="AD4700" s="1"/>
      <c r="AG4700" s="1"/>
      <c r="AI4700" s="1"/>
    </row>
    <row r="4701" spans="4:35" hidden="1">
      <c r="D4701" s="1"/>
      <c r="K4701" s="1"/>
      <c r="Q4701" s="1"/>
      <c r="AD4701" s="1"/>
      <c r="AG4701" s="1"/>
      <c r="AI4701" s="1"/>
    </row>
    <row r="4702" spans="4:35" hidden="1">
      <c r="D4702" s="1"/>
      <c r="K4702" s="1"/>
      <c r="Q4702" s="1"/>
      <c r="AD4702" s="1"/>
      <c r="AG4702" s="1"/>
      <c r="AI4702" s="1"/>
    </row>
    <row r="4703" spans="4:35" hidden="1">
      <c r="D4703" s="1"/>
      <c r="K4703" s="1"/>
      <c r="Q4703" s="1"/>
      <c r="AD4703" s="1"/>
      <c r="AG4703" s="1"/>
      <c r="AI4703" s="1"/>
    </row>
    <row r="4704" spans="4:35" hidden="1">
      <c r="D4704" s="1"/>
      <c r="K4704" s="1"/>
      <c r="Q4704" s="1"/>
      <c r="AD4704" s="1"/>
      <c r="AG4704" s="1"/>
      <c r="AI4704" s="1"/>
    </row>
    <row r="4705" spans="4:35" hidden="1">
      <c r="D4705" s="1"/>
      <c r="K4705" s="1"/>
      <c r="Q4705" s="1"/>
      <c r="AD4705" s="1"/>
      <c r="AG4705" s="1"/>
      <c r="AI4705" s="1"/>
    </row>
    <row r="4706" spans="4:35" hidden="1">
      <c r="D4706" s="1"/>
      <c r="K4706" s="1"/>
      <c r="Q4706" s="1"/>
      <c r="AD4706" s="1"/>
      <c r="AG4706" s="1"/>
      <c r="AI4706" s="1"/>
    </row>
    <row r="4707" spans="4:35" hidden="1">
      <c r="D4707" s="1"/>
      <c r="K4707" s="1"/>
      <c r="Q4707" s="1"/>
      <c r="AD4707" s="1"/>
      <c r="AG4707" s="1"/>
      <c r="AI4707" s="1"/>
    </row>
    <row r="4708" spans="4:35" hidden="1">
      <c r="D4708" s="1"/>
      <c r="K4708" s="1"/>
      <c r="Q4708" s="1"/>
      <c r="AD4708" s="1"/>
      <c r="AG4708" s="1"/>
      <c r="AI4708" s="1"/>
    </row>
    <row r="4709" spans="4:35" hidden="1">
      <c r="D4709" s="1"/>
      <c r="K4709" s="1"/>
      <c r="Q4709" s="1"/>
      <c r="AD4709" s="1"/>
      <c r="AG4709" s="1"/>
      <c r="AI4709" s="1"/>
    </row>
    <row r="4710" spans="4:35" hidden="1">
      <c r="D4710" s="1"/>
      <c r="K4710" s="1"/>
      <c r="Q4710" s="1"/>
      <c r="AD4710" s="1"/>
      <c r="AG4710" s="1"/>
      <c r="AI4710" s="1"/>
    </row>
    <row r="4711" spans="4:35" hidden="1">
      <c r="D4711" s="1"/>
      <c r="K4711" s="1"/>
      <c r="Q4711" s="1"/>
      <c r="AD4711" s="1"/>
      <c r="AG4711" s="1"/>
      <c r="AI4711" s="1"/>
    </row>
    <row r="4712" spans="4:35" hidden="1">
      <c r="D4712" s="1"/>
      <c r="K4712" s="1"/>
      <c r="Q4712" s="1"/>
      <c r="AD4712" s="1"/>
      <c r="AG4712" s="1"/>
      <c r="AI4712" s="1"/>
    </row>
    <row r="4713" spans="4:35" hidden="1">
      <c r="D4713" s="1"/>
      <c r="K4713" s="1"/>
      <c r="Q4713" s="1"/>
      <c r="AD4713" s="1"/>
      <c r="AG4713" s="1"/>
      <c r="AI4713" s="1"/>
    </row>
    <row r="4714" spans="4:35" hidden="1">
      <c r="D4714" s="1"/>
      <c r="K4714" s="1"/>
      <c r="Q4714" s="1"/>
      <c r="AD4714" s="1"/>
      <c r="AG4714" s="1"/>
      <c r="AI4714" s="1"/>
    </row>
    <row r="4715" spans="4:35" hidden="1">
      <c r="D4715" s="1"/>
      <c r="K4715" s="1"/>
      <c r="Q4715" s="1"/>
      <c r="AD4715" s="1"/>
      <c r="AG4715" s="1"/>
      <c r="AI4715" s="1"/>
    </row>
    <row r="4716" spans="4:35" hidden="1">
      <c r="D4716" s="1"/>
      <c r="K4716" s="1"/>
      <c r="Q4716" s="1"/>
      <c r="AD4716" s="1"/>
      <c r="AG4716" s="1"/>
      <c r="AI4716" s="1"/>
    </row>
    <row r="4717" spans="4:35" hidden="1">
      <c r="D4717" s="1"/>
      <c r="K4717" s="1"/>
      <c r="Q4717" s="1"/>
      <c r="AD4717" s="1"/>
      <c r="AG4717" s="1"/>
      <c r="AI4717" s="1"/>
    </row>
    <row r="4718" spans="4:35" hidden="1">
      <c r="D4718" s="1"/>
      <c r="K4718" s="1"/>
      <c r="Q4718" s="1"/>
      <c r="AD4718" s="1"/>
      <c r="AG4718" s="1"/>
      <c r="AI4718" s="1"/>
    </row>
    <row r="4719" spans="4:35" hidden="1">
      <c r="D4719" s="1"/>
      <c r="K4719" s="1"/>
      <c r="Q4719" s="1"/>
      <c r="AD4719" s="1"/>
      <c r="AG4719" s="1"/>
      <c r="AI4719" s="1"/>
    </row>
    <row r="4720" spans="4:35" hidden="1">
      <c r="D4720" s="1"/>
      <c r="K4720" s="1"/>
      <c r="Q4720" s="1"/>
      <c r="AD4720" s="1"/>
      <c r="AG4720" s="1"/>
      <c r="AI4720" s="1"/>
    </row>
    <row r="4721" spans="4:35" hidden="1">
      <c r="D4721" s="1"/>
      <c r="K4721" s="1"/>
      <c r="Q4721" s="1"/>
      <c r="AD4721" s="1"/>
      <c r="AG4721" s="1"/>
      <c r="AI4721" s="1"/>
    </row>
    <row r="4722" spans="4:35" hidden="1">
      <c r="D4722" s="1"/>
      <c r="K4722" s="1"/>
      <c r="Q4722" s="1"/>
      <c r="AD4722" s="1"/>
      <c r="AG4722" s="1"/>
      <c r="AI4722" s="1"/>
    </row>
    <row r="4723" spans="4:35" hidden="1">
      <c r="D4723" s="1"/>
      <c r="K4723" s="1"/>
      <c r="Q4723" s="1"/>
      <c r="AD4723" s="1"/>
      <c r="AG4723" s="1"/>
      <c r="AI4723" s="1"/>
    </row>
    <row r="4724" spans="4:35" hidden="1">
      <c r="D4724" s="1"/>
      <c r="K4724" s="1"/>
      <c r="Q4724" s="1"/>
      <c r="AD4724" s="1"/>
      <c r="AG4724" s="1"/>
      <c r="AI4724" s="1"/>
    </row>
    <row r="4725" spans="4:35" hidden="1">
      <c r="D4725" s="1"/>
      <c r="K4725" s="1"/>
      <c r="Q4725" s="1"/>
      <c r="AD4725" s="1"/>
      <c r="AG4725" s="1"/>
      <c r="AI4725" s="1"/>
    </row>
    <row r="4726" spans="4:35" hidden="1">
      <c r="D4726" s="1"/>
      <c r="K4726" s="1"/>
      <c r="Q4726" s="1"/>
      <c r="AD4726" s="1"/>
      <c r="AG4726" s="1"/>
      <c r="AI4726" s="1"/>
    </row>
    <row r="4727" spans="4:35" hidden="1">
      <c r="D4727" s="1"/>
      <c r="K4727" s="1"/>
      <c r="Q4727" s="1"/>
      <c r="AD4727" s="1"/>
      <c r="AG4727" s="1"/>
      <c r="AI4727" s="1"/>
    </row>
    <row r="4728" spans="4:35" hidden="1">
      <c r="D4728" s="1"/>
      <c r="K4728" s="1"/>
      <c r="Q4728" s="1"/>
      <c r="AD4728" s="1"/>
      <c r="AG4728" s="1"/>
      <c r="AI4728" s="1"/>
    </row>
    <row r="4729" spans="4:35" hidden="1">
      <c r="D4729" s="1"/>
      <c r="K4729" s="1"/>
      <c r="Q4729" s="1"/>
      <c r="AD4729" s="1"/>
      <c r="AG4729" s="1"/>
      <c r="AI4729" s="1"/>
    </row>
    <row r="4730" spans="4:35" hidden="1">
      <c r="D4730" s="1"/>
      <c r="K4730" s="1"/>
      <c r="Q4730" s="1"/>
      <c r="AD4730" s="1"/>
      <c r="AG4730" s="1"/>
      <c r="AI4730" s="1"/>
    </row>
    <row r="4731" spans="4:35" hidden="1">
      <c r="D4731" s="1"/>
      <c r="K4731" s="1"/>
      <c r="Q4731" s="1"/>
      <c r="AD4731" s="1"/>
      <c r="AG4731" s="1"/>
      <c r="AI4731" s="1"/>
    </row>
    <row r="4732" spans="4:35" hidden="1">
      <c r="D4732" s="1"/>
      <c r="K4732" s="1"/>
      <c r="Q4732" s="1"/>
      <c r="AD4732" s="1"/>
      <c r="AG4732" s="1"/>
      <c r="AI4732" s="1"/>
    </row>
    <row r="4733" spans="4:35" hidden="1">
      <c r="D4733" s="1"/>
      <c r="K4733" s="1"/>
      <c r="Q4733" s="1"/>
      <c r="AD4733" s="1"/>
      <c r="AG4733" s="1"/>
      <c r="AI4733" s="1"/>
    </row>
    <row r="4734" spans="4:35" hidden="1">
      <c r="D4734" s="1"/>
      <c r="K4734" s="1"/>
      <c r="Q4734" s="1"/>
      <c r="AD4734" s="1"/>
      <c r="AG4734" s="1"/>
      <c r="AI4734" s="1"/>
    </row>
    <row r="4735" spans="4:35" hidden="1">
      <c r="D4735" s="1"/>
      <c r="K4735" s="1"/>
      <c r="Q4735" s="1"/>
      <c r="AD4735" s="1"/>
      <c r="AG4735" s="1"/>
      <c r="AI4735" s="1"/>
    </row>
    <row r="4736" spans="4:35" hidden="1">
      <c r="D4736" s="1"/>
      <c r="K4736" s="1"/>
      <c r="Q4736" s="1"/>
      <c r="AD4736" s="1"/>
      <c r="AG4736" s="1"/>
      <c r="AI4736" s="1"/>
    </row>
    <row r="4737" spans="4:35" hidden="1">
      <c r="D4737" s="1"/>
      <c r="K4737" s="1"/>
      <c r="Q4737" s="1"/>
      <c r="AD4737" s="1"/>
      <c r="AG4737" s="1"/>
      <c r="AI4737" s="1"/>
    </row>
    <row r="4738" spans="4:35" hidden="1">
      <c r="D4738" s="1"/>
      <c r="K4738" s="1"/>
      <c r="Q4738" s="1"/>
      <c r="AD4738" s="1"/>
      <c r="AG4738" s="1"/>
      <c r="AI4738" s="1"/>
    </row>
    <row r="4739" spans="4:35" hidden="1">
      <c r="D4739" s="1"/>
      <c r="K4739" s="1"/>
      <c r="Q4739" s="1"/>
      <c r="AD4739" s="1"/>
      <c r="AG4739" s="1"/>
      <c r="AI4739" s="1"/>
    </row>
    <row r="4740" spans="4:35" hidden="1">
      <c r="D4740" s="1"/>
      <c r="K4740" s="1"/>
      <c r="Q4740" s="1"/>
      <c r="AD4740" s="1"/>
      <c r="AG4740" s="1"/>
      <c r="AI4740" s="1"/>
    </row>
    <row r="4741" spans="4:35" hidden="1">
      <c r="D4741" s="1"/>
      <c r="K4741" s="1"/>
      <c r="Q4741" s="1"/>
      <c r="AD4741" s="1"/>
      <c r="AG4741" s="1"/>
      <c r="AI4741" s="1"/>
    </row>
    <row r="4742" spans="4:35" hidden="1">
      <c r="D4742" s="1"/>
      <c r="K4742" s="1"/>
      <c r="Q4742" s="1"/>
      <c r="AD4742" s="1"/>
      <c r="AG4742" s="1"/>
      <c r="AI4742" s="1"/>
    </row>
    <row r="4743" spans="4:35" hidden="1">
      <c r="D4743" s="1"/>
      <c r="K4743" s="1"/>
      <c r="Q4743" s="1"/>
      <c r="AD4743" s="1"/>
      <c r="AG4743" s="1"/>
      <c r="AI4743" s="1"/>
    </row>
    <row r="4744" spans="4:35" hidden="1">
      <c r="D4744" s="1"/>
      <c r="K4744" s="1"/>
      <c r="Q4744" s="1"/>
      <c r="AD4744" s="1"/>
      <c r="AG4744" s="1"/>
      <c r="AI4744" s="1"/>
    </row>
    <row r="4745" spans="4:35" hidden="1">
      <c r="D4745" s="1"/>
      <c r="K4745" s="1"/>
      <c r="Q4745" s="1"/>
      <c r="AD4745" s="1"/>
      <c r="AG4745" s="1"/>
      <c r="AI4745" s="1"/>
    </row>
    <row r="4746" spans="4:35" hidden="1">
      <c r="D4746" s="1"/>
      <c r="K4746" s="1"/>
      <c r="Q4746" s="1"/>
      <c r="AD4746" s="1"/>
      <c r="AG4746" s="1"/>
      <c r="AI4746" s="1"/>
    </row>
    <row r="4747" spans="4:35" hidden="1">
      <c r="D4747" s="1"/>
      <c r="K4747" s="1"/>
      <c r="Q4747" s="1"/>
      <c r="AD4747" s="1"/>
      <c r="AG4747" s="1"/>
      <c r="AI4747" s="1"/>
    </row>
    <row r="4748" spans="4:35" hidden="1">
      <c r="D4748" s="1"/>
      <c r="K4748" s="1"/>
      <c r="Q4748" s="1"/>
      <c r="AD4748" s="1"/>
      <c r="AG4748" s="1"/>
      <c r="AI4748" s="1"/>
    </row>
    <row r="4749" spans="4:35" hidden="1">
      <c r="D4749" s="1"/>
      <c r="K4749" s="1"/>
      <c r="Q4749" s="1"/>
      <c r="AD4749" s="1"/>
      <c r="AG4749" s="1"/>
      <c r="AI4749" s="1"/>
    </row>
    <row r="4750" spans="4:35" hidden="1">
      <c r="D4750" s="1"/>
      <c r="K4750" s="1"/>
      <c r="Q4750" s="1"/>
      <c r="AD4750" s="1"/>
      <c r="AG4750" s="1"/>
      <c r="AI4750" s="1"/>
    </row>
    <row r="4751" spans="4:35" hidden="1">
      <c r="D4751" s="1"/>
      <c r="K4751" s="1"/>
      <c r="Q4751" s="1"/>
      <c r="AD4751" s="1"/>
      <c r="AG4751" s="1"/>
      <c r="AI4751" s="1"/>
    </row>
    <row r="4752" spans="4:35" hidden="1">
      <c r="D4752" s="1"/>
      <c r="K4752" s="1"/>
      <c r="Q4752" s="1"/>
      <c r="AD4752" s="1"/>
      <c r="AG4752" s="1"/>
      <c r="AI4752" s="1"/>
    </row>
    <row r="4753" spans="4:35" hidden="1">
      <c r="D4753" s="1"/>
      <c r="K4753" s="1"/>
      <c r="Q4753" s="1"/>
      <c r="AD4753" s="1"/>
      <c r="AG4753" s="1"/>
      <c r="AI4753" s="1"/>
    </row>
    <row r="4754" spans="4:35" hidden="1">
      <c r="D4754" s="1"/>
      <c r="K4754" s="1"/>
      <c r="Q4754" s="1"/>
      <c r="AD4754" s="1"/>
      <c r="AG4754" s="1"/>
      <c r="AI4754" s="1"/>
    </row>
    <row r="4755" spans="4:35" hidden="1">
      <c r="D4755" s="1"/>
      <c r="K4755" s="1"/>
      <c r="Q4755" s="1"/>
      <c r="AD4755" s="1"/>
      <c r="AG4755" s="1"/>
      <c r="AI4755" s="1"/>
    </row>
    <row r="4756" spans="4:35" hidden="1">
      <c r="D4756" s="1"/>
      <c r="K4756" s="1"/>
      <c r="Q4756" s="1"/>
      <c r="AD4756" s="1"/>
      <c r="AG4756" s="1"/>
      <c r="AI4756" s="1"/>
    </row>
    <row r="4757" spans="4:35" hidden="1">
      <c r="D4757" s="1"/>
      <c r="K4757" s="1"/>
      <c r="Q4757" s="1"/>
      <c r="AD4757" s="1"/>
      <c r="AG4757" s="1"/>
      <c r="AI4757" s="1"/>
    </row>
    <row r="4758" spans="4:35" hidden="1">
      <c r="D4758" s="1"/>
      <c r="K4758" s="1"/>
      <c r="Q4758" s="1"/>
      <c r="AD4758" s="1"/>
      <c r="AG4758" s="1"/>
      <c r="AI4758" s="1"/>
    </row>
    <row r="4759" spans="4:35" hidden="1">
      <c r="D4759" s="1"/>
      <c r="K4759" s="1"/>
      <c r="Q4759" s="1"/>
      <c r="AD4759" s="1"/>
      <c r="AG4759" s="1"/>
      <c r="AI4759" s="1"/>
    </row>
    <row r="4760" spans="4:35" hidden="1">
      <c r="D4760" s="1"/>
      <c r="K4760" s="1"/>
      <c r="Q4760" s="1"/>
      <c r="AD4760" s="1"/>
      <c r="AG4760" s="1"/>
      <c r="AI4760" s="1"/>
    </row>
    <row r="4761" spans="4:35" hidden="1">
      <c r="D4761" s="1"/>
      <c r="K4761" s="1"/>
      <c r="Q4761" s="1"/>
      <c r="AD4761" s="1"/>
      <c r="AG4761" s="1"/>
      <c r="AI4761" s="1"/>
    </row>
    <row r="4762" spans="4:35" hidden="1">
      <c r="D4762" s="1"/>
      <c r="K4762" s="1"/>
      <c r="Q4762" s="1"/>
      <c r="AD4762" s="1"/>
      <c r="AG4762" s="1"/>
      <c r="AI4762" s="1"/>
    </row>
    <row r="4763" spans="4:35" hidden="1">
      <c r="D4763" s="1"/>
      <c r="K4763" s="1"/>
      <c r="Q4763" s="1"/>
      <c r="AD4763" s="1"/>
      <c r="AG4763" s="1"/>
      <c r="AI4763" s="1"/>
    </row>
    <row r="4764" spans="4:35" hidden="1">
      <c r="D4764" s="1"/>
      <c r="K4764" s="1"/>
      <c r="Q4764" s="1"/>
      <c r="AD4764" s="1"/>
      <c r="AG4764" s="1"/>
      <c r="AI4764" s="1"/>
    </row>
    <row r="4765" spans="4:35" hidden="1">
      <c r="D4765" s="1"/>
      <c r="K4765" s="1"/>
      <c r="Q4765" s="1"/>
      <c r="AD4765" s="1"/>
      <c r="AG4765" s="1"/>
      <c r="AI4765" s="1"/>
    </row>
    <row r="4766" spans="4:35" hidden="1">
      <c r="D4766" s="1"/>
      <c r="K4766" s="1"/>
      <c r="Q4766" s="1"/>
      <c r="AD4766" s="1"/>
      <c r="AG4766" s="1"/>
      <c r="AI4766" s="1"/>
    </row>
    <row r="4767" spans="4:35" hidden="1">
      <c r="D4767" s="1"/>
      <c r="K4767" s="1"/>
      <c r="Q4767" s="1"/>
      <c r="AD4767" s="1"/>
      <c r="AG4767" s="1"/>
      <c r="AI4767" s="1"/>
    </row>
    <row r="4768" spans="4:35" hidden="1">
      <c r="D4768" s="1"/>
      <c r="K4768" s="1"/>
      <c r="Q4768" s="1"/>
      <c r="AD4768" s="1"/>
      <c r="AG4768" s="1"/>
      <c r="AI4768" s="1"/>
    </row>
    <row r="4769" spans="4:35" hidden="1">
      <c r="D4769" s="1"/>
      <c r="K4769" s="1"/>
      <c r="Q4769" s="1"/>
      <c r="AD4769" s="1"/>
      <c r="AG4769" s="1"/>
      <c r="AI4769" s="1"/>
    </row>
    <row r="4770" spans="4:35" hidden="1">
      <c r="D4770" s="1"/>
      <c r="K4770" s="1"/>
      <c r="Q4770" s="1"/>
      <c r="AD4770" s="1"/>
      <c r="AG4770" s="1"/>
      <c r="AI4770" s="1"/>
    </row>
    <row r="4771" spans="4:35" hidden="1">
      <c r="D4771" s="1"/>
      <c r="K4771" s="1"/>
      <c r="Q4771" s="1"/>
      <c r="AD4771" s="1"/>
      <c r="AG4771" s="1"/>
      <c r="AI4771" s="1"/>
    </row>
    <row r="4772" spans="4:35" hidden="1">
      <c r="D4772" s="1"/>
      <c r="K4772" s="1"/>
      <c r="Q4772" s="1"/>
      <c r="AD4772" s="1"/>
      <c r="AG4772" s="1"/>
      <c r="AI4772" s="1"/>
    </row>
    <row r="4773" spans="4:35" hidden="1">
      <c r="D4773" s="1"/>
      <c r="K4773" s="1"/>
      <c r="Q4773" s="1"/>
      <c r="AD4773" s="1"/>
      <c r="AG4773" s="1"/>
      <c r="AI4773" s="1"/>
    </row>
    <row r="4774" spans="4:35" hidden="1">
      <c r="D4774" s="1"/>
      <c r="K4774" s="1"/>
      <c r="Q4774" s="1"/>
      <c r="AD4774" s="1"/>
      <c r="AG4774" s="1"/>
      <c r="AI4774" s="1"/>
    </row>
    <row r="4775" spans="4:35" hidden="1">
      <c r="D4775" s="1"/>
      <c r="K4775" s="1"/>
      <c r="Q4775" s="1"/>
      <c r="AD4775" s="1"/>
      <c r="AG4775" s="1"/>
      <c r="AI4775" s="1"/>
    </row>
    <row r="4776" spans="4:35" hidden="1">
      <c r="D4776" s="1"/>
      <c r="K4776" s="1"/>
      <c r="Q4776" s="1"/>
      <c r="AD4776" s="1"/>
      <c r="AG4776" s="1"/>
      <c r="AI4776" s="1"/>
    </row>
    <row r="4777" spans="4:35" hidden="1">
      <c r="D4777" s="1"/>
      <c r="K4777" s="1"/>
      <c r="Q4777" s="1"/>
      <c r="AD4777" s="1"/>
      <c r="AG4777" s="1"/>
      <c r="AI4777" s="1"/>
    </row>
    <row r="4778" spans="4:35" hidden="1">
      <c r="D4778" s="1"/>
      <c r="K4778" s="1"/>
      <c r="Q4778" s="1"/>
      <c r="AD4778" s="1"/>
      <c r="AG4778" s="1"/>
      <c r="AI4778" s="1"/>
    </row>
    <row r="4779" spans="4:35" hidden="1">
      <c r="D4779" s="1"/>
      <c r="K4779" s="1"/>
      <c r="Q4779" s="1"/>
      <c r="AD4779" s="1"/>
      <c r="AG4779" s="1"/>
      <c r="AI4779" s="1"/>
    </row>
    <row r="4780" spans="4:35" hidden="1">
      <c r="D4780" s="1"/>
      <c r="K4780" s="1"/>
      <c r="Q4780" s="1"/>
      <c r="AD4780" s="1"/>
      <c r="AG4780" s="1"/>
      <c r="AI4780" s="1"/>
    </row>
    <row r="4781" spans="4:35" hidden="1">
      <c r="D4781" s="1"/>
      <c r="K4781" s="1"/>
      <c r="Q4781" s="1"/>
      <c r="AD4781" s="1"/>
      <c r="AG4781" s="1"/>
      <c r="AI4781" s="1"/>
    </row>
    <row r="4782" spans="4:35" hidden="1">
      <c r="D4782" s="1"/>
      <c r="K4782" s="1"/>
      <c r="Q4782" s="1"/>
      <c r="AD4782" s="1"/>
      <c r="AG4782" s="1"/>
      <c r="AI4782" s="1"/>
    </row>
    <row r="4783" spans="4:35" hidden="1">
      <c r="D4783" s="1"/>
      <c r="K4783" s="1"/>
      <c r="Q4783" s="1"/>
      <c r="AD4783" s="1"/>
      <c r="AG4783" s="1"/>
      <c r="AI4783" s="1"/>
    </row>
    <row r="4784" spans="4:35" hidden="1">
      <c r="D4784" s="1"/>
      <c r="K4784" s="1"/>
      <c r="Q4784" s="1"/>
      <c r="AD4784" s="1"/>
      <c r="AG4784" s="1"/>
      <c r="AI4784" s="1"/>
    </row>
    <row r="4785" spans="4:35" hidden="1">
      <c r="D4785" s="1"/>
      <c r="K4785" s="1"/>
      <c r="Q4785" s="1"/>
      <c r="AD4785" s="1"/>
      <c r="AG4785" s="1"/>
      <c r="AI4785" s="1"/>
    </row>
    <row r="4786" spans="4:35" hidden="1">
      <c r="D4786" s="1"/>
      <c r="K4786" s="1"/>
      <c r="Q4786" s="1"/>
      <c r="AD4786" s="1"/>
      <c r="AG4786" s="1"/>
      <c r="AI4786" s="1"/>
    </row>
    <row r="4787" spans="4:35" hidden="1">
      <c r="D4787" s="1"/>
      <c r="K4787" s="1"/>
      <c r="Q4787" s="1"/>
      <c r="AD4787" s="1"/>
      <c r="AG4787" s="1"/>
      <c r="AI4787" s="1"/>
    </row>
    <row r="4788" spans="4:35" hidden="1">
      <c r="D4788" s="1"/>
      <c r="K4788" s="1"/>
      <c r="Q4788" s="1"/>
      <c r="AD4788" s="1"/>
      <c r="AG4788" s="1"/>
      <c r="AI4788" s="1"/>
    </row>
    <row r="4789" spans="4:35" hidden="1">
      <c r="D4789" s="1"/>
      <c r="K4789" s="1"/>
      <c r="Q4789" s="1"/>
      <c r="AD4789" s="1"/>
      <c r="AG4789" s="1"/>
      <c r="AI4789" s="1"/>
    </row>
    <row r="4790" spans="4:35" hidden="1">
      <c r="D4790" s="1"/>
      <c r="K4790" s="1"/>
      <c r="Q4790" s="1"/>
      <c r="AD4790" s="1"/>
      <c r="AG4790" s="1"/>
      <c r="AI4790" s="1"/>
    </row>
    <row r="4791" spans="4:35" hidden="1">
      <c r="D4791" s="1"/>
      <c r="K4791" s="1"/>
      <c r="Q4791" s="1"/>
      <c r="AD4791" s="1"/>
      <c r="AG4791" s="1"/>
      <c r="AI4791" s="1"/>
    </row>
    <row r="4792" spans="4:35" hidden="1">
      <c r="D4792" s="1"/>
      <c r="K4792" s="1"/>
      <c r="Q4792" s="1"/>
      <c r="AD4792" s="1"/>
      <c r="AG4792" s="1"/>
      <c r="AI4792" s="1"/>
    </row>
    <row r="4793" spans="4:35" hidden="1">
      <c r="D4793" s="1"/>
      <c r="K4793" s="1"/>
      <c r="Q4793" s="1"/>
      <c r="AD4793" s="1"/>
      <c r="AG4793" s="1"/>
      <c r="AI4793" s="1"/>
    </row>
    <row r="4794" spans="4:35" hidden="1">
      <c r="D4794" s="1"/>
      <c r="K4794" s="1"/>
      <c r="Q4794" s="1"/>
      <c r="AD4794" s="1"/>
      <c r="AG4794" s="1"/>
      <c r="AI4794" s="1"/>
    </row>
    <row r="4795" spans="4:35" hidden="1">
      <c r="D4795" s="1"/>
      <c r="K4795" s="1"/>
      <c r="Q4795" s="1"/>
      <c r="AD4795" s="1"/>
      <c r="AG4795" s="1"/>
      <c r="AI4795" s="1"/>
    </row>
    <row r="4796" spans="4:35" hidden="1">
      <c r="D4796" s="1"/>
      <c r="K4796" s="1"/>
      <c r="Q4796" s="1"/>
      <c r="AD4796" s="1"/>
      <c r="AG4796" s="1"/>
      <c r="AI4796" s="1"/>
    </row>
    <row r="4797" spans="4:35" hidden="1">
      <c r="D4797" s="1"/>
      <c r="K4797" s="1"/>
      <c r="Q4797" s="1"/>
      <c r="AD4797" s="1"/>
      <c r="AG4797" s="1"/>
      <c r="AI4797" s="1"/>
    </row>
    <row r="4798" spans="4:35" hidden="1">
      <c r="D4798" s="1"/>
      <c r="K4798" s="1"/>
      <c r="Q4798" s="1"/>
      <c r="AD4798" s="1"/>
      <c r="AG4798" s="1"/>
      <c r="AI4798" s="1"/>
    </row>
    <row r="4799" spans="4:35" hidden="1">
      <c r="D4799" s="1"/>
      <c r="K4799" s="1"/>
      <c r="Q4799" s="1"/>
      <c r="AD4799" s="1"/>
      <c r="AG4799" s="1"/>
      <c r="AI4799" s="1"/>
    </row>
    <row r="4800" spans="4:35" hidden="1">
      <c r="D4800" s="1"/>
      <c r="K4800" s="1"/>
      <c r="Q4800" s="1"/>
      <c r="AD4800" s="1"/>
      <c r="AG4800" s="1"/>
      <c r="AI4800" s="1"/>
    </row>
    <row r="4801" spans="4:35" hidden="1">
      <c r="D4801" s="1"/>
      <c r="K4801" s="1"/>
      <c r="Q4801" s="1"/>
      <c r="AD4801" s="1"/>
      <c r="AG4801" s="1"/>
      <c r="AI4801" s="1"/>
    </row>
    <row r="4802" spans="4:35" hidden="1">
      <c r="D4802" s="1"/>
      <c r="K4802" s="1"/>
      <c r="Q4802" s="1"/>
      <c r="AD4802" s="1"/>
      <c r="AG4802" s="1"/>
      <c r="AI4802" s="1"/>
    </row>
    <row r="4803" spans="4:35" hidden="1">
      <c r="D4803" s="1"/>
      <c r="K4803" s="1"/>
      <c r="Q4803" s="1"/>
      <c r="AD4803" s="1"/>
      <c r="AG4803" s="1"/>
      <c r="AI4803" s="1"/>
    </row>
    <row r="4804" spans="4:35" hidden="1">
      <c r="D4804" s="1"/>
      <c r="K4804" s="1"/>
      <c r="Q4804" s="1"/>
      <c r="AD4804" s="1"/>
      <c r="AG4804" s="1"/>
      <c r="AI4804" s="1"/>
    </row>
    <row r="4805" spans="4:35" hidden="1">
      <c r="D4805" s="1"/>
      <c r="K4805" s="1"/>
      <c r="Q4805" s="1"/>
      <c r="AD4805" s="1"/>
      <c r="AG4805" s="1"/>
      <c r="AI4805" s="1"/>
    </row>
    <row r="4806" spans="4:35" hidden="1">
      <c r="D4806" s="1"/>
      <c r="K4806" s="1"/>
      <c r="Q4806" s="1"/>
      <c r="AD4806" s="1"/>
      <c r="AG4806" s="1"/>
      <c r="AI4806" s="1"/>
    </row>
    <row r="4807" spans="4:35" hidden="1">
      <c r="D4807" s="1"/>
      <c r="K4807" s="1"/>
      <c r="Q4807" s="1"/>
      <c r="AD4807" s="1"/>
      <c r="AG4807" s="1"/>
      <c r="AI4807" s="1"/>
    </row>
    <row r="4808" spans="4:35" hidden="1">
      <c r="D4808" s="1"/>
      <c r="K4808" s="1"/>
      <c r="Q4808" s="1"/>
      <c r="AD4808" s="1"/>
      <c r="AG4808" s="1"/>
      <c r="AI4808" s="1"/>
    </row>
    <row r="4809" spans="4:35" hidden="1">
      <c r="D4809" s="1"/>
      <c r="K4809" s="1"/>
      <c r="Q4809" s="1"/>
      <c r="AD4809" s="1"/>
      <c r="AG4809" s="1"/>
      <c r="AI4809" s="1"/>
    </row>
    <row r="4810" spans="4:35" hidden="1">
      <c r="D4810" s="1"/>
      <c r="K4810" s="1"/>
      <c r="Q4810" s="1"/>
      <c r="AD4810" s="1"/>
      <c r="AG4810" s="1"/>
      <c r="AI4810" s="1"/>
    </row>
    <row r="4811" spans="4:35" hidden="1">
      <c r="D4811" s="1"/>
      <c r="K4811" s="1"/>
      <c r="Q4811" s="1"/>
      <c r="AD4811" s="1"/>
      <c r="AG4811" s="1"/>
      <c r="AI4811" s="1"/>
    </row>
    <row r="4812" spans="4:35" hidden="1">
      <c r="D4812" s="1"/>
      <c r="K4812" s="1"/>
      <c r="Q4812" s="1"/>
      <c r="AD4812" s="1"/>
      <c r="AG4812" s="1"/>
      <c r="AI4812" s="1"/>
    </row>
    <row r="4813" spans="4:35" hidden="1">
      <c r="D4813" s="1"/>
      <c r="K4813" s="1"/>
      <c r="Q4813" s="1"/>
      <c r="AD4813" s="1"/>
      <c r="AG4813" s="1"/>
      <c r="AI4813" s="1"/>
    </row>
    <row r="4814" spans="4:35" hidden="1">
      <c r="D4814" s="1"/>
      <c r="K4814" s="1"/>
      <c r="Q4814" s="1"/>
      <c r="AD4814" s="1"/>
      <c r="AG4814" s="1"/>
      <c r="AI4814" s="1"/>
    </row>
    <row r="4815" spans="4:35" hidden="1">
      <c r="D4815" s="1"/>
      <c r="K4815" s="1"/>
      <c r="Q4815" s="1"/>
      <c r="AD4815" s="1"/>
      <c r="AG4815" s="1"/>
      <c r="AI4815" s="1"/>
    </row>
    <row r="4816" spans="4:35" hidden="1">
      <c r="D4816" s="1"/>
      <c r="K4816" s="1"/>
      <c r="Q4816" s="1"/>
      <c r="AD4816" s="1"/>
      <c r="AG4816" s="1"/>
      <c r="AI4816" s="1"/>
    </row>
    <row r="4817" spans="4:35" hidden="1">
      <c r="D4817" s="1"/>
      <c r="K4817" s="1"/>
      <c r="Q4817" s="1"/>
      <c r="AD4817" s="1"/>
      <c r="AG4817" s="1"/>
      <c r="AI4817" s="1"/>
    </row>
    <row r="4818" spans="4:35" hidden="1">
      <c r="D4818" s="1"/>
      <c r="K4818" s="1"/>
      <c r="Q4818" s="1"/>
      <c r="AD4818" s="1"/>
      <c r="AG4818" s="1"/>
      <c r="AI4818" s="1"/>
    </row>
    <row r="4819" spans="4:35" hidden="1">
      <c r="D4819" s="1"/>
      <c r="K4819" s="1"/>
      <c r="Q4819" s="1"/>
      <c r="AD4819" s="1"/>
      <c r="AG4819" s="1"/>
      <c r="AI4819" s="1"/>
    </row>
    <row r="4820" spans="4:35" hidden="1">
      <c r="D4820" s="1"/>
      <c r="K4820" s="1"/>
      <c r="Q4820" s="1"/>
      <c r="AD4820" s="1"/>
      <c r="AG4820" s="1"/>
      <c r="AI4820" s="1"/>
    </row>
    <row r="4821" spans="4:35" hidden="1">
      <c r="D4821" s="1"/>
      <c r="K4821" s="1"/>
      <c r="Q4821" s="1"/>
      <c r="AD4821" s="1"/>
      <c r="AG4821" s="1"/>
      <c r="AI4821" s="1"/>
    </row>
    <row r="4822" spans="4:35" hidden="1">
      <c r="D4822" s="1"/>
      <c r="K4822" s="1"/>
      <c r="Q4822" s="1"/>
      <c r="AD4822" s="1"/>
      <c r="AG4822" s="1"/>
      <c r="AI4822" s="1"/>
    </row>
    <row r="4823" spans="4:35" hidden="1">
      <c r="D4823" s="1"/>
      <c r="K4823" s="1"/>
      <c r="Q4823" s="1"/>
      <c r="AD4823" s="1"/>
      <c r="AG4823" s="1"/>
      <c r="AI4823" s="1"/>
    </row>
    <row r="4824" spans="4:35" hidden="1">
      <c r="D4824" s="1"/>
      <c r="K4824" s="1"/>
      <c r="Q4824" s="1"/>
      <c r="AD4824" s="1"/>
      <c r="AG4824" s="1"/>
      <c r="AI4824" s="1"/>
    </row>
    <row r="4825" spans="4:35" hidden="1">
      <c r="D4825" s="1"/>
      <c r="K4825" s="1"/>
      <c r="Q4825" s="1"/>
      <c r="AD4825" s="1"/>
      <c r="AG4825" s="1"/>
      <c r="AI4825" s="1"/>
    </row>
    <row r="4826" spans="4:35" hidden="1">
      <c r="D4826" s="1"/>
      <c r="K4826" s="1"/>
      <c r="Q4826" s="1"/>
      <c r="AD4826" s="1"/>
      <c r="AG4826" s="1"/>
      <c r="AI4826" s="1"/>
    </row>
    <row r="4827" spans="4:35" hidden="1">
      <c r="D4827" s="1"/>
      <c r="K4827" s="1"/>
      <c r="Q4827" s="1"/>
      <c r="AD4827" s="1"/>
      <c r="AG4827" s="1"/>
      <c r="AI4827" s="1"/>
    </row>
    <row r="4828" spans="4:35" hidden="1">
      <c r="D4828" s="1"/>
      <c r="K4828" s="1"/>
      <c r="Q4828" s="1"/>
      <c r="AD4828" s="1"/>
      <c r="AG4828" s="1"/>
      <c r="AI4828" s="1"/>
    </row>
    <row r="4829" spans="4:35" hidden="1">
      <c r="D4829" s="1"/>
      <c r="K4829" s="1"/>
      <c r="Q4829" s="1"/>
      <c r="AD4829" s="1"/>
      <c r="AG4829" s="1"/>
      <c r="AI4829" s="1"/>
    </row>
    <row r="4830" spans="4:35" hidden="1">
      <c r="D4830" s="1"/>
      <c r="K4830" s="1"/>
      <c r="Q4830" s="1"/>
      <c r="AD4830" s="1"/>
      <c r="AG4830" s="1"/>
      <c r="AI4830" s="1"/>
    </row>
    <row r="4831" spans="4:35" hidden="1">
      <c r="D4831" s="1"/>
      <c r="K4831" s="1"/>
      <c r="Q4831" s="1"/>
      <c r="AD4831" s="1"/>
      <c r="AG4831" s="1"/>
      <c r="AI4831" s="1"/>
    </row>
    <row r="4832" spans="4:35" hidden="1">
      <c r="D4832" s="1"/>
      <c r="K4832" s="1"/>
      <c r="Q4832" s="1"/>
      <c r="AD4832" s="1"/>
      <c r="AG4832" s="1"/>
      <c r="AI4832" s="1"/>
    </row>
    <row r="4833" spans="4:35" hidden="1">
      <c r="D4833" s="1"/>
      <c r="K4833" s="1"/>
      <c r="Q4833" s="1"/>
      <c r="AD4833" s="1"/>
      <c r="AG4833" s="1"/>
      <c r="AI4833" s="1"/>
    </row>
    <row r="4834" spans="4:35" hidden="1">
      <c r="D4834" s="1"/>
      <c r="K4834" s="1"/>
      <c r="Q4834" s="1"/>
      <c r="AD4834" s="1"/>
      <c r="AG4834" s="1"/>
      <c r="AI4834" s="1"/>
    </row>
    <row r="4835" spans="4:35" hidden="1">
      <c r="D4835" s="1"/>
      <c r="K4835" s="1"/>
      <c r="Q4835" s="1"/>
      <c r="AD4835" s="1"/>
      <c r="AG4835" s="1"/>
      <c r="AI4835" s="1"/>
    </row>
    <row r="4836" spans="4:35" hidden="1">
      <c r="D4836" s="1"/>
      <c r="K4836" s="1"/>
      <c r="Q4836" s="1"/>
      <c r="AD4836" s="1"/>
      <c r="AG4836" s="1"/>
      <c r="AI4836" s="1"/>
    </row>
    <row r="4837" spans="4:35" hidden="1">
      <c r="D4837" s="1"/>
      <c r="K4837" s="1"/>
      <c r="Q4837" s="1"/>
      <c r="AD4837" s="1"/>
      <c r="AG4837" s="1"/>
      <c r="AI4837" s="1"/>
    </row>
    <row r="4838" spans="4:35" hidden="1">
      <c r="D4838" s="1"/>
      <c r="K4838" s="1"/>
      <c r="Q4838" s="1"/>
      <c r="AD4838" s="1"/>
      <c r="AG4838" s="1"/>
      <c r="AI4838" s="1"/>
    </row>
    <row r="4839" spans="4:35" hidden="1">
      <c r="D4839" s="1"/>
      <c r="K4839" s="1"/>
      <c r="Q4839" s="1"/>
      <c r="AD4839" s="1"/>
      <c r="AG4839" s="1"/>
      <c r="AI4839" s="1"/>
    </row>
    <row r="4840" spans="4:35" hidden="1">
      <c r="D4840" s="1"/>
      <c r="K4840" s="1"/>
      <c r="Q4840" s="1"/>
      <c r="AD4840" s="1"/>
      <c r="AG4840" s="1"/>
      <c r="AI4840" s="1"/>
    </row>
    <row r="4841" spans="4:35" hidden="1">
      <c r="D4841" s="1"/>
      <c r="K4841" s="1"/>
      <c r="Q4841" s="1"/>
      <c r="AD4841" s="1"/>
      <c r="AG4841" s="1"/>
      <c r="AI4841" s="1"/>
    </row>
    <row r="4842" spans="4:35" hidden="1">
      <c r="D4842" s="1"/>
      <c r="K4842" s="1"/>
      <c r="Q4842" s="1"/>
      <c r="AD4842" s="1"/>
      <c r="AG4842" s="1"/>
      <c r="AI4842" s="1"/>
    </row>
    <row r="4843" spans="4:35" hidden="1">
      <c r="D4843" s="1"/>
      <c r="K4843" s="1"/>
      <c r="Q4843" s="1"/>
      <c r="AD4843" s="1"/>
      <c r="AG4843" s="1"/>
      <c r="AI4843" s="1"/>
    </row>
    <row r="4844" spans="4:35" hidden="1">
      <c r="D4844" s="1"/>
      <c r="K4844" s="1"/>
      <c r="Q4844" s="1"/>
      <c r="AD4844" s="1"/>
      <c r="AG4844" s="1"/>
      <c r="AI4844" s="1"/>
    </row>
    <row r="4845" spans="4:35" hidden="1">
      <c r="D4845" s="1"/>
      <c r="K4845" s="1"/>
      <c r="Q4845" s="1"/>
      <c r="AD4845" s="1"/>
      <c r="AG4845" s="1"/>
      <c r="AI4845" s="1"/>
    </row>
    <row r="4846" spans="4:35" hidden="1">
      <c r="D4846" s="1"/>
      <c r="K4846" s="1"/>
      <c r="Q4846" s="1"/>
      <c r="AD4846" s="1"/>
      <c r="AG4846" s="1"/>
      <c r="AI4846" s="1"/>
    </row>
    <row r="4847" spans="4:35" hidden="1">
      <c r="D4847" s="1"/>
      <c r="K4847" s="1"/>
      <c r="Q4847" s="1"/>
      <c r="AD4847" s="1"/>
      <c r="AG4847" s="1"/>
      <c r="AI4847" s="1"/>
    </row>
    <row r="4848" spans="4:35" hidden="1">
      <c r="D4848" s="1"/>
      <c r="K4848" s="1"/>
      <c r="Q4848" s="1"/>
      <c r="AD4848" s="1"/>
      <c r="AG4848" s="1"/>
      <c r="AI4848" s="1"/>
    </row>
    <row r="4849" spans="4:35" hidden="1">
      <c r="D4849" s="1"/>
      <c r="K4849" s="1"/>
      <c r="Q4849" s="1"/>
      <c r="AD4849" s="1"/>
      <c r="AG4849" s="1"/>
      <c r="AI4849" s="1"/>
    </row>
    <row r="4850" spans="4:35" hidden="1">
      <c r="D4850" s="1"/>
      <c r="K4850" s="1"/>
      <c r="Q4850" s="1"/>
      <c r="AD4850" s="1"/>
      <c r="AG4850" s="1"/>
      <c r="AI4850" s="1"/>
    </row>
    <row r="4851" spans="4:35" hidden="1">
      <c r="D4851" s="1"/>
      <c r="K4851" s="1"/>
      <c r="Q4851" s="1"/>
      <c r="AD4851" s="1"/>
      <c r="AG4851" s="1"/>
      <c r="AI4851" s="1"/>
    </row>
    <row r="4852" spans="4:35" hidden="1">
      <c r="D4852" s="1"/>
      <c r="K4852" s="1"/>
      <c r="Q4852" s="1"/>
      <c r="AD4852" s="1"/>
      <c r="AG4852" s="1"/>
      <c r="AI4852" s="1"/>
    </row>
    <row r="4853" spans="4:35" hidden="1">
      <c r="D4853" s="1"/>
      <c r="K4853" s="1"/>
      <c r="Q4853" s="1"/>
      <c r="AD4853" s="1"/>
      <c r="AG4853" s="1"/>
      <c r="AI4853" s="1"/>
    </row>
    <row r="4854" spans="4:35" hidden="1">
      <c r="D4854" s="1"/>
      <c r="K4854" s="1"/>
      <c r="Q4854" s="1"/>
      <c r="AD4854" s="1"/>
      <c r="AG4854" s="1"/>
      <c r="AI4854" s="1"/>
    </row>
    <row r="4855" spans="4:35" hidden="1">
      <c r="D4855" s="1"/>
      <c r="K4855" s="1"/>
      <c r="Q4855" s="1"/>
      <c r="AD4855" s="1"/>
      <c r="AG4855" s="1"/>
      <c r="AI4855" s="1"/>
    </row>
    <row r="4856" spans="4:35" hidden="1">
      <c r="D4856" s="1"/>
      <c r="K4856" s="1"/>
      <c r="Q4856" s="1"/>
      <c r="AD4856" s="1"/>
      <c r="AG4856" s="1"/>
      <c r="AI4856" s="1"/>
    </row>
    <row r="4857" spans="4:35" hidden="1">
      <c r="D4857" s="1"/>
      <c r="K4857" s="1"/>
      <c r="Q4857" s="1"/>
      <c r="AD4857" s="1"/>
      <c r="AG4857" s="1"/>
      <c r="AI4857" s="1"/>
    </row>
    <row r="4858" spans="4:35" hidden="1">
      <c r="D4858" s="1"/>
      <c r="K4858" s="1"/>
      <c r="Q4858" s="1"/>
      <c r="AD4858" s="1"/>
      <c r="AG4858" s="1"/>
      <c r="AI4858" s="1"/>
    </row>
    <row r="4859" spans="4:35" hidden="1">
      <c r="D4859" s="1"/>
      <c r="K4859" s="1"/>
      <c r="Q4859" s="1"/>
      <c r="AD4859" s="1"/>
      <c r="AG4859" s="1"/>
      <c r="AI4859" s="1"/>
    </row>
    <row r="4860" spans="4:35" hidden="1">
      <c r="D4860" s="1"/>
      <c r="K4860" s="1"/>
      <c r="Q4860" s="1"/>
      <c r="AD4860" s="1"/>
      <c r="AG4860" s="1"/>
      <c r="AI4860" s="1"/>
    </row>
    <row r="4861" spans="4:35" hidden="1">
      <c r="D4861" s="1"/>
      <c r="K4861" s="1"/>
      <c r="Q4861" s="1"/>
      <c r="AD4861" s="1"/>
      <c r="AG4861" s="1"/>
      <c r="AI4861" s="1"/>
    </row>
    <row r="4862" spans="4:35" hidden="1">
      <c r="D4862" s="1"/>
      <c r="K4862" s="1"/>
      <c r="Q4862" s="1"/>
      <c r="AD4862" s="1"/>
      <c r="AG4862" s="1"/>
      <c r="AI4862" s="1"/>
    </row>
    <row r="4863" spans="4:35" hidden="1">
      <c r="D4863" s="1"/>
      <c r="K4863" s="1"/>
      <c r="Q4863" s="1"/>
      <c r="AD4863" s="1"/>
      <c r="AG4863" s="1"/>
      <c r="AI4863" s="1"/>
    </row>
    <row r="4864" spans="4:35" hidden="1">
      <c r="D4864" s="1"/>
      <c r="K4864" s="1"/>
      <c r="Q4864" s="1"/>
      <c r="AD4864" s="1"/>
      <c r="AG4864" s="1"/>
      <c r="AI4864" s="1"/>
    </row>
    <row r="4865" spans="4:35" hidden="1">
      <c r="D4865" s="1"/>
      <c r="K4865" s="1"/>
      <c r="Q4865" s="1"/>
      <c r="AD4865" s="1"/>
      <c r="AG4865" s="1"/>
      <c r="AI4865" s="1"/>
    </row>
    <row r="4866" spans="4:35" hidden="1">
      <c r="D4866" s="1"/>
      <c r="K4866" s="1"/>
      <c r="Q4866" s="1"/>
      <c r="AD4866" s="1"/>
      <c r="AG4866" s="1"/>
      <c r="AI4866" s="1"/>
    </row>
    <row r="4867" spans="4:35" hidden="1">
      <c r="D4867" s="1"/>
      <c r="K4867" s="1"/>
      <c r="Q4867" s="1"/>
      <c r="AD4867" s="1"/>
      <c r="AG4867" s="1"/>
      <c r="AI4867" s="1"/>
    </row>
    <row r="4868" spans="4:35" hidden="1">
      <c r="D4868" s="1"/>
      <c r="K4868" s="1"/>
      <c r="Q4868" s="1"/>
      <c r="AD4868" s="1"/>
      <c r="AG4868" s="1"/>
      <c r="AI4868" s="1"/>
    </row>
    <row r="4869" spans="4:35" hidden="1">
      <c r="D4869" s="1"/>
      <c r="K4869" s="1"/>
      <c r="Q4869" s="1"/>
      <c r="AD4869" s="1"/>
      <c r="AG4869" s="1"/>
      <c r="AI4869" s="1"/>
    </row>
    <row r="4870" spans="4:35" hidden="1">
      <c r="D4870" s="1"/>
      <c r="K4870" s="1"/>
      <c r="Q4870" s="1"/>
      <c r="AD4870" s="1"/>
      <c r="AG4870" s="1"/>
      <c r="AI4870" s="1"/>
    </row>
    <row r="4871" spans="4:35" hidden="1">
      <c r="D4871" s="1"/>
      <c r="K4871" s="1"/>
      <c r="Q4871" s="1"/>
      <c r="AD4871" s="1"/>
      <c r="AG4871" s="1"/>
      <c r="AI4871" s="1"/>
    </row>
    <row r="4872" spans="4:35" hidden="1">
      <c r="D4872" s="1"/>
      <c r="K4872" s="1"/>
      <c r="Q4872" s="1"/>
      <c r="AD4872" s="1"/>
      <c r="AG4872" s="1"/>
      <c r="AI4872" s="1"/>
    </row>
    <row r="4873" spans="4:35" hidden="1">
      <c r="D4873" s="1"/>
      <c r="K4873" s="1"/>
      <c r="Q4873" s="1"/>
      <c r="AD4873" s="1"/>
      <c r="AG4873" s="1"/>
      <c r="AI4873" s="1"/>
    </row>
    <row r="4874" spans="4:35" hidden="1">
      <c r="D4874" s="1"/>
      <c r="K4874" s="1"/>
      <c r="Q4874" s="1"/>
      <c r="AD4874" s="1"/>
      <c r="AG4874" s="1"/>
      <c r="AI4874" s="1"/>
    </row>
    <row r="4875" spans="4:35" hidden="1">
      <c r="D4875" s="1"/>
      <c r="K4875" s="1"/>
      <c r="Q4875" s="1"/>
      <c r="AD4875" s="1"/>
      <c r="AG4875" s="1"/>
      <c r="AI4875" s="1"/>
    </row>
    <row r="4876" spans="4:35" hidden="1">
      <c r="D4876" s="1"/>
      <c r="K4876" s="1"/>
      <c r="Q4876" s="1"/>
      <c r="AD4876" s="1"/>
      <c r="AG4876" s="1"/>
      <c r="AI4876" s="1"/>
    </row>
    <row r="4877" spans="4:35" hidden="1">
      <c r="D4877" s="1"/>
      <c r="K4877" s="1"/>
      <c r="Q4877" s="1"/>
      <c r="AD4877" s="1"/>
      <c r="AG4877" s="1"/>
      <c r="AI4877" s="1"/>
    </row>
    <row r="4878" spans="4:35" hidden="1">
      <c r="D4878" s="1"/>
      <c r="K4878" s="1"/>
      <c r="Q4878" s="1"/>
      <c r="AD4878" s="1"/>
      <c r="AG4878" s="1"/>
      <c r="AI4878" s="1"/>
    </row>
    <row r="4879" spans="4:35" hidden="1">
      <c r="D4879" s="1"/>
      <c r="K4879" s="1"/>
      <c r="Q4879" s="1"/>
      <c r="AD4879" s="1"/>
      <c r="AG4879" s="1"/>
      <c r="AI4879" s="1"/>
    </row>
    <row r="4880" spans="4:35" hidden="1">
      <c r="D4880" s="1"/>
      <c r="K4880" s="1"/>
      <c r="Q4880" s="1"/>
      <c r="AD4880" s="1"/>
      <c r="AG4880" s="1"/>
      <c r="AI4880" s="1"/>
    </row>
    <row r="4881" spans="4:35" hidden="1">
      <c r="D4881" s="1"/>
      <c r="K4881" s="1"/>
      <c r="Q4881" s="1"/>
      <c r="AD4881" s="1"/>
      <c r="AG4881" s="1"/>
      <c r="AI4881" s="1"/>
    </row>
    <row r="4882" spans="4:35" hidden="1">
      <c r="D4882" s="1"/>
      <c r="K4882" s="1"/>
      <c r="Q4882" s="1"/>
      <c r="AD4882" s="1"/>
      <c r="AG4882" s="1"/>
      <c r="AI4882" s="1"/>
    </row>
    <row r="4883" spans="4:35" hidden="1">
      <c r="D4883" s="1"/>
      <c r="K4883" s="1"/>
      <c r="Q4883" s="1"/>
      <c r="AD4883" s="1"/>
      <c r="AG4883" s="1"/>
      <c r="AI4883" s="1"/>
    </row>
    <row r="4884" spans="4:35" hidden="1">
      <c r="D4884" s="1"/>
      <c r="K4884" s="1"/>
      <c r="Q4884" s="1"/>
      <c r="AD4884" s="1"/>
      <c r="AG4884" s="1"/>
      <c r="AI4884" s="1"/>
    </row>
    <row r="4885" spans="4:35" hidden="1">
      <c r="D4885" s="1"/>
      <c r="K4885" s="1"/>
      <c r="Q4885" s="1"/>
      <c r="AD4885" s="1"/>
      <c r="AG4885" s="1"/>
      <c r="AI4885" s="1"/>
    </row>
    <row r="4886" spans="4:35" hidden="1">
      <c r="D4886" s="1"/>
      <c r="K4886" s="1"/>
      <c r="Q4886" s="1"/>
      <c r="AD4886" s="1"/>
      <c r="AG4886" s="1"/>
      <c r="AI4886" s="1"/>
    </row>
    <row r="4887" spans="4:35" hidden="1">
      <c r="D4887" s="1"/>
      <c r="K4887" s="1"/>
      <c r="Q4887" s="1"/>
      <c r="AD4887" s="1"/>
      <c r="AG4887" s="1"/>
      <c r="AI4887" s="1"/>
    </row>
    <row r="4888" spans="4:35" hidden="1">
      <c r="D4888" s="1"/>
      <c r="K4888" s="1"/>
      <c r="Q4888" s="1"/>
      <c r="AD4888" s="1"/>
      <c r="AG4888" s="1"/>
      <c r="AI4888" s="1"/>
    </row>
    <row r="4889" spans="4:35" hidden="1">
      <c r="D4889" s="1"/>
      <c r="K4889" s="1"/>
      <c r="Q4889" s="1"/>
      <c r="AD4889" s="1"/>
      <c r="AG4889" s="1"/>
      <c r="AI4889" s="1"/>
    </row>
    <row r="4890" spans="4:35" hidden="1">
      <c r="D4890" s="1"/>
      <c r="K4890" s="1"/>
      <c r="Q4890" s="1"/>
      <c r="AD4890" s="1"/>
      <c r="AG4890" s="1"/>
      <c r="AI4890" s="1"/>
    </row>
    <row r="4891" spans="4:35" hidden="1">
      <c r="D4891" s="1"/>
      <c r="K4891" s="1"/>
      <c r="Q4891" s="1"/>
      <c r="AD4891" s="1"/>
      <c r="AG4891" s="1"/>
      <c r="AI4891" s="1"/>
    </row>
    <row r="4892" spans="4:35" hidden="1">
      <c r="D4892" s="1"/>
      <c r="K4892" s="1"/>
      <c r="Q4892" s="1"/>
      <c r="AD4892" s="1"/>
      <c r="AG4892" s="1"/>
      <c r="AI4892" s="1"/>
    </row>
    <row r="4893" spans="4:35" hidden="1">
      <c r="D4893" s="1"/>
      <c r="K4893" s="1"/>
      <c r="Q4893" s="1"/>
      <c r="AD4893" s="1"/>
      <c r="AG4893" s="1"/>
      <c r="AI4893" s="1"/>
    </row>
    <row r="4894" spans="4:35" hidden="1">
      <c r="D4894" s="1"/>
      <c r="K4894" s="1"/>
      <c r="Q4894" s="1"/>
      <c r="AD4894" s="1"/>
      <c r="AG4894" s="1"/>
      <c r="AI4894" s="1"/>
    </row>
    <row r="4895" spans="4:35" hidden="1">
      <c r="D4895" s="1"/>
      <c r="K4895" s="1"/>
      <c r="Q4895" s="1"/>
      <c r="AD4895" s="1"/>
      <c r="AG4895" s="1"/>
      <c r="AI4895" s="1"/>
    </row>
    <row r="4896" spans="4:35" hidden="1">
      <c r="D4896" s="1"/>
      <c r="K4896" s="1"/>
      <c r="Q4896" s="1"/>
      <c r="AD4896" s="1"/>
      <c r="AG4896" s="1"/>
      <c r="AI4896" s="1"/>
    </row>
    <row r="4897" spans="4:35" hidden="1">
      <c r="D4897" s="1"/>
      <c r="K4897" s="1"/>
      <c r="Q4897" s="1"/>
      <c r="AD4897" s="1"/>
      <c r="AG4897" s="1"/>
      <c r="AI4897" s="1"/>
    </row>
    <row r="4898" spans="4:35" hidden="1">
      <c r="D4898" s="1"/>
      <c r="K4898" s="1"/>
      <c r="Q4898" s="1"/>
      <c r="AD4898" s="1"/>
      <c r="AG4898" s="1"/>
      <c r="AI4898" s="1"/>
    </row>
    <row r="4899" spans="4:35" hidden="1">
      <c r="D4899" s="1"/>
      <c r="K4899" s="1"/>
      <c r="Q4899" s="1"/>
      <c r="AD4899" s="1"/>
      <c r="AG4899" s="1"/>
      <c r="AI4899" s="1"/>
    </row>
    <row r="4900" spans="4:35" hidden="1">
      <c r="D4900" s="1"/>
      <c r="K4900" s="1"/>
      <c r="Q4900" s="1"/>
      <c r="AD4900" s="1"/>
      <c r="AG4900" s="1"/>
      <c r="AI4900" s="1"/>
    </row>
    <row r="4901" spans="4:35" hidden="1">
      <c r="D4901" s="1"/>
      <c r="K4901" s="1"/>
      <c r="Q4901" s="1"/>
      <c r="AD4901" s="1"/>
      <c r="AG4901" s="1"/>
      <c r="AI4901" s="1"/>
    </row>
    <row r="4902" spans="4:35" hidden="1">
      <c r="D4902" s="1"/>
      <c r="K4902" s="1"/>
      <c r="Q4902" s="1"/>
      <c r="AD4902" s="1"/>
      <c r="AG4902" s="1"/>
      <c r="AI4902" s="1"/>
    </row>
    <row r="4903" spans="4:35" hidden="1">
      <c r="D4903" s="1"/>
      <c r="K4903" s="1"/>
      <c r="Q4903" s="1"/>
      <c r="AD4903" s="1"/>
      <c r="AG4903" s="1"/>
      <c r="AI4903" s="1"/>
    </row>
    <row r="4904" spans="4:35" hidden="1">
      <c r="D4904" s="1"/>
      <c r="K4904" s="1"/>
      <c r="Q4904" s="1"/>
      <c r="AD4904" s="1"/>
      <c r="AG4904" s="1"/>
      <c r="AI4904" s="1"/>
    </row>
    <row r="4905" spans="4:35" hidden="1">
      <c r="D4905" s="1"/>
      <c r="K4905" s="1"/>
      <c r="Q4905" s="1"/>
      <c r="AD4905" s="1"/>
      <c r="AG4905" s="1"/>
      <c r="AI4905" s="1"/>
    </row>
    <row r="4906" spans="4:35" hidden="1">
      <c r="D4906" s="1"/>
      <c r="K4906" s="1"/>
      <c r="Q4906" s="1"/>
      <c r="AD4906" s="1"/>
      <c r="AG4906" s="1"/>
      <c r="AI4906" s="1"/>
    </row>
    <row r="4907" spans="4:35" hidden="1">
      <c r="D4907" s="1"/>
      <c r="K4907" s="1"/>
      <c r="Q4907" s="1"/>
      <c r="AD4907" s="1"/>
      <c r="AG4907" s="1"/>
      <c r="AI4907" s="1"/>
    </row>
    <row r="4908" spans="4:35" hidden="1">
      <c r="D4908" s="1"/>
      <c r="K4908" s="1"/>
      <c r="Q4908" s="1"/>
      <c r="AD4908" s="1"/>
      <c r="AG4908" s="1"/>
      <c r="AI4908" s="1"/>
    </row>
    <row r="4909" spans="4:35" hidden="1">
      <c r="D4909" s="1"/>
      <c r="K4909" s="1"/>
      <c r="Q4909" s="1"/>
      <c r="AD4909" s="1"/>
      <c r="AG4909" s="1"/>
      <c r="AI4909" s="1"/>
    </row>
    <row r="4910" spans="4:35" hidden="1">
      <c r="D4910" s="1"/>
      <c r="K4910" s="1"/>
      <c r="Q4910" s="1"/>
      <c r="AD4910" s="1"/>
      <c r="AG4910" s="1"/>
      <c r="AI4910" s="1"/>
    </row>
    <row r="4911" spans="4:35" hidden="1">
      <c r="D4911" s="1"/>
      <c r="K4911" s="1"/>
      <c r="Q4911" s="1"/>
      <c r="AD4911" s="1"/>
      <c r="AG4911" s="1"/>
      <c r="AI4911" s="1"/>
    </row>
    <row r="4912" spans="4:35" hidden="1">
      <c r="D4912" s="1"/>
      <c r="K4912" s="1"/>
      <c r="Q4912" s="1"/>
      <c r="AD4912" s="1"/>
      <c r="AG4912" s="1"/>
      <c r="AI4912" s="1"/>
    </row>
    <row r="4913" spans="4:35" hidden="1">
      <c r="D4913" s="1"/>
      <c r="K4913" s="1"/>
      <c r="Q4913" s="1"/>
      <c r="AD4913" s="1"/>
      <c r="AG4913" s="1"/>
      <c r="AI4913" s="1"/>
    </row>
    <row r="4914" spans="4:35" hidden="1">
      <c r="D4914" s="1"/>
      <c r="K4914" s="1"/>
      <c r="Q4914" s="1"/>
      <c r="AD4914" s="1"/>
      <c r="AG4914" s="1"/>
      <c r="AI4914" s="1"/>
    </row>
    <row r="4915" spans="4:35" hidden="1">
      <c r="D4915" s="1"/>
      <c r="K4915" s="1"/>
      <c r="Q4915" s="1"/>
      <c r="AD4915" s="1"/>
      <c r="AG4915" s="1"/>
      <c r="AI4915" s="1"/>
    </row>
    <row r="4916" spans="4:35" hidden="1">
      <c r="D4916" s="1"/>
      <c r="K4916" s="1"/>
      <c r="Q4916" s="1"/>
      <c r="AD4916" s="1"/>
      <c r="AG4916" s="1"/>
      <c r="AI4916" s="1"/>
    </row>
    <row r="4917" spans="4:35" hidden="1">
      <c r="D4917" s="1"/>
      <c r="K4917" s="1"/>
      <c r="Q4917" s="1"/>
      <c r="AD4917" s="1"/>
      <c r="AG4917" s="1"/>
      <c r="AI4917" s="1"/>
    </row>
    <row r="4918" spans="4:35" hidden="1">
      <c r="D4918" s="1"/>
      <c r="K4918" s="1"/>
      <c r="Q4918" s="1"/>
      <c r="AD4918" s="1"/>
      <c r="AG4918" s="1"/>
      <c r="AI4918" s="1"/>
    </row>
    <row r="4919" spans="4:35" hidden="1">
      <c r="D4919" s="1"/>
      <c r="K4919" s="1"/>
      <c r="Q4919" s="1"/>
      <c r="AD4919" s="1"/>
      <c r="AG4919" s="1"/>
      <c r="AI4919" s="1"/>
    </row>
    <row r="4920" spans="4:35" hidden="1">
      <c r="D4920" s="1"/>
      <c r="K4920" s="1"/>
      <c r="Q4920" s="1"/>
      <c r="AD4920" s="1"/>
      <c r="AG4920" s="1"/>
      <c r="AI4920" s="1"/>
    </row>
    <row r="4921" spans="4:35" hidden="1">
      <c r="D4921" s="1"/>
      <c r="K4921" s="1"/>
      <c r="Q4921" s="1"/>
      <c r="AD4921" s="1"/>
      <c r="AG4921" s="1"/>
      <c r="AI4921" s="1"/>
    </row>
    <row r="4922" spans="4:35" hidden="1">
      <c r="D4922" s="1"/>
      <c r="K4922" s="1"/>
      <c r="Q4922" s="1"/>
      <c r="AD4922" s="1"/>
      <c r="AG4922" s="1"/>
      <c r="AI4922" s="1"/>
    </row>
    <row r="4923" spans="4:35" hidden="1">
      <c r="D4923" s="1"/>
      <c r="K4923" s="1"/>
      <c r="Q4923" s="1"/>
      <c r="AD4923" s="1"/>
      <c r="AG4923" s="1"/>
      <c r="AI4923" s="1"/>
    </row>
    <row r="4924" spans="4:35" hidden="1">
      <c r="D4924" s="1"/>
      <c r="K4924" s="1"/>
      <c r="Q4924" s="1"/>
      <c r="AD4924" s="1"/>
      <c r="AG4924" s="1"/>
      <c r="AI4924" s="1"/>
    </row>
    <row r="4925" spans="4:35" hidden="1">
      <c r="D4925" s="1"/>
      <c r="K4925" s="1"/>
      <c r="Q4925" s="1"/>
      <c r="AD4925" s="1"/>
      <c r="AG4925" s="1"/>
      <c r="AI4925" s="1"/>
    </row>
    <row r="4926" spans="4:35" hidden="1">
      <c r="D4926" s="1"/>
      <c r="K4926" s="1"/>
      <c r="Q4926" s="1"/>
      <c r="AD4926" s="1"/>
      <c r="AG4926" s="1"/>
      <c r="AI4926" s="1"/>
    </row>
    <row r="4927" spans="4:35" hidden="1">
      <c r="D4927" s="1"/>
      <c r="K4927" s="1"/>
      <c r="Q4927" s="1"/>
      <c r="AD4927" s="1"/>
      <c r="AG4927" s="1"/>
      <c r="AI4927" s="1"/>
    </row>
    <row r="4928" spans="4:35" hidden="1">
      <c r="D4928" s="1"/>
      <c r="K4928" s="1"/>
      <c r="Q4928" s="1"/>
      <c r="AD4928" s="1"/>
      <c r="AG4928" s="1"/>
      <c r="AI4928" s="1"/>
    </row>
    <row r="4929" spans="4:35" hidden="1">
      <c r="D4929" s="1"/>
      <c r="K4929" s="1"/>
      <c r="Q4929" s="1"/>
      <c r="AD4929" s="1"/>
      <c r="AG4929" s="1"/>
      <c r="AI4929" s="1"/>
    </row>
    <row r="4930" spans="4:35" hidden="1">
      <c r="D4930" s="1"/>
      <c r="K4930" s="1"/>
      <c r="Q4930" s="1"/>
      <c r="AD4930" s="1"/>
      <c r="AG4930" s="1"/>
      <c r="AI4930" s="1"/>
    </row>
    <row r="4931" spans="4:35" hidden="1">
      <c r="D4931" s="1"/>
      <c r="K4931" s="1"/>
      <c r="Q4931" s="1"/>
      <c r="AD4931" s="1"/>
      <c r="AG4931" s="1"/>
      <c r="AI4931" s="1"/>
    </row>
    <row r="4932" spans="4:35" hidden="1">
      <c r="D4932" s="1"/>
      <c r="K4932" s="1"/>
      <c r="Q4932" s="1"/>
      <c r="AD4932" s="1"/>
      <c r="AG4932" s="1"/>
      <c r="AI4932" s="1"/>
    </row>
    <row r="4933" spans="4:35" hidden="1">
      <c r="D4933" s="1"/>
      <c r="K4933" s="1"/>
      <c r="Q4933" s="1"/>
      <c r="AD4933" s="1"/>
      <c r="AG4933" s="1"/>
      <c r="AI4933" s="1"/>
    </row>
    <row r="4934" spans="4:35" hidden="1">
      <c r="D4934" s="1"/>
      <c r="K4934" s="1"/>
      <c r="Q4934" s="1"/>
      <c r="AD4934" s="1"/>
      <c r="AG4934" s="1"/>
      <c r="AI4934" s="1"/>
    </row>
    <row r="4935" spans="4:35" hidden="1">
      <c r="D4935" s="1"/>
      <c r="K4935" s="1"/>
      <c r="Q4935" s="1"/>
      <c r="AD4935" s="1"/>
      <c r="AG4935" s="1"/>
      <c r="AI4935" s="1"/>
    </row>
    <row r="4936" spans="4:35" hidden="1">
      <c r="D4936" s="1"/>
      <c r="K4936" s="1"/>
      <c r="Q4936" s="1"/>
      <c r="AD4936" s="1"/>
      <c r="AG4936" s="1"/>
      <c r="AI4936" s="1"/>
    </row>
    <row r="4937" spans="4:35" hidden="1">
      <c r="D4937" s="1"/>
      <c r="K4937" s="1"/>
      <c r="Q4937" s="1"/>
      <c r="AD4937" s="1"/>
      <c r="AG4937" s="1"/>
      <c r="AI4937" s="1"/>
    </row>
    <row r="4938" spans="4:35" hidden="1">
      <c r="D4938" s="1"/>
      <c r="K4938" s="1"/>
      <c r="Q4938" s="1"/>
      <c r="AD4938" s="1"/>
      <c r="AG4938" s="1"/>
      <c r="AI4938" s="1"/>
    </row>
    <row r="4939" spans="4:35" hidden="1">
      <c r="D4939" s="1"/>
      <c r="K4939" s="1"/>
      <c r="Q4939" s="1"/>
      <c r="AD4939" s="1"/>
      <c r="AG4939" s="1"/>
      <c r="AI4939" s="1"/>
    </row>
    <row r="4940" spans="4:35" hidden="1">
      <c r="D4940" s="1"/>
      <c r="K4940" s="1"/>
      <c r="Q4940" s="1"/>
      <c r="AD4940" s="1"/>
      <c r="AG4940" s="1"/>
      <c r="AI4940" s="1"/>
    </row>
    <row r="4941" spans="4:35" hidden="1">
      <c r="D4941" s="1"/>
      <c r="K4941" s="1"/>
      <c r="Q4941" s="1"/>
      <c r="AD4941" s="1"/>
      <c r="AG4941" s="1"/>
      <c r="AI4941" s="1"/>
    </row>
    <row r="4942" spans="4:35" hidden="1">
      <c r="D4942" s="1"/>
      <c r="K4942" s="1"/>
      <c r="Q4942" s="1"/>
      <c r="AD4942" s="1"/>
      <c r="AG4942" s="1"/>
      <c r="AI4942" s="1"/>
    </row>
    <row r="4943" spans="4:35" hidden="1">
      <c r="D4943" s="1"/>
      <c r="K4943" s="1"/>
      <c r="Q4943" s="1"/>
      <c r="AD4943" s="1"/>
      <c r="AG4943" s="1"/>
      <c r="AI4943" s="1"/>
    </row>
    <row r="4944" spans="4:35" hidden="1">
      <c r="D4944" s="1"/>
      <c r="K4944" s="1"/>
      <c r="Q4944" s="1"/>
      <c r="AD4944" s="1"/>
      <c r="AG4944" s="1"/>
      <c r="AI4944" s="1"/>
    </row>
    <row r="4945" spans="4:35" hidden="1">
      <c r="D4945" s="1"/>
      <c r="K4945" s="1"/>
      <c r="Q4945" s="1"/>
      <c r="AD4945" s="1"/>
      <c r="AG4945" s="1"/>
      <c r="AI4945" s="1"/>
    </row>
    <row r="4946" spans="4:35" hidden="1">
      <c r="D4946" s="1"/>
      <c r="K4946" s="1"/>
      <c r="Q4946" s="1"/>
      <c r="AD4946" s="1"/>
      <c r="AG4946" s="1"/>
      <c r="AI4946" s="1"/>
    </row>
    <row r="4947" spans="4:35" hidden="1">
      <c r="D4947" s="1"/>
      <c r="K4947" s="1"/>
      <c r="Q4947" s="1"/>
      <c r="AD4947" s="1"/>
      <c r="AG4947" s="1"/>
      <c r="AI4947" s="1"/>
    </row>
    <row r="4948" spans="4:35" hidden="1">
      <c r="D4948" s="1"/>
      <c r="K4948" s="1"/>
      <c r="Q4948" s="1"/>
      <c r="AD4948" s="1"/>
      <c r="AG4948" s="1"/>
      <c r="AI4948" s="1"/>
    </row>
    <row r="4949" spans="4:35" hidden="1">
      <c r="D4949" s="1"/>
      <c r="K4949" s="1"/>
      <c r="Q4949" s="1"/>
      <c r="AD4949" s="1"/>
      <c r="AG4949" s="1"/>
      <c r="AI4949" s="1"/>
    </row>
    <row r="4950" spans="4:35" hidden="1">
      <c r="D4950" s="1"/>
      <c r="K4950" s="1"/>
      <c r="Q4950" s="1"/>
      <c r="AD4950" s="1"/>
      <c r="AG4950" s="1"/>
      <c r="AI4950" s="1"/>
    </row>
    <row r="4951" spans="4:35" hidden="1">
      <c r="D4951" s="1"/>
      <c r="K4951" s="1"/>
      <c r="Q4951" s="1"/>
      <c r="AD4951" s="1"/>
      <c r="AG4951" s="1"/>
      <c r="AI4951" s="1"/>
    </row>
    <row r="4952" spans="4:35" hidden="1">
      <c r="D4952" s="1"/>
      <c r="K4952" s="1"/>
      <c r="Q4952" s="1"/>
      <c r="AD4952" s="1"/>
      <c r="AG4952" s="1"/>
      <c r="AI4952" s="1"/>
    </row>
    <row r="4953" spans="4:35" hidden="1">
      <c r="D4953" s="1"/>
      <c r="K4953" s="1"/>
      <c r="Q4953" s="1"/>
      <c r="AD4953" s="1"/>
      <c r="AG4953" s="1"/>
      <c r="AI4953" s="1"/>
    </row>
    <row r="4954" spans="4:35" hidden="1">
      <c r="D4954" s="1"/>
      <c r="K4954" s="1"/>
      <c r="Q4954" s="1"/>
      <c r="AD4954" s="1"/>
      <c r="AG4954" s="1"/>
      <c r="AI4954" s="1"/>
    </row>
    <row r="4955" spans="4:35" hidden="1">
      <c r="D4955" s="1"/>
      <c r="K4955" s="1"/>
      <c r="Q4955" s="1"/>
      <c r="AD4955" s="1"/>
      <c r="AG4955" s="1"/>
      <c r="AI4955" s="1"/>
    </row>
    <row r="4956" spans="4:35" hidden="1">
      <c r="D4956" s="1"/>
      <c r="K4956" s="1"/>
      <c r="Q4956" s="1"/>
      <c r="AD4956" s="1"/>
      <c r="AG4956" s="1"/>
      <c r="AI4956" s="1"/>
    </row>
    <row r="4957" spans="4:35" hidden="1">
      <c r="D4957" s="1"/>
      <c r="K4957" s="1"/>
      <c r="Q4957" s="1"/>
      <c r="AD4957" s="1"/>
      <c r="AG4957" s="1"/>
      <c r="AI4957" s="1"/>
    </row>
    <row r="4958" spans="4:35" hidden="1">
      <c r="D4958" s="1"/>
      <c r="K4958" s="1"/>
      <c r="Q4958" s="1"/>
      <c r="AD4958" s="1"/>
      <c r="AG4958" s="1"/>
      <c r="AI4958" s="1"/>
    </row>
    <row r="4959" spans="4:35" hidden="1">
      <c r="D4959" s="1"/>
      <c r="K4959" s="1"/>
      <c r="Q4959" s="1"/>
      <c r="AD4959" s="1"/>
      <c r="AG4959" s="1"/>
      <c r="AI4959" s="1"/>
    </row>
    <row r="4960" spans="4:35" hidden="1">
      <c r="D4960" s="1"/>
      <c r="K4960" s="1"/>
      <c r="Q4960" s="1"/>
      <c r="AD4960" s="1"/>
      <c r="AG4960" s="1"/>
      <c r="AI4960" s="1"/>
    </row>
    <row r="4961" spans="4:35" hidden="1">
      <c r="D4961" s="1"/>
      <c r="K4961" s="1"/>
      <c r="Q4961" s="1"/>
      <c r="AD4961" s="1"/>
      <c r="AG4961" s="1"/>
      <c r="AI4961" s="1"/>
    </row>
    <row r="4962" spans="4:35" hidden="1">
      <c r="D4962" s="1"/>
      <c r="K4962" s="1"/>
      <c r="Q4962" s="1"/>
      <c r="AD4962" s="1"/>
      <c r="AG4962" s="1"/>
      <c r="AI4962" s="1"/>
    </row>
    <row r="4963" spans="4:35" hidden="1">
      <c r="D4963" s="1"/>
      <c r="K4963" s="1"/>
      <c r="Q4963" s="1"/>
      <c r="AD4963" s="1"/>
      <c r="AG4963" s="1"/>
      <c r="AI4963" s="1"/>
    </row>
    <row r="4964" spans="4:35" hidden="1">
      <c r="D4964" s="1"/>
      <c r="K4964" s="1"/>
      <c r="Q4964" s="1"/>
      <c r="AD4964" s="1"/>
      <c r="AG4964" s="1"/>
      <c r="AI4964" s="1"/>
    </row>
    <row r="4965" spans="4:35" hidden="1">
      <c r="D4965" s="1"/>
      <c r="K4965" s="1"/>
      <c r="Q4965" s="1"/>
      <c r="AD4965" s="1"/>
      <c r="AG4965" s="1"/>
      <c r="AI4965" s="1"/>
    </row>
    <row r="4966" spans="4:35" hidden="1">
      <c r="D4966" s="1"/>
      <c r="K4966" s="1"/>
      <c r="Q4966" s="1"/>
      <c r="AD4966" s="1"/>
      <c r="AG4966" s="1"/>
      <c r="AI4966" s="1"/>
    </row>
    <row r="4967" spans="4:35" hidden="1">
      <c r="D4967" s="1"/>
      <c r="K4967" s="1"/>
      <c r="Q4967" s="1"/>
      <c r="AD4967" s="1"/>
      <c r="AG4967" s="1"/>
      <c r="AI4967" s="1"/>
    </row>
    <row r="4968" spans="4:35" hidden="1">
      <c r="D4968" s="1"/>
      <c r="K4968" s="1"/>
      <c r="Q4968" s="1"/>
      <c r="AD4968" s="1"/>
      <c r="AG4968" s="1"/>
      <c r="AI4968" s="1"/>
    </row>
    <row r="4969" spans="4:35" hidden="1">
      <c r="D4969" s="1"/>
      <c r="K4969" s="1"/>
      <c r="Q4969" s="1"/>
      <c r="AD4969" s="1"/>
      <c r="AG4969" s="1"/>
      <c r="AI4969" s="1"/>
    </row>
    <row r="4970" spans="4:35" hidden="1">
      <c r="D4970" s="1"/>
      <c r="K4970" s="1"/>
      <c r="Q4970" s="1"/>
      <c r="AD4970" s="1"/>
      <c r="AG4970" s="1"/>
      <c r="AI4970" s="1"/>
    </row>
    <row r="4971" spans="4:35" hidden="1">
      <c r="D4971" s="1"/>
      <c r="K4971" s="1"/>
      <c r="Q4971" s="1"/>
      <c r="AD4971" s="1"/>
      <c r="AG4971" s="1"/>
      <c r="AI4971" s="1"/>
    </row>
    <row r="4972" spans="4:35" hidden="1">
      <c r="D4972" s="1"/>
      <c r="K4972" s="1"/>
      <c r="Q4972" s="1"/>
      <c r="AD4972" s="1"/>
      <c r="AG4972" s="1"/>
      <c r="AI4972" s="1"/>
    </row>
    <row r="4973" spans="4:35" hidden="1">
      <c r="D4973" s="1"/>
      <c r="K4973" s="1"/>
      <c r="Q4973" s="1"/>
      <c r="AD4973" s="1"/>
      <c r="AG4973" s="1"/>
      <c r="AI4973" s="1"/>
    </row>
    <row r="4974" spans="4:35" hidden="1">
      <c r="D4974" s="1"/>
      <c r="K4974" s="1"/>
      <c r="Q4974" s="1"/>
      <c r="AD4974" s="1"/>
      <c r="AG4974" s="1"/>
      <c r="AI4974" s="1"/>
    </row>
    <row r="4975" spans="4:35" hidden="1">
      <c r="D4975" s="1"/>
      <c r="K4975" s="1"/>
      <c r="Q4975" s="1"/>
      <c r="AD4975" s="1"/>
      <c r="AG4975" s="1"/>
      <c r="AI4975" s="1"/>
    </row>
    <row r="4976" spans="4:35" hidden="1">
      <c r="D4976" s="1"/>
      <c r="K4976" s="1"/>
      <c r="Q4976" s="1"/>
      <c r="AD4976" s="1"/>
      <c r="AG4976" s="1"/>
      <c r="AI4976" s="1"/>
    </row>
    <row r="4977" spans="4:35" hidden="1">
      <c r="D4977" s="1"/>
      <c r="K4977" s="1"/>
      <c r="Q4977" s="1"/>
      <c r="AD4977" s="1"/>
      <c r="AG4977" s="1"/>
      <c r="AI4977" s="1"/>
    </row>
    <row r="4978" spans="4:35" hidden="1">
      <c r="D4978" s="1"/>
      <c r="K4978" s="1"/>
      <c r="Q4978" s="1"/>
      <c r="AD4978" s="1"/>
      <c r="AG4978" s="1"/>
      <c r="AI4978" s="1"/>
    </row>
    <row r="4979" spans="4:35" hidden="1">
      <c r="D4979" s="1"/>
      <c r="K4979" s="1"/>
      <c r="Q4979" s="1"/>
      <c r="AD4979" s="1"/>
      <c r="AG4979" s="1"/>
      <c r="AI4979" s="1"/>
    </row>
    <row r="4980" spans="4:35" hidden="1">
      <c r="D4980" s="1"/>
      <c r="K4980" s="1"/>
      <c r="Q4980" s="1"/>
      <c r="AD4980" s="1"/>
      <c r="AG4980" s="1"/>
      <c r="AI4980" s="1"/>
    </row>
    <row r="4981" spans="4:35" hidden="1">
      <c r="D4981" s="1"/>
      <c r="K4981" s="1"/>
      <c r="Q4981" s="1"/>
      <c r="AD4981" s="1"/>
      <c r="AG4981" s="1"/>
      <c r="AI4981" s="1"/>
    </row>
    <row r="4982" spans="4:35" hidden="1">
      <c r="D4982" s="1"/>
      <c r="K4982" s="1"/>
      <c r="Q4982" s="1"/>
      <c r="AD4982" s="1"/>
      <c r="AG4982" s="1"/>
      <c r="AI4982" s="1"/>
    </row>
    <row r="4983" spans="4:35" hidden="1">
      <c r="D4983" s="1"/>
      <c r="K4983" s="1"/>
      <c r="Q4983" s="1"/>
      <c r="AD4983" s="1"/>
      <c r="AG4983" s="1"/>
      <c r="AI4983" s="1"/>
    </row>
    <row r="4984" spans="4:35" hidden="1">
      <c r="D4984" s="1"/>
      <c r="K4984" s="1"/>
      <c r="Q4984" s="1"/>
      <c r="AD4984" s="1"/>
      <c r="AG4984" s="1"/>
      <c r="AI4984" s="1"/>
    </row>
    <row r="4985" spans="4:35" hidden="1">
      <c r="D4985" s="1"/>
      <c r="K4985" s="1"/>
      <c r="Q4985" s="1"/>
      <c r="AD4985" s="1"/>
      <c r="AG4985" s="1"/>
      <c r="AI4985" s="1"/>
    </row>
    <row r="4986" spans="4:35" hidden="1">
      <c r="D4986" s="1"/>
      <c r="K4986" s="1"/>
      <c r="Q4986" s="1"/>
      <c r="AD4986" s="1"/>
      <c r="AG4986" s="1"/>
      <c r="AI4986" s="1"/>
    </row>
    <row r="4987" spans="4:35" hidden="1">
      <c r="D4987" s="1"/>
      <c r="K4987" s="1"/>
      <c r="Q4987" s="1"/>
      <c r="AD4987" s="1"/>
      <c r="AG4987" s="1"/>
      <c r="AI4987" s="1"/>
    </row>
    <row r="4988" spans="4:35" hidden="1">
      <c r="D4988" s="1"/>
      <c r="K4988" s="1"/>
      <c r="Q4988" s="1"/>
      <c r="AD4988" s="1"/>
      <c r="AG4988" s="1"/>
      <c r="AI4988" s="1"/>
    </row>
    <row r="4989" spans="4:35" hidden="1">
      <c r="D4989" s="1"/>
      <c r="K4989" s="1"/>
      <c r="Q4989" s="1"/>
      <c r="AD4989" s="1"/>
      <c r="AG4989" s="1"/>
      <c r="AI4989" s="1"/>
    </row>
    <row r="4990" spans="4:35" hidden="1">
      <c r="D4990" s="1"/>
      <c r="K4990" s="1"/>
      <c r="Q4990" s="1"/>
      <c r="AD4990" s="1"/>
      <c r="AG4990" s="1"/>
      <c r="AI4990" s="1"/>
    </row>
    <row r="4991" spans="4:35" hidden="1">
      <c r="D4991" s="1"/>
      <c r="K4991" s="1"/>
      <c r="Q4991" s="1"/>
      <c r="AD4991" s="1"/>
      <c r="AG4991" s="1"/>
      <c r="AI4991" s="1"/>
    </row>
    <row r="4992" spans="4:35" hidden="1">
      <c r="D4992" s="1"/>
      <c r="K4992" s="1"/>
      <c r="Q4992" s="1"/>
      <c r="AD4992" s="1"/>
      <c r="AG4992" s="1"/>
      <c r="AI4992" s="1"/>
    </row>
    <row r="4993" spans="4:35" hidden="1">
      <c r="D4993" s="1"/>
      <c r="K4993" s="1"/>
      <c r="Q4993" s="1"/>
      <c r="AD4993" s="1"/>
      <c r="AG4993" s="1"/>
      <c r="AI4993" s="1"/>
    </row>
    <row r="4994" spans="4:35" hidden="1">
      <c r="D4994" s="1"/>
      <c r="K4994" s="1"/>
      <c r="Q4994" s="1"/>
      <c r="AD4994" s="1"/>
      <c r="AG4994" s="1"/>
      <c r="AI4994" s="1"/>
    </row>
    <row r="4995" spans="4:35" hidden="1">
      <c r="D4995" s="1"/>
      <c r="K4995" s="1"/>
      <c r="Q4995" s="1"/>
      <c r="AD4995" s="1"/>
      <c r="AG4995" s="1"/>
      <c r="AI4995" s="1"/>
    </row>
    <row r="4996" spans="4:35" hidden="1">
      <c r="D4996" s="1"/>
      <c r="K4996" s="1"/>
      <c r="Q4996" s="1"/>
      <c r="AD4996" s="1"/>
      <c r="AG4996" s="1"/>
      <c r="AI4996" s="1"/>
    </row>
    <row r="4997" spans="4:35" hidden="1">
      <c r="D4997" s="1"/>
      <c r="K4997" s="1"/>
      <c r="Q4997" s="1"/>
      <c r="AD4997" s="1"/>
      <c r="AG4997" s="1"/>
      <c r="AI4997" s="1"/>
    </row>
    <row r="4998" spans="4:35" hidden="1">
      <c r="D4998" s="1"/>
      <c r="K4998" s="1"/>
      <c r="Q4998" s="1"/>
      <c r="AD4998" s="1"/>
      <c r="AG4998" s="1"/>
      <c r="AI4998" s="1"/>
    </row>
    <row r="4999" spans="4:35" hidden="1">
      <c r="D4999" s="1"/>
      <c r="K4999" s="1"/>
      <c r="Q4999" s="1"/>
      <c r="AD4999" s="1"/>
      <c r="AG4999" s="1"/>
      <c r="AI4999" s="1"/>
    </row>
    <row r="5000" spans="4:35" hidden="1">
      <c r="D5000" s="1"/>
      <c r="K5000" s="1"/>
      <c r="Q5000" s="1"/>
      <c r="AD5000" s="1"/>
      <c r="AG5000" s="1"/>
      <c r="AI5000" s="1"/>
    </row>
    <row r="5001" spans="4:35" hidden="1">
      <c r="D5001" s="1"/>
      <c r="K5001" s="1"/>
      <c r="Q5001" s="1"/>
      <c r="AD5001" s="1"/>
      <c r="AG5001" s="1"/>
      <c r="AI5001" s="1"/>
    </row>
    <row r="5002" spans="4:35" hidden="1">
      <c r="D5002" s="1"/>
      <c r="K5002" s="1"/>
      <c r="Q5002" s="1"/>
      <c r="AD5002" s="1"/>
      <c r="AG5002" s="1"/>
      <c r="AI5002" s="1"/>
    </row>
    <row r="5003" spans="4:35" hidden="1">
      <c r="D5003" s="1"/>
      <c r="K5003" s="1"/>
      <c r="Q5003" s="1"/>
      <c r="AD5003" s="1"/>
      <c r="AG5003" s="1"/>
      <c r="AI5003" s="1"/>
    </row>
    <row r="5004" spans="4:35" hidden="1">
      <c r="D5004" s="1"/>
      <c r="K5004" s="1"/>
      <c r="Q5004" s="1"/>
      <c r="AD5004" s="1"/>
      <c r="AG5004" s="1"/>
      <c r="AI5004" s="1"/>
    </row>
    <row r="5005" spans="4:35" hidden="1">
      <c r="D5005" s="1"/>
      <c r="K5005" s="1"/>
      <c r="Q5005" s="1"/>
      <c r="AD5005" s="1"/>
      <c r="AG5005" s="1"/>
      <c r="AI5005" s="1"/>
    </row>
    <row r="5006" spans="4:35" hidden="1">
      <c r="D5006" s="1"/>
      <c r="K5006" s="1"/>
      <c r="Q5006" s="1"/>
      <c r="AD5006" s="1"/>
      <c r="AG5006" s="1"/>
      <c r="AI5006" s="1"/>
    </row>
    <row r="5007" spans="4:35" hidden="1">
      <c r="D5007" s="1"/>
      <c r="K5007" s="1"/>
      <c r="Q5007" s="1"/>
      <c r="AD5007" s="1"/>
      <c r="AG5007" s="1"/>
      <c r="AI5007" s="1"/>
    </row>
    <row r="5008" spans="4:35" hidden="1">
      <c r="D5008" s="1"/>
      <c r="K5008" s="1"/>
      <c r="Q5008" s="1"/>
      <c r="AD5008" s="1"/>
      <c r="AG5008" s="1"/>
      <c r="AI5008" s="1"/>
    </row>
    <row r="5009" spans="4:35" hidden="1">
      <c r="D5009" s="1"/>
      <c r="K5009" s="1"/>
      <c r="Q5009" s="1"/>
      <c r="AD5009" s="1"/>
      <c r="AG5009" s="1"/>
      <c r="AI5009" s="1"/>
    </row>
    <row r="5010" spans="4:35" hidden="1">
      <c r="D5010" s="1"/>
      <c r="K5010" s="1"/>
      <c r="Q5010" s="1"/>
      <c r="AD5010" s="1"/>
      <c r="AG5010" s="1"/>
      <c r="AI5010" s="1"/>
    </row>
    <row r="5011" spans="4:35" hidden="1">
      <c r="D5011" s="1"/>
      <c r="K5011" s="1"/>
      <c r="Q5011" s="1"/>
      <c r="AD5011" s="1"/>
      <c r="AG5011" s="1"/>
      <c r="AI5011" s="1"/>
    </row>
    <row r="5012" spans="4:35" hidden="1">
      <c r="D5012" s="1"/>
      <c r="K5012" s="1"/>
      <c r="Q5012" s="1"/>
      <c r="AD5012" s="1"/>
      <c r="AG5012" s="1"/>
      <c r="AI5012" s="1"/>
    </row>
    <row r="5013" spans="4:35" hidden="1">
      <c r="D5013" s="1"/>
      <c r="K5013" s="1"/>
      <c r="Q5013" s="1"/>
      <c r="AD5013" s="1"/>
      <c r="AG5013" s="1"/>
      <c r="AI5013" s="1"/>
    </row>
    <row r="5014" spans="4:35" hidden="1">
      <c r="D5014" s="1"/>
      <c r="K5014" s="1"/>
      <c r="Q5014" s="1"/>
      <c r="AD5014" s="1"/>
      <c r="AG5014" s="1"/>
      <c r="AI5014" s="1"/>
    </row>
    <row r="5015" spans="4:35" hidden="1">
      <c r="D5015" s="1"/>
      <c r="K5015" s="1"/>
      <c r="Q5015" s="1"/>
      <c r="AD5015" s="1"/>
      <c r="AG5015" s="1"/>
      <c r="AI5015" s="1"/>
    </row>
    <row r="5016" spans="4:35" hidden="1">
      <c r="D5016" s="1"/>
      <c r="K5016" s="1"/>
      <c r="Q5016" s="1"/>
      <c r="AD5016" s="1"/>
      <c r="AG5016" s="1"/>
      <c r="AI5016" s="1"/>
    </row>
    <row r="5017" spans="4:35" hidden="1">
      <c r="D5017" s="1"/>
      <c r="K5017" s="1"/>
      <c r="Q5017" s="1"/>
      <c r="AD5017" s="1"/>
      <c r="AG5017" s="1"/>
      <c r="AI5017" s="1"/>
    </row>
    <row r="5018" spans="4:35" hidden="1">
      <c r="D5018" s="1"/>
      <c r="K5018" s="1"/>
      <c r="Q5018" s="1"/>
      <c r="AD5018" s="1"/>
      <c r="AG5018" s="1"/>
      <c r="AI5018" s="1"/>
    </row>
    <row r="5019" spans="4:35" hidden="1">
      <c r="D5019" s="1"/>
      <c r="K5019" s="1"/>
      <c r="Q5019" s="1"/>
      <c r="AD5019" s="1"/>
      <c r="AG5019" s="1"/>
      <c r="AI5019" s="1"/>
    </row>
    <row r="5020" spans="4:35" hidden="1">
      <c r="D5020" s="1"/>
      <c r="K5020" s="1"/>
      <c r="Q5020" s="1"/>
      <c r="AD5020" s="1"/>
      <c r="AG5020" s="1"/>
      <c r="AI5020" s="1"/>
    </row>
    <row r="5021" spans="4:35" hidden="1">
      <c r="D5021" s="1"/>
      <c r="K5021" s="1"/>
      <c r="Q5021" s="1"/>
      <c r="AD5021" s="1"/>
      <c r="AG5021" s="1"/>
      <c r="AI5021" s="1"/>
    </row>
    <row r="5022" spans="4:35" hidden="1">
      <c r="D5022" s="1"/>
      <c r="K5022" s="1"/>
      <c r="Q5022" s="1"/>
      <c r="AD5022" s="1"/>
      <c r="AG5022" s="1"/>
      <c r="AI5022" s="1"/>
    </row>
    <row r="5023" spans="4:35" hidden="1">
      <c r="D5023" s="1"/>
      <c r="K5023" s="1"/>
      <c r="Q5023" s="1"/>
      <c r="AD5023" s="1"/>
      <c r="AG5023" s="1"/>
      <c r="AI5023" s="1"/>
    </row>
    <row r="5024" spans="4:35" hidden="1">
      <c r="D5024" s="1"/>
      <c r="K5024" s="1"/>
      <c r="Q5024" s="1"/>
      <c r="AD5024" s="1"/>
      <c r="AG5024" s="1"/>
      <c r="AI5024" s="1"/>
    </row>
    <row r="5025" spans="4:35" hidden="1">
      <c r="D5025" s="1"/>
      <c r="K5025" s="1"/>
      <c r="Q5025" s="1"/>
      <c r="AD5025" s="1"/>
      <c r="AG5025" s="1"/>
      <c r="AI5025" s="1"/>
    </row>
    <row r="5026" spans="4:35" hidden="1">
      <c r="D5026" s="1"/>
      <c r="K5026" s="1"/>
      <c r="Q5026" s="1"/>
      <c r="AD5026" s="1"/>
      <c r="AG5026" s="1"/>
      <c r="AI5026" s="1"/>
    </row>
    <row r="5027" spans="4:35" hidden="1">
      <c r="D5027" s="1"/>
      <c r="K5027" s="1"/>
      <c r="Q5027" s="1"/>
      <c r="AD5027" s="1"/>
      <c r="AG5027" s="1"/>
      <c r="AI5027" s="1"/>
    </row>
    <row r="5028" spans="4:35" hidden="1">
      <c r="D5028" s="1"/>
      <c r="K5028" s="1"/>
      <c r="Q5028" s="1"/>
      <c r="AD5028" s="1"/>
      <c r="AG5028" s="1"/>
      <c r="AI5028" s="1"/>
    </row>
    <row r="5029" spans="4:35" hidden="1">
      <c r="D5029" s="1"/>
      <c r="K5029" s="1"/>
      <c r="Q5029" s="1"/>
      <c r="AD5029" s="1"/>
      <c r="AG5029" s="1"/>
      <c r="AI5029" s="1"/>
    </row>
    <row r="5030" spans="4:35" hidden="1">
      <c r="D5030" s="1"/>
      <c r="K5030" s="1"/>
      <c r="Q5030" s="1"/>
      <c r="AD5030" s="1"/>
      <c r="AG5030" s="1"/>
      <c r="AI5030" s="1"/>
    </row>
    <row r="5031" spans="4:35" hidden="1">
      <c r="D5031" s="1"/>
      <c r="K5031" s="1"/>
      <c r="Q5031" s="1"/>
      <c r="AD5031" s="1"/>
      <c r="AG5031" s="1"/>
      <c r="AI5031" s="1"/>
    </row>
    <row r="5032" spans="4:35" hidden="1">
      <c r="D5032" s="1"/>
      <c r="K5032" s="1"/>
      <c r="Q5032" s="1"/>
      <c r="AD5032" s="1"/>
      <c r="AG5032" s="1"/>
      <c r="AI5032" s="1"/>
    </row>
    <row r="5033" spans="4:35" hidden="1">
      <c r="D5033" s="1"/>
      <c r="K5033" s="1"/>
      <c r="Q5033" s="1"/>
      <c r="AD5033" s="1"/>
      <c r="AG5033" s="1"/>
      <c r="AI5033" s="1"/>
    </row>
    <row r="5034" spans="4:35" hidden="1">
      <c r="D5034" s="1"/>
      <c r="K5034" s="1"/>
      <c r="Q5034" s="1"/>
      <c r="AD5034" s="1"/>
      <c r="AG5034" s="1"/>
      <c r="AI5034" s="1"/>
    </row>
    <row r="5035" spans="4:35" hidden="1">
      <c r="D5035" s="1"/>
      <c r="K5035" s="1"/>
      <c r="Q5035" s="1"/>
      <c r="AD5035" s="1"/>
      <c r="AG5035" s="1"/>
      <c r="AI5035" s="1"/>
    </row>
    <row r="5036" spans="4:35" hidden="1">
      <c r="D5036" s="1"/>
      <c r="K5036" s="1"/>
      <c r="Q5036" s="1"/>
      <c r="AD5036" s="1"/>
      <c r="AG5036" s="1"/>
      <c r="AI5036" s="1"/>
    </row>
    <row r="5037" spans="4:35" hidden="1">
      <c r="D5037" s="1"/>
      <c r="K5037" s="1"/>
      <c r="Q5037" s="1"/>
      <c r="AD5037" s="1"/>
      <c r="AG5037" s="1"/>
      <c r="AI5037" s="1"/>
    </row>
    <row r="5038" spans="4:35" hidden="1">
      <c r="D5038" s="1"/>
      <c r="K5038" s="1"/>
      <c r="Q5038" s="1"/>
      <c r="AD5038" s="1"/>
      <c r="AG5038" s="1"/>
      <c r="AI5038" s="1"/>
    </row>
    <row r="5039" spans="4:35" hidden="1">
      <c r="D5039" s="1"/>
      <c r="K5039" s="1"/>
      <c r="Q5039" s="1"/>
      <c r="AD5039" s="1"/>
      <c r="AG5039" s="1"/>
      <c r="AI5039" s="1"/>
    </row>
    <row r="5040" spans="4:35" hidden="1">
      <c r="D5040" s="1"/>
      <c r="K5040" s="1"/>
      <c r="Q5040" s="1"/>
      <c r="AD5040" s="1"/>
      <c r="AG5040" s="1"/>
      <c r="AI5040" s="1"/>
    </row>
    <row r="5041" spans="4:35" hidden="1">
      <c r="D5041" s="1"/>
      <c r="K5041" s="1"/>
      <c r="Q5041" s="1"/>
      <c r="AD5041" s="1"/>
      <c r="AG5041" s="1"/>
      <c r="AI5041" s="1"/>
    </row>
    <row r="5042" spans="4:35" hidden="1">
      <c r="D5042" s="1"/>
      <c r="K5042" s="1"/>
      <c r="Q5042" s="1"/>
      <c r="AD5042" s="1"/>
      <c r="AG5042" s="1"/>
      <c r="AI5042" s="1"/>
    </row>
    <row r="5043" spans="4:35" hidden="1">
      <c r="D5043" s="1"/>
      <c r="K5043" s="1"/>
      <c r="Q5043" s="1"/>
      <c r="AD5043" s="1"/>
      <c r="AG5043" s="1"/>
      <c r="AI5043" s="1"/>
    </row>
    <row r="5044" spans="4:35" hidden="1">
      <c r="D5044" s="1"/>
      <c r="K5044" s="1"/>
      <c r="Q5044" s="1"/>
      <c r="AD5044" s="1"/>
      <c r="AG5044" s="1"/>
      <c r="AI5044" s="1"/>
    </row>
    <row r="5045" spans="4:35" hidden="1">
      <c r="D5045" s="1"/>
      <c r="K5045" s="1"/>
      <c r="Q5045" s="1"/>
      <c r="AD5045" s="1"/>
      <c r="AG5045" s="1"/>
      <c r="AI5045" s="1"/>
    </row>
    <row r="5046" spans="4:35" hidden="1">
      <c r="D5046" s="1"/>
      <c r="K5046" s="1"/>
      <c r="Q5046" s="1"/>
      <c r="AD5046" s="1"/>
      <c r="AG5046" s="1"/>
      <c r="AI5046" s="1"/>
    </row>
    <row r="5047" spans="4:35" hidden="1">
      <c r="D5047" s="1"/>
      <c r="K5047" s="1"/>
      <c r="Q5047" s="1"/>
      <c r="AD5047" s="1"/>
      <c r="AG5047" s="1"/>
      <c r="AI5047" s="1"/>
    </row>
    <row r="5048" spans="4:35" hidden="1">
      <c r="D5048" s="1"/>
      <c r="K5048" s="1"/>
      <c r="Q5048" s="1"/>
      <c r="AD5048" s="1"/>
      <c r="AG5048" s="1"/>
      <c r="AI5048" s="1"/>
    </row>
    <row r="5049" spans="4:35" hidden="1">
      <c r="D5049" s="1"/>
      <c r="K5049" s="1"/>
      <c r="Q5049" s="1"/>
      <c r="AD5049" s="1"/>
      <c r="AG5049" s="1"/>
      <c r="AI5049" s="1"/>
    </row>
    <row r="5050" spans="4:35" hidden="1">
      <c r="D5050" s="1"/>
      <c r="K5050" s="1"/>
      <c r="Q5050" s="1"/>
      <c r="AD5050" s="1"/>
      <c r="AG5050" s="1"/>
      <c r="AI5050" s="1"/>
    </row>
    <row r="5051" spans="4:35" hidden="1">
      <c r="D5051" s="1"/>
      <c r="K5051" s="1"/>
      <c r="Q5051" s="1"/>
      <c r="AD5051" s="1"/>
      <c r="AG5051" s="1"/>
      <c r="AI5051" s="1"/>
    </row>
    <row r="5052" spans="4:35" hidden="1">
      <c r="D5052" s="1"/>
      <c r="K5052" s="1"/>
      <c r="Q5052" s="1"/>
      <c r="AD5052" s="1"/>
      <c r="AG5052" s="1"/>
      <c r="AI5052" s="1"/>
    </row>
    <row r="5053" spans="4:35" hidden="1">
      <c r="D5053" s="1"/>
      <c r="K5053" s="1"/>
      <c r="Q5053" s="1"/>
      <c r="AD5053" s="1"/>
      <c r="AG5053" s="1"/>
      <c r="AI5053" s="1"/>
    </row>
    <row r="5054" spans="4:35" hidden="1">
      <c r="D5054" s="1"/>
      <c r="K5054" s="1"/>
      <c r="Q5054" s="1"/>
      <c r="AD5054" s="1"/>
      <c r="AG5054" s="1"/>
      <c r="AI5054" s="1"/>
    </row>
    <row r="5055" spans="4:35" hidden="1">
      <c r="D5055" s="1"/>
      <c r="K5055" s="1"/>
      <c r="Q5055" s="1"/>
      <c r="AD5055" s="1"/>
      <c r="AG5055" s="1"/>
      <c r="AI5055" s="1"/>
    </row>
    <row r="5056" spans="4:35" hidden="1">
      <c r="D5056" s="1"/>
      <c r="K5056" s="1"/>
      <c r="Q5056" s="1"/>
      <c r="AD5056" s="1"/>
      <c r="AG5056" s="1"/>
      <c r="AI5056" s="1"/>
    </row>
    <row r="5057" spans="4:35" hidden="1">
      <c r="D5057" s="1"/>
      <c r="K5057" s="1"/>
      <c r="Q5057" s="1"/>
      <c r="AD5057" s="1"/>
      <c r="AG5057" s="1"/>
      <c r="AI5057" s="1"/>
    </row>
    <row r="5058" spans="4:35" hidden="1">
      <c r="D5058" s="1"/>
      <c r="K5058" s="1"/>
      <c r="Q5058" s="1"/>
      <c r="AD5058" s="1"/>
      <c r="AG5058" s="1"/>
      <c r="AI5058" s="1"/>
    </row>
    <row r="5059" spans="4:35" hidden="1">
      <c r="D5059" s="1"/>
      <c r="K5059" s="1"/>
      <c r="Q5059" s="1"/>
      <c r="AD5059" s="1"/>
      <c r="AG5059" s="1"/>
      <c r="AI5059" s="1"/>
    </row>
    <row r="5060" spans="4:35" hidden="1">
      <c r="D5060" s="1"/>
      <c r="K5060" s="1"/>
      <c r="Q5060" s="1"/>
      <c r="AD5060" s="1"/>
      <c r="AG5060" s="1"/>
      <c r="AI5060" s="1"/>
    </row>
    <row r="5061" spans="4:35" hidden="1">
      <c r="D5061" s="1"/>
      <c r="K5061" s="1"/>
      <c r="Q5061" s="1"/>
      <c r="AD5061" s="1"/>
      <c r="AG5061" s="1"/>
      <c r="AI5061" s="1"/>
    </row>
    <row r="5062" spans="4:35" hidden="1">
      <c r="D5062" s="1"/>
      <c r="K5062" s="1"/>
      <c r="Q5062" s="1"/>
      <c r="AD5062" s="1"/>
      <c r="AG5062" s="1"/>
      <c r="AI5062" s="1"/>
    </row>
    <row r="5063" spans="4:35" hidden="1">
      <c r="D5063" s="1"/>
      <c r="K5063" s="1"/>
      <c r="Q5063" s="1"/>
      <c r="AD5063" s="1"/>
      <c r="AG5063" s="1"/>
      <c r="AI5063" s="1"/>
    </row>
    <row r="5064" spans="4:35" hidden="1">
      <c r="D5064" s="1"/>
      <c r="K5064" s="1"/>
      <c r="Q5064" s="1"/>
      <c r="AD5064" s="1"/>
      <c r="AG5064" s="1"/>
      <c r="AI5064" s="1"/>
    </row>
    <row r="5065" spans="4:35" hidden="1">
      <c r="D5065" s="1"/>
      <c r="K5065" s="1"/>
      <c r="Q5065" s="1"/>
      <c r="AD5065" s="1"/>
      <c r="AG5065" s="1"/>
      <c r="AI5065" s="1"/>
    </row>
    <row r="5066" spans="4:35" hidden="1">
      <c r="D5066" s="1"/>
      <c r="K5066" s="1"/>
      <c r="Q5066" s="1"/>
      <c r="AD5066" s="1"/>
      <c r="AG5066" s="1"/>
      <c r="AI5066" s="1"/>
    </row>
    <row r="5067" spans="4:35" hidden="1">
      <c r="D5067" s="1"/>
      <c r="K5067" s="1"/>
      <c r="Q5067" s="1"/>
      <c r="AD5067" s="1"/>
      <c r="AG5067" s="1"/>
      <c r="AI5067" s="1"/>
    </row>
    <row r="5068" spans="4:35" hidden="1">
      <c r="D5068" s="1"/>
      <c r="K5068" s="1"/>
      <c r="Q5068" s="1"/>
      <c r="AD5068" s="1"/>
      <c r="AG5068" s="1"/>
      <c r="AI5068" s="1"/>
    </row>
    <row r="5069" spans="4:35" hidden="1">
      <c r="D5069" s="1"/>
      <c r="K5069" s="1"/>
      <c r="Q5069" s="1"/>
      <c r="AD5069" s="1"/>
      <c r="AG5069" s="1"/>
      <c r="AI5069" s="1"/>
    </row>
    <row r="5070" spans="4:35" hidden="1">
      <c r="D5070" s="1"/>
      <c r="K5070" s="1"/>
      <c r="Q5070" s="1"/>
      <c r="AD5070" s="1"/>
      <c r="AG5070" s="1"/>
      <c r="AI5070" s="1"/>
    </row>
    <row r="5071" spans="4:35" hidden="1">
      <c r="D5071" s="1"/>
      <c r="K5071" s="1"/>
      <c r="Q5071" s="1"/>
      <c r="AD5071" s="1"/>
      <c r="AG5071" s="1"/>
      <c r="AI5071" s="1"/>
    </row>
    <row r="5072" spans="4:35" hidden="1">
      <c r="D5072" s="1"/>
      <c r="K5072" s="1"/>
      <c r="Q5072" s="1"/>
      <c r="AD5072" s="1"/>
      <c r="AG5072" s="1"/>
      <c r="AI5072" s="1"/>
    </row>
    <row r="5073" spans="4:35" hidden="1">
      <c r="D5073" s="1"/>
      <c r="K5073" s="1"/>
      <c r="Q5073" s="1"/>
      <c r="AD5073" s="1"/>
      <c r="AG5073" s="1"/>
      <c r="AI5073" s="1"/>
    </row>
    <row r="5074" spans="4:35" hidden="1">
      <c r="D5074" s="1"/>
      <c r="K5074" s="1"/>
      <c r="Q5074" s="1"/>
      <c r="AD5074" s="1"/>
      <c r="AG5074" s="1"/>
      <c r="AI5074" s="1"/>
    </row>
    <row r="5075" spans="4:35" hidden="1">
      <c r="D5075" s="1"/>
      <c r="K5075" s="1"/>
      <c r="Q5075" s="1"/>
      <c r="AD5075" s="1"/>
      <c r="AG5075" s="1"/>
      <c r="AI5075" s="1"/>
    </row>
    <row r="5076" spans="4:35" hidden="1">
      <c r="D5076" s="1"/>
      <c r="K5076" s="1"/>
      <c r="Q5076" s="1"/>
      <c r="AD5076" s="1"/>
      <c r="AG5076" s="1"/>
      <c r="AI5076" s="1"/>
    </row>
    <row r="5077" spans="4:35" hidden="1">
      <c r="D5077" s="1"/>
      <c r="K5077" s="1"/>
      <c r="Q5077" s="1"/>
      <c r="AD5077" s="1"/>
      <c r="AG5077" s="1"/>
      <c r="AI5077" s="1"/>
    </row>
    <row r="5078" spans="4:35" hidden="1">
      <c r="D5078" s="1"/>
      <c r="K5078" s="1"/>
      <c r="Q5078" s="1"/>
      <c r="AD5078" s="1"/>
      <c r="AG5078" s="1"/>
      <c r="AI5078" s="1"/>
    </row>
    <row r="5079" spans="4:35" hidden="1">
      <c r="D5079" s="1"/>
      <c r="K5079" s="1"/>
      <c r="Q5079" s="1"/>
      <c r="AD5079" s="1"/>
      <c r="AG5079" s="1"/>
      <c r="AI5079" s="1"/>
    </row>
    <row r="5080" spans="4:35" hidden="1">
      <c r="D5080" s="1"/>
      <c r="K5080" s="1"/>
      <c r="Q5080" s="1"/>
      <c r="AD5080" s="1"/>
      <c r="AG5080" s="1"/>
      <c r="AI5080" s="1"/>
    </row>
    <row r="5081" spans="4:35" hidden="1">
      <c r="D5081" s="1"/>
      <c r="K5081" s="1"/>
      <c r="Q5081" s="1"/>
      <c r="AD5081" s="1"/>
      <c r="AG5081" s="1"/>
      <c r="AI5081" s="1"/>
    </row>
    <row r="5082" spans="4:35" hidden="1">
      <c r="D5082" s="1"/>
      <c r="K5082" s="1"/>
      <c r="Q5082" s="1"/>
      <c r="AD5082" s="1"/>
      <c r="AG5082" s="1"/>
      <c r="AI5082" s="1"/>
    </row>
    <row r="5083" spans="4:35" hidden="1">
      <c r="D5083" s="1"/>
      <c r="K5083" s="1"/>
      <c r="Q5083" s="1"/>
      <c r="AD5083" s="1"/>
      <c r="AG5083" s="1"/>
      <c r="AI5083" s="1"/>
    </row>
    <row r="5084" spans="4:35" hidden="1">
      <c r="D5084" s="1"/>
      <c r="K5084" s="1"/>
      <c r="Q5084" s="1"/>
      <c r="AD5084" s="1"/>
      <c r="AG5084" s="1"/>
      <c r="AI5084" s="1"/>
    </row>
    <row r="5085" spans="4:35" hidden="1">
      <c r="D5085" s="1"/>
      <c r="K5085" s="1"/>
      <c r="Q5085" s="1"/>
      <c r="AD5085" s="1"/>
      <c r="AG5085" s="1"/>
      <c r="AI5085" s="1"/>
    </row>
    <row r="5086" spans="4:35" hidden="1">
      <c r="D5086" s="1"/>
      <c r="K5086" s="1"/>
      <c r="Q5086" s="1"/>
      <c r="AD5086" s="1"/>
      <c r="AG5086" s="1"/>
      <c r="AI5086" s="1"/>
    </row>
    <row r="5087" spans="4:35" hidden="1">
      <c r="D5087" s="1"/>
      <c r="K5087" s="1"/>
      <c r="Q5087" s="1"/>
      <c r="AD5087" s="1"/>
      <c r="AG5087" s="1"/>
      <c r="AI5087" s="1"/>
    </row>
    <row r="5088" spans="4:35" hidden="1">
      <c r="D5088" s="1"/>
      <c r="K5088" s="1"/>
      <c r="Q5088" s="1"/>
      <c r="AD5088" s="1"/>
      <c r="AG5088" s="1"/>
      <c r="AI5088" s="1"/>
    </row>
    <row r="5089" spans="4:35" hidden="1">
      <c r="D5089" s="1"/>
      <c r="K5089" s="1"/>
      <c r="Q5089" s="1"/>
      <c r="AD5089" s="1"/>
      <c r="AG5089" s="1"/>
      <c r="AI5089" s="1"/>
    </row>
    <row r="5090" spans="4:35" hidden="1">
      <c r="D5090" s="1"/>
      <c r="K5090" s="1"/>
      <c r="Q5090" s="1"/>
      <c r="AD5090" s="1"/>
      <c r="AG5090" s="1"/>
      <c r="AI5090" s="1"/>
    </row>
    <row r="5091" spans="4:35" hidden="1">
      <c r="D5091" s="1"/>
      <c r="K5091" s="1"/>
      <c r="Q5091" s="1"/>
      <c r="AD5091" s="1"/>
      <c r="AG5091" s="1"/>
      <c r="AI5091" s="1"/>
    </row>
    <row r="5092" spans="4:35" hidden="1">
      <c r="D5092" s="1"/>
      <c r="K5092" s="1"/>
      <c r="Q5092" s="1"/>
      <c r="AD5092" s="1"/>
      <c r="AG5092" s="1"/>
      <c r="AI5092" s="1"/>
    </row>
    <row r="5093" spans="4:35" hidden="1">
      <c r="D5093" s="1"/>
      <c r="K5093" s="1"/>
      <c r="Q5093" s="1"/>
      <c r="AD5093" s="1"/>
      <c r="AG5093" s="1"/>
      <c r="AI5093" s="1"/>
    </row>
    <row r="5094" spans="4:35" hidden="1">
      <c r="D5094" s="1"/>
      <c r="K5094" s="1"/>
      <c r="Q5094" s="1"/>
      <c r="AD5094" s="1"/>
      <c r="AG5094" s="1"/>
      <c r="AI5094" s="1"/>
    </row>
    <row r="5095" spans="4:35" hidden="1">
      <c r="D5095" s="1"/>
      <c r="K5095" s="1"/>
      <c r="Q5095" s="1"/>
      <c r="AD5095" s="1"/>
      <c r="AG5095" s="1"/>
      <c r="AI5095" s="1"/>
    </row>
    <row r="5096" spans="4:35" hidden="1">
      <c r="D5096" s="1"/>
      <c r="K5096" s="1"/>
      <c r="Q5096" s="1"/>
      <c r="AD5096" s="1"/>
      <c r="AG5096" s="1"/>
      <c r="AI5096" s="1"/>
    </row>
    <row r="5097" spans="4:35" hidden="1">
      <c r="D5097" s="1"/>
      <c r="K5097" s="1"/>
      <c r="Q5097" s="1"/>
      <c r="AD5097" s="1"/>
      <c r="AG5097" s="1"/>
      <c r="AI5097" s="1"/>
    </row>
    <row r="5098" spans="4:35" hidden="1">
      <c r="D5098" s="1"/>
      <c r="K5098" s="1"/>
      <c r="Q5098" s="1"/>
      <c r="AD5098" s="1"/>
      <c r="AG5098" s="1"/>
      <c r="AI5098" s="1"/>
    </row>
    <row r="5099" spans="4:35" hidden="1">
      <c r="D5099" s="1"/>
      <c r="K5099" s="1"/>
      <c r="Q5099" s="1"/>
      <c r="AD5099" s="1"/>
      <c r="AG5099" s="1"/>
      <c r="AI5099" s="1"/>
    </row>
    <row r="5100" spans="4:35" hidden="1">
      <c r="D5100" s="1"/>
      <c r="K5100" s="1"/>
      <c r="Q5100" s="1"/>
      <c r="AD5100" s="1"/>
      <c r="AG5100" s="1"/>
      <c r="AI5100" s="1"/>
    </row>
    <row r="5101" spans="4:35" hidden="1">
      <c r="D5101" s="1"/>
      <c r="K5101" s="1"/>
      <c r="Q5101" s="1"/>
      <c r="AD5101" s="1"/>
      <c r="AG5101" s="1"/>
      <c r="AI5101" s="1"/>
    </row>
    <row r="5102" spans="4:35" hidden="1">
      <c r="D5102" s="1"/>
      <c r="K5102" s="1"/>
      <c r="Q5102" s="1"/>
      <c r="AD5102" s="1"/>
      <c r="AG5102" s="1"/>
      <c r="AI5102" s="1"/>
    </row>
    <row r="5103" spans="4:35" hidden="1">
      <c r="D5103" s="1"/>
      <c r="K5103" s="1"/>
      <c r="Q5103" s="1"/>
      <c r="AD5103" s="1"/>
      <c r="AG5103" s="1"/>
      <c r="AI5103" s="1"/>
    </row>
    <row r="5104" spans="4:35" hidden="1">
      <c r="D5104" s="1"/>
      <c r="K5104" s="1"/>
      <c r="Q5104" s="1"/>
      <c r="AD5104" s="1"/>
      <c r="AG5104" s="1"/>
      <c r="AI5104" s="1"/>
    </row>
    <row r="5105" spans="4:35" hidden="1">
      <c r="D5105" s="1"/>
      <c r="K5105" s="1"/>
      <c r="Q5105" s="1"/>
      <c r="AD5105" s="1"/>
      <c r="AG5105" s="1"/>
      <c r="AI5105" s="1"/>
    </row>
    <row r="5106" spans="4:35" hidden="1">
      <c r="D5106" s="1"/>
      <c r="K5106" s="1"/>
      <c r="Q5106" s="1"/>
      <c r="AD5106" s="1"/>
      <c r="AG5106" s="1"/>
      <c r="AI5106" s="1"/>
    </row>
    <row r="5107" spans="4:35" hidden="1">
      <c r="D5107" s="1"/>
      <c r="K5107" s="1"/>
      <c r="Q5107" s="1"/>
      <c r="AD5107" s="1"/>
      <c r="AG5107" s="1"/>
      <c r="AI5107" s="1"/>
    </row>
    <row r="5108" spans="4:35" hidden="1">
      <c r="D5108" s="1"/>
      <c r="K5108" s="1"/>
      <c r="Q5108" s="1"/>
      <c r="AD5108" s="1"/>
      <c r="AG5108" s="1"/>
      <c r="AI5108" s="1"/>
    </row>
    <row r="5109" spans="4:35" hidden="1">
      <c r="D5109" s="1"/>
      <c r="K5109" s="1"/>
      <c r="Q5109" s="1"/>
      <c r="AD5109" s="1"/>
      <c r="AG5109" s="1"/>
      <c r="AI5109" s="1"/>
    </row>
    <row r="5110" spans="4:35" hidden="1">
      <c r="D5110" s="1"/>
      <c r="K5110" s="1"/>
      <c r="Q5110" s="1"/>
      <c r="AD5110" s="1"/>
      <c r="AG5110" s="1"/>
      <c r="AI5110" s="1"/>
    </row>
    <row r="5111" spans="4:35" hidden="1">
      <c r="D5111" s="1"/>
      <c r="K5111" s="1"/>
      <c r="Q5111" s="1"/>
      <c r="AD5111" s="1"/>
      <c r="AG5111" s="1"/>
      <c r="AI5111" s="1"/>
    </row>
    <row r="5112" spans="4:35" hidden="1">
      <c r="D5112" s="1"/>
      <c r="K5112" s="1"/>
      <c r="Q5112" s="1"/>
      <c r="AD5112" s="1"/>
      <c r="AG5112" s="1"/>
      <c r="AI5112" s="1"/>
    </row>
    <row r="5113" spans="4:35" hidden="1">
      <c r="D5113" s="1"/>
      <c r="K5113" s="1"/>
      <c r="Q5113" s="1"/>
      <c r="AD5113" s="1"/>
      <c r="AG5113" s="1"/>
      <c r="AI5113" s="1"/>
    </row>
    <row r="5114" spans="4:35" hidden="1">
      <c r="D5114" s="1"/>
      <c r="K5114" s="1"/>
      <c r="Q5114" s="1"/>
      <c r="AD5114" s="1"/>
      <c r="AG5114" s="1"/>
      <c r="AI5114" s="1"/>
    </row>
    <row r="5115" spans="4:35" hidden="1">
      <c r="D5115" s="1"/>
      <c r="K5115" s="1"/>
      <c r="Q5115" s="1"/>
      <c r="AD5115" s="1"/>
      <c r="AG5115" s="1"/>
      <c r="AI5115" s="1"/>
    </row>
    <row r="5116" spans="4:35" hidden="1">
      <c r="D5116" s="1"/>
      <c r="K5116" s="1"/>
      <c r="Q5116" s="1"/>
      <c r="AD5116" s="1"/>
      <c r="AG5116" s="1"/>
      <c r="AI5116" s="1"/>
    </row>
    <row r="5117" spans="4:35" hidden="1">
      <c r="D5117" s="1"/>
      <c r="K5117" s="1"/>
      <c r="Q5117" s="1"/>
      <c r="AD5117" s="1"/>
      <c r="AG5117" s="1"/>
      <c r="AI5117" s="1"/>
    </row>
    <row r="5118" spans="4:35" hidden="1">
      <c r="D5118" s="1"/>
      <c r="K5118" s="1"/>
      <c r="Q5118" s="1"/>
      <c r="AD5118" s="1"/>
      <c r="AG5118" s="1"/>
      <c r="AI5118" s="1"/>
    </row>
    <row r="5119" spans="4:35" hidden="1">
      <c r="D5119" s="1"/>
      <c r="K5119" s="1"/>
      <c r="Q5119" s="1"/>
      <c r="AD5119" s="1"/>
      <c r="AG5119" s="1"/>
      <c r="AI5119" s="1"/>
    </row>
    <row r="5120" spans="4:35" hidden="1">
      <c r="D5120" s="1"/>
      <c r="K5120" s="1"/>
      <c r="Q5120" s="1"/>
      <c r="AD5120" s="1"/>
      <c r="AG5120" s="1"/>
      <c r="AI5120" s="1"/>
    </row>
    <row r="5121" spans="4:35" hidden="1">
      <c r="D5121" s="1"/>
      <c r="K5121" s="1"/>
      <c r="Q5121" s="1"/>
      <c r="AD5121" s="1"/>
      <c r="AG5121" s="1"/>
      <c r="AI5121" s="1"/>
    </row>
    <row r="5122" spans="4:35" hidden="1">
      <c r="D5122" s="1"/>
      <c r="K5122" s="1"/>
      <c r="Q5122" s="1"/>
      <c r="AD5122" s="1"/>
      <c r="AG5122" s="1"/>
      <c r="AI5122" s="1"/>
    </row>
    <row r="5123" spans="4:35" hidden="1">
      <c r="D5123" s="1"/>
      <c r="K5123" s="1"/>
      <c r="Q5123" s="1"/>
      <c r="AD5123" s="1"/>
      <c r="AG5123" s="1"/>
      <c r="AI5123" s="1"/>
    </row>
    <row r="5124" spans="4:35" hidden="1">
      <c r="D5124" s="1"/>
      <c r="K5124" s="1"/>
      <c r="Q5124" s="1"/>
      <c r="AD5124" s="1"/>
      <c r="AG5124" s="1"/>
      <c r="AI5124" s="1"/>
    </row>
    <row r="5125" spans="4:35" hidden="1">
      <c r="D5125" s="1"/>
      <c r="K5125" s="1"/>
      <c r="Q5125" s="1"/>
      <c r="AD5125" s="1"/>
      <c r="AG5125" s="1"/>
      <c r="AI5125" s="1"/>
    </row>
    <row r="5126" spans="4:35" hidden="1">
      <c r="D5126" s="1"/>
      <c r="K5126" s="1"/>
      <c r="Q5126" s="1"/>
      <c r="AD5126" s="1"/>
      <c r="AG5126" s="1"/>
      <c r="AI5126" s="1"/>
    </row>
    <row r="5127" spans="4:35" hidden="1">
      <c r="D5127" s="1"/>
      <c r="K5127" s="1"/>
      <c r="Q5127" s="1"/>
      <c r="AD5127" s="1"/>
      <c r="AG5127" s="1"/>
      <c r="AI5127" s="1"/>
    </row>
    <row r="5128" spans="4:35" hidden="1">
      <c r="D5128" s="1"/>
      <c r="K5128" s="1"/>
      <c r="Q5128" s="1"/>
      <c r="AD5128" s="1"/>
      <c r="AG5128" s="1"/>
      <c r="AI5128" s="1"/>
    </row>
    <row r="5129" spans="4:35" hidden="1">
      <c r="D5129" s="1"/>
      <c r="K5129" s="1"/>
      <c r="Q5129" s="1"/>
      <c r="AD5129" s="1"/>
      <c r="AG5129" s="1"/>
      <c r="AI5129" s="1"/>
    </row>
    <row r="5130" spans="4:35" hidden="1">
      <c r="D5130" s="1"/>
      <c r="K5130" s="1"/>
      <c r="Q5130" s="1"/>
      <c r="AD5130" s="1"/>
      <c r="AG5130" s="1"/>
      <c r="AI5130" s="1"/>
    </row>
    <row r="5131" spans="4:35" hidden="1">
      <c r="D5131" s="1"/>
      <c r="K5131" s="1"/>
      <c r="Q5131" s="1"/>
      <c r="AD5131" s="1"/>
      <c r="AG5131" s="1"/>
      <c r="AI5131" s="1"/>
    </row>
    <row r="5132" spans="4:35" hidden="1">
      <c r="D5132" s="1"/>
      <c r="K5132" s="1"/>
      <c r="Q5132" s="1"/>
      <c r="AD5132" s="1"/>
      <c r="AG5132" s="1"/>
      <c r="AI5132" s="1"/>
    </row>
    <row r="5133" spans="4:35" hidden="1">
      <c r="D5133" s="1"/>
      <c r="K5133" s="1"/>
      <c r="Q5133" s="1"/>
      <c r="AD5133" s="1"/>
      <c r="AG5133" s="1"/>
      <c r="AI5133" s="1"/>
    </row>
    <row r="5134" spans="4:35" hidden="1">
      <c r="D5134" s="1"/>
      <c r="K5134" s="1"/>
      <c r="Q5134" s="1"/>
      <c r="AD5134" s="1"/>
      <c r="AG5134" s="1"/>
      <c r="AI5134" s="1"/>
    </row>
    <row r="5135" spans="4:35" hidden="1">
      <c r="D5135" s="1"/>
      <c r="K5135" s="1"/>
      <c r="Q5135" s="1"/>
      <c r="AD5135" s="1"/>
      <c r="AG5135" s="1"/>
      <c r="AI5135" s="1"/>
    </row>
    <row r="5136" spans="4:35" hidden="1">
      <c r="D5136" s="1"/>
      <c r="K5136" s="1"/>
      <c r="Q5136" s="1"/>
      <c r="AD5136" s="1"/>
      <c r="AG5136" s="1"/>
      <c r="AI5136" s="1"/>
    </row>
    <row r="5137" spans="4:35" hidden="1">
      <c r="D5137" s="1"/>
      <c r="K5137" s="1"/>
      <c r="Q5137" s="1"/>
      <c r="AD5137" s="1"/>
      <c r="AG5137" s="1"/>
      <c r="AI5137" s="1"/>
    </row>
    <row r="5138" spans="4:35" hidden="1">
      <c r="D5138" s="1"/>
      <c r="K5138" s="1"/>
      <c r="Q5138" s="1"/>
      <c r="AD5138" s="1"/>
      <c r="AG5138" s="1"/>
      <c r="AI5138" s="1"/>
    </row>
    <row r="5139" spans="4:35" hidden="1">
      <c r="D5139" s="1"/>
      <c r="K5139" s="1"/>
      <c r="Q5139" s="1"/>
      <c r="AD5139" s="1"/>
      <c r="AG5139" s="1"/>
      <c r="AI5139" s="1"/>
    </row>
    <row r="5140" spans="4:35" hidden="1">
      <c r="D5140" s="1"/>
      <c r="K5140" s="1"/>
      <c r="Q5140" s="1"/>
      <c r="AD5140" s="1"/>
      <c r="AG5140" s="1"/>
      <c r="AI5140" s="1"/>
    </row>
    <row r="5141" spans="4:35" hidden="1">
      <c r="D5141" s="1"/>
      <c r="K5141" s="1"/>
      <c r="Q5141" s="1"/>
      <c r="AD5141" s="1"/>
      <c r="AG5141" s="1"/>
      <c r="AI5141" s="1"/>
    </row>
    <row r="5142" spans="4:35" hidden="1">
      <c r="D5142" s="1"/>
      <c r="K5142" s="1"/>
      <c r="Q5142" s="1"/>
      <c r="AD5142" s="1"/>
      <c r="AG5142" s="1"/>
      <c r="AI5142" s="1"/>
    </row>
    <row r="5143" spans="4:35" hidden="1">
      <c r="D5143" s="1"/>
      <c r="K5143" s="1"/>
      <c r="Q5143" s="1"/>
      <c r="AD5143" s="1"/>
      <c r="AG5143" s="1"/>
      <c r="AI5143" s="1"/>
    </row>
    <row r="5144" spans="4:35" hidden="1">
      <c r="D5144" s="1"/>
      <c r="K5144" s="1"/>
      <c r="Q5144" s="1"/>
      <c r="AD5144" s="1"/>
      <c r="AG5144" s="1"/>
      <c r="AI5144" s="1"/>
    </row>
    <row r="5145" spans="4:35" hidden="1">
      <c r="D5145" s="1"/>
      <c r="K5145" s="1"/>
      <c r="Q5145" s="1"/>
      <c r="AD5145" s="1"/>
      <c r="AG5145" s="1"/>
      <c r="AI5145" s="1"/>
    </row>
    <row r="5146" spans="4:35" hidden="1">
      <c r="D5146" s="1"/>
      <c r="K5146" s="1"/>
      <c r="Q5146" s="1"/>
      <c r="AD5146" s="1"/>
      <c r="AG5146" s="1"/>
      <c r="AI5146" s="1"/>
    </row>
    <row r="5147" spans="4:35" hidden="1">
      <c r="D5147" s="1"/>
      <c r="K5147" s="1"/>
      <c r="Q5147" s="1"/>
      <c r="AD5147" s="1"/>
      <c r="AG5147" s="1"/>
      <c r="AI5147" s="1"/>
    </row>
    <row r="5148" spans="4:35" hidden="1">
      <c r="D5148" s="1"/>
      <c r="K5148" s="1"/>
      <c r="Q5148" s="1"/>
      <c r="AD5148" s="1"/>
      <c r="AG5148" s="1"/>
      <c r="AI5148" s="1"/>
    </row>
    <row r="5149" spans="4:35" hidden="1">
      <c r="D5149" s="1"/>
      <c r="K5149" s="1"/>
      <c r="Q5149" s="1"/>
      <c r="AD5149" s="1"/>
      <c r="AG5149" s="1"/>
      <c r="AI5149" s="1"/>
    </row>
    <row r="5150" spans="4:35" hidden="1">
      <c r="D5150" s="1"/>
      <c r="K5150" s="1"/>
      <c r="Q5150" s="1"/>
      <c r="AD5150" s="1"/>
      <c r="AG5150" s="1"/>
      <c r="AI5150" s="1"/>
    </row>
    <row r="5151" spans="4:35" hidden="1">
      <c r="D5151" s="1"/>
      <c r="K5151" s="1"/>
      <c r="Q5151" s="1"/>
      <c r="AD5151" s="1"/>
      <c r="AG5151" s="1"/>
      <c r="AI5151" s="1"/>
    </row>
    <row r="5152" spans="4:35" hidden="1">
      <c r="D5152" s="1"/>
      <c r="K5152" s="1"/>
      <c r="Q5152" s="1"/>
      <c r="AD5152" s="1"/>
      <c r="AG5152" s="1"/>
      <c r="AI5152" s="1"/>
    </row>
    <row r="5153" spans="4:35" hidden="1">
      <c r="D5153" s="1"/>
      <c r="K5153" s="1"/>
      <c r="Q5153" s="1"/>
      <c r="AD5153" s="1"/>
      <c r="AG5153" s="1"/>
      <c r="AI5153" s="1"/>
    </row>
    <row r="5154" spans="4:35" hidden="1">
      <c r="D5154" s="1"/>
      <c r="K5154" s="1"/>
      <c r="Q5154" s="1"/>
      <c r="AD5154" s="1"/>
      <c r="AG5154" s="1"/>
      <c r="AI5154" s="1"/>
    </row>
    <row r="5155" spans="4:35" hidden="1">
      <c r="D5155" s="1"/>
      <c r="K5155" s="1"/>
      <c r="Q5155" s="1"/>
      <c r="AD5155" s="1"/>
      <c r="AG5155" s="1"/>
      <c r="AI5155" s="1"/>
    </row>
    <row r="5156" spans="4:35" hidden="1">
      <c r="D5156" s="1"/>
      <c r="K5156" s="1"/>
      <c r="Q5156" s="1"/>
      <c r="AD5156" s="1"/>
      <c r="AG5156" s="1"/>
      <c r="AI5156" s="1"/>
    </row>
    <row r="5157" spans="4:35" hidden="1">
      <c r="D5157" s="1"/>
      <c r="K5157" s="1"/>
      <c r="Q5157" s="1"/>
      <c r="AD5157" s="1"/>
      <c r="AG5157" s="1"/>
      <c r="AI5157" s="1"/>
    </row>
    <row r="5158" spans="4:35" hidden="1">
      <c r="D5158" s="1"/>
      <c r="K5158" s="1"/>
      <c r="Q5158" s="1"/>
      <c r="AD5158" s="1"/>
      <c r="AG5158" s="1"/>
      <c r="AI5158" s="1"/>
    </row>
    <row r="5159" spans="4:35" hidden="1">
      <c r="D5159" s="1"/>
      <c r="K5159" s="1"/>
      <c r="Q5159" s="1"/>
      <c r="AD5159" s="1"/>
      <c r="AG5159" s="1"/>
      <c r="AI5159" s="1"/>
    </row>
    <row r="5160" spans="4:35" hidden="1">
      <c r="D5160" s="1"/>
      <c r="K5160" s="1"/>
      <c r="Q5160" s="1"/>
      <c r="AD5160" s="1"/>
      <c r="AG5160" s="1"/>
      <c r="AI5160" s="1"/>
    </row>
    <row r="5161" spans="4:35" hidden="1">
      <c r="D5161" s="1"/>
      <c r="K5161" s="1"/>
      <c r="Q5161" s="1"/>
      <c r="AD5161" s="1"/>
      <c r="AG5161" s="1"/>
      <c r="AI5161" s="1"/>
    </row>
    <row r="5162" spans="4:35" hidden="1">
      <c r="D5162" s="1"/>
      <c r="K5162" s="1"/>
      <c r="Q5162" s="1"/>
      <c r="AD5162" s="1"/>
      <c r="AG5162" s="1"/>
      <c r="AI5162" s="1"/>
    </row>
    <row r="5163" spans="4:35" hidden="1">
      <c r="D5163" s="1"/>
      <c r="K5163" s="1"/>
      <c r="Q5163" s="1"/>
      <c r="AD5163" s="1"/>
      <c r="AG5163" s="1"/>
      <c r="AI5163" s="1"/>
    </row>
    <row r="5164" spans="4:35" hidden="1">
      <c r="D5164" s="1"/>
      <c r="K5164" s="1"/>
      <c r="Q5164" s="1"/>
      <c r="AD5164" s="1"/>
      <c r="AG5164" s="1"/>
      <c r="AI5164" s="1"/>
    </row>
    <row r="5165" spans="4:35" hidden="1">
      <c r="D5165" s="1"/>
      <c r="K5165" s="1"/>
      <c r="Q5165" s="1"/>
      <c r="AD5165" s="1"/>
      <c r="AG5165" s="1"/>
      <c r="AI5165" s="1"/>
    </row>
    <row r="5166" spans="4:35" hidden="1">
      <c r="D5166" s="1"/>
      <c r="K5166" s="1"/>
      <c r="Q5166" s="1"/>
      <c r="AD5166" s="1"/>
      <c r="AG5166" s="1"/>
      <c r="AI5166" s="1"/>
    </row>
    <row r="5167" spans="4:35" hidden="1">
      <c r="D5167" s="1"/>
      <c r="K5167" s="1"/>
      <c r="Q5167" s="1"/>
      <c r="AD5167" s="1"/>
      <c r="AG5167" s="1"/>
      <c r="AI5167" s="1"/>
    </row>
    <row r="5168" spans="4:35" hidden="1">
      <c r="D5168" s="1"/>
      <c r="K5168" s="1"/>
      <c r="Q5168" s="1"/>
      <c r="AD5168" s="1"/>
      <c r="AG5168" s="1"/>
      <c r="AI5168" s="1"/>
    </row>
    <row r="5169" spans="4:35" hidden="1">
      <c r="D5169" s="1"/>
      <c r="K5169" s="1"/>
      <c r="Q5169" s="1"/>
      <c r="AD5169" s="1"/>
      <c r="AG5169" s="1"/>
      <c r="AI5169" s="1"/>
    </row>
    <row r="5170" spans="4:35" hidden="1">
      <c r="D5170" s="1"/>
      <c r="K5170" s="1"/>
      <c r="Q5170" s="1"/>
      <c r="AD5170" s="1"/>
      <c r="AG5170" s="1"/>
      <c r="AI5170" s="1"/>
    </row>
    <row r="5171" spans="4:35" hidden="1">
      <c r="D5171" s="1"/>
      <c r="K5171" s="1"/>
      <c r="Q5171" s="1"/>
      <c r="AD5171" s="1"/>
      <c r="AG5171" s="1"/>
      <c r="AI5171" s="1"/>
    </row>
    <row r="5172" spans="4:35" hidden="1">
      <c r="D5172" s="1"/>
      <c r="K5172" s="1"/>
      <c r="Q5172" s="1"/>
      <c r="AD5172" s="1"/>
      <c r="AG5172" s="1"/>
      <c r="AI5172" s="1"/>
    </row>
    <row r="5173" spans="4:35" hidden="1">
      <c r="D5173" s="1"/>
      <c r="K5173" s="1"/>
      <c r="Q5173" s="1"/>
      <c r="AD5173" s="1"/>
      <c r="AG5173" s="1"/>
      <c r="AI5173" s="1"/>
    </row>
    <row r="5174" spans="4:35" hidden="1">
      <c r="D5174" s="1"/>
      <c r="K5174" s="1"/>
      <c r="Q5174" s="1"/>
      <c r="AD5174" s="1"/>
      <c r="AG5174" s="1"/>
      <c r="AI5174" s="1"/>
    </row>
    <row r="5175" spans="4:35" hidden="1">
      <c r="D5175" s="1"/>
      <c r="K5175" s="1"/>
      <c r="Q5175" s="1"/>
      <c r="AD5175" s="1"/>
      <c r="AG5175" s="1"/>
      <c r="AI5175" s="1"/>
    </row>
    <row r="5176" spans="4:35" hidden="1">
      <c r="D5176" s="1"/>
      <c r="K5176" s="1"/>
      <c r="Q5176" s="1"/>
      <c r="AD5176" s="1"/>
      <c r="AG5176" s="1"/>
      <c r="AI5176" s="1"/>
    </row>
    <row r="5177" spans="4:35" hidden="1">
      <c r="D5177" s="1"/>
      <c r="K5177" s="1"/>
      <c r="Q5177" s="1"/>
      <c r="AD5177" s="1"/>
      <c r="AG5177" s="1"/>
      <c r="AI5177" s="1"/>
    </row>
    <row r="5178" spans="4:35" hidden="1">
      <c r="D5178" s="1"/>
      <c r="K5178" s="1"/>
      <c r="Q5178" s="1"/>
      <c r="AD5178" s="1"/>
      <c r="AG5178" s="1"/>
      <c r="AI5178" s="1"/>
    </row>
    <row r="5179" spans="4:35" hidden="1">
      <c r="D5179" s="1"/>
      <c r="K5179" s="1"/>
      <c r="Q5179" s="1"/>
      <c r="AD5179" s="1"/>
      <c r="AG5179" s="1"/>
      <c r="AI5179" s="1"/>
    </row>
    <row r="5180" spans="4:35" hidden="1">
      <c r="D5180" s="1"/>
      <c r="K5180" s="1"/>
      <c r="Q5180" s="1"/>
      <c r="AD5180" s="1"/>
      <c r="AG5180" s="1"/>
      <c r="AI5180" s="1"/>
    </row>
    <row r="5181" spans="4:35" hidden="1">
      <c r="D5181" s="1"/>
      <c r="K5181" s="1"/>
      <c r="Q5181" s="1"/>
      <c r="AD5181" s="1"/>
      <c r="AG5181" s="1"/>
      <c r="AI5181" s="1"/>
    </row>
    <row r="5182" spans="4:35" hidden="1">
      <c r="D5182" s="1"/>
      <c r="K5182" s="1"/>
      <c r="Q5182" s="1"/>
      <c r="AD5182" s="1"/>
      <c r="AG5182" s="1"/>
      <c r="AI5182" s="1"/>
    </row>
    <row r="5183" spans="4:35" hidden="1">
      <c r="D5183" s="1"/>
      <c r="K5183" s="1"/>
      <c r="Q5183" s="1"/>
      <c r="AD5183" s="1"/>
      <c r="AG5183" s="1"/>
      <c r="AI5183" s="1"/>
    </row>
    <row r="5184" spans="4:35" hidden="1">
      <c r="D5184" s="1"/>
      <c r="K5184" s="1"/>
      <c r="Q5184" s="1"/>
      <c r="AD5184" s="1"/>
      <c r="AG5184" s="1"/>
      <c r="AI5184" s="1"/>
    </row>
    <row r="5185" spans="4:35" hidden="1">
      <c r="D5185" s="1"/>
      <c r="K5185" s="1"/>
      <c r="Q5185" s="1"/>
      <c r="AD5185" s="1"/>
      <c r="AG5185" s="1"/>
      <c r="AI5185" s="1"/>
    </row>
    <row r="5186" spans="4:35" hidden="1">
      <c r="D5186" s="1"/>
      <c r="K5186" s="1"/>
      <c r="Q5186" s="1"/>
      <c r="AD5186" s="1"/>
      <c r="AG5186" s="1"/>
      <c r="AI5186" s="1"/>
    </row>
    <row r="5187" spans="4:35" hidden="1">
      <c r="D5187" s="1"/>
      <c r="K5187" s="1"/>
      <c r="Q5187" s="1"/>
      <c r="AD5187" s="1"/>
      <c r="AG5187" s="1"/>
      <c r="AI5187" s="1"/>
    </row>
    <row r="5188" spans="4:35" hidden="1">
      <c r="D5188" s="1"/>
      <c r="K5188" s="1"/>
      <c r="Q5188" s="1"/>
      <c r="AD5188" s="1"/>
      <c r="AG5188" s="1"/>
      <c r="AI5188" s="1"/>
    </row>
    <row r="5189" spans="4:35" hidden="1">
      <c r="D5189" s="1"/>
      <c r="K5189" s="1"/>
      <c r="Q5189" s="1"/>
      <c r="AD5189" s="1"/>
      <c r="AG5189" s="1"/>
      <c r="AI5189" s="1"/>
    </row>
    <row r="5190" spans="4:35" hidden="1">
      <c r="D5190" s="1"/>
      <c r="K5190" s="1"/>
      <c r="Q5190" s="1"/>
      <c r="AD5190" s="1"/>
      <c r="AG5190" s="1"/>
      <c r="AI5190" s="1"/>
    </row>
    <row r="5191" spans="4:35" hidden="1">
      <c r="D5191" s="1"/>
      <c r="K5191" s="1"/>
      <c r="Q5191" s="1"/>
      <c r="AD5191" s="1"/>
      <c r="AG5191" s="1"/>
      <c r="AI5191" s="1"/>
    </row>
    <row r="5192" spans="4:35" hidden="1">
      <c r="D5192" s="1"/>
      <c r="K5192" s="1"/>
      <c r="Q5192" s="1"/>
      <c r="AD5192" s="1"/>
      <c r="AG5192" s="1"/>
      <c r="AI5192" s="1"/>
    </row>
    <row r="5193" spans="4:35" hidden="1">
      <c r="D5193" s="1"/>
      <c r="K5193" s="1"/>
      <c r="Q5193" s="1"/>
      <c r="AD5193" s="1"/>
      <c r="AG5193" s="1"/>
      <c r="AI5193" s="1"/>
    </row>
    <row r="5194" spans="4:35" hidden="1">
      <c r="D5194" s="1"/>
      <c r="K5194" s="1"/>
      <c r="Q5194" s="1"/>
      <c r="AD5194" s="1"/>
      <c r="AG5194" s="1"/>
      <c r="AI5194" s="1"/>
    </row>
    <row r="5195" spans="4:35" hidden="1">
      <c r="D5195" s="1"/>
      <c r="K5195" s="1"/>
      <c r="Q5195" s="1"/>
      <c r="AD5195" s="1"/>
      <c r="AG5195" s="1"/>
      <c r="AI5195" s="1"/>
    </row>
    <row r="5196" spans="4:35" hidden="1">
      <c r="D5196" s="1"/>
      <c r="K5196" s="1"/>
      <c r="Q5196" s="1"/>
      <c r="AD5196" s="1"/>
      <c r="AG5196" s="1"/>
      <c r="AI5196" s="1"/>
    </row>
    <row r="5197" spans="4:35" hidden="1">
      <c r="D5197" s="1"/>
      <c r="K5197" s="1"/>
      <c r="Q5197" s="1"/>
      <c r="AD5197" s="1"/>
      <c r="AG5197" s="1"/>
      <c r="AI5197" s="1"/>
    </row>
    <row r="5198" spans="4:35" hidden="1">
      <c r="D5198" s="1"/>
      <c r="K5198" s="1"/>
      <c r="Q5198" s="1"/>
      <c r="AD5198" s="1"/>
      <c r="AG5198" s="1"/>
      <c r="AI5198" s="1"/>
    </row>
    <row r="5199" spans="4:35" hidden="1">
      <c r="D5199" s="1"/>
      <c r="K5199" s="1"/>
      <c r="Q5199" s="1"/>
      <c r="AD5199" s="1"/>
      <c r="AG5199" s="1"/>
      <c r="AI5199" s="1"/>
    </row>
    <row r="5200" spans="4:35" hidden="1">
      <c r="D5200" s="1"/>
      <c r="K5200" s="1"/>
      <c r="Q5200" s="1"/>
      <c r="AD5200" s="1"/>
      <c r="AG5200" s="1"/>
      <c r="AI5200" s="1"/>
    </row>
    <row r="5201" spans="4:35" hidden="1">
      <c r="D5201" s="1"/>
      <c r="K5201" s="1"/>
      <c r="Q5201" s="1"/>
      <c r="AD5201" s="1"/>
      <c r="AG5201" s="1"/>
      <c r="AI5201" s="1"/>
    </row>
    <row r="5202" spans="4:35" hidden="1">
      <c r="D5202" s="1"/>
      <c r="K5202" s="1"/>
      <c r="Q5202" s="1"/>
      <c r="AD5202" s="1"/>
      <c r="AG5202" s="1"/>
      <c r="AI5202" s="1"/>
    </row>
    <row r="5203" spans="4:35" hidden="1">
      <c r="D5203" s="1"/>
      <c r="K5203" s="1"/>
      <c r="Q5203" s="1"/>
      <c r="AD5203" s="1"/>
      <c r="AG5203" s="1"/>
      <c r="AI5203" s="1"/>
    </row>
    <row r="5204" spans="4:35" hidden="1">
      <c r="D5204" s="1"/>
      <c r="K5204" s="1"/>
      <c r="Q5204" s="1"/>
      <c r="AD5204" s="1"/>
      <c r="AG5204" s="1"/>
      <c r="AI5204" s="1"/>
    </row>
    <row r="5205" spans="4:35" hidden="1">
      <c r="D5205" s="1"/>
      <c r="K5205" s="1"/>
      <c r="Q5205" s="1"/>
      <c r="AD5205" s="1"/>
      <c r="AG5205" s="1"/>
      <c r="AI5205" s="1"/>
    </row>
    <row r="5206" spans="4:35" hidden="1">
      <c r="D5206" s="1"/>
      <c r="K5206" s="1"/>
      <c r="Q5206" s="1"/>
      <c r="AD5206" s="1"/>
      <c r="AG5206" s="1"/>
      <c r="AI5206" s="1"/>
    </row>
    <row r="5207" spans="4:35" hidden="1">
      <c r="D5207" s="1"/>
      <c r="K5207" s="1"/>
      <c r="Q5207" s="1"/>
      <c r="AD5207" s="1"/>
      <c r="AG5207" s="1"/>
      <c r="AI5207" s="1"/>
    </row>
    <row r="5208" spans="4:35" hidden="1">
      <c r="D5208" s="1"/>
      <c r="K5208" s="1"/>
      <c r="Q5208" s="1"/>
      <c r="AD5208" s="1"/>
      <c r="AG5208" s="1"/>
      <c r="AI5208" s="1"/>
    </row>
    <row r="5209" spans="4:35" hidden="1">
      <c r="D5209" s="1"/>
      <c r="K5209" s="1"/>
      <c r="Q5209" s="1"/>
      <c r="AD5209" s="1"/>
      <c r="AG5209" s="1"/>
      <c r="AI5209" s="1"/>
    </row>
    <row r="5210" spans="4:35" hidden="1">
      <c r="D5210" s="1"/>
      <c r="K5210" s="1"/>
      <c r="Q5210" s="1"/>
      <c r="AD5210" s="1"/>
      <c r="AG5210" s="1"/>
      <c r="AI5210" s="1"/>
    </row>
    <row r="5211" spans="4:35" hidden="1">
      <c r="D5211" s="1"/>
      <c r="K5211" s="1"/>
      <c r="Q5211" s="1"/>
      <c r="AD5211" s="1"/>
      <c r="AG5211" s="1"/>
      <c r="AI5211" s="1"/>
    </row>
    <row r="5212" spans="4:35" hidden="1">
      <c r="D5212" s="1"/>
      <c r="K5212" s="1"/>
      <c r="Q5212" s="1"/>
      <c r="AD5212" s="1"/>
      <c r="AG5212" s="1"/>
      <c r="AI5212" s="1"/>
    </row>
    <row r="5213" spans="4:35" hidden="1">
      <c r="D5213" s="1"/>
      <c r="K5213" s="1"/>
      <c r="Q5213" s="1"/>
      <c r="AD5213" s="1"/>
      <c r="AG5213" s="1"/>
      <c r="AI5213" s="1"/>
    </row>
    <row r="5214" spans="4:35" hidden="1">
      <c r="D5214" s="1"/>
      <c r="K5214" s="1"/>
      <c r="Q5214" s="1"/>
      <c r="AD5214" s="1"/>
      <c r="AG5214" s="1"/>
      <c r="AI5214" s="1"/>
    </row>
    <row r="5215" spans="4:35" hidden="1">
      <c r="D5215" s="1"/>
      <c r="K5215" s="1"/>
      <c r="Q5215" s="1"/>
      <c r="AD5215" s="1"/>
      <c r="AG5215" s="1"/>
      <c r="AI5215" s="1"/>
    </row>
    <row r="5216" spans="4:35" hidden="1">
      <c r="D5216" s="1"/>
      <c r="K5216" s="1"/>
      <c r="Q5216" s="1"/>
      <c r="AD5216" s="1"/>
      <c r="AG5216" s="1"/>
      <c r="AI5216" s="1"/>
    </row>
    <row r="5217" spans="4:35" hidden="1">
      <c r="D5217" s="1"/>
      <c r="K5217" s="1"/>
      <c r="Q5217" s="1"/>
      <c r="AD5217" s="1"/>
      <c r="AG5217" s="1"/>
      <c r="AI5217" s="1"/>
    </row>
    <row r="5218" spans="4:35" hidden="1">
      <c r="D5218" s="1"/>
      <c r="K5218" s="1"/>
      <c r="Q5218" s="1"/>
      <c r="AD5218" s="1"/>
      <c r="AG5218" s="1"/>
      <c r="AI5218" s="1"/>
    </row>
    <row r="5219" spans="4:35" hidden="1">
      <c r="D5219" s="1"/>
      <c r="K5219" s="1"/>
      <c r="Q5219" s="1"/>
      <c r="AD5219" s="1"/>
      <c r="AG5219" s="1"/>
      <c r="AI5219" s="1"/>
    </row>
    <row r="5220" spans="4:35" hidden="1">
      <c r="D5220" s="1"/>
      <c r="K5220" s="1"/>
      <c r="Q5220" s="1"/>
      <c r="AD5220" s="1"/>
      <c r="AG5220" s="1"/>
      <c r="AI5220" s="1"/>
    </row>
    <row r="5221" spans="4:35" hidden="1">
      <c r="D5221" s="1"/>
      <c r="K5221" s="1"/>
      <c r="Q5221" s="1"/>
      <c r="AD5221" s="1"/>
      <c r="AG5221" s="1"/>
      <c r="AI5221" s="1"/>
    </row>
    <row r="5222" spans="4:35" hidden="1">
      <c r="D5222" s="1"/>
      <c r="K5222" s="1"/>
      <c r="Q5222" s="1"/>
      <c r="AD5222" s="1"/>
      <c r="AG5222" s="1"/>
      <c r="AI5222" s="1"/>
    </row>
    <row r="5223" spans="4:35" hidden="1">
      <c r="D5223" s="1"/>
      <c r="K5223" s="1"/>
      <c r="Q5223" s="1"/>
      <c r="AD5223" s="1"/>
      <c r="AG5223" s="1"/>
      <c r="AI5223" s="1"/>
    </row>
    <row r="5224" spans="4:35" hidden="1">
      <c r="D5224" s="1"/>
      <c r="K5224" s="1"/>
      <c r="Q5224" s="1"/>
      <c r="AD5224" s="1"/>
      <c r="AG5224" s="1"/>
      <c r="AI5224" s="1"/>
    </row>
    <row r="5225" spans="4:35" hidden="1">
      <c r="D5225" s="1"/>
      <c r="K5225" s="1"/>
      <c r="Q5225" s="1"/>
      <c r="AD5225" s="1"/>
      <c r="AG5225" s="1"/>
      <c r="AI5225" s="1"/>
    </row>
    <row r="5226" spans="4:35" hidden="1">
      <c r="D5226" s="1"/>
      <c r="K5226" s="1"/>
      <c r="Q5226" s="1"/>
      <c r="AD5226" s="1"/>
      <c r="AG5226" s="1"/>
      <c r="AI5226" s="1"/>
    </row>
    <row r="5227" spans="4:35" hidden="1">
      <c r="D5227" s="1"/>
      <c r="K5227" s="1"/>
      <c r="Q5227" s="1"/>
      <c r="AD5227" s="1"/>
      <c r="AG5227" s="1"/>
      <c r="AI5227" s="1"/>
    </row>
    <row r="5228" spans="4:35" hidden="1">
      <c r="D5228" s="1"/>
      <c r="K5228" s="1"/>
      <c r="Q5228" s="1"/>
      <c r="AD5228" s="1"/>
      <c r="AG5228" s="1"/>
      <c r="AI5228" s="1"/>
    </row>
    <row r="5229" spans="4:35" hidden="1">
      <c r="D5229" s="1"/>
      <c r="K5229" s="1"/>
      <c r="Q5229" s="1"/>
      <c r="AD5229" s="1"/>
      <c r="AG5229" s="1"/>
      <c r="AI5229" s="1"/>
    </row>
    <row r="5230" spans="4:35" hidden="1">
      <c r="D5230" s="1"/>
      <c r="K5230" s="1"/>
      <c r="Q5230" s="1"/>
      <c r="AD5230" s="1"/>
      <c r="AG5230" s="1"/>
      <c r="AI5230" s="1"/>
    </row>
    <row r="5231" spans="4:35" hidden="1">
      <c r="D5231" s="1"/>
      <c r="K5231" s="1"/>
      <c r="Q5231" s="1"/>
      <c r="AD5231" s="1"/>
      <c r="AG5231" s="1"/>
      <c r="AI5231" s="1"/>
    </row>
    <row r="5232" spans="4:35" hidden="1">
      <c r="D5232" s="1"/>
      <c r="K5232" s="1"/>
      <c r="Q5232" s="1"/>
      <c r="AD5232" s="1"/>
      <c r="AG5232" s="1"/>
      <c r="AI5232" s="1"/>
    </row>
    <row r="5233" spans="4:35" hidden="1">
      <c r="D5233" s="1"/>
      <c r="K5233" s="1"/>
      <c r="Q5233" s="1"/>
      <c r="AD5233" s="1"/>
      <c r="AG5233" s="1"/>
      <c r="AI5233" s="1"/>
    </row>
    <row r="5234" spans="4:35" hidden="1">
      <c r="D5234" s="1"/>
      <c r="K5234" s="1"/>
      <c r="Q5234" s="1"/>
      <c r="AD5234" s="1"/>
      <c r="AG5234" s="1"/>
      <c r="AI5234" s="1"/>
    </row>
    <row r="5235" spans="4:35" hidden="1">
      <c r="D5235" s="1"/>
      <c r="K5235" s="1"/>
      <c r="Q5235" s="1"/>
      <c r="AD5235" s="1"/>
      <c r="AG5235" s="1"/>
      <c r="AI5235" s="1"/>
    </row>
    <row r="5236" spans="4:35" hidden="1">
      <c r="D5236" s="1"/>
      <c r="K5236" s="1"/>
      <c r="Q5236" s="1"/>
      <c r="AD5236" s="1"/>
      <c r="AG5236" s="1"/>
      <c r="AI5236" s="1"/>
    </row>
    <row r="5237" spans="4:35" hidden="1">
      <c r="D5237" s="1"/>
      <c r="K5237" s="1"/>
      <c r="Q5237" s="1"/>
      <c r="AD5237" s="1"/>
      <c r="AG5237" s="1"/>
      <c r="AI5237" s="1"/>
    </row>
    <row r="5238" spans="4:35" hidden="1">
      <c r="D5238" s="1"/>
      <c r="K5238" s="1"/>
      <c r="Q5238" s="1"/>
      <c r="AD5238" s="1"/>
      <c r="AG5238" s="1"/>
      <c r="AI5238" s="1"/>
    </row>
    <row r="5239" spans="4:35" hidden="1">
      <c r="D5239" s="1"/>
      <c r="K5239" s="1"/>
      <c r="Q5239" s="1"/>
      <c r="AD5239" s="1"/>
      <c r="AG5239" s="1"/>
      <c r="AI5239" s="1"/>
    </row>
    <row r="5240" spans="4:35" hidden="1">
      <c r="D5240" s="1"/>
      <c r="K5240" s="1"/>
      <c r="Q5240" s="1"/>
      <c r="AD5240" s="1"/>
      <c r="AG5240" s="1"/>
      <c r="AI5240" s="1"/>
    </row>
    <row r="5241" spans="4:35" hidden="1">
      <c r="D5241" s="1"/>
      <c r="K5241" s="1"/>
      <c r="Q5241" s="1"/>
      <c r="AD5241" s="1"/>
      <c r="AG5241" s="1"/>
      <c r="AI5241" s="1"/>
    </row>
    <row r="5242" spans="4:35" hidden="1">
      <c r="D5242" s="1"/>
      <c r="K5242" s="1"/>
      <c r="Q5242" s="1"/>
      <c r="AD5242" s="1"/>
      <c r="AG5242" s="1"/>
      <c r="AI5242" s="1"/>
    </row>
    <row r="5243" spans="4:35" hidden="1">
      <c r="D5243" s="1"/>
      <c r="K5243" s="1"/>
      <c r="Q5243" s="1"/>
      <c r="AD5243" s="1"/>
      <c r="AG5243" s="1"/>
      <c r="AI5243" s="1"/>
    </row>
    <row r="5244" spans="4:35" hidden="1">
      <c r="D5244" s="1"/>
      <c r="K5244" s="1"/>
      <c r="Q5244" s="1"/>
      <c r="AD5244" s="1"/>
      <c r="AG5244" s="1"/>
      <c r="AI5244" s="1"/>
    </row>
    <row r="5245" spans="4:35" hidden="1">
      <c r="D5245" s="1"/>
      <c r="K5245" s="1"/>
      <c r="Q5245" s="1"/>
      <c r="AD5245" s="1"/>
      <c r="AG5245" s="1"/>
      <c r="AI5245" s="1"/>
    </row>
    <row r="5246" spans="4:35" hidden="1">
      <c r="D5246" s="1"/>
      <c r="K5246" s="1"/>
      <c r="Q5246" s="1"/>
      <c r="AD5246" s="1"/>
      <c r="AG5246" s="1"/>
      <c r="AI5246" s="1"/>
    </row>
    <row r="5247" spans="4:35" hidden="1">
      <c r="D5247" s="1"/>
      <c r="K5247" s="1"/>
      <c r="Q5247" s="1"/>
      <c r="AD5247" s="1"/>
      <c r="AG5247" s="1"/>
      <c r="AI5247" s="1"/>
    </row>
    <row r="5248" spans="4:35" hidden="1">
      <c r="D5248" s="1"/>
      <c r="K5248" s="1"/>
      <c r="Q5248" s="1"/>
      <c r="AD5248" s="1"/>
      <c r="AG5248" s="1"/>
      <c r="AI5248" s="1"/>
    </row>
    <row r="5249" spans="4:35" hidden="1">
      <c r="D5249" s="1"/>
      <c r="K5249" s="1"/>
      <c r="Q5249" s="1"/>
      <c r="AD5249" s="1"/>
      <c r="AG5249" s="1"/>
      <c r="AI5249" s="1"/>
    </row>
    <row r="5250" spans="4:35" hidden="1">
      <c r="D5250" s="1"/>
      <c r="K5250" s="1"/>
      <c r="Q5250" s="1"/>
      <c r="AD5250" s="1"/>
      <c r="AG5250" s="1"/>
      <c r="AI5250" s="1"/>
    </row>
    <row r="5251" spans="4:35" hidden="1">
      <c r="D5251" s="1"/>
      <c r="K5251" s="1"/>
      <c r="Q5251" s="1"/>
      <c r="AD5251" s="1"/>
      <c r="AG5251" s="1"/>
      <c r="AI5251" s="1"/>
    </row>
    <row r="5252" spans="4:35" hidden="1">
      <c r="D5252" s="1"/>
      <c r="K5252" s="1"/>
      <c r="Q5252" s="1"/>
      <c r="AD5252" s="1"/>
      <c r="AG5252" s="1"/>
      <c r="AI5252" s="1"/>
    </row>
    <row r="5253" spans="4:35" hidden="1">
      <c r="D5253" s="1"/>
      <c r="K5253" s="1"/>
      <c r="Q5253" s="1"/>
      <c r="AD5253" s="1"/>
      <c r="AG5253" s="1"/>
      <c r="AI5253" s="1"/>
    </row>
    <row r="5254" spans="4:35" hidden="1">
      <c r="D5254" s="1"/>
      <c r="K5254" s="1"/>
      <c r="Q5254" s="1"/>
      <c r="AD5254" s="1"/>
      <c r="AG5254" s="1"/>
      <c r="AI5254" s="1"/>
    </row>
    <row r="5255" spans="4:35" hidden="1">
      <c r="D5255" s="1"/>
      <c r="K5255" s="1"/>
      <c r="Q5255" s="1"/>
      <c r="AD5255" s="1"/>
      <c r="AG5255" s="1"/>
      <c r="AI5255" s="1"/>
    </row>
    <row r="5256" spans="4:35" hidden="1">
      <c r="D5256" s="1"/>
      <c r="K5256" s="1"/>
      <c r="Q5256" s="1"/>
      <c r="AD5256" s="1"/>
      <c r="AG5256" s="1"/>
      <c r="AI5256" s="1"/>
    </row>
    <row r="5257" spans="4:35" hidden="1">
      <c r="D5257" s="1"/>
      <c r="K5257" s="1"/>
      <c r="Q5257" s="1"/>
      <c r="AD5257" s="1"/>
      <c r="AG5257" s="1"/>
      <c r="AI5257" s="1"/>
    </row>
    <row r="5258" spans="4:35" hidden="1">
      <c r="D5258" s="1"/>
      <c r="K5258" s="1"/>
      <c r="Q5258" s="1"/>
      <c r="AD5258" s="1"/>
      <c r="AG5258" s="1"/>
      <c r="AI5258" s="1"/>
    </row>
    <row r="5259" spans="4:35" hidden="1">
      <c r="D5259" s="1"/>
      <c r="K5259" s="1"/>
      <c r="Q5259" s="1"/>
      <c r="AD5259" s="1"/>
      <c r="AG5259" s="1"/>
      <c r="AI5259" s="1"/>
    </row>
    <row r="5260" spans="4:35" hidden="1">
      <c r="D5260" s="1"/>
      <c r="K5260" s="1"/>
      <c r="Q5260" s="1"/>
      <c r="AD5260" s="1"/>
      <c r="AG5260" s="1"/>
      <c r="AI5260" s="1"/>
    </row>
    <row r="5261" spans="4:35" hidden="1">
      <c r="D5261" s="1"/>
      <c r="K5261" s="1"/>
      <c r="Q5261" s="1"/>
      <c r="AD5261" s="1"/>
      <c r="AG5261" s="1"/>
      <c r="AI5261" s="1"/>
    </row>
    <row r="5262" spans="4:35" hidden="1">
      <c r="D5262" s="1"/>
      <c r="K5262" s="1"/>
      <c r="Q5262" s="1"/>
      <c r="AD5262" s="1"/>
      <c r="AG5262" s="1"/>
      <c r="AI5262" s="1"/>
    </row>
    <row r="5263" spans="4:35" hidden="1">
      <c r="D5263" s="1"/>
      <c r="K5263" s="1"/>
      <c r="Q5263" s="1"/>
      <c r="AD5263" s="1"/>
      <c r="AG5263" s="1"/>
      <c r="AI5263" s="1"/>
    </row>
    <row r="5264" spans="4:35" hidden="1">
      <c r="D5264" s="1"/>
      <c r="K5264" s="1"/>
      <c r="Q5264" s="1"/>
      <c r="AD5264" s="1"/>
      <c r="AG5264" s="1"/>
      <c r="AI5264" s="1"/>
    </row>
    <row r="5265" spans="4:35" hidden="1">
      <c r="D5265" s="1"/>
      <c r="K5265" s="1"/>
      <c r="Q5265" s="1"/>
      <c r="AD5265" s="1"/>
      <c r="AG5265" s="1"/>
      <c r="AI5265" s="1"/>
    </row>
    <row r="5266" spans="4:35" hidden="1">
      <c r="D5266" s="1"/>
      <c r="K5266" s="1"/>
      <c r="Q5266" s="1"/>
      <c r="AD5266" s="1"/>
      <c r="AG5266" s="1"/>
      <c r="AI5266" s="1"/>
    </row>
    <row r="5267" spans="4:35" hidden="1">
      <c r="D5267" s="1"/>
      <c r="K5267" s="1"/>
      <c r="Q5267" s="1"/>
      <c r="AD5267" s="1"/>
      <c r="AG5267" s="1"/>
      <c r="AI5267" s="1"/>
    </row>
    <row r="5268" spans="4:35" hidden="1">
      <c r="D5268" s="1"/>
      <c r="K5268" s="1"/>
      <c r="Q5268" s="1"/>
      <c r="AD5268" s="1"/>
      <c r="AG5268" s="1"/>
      <c r="AI5268" s="1"/>
    </row>
    <row r="5269" spans="4:35" hidden="1">
      <c r="D5269" s="1"/>
      <c r="K5269" s="1"/>
      <c r="Q5269" s="1"/>
      <c r="AD5269" s="1"/>
      <c r="AG5269" s="1"/>
      <c r="AI5269" s="1"/>
    </row>
    <row r="5270" spans="4:35" hidden="1">
      <c r="D5270" s="1"/>
      <c r="K5270" s="1"/>
      <c r="Q5270" s="1"/>
      <c r="AD5270" s="1"/>
      <c r="AG5270" s="1"/>
      <c r="AI5270" s="1"/>
    </row>
    <row r="5271" spans="4:35" hidden="1">
      <c r="D5271" s="1"/>
      <c r="K5271" s="1"/>
      <c r="Q5271" s="1"/>
      <c r="AD5271" s="1"/>
      <c r="AG5271" s="1"/>
      <c r="AI5271" s="1"/>
    </row>
    <row r="5272" spans="4:35" hidden="1">
      <c r="D5272" s="1"/>
      <c r="K5272" s="1"/>
      <c r="Q5272" s="1"/>
      <c r="AD5272" s="1"/>
      <c r="AG5272" s="1"/>
      <c r="AI5272" s="1"/>
    </row>
    <row r="5273" spans="4:35" hidden="1">
      <c r="D5273" s="1"/>
      <c r="K5273" s="1"/>
      <c r="Q5273" s="1"/>
      <c r="AD5273" s="1"/>
      <c r="AG5273" s="1"/>
      <c r="AI5273" s="1"/>
    </row>
    <row r="5274" spans="4:35" hidden="1">
      <c r="D5274" s="1"/>
      <c r="K5274" s="1"/>
      <c r="Q5274" s="1"/>
      <c r="AD5274" s="1"/>
      <c r="AG5274" s="1"/>
      <c r="AI5274" s="1"/>
    </row>
    <row r="5275" spans="4:35" hidden="1">
      <c r="D5275" s="1"/>
      <c r="K5275" s="1"/>
      <c r="Q5275" s="1"/>
      <c r="AD5275" s="1"/>
      <c r="AG5275" s="1"/>
      <c r="AI5275" s="1"/>
    </row>
    <row r="5276" spans="4:35" hidden="1">
      <c r="D5276" s="1"/>
      <c r="K5276" s="1"/>
      <c r="Q5276" s="1"/>
      <c r="AD5276" s="1"/>
      <c r="AG5276" s="1"/>
      <c r="AI5276" s="1"/>
    </row>
    <row r="5277" spans="4:35" hidden="1">
      <c r="D5277" s="1"/>
      <c r="K5277" s="1"/>
      <c r="Q5277" s="1"/>
      <c r="AD5277" s="1"/>
      <c r="AG5277" s="1"/>
      <c r="AI5277" s="1"/>
    </row>
    <row r="5278" spans="4:35" hidden="1">
      <c r="D5278" s="1"/>
      <c r="K5278" s="1"/>
      <c r="Q5278" s="1"/>
      <c r="AD5278" s="1"/>
      <c r="AG5278" s="1"/>
      <c r="AI5278" s="1"/>
    </row>
    <row r="5279" spans="4:35" hidden="1">
      <c r="D5279" s="1"/>
      <c r="K5279" s="1"/>
      <c r="Q5279" s="1"/>
      <c r="AD5279" s="1"/>
      <c r="AG5279" s="1"/>
      <c r="AI5279" s="1"/>
    </row>
    <row r="5280" spans="4:35" hidden="1">
      <c r="D5280" s="1"/>
      <c r="K5280" s="1"/>
      <c r="Q5280" s="1"/>
      <c r="AD5280" s="1"/>
      <c r="AG5280" s="1"/>
      <c r="AI5280" s="1"/>
    </row>
    <row r="5281" spans="4:35" hidden="1">
      <c r="D5281" s="1"/>
      <c r="K5281" s="1"/>
      <c r="Q5281" s="1"/>
      <c r="AD5281" s="1"/>
      <c r="AG5281" s="1"/>
      <c r="AI5281" s="1"/>
    </row>
    <row r="5282" spans="4:35" hidden="1">
      <c r="D5282" s="1"/>
      <c r="K5282" s="1"/>
      <c r="Q5282" s="1"/>
      <c r="AD5282" s="1"/>
      <c r="AG5282" s="1"/>
      <c r="AI5282" s="1"/>
    </row>
    <row r="5283" spans="4:35" hidden="1">
      <c r="D5283" s="1"/>
      <c r="K5283" s="1"/>
      <c r="Q5283" s="1"/>
      <c r="AD5283" s="1"/>
      <c r="AG5283" s="1"/>
      <c r="AI5283" s="1"/>
    </row>
    <row r="5284" spans="4:35" hidden="1">
      <c r="D5284" s="1"/>
      <c r="K5284" s="1"/>
      <c r="Q5284" s="1"/>
      <c r="AD5284" s="1"/>
      <c r="AG5284" s="1"/>
      <c r="AI5284" s="1"/>
    </row>
    <row r="5285" spans="4:35" hidden="1">
      <c r="D5285" s="1"/>
      <c r="K5285" s="1"/>
      <c r="Q5285" s="1"/>
      <c r="AD5285" s="1"/>
      <c r="AG5285" s="1"/>
      <c r="AI5285" s="1"/>
    </row>
    <row r="5286" spans="4:35" hidden="1">
      <c r="D5286" s="1"/>
      <c r="K5286" s="1"/>
      <c r="Q5286" s="1"/>
      <c r="AD5286" s="1"/>
      <c r="AG5286" s="1"/>
      <c r="AI5286" s="1"/>
    </row>
    <row r="5287" spans="4:35" hidden="1">
      <c r="D5287" s="1"/>
      <c r="K5287" s="1"/>
      <c r="Q5287" s="1"/>
      <c r="AD5287" s="1"/>
      <c r="AG5287" s="1"/>
      <c r="AI5287" s="1"/>
    </row>
    <row r="5288" spans="4:35" hidden="1">
      <c r="D5288" s="1"/>
      <c r="K5288" s="1"/>
      <c r="Q5288" s="1"/>
      <c r="AD5288" s="1"/>
      <c r="AG5288" s="1"/>
      <c r="AI5288" s="1"/>
    </row>
    <row r="5289" spans="4:35" hidden="1">
      <c r="D5289" s="1"/>
      <c r="K5289" s="1"/>
      <c r="Q5289" s="1"/>
      <c r="AD5289" s="1"/>
      <c r="AG5289" s="1"/>
      <c r="AI5289" s="1"/>
    </row>
    <row r="5290" spans="4:35" hidden="1">
      <c r="D5290" s="1"/>
      <c r="K5290" s="1"/>
      <c r="Q5290" s="1"/>
      <c r="AD5290" s="1"/>
      <c r="AG5290" s="1"/>
      <c r="AI5290" s="1"/>
    </row>
    <row r="5291" spans="4:35" hidden="1">
      <c r="D5291" s="1"/>
      <c r="K5291" s="1"/>
      <c r="Q5291" s="1"/>
      <c r="AD5291" s="1"/>
      <c r="AG5291" s="1"/>
      <c r="AI5291" s="1"/>
    </row>
    <row r="5292" spans="4:35" hidden="1">
      <c r="D5292" s="1"/>
      <c r="K5292" s="1"/>
      <c r="Q5292" s="1"/>
      <c r="AD5292" s="1"/>
      <c r="AG5292" s="1"/>
      <c r="AI5292" s="1"/>
    </row>
    <row r="5293" spans="4:35" hidden="1">
      <c r="D5293" s="1"/>
      <c r="K5293" s="1"/>
      <c r="Q5293" s="1"/>
      <c r="AD5293" s="1"/>
      <c r="AG5293" s="1"/>
      <c r="AI5293" s="1"/>
    </row>
    <row r="5294" spans="4:35" hidden="1">
      <c r="D5294" s="1"/>
      <c r="K5294" s="1"/>
      <c r="Q5294" s="1"/>
      <c r="AD5294" s="1"/>
      <c r="AG5294" s="1"/>
      <c r="AI5294" s="1"/>
    </row>
    <row r="5295" spans="4:35" hidden="1">
      <c r="D5295" s="1"/>
      <c r="K5295" s="1"/>
      <c r="Q5295" s="1"/>
      <c r="AD5295" s="1"/>
      <c r="AG5295" s="1"/>
      <c r="AI5295" s="1"/>
    </row>
    <row r="5296" spans="4:35" hidden="1">
      <c r="D5296" s="1"/>
      <c r="K5296" s="1"/>
      <c r="Q5296" s="1"/>
      <c r="AD5296" s="1"/>
      <c r="AG5296" s="1"/>
      <c r="AI5296" s="1"/>
    </row>
    <row r="5297" spans="4:35" hidden="1">
      <c r="D5297" s="1"/>
      <c r="K5297" s="1"/>
      <c r="Q5297" s="1"/>
      <c r="AD5297" s="1"/>
      <c r="AG5297" s="1"/>
      <c r="AI5297" s="1"/>
    </row>
    <row r="5298" spans="4:35" hidden="1">
      <c r="D5298" s="1"/>
      <c r="K5298" s="1"/>
      <c r="Q5298" s="1"/>
      <c r="AD5298" s="1"/>
      <c r="AG5298" s="1"/>
      <c r="AI5298" s="1"/>
    </row>
    <row r="5299" spans="4:35" hidden="1">
      <c r="D5299" s="1"/>
      <c r="K5299" s="1"/>
      <c r="Q5299" s="1"/>
      <c r="AD5299" s="1"/>
      <c r="AG5299" s="1"/>
      <c r="AI5299" s="1"/>
    </row>
    <row r="5300" spans="4:35" hidden="1">
      <c r="D5300" s="1"/>
      <c r="K5300" s="1"/>
      <c r="Q5300" s="1"/>
      <c r="AD5300" s="1"/>
      <c r="AG5300" s="1"/>
      <c r="AI5300" s="1"/>
    </row>
    <row r="5301" spans="4:35" hidden="1">
      <c r="D5301" s="1"/>
      <c r="K5301" s="1"/>
      <c r="Q5301" s="1"/>
      <c r="AD5301" s="1"/>
      <c r="AG5301" s="1"/>
      <c r="AI5301" s="1"/>
    </row>
    <row r="5302" spans="4:35" hidden="1">
      <c r="D5302" s="1"/>
      <c r="K5302" s="1"/>
      <c r="Q5302" s="1"/>
      <c r="AD5302" s="1"/>
      <c r="AG5302" s="1"/>
      <c r="AI5302" s="1"/>
    </row>
    <row r="5303" spans="4:35" hidden="1">
      <c r="D5303" s="1"/>
      <c r="K5303" s="1"/>
      <c r="Q5303" s="1"/>
      <c r="AD5303" s="1"/>
      <c r="AG5303" s="1"/>
      <c r="AI5303" s="1"/>
    </row>
    <row r="5304" spans="4:35" hidden="1">
      <c r="D5304" s="1"/>
      <c r="K5304" s="1"/>
      <c r="Q5304" s="1"/>
      <c r="AD5304" s="1"/>
      <c r="AG5304" s="1"/>
      <c r="AI5304" s="1"/>
    </row>
    <row r="5305" spans="4:35" hidden="1">
      <c r="D5305" s="1"/>
      <c r="K5305" s="1"/>
      <c r="Q5305" s="1"/>
      <c r="AD5305" s="1"/>
      <c r="AG5305" s="1"/>
      <c r="AI5305" s="1"/>
    </row>
    <row r="5306" spans="4:35" hidden="1">
      <c r="D5306" s="1"/>
      <c r="K5306" s="1"/>
      <c r="Q5306" s="1"/>
      <c r="AD5306" s="1"/>
      <c r="AG5306" s="1"/>
      <c r="AI5306" s="1"/>
    </row>
    <row r="5307" spans="4:35" hidden="1">
      <c r="D5307" s="1"/>
      <c r="K5307" s="1"/>
      <c r="Q5307" s="1"/>
      <c r="AD5307" s="1"/>
      <c r="AG5307" s="1"/>
      <c r="AI5307" s="1"/>
    </row>
    <row r="5308" spans="4:35" hidden="1">
      <c r="D5308" s="1"/>
      <c r="K5308" s="1"/>
      <c r="Q5308" s="1"/>
      <c r="AD5308" s="1"/>
      <c r="AG5308" s="1"/>
      <c r="AI5308" s="1"/>
    </row>
    <row r="5309" spans="4:35" hidden="1">
      <c r="D5309" s="1"/>
      <c r="K5309" s="1"/>
      <c r="Q5309" s="1"/>
      <c r="AD5309" s="1"/>
      <c r="AG5309" s="1"/>
      <c r="AI5309" s="1"/>
    </row>
    <row r="5310" spans="4:35" hidden="1">
      <c r="D5310" s="1"/>
      <c r="K5310" s="1"/>
      <c r="Q5310" s="1"/>
      <c r="AD5310" s="1"/>
      <c r="AG5310" s="1"/>
      <c r="AI5310" s="1"/>
    </row>
    <row r="5311" spans="4:35" hidden="1">
      <c r="D5311" s="1"/>
      <c r="K5311" s="1"/>
      <c r="Q5311" s="1"/>
      <c r="AD5311" s="1"/>
      <c r="AG5311" s="1"/>
      <c r="AI5311" s="1"/>
    </row>
    <row r="5312" spans="4:35" hidden="1">
      <c r="D5312" s="1"/>
      <c r="K5312" s="1"/>
      <c r="Q5312" s="1"/>
      <c r="AD5312" s="1"/>
      <c r="AG5312" s="1"/>
      <c r="AI5312" s="1"/>
    </row>
    <row r="5313" spans="4:35" hidden="1">
      <c r="D5313" s="1"/>
      <c r="K5313" s="1"/>
      <c r="Q5313" s="1"/>
      <c r="AD5313" s="1"/>
      <c r="AG5313" s="1"/>
      <c r="AI5313" s="1"/>
    </row>
    <row r="5314" spans="4:35" hidden="1">
      <c r="D5314" s="1"/>
      <c r="K5314" s="1"/>
      <c r="Q5314" s="1"/>
      <c r="AD5314" s="1"/>
      <c r="AG5314" s="1"/>
      <c r="AI5314" s="1"/>
    </row>
    <row r="5315" spans="4:35" hidden="1">
      <c r="D5315" s="1"/>
      <c r="K5315" s="1"/>
      <c r="Q5315" s="1"/>
      <c r="AD5315" s="1"/>
      <c r="AG5315" s="1"/>
      <c r="AI5315" s="1"/>
    </row>
    <row r="5316" spans="4:35" hidden="1">
      <c r="D5316" s="1"/>
      <c r="K5316" s="1"/>
      <c r="Q5316" s="1"/>
      <c r="AD5316" s="1"/>
      <c r="AG5316" s="1"/>
      <c r="AI5316" s="1"/>
    </row>
    <row r="5317" spans="4:35" hidden="1">
      <c r="D5317" s="1"/>
      <c r="K5317" s="1"/>
      <c r="Q5317" s="1"/>
      <c r="AD5317" s="1"/>
      <c r="AG5317" s="1"/>
      <c r="AI5317" s="1"/>
    </row>
    <row r="5318" spans="4:35" hidden="1">
      <c r="D5318" s="1"/>
      <c r="K5318" s="1"/>
      <c r="Q5318" s="1"/>
      <c r="AD5318" s="1"/>
      <c r="AG5318" s="1"/>
      <c r="AI5318" s="1"/>
    </row>
    <row r="5319" spans="4:35" hidden="1">
      <c r="D5319" s="1"/>
      <c r="K5319" s="1"/>
      <c r="Q5319" s="1"/>
      <c r="AD5319" s="1"/>
      <c r="AG5319" s="1"/>
      <c r="AI5319" s="1"/>
    </row>
    <row r="5320" spans="4:35" hidden="1">
      <c r="D5320" s="1"/>
      <c r="K5320" s="1"/>
      <c r="Q5320" s="1"/>
      <c r="AD5320" s="1"/>
      <c r="AG5320" s="1"/>
      <c r="AI5320" s="1"/>
    </row>
    <row r="5321" spans="4:35" hidden="1">
      <c r="D5321" s="1"/>
      <c r="K5321" s="1"/>
      <c r="Q5321" s="1"/>
      <c r="AD5321" s="1"/>
      <c r="AG5321" s="1"/>
      <c r="AI5321" s="1"/>
    </row>
    <row r="5322" spans="4:35" hidden="1">
      <c r="D5322" s="1"/>
      <c r="K5322" s="1"/>
      <c r="Q5322" s="1"/>
      <c r="AD5322" s="1"/>
      <c r="AG5322" s="1"/>
      <c r="AI5322" s="1"/>
    </row>
    <row r="5323" spans="4:35" hidden="1">
      <c r="D5323" s="1"/>
      <c r="K5323" s="1"/>
      <c r="Q5323" s="1"/>
      <c r="AD5323" s="1"/>
      <c r="AG5323" s="1"/>
      <c r="AI5323" s="1"/>
    </row>
    <row r="5324" spans="4:35" hidden="1">
      <c r="D5324" s="1"/>
      <c r="K5324" s="1"/>
      <c r="Q5324" s="1"/>
      <c r="AD5324" s="1"/>
      <c r="AG5324" s="1"/>
      <c r="AI5324" s="1"/>
    </row>
    <row r="5325" spans="4:35" hidden="1">
      <c r="D5325" s="1"/>
      <c r="K5325" s="1"/>
      <c r="Q5325" s="1"/>
      <c r="AD5325" s="1"/>
      <c r="AG5325" s="1"/>
      <c r="AI5325" s="1"/>
    </row>
    <row r="5326" spans="4:35" hidden="1">
      <c r="D5326" s="1"/>
      <c r="K5326" s="1"/>
      <c r="Q5326" s="1"/>
      <c r="AD5326" s="1"/>
      <c r="AG5326" s="1"/>
      <c r="AI5326" s="1"/>
    </row>
    <row r="5327" spans="4:35" hidden="1">
      <c r="D5327" s="1"/>
      <c r="K5327" s="1"/>
      <c r="Q5327" s="1"/>
      <c r="AD5327" s="1"/>
      <c r="AG5327" s="1"/>
      <c r="AI5327" s="1"/>
    </row>
    <row r="5328" spans="4:35" hidden="1">
      <c r="D5328" s="1"/>
      <c r="K5328" s="1"/>
      <c r="Q5328" s="1"/>
      <c r="AD5328" s="1"/>
      <c r="AG5328" s="1"/>
      <c r="AI5328" s="1"/>
    </row>
    <row r="5329" spans="4:35" hidden="1">
      <c r="D5329" s="1"/>
      <c r="K5329" s="1"/>
      <c r="Q5329" s="1"/>
      <c r="AD5329" s="1"/>
      <c r="AG5329" s="1"/>
      <c r="AI5329" s="1"/>
    </row>
    <row r="5330" spans="4:35" hidden="1">
      <c r="D5330" s="1"/>
      <c r="K5330" s="1"/>
      <c r="Q5330" s="1"/>
      <c r="AD5330" s="1"/>
      <c r="AG5330" s="1"/>
      <c r="AI5330" s="1"/>
    </row>
    <row r="5331" spans="4:35" hidden="1">
      <c r="D5331" s="1"/>
      <c r="K5331" s="1"/>
      <c r="Q5331" s="1"/>
      <c r="AD5331" s="1"/>
      <c r="AG5331" s="1"/>
      <c r="AI5331" s="1"/>
    </row>
    <row r="5332" spans="4:35" hidden="1">
      <c r="D5332" s="1"/>
      <c r="K5332" s="1"/>
      <c r="Q5332" s="1"/>
      <c r="AD5332" s="1"/>
      <c r="AG5332" s="1"/>
      <c r="AI5332" s="1"/>
    </row>
    <row r="5333" spans="4:35" hidden="1">
      <c r="D5333" s="1"/>
      <c r="K5333" s="1"/>
      <c r="Q5333" s="1"/>
      <c r="AD5333" s="1"/>
      <c r="AG5333" s="1"/>
      <c r="AI5333" s="1"/>
    </row>
    <row r="5334" spans="4:35" hidden="1">
      <c r="D5334" s="1"/>
      <c r="K5334" s="1"/>
      <c r="Q5334" s="1"/>
      <c r="AD5334" s="1"/>
      <c r="AG5334" s="1"/>
      <c r="AI5334" s="1"/>
    </row>
    <row r="5335" spans="4:35" hidden="1">
      <c r="D5335" s="1"/>
      <c r="K5335" s="1"/>
      <c r="Q5335" s="1"/>
      <c r="AD5335" s="1"/>
      <c r="AG5335" s="1"/>
      <c r="AI5335" s="1"/>
    </row>
    <row r="5336" spans="4:35" hidden="1">
      <c r="D5336" s="1"/>
      <c r="K5336" s="1"/>
      <c r="Q5336" s="1"/>
      <c r="AD5336" s="1"/>
      <c r="AG5336" s="1"/>
      <c r="AI5336" s="1"/>
    </row>
    <row r="5337" spans="4:35" hidden="1">
      <c r="D5337" s="1"/>
      <c r="K5337" s="1"/>
      <c r="Q5337" s="1"/>
      <c r="AD5337" s="1"/>
      <c r="AG5337" s="1"/>
      <c r="AI5337" s="1"/>
    </row>
    <row r="5338" spans="4:35" hidden="1">
      <c r="D5338" s="1"/>
      <c r="K5338" s="1"/>
      <c r="Q5338" s="1"/>
      <c r="AD5338" s="1"/>
      <c r="AG5338" s="1"/>
      <c r="AI5338" s="1"/>
    </row>
    <row r="5339" spans="4:35" hidden="1">
      <c r="D5339" s="1"/>
      <c r="K5339" s="1"/>
      <c r="Q5339" s="1"/>
      <c r="AD5339" s="1"/>
      <c r="AG5339" s="1"/>
      <c r="AI5339" s="1"/>
    </row>
    <row r="5340" spans="4:35" hidden="1">
      <c r="D5340" s="1"/>
      <c r="K5340" s="1"/>
      <c r="Q5340" s="1"/>
      <c r="AD5340" s="1"/>
      <c r="AG5340" s="1"/>
      <c r="AI5340" s="1"/>
    </row>
    <row r="5341" spans="4:35" hidden="1">
      <c r="D5341" s="1"/>
      <c r="K5341" s="1"/>
      <c r="Q5341" s="1"/>
      <c r="AD5341" s="1"/>
      <c r="AG5341" s="1"/>
      <c r="AI5341" s="1"/>
    </row>
    <row r="5342" spans="4:35" hidden="1">
      <c r="D5342" s="1"/>
      <c r="K5342" s="1"/>
      <c r="Q5342" s="1"/>
      <c r="AD5342" s="1"/>
      <c r="AG5342" s="1"/>
      <c r="AI5342" s="1"/>
    </row>
    <row r="5343" spans="4:35" hidden="1">
      <c r="D5343" s="1"/>
      <c r="K5343" s="1"/>
      <c r="Q5343" s="1"/>
      <c r="AD5343" s="1"/>
      <c r="AG5343" s="1"/>
      <c r="AI5343" s="1"/>
    </row>
    <row r="5344" spans="4:35" hidden="1">
      <c r="D5344" s="1"/>
      <c r="K5344" s="1"/>
      <c r="Q5344" s="1"/>
      <c r="AD5344" s="1"/>
      <c r="AG5344" s="1"/>
      <c r="AI5344" s="1"/>
    </row>
    <row r="5345" spans="4:35" hidden="1">
      <c r="D5345" s="1"/>
      <c r="K5345" s="1"/>
      <c r="Q5345" s="1"/>
      <c r="AD5345" s="1"/>
      <c r="AG5345" s="1"/>
      <c r="AI5345" s="1"/>
    </row>
    <row r="5346" spans="4:35" hidden="1">
      <c r="D5346" s="1"/>
      <c r="K5346" s="1"/>
      <c r="Q5346" s="1"/>
      <c r="AD5346" s="1"/>
      <c r="AG5346" s="1"/>
      <c r="AI5346" s="1"/>
    </row>
    <row r="5347" spans="4:35" hidden="1">
      <c r="D5347" s="1"/>
      <c r="K5347" s="1"/>
      <c r="Q5347" s="1"/>
      <c r="AD5347" s="1"/>
      <c r="AG5347" s="1"/>
      <c r="AI5347" s="1"/>
    </row>
    <row r="5348" spans="4:35" hidden="1">
      <c r="D5348" s="1"/>
      <c r="K5348" s="1"/>
      <c r="Q5348" s="1"/>
      <c r="AD5348" s="1"/>
      <c r="AG5348" s="1"/>
      <c r="AI5348" s="1"/>
    </row>
    <row r="5349" spans="4:35" hidden="1">
      <c r="D5349" s="1"/>
      <c r="K5349" s="1"/>
      <c r="Q5349" s="1"/>
      <c r="AD5349" s="1"/>
      <c r="AG5349" s="1"/>
      <c r="AI5349" s="1"/>
    </row>
    <row r="5350" spans="4:35" hidden="1">
      <c r="D5350" s="1"/>
      <c r="K5350" s="1"/>
      <c r="Q5350" s="1"/>
      <c r="AD5350" s="1"/>
      <c r="AG5350" s="1"/>
      <c r="AI5350" s="1"/>
    </row>
    <row r="5351" spans="4:35" hidden="1">
      <c r="D5351" s="1"/>
      <c r="K5351" s="1"/>
      <c r="Q5351" s="1"/>
      <c r="AD5351" s="1"/>
      <c r="AG5351" s="1"/>
      <c r="AI5351" s="1"/>
    </row>
    <row r="5352" spans="4:35" hidden="1">
      <c r="D5352" s="1"/>
      <c r="K5352" s="1"/>
      <c r="Q5352" s="1"/>
      <c r="AD5352" s="1"/>
      <c r="AG5352" s="1"/>
      <c r="AI5352" s="1"/>
    </row>
    <row r="5353" spans="4:35" hidden="1">
      <c r="D5353" s="1"/>
      <c r="K5353" s="1"/>
      <c r="Q5353" s="1"/>
      <c r="AD5353" s="1"/>
      <c r="AG5353" s="1"/>
      <c r="AI5353" s="1"/>
    </row>
    <row r="5354" spans="4:35" hidden="1">
      <c r="D5354" s="1"/>
      <c r="K5354" s="1"/>
      <c r="Q5354" s="1"/>
      <c r="AD5354" s="1"/>
      <c r="AG5354" s="1"/>
      <c r="AI5354" s="1"/>
    </row>
    <row r="5355" spans="4:35" hidden="1">
      <c r="D5355" s="1"/>
      <c r="K5355" s="1"/>
      <c r="Q5355" s="1"/>
      <c r="AD5355" s="1"/>
      <c r="AG5355" s="1"/>
      <c r="AI5355" s="1"/>
    </row>
    <row r="5356" spans="4:35" hidden="1">
      <c r="D5356" s="1"/>
      <c r="K5356" s="1"/>
      <c r="Q5356" s="1"/>
      <c r="AD5356" s="1"/>
      <c r="AG5356" s="1"/>
      <c r="AI5356" s="1"/>
    </row>
    <row r="5357" spans="4:35" hidden="1">
      <c r="D5357" s="1"/>
      <c r="K5357" s="1"/>
      <c r="Q5357" s="1"/>
      <c r="AD5357" s="1"/>
      <c r="AG5357" s="1"/>
      <c r="AI5357" s="1"/>
    </row>
    <row r="5358" spans="4:35" hidden="1">
      <c r="D5358" s="1"/>
      <c r="K5358" s="1"/>
      <c r="Q5358" s="1"/>
      <c r="AD5358" s="1"/>
      <c r="AG5358" s="1"/>
      <c r="AI5358" s="1"/>
    </row>
    <row r="5359" spans="4:35" hidden="1">
      <c r="D5359" s="1"/>
      <c r="K5359" s="1"/>
      <c r="Q5359" s="1"/>
      <c r="AD5359" s="1"/>
      <c r="AG5359" s="1"/>
      <c r="AI5359" s="1"/>
    </row>
    <row r="5360" spans="4:35" hidden="1">
      <c r="D5360" s="1"/>
      <c r="K5360" s="1"/>
      <c r="Q5360" s="1"/>
      <c r="AD5360" s="1"/>
      <c r="AG5360" s="1"/>
      <c r="AI5360" s="1"/>
    </row>
    <row r="5361" spans="4:35" hidden="1">
      <c r="D5361" s="1"/>
      <c r="K5361" s="1"/>
      <c r="Q5361" s="1"/>
      <c r="AD5361" s="1"/>
      <c r="AG5361" s="1"/>
      <c r="AI5361" s="1"/>
    </row>
    <row r="5362" spans="4:35" hidden="1">
      <c r="D5362" s="1"/>
      <c r="K5362" s="1"/>
      <c r="Q5362" s="1"/>
      <c r="AD5362" s="1"/>
      <c r="AG5362" s="1"/>
      <c r="AI5362" s="1"/>
    </row>
    <row r="5363" spans="4:35" hidden="1">
      <c r="D5363" s="1"/>
      <c r="K5363" s="1"/>
      <c r="Q5363" s="1"/>
      <c r="AD5363" s="1"/>
      <c r="AG5363" s="1"/>
      <c r="AI5363" s="1"/>
    </row>
    <row r="5364" spans="4:35" hidden="1">
      <c r="D5364" s="1"/>
      <c r="K5364" s="1"/>
      <c r="Q5364" s="1"/>
      <c r="AD5364" s="1"/>
      <c r="AG5364" s="1"/>
      <c r="AI5364" s="1"/>
    </row>
    <row r="5365" spans="4:35" hidden="1">
      <c r="D5365" s="1"/>
      <c r="K5365" s="1"/>
      <c r="Q5365" s="1"/>
      <c r="AD5365" s="1"/>
      <c r="AG5365" s="1"/>
      <c r="AI5365" s="1"/>
    </row>
    <row r="5366" spans="4:35" hidden="1">
      <c r="D5366" s="1"/>
      <c r="K5366" s="1"/>
      <c r="Q5366" s="1"/>
      <c r="AD5366" s="1"/>
      <c r="AG5366" s="1"/>
      <c r="AI5366" s="1"/>
    </row>
    <row r="5367" spans="4:35" hidden="1">
      <c r="D5367" s="1"/>
      <c r="K5367" s="1"/>
      <c r="Q5367" s="1"/>
      <c r="AD5367" s="1"/>
      <c r="AG5367" s="1"/>
      <c r="AI5367" s="1"/>
    </row>
    <row r="5368" spans="4:35" hidden="1">
      <c r="D5368" s="1"/>
      <c r="K5368" s="1"/>
      <c r="Q5368" s="1"/>
      <c r="AD5368" s="1"/>
      <c r="AG5368" s="1"/>
      <c r="AI5368" s="1"/>
    </row>
    <row r="5369" spans="4:35" hidden="1">
      <c r="D5369" s="1"/>
      <c r="K5369" s="1"/>
      <c r="Q5369" s="1"/>
      <c r="AD5369" s="1"/>
      <c r="AG5369" s="1"/>
      <c r="AI5369" s="1"/>
    </row>
    <row r="5370" spans="4:35" hidden="1">
      <c r="D5370" s="1"/>
      <c r="K5370" s="1"/>
      <c r="Q5370" s="1"/>
      <c r="AD5370" s="1"/>
      <c r="AG5370" s="1"/>
      <c r="AI5370" s="1"/>
    </row>
    <row r="5371" spans="4:35" hidden="1">
      <c r="D5371" s="1"/>
      <c r="K5371" s="1"/>
      <c r="Q5371" s="1"/>
      <c r="AD5371" s="1"/>
      <c r="AG5371" s="1"/>
      <c r="AI5371" s="1"/>
    </row>
    <row r="5372" spans="4:35" hidden="1">
      <c r="D5372" s="1"/>
      <c r="K5372" s="1"/>
      <c r="Q5372" s="1"/>
      <c r="AD5372" s="1"/>
      <c r="AG5372" s="1"/>
      <c r="AI5372" s="1"/>
    </row>
    <row r="5373" spans="4:35" hidden="1">
      <c r="D5373" s="1"/>
      <c r="K5373" s="1"/>
      <c r="Q5373" s="1"/>
      <c r="AD5373" s="1"/>
      <c r="AG5373" s="1"/>
      <c r="AI5373" s="1"/>
    </row>
    <row r="5374" spans="4:35" hidden="1">
      <c r="D5374" s="1"/>
      <c r="K5374" s="1"/>
      <c r="Q5374" s="1"/>
      <c r="AD5374" s="1"/>
      <c r="AG5374" s="1"/>
      <c r="AI5374" s="1"/>
    </row>
    <row r="5375" spans="4:35" hidden="1">
      <c r="D5375" s="1"/>
      <c r="K5375" s="1"/>
      <c r="Q5375" s="1"/>
      <c r="AD5375" s="1"/>
      <c r="AG5375" s="1"/>
      <c r="AI5375" s="1"/>
    </row>
    <row r="5376" spans="4:35" hidden="1">
      <c r="D5376" s="1"/>
      <c r="K5376" s="1"/>
      <c r="Q5376" s="1"/>
      <c r="AD5376" s="1"/>
      <c r="AG5376" s="1"/>
      <c r="AI5376" s="1"/>
    </row>
    <row r="5377" spans="4:35" hidden="1">
      <c r="D5377" s="1"/>
      <c r="K5377" s="1"/>
      <c r="Q5377" s="1"/>
      <c r="AD5377" s="1"/>
      <c r="AG5377" s="1"/>
      <c r="AI5377" s="1"/>
    </row>
    <row r="5378" spans="4:35" hidden="1">
      <c r="D5378" s="1"/>
      <c r="K5378" s="1"/>
      <c r="Q5378" s="1"/>
      <c r="AD5378" s="1"/>
      <c r="AG5378" s="1"/>
      <c r="AI5378" s="1"/>
    </row>
    <row r="5379" spans="4:35" hidden="1">
      <c r="D5379" s="1"/>
      <c r="K5379" s="1"/>
      <c r="Q5379" s="1"/>
      <c r="AD5379" s="1"/>
      <c r="AG5379" s="1"/>
      <c r="AI5379" s="1"/>
    </row>
    <row r="5380" spans="4:35" hidden="1">
      <c r="D5380" s="1"/>
      <c r="K5380" s="1"/>
      <c r="Q5380" s="1"/>
      <c r="AD5380" s="1"/>
      <c r="AG5380" s="1"/>
      <c r="AI5380" s="1"/>
    </row>
    <row r="5381" spans="4:35" hidden="1">
      <c r="D5381" s="1"/>
      <c r="K5381" s="1"/>
      <c r="Q5381" s="1"/>
      <c r="AD5381" s="1"/>
      <c r="AG5381" s="1"/>
      <c r="AI5381" s="1"/>
    </row>
    <row r="5382" spans="4:35" hidden="1">
      <c r="D5382" s="1"/>
      <c r="K5382" s="1"/>
      <c r="Q5382" s="1"/>
      <c r="AD5382" s="1"/>
      <c r="AG5382" s="1"/>
      <c r="AI5382" s="1"/>
    </row>
    <row r="5383" spans="4:35" hidden="1">
      <c r="D5383" s="1"/>
      <c r="K5383" s="1"/>
      <c r="Q5383" s="1"/>
      <c r="AD5383" s="1"/>
      <c r="AG5383" s="1"/>
      <c r="AI5383" s="1"/>
    </row>
    <row r="5384" spans="4:35" hidden="1">
      <c r="D5384" s="1"/>
      <c r="K5384" s="1"/>
      <c r="Q5384" s="1"/>
      <c r="AD5384" s="1"/>
      <c r="AG5384" s="1"/>
      <c r="AI5384" s="1"/>
    </row>
    <row r="5385" spans="4:35" hidden="1">
      <c r="D5385" s="1"/>
      <c r="K5385" s="1"/>
      <c r="Q5385" s="1"/>
      <c r="AD5385" s="1"/>
      <c r="AG5385" s="1"/>
      <c r="AI5385" s="1"/>
    </row>
    <row r="5386" spans="4:35" hidden="1">
      <c r="D5386" s="1"/>
      <c r="K5386" s="1"/>
      <c r="Q5386" s="1"/>
      <c r="AD5386" s="1"/>
      <c r="AG5386" s="1"/>
      <c r="AI5386" s="1"/>
    </row>
    <row r="5387" spans="4:35" hidden="1">
      <c r="D5387" s="1"/>
      <c r="K5387" s="1"/>
      <c r="Q5387" s="1"/>
      <c r="AD5387" s="1"/>
      <c r="AG5387" s="1"/>
      <c r="AI5387" s="1"/>
    </row>
    <row r="5388" spans="4:35" hidden="1">
      <c r="D5388" s="1"/>
      <c r="K5388" s="1"/>
      <c r="Q5388" s="1"/>
      <c r="AD5388" s="1"/>
      <c r="AG5388" s="1"/>
      <c r="AI5388" s="1"/>
    </row>
    <row r="5389" spans="4:35" hidden="1">
      <c r="D5389" s="1"/>
      <c r="K5389" s="1"/>
      <c r="Q5389" s="1"/>
      <c r="AD5389" s="1"/>
      <c r="AG5389" s="1"/>
      <c r="AI5389" s="1"/>
    </row>
    <row r="5390" spans="4:35" hidden="1">
      <c r="D5390" s="1"/>
      <c r="K5390" s="1"/>
      <c r="Q5390" s="1"/>
      <c r="AD5390" s="1"/>
      <c r="AG5390" s="1"/>
      <c r="AI5390" s="1"/>
    </row>
    <row r="5391" spans="4:35" hidden="1">
      <c r="D5391" s="1"/>
      <c r="K5391" s="1"/>
      <c r="Q5391" s="1"/>
      <c r="AD5391" s="1"/>
      <c r="AG5391" s="1"/>
      <c r="AI5391" s="1"/>
    </row>
    <row r="5392" spans="4:35" hidden="1">
      <c r="D5392" s="1"/>
      <c r="K5392" s="1"/>
      <c r="Q5392" s="1"/>
      <c r="AD5392" s="1"/>
      <c r="AG5392" s="1"/>
      <c r="AI5392" s="1"/>
    </row>
    <row r="5393" spans="4:35" hidden="1">
      <c r="D5393" s="1"/>
      <c r="K5393" s="1"/>
      <c r="Q5393" s="1"/>
      <c r="AD5393" s="1"/>
      <c r="AG5393" s="1"/>
      <c r="AI5393" s="1"/>
    </row>
    <row r="5394" spans="4:35" hidden="1">
      <c r="D5394" s="1"/>
      <c r="K5394" s="1"/>
      <c r="Q5394" s="1"/>
      <c r="AD5394" s="1"/>
      <c r="AG5394" s="1"/>
      <c r="AI5394" s="1"/>
    </row>
    <row r="5395" spans="4:35" hidden="1">
      <c r="D5395" s="1"/>
      <c r="K5395" s="1"/>
      <c r="Q5395" s="1"/>
      <c r="AD5395" s="1"/>
      <c r="AG5395" s="1"/>
      <c r="AI5395" s="1"/>
    </row>
    <row r="5396" spans="4:35" hidden="1">
      <c r="D5396" s="1"/>
      <c r="K5396" s="1"/>
      <c r="Q5396" s="1"/>
      <c r="AD5396" s="1"/>
      <c r="AG5396" s="1"/>
      <c r="AI5396" s="1"/>
    </row>
    <row r="5397" spans="4:35" hidden="1">
      <c r="D5397" s="1"/>
      <c r="K5397" s="1"/>
      <c r="Q5397" s="1"/>
      <c r="AD5397" s="1"/>
      <c r="AG5397" s="1"/>
      <c r="AI5397" s="1"/>
    </row>
    <row r="5398" spans="4:35" hidden="1">
      <c r="D5398" s="1"/>
      <c r="K5398" s="1"/>
      <c r="Q5398" s="1"/>
      <c r="AD5398" s="1"/>
      <c r="AG5398" s="1"/>
      <c r="AI5398" s="1"/>
    </row>
    <row r="5399" spans="4:35" hidden="1">
      <c r="D5399" s="1"/>
      <c r="K5399" s="1"/>
      <c r="Q5399" s="1"/>
      <c r="AD5399" s="1"/>
      <c r="AG5399" s="1"/>
      <c r="AI5399" s="1"/>
    </row>
    <row r="5400" spans="4:35" hidden="1">
      <c r="D5400" s="1"/>
      <c r="K5400" s="1"/>
      <c r="Q5400" s="1"/>
      <c r="AD5400" s="1"/>
      <c r="AG5400" s="1"/>
      <c r="AI5400" s="1"/>
    </row>
    <row r="5401" spans="4:35" hidden="1">
      <c r="D5401" s="1"/>
      <c r="K5401" s="1"/>
      <c r="Q5401" s="1"/>
      <c r="AD5401" s="1"/>
      <c r="AG5401" s="1"/>
      <c r="AI5401" s="1"/>
    </row>
    <row r="5402" spans="4:35" hidden="1">
      <c r="D5402" s="1"/>
      <c r="K5402" s="1"/>
      <c r="Q5402" s="1"/>
      <c r="AD5402" s="1"/>
      <c r="AG5402" s="1"/>
      <c r="AI5402" s="1"/>
    </row>
    <row r="5403" spans="4:35" hidden="1">
      <c r="D5403" s="1"/>
      <c r="K5403" s="1"/>
      <c r="Q5403" s="1"/>
      <c r="AD5403" s="1"/>
      <c r="AG5403" s="1"/>
      <c r="AI5403" s="1"/>
    </row>
    <row r="5404" spans="4:35" hidden="1">
      <c r="D5404" s="1"/>
      <c r="K5404" s="1"/>
      <c r="Q5404" s="1"/>
      <c r="AD5404" s="1"/>
      <c r="AG5404" s="1"/>
      <c r="AI5404" s="1"/>
    </row>
    <row r="5405" spans="4:35" hidden="1">
      <c r="D5405" s="1"/>
      <c r="K5405" s="1"/>
      <c r="Q5405" s="1"/>
      <c r="AD5405" s="1"/>
      <c r="AG5405" s="1"/>
      <c r="AI5405" s="1"/>
    </row>
    <row r="5406" spans="4:35" hidden="1">
      <c r="D5406" s="1"/>
      <c r="K5406" s="1"/>
      <c r="Q5406" s="1"/>
      <c r="AD5406" s="1"/>
      <c r="AG5406" s="1"/>
      <c r="AI5406" s="1"/>
    </row>
    <row r="5407" spans="4:35" hidden="1">
      <c r="D5407" s="1"/>
      <c r="K5407" s="1"/>
      <c r="Q5407" s="1"/>
      <c r="AD5407" s="1"/>
      <c r="AG5407" s="1"/>
      <c r="AI5407" s="1"/>
    </row>
    <row r="5408" spans="4:35" hidden="1">
      <c r="D5408" s="1"/>
      <c r="K5408" s="1"/>
      <c r="Q5408" s="1"/>
      <c r="AD5408" s="1"/>
      <c r="AG5408" s="1"/>
      <c r="AI5408" s="1"/>
    </row>
    <row r="5409" spans="4:35" hidden="1">
      <c r="D5409" s="1"/>
      <c r="K5409" s="1"/>
      <c r="Q5409" s="1"/>
      <c r="AD5409" s="1"/>
      <c r="AG5409" s="1"/>
      <c r="AI5409" s="1"/>
    </row>
    <row r="5410" spans="4:35" hidden="1">
      <c r="D5410" s="1"/>
      <c r="K5410" s="1"/>
      <c r="Q5410" s="1"/>
      <c r="AD5410" s="1"/>
      <c r="AG5410" s="1"/>
      <c r="AI5410" s="1"/>
    </row>
    <row r="5411" spans="4:35" hidden="1">
      <c r="D5411" s="1"/>
      <c r="K5411" s="1"/>
      <c r="Q5411" s="1"/>
      <c r="AD5411" s="1"/>
      <c r="AG5411" s="1"/>
      <c r="AI5411" s="1"/>
    </row>
    <row r="5412" spans="4:35" hidden="1">
      <c r="D5412" s="1"/>
      <c r="K5412" s="1"/>
      <c r="Q5412" s="1"/>
      <c r="AD5412" s="1"/>
      <c r="AG5412" s="1"/>
      <c r="AI5412" s="1"/>
    </row>
    <row r="5413" spans="4:35" hidden="1">
      <c r="D5413" s="1"/>
      <c r="K5413" s="1"/>
      <c r="Q5413" s="1"/>
      <c r="AD5413" s="1"/>
      <c r="AG5413" s="1"/>
      <c r="AI5413" s="1"/>
    </row>
    <row r="5414" spans="4:35" hidden="1">
      <c r="D5414" s="1"/>
      <c r="K5414" s="1"/>
      <c r="Q5414" s="1"/>
      <c r="AD5414" s="1"/>
      <c r="AG5414" s="1"/>
      <c r="AI5414" s="1"/>
    </row>
    <row r="5415" spans="4:35" hidden="1">
      <c r="D5415" s="1"/>
      <c r="K5415" s="1"/>
      <c r="Q5415" s="1"/>
      <c r="AD5415" s="1"/>
      <c r="AG5415" s="1"/>
      <c r="AI5415" s="1"/>
    </row>
    <row r="5416" spans="4:35" hidden="1">
      <c r="D5416" s="1"/>
      <c r="K5416" s="1"/>
      <c r="Q5416" s="1"/>
      <c r="AD5416" s="1"/>
      <c r="AG5416" s="1"/>
      <c r="AI5416" s="1"/>
    </row>
    <row r="5417" spans="4:35" hidden="1">
      <c r="D5417" s="1"/>
      <c r="K5417" s="1"/>
      <c r="Q5417" s="1"/>
      <c r="AD5417" s="1"/>
      <c r="AG5417" s="1"/>
      <c r="AI5417" s="1"/>
    </row>
    <row r="5418" spans="4:35" hidden="1">
      <c r="D5418" s="1"/>
      <c r="K5418" s="1"/>
      <c r="Q5418" s="1"/>
      <c r="AD5418" s="1"/>
      <c r="AG5418" s="1"/>
      <c r="AI5418" s="1"/>
    </row>
    <row r="5419" spans="4:35" hidden="1">
      <c r="D5419" s="1"/>
      <c r="K5419" s="1"/>
      <c r="Q5419" s="1"/>
      <c r="AD5419" s="1"/>
      <c r="AG5419" s="1"/>
      <c r="AI5419" s="1"/>
    </row>
    <row r="5420" spans="4:35" hidden="1">
      <c r="D5420" s="1"/>
      <c r="K5420" s="1"/>
      <c r="Q5420" s="1"/>
      <c r="AD5420" s="1"/>
      <c r="AG5420" s="1"/>
      <c r="AI5420" s="1"/>
    </row>
    <row r="5421" spans="4:35" hidden="1">
      <c r="D5421" s="1"/>
      <c r="K5421" s="1"/>
      <c r="Q5421" s="1"/>
      <c r="AD5421" s="1"/>
      <c r="AG5421" s="1"/>
      <c r="AI5421" s="1"/>
    </row>
    <row r="5422" spans="4:35" hidden="1">
      <c r="D5422" s="1"/>
      <c r="K5422" s="1"/>
      <c r="Q5422" s="1"/>
      <c r="AD5422" s="1"/>
      <c r="AG5422" s="1"/>
      <c r="AI5422" s="1"/>
    </row>
    <row r="5423" spans="4:35" hidden="1">
      <c r="D5423" s="1"/>
      <c r="K5423" s="1"/>
      <c r="Q5423" s="1"/>
      <c r="AD5423" s="1"/>
      <c r="AG5423" s="1"/>
      <c r="AI5423" s="1"/>
    </row>
    <row r="5424" spans="4:35" hidden="1">
      <c r="D5424" s="1"/>
      <c r="K5424" s="1"/>
      <c r="Q5424" s="1"/>
      <c r="AD5424" s="1"/>
      <c r="AG5424" s="1"/>
      <c r="AI5424" s="1"/>
    </row>
    <row r="5425" spans="4:35" hidden="1">
      <c r="D5425" s="1"/>
      <c r="K5425" s="1"/>
      <c r="Q5425" s="1"/>
      <c r="AD5425" s="1"/>
      <c r="AG5425" s="1"/>
      <c r="AI5425" s="1"/>
    </row>
    <row r="5426" spans="4:35" hidden="1">
      <c r="D5426" s="1"/>
      <c r="K5426" s="1"/>
      <c r="Q5426" s="1"/>
      <c r="AD5426" s="1"/>
      <c r="AG5426" s="1"/>
      <c r="AI5426" s="1"/>
    </row>
    <row r="5427" spans="4:35" hidden="1">
      <c r="D5427" s="1"/>
      <c r="K5427" s="1"/>
      <c r="Q5427" s="1"/>
      <c r="AD5427" s="1"/>
      <c r="AG5427" s="1"/>
      <c r="AI5427" s="1"/>
    </row>
    <row r="5428" spans="4:35" hidden="1">
      <c r="D5428" s="1"/>
      <c r="K5428" s="1"/>
      <c r="Q5428" s="1"/>
      <c r="AD5428" s="1"/>
      <c r="AG5428" s="1"/>
      <c r="AI5428" s="1"/>
    </row>
    <row r="5429" spans="4:35" hidden="1">
      <c r="D5429" s="1"/>
      <c r="K5429" s="1"/>
      <c r="Q5429" s="1"/>
      <c r="AD5429" s="1"/>
      <c r="AG5429" s="1"/>
      <c r="AI5429" s="1"/>
    </row>
    <row r="5430" spans="4:35" hidden="1">
      <c r="D5430" s="1"/>
      <c r="K5430" s="1"/>
      <c r="Q5430" s="1"/>
      <c r="AD5430" s="1"/>
      <c r="AG5430" s="1"/>
      <c r="AI5430" s="1"/>
    </row>
    <row r="5431" spans="4:35" hidden="1">
      <c r="D5431" s="1"/>
      <c r="K5431" s="1"/>
      <c r="Q5431" s="1"/>
      <c r="AD5431" s="1"/>
      <c r="AG5431" s="1"/>
      <c r="AI5431" s="1"/>
    </row>
    <row r="5432" spans="4:35" hidden="1">
      <c r="D5432" s="1"/>
      <c r="K5432" s="1"/>
      <c r="Q5432" s="1"/>
      <c r="AD5432" s="1"/>
      <c r="AG5432" s="1"/>
      <c r="AI5432" s="1"/>
    </row>
    <row r="5433" spans="4:35" hidden="1">
      <c r="D5433" s="1"/>
      <c r="K5433" s="1"/>
      <c r="Q5433" s="1"/>
      <c r="AD5433" s="1"/>
      <c r="AG5433" s="1"/>
      <c r="AI5433" s="1"/>
    </row>
    <row r="5434" spans="4:35" hidden="1">
      <c r="D5434" s="1"/>
      <c r="K5434" s="1"/>
      <c r="Q5434" s="1"/>
      <c r="AD5434" s="1"/>
      <c r="AG5434" s="1"/>
      <c r="AI5434" s="1"/>
    </row>
    <row r="5435" spans="4:35" hidden="1">
      <c r="D5435" s="1"/>
      <c r="K5435" s="1"/>
      <c r="Q5435" s="1"/>
      <c r="AD5435" s="1"/>
      <c r="AG5435" s="1"/>
      <c r="AI5435" s="1"/>
    </row>
    <row r="5436" spans="4:35" hidden="1">
      <c r="D5436" s="1"/>
      <c r="K5436" s="1"/>
      <c r="Q5436" s="1"/>
      <c r="AD5436" s="1"/>
      <c r="AG5436" s="1"/>
      <c r="AI5436" s="1"/>
    </row>
    <row r="5437" spans="4:35" hidden="1">
      <c r="D5437" s="1"/>
      <c r="K5437" s="1"/>
      <c r="Q5437" s="1"/>
      <c r="AD5437" s="1"/>
      <c r="AG5437" s="1"/>
      <c r="AI5437" s="1"/>
    </row>
    <row r="5438" spans="4:35" hidden="1">
      <c r="D5438" s="1"/>
      <c r="K5438" s="1"/>
      <c r="Q5438" s="1"/>
      <c r="AD5438" s="1"/>
      <c r="AG5438" s="1"/>
      <c r="AI5438" s="1"/>
    </row>
    <row r="5439" spans="4:35" hidden="1">
      <c r="D5439" s="1"/>
      <c r="K5439" s="1"/>
      <c r="Q5439" s="1"/>
      <c r="AD5439" s="1"/>
      <c r="AG5439" s="1"/>
      <c r="AI5439" s="1"/>
    </row>
    <row r="5440" spans="4:35" hidden="1">
      <c r="D5440" s="1"/>
      <c r="K5440" s="1"/>
      <c r="Q5440" s="1"/>
      <c r="AD5440" s="1"/>
      <c r="AG5440" s="1"/>
      <c r="AI5440" s="1"/>
    </row>
    <row r="5441" spans="4:35" hidden="1">
      <c r="D5441" s="1"/>
      <c r="K5441" s="1"/>
      <c r="Q5441" s="1"/>
      <c r="AD5441" s="1"/>
      <c r="AG5441" s="1"/>
      <c r="AI5441" s="1"/>
    </row>
    <row r="5442" spans="4:35" hidden="1">
      <c r="D5442" s="1"/>
      <c r="K5442" s="1"/>
      <c r="Q5442" s="1"/>
      <c r="AD5442" s="1"/>
      <c r="AG5442" s="1"/>
      <c r="AI5442" s="1"/>
    </row>
    <row r="5443" spans="4:35" hidden="1">
      <c r="D5443" s="1"/>
      <c r="K5443" s="1"/>
      <c r="Q5443" s="1"/>
      <c r="AD5443" s="1"/>
      <c r="AG5443" s="1"/>
      <c r="AI5443" s="1"/>
    </row>
    <row r="5444" spans="4:35" hidden="1">
      <c r="D5444" s="1"/>
      <c r="K5444" s="1"/>
      <c r="Q5444" s="1"/>
      <c r="AD5444" s="1"/>
      <c r="AG5444" s="1"/>
      <c r="AI5444" s="1"/>
    </row>
    <row r="5445" spans="4:35" hidden="1">
      <c r="D5445" s="1"/>
      <c r="K5445" s="1"/>
      <c r="Q5445" s="1"/>
      <c r="AD5445" s="1"/>
      <c r="AG5445" s="1"/>
      <c r="AI5445" s="1"/>
    </row>
    <row r="5446" spans="4:35" hidden="1">
      <c r="D5446" s="1"/>
      <c r="K5446" s="1"/>
      <c r="Q5446" s="1"/>
      <c r="AD5446" s="1"/>
      <c r="AG5446" s="1"/>
      <c r="AI5446" s="1"/>
    </row>
    <row r="5447" spans="4:35" hidden="1">
      <c r="D5447" s="1"/>
      <c r="K5447" s="1"/>
      <c r="Q5447" s="1"/>
      <c r="AD5447" s="1"/>
      <c r="AG5447" s="1"/>
      <c r="AI5447" s="1"/>
    </row>
    <row r="5448" spans="4:35" hidden="1">
      <c r="D5448" s="1"/>
      <c r="K5448" s="1"/>
      <c r="Q5448" s="1"/>
      <c r="AD5448" s="1"/>
      <c r="AG5448" s="1"/>
      <c r="AI5448" s="1"/>
    </row>
    <row r="5449" spans="4:35" hidden="1">
      <c r="D5449" s="1"/>
      <c r="K5449" s="1"/>
      <c r="Q5449" s="1"/>
      <c r="AD5449" s="1"/>
      <c r="AG5449" s="1"/>
      <c r="AI5449" s="1"/>
    </row>
    <row r="5450" spans="4:35" hidden="1">
      <c r="D5450" s="1"/>
      <c r="K5450" s="1"/>
      <c r="Q5450" s="1"/>
      <c r="AD5450" s="1"/>
      <c r="AG5450" s="1"/>
      <c r="AI5450" s="1"/>
    </row>
    <row r="5451" spans="4:35" hidden="1">
      <c r="D5451" s="1"/>
      <c r="K5451" s="1"/>
      <c r="Q5451" s="1"/>
      <c r="AD5451" s="1"/>
      <c r="AG5451" s="1"/>
      <c r="AI5451" s="1"/>
    </row>
    <row r="5452" spans="4:35" hidden="1">
      <c r="D5452" s="1"/>
      <c r="K5452" s="1"/>
      <c r="Q5452" s="1"/>
      <c r="AD5452" s="1"/>
      <c r="AG5452" s="1"/>
      <c r="AI5452" s="1"/>
    </row>
    <row r="5453" spans="4:35" hidden="1">
      <c r="D5453" s="1"/>
      <c r="K5453" s="1"/>
      <c r="Q5453" s="1"/>
      <c r="AD5453" s="1"/>
      <c r="AG5453" s="1"/>
      <c r="AI5453" s="1"/>
    </row>
    <row r="5454" spans="4:35" hidden="1">
      <c r="D5454" s="1"/>
      <c r="K5454" s="1"/>
      <c r="Q5454" s="1"/>
      <c r="AD5454" s="1"/>
      <c r="AG5454" s="1"/>
      <c r="AI5454" s="1"/>
    </row>
    <row r="5455" spans="4:35" hidden="1">
      <c r="D5455" s="1"/>
      <c r="K5455" s="1"/>
      <c r="Q5455" s="1"/>
      <c r="AD5455" s="1"/>
      <c r="AG5455" s="1"/>
      <c r="AI5455" s="1"/>
    </row>
    <row r="5456" spans="4:35" hidden="1">
      <c r="D5456" s="1"/>
      <c r="K5456" s="1"/>
      <c r="Q5456" s="1"/>
      <c r="AD5456" s="1"/>
      <c r="AG5456" s="1"/>
      <c r="AI5456" s="1"/>
    </row>
    <row r="5457" spans="4:35" hidden="1">
      <c r="D5457" s="1"/>
      <c r="K5457" s="1"/>
      <c r="Q5457" s="1"/>
      <c r="AD5457" s="1"/>
      <c r="AG5457" s="1"/>
      <c r="AI5457" s="1"/>
    </row>
    <row r="5458" spans="4:35" hidden="1">
      <c r="D5458" s="1"/>
      <c r="K5458" s="1"/>
      <c r="Q5458" s="1"/>
      <c r="AD5458" s="1"/>
      <c r="AG5458" s="1"/>
      <c r="AI5458" s="1"/>
    </row>
    <row r="5459" spans="4:35" hidden="1">
      <c r="D5459" s="1"/>
      <c r="K5459" s="1"/>
      <c r="Q5459" s="1"/>
      <c r="AD5459" s="1"/>
      <c r="AG5459" s="1"/>
      <c r="AI5459" s="1"/>
    </row>
    <row r="5460" spans="4:35" hidden="1">
      <c r="D5460" s="1"/>
      <c r="K5460" s="1"/>
      <c r="Q5460" s="1"/>
      <c r="AD5460" s="1"/>
      <c r="AG5460" s="1"/>
      <c r="AI5460" s="1"/>
    </row>
    <row r="5461" spans="4:35" hidden="1">
      <c r="D5461" s="1"/>
      <c r="K5461" s="1"/>
      <c r="Q5461" s="1"/>
      <c r="AD5461" s="1"/>
      <c r="AG5461" s="1"/>
      <c r="AI5461" s="1"/>
    </row>
    <row r="5462" spans="4:35" hidden="1">
      <c r="D5462" s="1"/>
      <c r="K5462" s="1"/>
      <c r="Q5462" s="1"/>
      <c r="AD5462" s="1"/>
      <c r="AG5462" s="1"/>
      <c r="AI5462" s="1"/>
    </row>
    <row r="5463" spans="4:35" hidden="1">
      <c r="D5463" s="1"/>
      <c r="K5463" s="1"/>
      <c r="Q5463" s="1"/>
      <c r="AD5463" s="1"/>
      <c r="AG5463" s="1"/>
      <c r="AI5463" s="1"/>
    </row>
    <row r="5464" spans="4:35" hidden="1">
      <c r="D5464" s="1"/>
      <c r="K5464" s="1"/>
      <c r="Q5464" s="1"/>
      <c r="AD5464" s="1"/>
      <c r="AG5464" s="1"/>
      <c r="AI5464" s="1"/>
    </row>
    <row r="5465" spans="4:35" hidden="1">
      <c r="D5465" s="1"/>
      <c r="K5465" s="1"/>
      <c r="Q5465" s="1"/>
      <c r="AD5465" s="1"/>
      <c r="AG5465" s="1"/>
      <c r="AI5465" s="1"/>
    </row>
    <row r="5466" spans="4:35" hidden="1">
      <c r="D5466" s="1"/>
      <c r="K5466" s="1"/>
      <c r="Q5466" s="1"/>
      <c r="AD5466" s="1"/>
      <c r="AG5466" s="1"/>
      <c r="AI5466" s="1"/>
    </row>
    <row r="5467" spans="4:35" hidden="1">
      <c r="D5467" s="1"/>
      <c r="K5467" s="1"/>
      <c r="Q5467" s="1"/>
      <c r="AD5467" s="1"/>
      <c r="AG5467" s="1"/>
      <c r="AI5467" s="1"/>
    </row>
    <row r="5468" spans="4:35" hidden="1">
      <c r="D5468" s="1"/>
      <c r="K5468" s="1"/>
      <c r="Q5468" s="1"/>
      <c r="AD5468" s="1"/>
      <c r="AG5468" s="1"/>
      <c r="AI5468" s="1"/>
    </row>
    <row r="5469" spans="4:35" hidden="1">
      <c r="D5469" s="1"/>
      <c r="K5469" s="1"/>
      <c r="Q5469" s="1"/>
      <c r="AD5469" s="1"/>
      <c r="AG5469" s="1"/>
      <c r="AI5469" s="1"/>
    </row>
    <row r="5470" spans="4:35" hidden="1">
      <c r="D5470" s="1"/>
      <c r="K5470" s="1"/>
      <c r="Q5470" s="1"/>
      <c r="AD5470" s="1"/>
      <c r="AG5470" s="1"/>
      <c r="AI5470" s="1"/>
    </row>
    <row r="5471" spans="4:35" hidden="1">
      <c r="D5471" s="1"/>
      <c r="K5471" s="1"/>
      <c r="Q5471" s="1"/>
      <c r="AD5471" s="1"/>
      <c r="AG5471" s="1"/>
      <c r="AI5471" s="1"/>
    </row>
    <row r="5472" spans="4:35" hidden="1">
      <c r="D5472" s="1"/>
      <c r="K5472" s="1"/>
      <c r="Q5472" s="1"/>
      <c r="AD5472" s="1"/>
      <c r="AG5472" s="1"/>
      <c r="AI5472" s="1"/>
    </row>
    <row r="5473" spans="4:35" hidden="1">
      <c r="D5473" s="1"/>
      <c r="K5473" s="1"/>
      <c r="Q5473" s="1"/>
      <c r="AD5473" s="1"/>
      <c r="AG5473" s="1"/>
      <c r="AI5473" s="1"/>
    </row>
    <row r="5474" spans="4:35" hidden="1">
      <c r="D5474" s="1"/>
      <c r="K5474" s="1"/>
      <c r="Q5474" s="1"/>
      <c r="AD5474" s="1"/>
      <c r="AG5474" s="1"/>
      <c r="AI5474" s="1"/>
    </row>
    <row r="5475" spans="4:35" hidden="1">
      <c r="D5475" s="1"/>
      <c r="K5475" s="1"/>
      <c r="Q5475" s="1"/>
      <c r="AD5475" s="1"/>
      <c r="AG5475" s="1"/>
      <c r="AI5475" s="1"/>
    </row>
    <row r="5476" spans="4:35" hidden="1">
      <c r="D5476" s="1"/>
      <c r="K5476" s="1"/>
      <c r="Q5476" s="1"/>
      <c r="AD5476" s="1"/>
      <c r="AG5476" s="1"/>
      <c r="AI5476" s="1"/>
    </row>
    <row r="5477" spans="4:35" hidden="1">
      <c r="D5477" s="1"/>
      <c r="K5477" s="1"/>
      <c r="Q5477" s="1"/>
      <c r="AD5477" s="1"/>
      <c r="AG5477" s="1"/>
      <c r="AI5477" s="1"/>
    </row>
    <row r="5478" spans="4:35" hidden="1">
      <c r="D5478" s="1"/>
      <c r="K5478" s="1"/>
      <c r="Q5478" s="1"/>
      <c r="AD5478" s="1"/>
      <c r="AG5478" s="1"/>
      <c r="AI5478" s="1"/>
    </row>
    <row r="5479" spans="4:35" hidden="1">
      <c r="D5479" s="1"/>
      <c r="K5479" s="1"/>
      <c r="Q5479" s="1"/>
      <c r="AD5479" s="1"/>
      <c r="AG5479" s="1"/>
      <c r="AI5479" s="1"/>
    </row>
    <row r="5480" spans="4:35" hidden="1">
      <c r="D5480" s="1"/>
      <c r="K5480" s="1"/>
      <c r="Q5480" s="1"/>
      <c r="AD5480" s="1"/>
      <c r="AG5480" s="1"/>
      <c r="AI5480" s="1"/>
    </row>
    <row r="5481" spans="4:35" hidden="1">
      <c r="D5481" s="1"/>
      <c r="K5481" s="1"/>
      <c r="Q5481" s="1"/>
      <c r="AD5481" s="1"/>
      <c r="AG5481" s="1"/>
      <c r="AI5481" s="1"/>
    </row>
    <row r="5482" spans="4:35" hidden="1">
      <c r="D5482" s="1"/>
      <c r="K5482" s="1"/>
      <c r="Q5482" s="1"/>
      <c r="AD5482" s="1"/>
      <c r="AG5482" s="1"/>
      <c r="AI5482" s="1"/>
    </row>
    <row r="5483" spans="4:35" hidden="1">
      <c r="D5483" s="1"/>
      <c r="K5483" s="1"/>
      <c r="Q5483" s="1"/>
      <c r="AD5483" s="1"/>
      <c r="AG5483" s="1"/>
      <c r="AI5483" s="1"/>
    </row>
    <row r="5484" spans="4:35" hidden="1">
      <c r="D5484" s="1"/>
      <c r="K5484" s="1"/>
      <c r="Q5484" s="1"/>
      <c r="AD5484" s="1"/>
      <c r="AG5484" s="1"/>
      <c r="AI5484" s="1"/>
    </row>
    <row r="5485" spans="4:35" hidden="1">
      <c r="D5485" s="1"/>
      <c r="K5485" s="1"/>
      <c r="Q5485" s="1"/>
      <c r="AD5485" s="1"/>
      <c r="AG5485" s="1"/>
      <c r="AI5485" s="1"/>
    </row>
    <row r="5486" spans="4:35" hidden="1">
      <c r="D5486" s="1"/>
      <c r="K5486" s="1"/>
      <c r="Q5486" s="1"/>
      <c r="AD5486" s="1"/>
      <c r="AG5486" s="1"/>
      <c r="AI5486" s="1"/>
    </row>
    <row r="5487" spans="4:35" hidden="1">
      <c r="D5487" s="1"/>
      <c r="K5487" s="1"/>
      <c r="Q5487" s="1"/>
      <c r="AD5487" s="1"/>
      <c r="AG5487" s="1"/>
      <c r="AI5487" s="1"/>
    </row>
    <row r="5488" spans="4:35" hidden="1">
      <c r="D5488" s="1"/>
      <c r="K5488" s="1"/>
      <c r="Q5488" s="1"/>
      <c r="AD5488" s="1"/>
      <c r="AG5488" s="1"/>
      <c r="AI5488" s="1"/>
    </row>
    <row r="5489" spans="4:35" hidden="1">
      <c r="D5489" s="1"/>
      <c r="K5489" s="1"/>
      <c r="Q5489" s="1"/>
      <c r="AD5489" s="1"/>
      <c r="AG5489" s="1"/>
      <c r="AI5489" s="1"/>
    </row>
    <row r="5490" spans="4:35" hidden="1">
      <c r="D5490" s="1"/>
      <c r="K5490" s="1"/>
      <c r="Q5490" s="1"/>
      <c r="AD5490" s="1"/>
      <c r="AG5490" s="1"/>
      <c r="AI5490" s="1"/>
    </row>
    <row r="5491" spans="4:35" hidden="1">
      <c r="D5491" s="1"/>
      <c r="K5491" s="1"/>
      <c r="Q5491" s="1"/>
      <c r="AD5491" s="1"/>
      <c r="AG5491" s="1"/>
      <c r="AI5491" s="1"/>
    </row>
    <row r="5492" spans="4:35" hidden="1">
      <c r="D5492" s="1"/>
      <c r="K5492" s="1"/>
      <c r="Q5492" s="1"/>
      <c r="AD5492" s="1"/>
      <c r="AG5492" s="1"/>
      <c r="AI5492" s="1"/>
    </row>
    <row r="5493" spans="4:35" hidden="1">
      <c r="D5493" s="1"/>
      <c r="K5493" s="1"/>
      <c r="Q5493" s="1"/>
      <c r="AD5493" s="1"/>
      <c r="AG5493" s="1"/>
      <c r="AI5493" s="1"/>
    </row>
    <row r="5494" spans="4:35" hidden="1">
      <c r="D5494" s="1"/>
      <c r="K5494" s="1"/>
      <c r="Q5494" s="1"/>
      <c r="AD5494" s="1"/>
      <c r="AG5494" s="1"/>
      <c r="AI5494" s="1"/>
    </row>
    <row r="5495" spans="4:35" hidden="1">
      <c r="D5495" s="1"/>
      <c r="K5495" s="1"/>
      <c r="Q5495" s="1"/>
      <c r="AD5495" s="1"/>
      <c r="AG5495" s="1"/>
      <c r="AI5495" s="1"/>
    </row>
    <row r="5496" spans="4:35" hidden="1">
      <c r="D5496" s="1"/>
      <c r="K5496" s="1"/>
      <c r="Q5496" s="1"/>
      <c r="AD5496" s="1"/>
      <c r="AG5496" s="1"/>
      <c r="AI5496" s="1"/>
    </row>
    <row r="5497" spans="4:35" hidden="1">
      <c r="D5497" s="1"/>
      <c r="K5497" s="1"/>
      <c r="Q5497" s="1"/>
      <c r="AD5497" s="1"/>
      <c r="AG5497" s="1"/>
      <c r="AI5497" s="1"/>
    </row>
    <row r="5498" spans="4:35" hidden="1">
      <c r="D5498" s="1"/>
      <c r="K5498" s="1"/>
      <c r="Q5498" s="1"/>
      <c r="AD5498" s="1"/>
      <c r="AG5498" s="1"/>
      <c r="AI5498" s="1"/>
    </row>
    <row r="5499" spans="4:35" hidden="1">
      <c r="D5499" s="1"/>
      <c r="K5499" s="1"/>
      <c r="Q5499" s="1"/>
      <c r="AD5499" s="1"/>
      <c r="AG5499" s="1"/>
      <c r="AI5499" s="1"/>
    </row>
    <row r="5500" spans="4:35" hidden="1">
      <c r="D5500" s="1"/>
      <c r="K5500" s="1"/>
      <c r="Q5500" s="1"/>
      <c r="AD5500" s="1"/>
      <c r="AG5500" s="1"/>
      <c r="AI5500" s="1"/>
    </row>
    <row r="5501" spans="4:35" hidden="1">
      <c r="D5501" s="1"/>
      <c r="K5501" s="1"/>
      <c r="Q5501" s="1"/>
      <c r="AD5501" s="1"/>
      <c r="AG5501" s="1"/>
      <c r="AI5501" s="1"/>
    </row>
    <row r="5502" spans="4:35" hidden="1">
      <c r="D5502" s="1"/>
      <c r="K5502" s="1"/>
      <c r="Q5502" s="1"/>
      <c r="AD5502" s="1"/>
      <c r="AG5502" s="1"/>
      <c r="AI5502" s="1"/>
    </row>
    <row r="5503" spans="4:35" hidden="1">
      <c r="D5503" s="1"/>
      <c r="K5503" s="1"/>
      <c r="Q5503" s="1"/>
      <c r="AD5503" s="1"/>
      <c r="AG5503" s="1"/>
      <c r="AI5503" s="1"/>
    </row>
    <row r="5504" spans="4:35" hidden="1">
      <c r="D5504" s="1"/>
      <c r="K5504" s="1"/>
      <c r="Q5504" s="1"/>
      <c r="AD5504" s="1"/>
      <c r="AG5504" s="1"/>
      <c r="AI5504" s="1"/>
    </row>
    <row r="5505" spans="4:35" hidden="1">
      <c r="D5505" s="1"/>
      <c r="K5505" s="1"/>
      <c r="Q5505" s="1"/>
      <c r="AD5505" s="1"/>
      <c r="AG5505" s="1"/>
      <c r="AI5505" s="1"/>
    </row>
    <row r="5506" spans="4:35" hidden="1">
      <c r="D5506" s="1"/>
      <c r="K5506" s="1"/>
      <c r="Q5506" s="1"/>
      <c r="AD5506" s="1"/>
      <c r="AG5506" s="1"/>
      <c r="AI5506" s="1"/>
    </row>
    <row r="5507" spans="4:35" hidden="1">
      <c r="D5507" s="1"/>
      <c r="K5507" s="1"/>
      <c r="Q5507" s="1"/>
      <c r="AD5507" s="1"/>
      <c r="AG5507" s="1"/>
      <c r="AI5507" s="1"/>
    </row>
    <row r="5508" spans="4:35" hidden="1">
      <c r="D5508" s="1"/>
      <c r="K5508" s="1"/>
      <c r="Q5508" s="1"/>
      <c r="AD5508" s="1"/>
      <c r="AG5508" s="1"/>
      <c r="AI5508" s="1"/>
    </row>
    <row r="5509" spans="4:35" hidden="1">
      <c r="D5509" s="1"/>
      <c r="K5509" s="1"/>
      <c r="Q5509" s="1"/>
      <c r="AD5509" s="1"/>
      <c r="AG5509" s="1"/>
      <c r="AI5509" s="1"/>
    </row>
    <row r="5510" spans="4:35" hidden="1">
      <c r="D5510" s="1"/>
      <c r="K5510" s="1"/>
      <c r="Q5510" s="1"/>
      <c r="AD5510" s="1"/>
      <c r="AG5510" s="1"/>
      <c r="AI5510" s="1"/>
    </row>
    <row r="5511" spans="4:35" hidden="1">
      <c r="D5511" s="1"/>
      <c r="K5511" s="1"/>
      <c r="Q5511" s="1"/>
      <c r="AD5511" s="1"/>
      <c r="AG5511" s="1"/>
      <c r="AI5511" s="1"/>
    </row>
    <row r="5512" spans="4:35" hidden="1">
      <c r="D5512" s="1"/>
      <c r="K5512" s="1"/>
      <c r="Q5512" s="1"/>
      <c r="AD5512" s="1"/>
      <c r="AG5512" s="1"/>
      <c r="AI5512" s="1"/>
    </row>
    <row r="5513" spans="4:35" hidden="1">
      <c r="D5513" s="1"/>
      <c r="K5513" s="1"/>
      <c r="Q5513" s="1"/>
      <c r="AD5513" s="1"/>
      <c r="AG5513" s="1"/>
      <c r="AI5513" s="1"/>
    </row>
    <row r="5514" spans="4:35" hidden="1">
      <c r="D5514" s="1"/>
      <c r="K5514" s="1"/>
      <c r="Q5514" s="1"/>
      <c r="AD5514" s="1"/>
      <c r="AG5514" s="1"/>
      <c r="AI5514" s="1"/>
    </row>
    <row r="5515" spans="4:35" hidden="1">
      <c r="D5515" s="1"/>
      <c r="K5515" s="1"/>
      <c r="Q5515" s="1"/>
      <c r="AD5515" s="1"/>
      <c r="AG5515" s="1"/>
      <c r="AI5515" s="1"/>
    </row>
    <row r="5516" spans="4:35" hidden="1">
      <c r="D5516" s="1"/>
      <c r="K5516" s="1"/>
      <c r="Q5516" s="1"/>
      <c r="AD5516" s="1"/>
      <c r="AG5516" s="1"/>
      <c r="AI5516" s="1"/>
    </row>
    <row r="5517" spans="4:35" hidden="1">
      <c r="D5517" s="1"/>
      <c r="K5517" s="1"/>
      <c r="Q5517" s="1"/>
      <c r="AD5517" s="1"/>
      <c r="AG5517" s="1"/>
      <c r="AI5517" s="1"/>
    </row>
    <row r="5518" spans="4:35" hidden="1">
      <c r="D5518" s="1"/>
      <c r="K5518" s="1"/>
      <c r="Q5518" s="1"/>
      <c r="AD5518" s="1"/>
      <c r="AG5518" s="1"/>
      <c r="AI5518" s="1"/>
    </row>
    <row r="5519" spans="4:35" hidden="1">
      <c r="D5519" s="1"/>
      <c r="K5519" s="1"/>
      <c r="Q5519" s="1"/>
      <c r="AD5519" s="1"/>
      <c r="AG5519" s="1"/>
      <c r="AI5519" s="1"/>
    </row>
    <row r="5520" spans="4:35" hidden="1">
      <c r="D5520" s="1"/>
      <c r="K5520" s="1"/>
      <c r="Q5520" s="1"/>
      <c r="AD5520" s="1"/>
      <c r="AG5520" s="1"/>
      <c r="AI5520" s="1"/>
    </row>
    <row r="5521" spans="4:35" hidden="1">
      <c r="D5521" s="1"/>
      <c r="K5521" s="1"/>
      <c r="Q5521" s="1"/>
      <c r="AD5521" s="1"/>
      <c r="AG5521" s="1"/>
      <c r="AI5521" s="1"/>
    </row>
    <row r="5522" spans="4:35" hidden="1">
      <c r="D5522" s="1"/>
      <c r="K5522" s="1"/>
      <c r="Q5522" s="1"/>
      <c r="AD5522" s="1"/>
      <c r="AG5522" s="1"/>
      <c r="AI5522" s="1"/>
    </row>
    <row r="5523" spans="4:35" hidden="1">
      <c r="D5523" s="1"/>
      <c r="K5523" s="1"/>
      <c r="Q5523" s="1"/>
      <c r="AD5523" s="1"/>
      <c r="AG5523" s="1"/>
      <c r="AI5523" s="1"/>
    </row>
    <row r="5524" spans="4:35" hidden="1">
      <c r="D5524" s="1"/>
      <c r="K5524" s="1"/>
      <c r="Q5524" s="1"/>
      <c r="AD5524" s="1"/>
      <c r="AG5524" s="1"/>
      <c r="AI5524" s="1"/>
    </row>
    <row r="5525" spans="4:35" hidden="1">
      <c r="D5525" s="1"/>
      <c r="K5525" s="1"/>
      <c r="Q5525" s="1"/>
      <c r="AD5525" s="1"/>
      <c r="AG5525" s="1"/>
      <c r="AI5525" s="1"/>
    </row>
    <row r="5526" spans="4:35" hidden="1">
      <c r="D5526" s="1"/>
      <c r="K5526" s="1"/>
      <c r="Q5526" s="1"/>
      <c r="AD5526" s="1"/>
      <c r="AG5526" s="1"/>
      <c r="AI5526" s="1"/>
    </row>
    <row r="5527" spans="4:35" hidden="1">
      <c r="D5527" s="1"/>
      <c r="K5527" s="1"/>
      <c r="Q5527" s="1"/>
      <c r="AD5527" s="1"/>
      <c r="AG5527" s="1"/>
      <c r="AI5527" s="1"/>
    </row>
    <row r="5528" spans="4:35" hidden="1">
      <c r="D5528" s="1"/>
      <c r="K5528" s="1"/>
      <c r="Q5528" s="1"/>
      <c r="AD5528" s="1"/>
      <c r="AG5528" s="1"/>
      <c r="AI5528" s="1"/>
    </row>
    <row r="5529" spans="4:35" hidden="1">
      <c r="D5529" s="1"/>
      <c r="K5529" s="1"/>
      <c r="Q5529" s="1"/>
      <c r="AD5529" s="1"/>
      <c r="AG5529" s="1"/>
      <c r="AI5529" s="1"/>
    </row>
    <row r="5530" spans="4:35" hidden="1">
      <c r="D5530" s="1"/>
      <c r="K5530" s="1"/>
      <c r="Q5530" s="1"/>
      <c r="AD5530" s="1"/>
      <c r="AG5530" s="1"/>
      <c r="AI5530" s="1"/>
    </row>
    <row r="5531" spans="4:35" hidden="1">
      <c r="D5531" s="1"/>
      <c r="K5531" s="1"/>
      <c r="Q5531" s="1"/>
      <c r="AD5531" s="1"/>
      <c r="AG5531" s="1"/>
      <c r="AI5531" s="1"/>
    </row>
    <row r="5532" spans="4:35" hidden="1">
      <c r="D5532" s="1"/>
      <c r="K5532" s="1"/>
      <c r="Q5532" s="1"/>
      <c r="AD5532" s="1"/>
      <c r="AG5532" s="1"/>
      <c r="AI5532" s="1"/>
    </row>
    <row r="5533" spans="4:35" hidden="1">
      <c r="D5533" s="1"/>
      <c r="K5533" s="1"/>
      <c r="Q5533" s="1"/>
      <c r="AD5533" s="1"/>
      <c r="AG5533" s="1"/>
      <c r="AI5533" s="1"/>
    </row>
    <row r="5534" spans="4:35" hidden="1">
      <c r="D5534" s="1"/>
      <c r="K5534" s="1"/>
      <c r="Q5534" s="1"/>
      <c r="AD5534" s="1"/>
      <c r="AG5534" s="1"/>
      <c r="AI5534" s="1"/>
    </row>
    <row r="5535" spans="4:35" hidden="1">
      <c r="D5535" s="1"/>
      <c r="K5535" s="1"/>
      <c r="Q5535" s="1"/>
      <c r="AD5535" s="1"/>
      <c r="AG5535" s="1"/>
      <c r="AI5535" s="1"/>
    </row>
    <row r="5536" spans="4:35" hidden="1">
      <c r="D5536" s="1"/>
      <c r="K5536" s="1"/>
      <c r="Q5536" s="1"/>
      <c r="AD5536" s="1"/>
      <c r="AG5536" s="1"/>
      <c r="AI5536" s="1"/>
    </row>
    <row r="5537" spans="4:35" hidden="1">
      <c r="D5537" s="1"/>
      <c r="K5537" s="1"/>
      <c r="Q5537" s="1"/>
      <c r="AD5537" s="1"/>
      <c r="AG5537" s="1"/>
      <c r="AI5537" s="1"/>
    </row>
    <row r="5538" spans="4:35" hidden="1">
      <c r="D5538" s="1"/>
      <c r="K5538" s="1"/>
      <c r="Q5538" s="1"/>
      <c r="AD5538" s="1"/>
      <c r="AG5538" s="1"/>
      <c r="AI5538" s="1"/>
    </row>
    <row r="5539" spans="4:35" hidden="1">
      <c r="D5539" s="1"/>
      <c r="K5539" s="1"/>
      <c r="Q5539" s="1"/>
      <c r="AD5539" s="1"/>
      <c r="AG5539" s="1"/>
      <c r="AI5539" s="1"/>
    </row>
    <row r="5540" spans="4:35" hidden="1">
      <c r="D5540" s="1"/>
      <c r="K5540" s="1"/>
      <c r="Q5540" s="1"/>
      <c r="AD5540" s="1"/>
      <c r="AG5540" s="1"/>
      <c r="AI5540" s="1"/>
    </row>
    <row r="5541" spans="4:35" hidden="1">
      <c r="D5541" s="1"/>
      <c r="K5541" s="1"/>
      <c r="Q5541" s="1"/>
      <c r="AD5541" s="1"/>
      <c r="AG5541" s="1"/>
      <c r="AI5541" s="1"/>
    </row>
    <row r="5542" spans="4:35" hidden="1">
      <c r="D5542" s="1"/>
      <c r="K5542" s="1"/>
      <c r="Q5542" s="1"/>
      <c r="AD5542" s="1"/>
      <c r="AG5542" s="1"/>
      <c r="AI5542" s="1"/>
    </row>
    <row r="5543" spans="4:35" hidden="1">
      <c r="D5543" s="1"/>
      <c r="K5543" s="1"/>
      <c r="Q5543" s="1"/>
      <c r="AD5543" s="1"/>
      <c r="AG5543" s="1"/>
      <c r="AI5543" s="1"/>
    </row>
    <row r="5544" spans="4:35" hidden="1">
      <c r="D5544" s="1"/>
      <c r="K5544" s="1"/>
      <c r="Q5544" s="1"/>
      <c r="AD5544" s="1"/>
      <c r="AG5544" s="1"/>
      <c r="AI5544" s="1"/>
    </row>
    <row r="5545" spans="4:35" hidden="1">
      <c r="D5545" s="1"/>
      <c r="K5545" s="1"/>
      <c r="Q5545" s="1"/>
      <c r="AD5545" s="1"/>
      <c r="AG5545" s="1"/>
      <c r="AI5545" s="1"/>
    </row>
    <row r="5546" spans="4:35" hidden="1">
      <c r="D5546" s="1"/>
      <c r="K5546" s="1"/>
      <c r="Q5546" s="1"/>
      <c r="AD5546" s="1"/>
      <c r="AG5546" s="1"/>
      <c r="AI5546" s="1"/>
    </row>
    <row r="5547" spans="4:35" hidden="1">
      <c r="D5547" s="1"/>
      <c r="K5547" s="1"/>
      <c r="Q5547" s="1"/>
      <c r="AD5547" s="1"/>
      <c r="AG5547" s="1"/>
      <c r="AI5547" s="1"/>
    </row>
    <row r="5548" spans="4:35" hidden="1">
      <c r="D5548" s="1"/>
      <c r="K5548" s="1"/>
      <c r="Q5548" s="1"/>
      <c r="AD5548" s="1"/>
      <c r="AG5548" s="1"/>
      <c r="AI5548" s="1"/>
    </row>
    <row r="5549" spans="4:35" hidden="1">
      <c r="D5549" s="1"/>
      <c r="K5549" s="1"/>
      <c r="Q5549" s="1"/>
      <c r="AD5549" s="1"/>
      <c r="AG5549" s="1"/>
      <c r="AI5549" s="1"/>
    </row>
    <row r="5550" spans="4:35" hidden="1">
      <c r="D5550" s="1"/>
      <c r="K5550" s="1"/>
      <c r="Q5550" s="1"/>
      <c r="AD5550" s="1"/>
      <c r="AG5550" s="1"/>
      <c r="AI5550" s="1"/>
    </row>
    <row r="5551" spans="4:35" hidden="1">
      <c r="D5551" s="1"/>
      <c r="K5551" s="1"/>
      <c r="Q5551" s="1"/>
      <c r="AD5551" s="1"/>
      <c r="AG5551" s="1"/>
      <c r="AI5551" s="1"/>
    </row>
    <row r="5552" spans="4:35" hidden="1">
      <c r="D5552" s="1"/>
      <c r="K5552" s="1"/>
      <c r="Q5552" s="1"/>
      <c r="AD5552" s="1"/>
      <c r="AG5552" s="1"/>
      <c r="AI5552" s="1"/>
    </row>
    <row r="5553" spans="4:35" hidden="1">
      <c r="D5553" s="1"/>
      <c r="K5553" s="1"/>
      <c r="Q5553" s="1"/>
      <c r="AD5553" s="1"/>
      <c r="AG5553" s="1"/>
      <c r="AI5553" s="1"/>
    </row>
    <row r="5554" spans="4:35" hidden="1">
      <c r="D5554" s="1"/>
      <c r="K5554" s="1"/>
      <c r="Q5554" s="1"/>
      <c r="AD5554" s="1"/>
      <c r="AG5554" s="1"/>
      <c r="AI5554" s="1"/>
    </row>
    <row r="5555" spans="4:35" hidden="1">
      <c r="D5555" s="1"/>
      <c r="K5555" s="1"/>
      <c r="Q5555" s="1"/>
      <c r="AD5555" s="1"/>
      <c r="AG5555" s="1"/>
      <c r="AI5555" s="1"/>
    </row>
    <row r="5556" spans="4:35" hidden="1">
      <c r="D5556" s="1"/>
      <c r="K5556" s="1"/>
      <c r="Q5556" s="1"/>
      <c r="AD5556" s="1"/>
      <c r="AG5556" s="1"/>
      <c r="AI5556" s="1"/>
    </row>
    <row r="5557" spans="4:35" hidden="1">
      <c r="D5557" s="1"/>
      <c r="K5557" s="1"/>
      <c r="Q5557" s="1"/>
      <c r="AD5557" s="1"/>
      <c r="AG5557" s="1"/>
      <c r="AI5557" s="1"/>
    </row>
    <row r="5558" spans="4:35" hidden="1">
      <c r="D5558" s="1"/>
      <c r="K5558" s="1"/>
      <c r="Q5558" s="1"/>
      <c r="AD5558" s="1"/>
      <c r="AG5558" s="1"/>
      <c r="AI5558" s="1"/>
    </row>
    <row r="5559" spans="4:35" hidden="1">
      <c r="D5559" s="1"/>
      <c r="K5559" s="1"/>
      <c r="Q5559" s="1"/>
      <c r="AD5559" s="1"/>
      <c r="AG5559" s="1"/>
      <c r="AI5559" s="1"/>
    </row>
    <row r="5560" spans="4:35" hidden="1">
      <c r="D5560" s="1"/>
      <c r="K5560" s="1"/>
      <c r="Q5560" s="1"/>
      <c r="AD5560" s="1"/>
      <c r="AG5560" s="1"/>
      <c r="AI5560" s="1"/>
    </row>
    <row r="5561" spans="4:35" hidden="1">
      <c r="D5561" s="1"/>
      <c r="K5561" s="1"/>
      <c r="Q5561" s="1"/>
      <c r="AD5561" s="1"/>
      <c r="AG5561" s="1"/>
      <c r="AI5561" s="1"/>
    </row>
    <row r="5562" spans="4:35" hidden="1">
      <c r="D5562" s="1"/>
      <c r="K5562" s="1"/>
      <c r="Q5562" s="1"/>
      <c r="AD5562" s="1"/>
      <c r="AG5562" s="1"/>
      <c r="AI5562" s="1"/>
    </row>
    <row r="5563" spans="4:35" hidden="1">
      <c r="D5563" s="1"/>
      <c r="K5563" s="1"/>
      <c r="Q5563" s="1"/>
      <c r="AD5563" s="1"/>
      <c r="AG5563" s="1"/>
      <c r="AI5563" s="1"/>
    </row>
    <row r="5564" spans="4:35" hidden="1">
      <c r="D5564" s="1"/>
      <c r="K5564" s="1"/>
      <c r="Q5564" s="1"/>
      <c r="AD5564" s="1"/>
      <c r="AG5564" s="1"/>
      <c r="AI5564" s="1"/>
    </row>
    <row r="5565" spans="4:35" hidden="1">
      <c r="D5565" s="1"/>
      <c r="K5565" s="1"/>
      <c r="Q5565" s="1"/>
      <c r="AD5565" s="1"/>
      <c r="AG5565" s="1"/>
      <c r="AI5565" s="1"/>
    </row>
    <row r="5566" spans="4:35" hidden="1">
      <c r="D5566" s="1"/>
      <c r="K5566" s="1"/>
      <c r="Q5566" s="1"/>
      <c r="AD5566" s="1"/>
      <c r="AG5566" s="1"/>
      <c r="AI5566" s="1"/>
    </row>
    <row r="5567" spans="4:35" hidden="1">
      <c r="D5567" s="1"/>
      <c r="K5567" s="1"/>
      <c r="Q5567" s="1"/>
      <c r="AD5567" s="1"/>
      <c r="AG5567" s="1"/>
      <c r="AI5567" s="1"/>
    </row>
    <row r="5568" spans="4:35" hidden="1">
      <c r="D5568" s="1"/>
      <c r="K5568" s="1"/>
      <c r="Q5568" s="1"/>
      <c r="AD5568" s="1"/>
      <c r="AG5568" s="1"/>
      <c r="AI5568" s="1"/>
    </row>
    <row r="5569" spans="4:35" hidden="1">
      <c r="D5569" s="1"/>
      <c r="K5569" s="1"/>
      <c r="Q5569" s="1"/>
      <c r="AD5569" s="1"/>
      <c r="AG5569" s="1"/>
      <c r="AI5569" s="1"/>
    </row>
    <row r="5570" spans="4:35" hidden="1">
      <c r="D5570" s="1"/>
      <c r="K5570" s="1"/>
      <c r="Q5570" s="1"/>
      <c r="AD5570" s="1"/>
      <c r="AG5570" s="1"/>
      <c r="AI5570" s="1"/>
    </row>
    <row r="5571" spans="4:35" hidden="1">
      <c r="D5571" s="1"/>
      <c r="K5571" s="1"/>
      <c r="Q5571" s="1"/>
      <c r="AD5571" s="1"/>
      <c r="AG5571" s="1"/>
      <c r="AI5571" s="1"/>
    </row>
    <row r="5572" spans="4:35" hidden="1">
      <c r="D5572" s="1"/>
      <c r="K5572" s="1"/>
      <c r="Q5572" s="1"/>
      <c r="AD5572" s="1"/>
      <c r="AG5572" s="1"/>
      <c r="AI5572" s="1"/>
    </row>
    <row r="5573" spans="4:35" hidden="1">
      <c r="D5573" s="1"/>
      <c r="K5573" s="1"/>
      <c r="Q5573" s="1"/>
      <c r="AD5573" s="1"/>
      <c r="AG5573" s="1"/>
      <c r="AI5573" s="1"/>
    </row>
    <row r="5574" spans="4:35" hidden="1">
      <c r="D5574" s="1"/>
      <c r="K5574" s="1"/>
      <c r="Q5574" s="1"/>
      <c r="AD5574" s="1"/>
      <c r="AG5574" s="1"/>
      <c r="AI5574" s="1"/>
    </row>
    <row r="5575" spans="4:35" hidden="1">
      <c r="D5575" s="1"/>
      <c r="K5575" s="1"/>
      <c r="Q5575" s="1"/>
      <c r="AD5575" s="1"/>
      <c r="AG5575" s="1"/>
      <c r="AI5575" s="1"/>
    </row>
    <row r="5576" spans="4:35" hidden="1">
      <c r="D5576" s="1"/>
      <c r="K5576" s="1"/>
      <c r="Q5576" s="1"/>
      <c r="AD5576" s="1"/>
      <c r="AG5576" s="1"/>
      <c r="AI5576" s="1"/>
    </row>
    <row r="5577" spans="4:35" hidden="1">
      <c r="D5577" s="1"/>
      <c r="K5577" s="1"/>
      <c r="Q5577" s="1"/>
      <c r="AD5577" s="1"/>
      <c r="AG5577" s="1"/>
      <c r="AI5577" s="1"/>
    </row>
    <row r="5578" spans="4:35" hidden="1">
      <c r="D5578" s="1"/>
      <c r="K5578" s="1"/>
      <c r="Q5578" s="1"/>
      <c r="AD5578" s="1"/>
      <c r="AG5578" s="1"/>
      <c r="AI5578" s="1"/>
    </row>
    <row r="5579" spans="4:35" hidden="1">
      <c r="D5579" s="1"/>
      <c r="K5579" s="1"/>
      <c r="Q5579" s="1"/>
      <c r="AD5579" s="1"/>
      <c r="AG5579" s="1"/>
      <c r="AI5579" s="1"/>
    </row>
    <row r="5580" spans="4:35" hidden="1">
      <c r="D5580" s="1"/>
      <c r="K5580" s="1"/>
      <c r="Q5580" s="1"/>
      <c r="AD5580" s="1"/>
      <c r="AG5580" s="1"/>
      <c r="AI5580" s="1"/>
    </row>
    <row r="5581" spans="4:35" hidden="1">
      <c r="D5581" s="1"/>
      <c r="K5581" s="1"/>
      <c r="Q5581" s="1"/>
      <c r="AD5581" s="1"/>
      <c r="AG5581" s="1"/>
      <c r="AI5581" s="1"/>
    </row>
    <row r="5582" spans="4:35" hidden="1">
      <c r="D5582" s="1"/>
      <c r="K5582" s="1"/>
      <c r="Q5582" s="1"/>
      <c r="AD5582" s="1"/>
      <c r="AG5582" s="1"/>
      <c r="AI5582" s="1"/>
    </row>
    <row r="5583" spans="4:35" hidden="1">
      <c r="D5583" s="1"/>
      <c r="K5583" s="1"/>
      <c r="Q5583" s="1"/>
      <c r="AD5583" s="1"/>
      <c r="AG5583" s="1"/>
      <c r="AI5583" s="1"/>
    </row>
    <row r="5584" spans="4:35" hidden="1">
      <c r="D5584" s="1"/>
      <c r="K5584" s="1"/>
      <c r="Q5584" s="1"/>
      <c r="AD5584" s="1"/>
      <c r="AG5584" s="1"/>
      <c r="AI5584" s="1"/>
    </row>
    <row r="5585" spans="4:35" hidden="1">
      <c r="D5585" s="1"/>
      <c r="K5585" s="1"/>
      <c r="Q5585" s="1"/>
      <c r="AD5585" s="1"/>
      <c r="AG5585" s="1"/>
      <c r="AI5585" s="1"/>
    </row>
    <row r="5586" spans="4:35" hidden="1">
      <c r="D5586" s="1"/>
      <c r="K5586" s="1"/>
      <c r="Q5586" s="1"/>
      <c r="AD5586" s="1"/>
      <c r="AG5586" s="1"/>
      <c r="AI5586" s="1"/>
    </row>
    <row r="5587" spans="4:35" hidden="1">
      <c r="D5587" s="1"/>
      <c r="K5587" s="1"/>
      <c r="Q5587" s="1"/>
      <c r="AD5587" s="1"/>
      <c r="AG5587" s="1"/>
      <c r="AI5587" s="1"/>
    </row>
    <row r="5588" spans="4:35" hidden="1">
      <c r="D5588" s="1"/>
      <c r="K5588" s="1"/>
      <c r="Q5588" s="1"/>
      <c r="AD5588" s="1"/>
      <c r="AG5588" s="1"/>
      <c r="AI5588" s="1"/>
    </row>
    <row r="5589" spans="4:35" hidden="1">
      <c r="D5589" s="1"/>
      <c r="K5589" s="1"/>
      <c r="Q5589" s="1"/>
      <c r="AD5589" s="1"/>
      <c r="AG5589" s="1"/>
      <c r="AI5589" s="1"/>
    </row>
    <row r="5590" spans="4:35" hidden="1">
      <c r="D5590" s="1"/>
      <c r="K5590" s="1"/>
      <c r="Q5590" s="1"/>
      <c r="AD5590" s="1"/>
      <c r="AG5590" s="1"/>
      <c r="AI5590" s="1"/>
    </row>
    <row r="5591" spans="4:35" hidden="1">
      <c r="D5591" s="1"/>
      <c r="K5591" s="1"/>
      <c r="Q5591" s="1"/>
      <c r="AD5591" s="1"/>
      <c r="AG5591" s="1"/>
      <c r="AI5591" s="1"/>
    </row>
    <row r="5592" spans="4:35" hidden="1">
      <c r="D5592" s="1"/>
      <c r="K5592" s="1"/>
      <c r="Q5592" s="1"/>
      <c r="AD5592" s="1"/>
      <c r="AG5592" s="1"/>
      <c r="AI5592" s="1"/>
    </row>
    <row r="5593" spans="4:35" hidden="1">
      <c r="D5593" s="1"/>
      <c r="K5593" s="1"/>
      <c r="Q5593" s="1"/>
      <c r="AD5593" s="1"/>
      <c r="AG5593" s="1"/>
      <c r="AI5593" s="1"/>
    </row>
    <row r="5594" spans="4:35" hidden="1">
      <c r="D5594" s="1"/>
      <c r="K5594" s="1"/>
      <c r="Q5594" s="1"/>
      <c r="AD5594" s="1"/>
      <c r="AG5594" s="1"/>
      <c r="AI5594" s="1"/>
    </row>
    <row r="5595" spans="4:35" hidden="1">
      <c r="D5595" s="1"/>
      <c r="K5595" s="1"/>
      <c r="Q5595" s="1"/>
      <c r="AD5595" s="1"/>
      <c r="AG5595" s="1"/>
      <c r="AI5595" s="1"/>
    </row>
    <row r="5596" spans="4:35" hidden="1">
      <c r="D5596" s="1"/>
      <c r="K5596" s="1"/>
      <c r="Q5596" s="1"/>
      <c r="AD5596" s="1"/>
      <c r="AG5596" s="1"/>
      <c r="AI5596" s="1"/>
    </row>
    <row r="5597" spans="4:35" hidden="1">
      <c r="D5597" s="1"/>
      <c r="K5597" s="1"/>
      <c r="Q5597" s="1"/>
      <c r="AD5597" s="1"/>
      <c r="AG5597" s="1"/>
      <c r="AI5597" s="1"/>
    </row>
    <row r="5598" spans="4:35" hidden="1">
      <c r="D5598" s="1"/>
      <c r="K5598" s="1"/>
      <c r="Q5598" s="1"/>
      <c r="AD5598" s="1"/>
      <c r="AG5598" s="1"/>
      <c r="AI5598" s="1"/>
    </row>
    <row r="5599" spans="4:35" hidden="1">
      <c r="D5599" s="1"/>
      <c r="K5599" s="1"/>
      <c r="Q5599" s="1"/>
      <c r="AD5599" s="1"/>
      <c r="AG5599" s="1"/>
      <c r="AI5599" s="1"/>
    </row>
    <row r="5600" spans="4:35" hidden="1">
      <c r="D5600" s="1"/>
      <c r="K5600" s="1"/>
      <c r="Q5600" s="1"/>
      <c r="AD5600" s="1"/>
      <c r="AG5600" s="1"/>
      <c r="AI5600" s="1"/>
    </row>
    <row r="5601" spans="4:35" hidden="1">
      <c r="D5601" s="1"/>
      <c r="K5601" s="1"/>
      <c r="Q5601" s="1"/>
      <c r="AD5601" s="1"/>
      <c r="AG5601" s="1"/>
      <c r="AI5601" s="1"/>
    </row>
    <row r="5602" spans="4:35" hidden="1">
      <c r="D5602" s="1"/>
      <c r="K5602" s="1"/>
      <c r="Q5602" s="1"/>
      <c r="AD5602" s="1"/>
      <c r="AG5602" s="1"/>
      <c r="AI5602" s="1"/>
    </row>
    <row r="5603" spans="4:35" hidden="1">
      <c r="D5603" s="1"/>
      <c r="K5603" s="1"/>
      <c r="Q5603" s="1"/>
      <c r="AD5603" s="1"/>
      <c r="AG5603" s="1"/>
      <c r="AI5603" s="1"/>
    </row>
    <row r="5604" spans="4:35" hidden="1">
      <c r="D5604" s="1"/>
      <c r="K5604" s="1"/>
      <c r="Q5604" s="1"/>
      <c r="AD5604" s="1"/>
      <c r="AG5604" s="1"/>
      <c r="AI5604" s="1"/>
    </row>
    <row r="5605" spans="4:35" hidden="1">
      <c r="D5605" s="1"/>
      <c r="K5605" s="1"/>
      <c r="Q5605" s="1"/>
      <c r="AD5605" s="1"/>
      <c r="AG5605" s="1"/>
      <c r="AI5605" s="1"/>
    </row>
    <row r="5606" spans="4:35" hidden="1">
      <c r="D5606" s="1"/>
      <c r="K5606" s="1"/>
      <c r="Q5606" s="1"/>
      <c r="AD5606" s="1"/>
      <c r="AG5606" s="1"/>
      <c r="AI5606" s="1"/>
    </row>
    <row r="5607" spans="4:35" hidden="1">
      <c r="D5607" s="1"/>
      <c r="K5607" s="1"/>
      <c r="Q5607" s="1"/>
      <c r="AD5607" s="1"/>
      <c r="AG5607" s="1"/>
      <c r="AI5607" s="1"/>
    </row>
    <row r="5608" spans="4:35" hidden="1">
      <c r="D5608" s="1"/>
      <c r="K5608" s="1"/>
      <c r="Q5608" s="1"/>
      <c r="AD5608" s="1"/>
      <c r="AG5608" s="1"/>
      <c r="AI5608" s="1"/>
    </row>
    <row r="5609" spans="4:35" hidden="1">
      <c r="D5609" s="1"/>
      <c r="K5609" s="1"/>
      <c r="Q5609" s="1"/>
      <c r="AD5609" s="1"/>
      <c r="AG5609" s="1"/>
      <c r="AI5609" s="1"/>
    </row>
    <row r="5610" spans="4:35" hidden="1">
      <c r="D5610" s="1"/>
      <c r="K5610" s="1"/>
      <c r="Q5610" s="1"/>
      <c r="AD5610" s="1"/>
      <c r="AG5610" s="1"/>
      <c r="AI5610" s="1"/>
    </row>
    <row r="5611" spans="4:35" hidden="1">
      <c r="D5611" s="1"/>
      <c r="K5611" s="1"/>
      <c r="Q5611" s="1"/>
      <c r="AD5611" s="1"/>
      <c r="AG5611" s="1"/>
      <c r="AI5611" s="1"/>
    </row>
    <row r="5612" spans="4:35" hidden="1">
      <c r="D5612" s="1"/>
      <c r="K5612" s="1"/>
      <c r="Q5612" s="1"/>
      <c r="AD5612" s="1"/>
      <c r="AG5612" s="1"/>
      <c r="AI5612" s="1"/>
    </row>
    <row r="5613" spans="4:35" hidden="1">
      <c r="D5613" s="1"/>
      <c r="K5613" s="1"/>
      <c r="Q5613" s="1"/>
      <c r="AD5613" s="1"/>
      <c r="AG5613" s="1"/>
      <c r="AI5613" s="1"/>
    </row>
    <row r="5614" spans="4:35" hidden="1">
      <c r="D5614" s="1"/>
      <c r="K5614" s="1"/>
      <c r="Q5614" s="1"/>
      <c r="AD5614" s="1"/>
      <c r="AG5614" s="1"/>
      <c r="AI5614" s="1"/>
    </row>
    <row r="5615" spans="4:35" hidden="1">
      <c r="D5615" s="1"/>
      <c r="K5615" s="1"/>
      <c r="Q5615" s="1"/>
      <c r="AD5615" s="1"/>
      <c r="AG5615" s="1"/>
      <c r="AI5615" s="1"/>
    </row>
    <row r="5616" spans="4:35" hidden="1">
      <c r="D5616" s="1"/>
      <c r="K5616" s="1"/>
      <c r="Q5616" s="1"/>
      <c r="AD5616" s="1"/>
      <c r="AG5616" s="1"/>
      <c r="AI5616" s="1"/>
    </row>
    <row r="5617" spans="4:35" hidden="1">
      <c r="D5617" s="1"/>
      <c r="K5617" s="1"/>
      <c r="Q5617" s="1"/>
      <c r="AD5617" s="1"/>
      <c r="AG5617" s="1"/>
      <c r="AI5617" s="1"/>
    </row>
    <row r="5618" spans="4:35" hidden="1">
      <c r="D5618" s="1"/>
      <c r="K5618" s="1"/>
      <c r="Q5618" s="1"/>
      <c r="AD5618" s="1"/>
      <c r="AG5618" s="1"/>
      <c r="AI5618" s="1"/>
    </row>
    <row r="5619" spans="4:35" hidden="1">
      <c r="D5619" s="1"/>
      <c r="K5619" s="1"/>
      <c r="Q5619" s="1"/>
      <c r="AD5619" s="1"/>
      <c r="AG5619" s="1"/>
      <c r="AI5619" s="1"/>
    </row>
    <row r="5620" spans="4:35" hidden="1">
      <c r="D5620" s="1"/>
      <c r="K5620" s="1"/>
      <c r="Q5620" s="1"/>
      <c r="AD5620" s="1"/>
      <c r="AG5620" s="1"/>
      <c r="AI5620" s="1"/>
    </row>
    <row r="5621" spans="4:35" hidden="1">
      <c r="D5621" s="1"/>
      <c r="K5621" s="1"/>
      <c r="Q5621" s="1"/>
      <c r="AD5621" s="1"/>
      <c r="AG5621" s="1"/>
      <c r="AI5621" s="1"/>
    </row>
    <row r="5622" spans="4:35" hidden="1">
      <c r="D5622" s="1"/>
      <c r="K5622" s="1"/>
      <c r="Q5622" s="1"/>
      <c r="AD5622" s="1"/>
      <c r="AG5622" s="1"/>
      <c r="AI5622" s="1"/>
    </row>
    <row r="5623" spans="4:35" hidden="1">
      <c r="D5623" s="1"/>
      <c r="K5623" s="1"/>
      <c r="Q5623" s="1"/>
      <c r="AD5623" s="1"/>
      <c r="AG5623" s="1"/>
      <c r="AI5623" s="1"/>
    </row>
    <row r="5624" spans="4:35" hidden="1">
      <c r="D5624" s="1"/>
      <c r="K5624" s="1"/>
      <c r="Q5624" s="1"/>
      <c r="AD5624" s="1"/>
      <c r="AG5624" s="1"/>
      <c r="AI5624" s="1"/>
    </row>
    <row r="5625" spans="4:35" hidden="1">
      <c r="D5625" s="1"/>
      <c r="K5625" s="1"/>
      <c r="Q5625" s="1"/>
      <c r="AD5625" s="1"/>
      <c r="AG5625" s="1"/>
      <c r="AI5625" s="1"/>
    </row>
    <row r="5626" spans="4:35" hidden="1">
      <c r="D5626" s="1"/>
      <c r="K5626" s="1"/>
      <c r="Q5626" s="1"/>
      <c r="AD5626" s="1"/>
      <c r="AG5626" s="1"/>
      <c r="AI5626" s="1"/>
    </row>
    <row r="5627" spans="4:35" hidden="1">
      <c r="D5627" s="1"/>
      <c r="K5627" s="1"/>
      <c r="Q5627" s="1"/>
      <c r="AD5627" s="1"/>
      <c r="AG5627" s="1"/>
      <c r="AI5627" s="1"/>
    </row>
    <row r="5628" spans="4:35" hidden="1">
      <c r="D5628" s="1"/>
      <c r="K5628" s="1"/>
      <c r="Q5628" s="1"/>
      <c r="AD5628" s="1"/>
      <c r="AG5628" s="1"/>
      <c r="AI5628" s="1"/>
    </row>
    <row r="5629" spans="4:35" hidden="1">
      <c r="D5629" s="1"/>
      <c r="K5629" s="1"/>
      <c r="Q5629" s="1"/>
      <c r="AD5629" s="1"/>
      <c r="AG5629" s="1"/>
      <c r="AI5629" s="1"/>
    </row>
    <row r="5630" spans="4:35" hidden="1">
      <c r="D5630" s="1"/>
      <c r="K5630" s="1"/>
      <c r="Q5630" s="1"/>
      <c r="AD5630" s="1"/>
      <c r="AG5630" s="1"/>
      <c r="AI5630" s="1"/>
    </row>
    <row r="5631" spans="4:35" hidden="1">
      <c r="D5631" s="1"/>
      <c r="K5631" s="1"/>
      <c r="Q5631" s="1"/>
      <c r="AD5631" s="1"/>
      <c r="AG5631" s="1"/>
      <c r="AI5631" s="1"/>
    </row>
    <row r="5632" spans="4:35" hidden="1">
      <c r="D5632" s="1"/>
      <c r="K5632" s="1"/>
      <c r="Q5632" s="1"/>
      <c r="AD5632" s="1"/>
      <c r="AG5632" s="1"/>
      <c r="AI5632" s="1"/>
    </row>
    <row r="5633" spans="4:35" hidden="1">
      <c r="D5633" s="1"/>
      <c r="K5633" s="1"/>
      <c r="Q5633" s="1"/>
      <c r="AD5633" s="1"/>
      <c r="AG5633" s="1"/>
      <c r="AI5633" s="1"/>
    </row>
    <row r="5634" spans="4:35" hidden="1">
      <c r="D5634" s="1"/>
      <c r="K5634" s="1"/>
      <c r="Q5634" s="1"/>
      <c r="AD5634" s="1"/>
      <c r="AG5634" s="1"/>
      <c r="AI5634" s="1"/>
    </row>
    <row r="5635" spans="4:35" hidden="1">
      <c r="D5635" s="1"/>
      <c r="K5635" s="1"/>
      <c r="Q5635" s="1"/>
      <c r="AD5635" s="1"/>
      <c r="AG5635" s="1"/>
      <c r="AI5635" s="1"/>
    </row>
    <row r="5636" spans="4:35" hidden="1">
      <c r="D5636" s="1"/>
      <c r="K5636" s="1"/>
      <c r="Q5636" s="1"/>
      <c r="AD5636" s="1"/>
      <c r="AG5636" s="1"/>
      <c r="AI5636" s="1"/>
    </row>
    <row r="5637" spans="4:35" hidden="1">
      <c r="D5637" s="1"/>
      <c r="K5637" s="1"/>
      <c r="Q5637" s="1"/>
      <c r="AD5637" s="1"/>
      <c r="AG5637" s="1"/>
      <c r="AI5637" s="1"/>
    </row>
    <row r="5638" spans="4:35" hidden="1">
      <c r="D5638" s="1"/>
      <c r="K5638" s="1"/>
      <c r="Q5638" s="1"/>
      <c r="AD5638" s="1"/>
      <c r="AG5638" s="1"/>
      <c r="AI5638" s="1"/>
    </row>
    <row r="5639" spans="4:35" hidden="1">
      <c r="D5639" s="1"/>
      <c r="K5639" s="1"/>
      <c r="Q5639" s="1"/>
      <c r="AD5639" s="1"/>
      <c r="AG5639" s="1"/>
      <c r="AI5639" s="1"/>
    </row>
    <row r="5640" spans="4:35" hidden="1">
      <c r="D5640" s="1"/>
      <c r="K5640" s="1"/>
      <c r="Q5640" s="1"/>
      <c r="AD5640" s="1"/>
      <c r="AG5640" s="1"/>
      <c r="AI5640" s="1"/>
    </row>
    <row r="5641" spans="4:35" hidden="1">
      <c r="D5641" s="1"/>
      <c r="K5641" s="1"/>
      <c r="Q5641" s="1"/>
      <c r="AD5641" s="1"/>
      <c r="AG5641" s="1"/>
      <c r="AI5641" s="1"/>
    </row>
    <row r="5642" spans="4:35" hidden="1">
      <c r="D5642" s="1"/>
      <c r="K5642" s="1"/>
      <c r="Q5642" s="1"/>
      <c r="AD5642" s="1"/>
      <c r="AG5642" s="1"/>
      <c r="AI5642" s="1"/>
    </row>
    <row r="5643" spans="4:35" hidden="1">
      <c r="D5643" s="1"/>
      <c r="K5643" s="1"/>
      <c r="Q5643" s="1"/>
      <c r="AD5643" s="1"/>
      <c r="AG5643" s="1"/>
      <c r="AI5643" s="1"/>
    </row>
    <row r="5644" spans="4:35" hidden="1">
      <c r="D5644" s="1"/>
      <c r="K5644" s="1"/>
      <c r="Q5644" s="1"/>
      <c r="AD5644" s="1"/>
      <c r="AG5644" s="1"/>
      <c r="AI5644" s="1"/>
    </row>
    <row r="5645" spans="4:35" hidden="1">
      <c r="D5645" s="1"/>
      <c r="K5645" s="1"/>
      <c r="Q5645" s="1"/>
      <c r="AD5645" s="1"/>
      <c r="AG5645" s="1"/>
      <c r="AI5645" s="1"/>
    </row>
    <row r="5646" spans="4:35" hidden="1">
      <c r="D5646" s="1"/>
      <c r="K5646" s="1"/>
      <c r="Q5646" s="1"/>
      <c r="AD5646" s="1"/>
      <c r="AG5646" s="1"/>
      <c r="AI5646" s="1"/>
    </row>
    <row r="5647" spans="4:35" hidden="1">
      <c r="D5647" s="1"/>
      <c r="K5647" s="1"/>
      <c r="Q5647" s="1"/>
      <c r="AD5647" s="1"/>
      <c r="AG5647" s="1"/>
      <c r="AI5647" s="1"/>
    </row>
    <row r="5648" spans="4:35" hidden="1">
      <c r="D5648" s="1"/>
      <c r="K5648" s="1"/>
      <c r="Q5648" s="1"/>
      <c r="AD5648" s="1"/>
      <c r="AG5648" s="1"/>
      <c r="AI5648" s="1"/>
    </row>
    <row r="5649" spans="4:35" hidden="1">
      <c r="D5649" s="1"/>
      <c r="K5649" s="1"/>
      <c r="Q5649" s="1"/>
      <c r="AD5649" s="1"/>
      <c r="AG5649" s="1"/>
      <c r="AI5649" s="1"/>
    </row>
    <row r="5650" spans="4:35" hidden="1">
      <c r="D5650" s="1"/>
      <c r="K5650" s="1"/>
      <c r="Q5650" s="1"/>
      <c r="AD5650" s="1"/>
      <c r="AG5650" s="1"/>
      <c r="AI5650" s="1"/>
    </row>
    <row r="5651" spans="4:35" hidden="1">
      <c r="D5651" s="1"/>
      <c r="K5651" s="1"/>
      <c r="Q5651" s="1"/>
      <c r="AD5651" s="1"/>
      <c r="AG5651" s="1"/>
      <c r="AI5651" s="1"/>
    </row>
    <row r="5652" spans="4:35" hidden="1">
      <c r="D5652" s="1"/>
      <c r="K5652" s="1"/>
      <c r="Q5652" s="1"/>
      <c r="AD5652" s="1"/>
      <c r="AG5652" s="1"/>
      <c r="AI5652" s="1"/>
    </row>
    <row r="5653" spans="4:35" hidden="1">
      <c r="D5653" s="1"/>
      <c r="K5653" s="1"/>
      <c r="Q5653" s="1"/>
      <c r="AD5653" s="1"/>
      <c r="AG5653" s="1"/>
      <c r="AI5653" s="1"/>
    </row>
    <row r="5654" spans="4:35" hidden="1">
      <c r="D5654" s="1"/>
      <c r="K5654" s="1"/>
      <c r="Q5654" s="1"/>
      <c r="AD5654" s="1"/>
      <c r="AG5654" s="1"/>
      <c r="AI5654" s="1"/>
    </row>
    <row r="5655" spans="4:35" hidden="1">
      <c r="D5655" s="1"/>
      <c r="K5655" s="1"/>
      <c r="Q5655" s="1"/>
      <c r="AD5655" s="1"/>
      <c r="AG5655" s="1"/>
      <c r="AI5655" s="1"/>
    </row>
    <row r="5656" spans="4:35" hidden="1">
      <c r="D5656" s="1"/>
      <c r="K5656" s="1"/>
      <c r="Q5656" s="1"/>
      <c r="AD5656" s="1"/>
      <c r="AG5656" s="1"/>
      <c r="AI5656" s="1"/>
    </row>
    <row r="5657" spans="4:35" hidden="1">
      <c r="D5657" s="1"/>
      <c r="K5657" s="1"/>
      <c r="Q5657" s="1"/>
      <c r="AD5657" s="1"/>
      <c r="AG5657" s="1"/>
      <c r="AI5657" s="1"/>
    </row>
    <row r="5658" spans="4:35" hidden="1">
      <c r="D5658" s="1"/>
      <c r="K5658" s="1"/>
      <c r="Q5658" s="1"/>
      <c r="AD5658" s="1"/>
      <c r="AG5658" s="1"/>
      <c r="AI5658" s="1"/>
    </row>
    <row r="5659" spans="4:35" hidden="1">
      <c r="D5659" s="1"/>
      <c r="K5659" s="1"/>
      <c r="Q5659" s="1"/>
      <c r="AD5659" s="1"/>
      <c r="AG5659" s="1"/>
      <c r="AI5659" s="1"/>
    </row>
    <row r="5660" spans="4:35" hidden="1">
      <c r="D5660" s="1"/>
      <c r="K5660" s="1"/>
      <c r="Q5660" s="1"/>
      <c r="AD5660" s="1"/>
      <c r="AG5660" s="1"/>
      <c r="AI5660" s="1"/>
    </row>
    <row r="5661" spans="4:35" hidden="1">
      <c r="D5661" s="1"/>
      <c r="K5661" s="1"/>
      <c r="Q5661" s="1"/>
      <c r="AD5661" s="1"/>
      <c r="AG5661" s="1"/>
      <c r="AI5661" s="1"/>
    </row>
    <row r="5662" spans="4:35" hidden="1">
      <c r="D5662" s="1"/>
      <c r="K5662" s="1"/>
      <c r="Q5662" s="1"/>
      <c r="AD5662" s="1"/>
      <c r="AG5662" s="1"/>
      <c r="AI5662" s="1"/>
    </row>
    <row r="5663" spans="4:35" hidden="1">
      <c r="D5663" s="1"/>
      <c r="K5663" s="1"/>
      <c r="Q5663" s="1"/>
      <c r="AD5663" s="1"/>
      <c r="AG5663" s="1"/>
      <c r="AI5663" s="1"/>
    </row>
    <row r="5664" spans="4:35" hidden="1">
      <c r="D5664" s="1"/>
      <c r="K5664" s="1"/>
      <c r="Q5664" s="1"/>
      <c r="AD5664" s="1"/>
      <c r="AG5664" s="1"/>
      <c r="AI5664" s="1"/>
    </row>
    <row r="5665" spans="4:35" hidden="1">
      <c r="D5665" s="1"/>
      <c r="K5665" s="1"/>
      <c r="Q5665" s="1"/>
      <c r="AD5665" s="1"/>
      <c r="AG5665" s="1"/>
      <c r="AI5665" s="1"/>
    </row>
    <row r="5666" spans="4:35" hidden="1">
      <c r="D5666" s="1"/>
      <c r="K5666" s="1"/>
      <c r="Q5666" s="1"/>
      <c r="AD5666" s="1"/>
      <c r="AG5666" s="1"/>
      <c r="AI5666" s="1"/>
    </row>
    <row r="5667" spans="4:35" hidden="1">
      <c r="D5667" s="1"/>
      <c r="K5667" s="1"/>
      <c r="Q5667" s="1"/>
      <c r="AD5667" s="1"/>
      <c r="AG5667" s="1"/>
      <c r="AI5667" s="1"/>
    </row>
    <row r="5668" spans="4:35" hidden="1">
      <c r="D5668" s="1"/>
      <c r="K5668" s="1"/>
      <c r="Q5668" s="1"/>
      <c r="AD5668" s="1"/>
      <c r="AG5668" s="1"/>
      <c r="AI5668" s="1"/>
    </row>
    <row r="5669" spans="4:35" hidden="1">
      <c r="D5669" s="1"/>
      <c r="K5669" s="1"/>
      <c r="Q5669" s="1"/>
      <c r="AD5669" s="1"/>
      <c r="AG5669" s="1"/>
      <c r="AI5669" s="1"/>
    </row>
    <row r="5670" spans="4:35" hidden="1">
      <c r="D5670" s="1"/>
      <c r="K5670" s="1"/>
      <c r="Q5670" s="1"/>
      <c r="AD5670" s="1"/>
      <c r="AG5670" s="1"/>
      <c r="AI5670" s="1"/>
    </row>
    <row r="5671" spans="4:35" hidden="1">
      <c r="D5671" s="1"/>
      <c r="K5671" s="1"/>
      <c r="Q5671" s="1"/>
      <c r="AD5671" s="1"/>
      <c r="AG5671" s="1"/>
      <c r="AI5671" s="1"/>
    </row>
    <row r="5672" spans="4:35" hidden="1">
      <c r="D5672" s="1"/>
      <c r="K5672" s="1"/>
      <c r="Q5672" s="1"/>
      <c r="AD5672" s="1"/>
      <c r="AG5672" s="1"/>
      <c r="AI5672" s="1"/>
    </row>
    <row r="5673" spans="4:35" hidden="1">
      <c r="D5673" s="1"/>
      <c r="K5673" s="1"/>
      <c r="Q5673" s="1"/>
      <c r="AD5673" s="1"/>
      <c r="AG5673" s="1"/>
      <c r="AI5673" s="1"/>
    </row>
    <row r="5674" spans="4:35" hidden="1">
      <c r="D5674" s="1"/>
      <c r="K5674" s="1"/>
      <c r="Q5674" s="1"/>
      <c r="AD5674" s="1"/>
      <c r="AG5674" s="1"/>
      <c r="AI5674" s="1"/>
    </row>
    <row r="5675" spans="4:35" hidden="1">
      <c r="D5675" s="1"/>
      <c r="K5675" s="1"/>
      <c r="Q5675" s="1"/>
      <c r="AD5675" s="1"/>
      <c r="AG5675" s="1"/>
      <c r="AI5675" s="1"/>
    </row>
    <row r="5676" spans="4:35" hidden="1">
      <c r="D5676" s="1"/>
      <c r="K5676" s="1"/>
      <c r="Q5676" s="1"/>
      <c r="AD5676" s="1"/>
      <c r="AG5676" s="1"/>
      <c r="AI5676" s="1"/>
    </row>
    <row r="5677" spans="4:35" hidden="1">
      <c r="D5677" s="1"/>
      <c r="K5677" s="1"/>
      <c r="Q5677" s="1"/>
      <c r="AD5677" s="1"/>
      <c r="AG5677" s="1"/>
      <c r="AI5677" s="1"/>
    </row>
    <row r="5678" spans="4:35" hidden="1">
      <c r="D5678" s="1"/>
      <c r="K5678" s="1"/>
      <c r="Q5678" s="1"/>
      <c r="AD5678" s="1"/>
      <c r="AG5678" s="1"/>
      <c r="AI5678" s="1"/>
    </row>
    <row r="5679" spans="4:35" hidden="1">
      <c r="D5679" s="1"/>
      <c r="K5679" s="1"/>
      <c r="Q5679" s="1"/>
      <c r="AD5679" s="1"/>
      <c r="AG5679" s="1"/>
      <c r="AI5679" s="1"/>
    </row>
    <row r="5680" spans="4:35" hidden="1">
      <c r="D5680" s="1"/>
      <c r="K5680" s="1"/>
      <c r="Q5680" s="1"/>
      <c r="AD5680" s="1"/>
      <c r="AG5680" s="1"/>
      <c r="AI5680" s="1"/>
    </row>
    <row r="5681" spans="4:35" hidden="1">
      <c r="D5681" s="1"/>
      <c r="K5681" s="1"/>
      <c r="Q5681" s="1"/>
      <c r="AD5681" s="1"/>
      <c r="AG5681" s="1"/>
      <c r="AI5681" s="1"/>
    </row>
    <row r="5682" spans="4:35" hidden="1">
      <c r="D5682" s="1"/>
      <c r="K5682" s="1"/>
      <c r="Q5682" s="1"/>
      <c r="AD5682" s="1"/>
      <c r="AG5682" s="1"/>
      <c r="AI5682" s="1"/>
    </row>
    <row r="5683" spans="4:35" hidden="1">
      <c r="D5683" s="1"/>
      <c r="K5683" s="1"/>
      <c r="Q5683" s="1"/>
      <c r="AD5683" s="1"/>
      <c r="AG5683" s="1"/>
      <c r="AI5683" s="1"/>
    </row>
    <row r="5684" spans="4:35" hidden="1">
      <c r="D5684" s="1"/>
      <c r="K5684" s="1"/>
      <c r="Q5684" s="1"/>
      <c r="AD5684" s="1"/>
      <c r="AG5684" s="1"/>
      <c r="AI5684" s="1"/>
    </row>
    <row r="5685" spans="4:35" hidden="1">
      <c r="D5685" s="1"/>
      <c r="K5685" s="1"/>
      <c r="Q5685" s="1"/>
      <c r="AD5685" s="1"/>
      <c r="AG5685" s="1"/>
      <c r="AI5685" s="1"/>
    </row>
    <row r="5686" spans="4:35" hidden="1">
      <c r="D5686" s="1"/>
      <c r="K5686" s="1"/>
      <c r="Q5686" s="1"/>
      <c r="AD5686" s="1"/>
      <c r="AG5686" s="1"/>
      <c r="AI5686" s="1"/>
    </row>
    <row r="5687" spans="4:35" hidden="1">
      <c r="D5687" s="1"/>
      <c r="K5687" s="1"/>
      <c r="Q5687" s="1"/>
      <c r="AD5687" s="1"/>
      <c r="AG5687" s="1"/>
      <c r="AI5687" s="1"/>
    </row>
    <row r="5688" spans="4:35" hidden="1">
      <c r="D5688" s="1"/>
      <c r="K5688" s="1"/>
      <c r="Q5688" s="1"/>
      <c r="AD5688" s="1"/>
      <c r="AG5688" s="1"/>
      <c r="AI5688" s="1"/>
    </row>
    <row r="5689" spans="4:35" hidden="1">
      <c r="D5689" s="1"/>
      <c r="K5689" s="1"/>
      <c r="Q5689" s="1"/>
      <c r="AD5689" s="1"/>
      <c r="AG5689" s="1"/>
      <c r="AI5689" s="1"/>
    </row>
    <row r="5690" spans="4:35" hidden="1">
      <c r="D5690" s="1"/>
      <c r="K5690" s="1"/>
      <c r="Q5690" s="1"/>
      <c r="AD5690" s="1"/>
      <c r="AG5690" s="1"/>
      <c r="AI5690" s="1"/>
    </row>
    <row r="5691" spans="4:35" hidden="1">
      <c r="D5691" s="1"/>
      <c r="K5691" s="1"/>
      <c r="Q5691" s="1"/>
      <c r="AD5691" s="1"/>
      <c r="AG5691" s="1"/>
      <c r="AI5691" s="1"/>
    </row>
    <row r="5692" spans="4:35" hidden="1">
      <c r="D5692" s="1"/>
      <c r="K5692" s="1"/>
      <c r="Q5692" s="1"/>
      <c r="AD5692" s="1"/>
      <c r="AG5692" s="1"/>
      <c r="AI5692" s="1"/>
    </row>
    <row r="5693" spans="4:35" hidden="1">
      <c r="D5693" s="1"/>
      <c r="K5693" s="1"/>
      <c r="Q5693" s="1"/>
      <c r="AD5693" s="1"/>
      <c r="AG5693" s="1"/>
      <c r="AI5693" s="1"/>
    </row>
    <row r="5694" spans="4:35" hidden="1">
      <c r="D5694" s="1"/>
      <c r="K5694" s="1"/>
      <c r="Q5694" s="1"/>
      <c r="AD5694" s="1"/>
      <c r="AG5694" s="1"/>
      <c r="AI5694" s="1"/>
    </row>
    <row r="5695" spans="4:35" hidden="1">
      <c r="D5695" s="1"/>
      <c r="K5695" s="1"/>
      <c r="Q5695" s="1"/>
      <c r="AD5695" s="1"/>
      <c r="AG5695" s="1"/>
      <c r="AI5695" s="1"/>
    </row>
    <row r="5696" spans="4:35" hidden="1">
      <c r="D5696" s="1"/>
      <c r="K5696" s="1"/>
      <c r="Q5696" s="1"/>
      <c r="AD5696" s="1"/>
      <c r="AG5696" s="1"/>
      <c r="AI5696" s="1"/>
    </row>
    <row r="5697" spans="4:35" hidden="1">
      <c r="D5697" s="1"/>
      <c r="K5697" s="1"/>
      <c r="Q5697" s="1"/>
      <c r="AD5697" s="1"/>
      <c r="AG5697" s="1"/>
      <c r="AI5697" s="1"/>
    </row>
    <row r="5698" spans="4:35" hidden="1">
      <c r="D5698" s="1"/>
      <c r="K5698" s="1"/>
      <c r="Q5698" s="1"/>
      <c r="AD5698" s="1"/>
      <c r="AG5698" s="1"/>
      <c r="AI5698" s="1"/>
    </row>
    <row r="5699" spans="4:35" hidden="1">
      <c r="D5699" s="1"/>
      <c r="K5699" s="1"/>
      <c r="Q5699" s="1"/>
      <c r="AD5699" s="1"/>
      <c r="AG5699" s="1"/>
      <c r="AI5699" s="1"/>
    </row>
    <row r="5700" spans="4:35" hidden="1">
      <c r="D5700" s="1"/>
      <c r="K5700" s="1"/>
      <c r="Q5700" s="1"/>
      <c r="AD5700" s="1"/>
      <c r="AG5700" s="1"/>
      <c r="AI5700" s="1"/>
    </row>
    <row r="5701" spans="4:35" hidden="1">
      <c r="D5701" s="1"/>
      <c r="K5701" s="1"/>
      <c r="Q5701" s="1"/>
      <c r="AD5701" s="1"/>
      <c r="AG5701" s="1"/>
      <c r="AI5701" s="1"/>
    </row>
    <row r="5702" spans="4:35" hidden="1">
      <c r="D5702" s="1"/>
      <c r="K5702" s="1"/>
      <c r="Q5702" s="1"/>
      <c r="AD5702" s="1"/>
      <c r="AG5702" s="1"/>
      <c r="AI5702" s="1"/>
    </row>
    <row r="5703" spans="4:35" hidden="1">
      <c r="D5703" s="1"/>
      <c r="K5703" s="1"/>
      <c r="Q5703" s="1"/>
      <c r="AD5703" s="1"/>
      <c r="AG5703" s="1"/>
      <c r="AI5703" s="1"/>
    </row>
    <row r="5704" spans="4:35" hidden="1">
      <c r="D5704" s="1"/>
      <c r="K5704" s="1"/>
      <c r="Q5704" s="1"/>
      <c r="AD5704" s="1"/>
      <c r="AG5704" s="1"/>
      <c r="AI5704" s="1"/>
    </row>
    <row r="5705" spans="4:35" hidden="1">
      <c r="D5705" s="1"/>
      <c r="K5705" s="1"/>
      <c r="Q5705" s="1"/>
      <c r="AD5705" s="1"/>
      <c r="AG5705" s="1"/>
      <c r="AI5705" s="1"/>
    </row>
    <row r="5706" spans="4:35" hidden="1">
      <c r="D5706" s="1"/>
      <c r="K5706" s="1"/>
      <c r="Q5706" s="1"/>
      <c r="AD5706" s="1"/>
      <c r="AG5706" s="1"/>
      <c r="AI5706" s="1"/>
    </row>
    <row r="5707" spans="4:35" hidden="1">
      <c r="D5707" s="1"/>
      <c r="K5707" s="1"/>
      <c r="Q5707" s="1"/>
      <c r="AD5707" s="1"/>
      <c r="AG5707" s="1"/>
      <c r="AI5707" s="1"/>
    </row>
    <row r="5708" spans="4:35" hidden="1">
      <c r="D5708" s="1"/>
      <c r="K5708" s="1"/>
      <c r="Q5708" s="1"/>
      <c r="AD5708" s="1"/>
      <c r="AG5708" s="1"/>
      <c r="AI5708" s="1"/>
    </row>
    <row r="5709" spans="4:35" hidden="1">
      <c r="D5709" s="1"/>
      <c r="K5709" s="1"/>
      <c r="Q5709" s="1"/>
      <c r="AD5709" s="1"/>
      <c r="AG5709" s="1"/>
      <c r="AI5709" s="1"/>
    </row>
    <row r="5710" spans="4:35" hidden="1">
      <c r="D5710" s="1"/>
      <c r="K5710" s="1"/>
      <c r="Q5710" s="1"/>
      <c r="AD5710" s="1"/>
      <c r="AG5710" s="1"/>
      <c r="AI5710" s="1"/>
    </row>
    <row r="5711" spans="4:35" hidden="1">
      <c r="D5711" s="1"/>
      <c r="K5711" s="1"/>
      <c r="Q5711" s="1"/>
      <c r="AD5711" s="1"/>
      <c r="AG5711" s="1"/>
      <c r="AI5711" s="1"/>
    </row>
    <row r="5712" spans="4:35" hidden="1">
      <c r="D5712" s="1"/>
      <c r="K5712" s="1"/>
      <c r="Q5712" s="1"/>
      <c r="AD5712" s="1"/>
      <c r="AG5712" s="1"/>
      <c r="AI5712" s="1"/>
    </row>
    <row r="5713" spans="4:35" hidden="1">
      <c r="D5713" s="1"/>
      <c r="K5713" s="1"/>
      <c r="Q5713" s="1"/>
      <c r="AD5713" s="1"/>
      <c r="AG5713" s="1"/>
      <c r="AI5713" s="1"/>
    </row>
    <row r="5714" spans="4:35" hidden="1">
      <c r="D5714" s="1"/>
      <c r="K5714" s="1"/>
      <c r="Q5714" s="1"/>
      <c r="AD5714" s="1"/>
      <c r="AG5714" s="1"/>
      <c r="AI5714" s="1"/>
    </row>
    <row r="5715" spans="4:35" hidden="1">
      <c r="D5715" s="1"/>
      <c r="K5715" s="1"/>
      <c r="Q5715" s="1"/>
      <c r="AD5715" s="1"/>
      <c r="AG5715" s="1"/>
      <c r="AI5715" s="1"/>
    </row>
    <row r="5716" spans="4:35" hidden="1">
      <c r="D5716" s="1"/>
      <c r="K5716" s="1"/>
      <c r="Q5716" s="1"/>
      <c r="AD5716" s="1"/>
      <c r="AG5716" s="1"/>
      <c r="AI5716" s="1"/>
    </row>
    <row r="5717" spans="4:35" hidden="1">
      <c r="D5717" s="1"/>
      <c r="K5717" s="1"/>
      <c r="Q5717" s="1"/>
      <c r="AD5717" s="1"/>
      <c r="AG5717" s="1"/>
      <c r="AI5717" s="1"/>
    </row>
    <row r="5718" spans="4:35" hidden="1">
      <c r="D5718" s="1"/>
      <c r="K5718" s="1"/>
      <c r="Q5718" s="1"/>
      <c r="AD5718" s="1"/>
      <c r="AG5718" s="1"/>
      <c r="AI5718" s="1"/>
    </row>
    <row r="5719" spans="4:35" hidden="1">
      <c r="D5719" s="1"/>
      <c r="K5719" s="1"/>
      <c r="Q5719" s="1"/>
      <c r="AD5719" s="1"/>
      <c r="AG5719" s="1"/>
      <c r="AI5719" s="1"/>
    </row>
    <row r="5720" spans="4:35" hidden="1">
      <c r="D5720" s="1"/>
      <c r="K5720" s="1"/>
      <c r="Q5720" s="1"/>
      <c r="AD5720" s="1"/>
      <c r="AG5720" s="1"/>
      <c r="AI5720" s="1"/>
    </row>
    <row r="5721" spans="4:35" hidden="1">
      <c r="D5721" s="1"/>
      <c r="K5721" s="1"/>
      <c r="Q5721" s="1"/>
      <c r="AD5721" s="1"/>
      <c r="AG5721" s="1"/>
      <c r="AI5721" s="1"/>
    </row>
    <row r="5722" spans="4:35" hidden="1">
      <c r="D5722" s="1"/>
      <c r="K5722" s="1"/>
      <c r="Q5722" s="1"/>
      <c r="AD5722" s="1"/>
      <c r="AG5722" s="1"/>
      <c r="AI5722" s="1"/>
    </row>
    <row r="5723" spans="4:35" hidden="1">
      <c r="D5723" s="1"/>
      <c r="K5723" s="1"/>
      <c r="Q5723" s="1"/>
      <c r="AD5723" s="1"/>
      <c r="AG5723" s="1"/>
      <c r="AI5723" s="1"/>
    </row>
    <row r="5724" spans="4:35" hidden="1">
      <c r="D5724" s="1"/>
      <c r="K5724" s="1"/>
      <c r="Q5724" s="1"/>
      <c r="AD5724" s="1"/>
      <c r="AG5724" s="1"/>
      <c r="AI5724" s="1"/>
    </row>
    <row r="5725" spans="4:35" hidden="1">
      <c r="D5725" s="1"/>
      <c r="K5725" s="1"/>
      <c r="Q5725" s="1"/>
      <c r="AD5725" s="1"/>
      <c r="AG5725" s="1"/>
      <c r="AI5725" s="1"/>
    </row>
    <row r="5726" spans="4:35" hidden="1">
      <c r="D5726" s="1"/>
      <c r="K5726" s="1"/>
      <c r="Q5726" s="1"/>
      <c r="AD5726" s="1"/>
      <c r="AG5726" s="1"/>
      <c r="AI5726" s="1"/>
    </row>
    <row r="5727" spans="4:35" hidden="1">
      <c r="D5727" s="1"/>
      <c r="K5727" s="1"/>
      <c r="Q5727" s="1"/>
      <c r="AD5727" s="1"/>
      <c r="AG5727" s="1"/>
      <c r="AI5727" s="1"/>
    </row>
    <row r="5728" spans="4:35" hidden="1">
      <c r="D5728" s="1"/>
      <c r="K5728" s="1"/>
      <c r="Q5728" s="1"/>
      <c r="AD5728" s="1"/>
      <c r="AG5728" s="1"/>
      <c r="AI5728" s="1"/>
    </row>
    <row r="5729" spans="4:35" hidden="1">
      <c r="D5729" s="1"/>
      <c r="K5729" s="1"/>
      <c r="Q5729" s="1"/>
      <c r="AD5729" s="1"/>
      <c r="AG5729" s="1"/>
      <c r="AI5729" s="1"/>
    </row>
    <row r="5730" spans="4:35" hidden="1">
      <c r="D5730" s="1"/>
      <c r="K5730" s="1"/>
      <c r="Q5730" s="1"/>
      <c r="AD5730" s="1"/>
      <c r="AG5730" s="1"/>
      <c r="AI5730" s="1"/>
    </row>
    <row r="5731" spans="4:35" hidden="1">
      <c r="D5731" s="1"/>
      <c r="K5731" s="1"/>
      <c r="Q5731" s="1"/>
      <c r="AD5731" s="1"/>
      <c r="AG5731" s="1"/>
      <c r="AI5731" s="1"/>
    </row>
    <row r="5732" spans="4:35" hidden="1">
      <c r="D5732" s="1"/>
      <c r="K5732" s="1"/>
      <c r="Q5732" s="1"/>
      <c r="AD5732" s="1"/>
      <c r="AG5732" s="1"/>
      <c r="AI5732" s="1"/>
    </row>
    <row r="5733" spans="4:35" hidden="1">
      <c r="D5733" s="1"/>
      <c r="K5733" s="1"/>
      <c r="Q5733" s="1"/>
      <c r="AD5733" s="1"/>
      <c r="AG5733" s="1"/>
      <c r="AI5733" s="1"/>
    </row>
    <row r="5734" spans="4:35" hidden="1">
      <c r="D5734" s="1"/>
      <c r="K5734" s="1"/>
      <c r="Q5734" s="1"/>
      <c r="AD5734" s="1"/>
      <c r="AG5734" s="1"/>
      <c r="AI5734" s="1"/>
    </row>
    <row r="5735" spans="4:35" hidden="1">
      <c r="D5735" s="1"/>
      <c r="K5735" s="1"/>
      <c r="Q5735" s="1"/>
      <c r="AD5735" s="1"/>
      <c r="AG5735" s="1"/>
      <c r="AI5735" s="1"/>
    </row>
    <row r="5736" spans="4:35" hidden="1">
      <c r="D5736" s="1"/>
      <c r="K5736" s="1"/>
      <c r="Q5736" s="1"/>
      <c r="AD5736" s="1"/>
      <c r="AG5736" s="1"/>
      <c r="AI5736" s="1"/>
    </row>
    <row r="5737" spans="4:35" hidden="1">
      <c r="D5737" s="1"/>
      <c r="K5737" s="1"/>
      <c r="Q5737" s="1"/>
      <c r="AD5737" s="1"/>
      <c r="AG5737" s="1"/>
      <c r="AI5737" s="1"/>
    </row>
    <row r="5738" spans="4:35" hidden="1">
      <c r="D5738" s="1"/>
      <c r="K5738" s="1"/>
      <c r="Q5738" s="1"/>
      <c r="AD5738" s="1"/>
      <c r="AG5738" s="1"/>
      <c r="AI5738" s="1"/>
    </row>
    <row r="5739" spans="4:35" hidden="1">
      <c r="D5739" s="1"/>
      <c r="K5739" s="1"/>
      <c r="Q5739" s="1"/>
      <c r="AD5739" s="1"/>
      <c r="AG5739" s="1"/>
      <c r="AI5739" s="1"/>
    </row>
    <row r="5740" spans="4:35" hidden="1">
      <c r="D5740" s="1"/>
      <c r="K5740" s="1"/>
      <c r="Q5740" s="1"/>
      <c r="AD5740" s="1"/>
      <c r="AG5740" s="1"/>
      <c r="AI5740" s="1"/>
    </row>
    <row r="5741" spans="4:35" hidden="1">
      <c r="D5741" s="1"/>
      <c r="K5741" s="1"/>
      <c r="Q5741" s="1"/>
      <c r="AD5741" s="1"/>
      <c r="AG5741" s="1"/>
      <c r="AI5741" s="1"/>
    </row>
    <row r="5742" spans="4:35" hidden="1">
      <c r="D5742" s="1"/>
      <c r="K5742" s="1"/>
      <c r="Q5742" s="1"/>
      <c r="AD5742" s="1"/>
      <c r="AG5742" s="1"/>
      <c r="AI5742" s="1"/>
    </row>
    <row r="5743" spans="4:35" hidden="1">
      <c r="D5743" s="1"/>
      <c r="K5743" s="1"/>
      <c r="Q5743" s="1"/>
      <c r="AD5743" s="1"/>
      <c r="AG5743" s="1"/>
      <c r="AI5743" s="1"/>
    </row>
    <row r="5744" spans="4:35" hidden="1">
      <c r="D5744" s="1"/>
      <c r="K5744" s="1"/>
      <c r="Q5744" s="1"/>
      <c r="AD5744" s="1"/>
      <c r="AG5744" s="1"/>
      <c r="AI5744" s="1"/>
    </row>
    <row r="5745" spans="4:35" hidden="1">
      <c r="D5745" s="1"/>
      <c r="K5745" s="1"/>
      <c r="Q5745" s="1"/>
      <c r="AD5745" s="1"/>
      <c r="AG5745" s="1"/>
      <c r="AI5745" s="1"/>
    </row>
    <row r="5746" spans="4:35" hidden="1">
      <c r="D5746" s="1"/>
      <c r="K5746" s="1"/>
      <c r="Q5746" s="1"/>
      <c r="AD5746" s="1"/>
      <c r="AG5746" s="1"/>
      <c r="AI5746" s="1"/>
    </row>
    <row r="5747" spans="4:35" hidden="1">
      <c r="D5747" s="1"/>
      <c r="K5747" s="1"/>
      <c r="Q5747" s="1"/>
      <c r="AD5747" s="1"/>
      <c r="AG5747" s="1"/>
      <c r="AI5747" s="1"/>
    </row>
    <row r="5748" spans="4:35" hidden="1">
      <c r="D5748" s="1"/>
      <c r="K5748" s="1"/>
      <c r="Q5748" s="1"/>
      <c r="AD5748" s="1"/>
      <c r="AG5748" s="1"/>
      <c r="AI5748" s="1"/>
    </row>
    <row r="5749" spans="4:35" hidden="1">
      <c r="D5749" s="1"/>
      <c r="K5749" s="1"/>
      <c r="Q5749" s="1"/>
      <c r="AD5749" s="1"/>
      <c r="AG5749" s="1"/>
      <c r="AI5749" s="1"/>
    </row>
    <row r="5750" spans="4:35" hidden="1">
      <c r="D5750" s="1"/>
      <c r="K5750" s="1"/>
      <c r="Q5750" s="1"/>
      <c r="AD5750" s="1"/>
      <c r="AG5750" s="1"/>
      <c r="AI5750" s="1"/>
    </row>
    <row r="5751" spans="4:35" hidden="1">
      <c r="D5751" s="1"/>
      <c r="K5751" s="1"/>
      <c r="Q5751" s="1"/>
      <c r="AD5751" s="1"/>
      <c r="AG5751" s="1"/>
      <c r="AI5751" s="1"/>
    </row>
    <row r="5752" spans="4:35" hidden="1">
      <c r="D5752" s="1"/>
      <c r="K5752" s="1"/>
      <c r="Q5752" s="1"/>
      <c r="AD5752" s="1"/>
      <c r="AG5752" s="1"/>
      <c r="AI5752" s="1"/>
    </row>
    <row r="5753" spans="4:35" hidden="1">
      <c r="D5753" s="1"/>
      <c r="K5753" s="1"/>
      <c r="Q5753" s="1"/>
      <c r="AD5753" s="1"/>
      <c r="AG5753" s="1"/>
      <c r="AI5753" s="1"/>
    </row>
    <row r="5754" spans="4:35" hidden="1">
      <c r="D5754" s="1"/>
      <c r="K5754" s="1"/>
      <c r="Q5754" s="1"/>
      <c r="AD5754" s="1"/>
      <c r="AG5754" s="1"/>
      <c r="AI5754" s="1"/>
    </row>
    <row r="5755" spans="4:35" hidden="1">
      <c r="D5755" s="1"/>
      <c r="K5755" s="1"/>
      <c r="Q5755" s="1"/>
      <c r="AD5755" s="1"/>
      <c r="AG5755" s="1"/>
      <c r="AI5755" s="1"/>
    </row>
    <row r="5756" spans="4:35" hidden="1">
      <c r="D5756" s="1"/>
      <c r="K5756" s="1"/>
      <c r="Q5756" s="1"/>
      <c r="AD5756" s="1"/>
      <c r="AG5756" s="1"/>
      <c r="AI5756" s="1"/>
    </row>
    <row r="5757" spans="4:35" hidden="1">
      <c r="D5757" s="1"/>
      <c r="K5757" s="1"/>
      <c r="Q5757" s="1"/>
      <c r="AD5757" s="1"/>
      <c r="AG5757" s="1"/>
      <c r="AI5757" s="1"/>
    </row>
    <row r="5758" spans="4:35" hidden="1">
      <c r="D5758" s="1"/>
      <c r="K5758" s="1"/>
      <c r="Q5758" s="1"/>
      <c r="AD5758" s="1"/>
      <c r="AG5758" s="1"/>
      <c r="AI5758" s="1"/>
    </row>
    <row r="5759" spans="4:35" hidden="1">
      <c r="D5759" s="1"/>
      <c r="K5759" s="1"/>
      <c r="Q5759" s="1"/>
      <c r="AD5759" s="1"/>
      <c r="AG5759" s="1"/>
      <c r="AI5759" s="1"/>
    </row>
    <row r="5760" spans="4:35" hidden="1">
      <c r="D5760" s="1"/>
      <c r="K5760" s="1"/>
      <c r="Q5760" s="1"/>
      <c r="AD5760" s="1"/>
      <c r="AG5760" s="1"/>
      <c r="AI5760" s="1"/>
    </row>
    <row r="5761" spans="4:35" hidden="1">
      <c r="D5761" s="1"/>
      <c r="K5761" s="1"/>
      <c r="Q5761" s="1"/>
      <c r="AD5761" s="1"/>
      <c r="AG5761" s="1"/>
      <c r="AI5761" s="1"/>
    </row>
    <row r="5762" spans="4:35" hidden="1">
      <c r="D5762" s="1"/>
      <c r="K5762" s="1"/>
      <c r="Q5762" s="1"/>
      <c r="AD5762" s="1"/>
      <c r="AG5762" s="1"/>
      <c r="AI5762" s="1"/>
    </row>
    <row r="5763" spans="4:35" hidden="1">
      <c r="D5763" s="1"/>
      <c r="K5763" s="1"/>
      <c r="Q5763" s="1"/>
      <c r="AD5763" s="1"/>
      <c r="AG5763" s="1"/>
      <c r="AI5763" s="1"/>
    </row>
    <row r="5764" spans="4:35" hidden="1">
      <c r="D5764" s="1"/>
      <c r="K5764" s="1"/>
      <c r="Q5764" s="1"/>
      <c r="AD5764" s="1"/>
      <c r="AG5764" s="1"/>
      <c r="AI5764" s="1"/>
    </row>
    <row r="5765" spans="4:35" hidden="1">
      <c r="D5765" s="1"/>
      <c r="K5765" s="1"/>
      <c r="Q5765" s="1"/>
      <c r="AD5765" s="1"/>
      <c r="AG5765" s="1"/>
      <c r="AI5765" s="1"/>
    </row>
    <row r="5766" spans="4:35" hidden="1">
      <c r="D5766" s="1"/>
      <c r="K5766" s="1"/>
      <c r="Q5766" s="1"/>
      <c r="AD5766" s="1"/>
      <c r="AG5766" s="1"/>
      <c r="AI5766" s="1"/>
    </row>
    <row r="5767" spans="4:35" hidden="1">
      <c r="D5767" s="1"/>
      <c r="K5767" s="1"/>
      <c r="Q5767" s="1"/>
      <c r="AD5767" s="1"/>
      <c r="AG5767" s="1"/>
      <c r="AI5767" s="1"/>
    </row>
    <row r="5768" spans="4:35" hidden="1">
      <c r="D5768" s="1"/>
      <c r="K5768" s="1"/>
      <c r="Q5768" s="1"/>
      <c r="AD5768" s="1"/>
      <c r="AG5768" s="1"/>
      <c r="AI5768" s="1"/>
    </row>
    <row r="5769" spans="4:35" hidden="1">
      <c r="D5769" s="1"/>
      <c r="K5769" s="1"/>
      <c r="Q5769" s="1"/>
      <c r="AD5769" s="1"/>
      <c r="AG5769" s="1"/>
      <c r="AI5769" s="1"/>
    </row>
    <row r="5770" spans="4:35" hidden="1">
      <c r="D5770" s="1"/>
      <c r="K5770" s="1"/>
      <c r="Q5770" s="1"/>
      <c r="AD5770" s="1"/>
      <c r="AG5770" s="1"/>
      <c r="AI5770" s="1"/>
    </row>
    <row r="5771" spans="4:35" hidden="1">
      <c r="D5771" s="1"/>
      <c r="K5771" s="1"/>
      <c r="Q5771" s="1"/>
      <c r="AD5771" s="1"/>
      <c r="AG5771" s="1"/>
      <c r="AI5771" s="1"/>
    </row>
    <row r="5772" spans="4:35" hidden="1">
      <c r="D5772" s="1"/>
      <c r="K5772" s="1"/>
      <c r="Q5772" s="1"/>
      <c r="AD5772" s="1"/>
      <c r="AG5772" s="1"/>
      <c r="AI5772" s="1"/>
    </row>
    <row r="5773" spans="4:35" hidden="1">
      <c r="D5773" s="1"/>
      <c r="K5773" s="1"/>
      <c r="Q5773" s="1"/>
      <c r="AD5773" s="1"/>
      <c r="AG5773" s="1"/>
      <c r="AI5773" s="1"/>
    </row>
    <row r="5774" spans="4:35" hidden="1">
      <c r="D5774" s="1"/>
      <c r="K5774" s="1"/>
      <c r="Q5774" s="1"/>
      <c r="AD5774" s="1"/>
      <c r="AG5774" s="1"/>
      <c r="AI5774" s="1"/>
    </row>
    <row r="5775" spans="4:35" hidden="1">
      <c r="D5775" s="1"/>
      <c r="K5775" s="1"/>
      <c r="Q5775" s="1"/>
      <c r="AD5775" s="1"/>
      <c r="AG5775" s="1"/>
      <c r="AI5775" s="1"/>
    </row>
    <row r="5776" spans="4:35" hidden="1">
      <c r="D5776" s="1"/>
      <c r="K5776" s="1"/>
      <c r="Q5776" s="1"/>
      <c r="AD5776" s="1"/>
      <c r="AG5776" s="1"/>
      <c r="AI5776" s="1"/>
    </row>
    <row r="5777" spans="4:35" hidden="1">
      <c r="D5777" s="1"/>
      <c r="K5777" s="1"/>
      <c r="Q5777" s="1"/>
      <c r="AD5777" s="1"/>
      <c r="AG5777" s="1"/>
      <c r="AI5777" s="1"/>
    </row>
    <row r="5778" spans="4:35" hidden="1">
      <c r="D5778" s="1"/>
      <c r="K5778" s="1"/>
      <c r="Q5778" s="1"/>
      <c r="AD5778" s="1"/>
      <c r="AG5778" s="1"/>
      <c r="AI5778" s="1"/>
    </row>
    <row r="5779" spans="4:35" hidden="1">
      <c r="D5779" s="1"/>
      <c r="K5779" s="1"/>
      <c r="Q5779" s="1"/>
      <c r="AD5779" s="1"/>
      <c r="AG5779" s="1"/>
      <c r="AI5779" s="1"/>
    </row>
    <row r="5780" spans="4:35" hidden="1">
      <c r="D5780" s="1"/>
      <c r="K5780" s="1"/>
      <c r="Q5780" s="1"/>
      <c r="AD5780" s="1"/>
      <c r="AG5780" s="1"/>
      <c r="AI5780" s="1"/>
    </row>
    <row r="5781" spans="4:35" hidden="1">
      <c r="D5781" s="1"/>
      <c r="K5781" s="1"/>
      <c r="Q5781" s="1"/>
      <c r="AD5781" s="1"/>
      <c r="AG5781" s="1"/>
      <c r="AI5781" s="1"/>
    </row>
    <row r="5782" spans="4:35" hidden="1">
      <c r="D5782" s="1"/>
      <c r="K5782" s="1"/>
      <c r="Q5782" s="1"/>
      <c r="AD5782" s="1"/>
      <c r="AG5782" s="1"/>
      <c r="AI5782" s="1"/>
    </row>
    <row r="5783" spans="4:35" hidden="1">
      <c r="D5783" s="1"/>
      <c r="K5783" s="1"/>
      <c r="Q5783" s="1"/>
      <c r="AD5783" s="1"/>
      <c r="AG5783" s="1"/>
      <c r="AI5783" s="1"/>
    </row>
    <row r="5784" spans="4:35" hidden="1">
      <c r="D5784" s="1"/>
      <c r="K5784" s="1"/>
      <c r="Q5784" s="1"/>
      <c r="AD5784" s="1"/>
      <c r="AG5784" s="1"/>
      <c r="AI5784" s="1"/>
    </row>
    <row r="5785" spans="4:35" hidden="1">
      <c r="D5785" s="1"/>
      <c r="K5785" s="1"/>
      <c r="Q5785" s="1"/>
      <c r="AD5785" s="1"/>
      <c r="AG5785" s="1"/>
      <c r="AI5785" s="1"/>
    </row>
    <row r="5786" spans="4:35" hidden="1">
      <c r="D5786" s="1"/>
      <c r="K5786" s="1"/>
      <c r="Q5786" s="1"/>
      <c r="AD5786" s="1"/>
      <c r="AG5786" s="1"/>
      <c r="AI5786" s="1"/>
    </row>
    <row r="5787" spans="4:35" hidden="1">
      <c r="D5787" s="1"/>
      <c r="K5787" s="1"/>
      <c r="Q5787" s="1"/>
      <c r="AD5787" s="1"/>
      <c r="AG5787" s="1"/>
      <c r="AI5787" s="1"/>
    </row>
    <row r="5788" spans="4:35" hidden="1">
      <c r="D5788" s="1"/>
      <c r="K5788" s="1"/>
      <c r="Q5788" s="1"/>
      <c r="AD5788" s="1"/>
      <c r="AG5788" s="1"/>
      <c r="AI5788" s="1"/>
    </row>
    <row r="5789" spans="4:35" hidden="1">
      <c r="D5789" s="1"/>
      <c r="K5789" s="1"/>
      <c r="Q5789" s="1"/>
      <c r="AD5789" s="1"/>
      <c r="AG5789" s="1"/>
      <c r="AI5789" s="1"/>
    </row>
    <row r="5790" spans="4:35" hidden="1">
      <c r="D5790" s="1"/>
      <c r="K5790" s="1"/>
      <c r="Q5790" s="1"/>
      <c r="AD5790" s="1"/>
      <c r="AG5790" s="1"/>
      <c r="AI5790" s="1"/>
    </row>
    <row r="5791" spans="4:35" hidden="1">
      <c r="D5791" s="1"/>
      <c r="K5791" s="1"/>
      <c r="Q5791" s="1"/>
      <c r="AD5791" s="1"/>
      <c r="AG5791" s="1"/>
      <c r="AI5791" s="1"/>
    </row>
    <row r="5792" spans="4:35" hidden="1">
      <c r="D5792" s="1"/>
      <c r="K5792" s="1"/>
      <c r="Q5792" s="1"/>
      <c r="AD5792" s="1"/>
      <c r="AG5792" s="1"/>
      <c r="AI5792" s="1"/>
    </row>
    <row r="5793" spans="4:35" hidden="1">
      <c r="D5793" s="1"/>
      <c r="K5793" s="1"/>
      <c r="Q5793" s="1"/>
      <c r="AD5793" s="1"/>
      <c r="AG5793" s="1"/>
      <c r="AI5793" s="1"/>
    </row>
    <row r="5794" spans="4:35" hidden="1">
      <c r="D5794" s="1"/>
      <c r="K5794" s="1"/>
      <c r="Q5794" s="1"/>
      <c r="AD5794" s="1"/>
      <c r="AG5794" s="1"/>
      <c r="AI5794" s="1"/>
    </row>
    <row r="5795" spans="4:35" hidden="1">
      <c r="D5795" s="1"/>
      <c r="K5795" s="1"/>
      <c r="Q5795" s="1"/>
      <c r="AD5795" s="1"/>
      <c r="AG5795" s="1"/>
      <c r="AI5795" s="1"/>
    </row>
    <row r="5796" spans="4:35" hidden="1">
      <c r="D5796" s="1"/>
      <c r="K5796" s="1"/>
      <c r="Q5796" s="1"/>
      <c r="AD5796" s="1"/>
      <c r="AG5796" s="1"/>
      <c r="AI5796" s="1"/>
    </row>
    <row r="5797" spans="4:35" hidden="1">
      <c r="D5797" s="1"/>
      <c r="K5797" s="1"/>
      <c r="Q5797" s="1"/>
      <c r="AD5797" s="1"/>
      <c r="AG5797" s="1"/>
      <c r="AI5797" s="1"/>
    </row>
    <row r="5798" spans="4:35" hidden="1">
      <c r="D5798" s="1"/>
      <c r="K5798" s="1"/>
      <c r="Q5798" s="1"/>
      <c r="AD5798" s="1"/>
      <c r="AG5798" s="1"/>
      <c r="AI5798" s="1"/>
    </row>
    <row r="5799" spans="4:35" hidden="1">
      <c r="D5799" s="1"/>
      <c r="K5799" s="1"/>
      <c r="Q5799" s="1"/>
      <c r="AD5799" s="1"/>
      <c r="AG5799" s="1"/>
      <c r="AI5799" s="1"/>
    </row>
    <row r="5800" spans="4:35" hidden="1">
      <c r="D5800" s="1"/>
      <c r="K5800" s="1"/>
      <c r="Q5800" s="1"/>
      <c r="AD5800" s="1"/>
      <c r="AG5800" s="1"/>
      <c r="AI5800" s="1"/>
    </row>
    <row r="5801" spans="4:35" hidden="1">
      <c r="D5801" s="1"/>
      <c r="K5801" s="1"/>
      <c r="Q5801" s="1"/>
      <c r="AD5801" s="1"/>
      <c r="AG5801" s="1"/>
      <c r="AI5801" s="1"/>
    </row>
    <row r="5802" spans="4:35" hidden="1">
      <c r="D5802" s="1"/>
      <c r="K5802" s="1"/>
      <c r="Q5802" s="1"/>
      <c r="AD5802" s="1"/>
      <c r="AG5802" s="1"/>
      <c r="AI5802" s="1"/>
    </row>
    <row r="5803" spans="4:35" hidden="1">
      <c r="D5803" s="1"/>
      <c r="K5803" s="1"/>
      <c r="Q5803" s="1"/>
      <c r="AD5803" s="1"/>
      <c r="AG5803" s="1"/>
      <c r="AI5803" s="1"/>
    </row>
    <row r="5804" spans="4:35" hidden="1">
      <c r="D5804" s="1"/>
      <c r="K5804" s="1"/>
      <c r="Q5804" s="1"/>
      <c r="AD5804" s="1"/>
      <c r="AG5804" s="1"/>
      <c r="AI5804" s="1"/>
    </row>
    <row r="5805" spans="4:35" hidden="1">
      <c r="D5805" s="1"/>
      <c r="K5805" s="1"/>
      <c r="Q5805" s="1"/>
      <c r="AD5805" s="1"/>
      <c r="AG5805" s="1"/>
      <c r="AI5805" s="1"/>
    </row>
    <row r="5806" spans="4:35" hidden="1">
      <c r="D5806" s="1"/>
      <c r="K5806" s="1"/>
      <c r="Q5806" s="1"/>
      <c r="AD5806" s="1"/>
      <c r="AG5806" s="1"/>
      <c r="AI5806" s="1"/>
    </row>
    <row r="5807" spans="4:35" hidden="1">
      <c r="D5807" s="1"/>
      <c r="K5807" s="1"/>
      <c r="Q5807" s="1"/>
      <c r="AD5807" s="1"/>
      <c r="AG5807" s="1"/>
      <c r="AI5807" s="1"/>
    </row>
    <row r="5808" spans="4:35" hidden="1">
      <c r="D5808" s="1"/>
      <c r="K5808" s="1"/>
      <c r="Q5808" s="1"/>
      <c r="AD5808" s="1"/>
      <c r="AG5808" s="1"/>
      <c r="AI5808" s="1"/>
    </row>
    <row r="5809" spans="4:35" hidden="1">
      <c r="D5809" s="1"/>
      <c r="K5809" s="1"/>
      <c r="Q5809" s="1"/>
      <c r="AD5809" s="1"/>
      <c r="AG5809" s="1"/>
      <c r="AI5809" s="1"/>
    </row>
    <row r="5810" spans="4:35" hidden="1">
      <c r="D5810" s="1"/>
      <c r="K5810" s="1"/>
      <c r="Q5810" s="1"/>
      <c r="AD5810" s="1"/>
      <c r="AG5810" s="1"/>
      <c r="AI5810" s="1"/>
    </row>
    <row r="5811" spans="4:35" hidden="1">
      <c r="D5811" s="1"/>
      <c r="K5811" s="1"/>
      <c r="Q5811" s="1"/>
      <c r="AD5811" s="1"/>
      <c r="AG5811" s="1"/>
      <c r="AI5811" s="1"/>
    </row>
    <row r="5812" spans="4:35" hidden="1">
      <c r="D5812" s="1"/>
      <c r="K5812" s="1"/>
      <c r="Q5812" s="1"/>
      <c r="AD5812" s="1"/>
      <c r="AG5812" s="1"/>
      <c r="AI5812" s="1"/>
    </row>
    <row r="5813" spans="4:35" hidden="1">
      <c r="D5813" s="1"/>
      <c r="K5813" s="1"/>
      <c r="Q5813" s="1"/>
      <c r="AD5813" s="1"/>
      <c r="AG5813" s="1"/>
      <c r="AI5813" s="1"/>
    </row>
    <row r="5814" spans="4:35" hidden="1">
      <c r="D5814" s="1"/>
      <c r="K5814" s="1"/>
      <c r="Q5814" s="1"/>
      <c r="AD5814" s="1"/>
      <c r="AG5814" s="1"/>
      <c r="AI5814" s="1"/>
    </row>
    <row r="5815" spans="4:35" hidden="1">
      <c r="D5815" s="1"/>
      <c r="K5815" s="1"/>
      <c r="Q5815" s="1"/>
      <c r="AD5815" s="1"/>
      <c r="AG5815" s="1"/>
      <c r="AI5815" s="1"/>
    </row>
    <row r="5816" spans="4:35" hidden="1">
      <c r="D5816" s="1"/>
      <c r="K5816" s="1"/>
      <c r="Q5816" s="1"/>
      <c r="AD5816" s="1"/>
      <c r="AG5816" s="1"/>
      <c r="AI5816" s="1"/>
    </row>
    <row r="5817" spans="4:35" hidden="1">
      <c r="D5817" s="1"/>
      <c r="K5817" s="1"/>
      <c r="Q5817" s="1"/>
      <c r="AD5817" s="1"/>
      <c r="AG5817" s="1"/>
      <c r="AI5817" s="1"/>
    </row>
    <row r="5818" spans="4:35" hidden="1">
      <c r="D5818" s="1"/>
      <c r="K5818" s="1"/>
      <c r="Q5818" s="1"/>
      <c r="AD5818" s="1"/>
      <c r="AG5818" s="1"/>
      <c r="AI5818" s="1"/>
    </row>
    <row r="5819" spans="4:35" hidden="1">
      <c r="D5819" s="1"/>
      <c r="K5819" s="1"/>
      <c r="Q5819" s="1"/>
      <c r="AD5819" s="1"/>
      <c r="AG5819" s="1"/>
      <c r="AI5819" s="1"/>
    </row>
    <row r="5820" spans="4:35" hidden="1">
      <c r="D5820" s="1"/>
      <c r="K5820" s="1"/>
      <c r="Q5820" s="1"/>
      <c r="AD5820" s="1"/>
      <c r="AG5820" s="1"/>
      <c r="AI5820" s="1"/>
    </row>
    <row r="5821" spans="4:35" hidden="1">
      <c r="D5821" s="1"/>
      <c r="K5821" s="1"/>
      <c r="Q5821" s="1"/>
      <c r="AD5821" s="1"/>
      <c r="AG5821" s="1"/>
      <c r="AI5821" s="1"/>
    </row>
    <row r="5822" spans="4:35" hidden="1">
      <c r="D5822" s="1"/>
      <c r="K5822" s="1"/>
      <c r="Q5822" s="1"/>
      <c r="AD5822" s="1"/>
      <c r="AG5822" s="1"/>
      <c r="AI5822" s="1"/>
    </row>
    <row r="5823" spans="4:35" hidden="1">
      <c r="D5823" s="1"/>
      <c r="K5823" s="1"/>
      <c r="Q5823" s="1"/>
      <c r="AD5823" s="1"/>
      <c r="AG5823" s="1"/>
      <c r="AI5823" s="1"/>
    </row>
    <row r="5824" spans="4:35" hidden="1">
      <c r="D5824" s="1"/>
      <c r="K5824" s="1"/>
      <c r="Q5824" s="1"/>
      <c r="AD5824" s="1"/>
      <c r="AG5824" s="1"/>
      <c r="AI5824" s="1"/>
    </row>
    <row r="5825" spans="4:35" hidden="1">
      <c r="D5825" s="1"/>
      <c r="K5825" s="1"/>
      <c r="Q5825" s="1"/>
      <c r="AD5825" s="1"/>
      <c r="AG5825" s="1"/>
      <c r="AI5825" s="1"/>
    </row>
    <row r="5826" spans="4:35" hidden="1">
      <c r="D5826" s="1"/>
      <c r="K5826" s="1"/>
      <c r="Q5826" s="1"/>
      <c r="AD5826" s="1"/>
      <c r="AG5826" s="1"/>
      <c r="AI5826" s="1"/>
    </row>
    <row r="5827" spans="4:35" hidden="1">
      <c r="D5827" s="1"/>
      <c r="K5827" s="1"/>
      <c r="Q5827" s="1"/>
      <c r="AD5827" s="1"/>
      <c r="AG5827" s="1"/>
      <c r="AI5827" s="1"/>
    </row>
    <row r="5828" spans="4:35" hidden="1">
      <c r="D5828" s="1"/>
      <c r="K5828" s="1"/>
      <c r="Q5828" s="1"/>
      <c r="AD5828" s="1"/>
      <c r="AG5828" s="1"/>
      <c r="AI5828" s="1"/>
    </row>
    <row r="5829" spans="4:35" hidden="1">
      <c r="D5829" s="1"/>
      <c r="K5829" s="1"/>
      <c r="Q5829" s="1"/>
      <c r="AD5829" s="1"/>
      <c r="AG5829" s="1"/>
      <c r="AI5829" s="1"/>
    </row>
    <row r="5830" spans="4:35" hidden="1">
      <c r="D5830" s="1"/>
      <c r="K5830" s="1"/>
      <c r="Q5830" s="1"/>
      <c r="AD5830" s="1"/>
      <c r="AG5830" s="1"/>
      <c r="AI5830" s="1"/>
    </row>
    <row r="5831" spans="4:35" hidden="1">
      <c r="D5831" s="1"/>
      <c r="K5831" s="1"/>
      <c r="Q5831" s="1"/>
      <c r="AD5831" s="1"/>
      <c r="AG5831" s="1"/>
      <c r="AI5831" s="1"/>
    </row>
    <row r="5832" spans="4:35" hidden="1">
      <c r="D5832" s="1"/>
      <c r="K5832" s="1"/>
      <c r="Q5832" s="1"/>
      <c r="AD5832" s="1"/>
      <c r="AG5832" s="1"/>
      <c r="AI5832" s="1"/>
    </row>
    <row r="5833" spans="4:35" hidden="1">
      <c r="D5833" s="1"/>
      <c r="K5833" s="1"/>
      <c r="Q5833" s="1"/>
      <c r="AD5833" s="1"/>
      <c r="AG5833" s="1"/>
      <c r="AI5833" s="1"/>
    </row>
    <row r="5834" spans="4:35" hidden="1">
      <c r="D5834" s="1"/>
      <c r="K5834" s="1"/>
      <c r="Q5834" s="1"/>
      <c r="AD5834" s="1"/>
      <c r="AG5834" s="1"/>
      <c r="AI5834" s="1"/>
    </row>
    <row r="5835" spans="4:35" hidden="1">
      <c r="D5835" s="1"/>
      <c r="K5835" s="1"/>
      <c r="Q5835" s="1"/>
      <c r="AD5835" s="1"/>
      <c r="AG5835" s="1"/>
      <c r="AI5835" s="1"/>
    </row>
    <row r="5836" spans="4:35" hidden="1">
      <c r="D5836" s="1"/>
      <c r="K5836" s="1"/>
      <c r="Q5836" s="1"/>
      <c r="AD5836" s="1"/>
      <c r="AG5836" s="1"/>
      <c r="AI5836" s="1"/>
    </row>
    <row r="5837" spans="4:35" hidden="1">
      <c r="D5837" s="1"/>
      <c r="K5837" s="1"/>
      <c r="Q5837" s="1"/>
      <c r="AD5837" s="1"/>
      <c r="AG5837" s="1"/>
      <c r="AI5837" s="1"/>
    </row>
    <row r="5838" spans="4:35" hidden="1">
      <c r="D5838" s="1"/>
      <c r="K5838" s="1"/>
      <c r="Q5838" s="1"/>
      <c r="AD5838" s="1"/>
      <c r="AG5838" s="1"/>
      <c r="AI5838" s="1"/>
    </row>
    <row r="5839" spans="4:35" hidden="1">
      <c r="D5839" s="1"/>
      <c r="K5839" s="1"/>
      <c r="Q5839" s="1"/>
      <c r="AD5839" s="1"/>
      <c r="AG5839" s="1"/>
      <c r="AI5839" s="1"/>
    </row>
    <row r="5840" spans="4:35" hidden="1">
      <c r="D5840" s="1"/>
      <c r="K5840" s="1"/>
      <c r="Q5840" s="1"/>
      <c r="AD5840" s="1"/>
      <c r="AG5840" s="1"/>
      <c r="AI5840" s="1"/>
    </row>
    <row r="5841" spans="4:35" hidden="1">
      <c r="D5841" s="1"/>
      <c r="K5841" s="1"/>
      <c r="Q5841" s="1"/>
      <c r="AD5841" s="1"/>
      <c r="AG5841" s="1"/>
      <c r="AI5841" s="1"/>
    </row>
    <row r="5842" spans="4:35" hidden="1">
      <c r="D5842" s="1"/>
      <c r="K5842" s="1"/>
      <c r="Q5842" s="1"/>
      <c r="AD5842" s="1"/>
      <c r="AG5842" s="1"/>
      <c r="AI5842" s="1"/>
    </row>
    <row r="5843" spans="4:35" hidden="1">
      <c r="D5843" s="1"/>
      <c r="K5843" s="1"/>
      <c r="Q5843" s="1"/>
      <c r="AD5843" s="1"/>
      <c r="AG5843" s="1"/>
      <c r="AI5843" s="1"/>
    </row>
    <row r="5844" spans="4:35" hidden="1">
      <c r="D5844" s="1"/>
      <c r="K5844" s="1"/>
      <c r="Q5844" s="1"/>
      <c r="AD5844" s="1"/>
      <c r="AG5844" s="1"/>
      <c r="AI5844" s="1"/>
    </row>
    <row r="5845" spans="4:35" hidden="1">
      <c r="D5845" s="1"/>
      <c r="K5845" s="1"/>
      <c r="Q5845" s="1"/>
      <c r="AD5845" s="1"/>
      <c r="AG5845" s="1"/>
      <c r="AI5845" s="1"/>
    </row>
    <row r="5846" spans="4:35" hidden="1">
      <c r="D5846" s="1"/>
      <c r="K5846" s="1"/>
      <c r="Q5846" s="1"/>
      <c r="AD5846" s="1"/>
      <c r="AG5846" s="1"/>
      <c r="AI5846" s="1"/>
    </row>
    <row r="5847" spans="4:35" hidden="1">
      <c r="D5847" s="1"/>
      <c r="K5847" s="1"/>
      <c r="Q5847" s="1"/>
      <c r="AD5847" s="1"/>
      <c r="AG5847" s="1"/>
      <c r="AI5847" s="1"/>
    </row>
    <row r="5848" spans="4:35" hidden="1">
      <c r="D5848" s="1"/>
      <c r="K5848" s="1"/>
      <c r="Q5848" s="1"/>
      <c r="AD5848" s="1"/>
      <c r="AG5848" s="1"/>
      <c r="AI5848" s="1"/>
    </row>
    <row r="5849" spans="4:35" hidden="1">
      <c r="D5849" s="1"/>
      <c r="K5849" s="1"/>
      <c r="Q5849" s="1"/>
      <c r="AD5849" s="1"/>
      <c r="AG5849" s="1"/>
      <c r="AI5849" s="1"/>
    </row>
    <row r="5850" spans="4:35" hidden="1">
      <c r="D5850" s="1"/>
      <c r="K5850" s="1"/>
      <c r="Q5850" s="1"/>
      <c r="AD5850" s="1"/>
      <c r="AG5850" s="1"/>
      <c r="AI5850" s="1"/>
    </row>
    <row r="5851" spans="4:35" hidden="1">
      <c r="D5851" s="1"/>
      <c r="K5851" s="1"/>
      <c r="Q5851" s="1"/>
      <c r="AD5851" s="1"/>
      <c r="AG5851" s="1"/>
      <c r="AI5851" s="1"/>
    </row>
    <row r="5852" spans="4:35" hidden="1">
      <c r="D5852" s="1"/>
      <c r="K5852" s="1"/>
      <c r="Q5852" s="1"/>
      <c r="AD5852" s="1"/>
      <c r="AG5852" s="1"/>
      <c r="AI5852" s="1"/>
    </row>
    <row r="5853" spans="4:35" hidden="1">
      <c r="D5853" s="1"/>
      <c r="K5853" s="1"/>
      <c r="Q5853" s="1"/>
      <c r="AD5853" s="1"/>
      <c r="AG5853" s="1"/>
      <c r="AI5853" s="1"/>
    </row>
    <row r="5854" spans="4:35" hidden="1">
      <c r="D5854" s="1"/>
      <c r="K5854" s="1"/>
      <c r="Q5854" s="1"/>
      <c r="AD5854" s="1"/>
      <c r="AG5854" s="1"/>
      <c r="AI5854" s="1"/>
    </row>
    <row r="5855" spans="4:35" hidden="1">
      <c r="D5855" s="1"/>
      <c r="K5855" s="1"/>
      <c r="Q5855" s="1"/>
      <c r="AD5855" s="1"/>
      <c r="AG5855" s="1"/>
      <c r="AI5855" s="1"/>
    </row>
    <row r="5856" spans="4:35" hidden="1">
      <c r="D5856" s="1"/>
      <c r="K5856" s="1"/>
      <c r="Q5856" s="1"/>
      <c r="AD5856" s="1"/>
      <c r="AG5856" s="1"/>
      <c r="AI5856" s="1"/>
    </row>
    <row r="5857" spans="4:35" hidden="1">
      <c r="D5857" s="1"/>
      <c r="K5857" s="1"/>
      <c r="Q5857" s="1"/>
      <c r="AD5857" s="1"/>
      <c r="AG5857" s="1"/>
      <c r="AI5857" s="1"/>
    </row>
    <row r="5858" spans="4:35" hidden="1">
      <c r="D5858" s="1"/>
      <c r="K5858" s="1"/>
      <c r="Q5858" s="1"/>
      <c r="AD5858" s="1"/>
      <c r="AG5858" s="1"/>
      <c r="AI5858" s="1"/>
    </row>
    <row r="5859" spans="4:35" hidden="1">
      <c r="D5859" s="1"/>
      <c r="K5859" s="1"/>
      <c r="Q5859" s="1"/>
      <c r="AD5859" s="1"/>
      <c r="AG5859" s="1"/>
      <c r="AI5859" s="1"/>
    </row>
    <row r="5860" spans="4:35" hidden="1">
      <c r="D5860" s="1"/>
      <c r="K5860" s="1"/>
      <c r="Q5860" s="1"/>
      <c r="AD5860" s="1"/>
      <c r="AG5860" s="1"/>
      <c r="AI5860" s="1"/>
    </row>
    <row r="5861" spans="4:35" hidden="1">
      <c r="D5861" s="1"/>
      <c r="K5861" s="1"/>
      <c r="Q5861" s="1"/>
      <c r="AD5861" s="1"/>
      <c r="AG5861" s="1"/>
      <c r="AI5861" s="1"/>
    </row>
    <row r="5862" spans="4:35" hidden="1">
      <c r="D5862" s="1"/>
      <c r="K5862" s="1"/>
      <c r="Q5862" s="1"/>
      <c r="AD5862" s="1"/>
      <c r="AG5862" s="1"/>
      <c r="AI5862" s="1"/>
    </row>
    <row r="5863" spans="4:35" hidden="1">
      <c r="D5863" s="1"/>
      <c r="K5863" s="1"/>
      <c r="Q5863" s="1"/>
      <c r="AD5863" s="1"/>
      <c r="AG5863" s="1"/>
      <c r="AI5863" s="1"/>
    </row>
    <row r="5864" spans="4:35" hidden="1">
      <c r="D5864" s="1"/>
      <c r="K5864" s="1"/>
      <c r="Q5864" s="1"/>
      <c r="AD5864" s="1"/>
      <c r="AG5864" s="1"/>
      <c r="AI5864" s="1"/>
    </row>
    <row r="5865" spans="4:35" hidden="1">
      <c r="D5865" s="1"/>
      <c r="K5865" s="1"/>
      <c r="Q5865" s="1"/>
      <c r="AD5865" s="1"/>
      <c r="AG5865" s="1"/>
      <c r="AI5865" s="1"/>
    </row>
    <row r="5866" spans="4:35" hidden="1">
      <c r="D5866" s="1"/>
      <c r="K5866" s="1"/>
      <c r="Q5866" s="1"/>
      <c r="AD5866" s="1"/>
      <c r="AG5866" s="1"/>
      <c r="AI5866" s="1"/>
    </row>
    <row r="5867" spans="4:35" hidden="1">
      <c r="D5867" s="1"/>
      <c r="K5867" s="1"/>
      <c r="Q5867" s="1"/>
      <c r="AD5867" s="1"/>
      <c r="AG5867" s="1"/>
      <c r="AI5867" s="1"/>
    </row>
    <row r="5868" spans="4:35" hidden="1">
      <c r="D5868" s="1"/>
      <c r="K5868" s="1"/>
      <c r="Q5868" s="1"/>
      <c r="AD5868" s="1"/>
      <c r="AG5868" s="1"/>
      <c r="AI5868" s="1"/>
    </row>
    <row r="5869" spans="4:35" hidden="1">
      <c r="D5869" s="1"/>
      <c r="K5869" s="1"/>
      <c r="Q5869" s="1"/>
      <c r="AD5869" s="1"/>
      <c r="AG5869" s="1"/>
      <c r="AI5869" s="1"/>
    </row>
    <row r="5870" spans="4:35" hidden="1">
      <c r="D5870" s="1"/>
      <c r="K5870" s="1"/>
      <c r="Q5870" s="1"/>
      <c r="AD5870" s="1"/>
      <c r="AG5870" s="1"/>
      <c r="AI5870" s="1"/>
    </row>
    <row r="5871" spans="4:35" hidden="1">
      <c r="D5871" s="1"/>
      <c r="K5871" s="1"/>
      <c r="Q5871" s="1"/>
      <c r="AD5871" s="1"/>
      <c r="AG5871" s="1"/>
      <c r="AI5871" s="1"/>
    </row>
    <row r="5872" spans="4:35" hidden="1">
      <c r="D5872" s="1"/>
      <c r="K5872" s="1"/>
      <c r="Q5872" s="1"/>
      <c r="AD5872" s="1"/>
      <c r="AG5872" s="1"/>
      <c r="AI5872" s="1"/>
    </row>
    <row r="5873" spans="4:35" hidden="1">
      <c r="D5873" s="1"/>
      <c r="K5873" s="1"/>
      <c r="Q5873" s="1"/>
      <c r="AD5873" s="1"/>
      <c r="AG5873" s="1"/>
      <c r="AI5873" s="1"/>
    </row>
    <row r="5874" spans="4:35" hidden="1">
      <c r="D5874" s="1"/>
      <c r="K5874" s="1"/>
      <c r="Q5874" s="1"/>
      <c r="AD5874" s="1"/>
      <c r="AG5874" s="1"/>
      <c r="AI5874" s="1"/>
    </row>
    <row r="5875" spans="4:35" hidden="1">
      <c r="D5875" s="1"/>
      <c r="K5875" s="1"/>
      <c r="Q5875" s="1"/>
      <c r="AD5875" s="1"/>
      <c r="AG5875" s="1"/>
      <c r="AI5875" s="1"/>
    </row>
    <row r="5876" spans="4:35" hidden="1">
      <c r="D5876" s="1"/>
      <c r="K5876" s="1"/>
      <c r="Q5876" s="1"/>
      <c r="AD5876" s="1"/>
      <c r="AG5876" s="1"/>
      <c r="AI5876" s="1"/>
    </row>
    <row r="5877" spans="4:35" hidden="1">
      <c r="D5877" s="1"/>
      <c r="K5877" s="1"/>
      <c r="Q5877" s="1"/>
      <c r="AD5877" s="1"/>
      <c r="AG5877" s="1"/>
      <c r="AI5877" s="1"/>
    </row>
    <row r="5878" spans="4:35" hidden="1">
      <c r="D5878" s="1"/>
      <c r="K5878" s="1"/>
      <c r="Q5878" s="1"/>
      <c r="AD5878" s="1"/>
      <c r="AG5878" s="1"/>
      <c r="AI5878" s="1"/>
    </row>
    <row r="5879" spans="4:35" hidden="1">
      <c r="D5879" s="1"/>
      <c r="K5879" s="1"/>
      <c r="Q5879" s="1"/>
      <c r="AD5879" s="1"/>
      <c r="AG5879" s="1"/>
      <c r="AI5879" s="1"/>
    </row>
    <row r="5880" spans="4:35" hidden="1">
      <c r="D5880" s="1"/>
      <c r="K5880" s="1"/>
      <c r="Q5880" s="1"/>
      <c r="AD5880" s="1"/>
      <c r="AG5880" s="1"/>
      <c r="AI5880" s="1"/>
    </row>
    <row r="5881" spans="4:35" hidden="1">
      <c r="D5881" s="1"/>
      <c r="K5881" s="1"/>
      <c r="Q5881" s="1"/>
      <c r="AD5881" s="1"/>
      <c r="AG5881" s="1"/>
      <c r="AI5881" s="1"/>
    </row>
    <row r="5882" spans="4:35" hidden="1">
      <c r="D5882" s="1"/>
      <c r="K5882" s="1"/>
      <c r="Q5882" s="1"/>
      <c r="AD5882" s="1"/>
      <c r="AG5882" s="1"/>
      <c r="AI5882" s="1"/>
    </row>
    <row r="5883" spans="4:35" hidden="1">
      <c r="D5883" s="1"/>
      <c r="K5883" s="1"/>
      <c r="Q5883" s="1"/>
      <c r="AD5883" s="1"/>
      <c r="AG5883" s="1"/>
      <c r="AI5883" s="1"/>
    </row>
    <row r="5884" spans="4:35" hidden="1">
      <c r="D5884" s="1"/>
      <c r="K5884" s="1"/>
      <c r="Q5884" s="1"/>
      <c r="AD5884" s="1"/>
      <c r="AG5884" s="1"/>
      <c r="AI5884" s="1"/>
    </row>
    <row r="5885" spans="4:35" hidden="1">
      <c r="D5885" s="1"/>
      <c r="K5885" s="1"/>
      <c r="Q5885" s="1"/>
      <c r="AD5885" s="1"/>
      <c r="AG5885" s="1"/>
      <c r="AI5885" s="1"/>
    </row>
    <row r="5886" spans="4:35" hidden="1">
      <c r="D5886" s="1"/>
      <c r="K5886" s="1"/>
      <c r="Q5886" s="1"/>
      <c r="AD5886" s="1"/>
      <c r="AG5886" s="1"/>
      <c r="AI5886" s="1"/>
    </row>
    <row r="5887" spans="4:35" hidden="1">
      <c r="D5887" s="1"/>
      <c r="K5887" s="1"/>
      <c r="Q5887" s="1"/>
      <c r="AD5887" s="1"/>
      <c r="AG5887" s="1"/>
      <c r="AI5887" s="1"/>
    </row>
    <row r="5888" spans="4:35" hidden="1">
      <c r="D5888" s="1"/>
      <c r="K5888" s="1"/>
      <c r="Q5888" s="1"/>
      <c r="AD5888" s="1"/>
      <c r="AG5888" s="1"/>
      <c r="AI5888" s="1"/>
    </row>
    <row r="5889" spans="4:35" hidden="1">
      <c r="D5889" s="1"/>
      <c r="K5889" s="1"/>
      <c r="Q5889" s="1"/>
      <c r="AD5889" s="1"/>
      <c r="AG5889" s="1"/>
      <c r="AI5889" s="1"/>
    </row>
    <row r="5890" spans="4:35" hidden="1">
      <c r="D5890" s="1"/>
      <c r="K5890" s="1"/>
      <c r="Q5890" s="1"/>
      <c r="AD5890" s="1"/>
      <c r="AG5890" s="1"/>
      <c r="AI5890" s="1"/>
    </row>
    <row r="5891" spans="4:35" hidden="1">
      <c r="D5891" s="1"/>
      <c r="K5891" s="1"/>
      <c r="Q5891" s="1"/>
      <c r="AD5891" s="1"/>
      <c r="AG5891" s="1"/>
      <c r="AI5891" s="1"/>
    </row>
    <row r="5892" spans="4:35" hidden="1">
      <c r="D5892" s="1"/>
      <c r="K5892" s="1"/>
      <c r="Q5892" s="1"/>
      <c r="AD5892" s="1"/>
      <c r="AG5892" s="1"/>
      <c r="AI5892" s="1"/>
    </row>
    <row r="5893" spans="4:35" hidden="1">
      <c r="D5893" s="1"/>
      <c r="K5893" s="1"/>
      <c r="Q5893" s="1"/>
      <c r="AD5893" s="1"/>
      <c r="AG5893" s="1"/>
      <c r="AI5893" s="1"/>
    </row>
    <row r="5894" spans="4:35" hidden="1">
      <c r="D5894" s="1"/>
      <c r="K5894" s="1"/>
      <c r="Q5894" s="1"/>
      <c r="AD5894" s="1"/>
      <c r="AG5894" s="1"/>
      <c r="AI5894" s="1"/>
    </row>
    <row r="5895" spans="4:35" hidden="1">
      <c r="D5895" s="1"/>
      <c r="K5895" s="1"/>
      <c r="Q5895" s="1"/>
      <c r="AD5895" s="1"/>
      <c r="AG5895" s="1"/>
      <c r="AI5895" s="1"/>
    </row>
    <row r="5896" spans="4:35" hidden="1">
      <c r="D5896" s="1"/>
      <c r="K5896" s="1"/>
      <c r="Q5896" s="1"/>
      <c r="AD5896" s="1"/>
      <c r="AG5896" s="1"/>
      <c r="AI5896" s="1"/>
    </row>
    <row r="5897" spans="4:35" hidden="1">
      <c r="D5897" s="1"/>
      <c r="K5897" s="1"/>
      <c r="Q5897" s="1"/>
      <c r="AD5897" s="1"/>
      <c r="AG5897" s="1"/>
      <c r="AI5897" s="1"/>
    </row>
    <row r="5898" spans="4:35" hidden="1">
      <c r="D5898" s="1"/>
      <c r="K5898" s="1"/>
      <c r="Q5898" s="1"/>
      <c r="AD5898" s="1"/>
      <c r="AG5898" s="1"/>
      <c r="AI5898" s="1"/>
    </row>
    <row r="5899" spans="4:35" hidden="1">
      <c r="D5899" s="1"/>
      <c r="K5899" s="1"/>
      <c r="Q5899" s="1"/>
      <c r="AD5899" s="1"/>
      <c r="AG5899" s="1"/>
      <c r="AI5899" s="1"/>
    </row>
    <row r="5900" spans="4:35" hidden="1">
      <c r="D5900" s="1"/>
      <c r="K5900" s="1"/>
      <c r="Q5900" s="1"/>
      <c r="AD5900" s="1"/>
      <c r="AG5900" s="1"/>
      <c r="AI5900" s="1"/>
    </row>
    <row r="5901" spans="4:35" hidden="1">
      <c r="D5901" s="1"/>
      <c r="K5901" s="1"/>
      <c r="Q5901" s="1"/>
      <c r="AD5901" s="1"/>
      <c r="AG5901" s="1"/>
      <c r="AI5901" s="1"/>
    </row>
    <row r="5902" spans="4:35" hidden="1">
      <c r="D5902" s="1"/>
      <c r="K5902" s="1"/>
      <c r="Q5902" s="1"/>
      <c r="AD5902" s="1"/>
      <c r="AG5902" s="1"/>
      <c r="AI5902" s="1"/>
    </row>
    <row r="5903" spans="4:35" hidden="1">
      <c r="D5903" s="1"/>
      <c r="K5903" s="1"/>
      <c r="Q5903" s="1"/>
      <c r="AD5903" s="1"/>
      <c r="AG5903" s="1"/>
      <c r="AI5903" s="1"/>
    </row>
    <row r="5904" spans="4:35" hidden="1">
      <c r="D5904" s="1"/>
      <c r="K5904" s="1"/>
      <c r="Q5904" s="1"/>
      <c r="AD5904" s="1"/>
      <c r="AG5904" s="1"/>
      <c r="AI5904" s="1"/>
    </row>
    <row r="5905" spans="4:35" hidden="1">
      <c r="D5905" s="1"/>
      <c r="K5905" s="1"/>
      <c r="Q5905" s="1"/>
      <c r="AD5905" s="1"/>
      <c r="AG5905" s="1"/>
      <c r="AI5905" s="1"/>
    </row>
    <row r="5906" spans="4:35" hidden="1">
      <c r="D5906" s="1"/>
      <c r="K5906" s="1"/>
      <c r="Q5906" s="1"/>
      <c r="AD5906" s="1"/>
      <c r="AG5906" s="1"/>
      <c r="AI5906" s="1"/>
    </row>
    <row r="5907" spans="4:35" hidden="1">
      <c r="D5907" s="1"/>
      <c r="K5907" s="1"/>
      <c r="Q5907" s="1"/>
      <c r="AD5907" s="1"/>
      <c r="AG5907" s="1"/>
      <c r="AI5907" s="1"/>
    </row>
    <row r="5908" spans="4:35" hidden="1">
      <c r="D5908" s="1"/>
      <c r="K5908" s="1"/>
      <c r="Q5908" s="1"/>
      <c r="AD5908" s="1"/>
      <c r="AG5908" s="1"/>
      <c r="AI5908" s="1"/>
    </row>
    <row r="5909" spans="4:35" hidden="1">
      <c r="D5909" s="1"/>
      <c r="K5909" s="1"/>
      <c r="Q5909" s="1"/>
      <c r="AD5909" s="1"/>
      <c r="AG5909" s="1"/>
      <c r="AI5909" s="1"/>
    </row>
    <row r="5910" spans="4:35" hidden="1">
      <c r="D5910" s="1"/>
      <c r="K5910" s="1"/>
      <c r="Q5910" s="1"/>
      <c r="AD5910" s="1"/>
      <c r="AG5910" s="1"/>
      <c r="AI5910" s="1"/>
    </row>
    <row r="5911" spans="4:35" hidden="1">
      <c r="D5911" s="1"/>
      <c r="K5911" s="1"/>
      <c r="Q5911" s="1"/>
      <c r="AD5911" s="1"/>
      <c r="AG5911" s="1"/>
      <c r="AI5911" s="1"/>
    </row>
    <row r="5912" spans="4:35" hidden="1">
      <c r="D5912" s="1"/>
      <c r="K5912" s="1"/>
      <c r="Q5912" s="1"/>
      <c r="AD5912" s="1"/>
      <c r="AG5912" s="1"/>
      <c r="AI5912" s="1"/>
    </row>
    <row r="5913" spans="4:35" hidden="1">
      <c r="D5913" s="1"/>
      <c r="K5913" s="1"/>
      <c r="Q5913" s="1"/>
      <c r="AD5913" s="1"/>
      <c r="AG5913" s="1"/>
      <c r="AI5913" s="1"/>
    </row>
    <row r="5914" spans="4:35" hidden="1">
      <c r="D5914" s="1"/>
      <c r="K5914" s="1"/>
      <c r="Q5914" s="1"/>
      <c r="AD5914" s="1"/>
      <c r="AG5914" s="1"/>
      <c r="AI5914" s="1"/>
    </row>
    <row r="5915" spans="4:35" hidden="1">
      <c r="D5915" s="1"/>
      <c r="K5915" s="1"/>
      <c r="Q5915" s="1"/>
      <c r="AD5915" s="1"/>
      <c r="AG5915" s="1"/>
      <c r="AI5915" s="1"/>
    </row>
    <row r="5916" spans="4:35" hidden="1">
      <c r="D5916" s="1"/>
      <c r="K5916" s="1"/>
      <c r="Q5916" s="1"/>
      <c r="AD5916" s="1"/>
      <c r="AG5916" s="1"/>
      <c r="AI5916" s="1"/>
    </row>
    <row r="5917" spans="4:35" hidden="1">
      <c r="D5917" s="1"/>
      <c r="K5917" s="1"/>
      <c r="Q5917" s="1"/>
      <c r="AD5917" s="1"/>
      <c r="AG5917" s="1"/>
      <c r="AI5917" s="1"/>
    </row>
    <row r="5918" spans="4:35" hidden="1">
      <c r="D5918" s="1"/>
      <c r="K5918" s="1"/>
      <c r="Q5918" s="1"/>
      <c r="AD5918" s="1"/>
      <c r="AG5918" s="1"/>
      <c r="AI5918" s="1"/>
    </row>
    <row r="5919" spans="4:35" hidden="1">
      <c r="D5919" s="1"/>
      <c r="K5919" s="1"/>
      <c r="Q5919" s="1"/>
      <c r="AD5919" s="1"/>
      <c r="AG5919" s="1"/>
      <c r="AI5919" s="1"/>
    </row>
    <row r="5920" spans="4:35" hidden="1">
      <c r="D5920" s="1"/>
      <c r="K5920" s="1"/>
      <c r="Q5920" s="1"/>
      <c r="AD5920" s="1"/>
      <c r="AG5920" s="1"/>
      <c r="AI5920" s="1"/>
    </row>
    <row r="5921" spans="4:35" hidden="1">
      <c r="D5921" s="1"/>
      <c r="K5921" s="1"/>
      <c r="Q5921" s="1"/>
      <c r="AD5921" s="1"/>
      <c r="AG5921" s="1"/>
      <c r="AI5921" s="1"/>
    </row>
    <row r="5922" spans="4:35" hidden="1">
      <c r="D5922" s="1"/>
      <c r="K5922" s="1"/>
      <c r="Q5922" s="1"/>
      <c r="AD5922" s="1"/>
      <c r="AG5922" s="1"/>
      <c r="AI5922" s="1"/>
    </row>
    <row r="5923" spans="4:35" hidden="1">
      <c r="D5923" s="1"/>
      <c r="K5923" s="1"/>
      <c r="Q5923" s="1"/>
      <c r="AD5923" s="1"/>
      <c r="AG5923" s="1"/>
      <c r="AI5923" s="1"/>
    </row>
    <row r="5924" spans="4:35" hidden="1">
      <c r="D5924" s="1"/>
      <c r="K5924" s="1"/>
      <c r="Q5924" s="1"/>
      <c r="AD5924" s="1"/>
      <c r="AG5924" s="1"/>
      <c r="AI5924" s="1"/>
    </row>
    <row r="5925" spans="4:35" hidden="1">
      <c r="D5925" s="1"/>
      <c r="K5925" s="1"/>
      <c r="Q5925" s="1"/>
      <c r="AD5925" s="1"/>
      <c r="AG5925" s="1"/>
      <c r="AI5925" s="1"/>
    </row>
    <row r="5926" spans="4:35" hidden="1">
      <c r="D5926" s="1"/>
      <c r="K5926" s="1"/>
      <c r="Q5926" s="1"/>
      <c r="AD5926" s="1"/>
      <c r="AG5926" s="1"/>
      <c r="AI5926" s="1"/>
    </row>
    <row r="5927" spans="4:35" hidden="1">
      <c r="D5927" s="1"/>
      <c r="K5927" s="1"/>
      <c r="Q5927" s="1"/>
      <c r="AD5927" s="1"/>
      <c r="AG5927" s="1"/>
      <c r="AI5927" s="1"/>
    </row>
    <row r="5928" spans="4:35" hidden="1">
      <c r="D5928" s="1"/>
      <c r="K5928" s="1"/>
      <c r="Q5928" s="1"/>
      <c r="AD5928" s="1"/>
      <c r="AG5928" s="1"/>
      <c r="AI5928" s="1"/>
    </row>
    <row r="5929" spans="4:35" hidden="1">
      <c r="D5929" s="1"/>
      <c r="K5929" s="1"/>
      <c r="Q5929" s="1"/>
      <c r="AD5929" s="1"/>
      <c r="AG5929" s="1"/>
      <c r="AI5929" s="1"/>
    </row>
    <row r="5930" spans="4:35" hidden="1">
      <c r="D5930" s="1"/>
      <c r="K5930" s="1"/>
      <c r="Q5930" s="1"/>
      <c r="AD5930" s="1"/>
      <c r="AG5930" s="1"/>
      <c r="AI5930" s="1"/>
    </row>
    <row r="5931" spans="4:35" hidden="1">
      <c r="D5931" s="1"/>
      <c r="K5931" s="1"/>
      <c r="Q5931" s="1"/>
      <c r="AD5931" s="1"/>
      <c r="AG5931" s="1"/>
      <c r="AI5931" s="1"/>
    </row>
    <row r="5932" spans="4:35" hidden="1">
      <c r="D5932" s="1"/>
      <c r="K5932" s="1"/>
      <c r="Q5932" s="1"/>
      <c r="AD5932" s="1"/>
      <c r="AG5932" s="1"/>
      <c r="AI5932" s="1"/>
    </row>
    <row r="5933" spans="4:35" hidden="1">
      <c r="D5933" s="1"/>
      <c r="K5933" s="1"/>
      <c r="Q5933" s="1"/>
      <c r="AD5933" s="1"/>
      <c r="AG5933" s="1"/>
      <c r="AI5933" s="1"/>
    </row>
    <row r="5934" spans="4:35" hidden="1">
      <c r="D5934" s="1"/>
      <c r="K5934" s="1"/>
      <c r="Q5934" s="1"/>
      <c r="AD5934" s="1"/>
      <c r="AG5934" s="1"/>
      <c r="AI5934" s="1"/>
    </row>
    <row r="5935" spans="4:35" hidden="1">
      <c r="D5935" s="1"/>
      <c r="K5935" s="1"/>
      <c r="Q5935" s="1"/>
      <c r="AD5935" s="1"/>
      <c r="AG5935" s="1"/>
      <c r="AI5935" s="1"/>
    </row>
    <row r="5936" spans="4:35" hidden="1">
      <c r="D5936" s="1"/>
      <c r="K5936" s="1"/>
      <c r="Q5936" s="1"/>
      <c r="AD5936" s="1"/>
      <c r="AG5936" s="1"/>
      <c r="AI5936" s="1"/>
    </row>
    <row r="5937" spans="4:35" hidden="1">
      <c r="D5937" s="1"/>
      <c r="K5937" s="1"/>
      <c r="Q5937" s="1"/>
      <c r="AD5937" s="1"/>
      <c r="AG5937" s="1"/>
      <c r="AI5937" s="1"/>
    </row>
    <row r="5938" spans="4:35" hidden="1">
      <c r="D5938" s="1"/>
      <c r="K5938" s="1"/>
      <c r="Q5938" s="1"/>
      <c r="AD5938" s="1"/>
      <c r="AG5938" s="1"/>
      <c r="AI5938" s="1"/>
    </row>
    <row r="5939" spans="4:35" hidden="1">
      <c r="D5939" s="1"/>
      <c r="K5939" s="1"/>
      <c r="Q5939" s="1"/>
      <c r="AD5939" s="1"/>
      <c r="AG5939" s="1"/>
      <c r="AI5939" s="1"/>
    </row>
    <row r="5940" spans="4:35" hidden="1">
      <c r="D5940" s="1"/>
      <c r="K5940" s="1"/>
      <c r="Q5940" s="1"/>
      <c r="AD5940" s="1"/>
      <c r="AG5940" s="1"/>
      <c r="AI5940" s="1"/>
    </row>
    <row r="5941" spans="4:35" hidden="1">
      <c r="D5941" s="1"/>
      <c r="K5941" s="1"/>
      <c r="Q5941" s="1"/>
      <c r="AD5941" s="1"/>
      <c r="AG5941" s="1"/>
      <c r="AI5941" s="1"/>
    </row>
    <row r="5942" spans="4:35" hidden="1">
      <c r="D5942" s="1"/>
      <c r="K5942" s="1"/>
      <c r="Q5942" s="1"/>
      <c r="AD5942" s="1"/>
      <c r="AG5942" s="1"/>
      <c r="AI5942" s="1"/>
    </row>
    <row r="5943" spans="4:35" hidden="1">
      <c r="D5943" s="1"/>
      <c r="K5943" s="1"/>
      <c r="Q5943" s="1"/>
      <c r="AD5943" s="1"/>
      <c r="AG5943" s="1"/>
      <c r="AI5943" s="1"/>
    </row>
    <row r="5944" spans="4:35" hidden="1">
      <c r="D5944" s="1"/>
      <c r="K5944" s="1"/>
      <c r="Q5944" s="1"/>
      <c r="AD5944" s="1"/>
      <c r="AG5944" s="1"/>
      <c r="AI5944" s="1"/>
    </row>
    <row r="5945" spans="4:35" hidden="1">
      <c r="D5945" s="1"/>
      <c r="K5945" s="1"/>
      <c r="Q5945" s="1"/>
      <c r="AD5945" s="1"/>
      <c r="AG5945" s="1"/>
      <c r="AI5945" s="1"/>
    </row>
    <row r="5946" spans="4:35" hidden="1">
      <c r="D5946" s="1"/>
      <c r="K5946" s="1"/>
      <c r="Q5946" s="1"/>
      <c r="AD5946" s="1"/>
      <c r="AG5946" s="1"/>
      <c r="AI5946" s="1"/>
    </row>
    <row r="5947" spans="4:35" hidden="1">
      <c r="D5947" s="1"/>
      <c r="K5947" s="1"/>
      <c r="Q5947" s="1"/>
      <c r="AD5947" s="1"/>
      <c r="AG5947" s="1"/>
      <c r="AI5947" s="1"/>
    </row>
    <row r="5948" spans="4:35" hidden="1">
      <c r="D5948" s="1"/>
      <c r="K5948" s="1"/>
      <c r="Q5948" s="1"/>
      <c r="AD5948" s="1"/>
      <c r="AG5948" s="1"/>
      <c r="AI5948" s="1"/>
    </row>
    <row r="5949" spans="4:35" hidden="1">
      <c r="D5949" s="1"/>
      <c r="K5949" s="1"/>
      <c r="Q5949" s="1"/>
      <c r="AD5949" s="1"/>
      <c r="AG5949" s="1"/>
      <c r="AI5949" s="1"/>
    </row>
    <row r="5950" spans="4:35" hidden="1">
      <c r="D5950" s="1"/>
      <c r="K5950" s="1"/>
      <c r="Q5950" s="1"/>
      <c r="AD5950" s="1"/>
      <c r="AG5950" s="1"/>
      <c r="AI5950" s="1"/>
    </row>
    <row r="5951" spans="4:35" hidden="1">
      <c r="D5951" s="1"/>
      <c r="K5951" s="1"/>
      <c r="Q5951" s="1"/>
      <c r="AD5951" s="1"/>
      <c r="AG5951" s="1"/>
      <c r="AI5951" s="1"/>
    </row>
    <row r="5952" spans="4:35" hidden="1">
      <c r="D5952" s="1"/>
      <c r="K5952" s="1"/>
      <c r="Q5952" s="1"/>
      <c r="AD5952" s="1"/>
      <c r="AG5952" s="1"/>
      <c r="AI5952" s="1"/>
    </row>
    <row r="5953" spans="4:35" hidden="1">
      <c r="D5953" s="1"/>
      <c r="K5953" s="1"/>
      <c r="Q5953" s="1"/>
      <c r="AD5953" s="1"/>
      <c r="AG5953" s="1"/>
      <c r="AI5953" s="1"/>
    </row>
    <row r="5954" spans="4:35" hidden="1">
      <c r="D5954" s="1"/>
      <c r="K5954" s="1"/>
      <c r="Q5954" s="1"/>
      <c r="AD5954" s="1"/>
      <c r="AG5954" s="1"/>
      <c r="AI5954" s="1"/>
    </row>
    <row r="5955" spans="4:35" hidden="1">
      <c r="D5955" s="1"/>
      <c r="K5955" s="1"/>
      <c r="Q5955" s="1"/>
      <c r="AD5955" s="1"/>
      <c r="AG5955" s="1"/>
      <c r="AI5955" s="1"/>
    </row>
    <row r="5956" spans="4:35" hidden="1">
      <c r="D5956" s="1"/>
      <c r="K5956" s="1"/>
      <c r="Q5956" s="1"/>
      <c r="AD5956" s="1"/>
      <c r="AG5956" s="1"/>
      <c r="AI5956" s="1"/>
    </row>
    <row r="5957" spans="4:35" hidden="1">
      <c r="D5957" s="1"/>
      <c r="K5957" s="1"/>
      <c r="Q5957" s="1"/>
      <c r="AD5957" s="1"/>
      <c r="AG5957" s="1"/>
      <c r="AI5957" s="1"/>
    </row>
    <row r="5958" spans="4:35" hidden="1">
      <c r="D5958" s="1"/>
      <c r="K5958" s="1"/>
      <c r="Q5958" s="1"/>
      <c r="AD5958" s="1"/>
      <c r="AG5958" s="1"/>
      <c r="AI5958" s="1"/>
    </row>
    <row r="5959" spans="4:35" hidden="1">
      <c r="D5959" s="1"/>
      <c r="K5959" s="1"/>
      <c r="Q5959" s="1"/>
      <c r="AD5959" s="1"/>
      <c r="AG5959" s="1"/>
      <c r="AI5959" s="1"/>
    </row>
    <row r="5960" spans="4:35" hidden="1">
      <c r="D5960" s="1"/>
      <c r="K5960" s="1"/>
      <c r="Q5960" s="1"/>
      <c r="AD5960" s="1"/>
      <c r="AG5960" s="1"/>
      <c r="AI5960" s="1"/>
    </row>
    <row r="5961" spans="4:35" hidden="1">
      <c r="D5961" s="1"/>
      <c r="K5961" s="1"/>
      <c r="Q5961" s="1"/>
      <c r="AD5961" s="1"/>
      <c r="AG5961" s="1"/>
      <c r="AI5961" s="1"/>
    </row>
    <row r="5962" spans="4:35" hidden="1">
      <c r="D5962" s="1"/>
      <c r="K5962" s="1"/>
      <c r="Q5962" s="1"/>
      <c r="AD5962" s="1"/>
      <c r="AG5962" s="1"/>
      <c r="AI5962" s="1"/>
    </row>
    <row r="5963" spans="4:35" hidden="1">
      <c r="D5963" s="1"/>
      <c r="K5963" s="1"/>
      <c r="Q5963" s="1"/>
      <c r="AD5963" s="1"/>
      <c r="AG5963" s="1"/>
      <c r="AI5963" s="1"/>
    </row>
    <row r="5964" spans="4:35" hidden="1">
      <c r="D5964" s="1"/>
      <c r="K5964" s="1"/>
      <c r="Q5964" s="1"/>
      <c r="AD5964" s="1"/>
      <c r="AG5964" s="1"/>
      <c r="AI5964" s="1"/>
    </row>
    <row r="5965" spans="4:35" hidden="1">
      <c r="D5965" s="1"/>
      <c r="K5965" s="1"/>
      <c r="Q5965" s="1"/>
      <c r="AD5965" s="1"/>
      <c r="AG5965" s="1"/>
      <c r="AI5965" s="1"/>
    </row>
    <row r="5966" spans="4:35" hidden="1">
      <c r="D5966" s="1"/>
      <c r="K5966" s="1"/>
      <c r="Q5966" s="1"/>
      <c r="AD5966" s="1"/>
      <c r="AG5966" s="1"/>
      <c r="AI5966" s="1"/>
    </row>
    <row r="5967" spans="4:35" hidden="1">
      <c r="D5967" s="1"/>
      <c r="K5967" s="1"/>
      <c r="Q5967" s="1"/>
      <c r="AD5967" s="1"/>
      <c r="AG5967" s="1"/>
      <c r="AI5967" s="1"/>
    </row>
    <row r="5968" spans="4:35" hidden="1">
      <c r="D5968" s="1"/>
      <c r="K5968" s="1"/>
      <c r="Q5968" s="1"/>
      <c r="AD5968" s="1"/>
      <c r="AG5968" s="1"/>
      <c r="AI5968" s="1"/>
    </row>
    <row r="5969" spans="4:35" hidden="1">
      <c r="D5969" s="1"/>
      <c r="K5969" s="1"/>
      <c r="Q5969" s="1"/>
      <c r="AD5969" s="1"/>
      <c r="AG5969" s="1"/>
      <c r="AI5969" s="1"/>
    </row>
    <row r="5970" spans="4:35" hidden="1">
      <c r="D5970" s="1"/>
      <c r="K5970" s="1"/>
      <c r="Q5970" s="1"/>
      <c r="AD5970" s="1"/>
      <c r="AG5970" s="1"/>
      <c r="AI5970" s="1"/>
    </row>
    <row r="5971" spans="4:35" hidden="1">
      <c r="D5971" s="1"/>
      <c r="K5971" s="1"/>
      <c r="Q5971" s="1"/>
      <c r="AD5971" s="1"/>
      <c r="AG5971" s="1"/>
      <c r="AI5971" s="1"/>
    </row>
    <row r="5972" spans="4:35" hidden="1">
      <c r="D5972" s="1"/>
      <c r="K5972" s="1"/>
      <c r="Q5972" s="1"/>
      <c r="AD5972" s="1"/>
      <c r="AG5972" s="1"/>
      <c r="AI5972" s="1"/>
    </row>
    <row r="5973" spans="4:35" hidden="1">
      <c r="D5973" s="1"/>
      <c r="K5973" s="1"/>
      <c r="Q5973" s="1"/>
      <c r="AD5973" s="1"/>
      <c r="AG5973" s="1"/>
      <c r="AI5973" s="1"/>
    </row>
    <row r="5974" spans="4:35" hidden="1">
      <c r="D5974" s="1"/>
      <c r="K5974" s="1"/>
      <c r="Q5974" s="1"/>
      <c r="AD5974" s="1"/>
      <c r="AG5974" s="1"/>
      <c r="AI5974" s="1"/>
    </row>
    <row r="5975" spans="4:35" hidden="1">
      <c r="D5975" s="1"/>
      <c r="K5975" s="1"/>
      <c r="Q5975" s="1"/>
      <c r="AD5975" s="1"/>
      <c r="AG5975" s="1"/>
      <c r="AI5975" s="1"/>
    </row>
    <row r="5976" spans="4:35" hidden="1">
      <c r="D5976" s="1"/>
      <c r="K5976" s="1"/>
      <c r="Q5976" s="1"/>
      <c r="AD5976" s="1"/>
      <c r="AG5976" s="1"/>
      <c r="AI5976" s="1"/>
    </row>
    <row r="5977" spans="4:35" hidden="1">
      <c r="D5977" s="1"/>
      <c r="K5977" s="1"/>
      <c r="Q5977" s="1"/>
      <c r="AD5977" s="1"/>
      <c r="AG5977" s="1"/>
      <c r="AI5977" s="1"/>
    </row>
    <row r="5978" spans="4:35" hidden="1">
      <c r="D5978" s="1"/>
      <c r="K5978" s="1"/>
      <c r="Q5978" s="1"/>
      <c r="AD5978" s="1"/>
      <c r="AG5978" s="1"/>
      <c r="AI5978" s="1"/>
    </row>
    <row r="5979" spans="4:35" hidden="1">
      <c r="D5979" s="1"/>
      <c r="K5979" s="1"/>
      <c r="Q5979" s="1"/>
      <c r="AD5979" s="1"/>
      <c r="AG5979" s="1"/>
      <c r="AI5979" s="1"/>
    </row>
    <row r="5980" spans="4:35" hidden="1">
      <c r="D5980" s="1"/>
      <c r="K5980" s="1"/>
      <c r="Q5980" s="1"/>
      <c r="AD5980" s="1"/>
      <c r="AG5980" s="1"/>
      <c r="AI5980" s="1"/>
    </row>
    <row r="5981" spans="4:35" hidden="1">
      <c r="D5981" s="1"/>
      <c r="K5981" s="1"/>
      <c r="Q5981" s="1"/>
      <c r="AD5981" s="1"/>
      <c r="AG5981" s="1"/>
      <c r="AI5981" s="1"/>
    </row>
    <row r="5982" spans="4:35" hidden="1">
      <c r="D5982" s="1"/>
      <c r="K5982" s="1"/>
      <c r="Q5982" s="1"/>
      <c r="AD5982" s="1"/>
      <c r="AG5982" s="1"/>
      <c r="AI5982" s="1"/>
    </row>
    <row r="5983" spans="4:35" hidden="1">
      <c r="D5983" s="1"/>
      <c r="K5983" s="1"/>
      <c r="Q5983" s="1"/>
      <c r="AD5983" s="1"/>
      <c r="AG5983" s="1"/>
      <c r="AI5983" s="1"/>
    </row>
    <row r="5984" spans="4:35" hidden="1">
      <c r="D5984" s="1"/>
      <c r="K5984" s="1"/>
      <c r="Q5984" s="1"/>
      <c r="AD5984" s="1"/>
      <c r="AG5984" s="1"/>
      <c r="AI5984" s="1"/>
    </row>
    <row r="5985" spans="4:35" hidden="1">
      <c r="D5985" s="1"/>
      <c r="K5985" s="1"/>
      <c r="Q5985" s="1"/>
      <c r="AD5985" s="1"/>
      <c r="AG5985" s="1"/>
      <c r="AI5985" s="1"/>
    </row>
    <row r="5986" spans="4:35" hidden="1">
      <c r="D5986" s="1"/>
      <c r="K5986" s="1"/>
      <c r="Q5986" s="1"/>
      <c r="AD5986" s="1"/>
      <c r="AG5986" s="1"/>
      <c r="AI5986" s="1"/>
    </row>
    <row r="5987" spans="4:35" hidden="1">
      <c r="D5987" s="1"/>
      <c r="K5987" s="1"/>
      <c r="Q5987" s="1"/>
      <c r="AD5987" s="1"/>
      <c r="AG5987" s="1"/>
      <c r="AI5987" s="1"/>
    </row>
    <row r="5988" spans="4:35" hidden="1">
      <c r="D5988" s="1"/>
      <c r="K5988" s="1"/>
      <c r="Q5988" s="1"/>
      <c r="AD5988" s="1"/>
      <c r="AG5988" s="1"/>
      <c r="AI5988" s="1"/>
    </row>
    <row r="5989" spans="4:35" hidden="1">
      <c r="D5989" s="1"/>
      <c r="K5989" s="1"/>
      <c r="Q5989" s="1"/>
      <c r="AD5989" s="1"/>
      <c r="AG5989" s="1"/>
      <c r="AI5989" s="1"/>
    </row>
    <row r="5990" spans="4:35" hidden="1">
      <c r="D5990" s="1"/>
      <c r="K5990" s="1"/>
      <c r="Q5990" s="1"/>
      <c r="AD5990" s="1"/>
      <c r="AG5990" s="1"/>
      <c r="AI5990" s="1"/>
    </row>
    <row r="5991" spans="4:35" hidden="1">
      <c r="D5991" s="1"/>
      <c r="K5991" s="1"/>
      <c r="Q5991" s="1"/>
      <c r="AD5991" s="1"/>
      <c r="AG5991" s="1"/>
      <c r="AI5991" s="1"/>
    </row>
    <row r="5992" spans="4:35" hidden="1">
      <c r="D5992" s="1"/>
      <c r="K5992" s="1"/>
      <c r="Q5992" s="1"/>
      <c r="AD5992" s="1"/>
      <c r="AG5992" s="1"/>
      <c r="AI5992" s="1"/>
    </row>
    <row r="5993" spans="4:35" hidden="1">
      <c r="D5993" s="1"/>
      <c r="K5993" s="1"/>
      <c r="Q5993" s="1"/>
      <c r="AD5993" s="1"/>
      <c r="AG5993" s="1"/>
      <c r="AI5993" s="1"/>
    </row>
    <row r="5994" spans="4:35" hidden="1">
      <c r="D5994" s="1"/>
      <c r="K5994" s="1"/>
      <c r="Q5994" s="1"/>
      <c r="AD5994" s="1"/>
      <c r="AG5994" s="1"/>
      <c r="AI5994" s="1"/>
    </row>
    <row r="5995" spans="4:35" hidden="1">
      <c r="D5995" s="1"/>
      <c r="K5995" s="1"/>
      <c r="Q5995" s="1"/>
      <c r="AD5995" s="1"/>
      <c r="AG5995" s="1"/>
      <c r="AI5995" s="1"/>
    </row>
    <row r="5996" spans="4:35" hidden="1">
      <c r="D5996" s="1"/>
      <c r="K5996" s="1"/>
      <c r="Q5996" s="1"/>
      <c r="AD5996" s="1"/>
      <c r="AG5996" s="1"/>
      <c r="AI5996" s="1"/>
    </row>
    <row r="5997" spans="4:35" hidden="1">
      <c r="D5997" s="1"/>
      <c r="K5997" s="1"/>
      <c r="Q5997" s="1"/>
      <c r="AD5997" s="1"/>
      <c r="AG5997" s="1"/>
      <c r="AI5997" s="1"/>
    </row>
    <row r="5998" spans="4:35" hidden="1">
      <c r="D5998" s="1"/>
      <c r="K5998" s="1"/>
      <c r="Q5998" s="1"/>
      <c r="AD5998" s="1"/>
      <c r="AG5998" s="1"/>
      <c r="AI5998" s="1"/>
    </row>
    <row r="5999" spans="4:35" hidden="1">
      <c r="D5999" s="1"/>
      <c r="K5999" s="1"/>
      <c r="Q5999" s="1"/>
      <c r="AD5999" s="1"/>
      <c r="AG5999" s="1"/>
      <c r="AI5999" s="1"/>
    </row>
    <row r="6000" spans="4:35" hidden="1">
      <c r="D6000" s="1"/>
      <c r="K6000" s="1"/>
      <c r="Q6000" s="1"/>
      <c r="AD6000" s="1"/>
      <c r="AG6000" s="1"/>
      <c r="AI6000" s="1"/>
    </row>
    <row r="6001" spans="4:35" hidden="1">
      <c r="D6001" s="1"/>
      <c r="K6001" s="1"/>
      <c r="Q6001" s="1"/>
      <c r="AD6001" s="1"/>
      <c r="AG6001" s="1"/>
      <c r="AI6001" s="1"/>
    </row>
    <row r="6002" spans="4:35" hidden="1">
      <c r="D6002" s="1"/>
      <c r="K6002" s="1"/>
      <c r="Q6002" s="1"/>
      <c r="AD6002" s="1"/>
      <c r="AG6002" s="1"/>
      <c r="AI6002" s="1"/>
    </row>
    <row r="6003" spans="4:35" hidden="1">
      <c r="D6003" s="1"/>
      <c r="K6003" s="1"/>
      <c r="Q6003" s="1"/>
      <c r="AD6003" s="1"/>
      <c r="AG6003" s="1"/>
      <c r="AI6003" s="1"/>
    </row>
    <row r="6004" spans="4:35" hidden="1">
      <c r="D6004" s="1"/>
      <c r="K6004" s="1"/>
      <c r="Q6004" s="1"/>
      <c r="AD6004" s="1"/>
      <c r="AG6004" s="1"/>
      <c r="AI6004" s="1"/>
    </row>
    <row r="6005" spans="4:35" hidden="1">
      <c r="D6005" s="1"/>
      <c r="K6005" s="1"/>
      <c r="Q6005" s="1"/>
      <c r="AD6005" s="1"/>
      <c r="AG6005" s="1"/>
      <c r="AI6005" s="1"/>
    </row>
    <row r="6006" spans="4:35" hidden="1">
      <c r="D6006" s="1"/>
      <c r="K6006" s="1"/>
      <c r="Q6006" s="1"/>
      <c r="AD6006" s="1"/>
      <c r="AG6006" s="1"/>
      <c r="AI6006" s="1"/>
    </row>
    <row r="6007" spans="4:35" hidden="1">
      <c r="D6007" s="1"/>
      <c r="K6007" s="1"/>
      <c r="Q6007" s="1"/>
      <c r="AD6007" s="1"/>
      <c r="AG6007" s="1"/>
      <c r="AI6007" s="1"/>
    </row>
    <row r="6008" spans="4:35" hidden="1">
      <c r="D6008" s="1"/>
      <c r="K6008" s="1"/>
      <c r="Q6008" s="1"/>
      <c r="AD6008" s="1"/>
      <c r="AG6008" s="1"/>
      <c r="AI6008" s="1"/>
    </row>
    <row r="6009" spans="4:35" hidden="1">
      <c r="D6009" s="1"/>
      <c r="K6009" s="1"/>
      <c r="Q6009" s="1"/>
      <c r="AD6009" s="1"/>
      <c r="AG6009" s="1"/>
      <c r="AI6009" s="1"/>
    </row>
    <row r="6010" spans="4:35" hidden="1">
      <c r="D6010" s="1"/>
      <c r="K6010" s="1"/>
      <c r="Q6010" s="1"/>
      <c r="AD6010" s="1"/>
      <c r="AG6010" s="1"/>
      <c r="AI6010" s="1"/>
    </row>
    <row r="6011" spans="4:35" hidden="1">
      <c r="D6011" s="1"/>
      <c r="K6011" s="1"/>
      <c r="Q6011" s="1"/>
      <c r="AD6011" s="1"/>
      <c r="AG6011" s="1"/>
      <c r="AI6011" s="1"/>
    </row>
    <row r="6012" spans="4:35" hidden="1">
      <c r="D6012" s="1"/>
      <c r="K6012" s="1"/>
      <c r="Q6012" s="1"/>
      <c r="AD6012" s="1"/>
      <c r="AG6012" s="1"/>
      <c r="AI6012" s="1"/>
    </row>
    <row r="6013" spans="4:35" hidden="1">
      <c r="D6013" s="1"/>
      <c r="K6013" s="1"/>
      <c r="Q6013" s="1"/>
      <c r="AD6013" s="1"/>
      <c r="AG6013" s="1"/>
      <c r="AI6013" s="1"/>
    </row>
    <row r="6014" spans="4:35" hidden="1">
      <c r="D6014" s="1"/>
      <c r="K6014" s="1"/>
      <c r="Q6014" s="1"/>
      <c r="AD6014" s="1"/>
      <c r="AG6014" s="1"/>
      <c r="AI6014" s="1"/>
    </row>
    <row r="6015" spans="4:35" hidden="1">
      <c r="D6015" s="1"/>
      <c r="K6015" s="1"/>
      <c r="Q6015" s="1"/>
      <c r="AD6015" s="1"/>
      <c r="AG6015" s="1"/>
      <c r="AI6015" s="1"/>
    </row>
    <row r="6016" spans="4:35" hidden="1">
      <c r="D6016" s="1"/>
      <c r="K6016" s="1"/>
      <c r="Q6016" s="1"/>
      <c r="AD6016" s="1"/>
      <c r="AG6016" s="1"/>
      <c r="AI6016" s="1"/>
    </row>
    <row r="6017" spans="4:35" hidden="1">
      <c r="D6017" s="1"/>
      <c r="K6017" s="1"/>
      <c r="Q6017" s="1"/>
      <c r="AD6017" s="1"/>
      <c r="AG6017" s="1"/>
      <c r="AI6017" s="1"/>
    </row>
    <row r="6018" spans="4:35" hidden="1">
      <c r="D6018" s="1"/>
      <c r="K6018" s="1"/>
      <c r="Q6018" s="1"/>
      <c r="AD6018" s="1"/>
      <c r="AG6018" s="1"/>
      <c r="AI6018" s="1"/>
    </row>
    <row r="6019" spans="4:35" hidden="1">
      <c r="D6019" s="1"/>
      <c r="K6019" s="1"/>
      <c r="Q6019" s="1"/>
      <c r="AD6019" s="1"/>
      <c r="AG6019" s="1"/>
      <c r="AI6019" s="1"/>
    </row>
    <row r="6020" spans="4:35" hidden="1">
      <c r="D6020" s="1"/>
      <c r="K6020" s="1"/>
      <c r="Q6020" s="1"/>
      <c r="AD6020" s="1"/>
      <c r="AG6020" s="1"/>
      <c r="AI6020" s="1"/>
    </row>
    <row r="6021" spans="4:35" hidden="1">
      <c r="D6021" s="1"/>
      <c r="K6021" s="1"/>
      <c r="Q6021" s="1"/>
      <c r="AD6021" s="1"/>
      <c r="AG6021" s="1"/>
      <c r="AI6021" s="1"/>
    </row>
    <row r="6022" spans="4:35" hidden="1">
      <c r="D6022" s="1"/>
      <c r="K6022" s="1"/>
      <c r="Q6022" s="1"/>
      <c r="AD6022" s="1"/>
      <c r="AG6022" s="1"/>
      <c r="AI6022" s="1"/>
    </row>
    <row r="6023" spans="4:35" hidden="1">
      <c r="D6023" s="1"/>
      <c r="K6023" s="1"/>
      <c r="Q6023" s="1"/>
      <c r="AD6023" s="1"/>
      <c r="AG6023" s="1"/>
      <c r="AI6023" s="1"/>
    </row>
    <row r="6024" spans="4:35" hidden="1">
      <c r="D6024" s="1"/>
      <c r="K6024" s="1"/>
      <c r="Q6024" s="1"/>
      <c r="AD6024" s="1"/>
      <c r="AG6024" s="1"/>
      <c r="AI6024" s="1"/>
    </row>
    <row r="6025" spans="4:35" hidden="1">
      <c r="D6025" s="1"/>
      <c r="K6025" s="1"/>
      <c r="Q6025" s="1"/>
      <c r="AD6025" s="1"/>
      <c r="AG6025" s="1"/>
      <c r="AI6025" s="1"/>
    </row>
    <row r="6026" spans="4:35" hidden="1">
      <c r="D6026" s="1"/>
      <c r="K6026" s="1"/>
      <c r="Q6026" s="1"/>
      <c r="AD6026" s="1"/>
      <c r="AG6026" s="1"/>
      <c r="AI6026" s="1"/>
    </row>
    <row r="6027" spans="4:35" hidden="1">
      <c r="D6027" s="1"/>
      <c r="K6027" s="1"/>
      <c r="Q6027" s="1"/>
      <c r="AD6027" s="1"/>
      <c r="AG6027" s="1"/>
      <c r="AI6027" s="1"/>
    </row>
    <row r="6028" spans="4:35" hidden="1">
      <c r="D6028" s="1"/>
      <c r="K6028" s="1"/>
      <c r="Q6028" s="1"/>
      <c r="AD6028" s="1"/>
      <c r="AG6028" s="1"/>
      <c r="AI6028" s="1"/>
    </row>
    <row r="6029" spans="4:35" hidden="1">
      <c r="D6029" s="1"/>
      <c r="K6029" s="1"/>
      <c r="Q6029" s="1"/>
      <c r="AD6029" s="1"/>
      <c r="AG6029" s="1"/>
      <c r="AI6029" s="1"/>
    </row>
    <row r="6030" spans="4:35" hidden="1">
      <c r="D6030" s="1"/>
      <c r="K6030" s="1"/>
      <c r="Q6030" s="1"/>
      <c r="AD6030" s="1"/>
      <c r="AG6030" s="1"/>
      <c r="AI6030" s="1"/>
    </row>
    <row r="6031" spans="4:35" hidden="1">
      <c r="D6031" s="1"/>
      <c r="K6031" s="1"/>
      <c r="Q6031" s="1"/>
      <c r="AD6031" s="1"/>
      <c r="AG6031" s="1"/>
      <c r="AI6031" s="1"/>
    </row>
    <row r="6032" spans="4:35" hidden="1">
      <c r="D6032" s="1"/>
      <c r="K6032" s="1"/>
      <c r="Q6032" s="1"/>
      <c r="AD6032" s="1"/>
      <c r="AG6032" s="1"/>
      <c r="AI6032" s="1"/>
    </row>
    <row r="6033" spans="4:35" hidden="1">
      <c r="D6033" s="1"/>
      <c r="K6033" s="1"/>
      <c r="Q6033" s="1"/>
      <c r="AD6033" s="1"/>
      <c r="AG6033" s="1"/>
      <c r="AI6033" s="1"/>
    </row>
    <row r="6034" spans="4:35" hidden="1">
      <c r="D6034" s="1"/>
      <c r="K6034" s="1"/>
      <c r="Q6034" s="1"/>
      <c r="AD6034" s="1"/>
      <c r="AG6034" s="1"/>
      <c r="AI6034" s="1"/>
    </row>
    <row r="6035" spans="4:35" hidden="1">
      <c r="D6035" s="1"/>
      <c r="K6035" s="1"/>
      <c r="Q6035" s="1"/>
      <c r="AD6035" s="1"/>
      <c r="AG6035" s="1"/>
      <c r="AI6035" s="1"/>
    </row>
    <row r="6036" spans="4:35" hidden="1">
      <c r="D6036" s="1"/>
      <c r="K6036" s="1"/>
      <c r="Q6036" s="1"/>
      <c r="AD6036" s="1"/>
      <c r="AG6036" s="1"/>
      <c r="AI6036" s="1"/>
    </row>
    <row r="6037" spans="4:35" hidden="1">
      <c r="D6037" s="1"/>
      <c r="K6037" s="1"/>
      <c r="Q6037" s="1"/>
      <c r="AD6037" s="1"/>
      <c r="AG6037" s="1"/>
      <c r="AI6037" s="1"/>
    </row>
    <row r="6038" spans="4:35" hidden="1">
      <c r="D6038" s="1"/>
      <c r="K6038" s="1"/>
      <c r="Q6038" s="1"/>
      <c r="AD6038" s="1"/>
      <c r="AG6038" s="1"/>
      <c r="AI6038" s="1"/>
    </row>
    <row r="6039" spans="4:35" hidden="1">
      <c r="D6039" s="1"/>
      <c r="K6039" s="1"/>
      <c r="Q6039" s="1"/>
      <c r="AD6039" s="1"/>
      <c r="AG6039" s="1"/>
      <c r="AI6039" s="1"/>
    </row>
    <row r="6040" spans="4:35" hidden="1">
      <c r="D6040" s="1"/>
      <c r="K6040" s="1"/>
      <c r="Q6040" s="1"/>
      <c r="AD6040" s="1"/>
      <c r="AG6040" s="1"/>
      <c r="AI6040" s="1"/>
    </row>
    <row r="6041" spans="4:35" hidden="1">
      <c r="D6041" s="1"/>
      <c r="K6041" s="1"/>
      <c r="Q6041" s="1"/>
      <c r="AD6041" s="1"/>
      <c r="AG6041" s="1"/>
      <c r="AI6041" s="1"/>
    </row>
    <row r="6042" spans="4:35" hidden="1">
      <c r="D6042" s="1"/>
      <c r="K6042" s="1"/>
      <c r="Q6042" s="1"/>
      <c r="AD6042" s="1"/>
      <c r="AG6042" s="1"/>
      <c r="AI6042" s="1"/>
    </row>
    <row r="6043" spans="4:35" hidden="1">
      <c r="D6043" s="1"/>
      <c r="K6043" s="1"/>
      <c r="Q6043" s="1"/>
      <c r="AD6043" s="1"/>
      <c r="AG6043" s="1"/>
      <c r="AI6043" s="1"/>
    </row>
    <row r="6044" spans="4:35" hidden="1">
      <c r="D6044" s="1"/>
      <c r="K6044" s="1"/>
      <c r="Q6044" s="1"/>
      <c r="AD6044" s="1"/>
      <c r="AG6044" s="1"/>
      <c r="AI6044" s="1"/>
    </row>
    <row r="6045" spans="4:35" hidden="1">
      <c r="D6045" s="1"/>
      <c r="K6045" s="1"/>
      <c r="Q6045" s="1"/>
      <c r="AD6045" s="1"/>
      <c r="AG6045" s="1"/>
      <c r="AI6045" s="1"/>
    </row>
    <row r="6046" spans="4:35" hidden="1">
      <c r="D6046" s="1"/>
      <c r="K6046" s="1"/>
      <c r="Q6046" s="1"/>
      <c r="AD6046" s="1"/>
      <c r="AG6046" s="1"/>
      <c r="AI6046" s="1"/>
    </row>
    <row r="6047" spans="4:35" hidden="1">
      <c r="D6047" s="1"/>
      <c r="K6047" s="1"/>
      <c r="Q6047" s="1"/>
      <c r="AD6047" s="1"/>
      <c r="AG6047" s="1"/>
      <c r="AI6047" s="1"/>
    </row>
    <row r="6048" spans="4:35" hidden="1">
      <c r="D6048" s="1"/>
      <c r="K6048" s="1"/>
      <c r="Q6048" s="1"/>
      <c r="AD6048" s="1"/>
      <c r="AG6048" s="1"/>
      <c r="AI6048" s="1"/>
    </row>
    <row r="6049" spans="4:35" hidden="1">
      <c r="D6049" s="1"/>
      <c r="K6049" s="1"/>
      <c r="Q6049" s="1"/>
      <c r="AD6049" s="1"/>
      <c r="AG6049" s="1"/>
      <c r="AI6049" s="1"/>
    </row>
    <row r="6050" spans="4:35" hidden="1">
      <c r="D6050" s="1"/>
      <c r="K6050" s="1"/>
      <c r="Q6050" s="1"/>
      <c r="AD6050" s="1"/>
      <c r="AG6050" s="1"/>
      <c r="AI6050" s="1"/>
    </row>
    <row r="6051" spans="4:35" hidden="1">
      <c r="D6051" s="1"/>
      <c r="K6051" s="1"/>
      <c r="Q6051" s="1"/>
      <c r="AD6051" s="1"/>
      <c r="AG6051" s="1"/>
      <c r="AI6051" s="1"/>
    </row>
    <row r="6052" spans="4:35" hidden="1">
      <c r="D6052" s="1"/>
      <c r="K6052" s="1"/>
      <c r="Q6052" s="1"/>
      <c r="AD6052" s="1"/>
      <c r="AG6052" s="1"/>
      <c r="AI6052" s="1"/>
    </row>
    <row r="6053" spans="4:35" hidden="1">
      <c r="D6053" s="1"/>
      <c r="K6053" s="1"/>
      <c r="Q6053" s="1"/>
      <c r="AD6053" s="1"/>
      <c r="AG6053" s="1"/>
      <c r="AI6053" s="1"/>
    </row>
    <row r="6054" spans="4:35" hidden="1">
      <c r="D6054" s="1"/>
      <c r="K6054" s="1"/>
      <c r="Q6054" s="1"/>
      <c r="AD6054" s="1"/>
      <c r="AG6054" s="1"/>
      <c r="AI6054" s="1"/>
    </row>
    <row r="6055" spans="4:35" hidden="1">
      <c r="D6055" s="1"/>
      <c r="K6055" s="1"/>
      <c r="Q6055" s="1"/>
      <c r="AD6055" s="1"/>
      <c r="AG6055" s="1"/>
      <c r="AI6055" s="1"/>
    </row>
    <row r="6056" spans="4:35" hidden="1">
      <c r="D6056" s="1"/>
      <c r="K6056" s="1"/>
      <c r="Q6056" s="1"/>
      <c r="AD6056" s="1"/>
      <c r="AG6056" s="1"/>
      <c r="AI6056" s="1"/>
    </row>
    <row r="6057" spans="4:35" hidden="1">
      <c r="D6057" s="1"/>
      <c r="K6057" s="1"/>
      <c r="Q6057" s="1"/>
      <c r="AD6057" s="1"/>
      <c r="AG6057" s="1"/>
      <c r="AI6057" s="1"/>
    </row>
    <row r="6058" spans="4:35" hidden="1">
      <c r="D6058" s="1"/>
      <c r="K6058" s="1"/>
      <c r="Q6058" s="1"/>
      <c r="AD6058" s="1"/>
      <c r="AG6058" s="1"/>
      <c r="AI6058" s="1"/>
    </row>
    <row r="6059" spans="4:35" hidden="1">
      <c r="D6059" s="1"/>
      <c r="K6059" s="1"/>
      <c r="Q6059" s="1"/>
      <c r="AD6059" s="1"/>
      <c r="AG6059" s="1"/>
      <c r="AI6059" s="1"/>
    </row>
    <row r="6060" spans="4:35" hidden="1">
      <c r="D6060" s="1"/>
      <c r="K6060" s="1"/>
      <c r="Q6060" s="1"/>
      <c r="AD6060" s="1"/>
      <c r="AG6060" s="1"/>
      <c r="AI6060" s="1"/>
    </row>
    <row r="6061" spans="4:35" hidden="1">
      <c r="D6061" s="1"/>
      <c r="K6061" s="1"/>
      <c r="Q6061" s="1"/>
      <c r="AD6061" s="1"/>
      <c r="AG6061" s="1"/>
      <c r="AI6061" s="1"/>
    </row>
    <row r="6062" spans="4:35" hidden="1">
      <c r="D6062" s="1"/>
      <c r="K6062" s="1"/>
      <c r="Q6062" s="1"/>
      <c r="AD6062" s="1"/>
      <c r="AG6062" s="1"/>
      <c r="AI6062" s="1"/>
    </row>
    <row r="6063" spans="4:35" hidden="1">
      <c r="D6063" s="1"/>
      <c r="K6063" s="1"/>
      <c r="Q6063" s="1"/>
      <c r="AD6063" s="1"/>
      <c r="AG6063" s="1"/>
      <c r="AI6063" s="1"/>
    </row>
    <row r="6064" spans="4:35" hidden="1">
      <c r="D6064" s="1"/>
      <c r="K6064" s="1"/>
      <c r="Q6064" s="1"/>
      <c r="AD6064" s="1"/>
      <c r="AG6064" s="1"/>
      <c r="AI6064" s="1"/>
    </row>
    <row r="6065" spans="4:35" hidden="1">
      <c r="D6065" s="1"/>
      <c r="K6065" s="1"/>
      <c r="Q6065" s="1"/>
      <c r="AD6065" s="1"/>
      <c r="AG6065" s="1"/>
      <c r="AI6065" s="1"/>
    </row>
    <row r="6066" spans="4:35" hidden="1">
      <c r="D6066" s="1"/>
      <c r="K6066" s="1"/>
      <c r="Q6066" s="1"/>
      <c r="AD6066" s="1"/>
      <c r="AG6066" s="1"/>
      <c r="AI6066" s="1"/>
    </row>
    <row r="6067" spans="4:35" hidden="1">
      <c r="D6067" s="1"/>
      <c r="K6067" s="1"/>
      <c r="Q6067" s="1"/>
      <c r="AD6067" s="1"/>
      <c r="AG6067" s="1"/>
      <c r="AI6067" s="1"/>
    </row>
    <row r="6068" spans="4:35" hidden="1">
      <c r="D6068" s="1"/>
      <c r="K6068" s="1"/>
      <c r="Q6068" s="1"/>
      <c r="AD6068" s="1"/>
      <c r="AG6068" s="1"/>
      <c r="AI6068" s="1"/>
    </row>
    <row r="6069" spans="4:35" hidden="1">
      <c r="D6069" s="1"/>
      <c r="K6069" s="1"/>
      <c r="Q6069" s="1"/>
      <c r="AD6069" s="1"/>
      <c r="AG6069" s="1"/>
      <c r="AI6069" s="1"/>
    </row>
    <row r="6070" spans="4:35" hidden="1">
      <c r="D6070" s="1"/>
      <c r="K6070" s="1"/>
      <c r="Q6070" s="1"/>
      <c r="AD6070" s="1"/>
      <c r="AG6070" s="1"/>
      <c r="AI6070" s="1"/>
    </row>
    <row r="6071" spans="4:35" hidden="1">
      <c r="D6071" s="1"/>
      <c r="K6071" s="1"/>
      <c r="Q6071" s="1"/>
      <c r="AD6071" s="1"/>
      <c r="AG6071" s="1"/>
      <c r="AI6071" s="1"/>
    </row>
    <row r="6072" spans="4:35" hidden="1">
      <c r="D6072" s="1"/>
      <c r="K6072" s="1"/>
      <c r="Q6072" s="1"/>
      <c r="AD6072" s="1"/>
      <c r="AG6072" s="1"/>
      <c r="AI6072" s="1"/>
    </row>
    <row r="6073" spans="4:35" hidden="1">
      <c r="D6073" s="1"/>
      <c r="K6073" s="1"/>
      <c r="Q6073" s="1"/>
      <c r="AD6073" s="1"/>
      <c r="AG6073" s="1"/>
      <c r="AI6073" s="1"/>
    </row>
    <row r="6074" spans="4:35" hidden="1">
      <c r="D6074" s="1"/>
      <c r="K6074" s="1"/>
      <c r="Q6074" s="1"/>
      <c r="AD6074" s="1"/>
      <c r="AG6074" s="1"/>
      <c r="AI6074" s="1"/>
    </row>
    <row r="6075" spans="4:35" hidden="1">
      <c r="D6075" s="1"/>
      <c r="K6075" s="1"/>
      <c r="Q6075" s="1"/>
      <c r="AD6075" s="1"/>
      <c r="AG6075" s="1"/>
      <c r="AI6075" s="1"/>
    </row>
    <row r="6076" spans="4:35" hidden="1">
      <c r="D6076" s="1"/>
      <c r="K6076" s="1"/>
      <c r="Q6076" s="1"/>
      <c r="AD6076" s="1"/>
      <c r="AG6076" s="1"/>
      <c r="AI6076" s="1"/>
    </row>
    <row r="6077" spans="4:35" hidden="1">
      <c r="D6077" s="1"/>
      <c r="K6077" s="1"/>
      <c r="Q6077" s="1"/>
      <c r="AD6077" s="1"/>
      <c r="AG6077" s="1"/>
      <c r="AI6077" s="1"/>
    </row>
    <row r="6078" spans="4:35" hidden="1">
      <c r="D6078" s="1"/>
      <c r="K6078" s="1"/>
      <c r="Q6078" s="1"/>
      <c r="AD6078" s="1"/>
      <c r="AG6078" s="1"/>
      <c r="AI6078" s="1"/>
    </row>
    <row r="6079" spans="4:35" hidden="1">
      <c r="D6079" s="1"/>
      <c r="K6079" s="1"/>
      <c r="Q6079" s="1"/>
      <c r="AD6079" s="1"/>
      <c r="AG6079" s="1"/>
      <c r="AI6079" s="1"/>
    </row>
    <row r="6080" spans="4:35" hidden="1">
      <c r="D6080" s="1"/>
      <c r="K6080" s="1"/>
      <c r="Q6080" s="1"/>
      <c r="AD6080" s="1"/>
      <c r="AG6080" s="1"/>
      <c r="AI6080" s="1"/>
    </row>
    <row r="6081" spans="4:35" hidden="1">
      <c r="D6081" s="1"/>
      <c r="K6081" s="1"/>
      <c r="Q6081" s="1"/>
      <c r="AD6081" s="1"/>
      <c r="AG6081" s="1"/>
      <c r="AI6081" s="1"/>
    </row>
    <row r="6082" spans="4:35" hidden="1">
      <c r="D6082" s="1"/>
      <c r="K6082" s="1"/>
      <c r="Q6082" s="1"/>
      <c r="AD6082" s="1"/>
      <c r="AG6082" s="1"/>
      <c r="AI6082" s="1"/>
    </row>
    <row r="6083" spans="4:35" hidden="1">
      <c r="D6083" s="1"/>
      <c r="K6083" s="1"/>
      <c r="Q6083" s="1"/>
      <c r="AD6083" s="1"/>
      <c r="AG6083" s="1"/>
      <c r="AI6083" s="1"/>
    </row>
    <row r="6084" spans="4:35" hidden="1">
      <c r="D6084" s="1"/>
      <c r="K6084" s="1"/>
      <c r="Q6084" s="1"/>
      <c r="AD6084" s="1"/>
      <c r="AG6084" s="1"/>
      <c r="AI6084" s="1"/>
    </row>
    <row r="6085" spans="4:35" hidden="1">
      <c r="D6085" s="1"/>
      <c r="K6085" s="1"/>
      <c r="Q6085" s="1"/>
      <c r="AD6085" s="1"/>
      <c r="AG6085" s="1"/>
      <c r="AI6085" s="1"/>
    </row>
    <row r="6086" spans="4:35" hidden="1">
      <c r="D6086" s="1"/>
      <c r="K6086" s="1"/>
      <c r="Q6086" s="1"/>
      <c r="AD6086" s="1"/>
      <c r="AG6086" s="1"/>
      <c r="AI6086" s="1"/>
    </row>
    <row r="6087" spans="4:35" hidden="1">
      <c r="D6087" s="1"/>
      <c r="K6087" s="1"/>
      <c r="Q6087" s="1"/>
      <c r="AD6087" s="1"/>
      <c r="AG6087" s="1"/>
      <c r="AI6087" s="1"/>
    </row>
    <row r="6088" spans="4:35" hidden="1">
      <c r="D6088" s="1"/>
      <c r="K6088" s="1"/>
      <c r="Q6088" s="1"/>
      <c r="AD6088" s="1"/>
      <c r="AG6088" s="1"/>
      <c r="AI6088" s="1"/>
    </row>
    <row r="6089" spans="4:35" hidden="1">
      <c r="D6089" s="1"/>
      <c r="K6089" s="1"/>
      <c r="Q6089" s="1"/>
      <c r="AD6089" s="1"/>
      <c r="AG6089" s="1"/>
      <c r="AI6089" s="1"/>
    </row>
    <row r="6090" spans="4:35" hidden="1">
      <c r="D6090" s="1"/>
      <c r="K6090" s="1"/>
      <c r="Q6090" s="1"/>
      <c r="AD6090" s="1"/>
      <c r="AG6090" s="1"/>
      <c r="AI6090" s="1"/>
    </row>
    <row r="6091" spans="4:35" hidden="1">
      <c r="D6091" s="1"/>
      <c r="K6091" s="1"/>
      <c r="Q6091" s="1"/>
      <c r="AD6091" s="1"/>
      <c r="AG6091" s="1"/>
      <c r="AI6091" s="1"/>
    </row>
    <row r="6092" spans="4:35" hidden="1">
      <c r="D6092" s="1"/>
      <c r="K6092" s="1"/>
      <c r="Q6092" s="1"/>
      <c r="AD6092" s="1"/>
      <c r="AG6092" s="1"/>
      <c r="AI6092" s="1"/>
    </row>
    <row r="6093" spans="4:35" hidden="1">
      <c r="D6093" s="1"/>
      <c r="K6093" s="1"/>
      <c r="Q6093" s="1"/>
      <c r="AD6093" s="1"/>
      <c r="AG6093" s="1"/>
      <c r="AI6093" s="1"/>
    </row>
    <row r="6094" spans="4:35" hidden="1">
      <c r="D6094" s="1"/>
      <c r="K6094" s="1"/>
      <c r="Q6094" s="1"/>
      <c r="AD6094" s="1"/>
      <c r="AG6094" s="1"/>
      <c r="AI6094" s="1"/>
    </row>
    <row r="6095" spans="4:35" hidden="1">
      <c r="D6095" s="1"/>
      <c r="K6095" s="1"/>
      <c r="Q6095" s="1"/>
      <c r="AD6095" s="1"/>
      <c r="AG6095" s="1"/>
      <c r="AI6095" s="1"/>
    </row>
    <row r="6096" spans="4:35" hidden="1">
      <c r="D6096" s="1"/>
      <c r="K6096" s="1"/>
      <c r="Q6096" s="1"/>
      <c r="AD6096" s="1"/>
      <c r="AG6096" s="1"/>
      <c r="AI6096" s="1"/>
    </row>
    <row r="6097" spans="4:35" hidden="1">
      <c r="D6097" s="1"/>
      <c r="K6097" s="1"/>
      <c r="Q6097" s="1"/>
      <c r="AD6097" s="1"/>
      <c r="AG6097" s="1"/>
      <c r="AI6097" s="1"/>
    </row>
    <row r="6098" spans="4:35" hidden="1">
      <c r="D6098" s="1"/>
      <c r="K6098" s="1"/>
      <c r="Q6098" s="1"/>
      <c r="AD6098" s="1"/>
      <c r="AG6098" s="1"/>
      <c r="AI6098" s="1"/>
    </row>
    <row r="6099" spans="4:35" hidden="1">
      <c r="D6099" s="1"/>
      <c r="K6099" s="1"/>
      <c r="Q6099" s="1"/>
      <c r="AD6099" s="1"/>
      <c r="AG6099" s="1"/>
      <c r="AI6099" s="1"/>
    </row>
    <row r="6100" spans="4:35" hidden="1">
      <c r="D6100" s="1"/>
      <c r="K6100" s="1"/>
      <c r="Q6100" s="1"/>
      <c r="AD6100" s="1"/>
      <c r="AG6100" s="1"/>
      <c r="AI6100" s="1"/>
    </row>
    <row r="6101" spans="4:35" hidden="1">
      <c r="D6101" s="1"/>
      <c r="K6101" s="1"/>
      <c r="Q6101" s="1"/>
      <c r="AD6101" s="1"/>
      <c r="AG6101" s="1"/>
      <c r="AI6101" s="1"/>
    </row>
    <row r="6102" spans="4:35" hidden="1">
      <c r="D6102" s="1"/>
      <c r="K6102" s="1"/>
      <c r="Q6102" s="1"/>
      <c r="AD6102" s="1"/>
      <c r="AG6102" s="1"/>
      <c r="AI6102" s="1"/>
    </row>
    <row r="6103" spans="4:35" hidden="1">
      <c r="D6103" s="1"/>
      <c r="K6103" s="1"/>
      <c r="Q6103" s="1"/>
      <c r="AD6103" s="1"/>
      <c r="AG6103" s="1"/>
      <c r="AI6103" s="1"/>
    </row>
    <row r="6104" spans="4:35" hidden="1">
      <c r="D6104" s="1"/>
      <c r="K6104" s="1"/>
      <c r="Q6104" s="1"/>
      <c r="AD6104" s="1"/>
      <c r="AG6104" s="1"/>
      <c r="AI6104" s="1"/>
    </row>
    <row r="6105" spans="4:35" hidden="1">
      <c r="D6105" s="1"/>
      <c r="K6105" s="1"/>
      <c r="Q6105" s="1"/>
      <c r="AD6105" s="1"/>
      <c r="AG6105" s="1"/>
      <c r="AI6105" s="1"/>
    </row>
    <row r="6106" spans="4:35" hidden="1">
      <c r="D6106" s="1"/>
      <c r="K6106" s="1"/>
      <c r="Q6106" s="1"/>
      <c r="AD6106" s="1"/>
      <c r="AG6106" s="1"/>
      <c r="AI6106" s="1"/>
    </row>
    <row r="6107" spans="4:35" hidden="1">
      <c r="D6107" s="1"/>
      <c r="K6107" s="1"/>
      <c r="Q6107" s="1"/>
      <c r="AD6107" s="1"/>
      <c r="AG6107" s="1"/>
      <c r="AI6107" s="1"/>
    </row>
    <row r="6108" spans="4:35" hidden="1">
      <c r="D6108" s="1"/>
      <c r="K6108" s="1"/>
      <c r="Q6108" s="1"/>
      <c r="AD6108" s="1"/>
      <c r="AG6108" s="1"/>
      <c r="AI6108" s="1"/>
    </row>
    <row r="6109" spans="4:35" hidden="1">
      <c r="D6109" s="1"/>
      <c r="K6109" s="1"/>
      <c r="Q6109" s="1"/>
      <c r="AD6109" s="1"/>
      <c r="AG6109" s="1"/>
      <c r="AI6109" s="1"/>
    </row>
    <row r="6110" spans="4:35" hidden="1">
      <c r="D6110" s="1"/>
      <c r="K6110" s="1"/>
      <c r="Q6110" s="1"/>
      <c r="AD6110" s="1"/>
      <c r="AG6110" s="1"/>
      <c r="AI6110" s="1"/>
    </row>
    <row r="6111" spans="4:35" hidden="1">
      <c r="D6111" s="1"/>
      <c r="K6111" s="1"/>
      <c r="Q6111" s="1"/>
      <c r="AD6111" s="1"/>
      <c r="AG6111" s="1"/>
      <c r="AI6111" s="1"/>
    </row>
    <row r="6112" spans="4:35" hidden="1">
      <c r="D6112" s="1"/>
      <c r="K6112" s="1"/>
      <c r="Q6112" s="1"/>
      <c r="AD6112" s="1"/>
      <c r="AG6112" s="1"/>
      <c r="AI6112" s="1"/>
    </row>
    <row r="6113" spans="4:35" hidden="1">
      <c r="D6113" s="1"/>
      <c r="K6113" s="1"/>
      <c r="Q6113" s="1"/>
      <c r="AD6113" s="1"/>
      <c r="AG6113" s="1"/>
      <c r="AI6113" s="1"/>
    </row>
    <row r="6114" spans="4:35" hidden="1">
      <c r="D6114" s="1"/>
      <c r="K6114" s="1"/>
      <c r="Q6114" s="1"/>
      <c r="AD6114" s="1"/>
      <c r="AG6114" s="1"/>
      <c r="AI6114" s="1"/>
    </row>
    <row r="6115" spans="4:35" hidden="1">
      <c r="D6115" s="1"/>
      <c r="K6115" s="1"/>
      <c r="Q6115" s="1"/>
      <c r="AD6115" s="1"/>
      <c r="AG6115" s="1"/>
      <c r="AI6115" s="1"/>
    </row>
    <row r="6116" spans="4:35" hidden="1">
      <c r="D6116" s="1"/>
      <c r="K6116" s="1"/>
      <c r="Q6116" s="1"/>
      <c r="AD6116" s="1"/>
      <c r="AG6116" s="1"/>
      <c r="AI6116" s="1"/>
    </row>
    <row r="6117" spans="4:35" hidden="1">
      <c r="D6117" s="1"/>
      <c r="K6117" s="1"/>
      <c r="Q6117" s="1"/>
      <c r="AD6117" s="1"/>
      <c r="AG6117" s="1"/>
      <c r="AI6117" s="1"/>
    </row>
    <row r="6118" spans="4:35" hidden="1">
      <c r="D6118" s="1"/>
      <c r="K6118" s="1"/>
      <c r="Q6118" s="1"/>
      <c r="AD6118" s="1"/>
      <c r="AG6118" s="1"/>
      <c r="AI6118" s="1"/>
    </row>
    <row r="6119" spans="4:35" hidden="1">
      <c r="D6119" s="1"/>
      <c r="K6119" s="1"/>
      <c r="Q6119" s="1"/>
      <c r="AD6119" s="1"/>
      <c r="AG6119" s="1"/>
      <c r="AI6119" s="1"/>
    </row>
    <row r="6120" spans="4:35" hidden="1">
      <c r="D6120" s="1"/>
      <c r="K6120" s="1"/>
      <c r="Q6120" s="1"/>
      <c r="AD6120" s="1"/>
      <c r="AG6120" s="1"/>
      <c r="AI6120" s="1"/>
    </row>
    <row r="6121" spans="4:35" hidden="1">
      <c r="D6121" s="1"/>
      <c r="K6121" s="1"/>
      <c r="Q6121" s="1"/>
      <c r="AD6121" s="1"/>
      <c r="AG6121" s="1"/>
      <c r="AI6121" s="1"/>
    </row>
    <row r="6122" spans="4:35" hidden="1">
      <c r="D6122" s="1"/>
      <c r="K6122" s="1"/>
      <c r="Q6122" s="1"/>
      <c r="AD6122" s="1"/>
      <c r="AG6122" s="1"/>
      <c r="AI6122" s="1"/>
    </row>
    <row r="6123" spans="4:35" hidden="1">
      <c r="D6123" s="1"/>
      <c r="K6123" s="1"/>
      <c r="Q6123" s="1"/>
      <c r="AD6123" s="1"/>
      <c r="AG6123" s="1"/>
      <c r="AI6123" s="1"/>
    </row>
    <row r="6124" spans="4:35" hidden="1">
      <c r="D6124" s="1"/>
      <c r="K6124" s="1"/>
      <c r="Q6124" s="1"/>
      <c r="AD6124" s="1"/>
      <c r="AG6124" s="1"/>
      <c r="AI6124" s="1"/>
    </row>
    <row r="6125" spans="4:35" hidden="1">
      <c r="D6125" s="1"/>
      <c r="K6125" s="1"/>
      <c r="Q6125" s="1"/>
      <c r="AD6125" s="1"/>
      <c r="AG6125" s="1"/>
      <c r="AI6125" s="1"/>
    </row>
    <row r="6126" spans="4:35" hidden="1">
      <c r="D6126" s="1"/>
      <c r="K6126" s="1"/>
      <c r="Q6126" s="1"/>
      <c r="AD6126" s="1"/>
      <c r="AG6126" s="1"/>
      <c r="AI6126" s="1"/>
    </row>
    <row r="6127" spans="4:35" hidden="1">
      <c r="D6127" s="1"/>
      <c r="K6127" s="1"/>
      <c r="Q6127" s="1"/>
      <c r="AD6127" s="1"/>
      <c r="AG6127" s="1"/>
      <c r="AI6127" s="1"/>
    </row>
    <row r="6128" spans="4:35" hidden="1">
      <c r="D6128" s="1"/>
      <c r="K6128" s="1"/>
      <c r="Q6128" s="1"/>
      <c r="AD6128" s="1"/>
      <c r="AG6128" s="1"/>
      <c r="AI6128" s="1"/>
    </row>
    <row r="6129" spans="4:35" hidden="1">
      <c r="D6129" s="1"/>
      <c r="K6129" s="1"/>
      <c r="Q6129" s="1"/>
      <c r="AD6129" s="1"/>
      <c r="AG6129" s="1"/>
      <c r="AI6129" s="1"/>
    </row>
    <row r="6130" spans="4:35" hidden="1">
      <c r="D6130" s="1"/>
      <c r="K6130" s="1"/>
      <c r="Q6130" s="1"/>
      <c r="AD6130" s="1"/>
      <c r="AG6130" s="1"/>
      <c r="AI6130" s="1"/>
    </row>
    <row r="6131" spans="4:35" hidden="1">
      <c r="D6131" s="1"/>
      <c r="K6131" s="1"/>
      <c r="Q6131" s="1"/>
      <c r="AD6131" s="1"/>
      <c r="AG6131" s="1"/>
      <c r="AI6131" s="1"/>
    </row>
    <row r="6132" spans="4:35" hidden="1">
      <c r="D6132" s="1"/>
      <c r="K6132" s="1"/>
      <c r="Q6132" s="1"/>
      <c r="AD6132" s="1"/>
      <c r="AG6132" s="1"/>
      <c r="AI6132" s="1"/>
    </row>
    <row r="6133" spans="4:35" hidden="1">
      <c r="D6133" s="1"/>
      <c r="K6133" s="1"/>
      <c r="Q6133" s="1"/>
      <c r="AD6133" s="1"/>
      <c r="AG6133" s="1"/>
      <c r="AI6133" s="1"/>
    </row>
    <row r="6134" spans="4:35" hidden="1">
      <c r="D6134" s="1"/>
      <c r="K6134" s="1"/>
      <c r="Q6134" s="1"/>
      <c r="AD6134" s="1"/>
      <c r="AG6134" s="1"/>
      <c r="AI6134" s="1"/>
    </row>
    <row r="6135" spans="4:35" hidden="1">
      <c r="D6135" s="1"/>
      <c r="K6135" s="1"/>
      <c r="Q6135" s="1"/>
      <c r="AD6135" s="1"/>
      <c r="AG6135" s="1"/>
      <c r="AI6135" s="1"/>
    </row>
    <row r="6136" spans="4:35" hidden="1">
      <c r="D6136" s="1"/>
      <c r="K6136" s="1"/>
      <c r="Q6136" s="1"/>
      <c r="AD6136" s="1"/>
      <c r="AG6136" s="1"/>
      <c r="AI6136" s="1"/>
    </row>
    <row r="6137" spans="4:35" hidden="1">
      <c r="D6137" s="1"/>
      <c r="K6137" s="1"/>
      <c r="Q6137" s="1"/>
      <c r="AD6137" s="1"/>
      <c r="AG6137" s="1"/>
      <c r="AI6137" s="1"/>
    </row>
    <row r="6138" spans="4:35" hidden="1">
      <c r="D6138" s="1"/>
      <c r="K6138" s="1"/>
      <c r="Q6138" s="1"/>
      <c r="AD6138" s="1"/>
      <c r="AG6138" s="1"/>
      <c r="AI6138" s="1"/>
    </row>
    <row r="6139" spans="4:35" hidden="1">
      <c r="D6139" s="1"/>
      <c r="K6139" s="1"/>
      <c r="Q6139" s="1"/>
      <c r="AD6139" s="1"/>
      <c r="AG6139" s="1"/>
      <c r="AI6139" s="1"/>
    </row>
    <row r="6140" spans="4:35" hidden="1">
      <c r="D6140" s="1"/>
      <c r="K6140" s="1"/>
      <c r="Q6140" s="1"/>
      <c r="AD6140" s="1"/>
      <c r="AG6140" s="1"/>
      <c r="AI6140" s="1"/>
    </row>
    <row r="6141" spans="4:35" hidden="1">
      <c r="D6141" s="1"/>
      <c r="K6141" s="1"/>
      <c r="Q6141" s="1"/>
      <c r="AD6141" s="1"/>
      <c r="AG6141" s="1"/>
      <c r="AI6141" s="1"/>
    </row>
    <row r="6142" spans="4:35" hidden="1">
      <c r="D6142" s="1"/>
      <c r="K6142" s="1"/>
      <c r="Q6142" s="1"/>
      <c r="AD6142" s="1"/>
      <c r="AG6142" s="1"/>
      <c r="AI6142" s="1"/>
    </row>
    <row r="6143" spans="4:35" hidden="1">
      <c r="D6143" s="1"/>
      <c r="K6143" s="1"/>
      <c r="Q6143" s="1"/>
      <c r="AD6143" s="1"/>
      <c r="AG6143" s="1"/>
      <c r="AI6143" s="1"/>
    </row>
    <row r="6144" spans="4:35" hidden="1">
      <c r="D6144" s="1"/>
      <c r="K6144" s="1"/>
      <c r="Q6144" s="1"/>
      <c r="AD6144" s="1"/>
      <c r="AG6144" s="1"/>
      <c r="AI6144" s="1"/>
    </row>
    <row r="6145" spans="4:35" hidden="1">
      <c r="D6145" s="1"/>
      <c r="K6145" s="1"/>
      <c r="Q6145" s="1"/>
      <c r="AD6145" s="1"/>
      <c r="AG6145" s="1"/>
      <c r="AI6145" s="1"/>
    </row>
    <row r="6146" spans="4:35" hidden="1">
      <c r="D6146" s="1"/>
      <c r="K6146" s="1"/>
      <c r="Q6146" s="1"/>
      <c r="AD6146" s="1"/>
      <c r="AG6146" s="1"/>
      <c r="AI6146" s="1"/>
    </row>
    <row r="6147" spans="4:35" hidden="1">
      <c r="D6147" s="1"/>
      <c r="K6147" s="1"/>
      <c r="Q6147" s="1"/>
      <c r="AD6147" s="1"/>
      <c r="AG6147" s="1"/>
      <c r="AI6147" s="1"/>
    </row>
    <row r="6148" spans="4:35" hidden="1">
      <c r="D6148" s="1"/>
      <c r="K6148" s="1"/>
      <c r="Q6148" s="1"/>
      <c r="AD6148" s="1"/>
      <c r="AG6148" s="1"/>
      <c r="AI6148" s="1"/>
    </row>
    <row r="6149" spans="4:35" hidden="1">
      <c r="D6149" s="1"/>
      <c r="K6149" s="1"/>
      <c r="Q6149" s="1"/>
      <c r="AD6149" s="1"/>
      <c r="AG6149" s="1"/>
      <c r="AI6149" s="1"/>
    </row>
    <row r="6150" spans="4:35" hidden="1">
      <c r="D6150" s="1"/>
      <c r="K6150" s="1"/>
      <c r="Q6150" s="1"/>
      <c r="AD6150" s="1"/>
      <c r="AG6150" s="1"/>
      <c r="AI6150" s="1"/>
    </row>
    <row r="6151" spans="4:35" hidden="1">
      <c r="D6151" s="1"/>
      <c r="K6151" s="1"/>
      <c r="Q6151" s="1"/>
      <c r="AD6151" s="1"/>
      <c r="AG6151" s="1"/>
      <c r="AI6151" s="1"/>
    </row>
    <row r="6152" spans="4:35" hidden="1">
      <c r="D6152" s="1"/>
      <c r="K6152" s="1"/>
      <c r="Q6152" s="1"/>
      <c r="AD6152" s="1"/>
      <c r="AG6152" s="1"/>
      <c r="AI6152" s="1"/>
    </row>
    <row r="6153" spans="4:35" hidden="1">
      <c r="D6153" s="1"/>
      <c r="K6153" s="1"/>
      <c r="Q6153" s="1"/>
      <c r="AD6153" s="1"/>
      <c r="AG6153" s="1"/>
      <c r="AI6153" s="1"/>
    </row>
    <row r="6154" spans="4:35" hidden="1">
      <c r="D6154" s="1"/>
      <c r="K6154" s="1"/>
      <c r="Q6154" s="1"/>
      <c r="AD6154" s="1"/>
      <c r="AG6154" s="1"/>
      <c r="AI6154" s="1"/>
    </row>
    <row r="6155" spans="4:35" hidden="1">
      <c r="D6155" s="1"/>
      <c r="K6155" s="1"/>
      <c r="Q6155" s="1"/>
      <c r="AD6155" s="1"/>
      <c r="AG6155" s="1"/>
      <c r="AI6155" s="1"/>
    </row>
    <row r="6156" spans="4:35" hidden="1">
      <c r="D6156" s="1"/>
      <c r="K6156" s="1"/>
      <c r="Q6156" s="1"/>
      <c r="AD6156" s="1"/>
      <c r="AG6156" s="1"/>
      <c r="AI6156" s="1"/>
    </row>
    <row r="6157" spans="4:35" hidden="1">
      <c r="D6157" s="1"/>
      <c r="K6157" s="1"/>
      <c r="Q6157" s="1"/>
      <c r="AD6157" s="1"/>
      <c r="AG6157" s="1"/>
      <c r="AI6157" s="1"/>
    </row>
    <row r="6158" spans="4:35" hidden="1">
      <c r="D6158" s="1"/>
      <c r="K6158" s="1"/>
      <c r="Q6158" s="1"/>
      <c r="AD6158" s="1"/>
      <c r="AG6158" s="1"/>
      <c r="AI6158" s="1"/>
    </row>
    <row r="6159" spans="4:35" hidden="1">
      <c r="D6159" s="1"/>
      <c r="K6159" s="1"/>
      <c r="Q6159" s="1"/>
      <c r="AD6159" s="1"/>
      <c r="AG6159" s="1"/>
      <c r="AI6159" s="1"/>
    </row>
    <row r="6160" spans="4:35" hidden="1">
      <c r="D6160" s="1"/>
      <c r="K6160" s="1"/>
      <c r="Q6160" s="1"/>
      <c r="AD6160" s="1"/>
      <c r="AG6160" s="1"/>
      <c r="AI6160" s="1"/>
    </row>
    <row r="6161" spans="4:35" hidden="1">
      <c r="D6161" s="1"/>
      <c r="K6161" s="1"/>
      <c r="Q6161" s="1"/>
      <c r="AD6161" s="1"/>
      <c r="AG6161" s="1"/>
      <c r="AI6161" s="1"/>
    </row>
    <row r="6162" spans="4:35" hidden="1">
      <c r="D6162" s="1"/>
      <c r="K6162" s="1"/>
      <c r="Q6162" s="1"/>
      <c r="AD6162" s="1"/>
      <c r="AG6162" s="1"/>
      <c r="AI6162" s="1"/>
    </row>
    <row r="6163" spans="4:35" hidden="1">
      <c r="D6163" s="1"/>
      <c r="K6163" s="1"/>
      <c r="Q6163" s="1"/>
      <c r="AD6163" s="1"/>
      <c r="AG6163" s="1"/>
      <c r="AI6163" s="1"/>
    </row>
    <row r="6164" spans="4:35" hidden="1">
      <c r="D6164" s="1"/>
      <c r="K6164" s="1"/>
      <c r="Q6164" s="1"/>
      <c r="AD6164" s="1"/>
      <c r="AG6164" s="1"/>
      <c r="AI6164" s="1"/>
    </row>
    <row r="6165" spans="4:35" hidden="1">
      <c r="D6165" s="1"/>
      <c r="K6165" s="1"/>
      <c r="Q6165" s="1"/>
      <c r="AD6165" s="1"/>
      <c r="AG6165" s="1"/>
      <c r="AI6165" s="1"/>
    </row>
    <row r="6166" spans="4:35" hidden="1">
      <c r="D6166" s="1"/>
      <c r="K6166" s="1"/>
      <c r="Q6166" s="1"/>
      <c r="AD6166" s="1"/>
      <c r="AG6166" s="1"/>
      <c r="AI6166" s="1"/>
    </row>
    <row r="6167" spans="4:35" hidden="1">
      <c r="D6167" s="1"/>
      <c r="K6167" s="1"/>
      <c r="Q6167" s="1"/>
      <c r="AD6167" s="1"/>
      <c r="AG6167" s="1"/>
      <c r="AI6167" s="1"/>
    </row>
    <row r="6168" spans="4:35" hidden="1">
      <c r="D6168" s="1"/>
      <c r="K6168" s="1"/>
      <c r="Q6168" s="1"/>
      <c r="AD6168" s="1"/>
      <c r="AG6168" s="1"/>
      <c r="AI6168" s="1"/>
    </row>
    <row r="6169" spans="4:35" hidden="1">
      <c r="D6169" s="1"/>
      <c r="K6169" s="1"/>
      <c r="Q6169" s="1"/>
      <c r="AD6169" s="1"/>
      <c r="AG6169" s="1"/>
      <c r="AI6169" s="1"/>
    </row>
    <row r="6170" spans="4:35" hidden="1">
      <c r="D6170" s="1"/>
      <c r="K6170" s="1"/>
      <c r="Q6170" s="1"/>
      <c r="AD6170" s="1"/>
      <c r="AG6170" s="1"/>
      <c r="AI6170" s="1"/>
    </row>
    <row r="6171" spans="4:35" hidden="1">
      <c r="D6171" s="1"/>
      <c r="K6171" s="1"/>
      <c r="Q6171" s="1"/>
      <c r="AD6171" s="1"/>
      <c r="AG6171" s="1"/>
      <c r="AI6171" s="1"/>
    </row>
    <row r="6172" spans="4:35" hidden="1">
      <c r="D6172" s="1"/>
      <c r="K6172" s="1"/>
      <c r="Q6172" s="1"/>
      <c r="AD6172" s="1"/>
      <c r="AG6172" s="1"/>
      <c r="AI6172" s="1"/>
    </row>
    <row r="6173" spans="4:35" hidden="1">
      <c r="D6173" s="1"/>
      <c r="K6173" s="1"/>
      <c r="Q6173" s="1"/>
      <c r="AD6173" s="1"/>
      <c r="AG6173" s="1"/>
      <c r="AI6173" s="1"/>
    </row>
    <row r="6174" spans="4:35" hidden="1">
      <c r="D6174" s="1"/>
      <c r="K6174" s="1"/>
      <c r="Q6174" s="1"/>
      <c r="AD6174" s="1"/>
      <c r="AG6174" s="1"/>
      <c r="AI6174" s="1"/>
    </row>
    <row r="6175" spans="4:35" hidden="1">
      <c r="D6175" s="1"/>
      <c r="K6175" s="1"/>
      <c r="Q6175" s="1"/>
      <c r="AD6175" s="1"/>
      <c r="AG6175" s="1"/>
      <c r="AI6175" s="1"/>
    </row>
    <row r="6176" spans="4:35" hidden="1">
      <c r="D6176" s="1"/>
      <c r="K6176" s="1"/>
      <c r="Q6176" s="1"/>
      <c r="AD6176" s="1"/>
      <c r="AG6176" s="1"/>
      <c r="AI6176" s="1"/>
    </row>
    <row r="6177" spans="4:35" hidden="1">
      <c r="D6177" s="1"/>
      <c r="K6177" s="1"/>
      <c r="Q6177" s="1"/>
      <c r="AD6177" s="1"/>
      <c r="AG6177" s="1"/>
      <c r="AI6177" s="1"/>
    </row>
    <row r="6178" spans="4:35" hidden="1">
      <c r="D6178" s="1"/>
      <c r="K6178" s="1"/>
      <c r="Q6178" s="1"/>
      <c r="AD6178" s="1"/>
      <c r="AG6178" s="1"/>
      <c r="AI6178" s="1"/>
    </row>
    <row r="6179" spans="4:35" hidden="1">
      <c r="D6179" s="1"/>
      <c r="K6179" s="1"/>
      <c r="Q6179" s="1"/>
      <c r="AD6179" s="1"/>
      <c r="AG6179" s="1"/>
      <c r="AI6179" s="1"/>
    </row>
    <row r="6180" spans="4:35" hidden="1">
      <c r="D6180" s="1"/>
      <c r="K6180" s="1"/>
      <c r="Q6180" s="1"/>
      <c r="AD6180" s="1"/>
      <c r="AG6180" s="1"/>
      <c r="AI6180" s="1"/>
    </row>
    <row r="6181" spans="4:35" hidden="1">
      <c r="D6181" s="1"/>
      <c r="K6181" s="1"/>
      <c r="Q6181" s="1"/>
      <c r="AD6181" s="1"/>
      <c r="AG6181" s="1"/>
      <c r="AI6181" s="1"/>
    </row>
    <row r="6182" spans="4:35" hidden="1">
      <c r="D6182" s="1"/>
      <c r="K6182" s="1"/>
      <c r="Q6182" s="1"/>
      <c r="AD6182" s="1"/>
      <c r="AG6182" s="1"/>
      <c r="AI6182" s="1"/>
    </row>
    <row r="6183" spans="4:35" hidden="1">
      <c r="D6183" s="1"/>
      <c r="K6183" s="1"/>
      <c r="Q6183" s="1"/>
      <c r="AD6183" s="1"/>
      <c r="AG6183" s="1"/>
      <c r="AI6183" s="1"/>
    </row>
    <row r="6184" spans="4:35" hidden="1">
      <c r="D6184" s="1"/>
      <c r="K6184" s="1"/>
      <c r="Q6184" s="1"/>
      <c r="AD6184" s="1"/>
      <c r="AG6184" s="1"/>
      <c r="AI6184" s="1"/>
    </row>
    <row r="6185" spans="4:35" hidden="1">
      <c r="D6185" s="1"/>
      <c r="K6185" s="1"/>
      <c r="Q6185" s="1"/>
      <c r="AD6185" s="1"/>
      <c r="AG6185" s="1"/>
      <c r="AI6185" s="1"/>
    </row>
    <row r="6186" spans="4:35" hidden="1">
      <c r="D6186" s="1"/>
      <c r="K6186" s="1"/>
      <c r="Q6186" s="1"/>
      <c r="AD6186" s="1"/>
      <c r="AG6186" s="1"/>
      <c r="AI6186" s="1"/>
    </row>
    <row r="6187" spans="4:35" hidden="1">
      <c r="D6187" s="1"/>
      <c r="K6187" s="1"/>
      <c r="Q6187" s="1"/>
      <c r="AD6187" s="1"/>
      <c r="AG6187" s="1"/>
      <c r="AI6187" s="1"/>
    </row>
    <row r="6188" spans="4:35" hidden="1">
      <c r="D6188" s="1"/>
      <c r="K6188" s="1"/>
      <c r="Q6188" s="1"/>
      <c r="AD6188" s="1"/>
      <c r="AG6188" s="1"/>
      <c r="AI6188" s="1"/>
    </row>
    <row r="6189" spans="4:35" hidden="1">
      <c r="D6189" s="1"/>
      <c r="K6189" s="1"/>
      <c r="Q6189" s="1"/>
      <c r="AD6189" s="1"/>
      <c r="AG6189" s="1"/>
      <c r="AI6189" s="1"/>
    </row>
    <row r="6190" spans="4:35" hidden="1">
      <c r="D6190" s="1"/>
      <c r="K6190" s="1"/>
      <c r="Q6190" s="1"/>
      <c r="AD6190" s="1"/>
      <c r="AG6190" s="1"/>
      <c r="AI6190" s="1"/>
    </row>
    <row r="6191" spans="4:35" hidden="1">
      <c r="D6191" s="1"/>
      <c r="K6191" s="1"/>
      <c r="Q6191" s="1"/>
      <c r="AD6191" s="1"/>
      <c r="AG6191" s="1"/>
      <c r="AI6191" s="1"/>
    </row>
    <row r="6192" spans="4:35" hidden="1">
      <c r="D6192" s="1"/>
      <c r="K6192" s="1"/>
      <c r="Q6192" s="1"/>
      <c r="AD6192" s="1"/>
      <c r="AG6192" s="1"/>
      <c r="AI6192" s="1"/>
    </row>
    <row r="6193" spans="4:35" hidden="1">
      <c r="D6193" s="1"/>
      <c r="K6193" s="1"/>
      <c r="Q6193" s="1"/>
      <c r="AD6193" s="1"/>
      <c r="AG6193" s="1"/>
      <c r="AI6193" s="1"/>
    </row>
    <row r="6194" spans="4:35" hidden="1">
      <c r="D6194" s="1"/>
      <c r="K6194" s="1"/>
      <c r="Q6194" s="1"/>
      <c r="AD6194" s="1"/>
      <c r="AG6194" s="1"/>
      <c r="AI6194" s="1"/>
    </row>
    <row r="6195" spans="4:35" hidden="1">
      <c r="D6195" s="1"/>
      <c r="K6195" s="1"/>
      <c r="Q6195" s="1"/>
      <c r="AD6195" s="1"/>
      <c r="AG6195" s="1"/>
      <c r="AI6195" s="1"/>
    </row>
    <row r="6196" spans="4:35" hidden="1">
      <c r="D6196" s="1"/>
      <c r="K6196" s="1"/>
      <c r="Q6196" s="1"/>
      <c r="AD6196" s="1"/>
      <c r="AG6196" s="1"/>
      <c r="AI6196" s="1"/>
    </row>
    <row r="6197" spans="4:35" hidden="1">
      <c r="D6197" s="1"/>
      <c r="K6197" s="1"/>
      <c r="Q6197" s="1"/>
      <c r="AD6197" s="1"/>
      <c r="AG6197" s="1"/>
      <c r="AI6197" s="1"/>
    </row>
    <row r="6198" spans="4:35" hidden="1">
      <c r="D6198" s="1"/>
      <c r="K6198" s="1"/>
      <c r="Q6198" s="1"/>
      <c r="AD6198" s="1"/>
      <c r="AG6198" s="1"/>
      <c r="AI6198" s="1"/>
    </row>
    <row r="6199" spans="4:35" hidden="1">
      <c r="D6199" s="1"/>
      <c r="K6199" s="1"/>
      <c r="Q6199" s="1"/>
      <c r="AD6199" s="1"/>
      <c r="AG6199" s="1"/>
      <c r="AI6199" s="1"/>
    </row>
    <row r="6200" spans="4:35" hidden="1">
      <c r="D6200" s="1"/>
      <c r="K6200" s="1"/>
      <c r="Q6200" s="1"/>
      <c r="AD6200" s="1"/>
      <c r="AG6200" s="1"/>
      <c r="AI6200" s="1"/>
    </row>
    <row r="6201" spans="4:35" hidden="1">
      <c r="D6201" s="1"/>
      <c r="K6201" s="1"/>
      <c r="Q6201" s="1"/>
      <c r="AD6201" s="1"/>
      <c r="AG6201" s="1"/>
      <c r="AI6201" s="1"/>
    </row>
    <row r="6202" spans="4:35" hidden="1">
      <c r="D6202" s="1"/>
      <c r="K6202" s="1"/>
      <c r="Q6202" s="1"/>
      <c r="AD6202" s="1"/>
      <c r="AG6202" s="1"/>
      <c r="AI6202" s="1"/>
    </row>
    <row r="6203" spans="4:35" hidden="1">
      <c r="D6203" s="1"/>
      <c r="K6203" s="1"/>
      <c r="Q6203" s="1"/>
      <c r="AD6203" s="1"/>
      <c r="AG6203" s="1"/>
      <c r="AI6203" s="1"/>
    </row>
    <row r="6204" spans="4:35" hidden="1">
      <c r="D6204" s="1"/>
      <c r="K6204" s="1"/>
      <c r="Q6204" s="1"/>
      <c r="AD6204" s="1"/>
      <c r="AG6204" s="1"/>
      <c r="AI6204" s="1"/>
    </row>
    <row r="6205" spans="4:35" hidden="1">
      <c r="D6205" s="1"/>
      <c r="K6205" s="1"/>
      <c r="Q6205" s="1"/>
      <c r="AD6205" s="1"/>
      <c r="AG6205" s="1"/>
      <c r="AI6205" s="1"/>
    </row>
    <row r="6206" spans="4:35" hidden="1">
      <c r="D6206" s="1"/>
      <c r="K6206" s="1"/>
      <c r="Q6206" s="1"/>
      <c r="AD6206" s="1"/>
      <c r="AG6206" s="1"/>
      <c r="AI6206" s="1"/>
    </row>
    <row r="6207" spans="4:35" hidden="1">
      <c r="D6207" s="1"/>
      <c r="K6207" s="1"/>
      <c r="Q6207" s="1"/>
      <c r="AD6207" s="1"/>
      <c r="AG6207" s="1"/>
      <c r="AI6207" s="1"/>
    </row>
    <row r="6208" spans="4:35" hidden="1">
      <c r="D6208" s="1"/>
      <c r="K6208" s="1"/>
      <c r="Q6208" s="1"/>
      <c r="AD6208" s="1"/>
      <c r="AG6208" s="1"/>
      <c r="AI6208" s="1"/>
    </row>
    <row r="6209" spans="4:35" hidden="1">
      <c r="D6209" s="1"/>
      <c r="K6209" s="1"/>
      <c r="Q6209" s="1"/>
      <c r="AD6209" s="1"/>
      <c r="AG6209" s="1"/>
      <c r="AI6209" s="1"/>
    </row>
    <row r="6210" spans="4:35" hidden="1">
      <c r="D6210" s="1"/>
      <c r="K6210" s="1"/>
      <c r="Q6210" s="1"/>
      <c r="AD6210" s="1"/>
      <c r="AG6210" s="1"/>
      <c r="AI6210" s="1"/>
    </row>
    <row r="6211" spans="4:35" hidden="1">
      <c r="D6211" s="1"/>
      <c r="K6211" s="1"/>
      <c r="Q6211" s="1"/>
      <c r="AD6211" s="1"/>
      <c r="AG6211" s="1"/>
      <c r="AI6211" s="1"/>
    </row>
    <row r="6212" spans="4:35" hidden="1">
      <c r="D6212" s="1"/>
      <c r="K6212" s="1"/>
      <c r="Q6212" s="1"/>
      <c r="AD6212" s="1"/>
      <c r="AG6212" s="1"/>
      <c r="AI6212" s="1"/>
    </row>
    <row r="6213" spans="4:35" hidden="1">
      <c r="D6213" s="1"/>
      <c r="K6213" s="1"/>
      <c r="Q6213" s="1"/>
      <c r="AD6213" s="1"/>
      <c r="AG6213" s="1"/>
      <c r="AI6213" s="1"/>
    </row>
    <row r="6214" spans="4:35" hidden="1">
      <c r="D6214" s="1"/>
      <c r="K6214" s="1"/>
      <c r="Q6214" s="1"/>
      <c r="AD6214" s="1"/>
      <c r="AG6214" s="1"/>
      <c r="AI6214" s="1"/>
    </row>
    <row r="6215" spans="4:35" hidden="1">
      <c r="D6215" s="1"/>
      <c r="K6215" s="1"/>
      <c r="Q6215" s="1"/>
      <c r="AD6215" s="1"/>
      <c r="AG6215" s="1"/>
      <c r="AI6215" s="1"/>
    </row>
    <row r="6216" spans="4:35" hidden="1">
      <c r="D6216" s="1"/>
      <c r="K6216" s="1"/>
      <c r="Q6216" s="1"/>
      <c r="AD6216" s="1"/>
      <c r="AG6216" s="1"/>
      <c r="AI6216" s="1"/>
    </row>
    <row r="6217" spans="4:35" hidden="1">
      <c r="D6217" s="1"/>
      <c r="K6217" s="1"/>
      <c r="Q6217" s="1"/>
      <c r="AD6217" s="1"/>
      <c r="AG6217" s="1"/>
      <c r="AI6217" s="1"/>
    </row>
    <row r="6218" spans="4:35" hidden="1">
      <c r="D6218" s="1"/>
      <c r="K6218" s="1"/>
      <c r="Q6218" s="1"/>
      <c r="AD6218" s="1"/>
      <c r="AG6218" s="1"/>
      <c r="AI6218" s="1"/>
    </row>
    <row r="6219" spans="4:35" hidden="1">
      <c r="D6219" s="1"/>
      <c r="K6219" s="1"/>
      <c r="Q6219" s="1"/>
      <c r="AD6219" s="1"/>
      <c r="AG6219" s="1"/>
      <c r="AI6219" s="1"/>
    </row>
    <row r="6220" spans="4:35" hidden="1">
      <c r="D6220" s="1"/>
      <c r="K6220" s="1"/>
      <c r="Q6220" s="1"/>
      <c r="AD6220" s="1"/>
      <c r="AG6220" s="1"/>
      <c r="AI6220" s="1"/>
    </row>
    <row r="6221" spans="4:35" hidden="1">
      <c r="D6221" s="1"/>
      <c r="K6221" s="1"/>
      <c r="Q6221" s="1"/>
      <c r="AD6221" s="1"/>
      <c r="AG6221" s="1"/>
      <c r="AI6221" s="1"/>
    </row>
    <row r="6222" spans="4:35" hidden="1">
      <c r="D6222" s="1"/>
      <c r="K6222" s="1"/>
      <c r="Q6222" s="1"/>
      <c r="AD6222" s="1"/>
      <c r="AG6222" s="1"/>
      <c r="AI6222" s="1"/>
    </row>
    <row r="6223" spans="4:35" hidden="1">
      <c r="D6223" s="1"/>
      <c r="K6223" s="1"/>
      <c r="Q6223" s="1"/>
      <c r="AD6223" s="1"/>
      <c r="AG6223" s="1"/>
      <c r="AI6223" s="1"/>
    </row>
    <row r="6224" spans="4:35" hidden="1">
      <c r="D6224" s="1"/>
      <c r="K6224" s="1"/>
      <c r="Q6224" s="1"/>
      <c r="AD6224" s="1"/>
      <c r="AG6224" s="1"/>
      <c r="AI6224" s="1"/>
    </row>
    <row r="6225" spans="4:35" hidden="1">
      <c r="D6225" s="1"/>
      <c r="K6225" s="1"/>
      <c r="Q6225" s="1"/>
      <c r="AD6225" s="1"/>
      <c r="AG6225" s="1"/>
      <c r="AI6225" s="1"/>
    </row>
    <row r="6226" spans="4:35" hidden="1">
      <c r="D6226" s="1"/>
      <c r="K6226" s="1"/>
      <c r="Q6226" s="1"/>
      <c r="AD6226" s="1"/>
      <c r="AG6226" s="1"/>
      <c r="AI6226" s="1"/>
    </row>
    <row r="6227" spans="4:35" hidden="1">
      <c r="D6227" s="1"/>
      <c r="K6227" s="1"/>
      <c r="Q6227" s="1"/>
      <c r="AD6227" s="1"/>
      <c r="AG6227" s="1"/>
      <c r="AI6227" s="1"/>
    </row>
    <row r="6228" spans="4:35" hidden="1">
      <c r="D6228" s="1"/>
      <c r="K6228" s="1"/>
      <c r="Q6228" s="1"/>
      <c r="AD6228" s="1"/>
      <c r="AG6228" s="1"/>
      <c r="AI6228" s="1"/>
    </row>
    <row r="6229" spans="4:35" hidden="1">
      <c r="D6229" s="1"/>
      <c r="K6229" s="1"/>
      <c r="Q6229" s="1"/>
      <c r="AD6229" s="1"/>
      <c r="AG6229" s="1"/>
      <c r="AI6229" s="1"/>
    </row>
    <row r="6230" spans="4:35" hidden="1">
      <c r="D6230" s="1"/>
      <c r="K6230" s="1"/>
      <c r="Q6230" s="1"/>
      <c r="AD6230" s="1"/>
      <c r="AG6230" s="1"/>
      <c r="AI6230" s="1"/>
    </row>
    <row r="6231" spans="4:35" hidden="1">
      <c r="D6231" s="1"/>
      <c r="K6231" s="1"/>
      <c r="Q6231" s="1"/>
      <c r="AD6231" s="1"/>
      <c r="AG6231" s="1"/>
      <c r="AI6231" s="1"/>
    </row>
    <row r="6232" spans="4:35" hidden="1">
      <c r="D6232" s="1"/>
      <c r="K6232" s="1"/>
      <c r="Q6232" s="1"/>
      <c r="AD6232" s="1"/>
      <c r="AG6232" s="1"/>
      <c r="AI6232" s="1"/>
    </row>
    <row r="6233" spans="4:35" hidden="1">
      <c r="D6233" s="1"/>
      <c r="K6233" s="1"/>
      <c r="Q6233" s="1"/>
      <c r="AD6233" s="1"/>
      <c r="AG6233" s="1"/>
      <c r="AI6233" s="1"/>
    </row>
    <row r="6234" spans="4:35" hidden="1">
      <c r="D6234" s="1"/>
      <c r="K6234" s="1"/>
      <c r="Q6234" s="1"/>
      <c r="AD6234" s="1"/>
      <c r="AG6234" s="1"/>
      <c r="AI6234" s="1"/>
    </row>
    <row r="6235" spans="4:35" hidden="1">
      <c r="D6235" s="1"/>
      <c r="K6235" s="1"/>
      <c r="Q6235" s="1"/>
      <c r="AD6235" s="1"/>
      <c r="AG6235" s="1"/>
      <c r="AI6235" s="1"/>
    </row>
    <row r="6236" spans="4:35" hidden="1">
      <c r="D6236" s="1"/>
      <c r="K6236" s="1"/>
      <c r="Q6236" s="1"/>
      <c r="AD6236" s="1"/>
      <c r="AG6236" s="1"/>
      <c r="AI6236" s="1"/>
    </row>
    <row r="6237" spans="4:35" hidden="1">
      <c r="D6237" s="1"/>
      <c r="K6237" s="1"/>
      <c r="Q6237" s="1"/>
      <c r="AD6237" s="1"/>
      <c r="AG6237" s="1"/>
      <c r="AI6237" s="1"/>
    </row>
    <row r="6238" spans="4:35" hidden="1">
      <c r="D6238" s="1"/>
      <c r="K6238" s="1"/>
      <c r="Q6238" s="1"/>
      <c r="AD6238" s="1"/>
      <c r="AG6238" s="1"/>
      <c r="AI6238" s="1"/>
    </row>
    <row r="6239" spans="4:35" hidden="1">
      <c r="D6239" s="1"/>
      <c r="K6239" s="1"/>
      <c r="Q6239" s="1"/>
      <c r="AD6239" s="1"/>
      <c r="AG6239" s="1"/>
      <c r="AI6239" s="1"/>
    </row>
    <row r="6240" spans="4:35" hidden="1">
      <c r="D6240" s="1"/>
      <c r="K6240" s="1"/>
      <c r="Q6240" s="1"/>
      <c r="AD6240" s="1"/>
      <c r="AG6240" s="1"/>
      <c r="AI6240" s="1"/>
    </row>
    <row r="6241" spans="4:35" hidden="1">
      <c r="D6241" s="1"/>
      <c r="K6241" s="1"/>
      <c r="Q6241" s="1"/>
      <c r="AD6241" s="1"/>
      <c r="AG6241" s="1"/>
      <c r="AI6241" s="1"/>
    </row>
    <row r="6242" spans="4:35" hidden="1">
      <c r="D6242" s="1"/>
      <c r="K6242" s="1"/>
      <c r="Q6242" s="1"/>
      <c r="AD6242" s="1"/>
      <c r="AG6242" s="1"/>
      <c r="AI6242" s="1"/>
    </row>
    <row r="6243" spans="4:35" hidden="1">
      <c r="D6243" s="1"/>
      <c r="K6243" s="1"/>
      <c r="Q6243" s="1"/>
      <c r="AD6243" s="1"/>
      <c r="AG6243" s="1"/>
      <c r="AI6243" s="1"/>
    </row>
    <row r="6244" spans="4:35" hidden="1">
      <c r="D6244" s="1"/>
      <c r="K6244" s="1"/>
      <c r="Q6244" s="1"/>
      <c r="AD6244" s="1"/>
      <c r="AG6244" s="1"/>
      <c r="AI6244" s="1"/>
    </row>
    <row r="6245" spans="4:35" hidden="1">
      <c r="D6245" s="1"/>
      <c r="K6245" s="1"/>
      <c r="Q6245" s="1"/>
      <c r="AD6245" s="1"/>
      <c r="AG6245" s="1"/>
      <c r="AI6245" s="1"/>
    </row>
    <row r="6246" spans="4:35" hidden="1">
      <c r="D6246" s="1"/>
      <c r="K6246" s="1"/>
      <c r="Q6246" s="1"/>
      <c r="AD6246" s="1"/>
      <c r="AG6246" s="1"/>
      <c r="AI6246" s="1"/>
    </row>
    <row r="6247" spans="4:35" hidden="1">
      <c r="D6247" s="1"/>
      <c r="K6247" s="1"/>
      <c r="Q6247" s="1"/>
      <c r="AD6247" s="1"/>
      <c r="AG6247" s="1"/>
      <c r="AI6247" s="1"/>
    </row>
    <row r="6248" spans="4:35" hidden="1">
      <c r="D6248" s="1"/>
      <c r="K6248" s="1"/>
      <c r="Q6248" s="1"/>
      <c r="AD6248" s="1"/>
      <c r="AG6248" s="1"/>
      <c r="AI6248" s="1"/>
    </row>
    <row r="6249" spans="4:35" hidden="1">
      <c r="D6249" s="1"/>
      <c r="K6249" s="1"/>
      <c r="Q6249" s="1"/>
      <c r="AD6249" s="1"/>
      <c r="AG6249" s="1"/>
      <c r="AI6249" s="1"/>
    </row>
    <row r="6250" spans="4:35" hidden="1">
      <c r="D6250" s="1"/>
      <c r="K6250" s="1"/>
      <c r="Q6250" s="1"/>
      <c r="AD6250" s="1"/>
      <c r="AG6250" s="1"/>
      <c r="AI6250" s="1"/>
    </row>
    <row r="6251" spans="4:35" hidden="1">
      <c r="D6251" s="1"/>
      <c r="K6251" s="1"/>
      <c r="Q6251" s="1"/>
      <c r="AD6251" s="1"/>
      <c r="AG6251" s="1"/>
      <c r="AI6251" s="1"/>
    </row>
    <row r="6252" spans="4:35" hidden="1">
      <c r="D6252" s="1"/>
      <c r="K6252" s="1"/>
      <c r="Q6252" s="1"/>
      <c r="AD6252" s="1"/>
      <c r="AG6252" s="1"/>
      <c r="AI6252" s="1"/>
    </row>
    <row r="6253" spans="4:35" hidden="1">
      <c r="D6253" s="1"/>
      <c r="K6253" s="1"/>
      <c r="Q6253" s="1"/>
      <c r="AD6253" s="1"/>
      <c r="AG6253" s="1"/>
      <c r="AI6253" s="1"/>
    </row>
    <row r="6254" spans="4:35" hidden="1">
      <c r="D6254" s="1"/>
      <c r="K6254" s="1"/>
      <c r="Q6254" s="1"/>
      <c r="AD6254" s="1"/>
      <c r="AG6254" s="1"/>
      <c r="AI6254" s="1"/>
    </row>
    <row r="6255" spans="4:35" hidden="1">
      <c r="D6255" s="1"/>
      <c r="K6255" s="1"/>
      <c r="Q6255" s="1"/>
      <c r="AD6255" s="1"/>
      <c r="AG6255" s="1"/>
      <c r="AI6255" s="1"/>
    </row>
    <row r="6256" spans="4:35" hidden="1">
      <c r="D6256" s="1"/>
      <c r="K6256" s="1"/>
      <c r="Q6256" s="1"/>
      <c r="AD6256" s="1"/>
      <c r="AG6256" s="1"/>
      <c r="AI6256" s="1"/>
    </row>
    <row r="6257" spans="4:35" hidden="1">
      <c r="D6257" s="1"/>
      <c r="K6257" s="1"/>
      <c r="Q6257" s="1"/>
      <c r="AD6257" s="1"/>
      <c r="AG6257" s="1"/>
      <c r="AI6257" s="1"/>
    </row>
    <row r="6258" spans="4:35" hidden="1">
      <c r="D6258" s="1"/>
      <c r="K6258" s="1"/>
      <c r="Q6258" s="1"/>
      <c r="AD6258" s="1"/>
      <c r="AG6258" s="1"/>
      <c r="AI6258" s="1"/>
    </row>
    <row r="6259" spans="4:35" hidden="1">
      <c r="D6259" s="1"/>
      <c r="K6259" s="1"/>
      <c r="Q6259" s="1"/>
      <c r="AD6259" s="1"/>
      <c r="AG6259" s="1"/>
      <c r="AI6259" s="1"/>
    </row>
    <row r="6260" spans="4:35" hidden="1">
      <c r="D6260" s="1"/>
      <c r="K6260" s="1"/>
      <c r="Q6260" s="1"/>
      <c r="AD6260" s="1"/>
      <c r="AG6260" s="1"/>
      <c r="AI6260" s="1"/>
    </row>
    <row r="6261" spans="4:35" hidden="1">
      <c r="D6261" s="1"/>
      <c r="K6261" s="1"/>
      <c r="Q6261" s="1"/>
      <c r="AD6261" s="1"/>
      <c r="AG6261" s="1"/>
      <c r="AI6261" s="1"/>
    </row>
    <row r="6262" spans="4:35" hidden="1">
      <c r="D6262" s="1"/>
      <c r="K6262" s="1"/>
      <c r="Q6262" s="1"/>
      <c r="AD6262" s="1"/>
      <c r="AG6262" s="1"/>
      <c r="AI6262" s="1"/>
    </row>
    <row r="6263" spans="4:35" hidden="1">
      <c r="D6263" s="1"/>
      <c r="K6263" s="1"/>
      <c r="Q6263" s="1"/>
      <c r="AD6263" s="1"/>
      <c r="AG6263" s="1"/>
      <c r="AI6263" s="1"/>
    </row>
    <row r="6264" spans="4:35" hidden="1">
      <c r="D6264" s="1"/>
      <c r="K6264" s="1"/>
      <c r="Q6264" s="1"/>
      <c r="AD6264" s="1"/>
      <c r="AG6264" s="1"/>
      <c r="AI6264" s="1"/>
    </row>
    <row r="6265" spans="4:35" hidden="1">
      <c r="D6265" s="1"/>
      <c r="K6265" s="1"/>
      <c r="Q6265" s="1"/>
      <c r="AD6265" s="1"/>
      <c r="AG6265" s="1"/>
      <c r="AI6265" s="1"/>
    </row>
    <row r="6266" spans="4:35" hidden="1">
      <c r="D6266" s="1"/>
      <c r="K6266" s="1"/>
      <c r="Q6266" s="1"/>
      <c r="AD6266" s="1"/>
      <c r="AG6266" s="1"/>
      <c r="AI6266" s="1"/>
    </row>
    <row r="6267" spans="4:35" hidden="1">
      <c r="D6267" s="1"/>
      <c r="K6267" s="1"/>
      <c r="Q6267" s="1"/>
      <c r="AD6267" s="1"/>
      <c r="AG6267" s="1"/>
      <c r="AI6267" s="1"/>
    </row>
    <row r="6268" spans="4:35" hidden="1">
      <c r="D6268" s="1"/>
      <c r="K6268" s="1"/>
      <c r="Q6268" s="1"/>
      <c r="AD6268" s="1"/>
      <c r="AG6268" s="1"/>
      <c r="AI6268" s="1"/>
    </row>
    <row r="6269" spans="4:35" hidden="1">
      <c r="D6269" s="1"/>
      <c r="K6269" s="1"/>
      <c r="Q6269" s="1"/>
      <c r="AD6269" s="1"/>
      <c r="AG6269" s="1"/>
      <c r="AI6269" s="1"/>
    </row>
    <row r="6270" spans="4:35" hidden="1">
      <c r="D6270" s="1"/>
      <c r="K6270" s="1"/>
      <c r="Q6270" s="1"/>
      <c r="AD6270" s="1"/>
      <c r="AG6270" s="1"/>
      <c r="AI6270" s="1"/>
    </row>
    <row r="6271" spans="4:35" hidden="1">
      <c r="D6271" s="1"/>
      <c r="K6271" s="1"/>
      <c r="Q6271" s="1"/>
      <c r="AD6271" s="1"/>
      <c r="AG6271" s="1"/>
      <c r="AI6271" s="1"/>
    </row>
    <row r="6272" spans="4:35" hidden="1">
      <c r="D6272" s="1"/>
      <c r="K6272" s="1"/>
      <c r="Q6272" s="1"/>
      <c r="AD6272" s="1"/>
      <c r="AG6272" s="1"/>
      <c r="AI6272" s="1"/>
    </row>
    <row r="6273" spans="4:35" hidden="1">
      <c r="D6273" s="1"/>
      <c r="K6273" s="1"/>
      <c r="Q6273" s="1"/>
      <c r="AD6273" s="1"/>
      <c r="AG6273" s="1"/>
      <c r="AI6273" s="1"/>
    </row>
    <row r="6274" spans="4:35" hidden="1">
      <c r="D6274" s="1"/>
      <c r="K6274" s="1"/>
      <c r="Q6274" s="1"/>
      <c r="AD6274" s="1"/>
      <c r="AG6274" s="1"/>
      <c r="AI6274" s="1"/>
    </row>
    <row r="6275" spans="4:35" hidden="1">
      <c r="D6275" s="1"/>
      <c r="K6275" s="1"/>
      <c r="Q6275" s="1"/>
      <c r="AD6275" s="1"/>
      <c r="AG6275" s="1"/>
      <c r="AI6275" s="1"/>
    </row>
    <row r="6276" spans="4:35" hidden="1">
      <c r="D6276" s="1"/>
      <c r="K6276" s="1"/>
      <c r="Q6276" s="1"/>
      <c r="AD6276" s="1"/>
      <c r="AG6276" s="1"/>
      <c r="AI6276" s="1"/>
    </row>
    <row r="6277" spans="4:35" hidden="1">
      <c r="D6277" s="1"/>
      <c r="K6277" s="1"/>
      <c r="Q6277" s="1"/>
      <c r="AD6277" s="1"/>
      <c r="AG6277" s="1"/>
      <c r="AI6277" s="1"/>
    </row>
    <row r="6278" spans="4:35" hidden="1">
      <c r="D6278" s="1"/>
      <c r="K6278" s="1"/>
      <c r="Q6278" s="1"/>
      <c r="AD6278" s="1"/>
      <c r="AG6278" s="1"/>
      <c r="AI6278" s="1"/>
    </row>
    <row r="6279" spans="4:35" hidden="1">
      <c r="D6279" s="1"/>
      <c r="K6279" s="1"/>
      <c r="Q6279" s="1"/>
      <c r="AD6279" s="1"/>
      <c r="AG6279" s="1"/>
      <c r="AI6279" s="1"/>
    </row>
    <row r="6280" spans="4:35" hidden="1">
      <c r="D6280" s="1"/>
      <c r="K6280" s="1"/>
      <c r="Q6280" s="1"/>
      <c r="AD6280" s="1"/>
      <c r="AG6280" s="1"/>
      <c r="AI6280" s="1"/>
    </row>
    <row r="6281" spans="4:35" hidden="1">
      <c r="D6281" s="1"/>
      <c r="K6281" s="1"/>
      <c r="Q6281" s="1"/>
      <c r="AD6281" s="1"/>
      <c r="AG6281" s="1"/>
      <c r="AI6281" s="1"/>
    </row>
    <row r="6282" spans="4:35" hidden="1">
      <c r="D6282" s="1"/>
      <c r="K6282" s="1"/>
      <c r="Q6282" s="1"/>
      <c r="AD6282" s="1"/>
      <c r="AG6282" s="1"/>
      <c r="AI6282" s="1"/>
    </row>
    <row r="6283" spans="4:35" hidden="1">
      <c r="D6283" s="1"/>
      <c r="K6283" s="1"/>
      <c r="Q6283" s="1"/>
      <c r="AD6283" s="1"/>
      <c r="AG6283" s="1"/>
      <c r="AI6283" s="1"/>
    </row>
    <row r="6284" spans="4:35" hidden="1">
      <c r="D6284" s="1"/>
      <c r="K6284" s="1"/>
      <c r="Q6284" s="1"/>
      <c r="AD6284" s="1"/>
      <c r="AG6284" s="1"/>
      <c r="AI6284" s="1"/>
    </row>
    <row r="6285" spans="4:35" hidden="1">
      <c r="D6285" s="1"/>
      <c r="K6285" s="1"/>
      <c r="Q6285" s="1"/>
      <c r="AD6285" s="1"/>
      <c r="AG6285" s="1"/>
      <c r="AI6285" s="1"/>
    </row>
    <row r="6286" spans="4:35" hidden="1">
      <c r="D6286" s="1"/>
      <c r="K6286" s="1"/>
      <c r="Q6286" s="1"/>
      <c r="AD6286" s="1"/>
      <c r="AG6286" s="1"/>
      <c r="AI6286" s="1"/>
    </row>
    <row r="6287" spans="4:35" hidden="1">
      <c r="D6287" s="1"/>
      <c r="K6287" s="1"/>
      <c r="Q6287" s="1"/>
      <c r="AD6287" s="1"/>
      <c r="AG6287" s="1"/>
      <c r="AI6287" s="1"/>
    </row>
    <row r="6288" spans="4:35" hidden="1">
      <c r="D6288" s="1"/>
      <c r="K6288" s="1"/>
      <c r="Q6288" s="1"/>
      <c r="AD6288" s="1"/>
      <c r="AG6288" s="1"/>
      <c r="AI6288" s="1"/>
    </row>
    <row r="6289" spans="4:35" hidden="1">
      <c r="D6289" s="1"/>
      <c r="K6289" s="1"/>
      <c r="Q6289" s="1"/>
      <c r="AD6289" s="1"/>
      <c r="AG6289" s="1"/>
      <c r="AI6289" s="1"/>
    </row>
    <row r="6290" spans="4:35" hidden="1">
      <c r="D6290" s="1"/>
      <c r="K6290" s="1"/>
      <c r="Q6290" s="1"/>
      <c r="AD6290" s="1"/>
      <c r="AG6290" s="1"/>
      <c r="AI6290" s="1"/>
    </row>
    <row r="6291" spans="4:35" hidden="1">
      <c r="D6291" s="1"/>
      <c r="K6291" s="1"/>
      <c r="Q6291" s="1"/>
      <c r="AD6291" s="1"/>
      <c r="AG6291" s="1"/>
      <c r="AI6291" s="1"/>
    </row>
    <row r="6292" spans="4:35" hidden="1">
      <c r="D6292" s="1"/>
      <c r="K6292" s="1"/>
      <c r="Q6292" s="1"/>
      <c r="AD6292" s="1"/>
      <c r="AG6292" s="1"/>
      <c r="AI6292" s="1"/>
    </row>
    <row r="6293" spans="4:35" hidden="1">
      <c r="D6293" s="1"/>
      <c r="K6293" s="1"/>
      <c r="Q6293" s="1"/>
      <c r="AD6293" s="1"/>
      <c r="AG6293" s="1"/>
      <c r="AI6293" s="1"/>
    </row>
    <row r="6294" spans="4:35" hidden="1">
      <c r="D6294" s="1"/>
      <c r="K6294" s="1"/>
      <c r="Q6294" s="1"/>
      <c r="AD6294" s="1"/>
      <c r="AG6294" s="1"/>
      <c r="AI6294" s="1"/>
    </row>
    <row r="6295" spans="4:35" hidden="1">
      <c r="D6295" s="1"/>
      <c r="K6295" s="1"/>
      <c r="Q6295" s="1"/>
      <c r="AD6295" s="1"/>
      <c r="AG6295" s="1"/>
      <c r="AI6295" s="1"/>
    </row>
    <row r="6296" spans="4:35" hidden="1">
      <c r="D6296" s="1"/>
      <c r="K6296" s="1"/>
      <c r="Q6296" s="1"/>
      <c r="AD6296" s="1"/>
      <c r="AG6296" s="1"/>
      <c r="AI6296" s="1"/>
    </row>
    <row r="6297" spans="4:35" hidden="1">
      <c r="D6297" s="1"/>
      <c r="K6297" s="1"/>
      <c r="Q6297" s="1"/>
      <c r="AD6297" s="1"/>
      <c r="AG6297" s="1"/>
      <c r="AI6297" s="1"/>
    </row>
    <row r="6298" spans="4:35" hidden="1">
      <c r="D6298" s="1"/>
      <c r="K6298" s="1"/>
      <c r="Q6298" s="1"/>
      <c r="AD6298" s="1"/>
      <c r="AG6298" s="1"/>
      <c r="AI6298" s="1"/>
    </row>
    <row r="6299" spans="4:35" hidden="1">
      <c r="D6299" s="1"/>
      <c r="K6299" s="1"/>
      <c r="Q6299" s="1"/>
      <c r="AD6299" s="1"/>
      <c r="AG6299" s="1"/>
      <c r="AI6299" s="1"/>
    </row>
    <row r="6300" spans="4:35" hidden="1">
      <c r="D6300" s="1"/>
      <c r="K6300" s="1"/>
      <c r="Q6300" s="1"/>
      <c r="AD6300" s="1"/>
      <c r="AG6300" s="1"/>
      <c r="AI6300" s="1"/>
    </row>
    <row r="6301" spans="4:35" hidden="1">
      <c r="D6301" s="1"/>
      <c r="K6301" s="1"/>
      <c r="Q6301" s="1"/>
      <c r="AD6301" s="1"/>
      <c r="AG6301" s="1"/>
      <c r="AI6301" s="1"/>
    </row>
    <row r="6302" spans="4:35" hidden="1">
      <c r="D6302" s="1"/>
      <c r="K6302" s="1"/>
      <c r="Q6302" s="1"/>
      <c r="AD6302" s="1"/>
      <c r="AG6302" s="1"/>
      <c r="AI6302" s="1"/>
    </row>
    <row r="6303" spans="4:35" hidden="1">
      <c r="D6303" s="1"/>
      <c r="K6303" s="1"/>
      <c r="Q6303" s="1"/>
      <c r="AD6303" s="1"/>
      <c r="AG6303" s="1"/>
      <c r="AI6303" s="1"/>
    </row>
    <row r="6304" spans="4:35" hidden="1">
      <c r="D6304" s="1"/>
      <c r="K6304" s="1"/>
      <c r="Q6304" s="1"/>
      <c r="AD6304" s="1"/>
      <c r="AG6304" s="1"/>
      <c r="AI6304" s="1"/>
    </row>
    <row r="6305" spans="4:35" hidden="1">
      <c r="D6305" s="1"/>
      <c r="K6305" s="1"/>
      <c r="Q6305" s="1"/>
      <c r="AD6305" s="1"/>
      <c r="AG6305" s="1"/>
      <c r="AI6305" s="1"/>
    </row>
    <row r="6306" spans="4:35" hidden="1">
      <c r="D6306" s="1"/>
      <c r="K6306" s="1"/>
      <c r="Q6306" s="1"/>
      <c r="AD6306" s="1"/>
      <c r="AG6306" s="1"/>
      <c r="AI6306" s="1"/>
    </row>
    <row r="6307" spans="4:35" hidden="1">
      <c r="D6307" s="1"/>
      <c r="K6307" s="1"/>
      <c r="Q6307" s="1"/>
      <c r="AD6307" s="1"/>
      <c r="AG6307" s="1"/>
      <c r="AI6307" s="1"/>
    </row>
    <row r="6308" spans="4:35" hidden="1">
      <c r="D6308" s="1"/>
      <c r="K6308" s="1"/>
      <c r="Q6308" s="1"/>
      <c r="AD6308" s="1"/>
      <c r="AG6308" s="1"/>
      <c r="AI6308" s="1"/>
    </row>
    <row r="6309" spans="4:35" hidden="1">
      <c r="D6309" s="1"/>
      <c r="K6309" s="1"/>
      <c r="Q6309" s="1"/>
      <c r="AD6309" s="1"/>
      <c r="AG6309" s="1"/>
      <c r="AI6309" s="1"/>
    </row>
    <row r="6310" spans="4:35" hidden="1">
      <c r="D6310" s="1"/>
      <c r="K6310" s="1"/>
      <c r="Q6310" s="1"/>
      <c r="AD6310" s="1"/>
      <c r="AG6310" s="1"/>
      <c r="AI6310" s="1"/>
    </row>
    <row r="6311" spans="4:35" hidden="1">
      <c r="D6311" s="1"/>
      <c r="K6311" s="1"/>
      <c r="Q6311" s="1"/>
      <c r="AD6311" s="1"/>
      <c r="AG6311" s="1"/>
      <c r="AI6311" s="1"/>
    </row>
    <row r="6312" spans="4:35" hidden="1">
      <c r="D6312" s="1"/>
      <c r="K6312" s="1"/>
      <c r="Q6312" s="1"/>
      <c r="AD6312" s="1"/>
      <c r="AG6312" s="1"/>
      <c r="AI6312" s="1"/>
    </row>
    <row r="6313" spans="4:35" hidden="1">
      <c r="D6313" s="1"/>
      <c r="K6313" s="1"/>
      <c r="Q6313" s="1"/>
      <c r="AD6313" s="1"/>
      <c r="AG6313" s="1"/>
      <c r="AI6313" s="1"/>
    </row>
    <row r="6314" spans="4:35" hidden="1">
      <c r="D6314" s="1"/>
      <c r="K6314" s="1"/>
      <c r="Q6314" s="1"/>
      <c r="AD6314" s="1"/>
      <c r="AG6314" s="1"/>
      <c r="AI6314" s="1"/>
    </row>
    <row r="6315" spans="4:35" hidden="1">
      <c r="D6315" s="1"/>
      <c r="K6315" s="1"/>
      <c r="Q6315" s="1"/>
      <c r="AD6315" s="1"/>
      <c r="AG6315" s="1"/>
      <c r="AI6315" s="1"/>
    </row>
    <row r="6316" spans="4:35" hidden="1">
      <c r="D6316" s="1"/>
      <c r="K6316" s="1"/>
      <c r="Q6316" s="1"/>
      <c r="AD6316" s="1"/>
      <c r="AG6316" s="1"/>
      <c r="AI6316" s="1"/>
    </row>
    <row r="6317" spans="4:35" hidden="1">
      <c r="D6317" s="1"/>
      <c r="K6317" s="1"/>
      <c r="Q6317" s="1"/>
      <c r="AD6317" s="1"/>
      <c r="AG6317" s="1"/>
      <c r="AI6317" s="1"/>
    </row>
    <row r="6318" spans="4:35" hidden="1">
      <c r="D6318" s="1"/>
      <c r="K6318" s="1"/>
      <c r="Q6318" s="1"/>
      <c r="AD6318" s="1"/>
      <c r="AG6318" s="1"/>
      <c r="AI6318" s="1"/>
    </row>
    <row r="6319" spans="4:35" hidden="1">
      <c r="D6319" s="1"/>
      <c r="K6319" s="1"/>
      <c r="Q6319" s="1"/>
      <c r="AD6319" s="1"/>
      <c r="AG6319" s="1"/>
      <c r="AI6319" s="1"/>
    </row>
    <row r="6320" spans="4:35" hidden="1">
      <c r="D6320" s="1"/>
      <c r="K6320" s="1"/>
      <c r="Q6320" s="1"/>
      <c r="AD6320" s="1"/>
      <c r="AG6320" s="1"/>
      <c r="AI6320" s="1"/>
    </row>
    <row r="6321" spans="4:35" hidden="1">
      <c r="D6321" s="1"/>
      <c r="K6321" s="1"/>
      <c r="Q6321" s="1"/>
      <c r="AD6321" s="1"/>
      <c r="AG6321" s="1"/>
      <c r="AI6321" s="1"/>
    </row>
    <row r="6322" spans="4:35" hidden="1">
      <c r="D6322" s="1"/>
      <c r="K6322" s="1"/>
      <c r="Q6322" s="1"/>
      <c r="AD6322" s="1"/>
      <c r="AG6322" s="1"/>
      <c r="AI6322" s="1"/>
    </row>
    <row r="6323" spans="4:35" hidden="1">
      <c r="D6323" s="1"/>
      <c r="K6323" s="1"/>
      <c r="Q6323" s="1"/>
      <c r="AD6323" s="1"/>
      <c r="AG6323" s="1"/>
      <c r="AI6323" s="1"/>
    </row>
    <row r="6324" spans="4:35" hidden="1">
      <c r="D6324" s="1"/>
      <c r="K6324" s="1"/>
      <c r="Q6324" s="1"/>
      <c r="AD6324" s="1"/>
      <c r="AG6324" s="1"/>
      <c r="AI6324" s="1"/>
    </row>
    <row r="6325" spans="4:35" hidden="1">
      <c r="D6325" s="1"/>
      <c r="K6325" s="1"/>
      <c r="Q6325" s="1"/>
      <c r="AD6325" s="1"/>
      <c r="AG6325" s="1"/>
      <c r="AI6325" s="1"/>
    </row>
    <row r="6326" spans="4:35" hidden="1">
      <c r="D6326" s="1"/>
      <c r="K6326" s="1"/>
      <c r="Q6326" s="1"/>
      <c r="AD6326" s="1"/>
      <c r="AG6326" s="1"/>
      <c r="AI6326" s="1"/>
    </row>
    <row r="6327" spans="4:35" hidden="1">
      <c r="D6327" s="1"/>
      <c r="K6327" s="1"/>
      <c r="Q6327" s="1"/>
      <c r="AD6327" s="1"/>
      <c r="AG6327" s="1"/>
      <c r="AI6327" s="1"/>
    </row>
    <row r="6328" spans="4:35" hidden="1">
      <c r="D6328" s="1"/>
      <c r="K6328" s="1"/>
      <c r="Q6328" s="1"/>
      <c r="AD6328" s="1"/>
      <c r="AG6328" s="1"/>
      <c r="AI6328" s="1"/>
    </row>
    <row r="6329" spans="4:35" hidden="1">
      <c r="D6329" s="1"/>
      <c r="K6329" s="1"/>
      <c r="Q6329" s="1"/>
      <c r="AD6329" s="1"/>
      <c r="AG6329" s="1"/>
      <c r="AI6329" s="1"/>
    </row>
    <row r="6330" spans="4:35" hidden="1">
      <c r="D6330" s="1"/>
      <c r="K6330" s="1"/>
      <c r="Q6330" s="1"/>
      <c r="AD6330" s="1"/>
      <c r="AG6330" s="1"/>
      <c r="AI6330" s="1"/>
    </row>
    <row r="6331" spans="4:35" hidden="1">
      <c r="D6331" s="1"/>
      <c r="K6331" s="1"/>
      <c r="Q6331" s="1"/>
      <c r="AD6331" s="1"/>
      <c r="AG6331" s="1"/>
      <c r="AI6331" s="1"/>
    </row>
    <row r="6332" spans="4:35" hidden="1">
      <c r="D6332" s="1"/>
      <c r="K6332" s="1"/>
      <c r="Q6332" s="1"/>
      <c r="AD6332" s="1"/>
      <c r="AG6332" s="1"/>
      <c r="AI6332" s="1"/>
    </row>
    <row r="6333" spans="4:35" hidden="1">
      <c r="D6333" s="1"/>
      <c r="K6333" s="1"/>
      <c r="Q6333" s="1"/>
      <c r="AD6333" s="1"/>
      <c r="AG6333" s="1"/>
      <c r="AI6333" s="1"/>
    </row>
    <row r="6334" spans="4:35" hidden="1">
      <c r="D6334" s="1"/>
      <c r="K6334" s="1"/>
      <c r="Q6334" s="1"/>
      <c r="AD6334" s="1"/>
      <c r="AG6334" s="1"/>
      <c r="AI6334" s="1"/>
    </row>
    <row r="6335" spans="4:35" hidden="1">
      <c r="D6335" s="1"/>
      <c r="K6335" s="1"/>
      <c r="Q6335" s="1"/>
      <c r="AD6335" s="1"/>
      <c r="AG6335" s="1"/>
      <c r="AI6335" s="1"/>
    </row>
    <row r="6336" spans="4:35" hidden="1">
      <c r="D6336" s="1"/>
      <c r="K6336" s="1"/>
      <c r="Q6336" s="1"/>
      <c r="AD6336" s="1"/>
      <c r="AG6336" s="1"/>
      <c r="AI6336" s="1"/>
    </row>
    <row r="6337" spans="4:35" hidden="1">
      <c r="D6337" s="1"/>
      <c r="K6337" s="1"/>
      <c r="Q6337" s="1"/>
      <c r="AD6337" s="1"/>
      <c r="AG6337" s="1"/>
      <c r="AI6337" s="1"/>
    </row>
    <row r="6338" spans="4:35" hidden="1">
      <c r="D6338" s="1"/>
      <c r="K6338" s="1"/>
      <c r="Q6338" s="1"/>
      <c r="AD6338" s="1"/>
      <c r="AG6338" s="1"/>
      <c r="AI6338" s="1"/>
    </row>
    <row r="6339" spans="4:35" hidden="1">
      <c r="D6339" s="1"/>
      <c r="K6339" s="1"/>
      <c r="Q6339" s="1"/>
      <c r="AD6339" s="1"/>
      <c r="AG6339" s="1"/>
      <c r="AI6339" s="1"/>
    </row>
    <row r="6340" spans="4:35" hidden="1">
      <c r="D6340" s="1"/>
      <c r="K6340" s="1"/>
      <c r="Q6340" s="1"/>
      <c r="AD6340" s="1"/>
      <c r="AG6340" s="1"/>
      <c r="AI6340" s="1"/>
    </row>
    <row r="6341" spans="4:35" hidden="1">
      <c r="D6341" s="1"/>
      <c r="K6341" s="1"/>
      <c r="Q6341" s="1"/>
      <c r="AD6341" s="1"/>
      <c r="AG6341" s="1"/>
      <c r="AI6341" s="1"/>
    </row>
    <row r="6342" spans="4:35" hidden="1">
      <c r="D6342" s="1"/>
      <c r="K6342" s="1"/>
      <c r="Q6342" s="1"/>
      <c r="AD6342" s="1"/>
      <c r="AG6342" s="1"/>
      <c r="AI6342" s="1"/>
    </row>
    <row r="6343" spans="4:35" hidden="1">
      <c r="D6343" s="1"/>
      <c r="K6343" s="1"/>
      <c r="Q6343" s="1"/>
      <c r="AD6343" s="1"/>
      <c r="AG6343" s="1"/>
      <c r="AI6343" s="1"/>
    </row>
    <row r="6344" spans="4:35" hidden="1">
      <c r="D6344" s="1"/>
      <c r="K6344" s="1"/>
      <c r="Q6344" s="1"/>
      <c r="AD6344" s="1"/>
      <c r="AG6344" s="1"/>
      <c r="AI6344" s="1"/>
    </row>
    <row r="6345" spans="4:35" hidden="1">
      <c r="D6345" s="1"/>
      <c r="K6345" s="1"/>
      <c r="Q6345" s="1"/>
      <c r="AD6345" s="1"/>
      <c r="AG6345" s="1"/>
      <c r="AI6345" s="1"/>
    </row>
    <row r="6346" spans="4:35" hidden="1">
      <c r="D6346" s="1"/>
      <c r="K6346" s="1"/>
      <c r="Q6346" s="1"/>
      <c r="AD6346" s="1"/>
      <c r="AG6346" s="1"/>
      <c r="AI6346" s="1"/>
    </row>
    <row r="6347" spans="4:35" hidden="1">
      <c r="D6347" s="1"/>
      <c r="K6347" s="1"/>
      <c r="Q6347" s="1"/>
      <c r="AD6347" s="1"/>
      <c r="AG6347" s="1"/>
      <c r="AI6347" s="1"/>
    </row>
    <row r="6348" spans="4:35" hidden="1">
      <c r="D6348" s="1"/>
      <c r="K6348" s="1"/>
      <c r="Q6348" s="1"/>
      <c r="AD6348" s="1"/>
      <c r="AG6348" s="1"/>
      <c r="AI6348" s="1"/>
    </row>
    <row r="6349" spans="4:35" hidden="1">
      <c r="D6349" s="1"/>
      <c r="K6349" s="1"/>
      <c r="Q6349" s="1"/>
      <c r="AD6349" s="1"/>
      <c r="AG6349" s="1"/>
      <c r="AI6349" s="1"/>
    </row>
    <row r="6350" spans="4:35" hidden="1">
      <c r="D6350" s="1"/>
      <c r="K6350" s="1"/>
      <c r="Q6350" s="1"/>
      <c r="AD6350" s="1"/>
      <c r="AG6350" s="1"/>
      <c r="AI6350" s="1"/>
    </row>
    <row r="6351" spans="4:35" hidden="1">
      <c r="D6351" s="1"/>
      <c r="K6351" s="1"/>
      <c r="Q6351" s="1"/>
      <c r="AD6351" s="1"/>
      <c r="AG6351" s="1"/>
      <c r="AI6351" s="1"/>
    </row>
    <row r="6352" spans="4:35" hidden="1">
      <c r="D6352" s="1"/>
      <c r="K6352" s="1"/>
      <c r="Q6352" s="1"/>
      <c r="AD6352" s="1"/>
      <c r="AG6352" s="1"/>
      <c r="AI6352" s="1"/>
    </row>
    <row r="6353" spans="4:35" hidden="1">
      <c r="D6353" s="1"/>
      <c r="K6353" s="1"/>
      <c r="Q6353" s="1"/>
      <c r="AD6353" s="1"/>
      <c r="AG6353" s="1"/>
      <c r="AI6353" s="1"/>
    </row>
    <row r="6354" spans="4:35" hidden="1">
      <c r="D6354" s="1"/>
      <c r="K6354" s="1"/>
      <c r="Q6354" s="1"/>
      <c r="AD6354" s="1"/>
      <c r="AG6354" s="1"/>
      <c r="AI6354" s="1"/>
    </row>
    <row r="6355" spans="4:35" hidden="1">
      <c r="D6355" s="1"/>
      <c r="K6355" s="1"/>
      <c r="Q6355" s="1"/>
      <c r="AD6355" s="1"/>
      <c r="AG6355" s="1"/>
      <c r="AI6355" s="1"/>
    </row>
    <row r="6356" spans="4:35" hidden="1">
      <c r="D6356" s="1"/>
      <c r="K6356" s="1"/>
      <c r="Q6356" s="1"/>
      <c r="AD6356" s="1"/>
      <c r="AG6356" s="1"/>
      <c r="AI6356" s="1"/>
    </row>
    <row r="6357" spans="4:35" hidden="1">
      <c r="D6357" s="1"/>
      <c r="K6357" s="1"/>
      <c r="Q6357" s="1"/>
      <c r="AD6357" s="1"/>
      <c r="AG6357" s="1"/>
      <c r="AI6357" s="1"/>
    </row>
    <row r="6358" spans="4:35" hidden="1">
      <c r="D6358" s="1"/>
      <c r="K6358" s="1"/>
      <c r="Q6358" s="1"/>
      <c r="AD6358" s="1"/>
      <c r="AG6358" s="1"/>
      <c r="AI6358" s="1"/>
    </row>
    <row r="6359" spans="4:35" hidden="1">
      <c r="D6359" s="1"/>
      <c r="K6359" s="1"/>
      <c r="Q6359" s="1"/>
      <c r="AD6359" s="1"/>
      <c r="AG6359" s="1"/>
      <c r="AI6359" s="1"/>
    </row>
    <row r="6360" spans="4:35" hidden="1">
      <c r="D6360" s="1"/>
      <c r="K6360" s="1"/>
      <c r="Q6360" s="1"/>
      <c r="AD6360" s="1"/>
      <c r="AG6360" s="1"/>
      <c r="AI6360" s="1"/>
    </row>
    <row r="6361" spans="4:35" hidden="1">
      <c r="D6361" s="1"/>
      <c r="K6361" s="1"/>
      <c r="Q6361" s="1"/>
      <c r="AD6361" s="1"/>
      <c r="AG6361" s="1"/>
      <c r="AI6361" s="1"/>
    </row>
    <row r="6362" spans="4:35" hidden="1">
      <c r="D6362" s="1"/>
      <c r="K6362" s="1"/>
      <c r="Q6362" s="1"/>
      <c r="AD6362" s="1"/>
      <c r="AG6362" s="1"/>
      <c r="AI6362" s="1"/>
    </row>
    <row r="6363" spans="4:35" hidden="1">
      <c r="D6363" s="1"/>
      <c r="K6363" s="1"/>
      <c r="Q6363" s="1"/>
      <c r="AD6363" s="1"/>
      <c r="AG6363" s="1"/>
      <c r="AI6363" s="1"/>
    </row>
    <row r="6364" spans="4:35" hidden="1">
      <c r="D6364" s="1"/>
      <c r="K6364" s="1"/>
      <c r="Q6364" s="1"/>
      <c r="AD6364" s="1"/>
      <c r="AG6364" s="1"/>
      <c r="AI6364" s="1"/>
    </row>
    <row r="6365" spans="4:35" hidden="1">
      <c r="D6365" s="1"/>
      <c r="K6365" s="1"/>
      <c r="Q6365" s="1"/>
      <c r="AD6365" s="1"/>
      <c r="AG6365" s="1"/>
      <c r="AI6365" s="1"/>
    </row>
    <row r="6366" spans="4:35" hidden="1">
      <c r="D6366" s="1"/>
      <c r="K6366" s="1"/>
      <c r="Q6366" s="1"/>
      <c r="AD6366" s="1"/>
      <c r="AG6366" s="1"/>
      <c r="AI6366" s="1"/>
    </row>
    <row r="6367" spans="4:35" hidden="1">
      <c r="D6367" s="1"/>
      <c r="K6367" s="1"/>
      <c r="Q6367" s="1"/>
      <c r="AD6367" s="1"/>
      <c r="AG6367" s="1"/>
      <c r="AI6367" s="1"/>
    </row>
    <row r="6368" spans="4:35" hidden="1">
      <c r="D6368" s="1"/>
      <c r="K6368" s="1"/>
      <c r="Q6368" s="1"/>
      <c r="AD6368" s="1"/>
      <c r="AG6368" s="1"/>
      <c r="AI6368" s="1"/>
    </row>
    <row r="6369" spans="4:35" hidden="1">
      <c r="D6369" s="1"/>
      <c r="K6369" s="1"/>
      <c r="Q6369" s="1"/>
      <c r="AD6369" s="1"/>
      <c r="AG6369" s="1"/>
      <c r="AI6369" s="1"/>
    </row>
    <row r="6370" spans="4:35" hidden="1">
      <c r="D6370" s="1"/>
      <c r="K6370" s="1"/>
      <c r="Q6370" s="1"/>
      <c r="AD6370" s="1"/>
      <c r="AG6370" s="1"/>
      <c r="AI6370" s="1"/>
    </row>
    <row r="6371" spans="4:35" hidden="1">
      <c r="D6371" s="1"/>
      <c r="K6371" s="1"/>
      <c r="Q6371" s="1"/>
      <c r="AD6371" s="1"/>
      <c r="AG6371" s="1"/>
      <c r="AI6371" s="1"/>
    </row>
    <row r="6372" spans="4:35" hidden="1">
      <c r="D6372" s="1"/>
      <c r="K6372" s="1"/>
      <c r="Q6372" s="1"/>
      <c r="AD6372" s="1"/>
      <c r="AG6372" s="1"/>
      <c r="AI6372" s="1"/>
    </row>
    <row r="6373" spans="4:35" hidden="1">
      <c r="D6373" s="1"/>
      <c r="K6373" s="1"/>
      <c r="Q6373" s="1"/>
      <c r="AD6373" s="1"/>
      <c r="AG6373" s="1"/>
      <c r="AI6373" s="1"/>
    </row>
    <row r="6374" spans="4:35" hidden="1">
      <c r="D6374" s="1"/>
      <c r="K6374" s="1"/>
      <c r="Q6374" s="1"/>
      <c r="AD6374" s="1"/>
      <c r="AG6374" s="1"/>
      <c r="AI6374" s="1"/>
    </row>
    <row r="6375" spans="4:35" hidden="1">
      <c r="D6375" s="1"/>
      <c r="K6375" s="1"/>
      <c r="Q6375" s="1"/>
      <c r="AD6375" s="1"/>
      <c r="AG6375" s="1"/>
      <c r="AI6375" s="1"/>
    </row>
    <row r="6376" spans="4:35" hidden="1">
      <c r="D6376" s="1"/>
      <c r="K6376" s="1"/>
      <c r="Q6376" s="1"/>
      <c r="AD6376" s="1"/>
      <c r="AG6376" s="1"/>
      <c r="AI6376" s="1"/>
    </row>
    <row r="6377" spans="4:35" hidden="1">
      <c r="D6377" s="1"/>
      <c r="K6377" s="1"/>
      <c r="Q6377" s="1"/>
      <c r="AD6377" s="1"/>
      <c r="AG6377" s="1"/>
      <c r="AI6377" s="1"/>
    </row>
    <row r="6378" spans="4:35" hidden="1">
      <c r="D6378" s="1"/>
      <c r="K6378" s="1"/>
      <c r="Q6378" s="1"/>
      <c r="AD6378" s="1"/>
      <c r="AG6378" s="1"/>
      <c r="AI6378" s="1"/>
    </row>
    <row r="6379" spans="4:35" hidden="1">
      <c r="D6379" s="1"/>
      <c r="K6379" s="1"/>
      <c r="Q6379" s="1"/>
      <c r="AD6379" s="1"/>
      <c r="AG6379" s="1"/>
      <c r="AI6379" s="1"/>
    </row>
    <row r="6380" spans="4:35" hidden="1">
      <c r="D6380" s="1"/>
      <c r="K6380" s="1"/>
      <c r="Q6380" s="1"/>
      <c r="AD6380" s="1"/>
      <c r="AG6380" s="1"/>
      <c r="AI6380" s="1"/>
    </row>
    <row r="6381" spans="4:35" hidden="1">
      <c r="D6381" s="1"/>
      <c r="K6381" s="1"/>
      <c r="Q6381" s="1"/>
      <c r="AD6381" s="1"/>
      <c r="AG6381" s="1"/>
      <c r="AI6381" s="1"/>
    </row>
    <row r="6382" spans="4:35" hidden="1">
      <c r="D6382" s="1"/>
      <c r="K6382" s="1"/>
      <c r="Q6382" s="1"/>
      <c r="AD6382" s="1"/>
      <c r="AG6382" s="1"/>
      <c r="AI6382" s="1"/>
    </row>
    <row r="6383" spans="4:35" hidden="1">
      <c r="D6383" s="1"/>
      <c r="K6383" s="1"/>
      <c r="Q6383" s="1"/>
      <c r="AD6383" s="1"/>
      <c r="AG6383" s="1"/>
      <c r="AI6383" s="1"/>
    </row>
    <row r="6384" spans="4:35" hidden="1">
      <c r="D6384" s="1"/>
      <c r="K6384" s="1"/>
      <c r="Q6384" s="1"/>
      <c r="AD6384" s="1"/>
      <c r="AG6384" s="1"/>
      <c r="AI6384" s="1"/>
    </row>
    <row r="6385" spans="4:35" hidden="1">
      <c r="D6385" s="1"/>
      <c r="K6385" s="1"/>
      <c r="Q6385" s="1"/>
      <c r="AD6385" s="1"/>
      <c r="AG6385" s="1"/>
      <c r="AI6385" s="1"/>
    </row>
    <row r="6386" spans="4:35" hidden="1">
      <c r="D6386" s="1"/>
      <c r="K6386" s="1"/>
      <c r="Q6386" s="1"/>
      <c r="AD6386" s="1"/>
      <c r="AG6386" s="1"/>
      <c r="AI6386" s="1"/>
    </row>
    <row r="6387" spans="4:35" hidden="1">
      <c r="D6387" s="1"/>
      <c r="K6387" s="1"/>
      <c r="Q6387" s="1"/>
      <c r="AD6387" s="1"/>
      <c r="AG6387" s="1"/>
      <c r="AI6387" s="1"/>
    </row>
    <row r="6388" spans="4:35" hidden="1">
      <c r="D6388" s="1"/>
      <c r="K6388" s="1"/>
      <c r="Q6388" s="1"/>
      <c r="AD6388" s="1"/>
      <c r="AG6388" s="1"/>
      <c r="AI6388" s="1"/>
    </row>
    <row r="6389" spans="4:35" hidden="1">
      <c r="D6389" s="1"/>
      <c r="K6389" s="1"/>
      <c r="Q6389" s="1"/>
      <c r="AD6389" s="1"/>
      <c r="AG6389" s="1"/>
      <c r="AI6389" s="1"/>
    </row>
    <row r="6390" spans="4:35" hidden="1">
      <c r="D6390" s="1"/>
      <c r="K6390" s="1"/>
      <c r="Q6390" s="1"/>
      <c r="AD6390" s="1"/>
      <c r="AG6390" s="1"/>
      <c r="AI6390" s="1"/>
    </row>
    <row r="6391" spans="4:35" hidden="1">
      <c r="D6391" s="1"/>
      <c r="K6391" s="1"/>
      <c r="Q6391" s="1"/>
      <c r="AD6391" s="1"/>
      <c r="AG6391" s="1"/>
      <c r="AI6391" s="1"/>
    </row>
    <row r="6392" spans="4:35" hidden="1">
      <c r="D6392" s="1"/>
      <c r="K6392" s="1"/>
      <c r="Q6392" s="1"/>
      <c r="AD6392" s="1"/>
      <c r="AG6392" s="1"/>
      <c r="AI6392" s="1"/>
    </row>
    <row r="6393" spans="4:35" hidden="1">
      <c r="D6393" s="1"/>
      <c r="K6393" s="1"/>
      <c r="Q6393" s="1"/>
      <c r="AD6393" s="1"/>
      <c r="AG6393" s="1"/>
      <c r="AI6393" s="1"/>
    </row>
    <row r="6394" spans="4:35" hidden="1">
      <c r="D6394" s="1"/>
      <c r="K6394" s="1"/>
      <c r="Q6394" s="1"/>
      <c r="AD6394" s="1"/>
      <c r="AG6394" s="1"/>
      <c r="AI6394" s="1"/>
    </row>
    <row r="6395" spans="4:35" hidden="1">
      <c r="D6395" s="1"/>
      <c r="K6395" s="1"/>
      <c r="Q6395" s="1"/>
      <c r="AD6395" s="1"/>
      <c r="AG6395" s="1"/>
      <c r="AI6395" s="1"/>
    </row>
    <row r="6396" spans="4:35" hidden="1">
      <c r="D6396" s="1"/>
      <c r="K6396" s="1"/>
      <c r="Q6396" s="1"/>
      <c r="AD6396" s="1"/>
      <c r="AG6396" s="1"/>
      <c r="AI6396" s="1"/>
    </row>
    <row r="6397" spans="4:35" hidden="1">
      <c r="D6397" s="1"/>
      <c r="K6397" s="1"/>
      <c r="Q6397" s="1"/>
      <c r="AD6397" s="1"/>
      <c r="AG6397" s="1"/>
      <c r="AI6397" s="1"/>
    </row>
    <row r="6398" spans="4:35" hidden="1">
      <c r="D6398" s="1"/>
      <c r="K6398" s="1"/>
      <c r="Q6398" s="1"/>
      <c r="AD6398" s="1"/>
      <c r="AG6398" s="1"/>
      <c r="AI6398" s="1"/>
    </row>
    <row r="6399" spans="4:35" hidden="1">
      <c r="D6399" s="1"/>
      <c r="K6399" s="1"/>
      <c r="Q6399" s="1"/>
      <c r="AD6399" s="1"/>
      <c r="AG6399" s="1"/>
      <c r="AI6399" s="1"/>
    </row>
    <row r="6400" spans="4:35" hidden="1">
      <c r="D6400" s="1"/>
      <c r="K6400" s="1"/>
      <c r="Q6400" s="1"/>
      <c r="AD6400" s="1"/>
      <c r="AG6400" s="1"/>
      <c r="AI6400" s="1"/>
    </row>
    <row r="6401" spans="4:35" hidden="1">
      <c r="D6401" s="1"/>
      <c r="K6401" s="1"/>
      <c r="Q6401" s="1"/>
      <c r="AD6401" s="1"/>
      <c r="AG6401" s="1"/>
      <c r="AI6401" s="1"/>
    </row>
    <row r="6402" spans="4:35" hidden="1">
      <c r="D6402" s="1"/>
      <c r="K6402" s="1"/>
      <c r="Q6402" s="1"/>
      <c r="AD6402" s="1"/>
      <c r="AG6402" s="1"/>
      <c r="AI6402" s="1"/>
    </row>
    <row r="6403" spans="4:35" hidden="1">
      <c r="D6403" s="1"/>
      <c r="K6403" s="1"/>
      <c r="Q6403" s="1"/>
      <c r="AD6403" s="1"/>
      <c r="AG6403" s="1"/>
      <c r="AI6403" s="1"/>
    </row>
    <row r="6404" spans="4:35" hidden="1">
      <c r="D6404" s="1"/>
      <c r="K6404" s="1"/>
      <c r="Q6404" s="1"/>
      <c r="AD6404" s="1"/>
      <c r="AG6404" s="1"/>
      <c r="AI6404" s="1"/>
    </row>
    <row r="6405" spans="4:35" hidden="1">
      <c r="D6405" s="1"/>
      <c r="K6405" s="1"/>
      <c r="Q6405" s="1"/>
      <c r="AD6405" s="1"/>
      <c r="AG6405" s="1"/>
      <c r="AI6405" s="1"/>
    </row>
    <row r="6406" spans="4:35" hidden="1">
      <c r="D6406" s="1"/>
      <c r="K6406" s="1"/>
      <c r="Q6406" s="1"/>
      <c r="AD6406" s="1"/>
      <c r="AG6406" s="1"/>
      <c r="AI6406" s="1"/>
    </row>
    <row r="6407" spans="4:35" hidden="1">
      <c r="D6407" s="1"/>
      <c r="K6407" s="1"/>
      <c r="Q6407" s="1"/>
      <c r="AD6407" s="1"/>
      <c r="AG6407" s="1"/>
      <c r="AI6407" s="1"/>
    </row>
    <row r="6408" spans="4:35" hidden="1">
      <c r="D6408" s="1"/>
      <c r="K6408" s="1"/>
      <c r="Q6408" s="1"/>
      <c r="AD6408" s="1"/>
      <c r="AG6408" s="1"/>
      <c r="AI6408" s="1"/>
    </row>
    <row r="6409" spans="4:35" hidden="1">
      <c r="D6409" s="1"/>
      <c r="K6409" s="1"/>
      <c r="Q6409" s="1"/>
      <c r="AD6409" s="1"/>
      <c r="AG6409" s="1"/>
      <c r="AI6409" s="1"/>
    </row>
    <row r="6410" spans="4:35" hidden="1">
      <c r="D6410" s="1"/>
      <c r="K6410" s="1"/>
      <c r="Q6410" s="1"/>
      <c r="AD6410" s="1"/>
      <c r="AG6410" s="1"/>
      <c r="AI6410" s="1"/>
    </row>
    <row r="6411" spans="4:35" hidden="1">
      <c r="D6411" s="1"/>
      <c r="K6411" s="1"/>
      <c r="Q6411" s="1"/>
      <c r="AD6411" s="1"/>
      <c r="AG6411" s="1"/>
      <c r="AI6411" s="1"/>
    </row>
    <row r="6412" spans="4:35" hidden="1">
      <c r="D6412" s="1"/>
      <c r="K6412" s="1"/>
      <c r="Q6412" s="1"/>
      <c r="AD6412" s="1"/>
      <c r="AG6412" s="1"/>
      <c r="AI6412" s="1"/>
    </row>
    <row r="6413" spans="4:35" hidden="1">
      <c r="D6413" s="1"/>
      <c r="K6413" s="1"/>
      <c r="Q6413" s="1"/>
      <c r="AD6413" s="1"/>
      <c r="AG6413" s="1"/>
      <c r="AI6413" s="1"/>
    </row>
    <row r="6414" spans="4:35" hidden="1">
      <c r="D6414" s="1"/>
      <c r="K6414" s="1"/>
      <c r="Q6414" s="1"/>
      <c r="AD6414" s="1"/>
      <c r="AG6414" s="1"/>
      <c r="AI6414" s="1"/>
    </row>
    <row r="6415" spans="4:35" hidden="1">
      <c r="D6415" s="1"/>
      <c r="K6415" s="1"/>
      <c r="Q6415" s="1"/>
      <c r="AD6415" s="1"/>
      <c r="AG6415" s="1"/>
      <c r="AI6415" s="1"/>
    </row>
    <row r="6416" spans="4:35" hidden="1">
      <c r="D6416" s="1"/>
      <c r="K6416" s="1"/>
      <c r="Q6416" s="1"/>
      <c r="AD6416" s="1"/>
      <c r="AG6416" s="1"/>
      <c r="AI6416" s="1"/>
    </row>
    <row r="6417" spans="4:35" hidden="1">
      <c r="D6417" s="1"/>
      <c r="K6417" s="1"/>
      <c r="Q6417" s="1"/>
      <c r="AD6417" s="1"/>
      <c r="AG6417" s="1"/>
      <c r="AI6417" s="1"/>
    </row>
    <row r="6418" spans="4:35" hidden="1">
      <c r="D6418" s="1"/>
      <c r="K6418" s="1"/>
      <c r="Q6418" s="1"/>
      <c r="AD6418" s="1"/>
      <c r="AG6418" s="1"/>
      <c r="AI6418" s="1"/>
    </row>
    <row r="6419" spans="4:35" hidden="1">
      <c r="D6419" s="1"/>
      <c r="K6419" s="1"/>
      <c r="Q6419" s="1"/>
      <c r="AD6419" s="1"/>
      <c r="AG6419" s="1"/>
      <c r="AI6419" s="1"/>
    </row>
    <row r="6420" spans="4:35" hidden="1">
      <c r="D6420" s="1"/>
      <c r="K6420" s="1"/>
      <c r="Q6420" s="1"/>
      <c r="AD6420" s="1"/>
      <c r="AG6420" s="1"/>
      <c r="AI6420" s="1"/>
    </row>
    <row r="6421" spans="4:35" hidden="1">
      <c r="D6421" s="1"/>
      <c r="K6421" s="1"/>
      <c r="Q6421" s="1"/>
      <c r="AD6421" s="1"/>
      <c r="AG6421" s="1"/>
      <c r="AI6421" s="1"/>
    </row>
    <row r="6422" spans="4:35" hidden="1">
      <c r="D6422" s="1"/>
      <c r="K6422" s="1"/>
      <c r="Q6422" s="1"/>
      <c r="AD6422" s="1"/>
      <c r="AG6422" s="1"/>
      <c r="AI6422" s="1"/>
    </row>
    <row r="6423" spans="4:35" hidden="1">
      <c r="D6423" s="1"/>
      <c r="K6423" s="1"/>
      <c r="Q6423" s="1"/>
      <c r="AD6423" s="1"/>
      <c r="AG6423" s="1"/>
      <c r="AI6423" s="1"/>
    </row>
    <row r="6424" spans="4:35" hidden="1">
      <c r="D6424" s="1"/>
      <c r="K6424" s="1"/>
      <c r="Q6424" s="1"/>
      <c r="AD6424" s="1"/>
      <c r="AG6424" s="1"/>
      <c r="AI6424" s="1"/>
    </row>
    <row r="6425" spans="4:35" hidden="1">
      <c r="D6425" s="1"/>
      <c r="K6425" s="1"/>
      <c r="Q6425" s="1"/>
      <c r="AD6425" s="1"/>
      <c r="AG6425" s="1"/>
      <c r="AI6425" s="1"/>
    </row>
    <row r="6426" spans="4:35" hidden="1">
      <c r="D6426" s="1"/>
      <c r="K6426" s="1"/>
      <c r="Q6426" s="1"/>
      <c r="AD6426" s="1"/>
      <c r="AG6426" s="1"/>
      <c r="AI6426" s="1"/>
    </row>
    <row r="6427" spans="4:35" hidden="1">
      <c r="D6427" s="1"/>
      <c r="K6427" s="1"/>
      <c r="Q6427" s="1"/>
      <c r="AD6427" s="1"/>
      <c r="AG6427" s="1"/>
      <c r="AI6427" s="1"/>
    </row>
    <row r="6428" spans="4:35" hidden="1">
      <c r="D6428" s="1"/>
      <c r="K6428" s="1"/>
      <c r="Q6428" s="1"/>
      <c r="AD6428" s="1"/>
      <c r="AG6428" s="1"/>
      <c r="AI6428" s="1"/>
    </row>
    <row r="6429" spans="4:35" hidden="1">
      <c r="D6429" s="1"/>
      <c r="K6429" s="1"/>
      <c r="Q6429" s="1"/>
      <c r="AD6429" s="1"/>
      <c r="AG6429" s="1"/>
      <c r="AI6429" s="1"/>
    </row>
    <row r="6430" spans="4:35" hidden="1">
      <c r="D6430" s="1"/>
      <c r="K6430" s="1"/>
      <c r="Q6430" s="1"/>
      <c r="AD6430" s="1"/>
      <c r="AG6430" s="1"/>
      <c r="AI6430" s="1"/>
    </row>
    <row r="6431" spans="4:35" hidden="1">
      <c r="D6431" s="1"/>
      <c r="K6431" s="1"/>
      <c r="Q6431" s="1"/>
      <c r="AD6431" s="1"/>
      <c r="AG6431" s="1"/>
      <c r="AI6431" s="1"/>
    </row>
    <row r="6432" spans="4:35" hidden="1">
      <c r="D6432" s="1"/>
      <c r="K6432" s="1"/>
      <c r="Q6432" s="1"/>
      <c r="AD6432" s="1"/>
      <c r="AG6432" s="1"/>
      <c r="AI6432" s="1"/>
    </row>
    <row r="6433" spans="4:35" hidden="1">
      <c r="D6433" s="1"/>
      <c r="K6433" s="1"/>
      <c r="Q6433" s="1"/>
      <c r="AD6433" s="1"/>
      <c r="AG6433" s="1"/>
      <c r="AI6433" s="1"/>
    </row>
    <row r="6434" spans="4:35" hidden="1">
      <c r="D6434" s="1"/>
      <c r="K6434" s="1"/>
      <c r="Q6434" s="1"/>
      <c r="AD6434" s="1"/>
      <c r="AG6434" s="1"/>
      <c r="AI6434" s="1"/>
    </row>
    <row r="6435" spans="4:35" hidden="1">
      <c r="D6435" s="1"/>
      <c r="K6435" s="1"/>
      <c r="Q6435" s="1"/>
      <c r="AD6435" s="1"/>
      <c r="AG6435" s="1"/>
      <c r="AI6435" s="1"/>
    </row>
    <row r="6436" spans="4:35" hidden="1">
      <c r="D6436" s="1"/>
      <c r="K6436" s="1"/>
      <c r="Q6436" s="1"/>
      <c r="AD6436" s="1"/>
      <c r="AG6436" s="1"/>
      <c r="AI6436" s="1"/>
    </row>
    <row r="6437" spans="4:35" hidden="1">
      <c r="D6437" s="1"/>
      <c r="K6437" s="1"/>
      <c r="Q6437" s="1"/>
      <c r="AD6437" s="1"/>
      <c r="AG6437" s="1"/>
      <c r="AI6437" s="1"/>
    </row>
    <row r="6438" spans="4:35" hidden="1">
      <c r="D6438" s="1"/>
      <c r="K6438" s="1"/>
      <c r="Q6438" s="1"/>
      <c r="AD6438" s="1"/>
      <c r="AG6438" s="1"/>
      <c r="AI6438" s="1"/>
    </row>
    <row r="6439" spans="4:35" hidden="1">
      <c r="D6439" s="1"/>
      <c r="K6439" s="1"/>
      <c r="Q6439" s="1"/>
      <c r="AD6439" s="1"/>
      <c r="AG6439" s="1"/>
      <c r="AI6439" s="1"/>
    </row>
    <row r="6440" spans="4:35" hidden="1">
      <c r="D6440" s="1"/>
      <c r="K6440" s="1"/>
      <c r="Q6440" s="1"/>
      <c r="AD6440" s="1"/>
      <c r="AG6440" s="1"/>
      <c r="AI6440" s="1"/>
    </row>
    <row r="6441" spans="4:35" hidden="1">
      <c r="D6441" s="1"/>
      <c r="K6441" s="1"/>
      <c r="Q6441" s="1"/>
      <c r="AD6441" s="1"/>
      <c r="AG6441" s="1"/>
      <c r="AI6441" s="1"/>
    </row>
    <row r="6442" spans="4:35" hidden="1">
      <c r="D6442" s="1"/>
      <c r="K6442" s="1"/>
      <c r="Q6442" s="1"/>
      <c r="AD6442" s="1"/>
      <c r="AG6442" s="1"/>
      <c r="AI6442" s="1"/>
    </row>
    <row r="6443" spans="4:35" hidden="1">
      <c r="D6443" s="1"/>
      <c r="K6443" s="1"/>
      <c r="Q6443" s="1"/>
      <c r="AD6443" s="1"/>
      <c r="AG6443" s="1"/>
      <c r="AI6443" s="1"/>
    </row>
    <row r="6444" spans="4:35" hidden="1">
      <c r="D6444" s="1"/>
      <c r="K6444" s="1"/>
      <c r="Q6444" s="1"/>
      <c r="AD6444" s="1"/>
      <c r="AG6444" s="1"/>
      <c r="AI6444" s="1"/>
    </row>
    <row r="6445" spans="4:35" hidden="1">
      <c r="D6445" s="1"/>
      <c r="K6445" s="1"/>
      <c r="Q6445" s="1"/>
      <c r="AD6445" s="1"/>
      <c r="AG6445" s="1"/>
      <c r="AI6445" s="1"/>
    </row>
    <row r="6446" spans="4:35" hidden="1">
      <c r="D6446" s="1"/>
      <c r="K6446" s="1"/>
      <c r="Q6446" s="1"/>
      <c r="AD6446" s="1"/>
      <c r="AG6446" s="1"/>
      <c r="AI6446" s="1"/>
    </row>
    <row r="6447" spans="4:35" hidden="1">
      <c r="D6447" s="1"/>
      <c r="K6447" s="1"/>
      <c r="Q6447" s="1"/>
      <c r="AD6447" s="1"/>
      <c r="AG6447" s="1"/>
      <c r="AI6447" s="1"/>
    </row>
    <row r="6448" spans="4:35" hidden="1">
      <c r="D6448" s="1"/>
      <c r="K6448" s="1"/>
      <c r="Q6448" s="1"/>
      <c r="AD6448" s="1"/>
      <c r="AG6448" s="1"/>
      <c r="AI6448" s="1"/>
    </row>
    <row r="6449" spans="4:35" hidden="1">
      <c r="D6449" s="1"/>
      <c r="K6449" s="1"/>
      <c r="Q6449" s="1"/>
      <c r="AD6449" s="1"/>
      <c r="AG6449" s="1"/>
      <c r="AI6449" s="1"/>
    </row>
    <row r="6450" spans="4:35" hidden="1">
      <c r="D6450" s="1"/>
      <c r="K6450" s="1"/>
      <c r="Q6450" s="1"/>
      <c r="AD6450" s="1"/>
      <c r="AG6450" s="1"/>
      <c r="AI6450" s="1"/>
    </row>
    <row r="6451" spans="4:35" hidden="1">
      <c r="D6451" s="1"/>
      <c r="K6451" s="1"/>
      <c r="Q6451" s="1"/>
      <c r="AD6451" s="1"/>
      <c r="AG6451" s="1"/>
      <c r="AI6451" s="1"/>
    </row>
    <row r="6452" spans="4:35" hidden="1">
      <c r="D6452" s="1"/>
      <c r="K6452" s="1"/>
      <c r="Q6452" s="1"/>
      <c r="AD6452" s="1"/>
      <c r="AG6452" s="1"/>
      <c r="AI6452" s="1"/>
    </row>
    <row r="6453" spans="4:35" hidden="1">
      <c r="D6453" s="1"/>
      <c r="K6453" s="1"/>
      <c r="Q6453" s="1"/>
      <c r="AD6453" s="1"/>
      <c r="AG6453" s="1"/>
      <c r="AI6453" s="1"/>
    </row>
    <row r="6454" spans="4:35" hidden="1">
      <c r="D6454" s="1"/>
      <c r="K6454" s="1"/>
      <c r="Q6454" s="1"/>
      <c r="AD6454" s="1"/>
      <c r="AG6454" s="1"/>
      <c r="AI6454" s="1"/>
    </row>
    <row r="6455" spans="4:35" hidden="1">
      <c r="D6455" s="1"/>
      <c r="K6455" s="1"/>
      <c r="Q6455" s="1"/>
      <c r="AD6455" s="1"/>
      <c r="AG6455" s="1"/>
      <c r="AI6455" s="1"/>
    </row>
    <row r="6456" spans="4:35" hidden="1">
      <c r="D6456" s="1"/>
      <c r="K6456" s="1"/>
      <c r="Q6456" s="1"/>
      <c r="AD6456" s="1"/>
      <c r="AG6456" s="1"/>
      <c r="AI6456" s="1"/>
    </row>
    <row r="6457" spans="4:35" hidden="1">
      <c r="D6457" s="1"/>
      <c r="K6457" s="1"/>
      <c r="Q6457" s="1"/>
      <c r="AD6457" s="1"/>
      <c r="AG6457" s="1"/>
      <c r="AI6457" s="1"/>
    </row>
    <row r="6458" spans="4:35" hidden="1">
      <c r="D6458" s="1"/>
      <c r="K6458" s="1"/>
      <c r="Q6458" s="1"/>
      <c r="AD6458" s="1"/>
      <c r="AG6458" s="1"/>
      <c r="AI6458" s="1"/>
    </row>
    <row r="6459" spans="4:35" hidden="1">
      <c r="D6459" s="1"/>
      <c r="K6459" s="1"/>
      <c r="Q6459" s="1"/>
      <c r="AD6459" s="1"/>
      <c r="AG6459" s="1"/>
      <c r="AI6459" s="1"/>
    </row>
    <row r="6460" spans="4:35" hidden="1">
      <c r="D6460" s="1"/>
      <c r="K6460" s="1"/>
      <c r="Q6460" s="1"/>
      <c r="AD6460" s="1"/>
      <c r="AG6460" s="1"/>
      <c r="AI6460" s="1"/>
    </row>
    <row r="6461" spans="4:35" hidden="1">
      <c r="D6461" s="1"/>
      <c r="K6461" s="1"/>
      <c r="Q6461" s="1"/>
      <c r="AD6461" s="1"/>
      <c r="AG6461" s="1"/>
      <c r="AI6461" s="1"/>
    </row>
    <row r="6462" spans="4:35" hidden="1">
      <c r="D6462" s="1"/>
      <c r="K6462" s="1"/>
      <c r="Q6462" s="1"/>
      <c r="AD6462" s="1"/>
      <c r="AG6462" s="1"/>
      <c r="AI6462" s="1"/>
    </row>
    <row r="6463" spans="4:35" hidden="1">
      <c r="D6463" s="1"/>
      <c r="K6463" s="1"/>
      <c r="Q6463" s="1"/>
      <c r="AD6463" s="1"/>
      <c r="AG6463" s="1"/>
      <c r="AI6463" s="1"/>
    </row>
    <row r="6464" spans="4:35" hidden="1">
      <c r="D6464" s="1"/>
      <c r="K6464" s="1"/>
      <c r="Q6464" s="1"/>
      <c r="AD6464" s="1"/>
      <c r="AG6464" s="1"/>
      <c r="AI6464" s="1"/>
    </row>
    <row r="6465" spans="4:35" hidden="1">
      <c r="D6465" s="1"/>
      <c r="K6465" s="1"/>
      <c r="Q6465" s="1"/>
      <c r="AD6465" s="1"/>
      <c r="AG6465" s="1"/>
      <c r="AI6465" s="1"/>
    </row>
    <row r="6466" spans="4:35" hidden="1">
      <c r="D6466" s="1"/>
      <c r="K6466" s="1"/>
      <c r="Q6466" s="1"/>
      <c r="AD6466" s="1"/>
      <c r="AG6466" s="1"/>
      <c r="AI6466" s="1"/>
    </row>
    <row r="6467" spans="4:35" hidden="1">
      <c r="D6467" s="1"/>
      <c r="K6467" s="1"/>
      <c r="Q6467" s="1"/>
      <c r="AD6467" s="1"/>
      <c r="AG6467" s="1"/>
      <c r="AI6467" s="1"/>
    </row>
    <row r="6468" spans="4:35" hidden="1">
      <c r="D6468" s="1"/>
      <c r="K6468" s="1"/>
      <c r="Q6468" s="1"/>
      <c r="AD6468" s="1"/>
      <c r="AG6468" s="1"/>
      <c r="AI6468" s="1"/>
    </row>
    <row r="6469" spans="4:35" hidden="1">
      <c r="D6469" s="1"/>
      <c r="K6469" s="1"/>
      <c r="Q6469" s="1"/>
      <c r="AD6469" s="1"/>
      <c r="AG6469" s="1"/>
      <c r="AI6469" s="1"/>
    </row>
    <row r="6470" spans="4:35" hidden="1">
      <c r="D6470" s="1"/>
      <c r="K6470" s="1"/>
      <c r="Q6470" s="1"/>
      <c r="AD6470" s="1"/>
      <c r="AG6470" s="1"/>
      <c r="AI6470" s="1"/>
    </row>
    <row r="6471" spans="4:35" hidden="1">
      <c r="D6471" s="1"/>
      <c r="K6471" s="1"/>
      <c r="Q6471" s="1"/>
      <c r="AD6471" s="1"/>
      <c r="AG6471" s="1"/>
      <c r="AI6471" s="1"/>
    </row>
    <row r="6472" spans="4:35" hidden="1">
      <c r="D6472" s="1"/>
      <c r="K6472" s="1"/>
      <c r="Q6472" s="1"/>
      <c r="AD6472" s="1"/>
      <c r="AG6472" s="1"/>
      <c r="AI6472" s="1"/>
    </row>
    <row r="6473" spans="4:35" hidden="1">
      <c r="D6473" s="1"/>
      <c r="K6473" s="1"/>
      <c r="Q6473" s="1"/>
      <c r="AD6473" s="1"/>
      <c r="AG6473" s="1"/>
      <c r="AI6473" s="1"/>
    </row>
    <row r="6474" spans="4:35" hidden="1">
      <c r="D6474" s="1"/>
      <c r="K6474" s="1"/>
      <c r="Q6474" s="1"/>
      <c r="AD6474" s="1"/>
      <c r="AG6474" s="1"/>
      <c r="AI6474" s="1"/>
    </row>
    <row r="6475" spans="4:35" hidden="1">
      <c r="D6475" s="1"/>
      <c r="K6475" s="1"/>
      <c r="Q6475" s="1"/>
      <c r="AD6475" s="1"/>
      <c r="AG6475" s="1"/>
      <c r="AI6475" s="1"/>
    </row>
    <row r="6476" spans="4:35" hidden="1">
      <c r="D6476" s="1"/>
      <c r="K6476" s="1"/>
      <c r="Q6476" s="1"/>
      <c r="AD6476" s="1"/>
      <c r="AG6476" s="1"/>
      <c r="AI6476" s="1"/>
    </row>
    <row r="6477" spans="4:35" hidden="1">
      <c r="D6477" s="1"/>
      <c r="K6477" s="1"/>
      <c r="Q6477" s="1"/>
      <c r="AD6477" s="1"/>
      <c r="AG6477" s="1"/>
      <c r="AI6477" s="1"/>
    </row>
    <row r="6478" spans="4:35" hidden="1">
      <c r="D6478" s="1"/>
      <c r="K6478" s="1"/>
      <c r="Q6478" s="1"/>
      <c r="AD6478" s="1"/>
      <c r="AG6478" s="1"/>
      <c r="AI6478" s="1"/>
    </row>
    <row r="6479" spans="4:35" hidden="1">
      <c r="D6479" s="1"/>
      <c r="K6479" s="1"/>
      <c r="Q6479" s="1"/>
      <c r="AD6479" s="1"/>
      <c r="AG6479" s="1"/>
      <c r="AI6479" s="1"/>
    </row>
    <row r="6480" spans="4:35" hidden="1">
      <c r="D6480" s="1"/>
      <c r="K6480" s="1"/>
      <c r="Q6480" s="1"/>
      <c r="AD6480" s="1"/>
      <c r="AG6480" s="1"/>
      <c r="AI6480" s="1"/>
    </row>
    <row r="6481" spans="4:35" hidden="1">
      <c r="D6481" s="1"/>
      <c r="K6481" s="1"/>
      <c r="Q6481" s="1"/>
      <c r="AD6481" s="1"/>
      <c r="AG6481" s="1"/>
      <c r="AI6481" s="1"/>
    </row>
    <row r="6482" spans="4:35" hidden="1">
      <c r="D6482" s="1"/>
      <c r="K6482" s="1"/>
      <c r="Q6482" s="1"/>
      <c r="AD6482" s="1"/>
      <c r="AG6482" s="1"/>
      <c r="AI6482" s="1"/>
    </row>
    <row r="6483" spans="4:35" hidden="1">
      <c r="D6483" s="1"/>
      <c r="K6483" s="1"/>
      <c r="Q6483" s="1"/>
      <c r="AD6483" s="1"/>
      <c r="AG6483" s="1"/>
      <c r="AI6483" s="1"/>
    </row>
    <row r="6484" spans="4:35" hidden="1">
      <c r="D6484" s="1"/>
      <c r="K6484" s="1"/>
      <c r="Q6484" s="1"/>
      <c r="AD6484" s="1"/>
      <c r="AG6484" s="1"/>
      <c r="AI6484" s="1"/>
    </row>
    <row r="6485" spans="4:35" hidden="1">
      <c r="D6485" s="1"/>
      <c r="K6485" s="1"/>
      <c r="Q6485" s="1"/>
      <c r="AD6485" s="1"/>
      <c r="AG6485" s="1"/>
      <c r="AI6485" s="1"/>
    </row>
    <row r="6486" spans="4:35" hidden="1">
      <c r="D6486" s="1"/>
      <c r="K6486" s="1"/>
      <c r="Q6486" s="1"/>
      <c r="AD6486" s="1"/>
      <c r="AG6486" s="1"/>
      <c r="AI6486" s="1"/>
    </row>
    <row r="6487" spans="4:35" hidden="1">
      <c r="D6487" s="1"/>
      <c r="K6487" s="1"/>
      <c r="Q6487" s="1"/>
      <c r="AD6487" s="1"/>
      <c r="AG6487" s="1"/>
      <c r="AI6487" s="1"/>
    </row>
    <row r="6488" spans="4:35" hidden="1">
      <c r="D6488" s="1"/>
      <c r="K6488" s="1"/>
      <c r="Q6488" s="1"/>
      <c r="AD6488" s="1"/>
      <c r="AG6488" s="1"/>
      <c r="AI6488" s="1"/>
    </row>
    <row r="6489" spans="4:35" hidden="1">
      <c r="D6489" s="1"/>
      <c r="K6489" s="1"/>
      <c r="Q6489" s="1"/>
      <c r="AD6489" s="1"/>
      <c r="AG6489" s="1"/>
      <c r="AI6489" s="1"/>
    </row>
    <row r="6490" spans="4:35" hidden="1">
      <c r="D6490" s="1"/>
      <c r="K6490" s="1"/>
      <c r="Q6490" s="1"/>
      <c r="AD6490" s="1"/>
      <c r="AG6490" s="1"/>
      <c r="AI6490" s="1"/>
    </row>
    <row r="6491" spans="4:35" hidden="1">
      <c r="D6491" s="1"/>
      <c r="K6491" s="1"/>
      <c r="Q6491" s="1"/>
      <c r="AD6491" s="1"/>
      <c r="AG6491" s="1"/>
      <c r="AI6491" s="1"/>
    </row>
    <row r="6492" spans="4:35" hidden="1">
      <c r="D6492" s="1"/>
      <c r="K6492" s="1"/>
      <c r="Q6492" s="1"/>
      <c r="AD6492" s="1"/>
      <c r="AG6492" s="1"/>
      <c r="AI6492" s="1"/>
    </row>
    <row r="6493" spans="4:35" hidden="1">
      <c r="D6493" s="1"/>
      <c r="K6493" s="1"/>
      <c r="Q6493" s="1"/>
      <c r="AD6493" s="1"/>
      <c r="AG6493" s="1"/>
      <c r="AI6493" s="1"/>
    </row>
    <row r="6494" spans="4:35" hidden="1">
      <c r="D6494" s="1"/>
      <c r="K6494" s="1"/>
      <c r="Q6494" s="1"/>
      <c r="AD6494" s="1"/>
      <c r="AG6494" s="1"/>
      <c r="AI6494" s="1"/>
    </row>
    <row r="6495" spans="4:35" hidden="1">
      <c r="D6495" s="1"/>
      <c r="K6495" s="1"/>
      <c r="Q6495" s="1"/>
      <c r="AD6495" s="1"/>
      <c r="AG6495" s="1"/>
      <c r="AI6495" s="1"/>
    </row>
    <row r="6496" spans="4:35" hidden="1">
      <c r="D6496" s="1"/>
      <c r="K6496" s="1"/>
      <c r="Q6496" s="1"/>
      <c r="AD6496" s="1"/>
      <c r="AG6496" s="1"/>
      <c r="AI6496" s="1"/>
    </row>
    <row r="6497" spans="4:35" hidden="1">
      <c r="D6497" s="1"/>
      <c r="K6497" s="1"/>
      <c r="Q6497" s="1"/>
      <c r="AD6497" s="1"/>
      <c r="AG6497" s="1"/>
      <c r="AI6497" s="1"/>
    </row>
    <row r="6498" spans="4:35" hidden="1">
      <c r="D6498" s="1"/>
      <c r="K6498" s="1"/>
      <c r="Q6498" s="1"/>
      <c r="AD6498" s="1"/>
      <c r="AG6498" s="1"/>
      <c r="AI6498" s="1"/>
    </row>
    <row r="6499" spans="4:35" hidden="1">
      <c r="D6499" s="1"/>
      <c r="K6499" s="1"/>
      <c r="Q6499" s="1"/>
      <c r="AD6499" s="1"/>
      <c r="AG6499" s="1"/>
      <c r="AI6499" s="1"/>
    </row>
    <row r="6500" spans="4:35" hidden="1">
      <c r="D6500" s="1"/>
      <c r="K6500" s="1"/>
      <c r="Q6500" s="1"/>
      <c r="AD6500" s="1"/>
      <c r="AG6500" s="1"/>
      <c r="AI6500" s="1"/>
    </row>
    <row r="6501" spans="4:35" hidden="1">
      <c r="D6501" s="1"/>
      <c r="K6501" s="1"/>
      <c r="Q6501" s="1"/>
      <c r="AD6501" s="1"/>
      <c r="AG6501" s="1"/>
      <c r="AI6501" s="1"/>
    </row>
    <row r="6502" spans="4:35" hidden="1">
      <c r="D6502" s="1"/>
      <c r="K6502" s="1"/>
      <c r="Q6502" s="1"/>
      <c r="AD6502" s="1"/>
      <c r="AG6502" s="1"/>
      <c r="AI6502" s="1"/>
    </row>
    <row r="6503" spans="4:35" hidden="1">
      <c r="D6503" s="1"/>
      <c r="K6503" s="1"/>
      <c r="Q6503" s="1"/>
      <c r="AD6503" s="1"/>
      <c r="AG6503" s="1"/>
      <c r="AI6503" s="1"/>
    </row>
    <row r="6504" spans="4:35" hidden="1">
      <c r="D6504" s="1"/>
      <c r="K6504" s="1"/>
      <c r="Q6504" s="1"/>
      <c r="AD6504" s="1"/>
      <c r="AG6504" s="1"/>
      <c r="AI6504" s="1"/>
    </row>
    <row r="6505" spans="4:35" hidden="1">
      <c r="D6505" s="1"/>
      <c r="K6505" s="1"/>
      <c r="Q6505" s="1"/>
      <c r="AD6505" s="1"/>
      <c r="AG6505" s="1"/>
      <c r="AI6505" s="1"/>
    </row>
    <row r="6506" spans="4:35" hidden="1">
      <c r="D6506" s="1"/>
      <c r="K6506" s="1"/>
      <c r="Q6506" s="1"/>
      <c r="AD6506" s="1"/>
      <c r="AG6506" s="1"/>
      <c r="AI6506" s="1"/>
    </row>
    <row r="6507" spans="4:35" hidden="1">
      <c r="D6507" s="1"/>
      <c r="K6507" s="1"/>
      <c r="Q6507" s="1"/>
      <c r="AD6507" s="1"/>
      <c r="AG6507" s="1"/>
      <c r="AI6507" s="1"/>
    </row>
    <row r="6508" spans="4:35" hidden="1">
      <c r="D6508" s="1"/>
      <c r="K6508" s="1"/>
      <c r="Q6508" s="1"/>
      <c r="AD6508" s="1"/>
      <c r="AG6508" s="1"/>
      <c r="AI6508" s="1"/>
    </row>
    <row r="6509" spans="4:35" hidden="1">
      <c r="D6509" s="1"/>
      <c r="K6509" s="1"/>
      <c r="Q6509" s="1"/>
      <c r="AD6509" s="1"/>
      <c r="AG6509" s="1"/>
      <c r="AI6509" s="1"/>
    </row>
    <row r="6510" spans="4:35" hidden="1">
      <c r="D6510" s="1"/>
      <c r="K6510" s="1"/>
      <c r="Q6510" s="1"/>
      <c r="AD6510" s="1"/>
      <c r="AG6510" s="1"/>
      <c r="AI6510" s="1"/>
    </row>
    <row r="6511" spans="4:35" hidden="1">
      <c r="D6511" s="1"/>
      <c r="K6511" s="1"/>
      <c r="Q6511" s="1"/>
      <c r="AD6511" s="1"/>
      <c r="AG6511" s="1"/>
      <c r="AI6511" s="1"/>
    </row>
    <row r="6512" spans="4:35" hidden="1">
      <c r="D6512" s="1"/>
      <c r="K6512" s="1"/>
      <c r="Q6512" s="1"/>
      <c r="AD6512" s="1"/>
      <c r="AG6512" s="1"/>
      <c r="AI6512" s="1"/>
    </row>
    <row r="6513" spans="4:35" hidden="1">
      <c r="D6513" s="1"/>
      <c r="K6513" s="1"/>
      <c r="Q6513" s="1"/>
      <c r="AD6513" s="1"/>
      <c r="AG6513" s="1"/>
      <c r="AI6513" s="1"/>
    </row>
    <row r="6514" spans="4:35" hidden="1">
      <c r="D6514" s="1"/>
      <c r="K6514" s="1"/>
      <c r="Q6514" s="1"/>
      <c r="AD6514" s="1"/>
      <c r="AG6514" s="1"/>
      <c r="AI6514" s="1"/>
    </row>
    <row r="6515" spans="4:35" hidden="1">
      <c r="D6515" s="1"/>
      <c r="K6515" s="1"/>
      <c r="Q6515" s="1"/>
      <c r="AD6515" s="1"/>
      <c r="AG6515" s="1"/>
      <c r="AI6515" s="1"/>
    </row>
    <row r="6516" spans="4:35" hidden="1">
      <c r="D6516" s="1"/>
      <c r="K6516" s="1"/>
      <c r="Q6516" s="1"/>
      <c r="AD6516" s="1"/>
      <c r="AG6516" s="1"/>
      <c r="AI6516" s="1"/>
    </row>
    <row r="6517" spans="4:35" hidden="1">
      <c r="D6517" s="1"/>
      <c r="K6517" s="1"/>
      <c r="Q6517" s="1"/>
      <c r="AD6517" s="1"/>
      <c r="AG6517" s="1"/>
      <c r="AI6517" s="1"/>
    </row>
    <row r="6518" spans="4:35" hidden="1">
      <c r="D6518" s="1"/>
      <c r="K6518" s="1"/>
      <c r="Q6518" s="1"/>
      <c r="AD6518" s="1"/>
      <c r="AG6518" s="1"/>
      <c r="AI6518" s="1"/>
    </row>
    <row r="6519" spans="4:35" hidden="1">
      <c r="D6519" s="1"/>
      <c r="K6519" s="1"/>
      <c r="Q6519" s="1"/>
      <c r="AD6519" s="1"/>
      <c r="AG6519" s="1"/>
      <c r="AI6519" s="1"/>
    </row>
    <row r="6520" spans="4:35" hidden="1">
      <c r="D6520" s="1"/>
      <c r="K6520" s="1"/>
      <c r="Q6520" s="1"/>
      <c r="AD6520" s="1"/>
      <c r="AG6520" s="1"/>
      <c r="AI6520" s="1"/>
    </row>
    <row r="6521" spans="4:35" hidden="1">
      <c r="D6521" s="1"/>
      <c r="K6521" s="1"/>
      <c r="Q6521" s="1"/>
      <c r="AD6521" s="1"/>
      <c r="AG6521" s="1"/>
      <c r="AI6521" s="1"/>
    </row>
    <row r="6522" spans="4:35" hidden="1">
      <c r="D6522" s="1"/>
      <c r="K6522" s="1"/>
      <c r="Q6522" s="1"/>
      <c r="AD6522" s="1"/>
      <c r="AG6522" s="1"/>
      <c r="AI6522" s="1"/>
    </row>
    <row r="6523" spans="4:35" hidden="1">
      <c r="D6523" s="1"/>
      <c r="K6523" s="1"/>
      <c r="Q6523" s="1"/>
      <c r="AD6523" s="1"/>
      <c r="AG6523" s="1"/>
      <c r="AI6523" s="1"/>
    </row>
    <row r="6524" spans="4:35" hidden="1">
      <c r="D6524" s="1"/>
      <c r="K6524" s="1"/>
      <c r="Q6524" s="1"/>
      <c r="AD6524" s="1"/>
      <c r="AG6524" s="1"/>
      <c r="AI6524" s="1"/>
    </row>
    <row r="6525" spans="4:35" hidden="1">
      <c r="D6525" s="1"/>
      <c r="K6525" s="1"/>
      <c r="Q6525" s="1"/>
      <c r="AD6525" s="1"/>
      <c r="AG6525" s="1"/>
      <c r="AI6525" s="1"/>
    </row>
    <row r="6526" spans="4:35" hidden="1">
      <c r="D6526" s="1"/>
      <c r="K6526" s="1"/>
      <c r="Q6526" s="1"/>
      <c r="AD6526" s="1"/>
      <c r="AG6526" s="1"/>
      <c r="AI6526" s="1"/>
    </row>
    <row r="6527" spans="4:35" hidden="1">
      <c r="D6527" s="1"/>
      <c r="K6527" s="1"/>
      <c r="Q6527" s="1"/>
      <c r="AD6527" s="1"/>
      <c r="AG6527" s="1"/>
      <c r="AI6527" s="1"/>
    </row>
    <row r="6528" spans="4:35" hidden="1">
      <c r="D6528" s="1"/>
      <c r="K6528" s="1"/>
      <c r="Q6528" s="1"/>
      <c r="AD6528" s="1"/>
      <c r="AG6528" s="1"/>
      <c r="AI6528" s="1"/>
    </row>
    <row r="6529" spans="4:35" hidden="1">
      <c r="D6529" s="1"/>
      <c r="K6529" s="1"/>
      <c r="Q6529" s="1"/>
      <c r="AD6529" s="1"/>
      <c r="AG6529" s="1"/>
      <c r="AI6529" s="1"/>
    </row>
    <row r="6530" spans="4:35" hidden="1">
      <c r="D6530" s="1"/>
      <c r="K6530" s="1"/>
      <c r="Q6530" s="1"/>
      <c r="AD6530" s="1"/>
      <c r="AG6530" s="1"/>
      <c r="AI6530" s="1"/>
    </row>
    <row r="6531" spans="4:35" hidden="1">
      <c r="D6531" s="1"/>
      <c r="K6531" s="1"/>
      <c r="Q6531" s="1"/>
      <c r="AD6531" s="1"/>
      <c r="AG6531" s="1"/>
      <c r="AI6531" s="1"/>
    </row>
    <row r="6532" spans="4:35" hidden="1">
      <c r="D6532" s="1"/>
      <c r="K6532" s="1"/>
      <c r="Q6532" s="1"/>
      <c r="AD6532" s="1"/>
      <c r="AG6532" s="1"/>
      <c r="AI6532" s="1"/>
    </row>
    <row r="6533" spans="4:35" hidden="1">
      <c r="D6533" s="1"/>
      <c r="K6533" s="1"/>
      <c r="Q6533" s="1"/>
      <c r="AD6533" s="1"/>
      <c r="AG6533" s="1"/>
      <c r="AI6533" s="1"/>
    </row>
    <row r="6534" spans="4:35" hidden="1">
      <c r="D6534" s="1"/>
      <c r="K6534" s="1"/>
      <c r="Q6534" s="1"/>
      <c r="AD6534" s="1"/>
      <c r="AG6534" s="1"/>
      <c r="AI6534" s="1"/>
    </row>
    <row r="6535" spans="4:35" hidden="1">
      <c r="D6535" s="1"/>
      <c r="K6535" s="1"/>
      <c r="Q6535" s="1"/>
      <c r="AD6535" s="1"/>
      <c r="AG6535" s="1"/>
      <c r="AI6535" s="1"/>
    </row>
    <row r="6536" spans="4:35" hidden="1">
      <c r="D6536" s="1"/>
      <c r="K6536" s="1"/>
      <c r="Q6536" s="1"/>
      <c r="AD6536" s="1"/>
      <c r="AG6536" s="1"/>
      <c r="AI6536" s="1"/>
    </row>
    <row r="6537" spans="4:35" hidden="1">
      <c r="D6537" s="1"/>
      <c r="K6537" s="1"/>
      <c r="Q6537" s="1"/>
      <c r="AD6537" s="1"/>
      <c r="AG6537" s="1"/>
      <c r="AI6537" s="1"/>
    </row>
    <row r="6538" spans="4:35" hidden="1">
      <c r="D6538" s="1"/>
      <c r="K6538" s="1"/>
      <c r="Q6538" s="1"/>
      <c r="AD6538" s="1"/>
      <c r="AG6538" s="1"/>
      <c r="AI6538" s="1"/>
    </row>
    <row r="6539" spans="4:35" hidden="1">
      <c r="D6539" s="1"/>
      <c r="K6539" s="1"/>
      <c r="Q6539" s="1"/>
      <c r="AD6539" s="1"/>
      <c r="AG6539" s="1"/>
      <c r="AI6539" s="1"/>
    </row>
    <row r="6540" spans="4:35" hidden="1">
      <c r="D6540" s="1"/>
      <c r="K6540" s="1"/>
      <c r="Q6540" s="1"/>
      <c r="AD6540" s="1"/>
      <c r="AG6540" s="1"/>
      <c r="AI6540" s="1"/>
    </row>
    <row r="6541" spans="4:35" hidden="1">
      <c r="D6541" s="1"/>
      <c r="K6541" s="1"/>
      <c r="Q6541" s="1"/>
      <c r="AD6541" s="1"/>
      <c r="AG6541" s="1"/>
      <c r="AI6541" s="1"/>
    </row>
    <row r="6542" spans="4:35" hidden="1">
      <c r="D6542" s="1"/>
      <c r="K6542" s="1"/>
      <c r="Q6542" s="1"/>
      <c r="AD6542" s="1"/>
      <c r="AG6542" s="1"/>
      <c r="AI6542" s="1"/>
    </row>
    <row r="6543" spans="4:35" hidden="1">
      <c r="D6543" s="1"/>
      <c r="K6543" s="1"/>
      <c r="Q6543" s="1"/>
      <c r="AD6543" s="1"/>
      <c r="AG6543" s="1"/>
      <c r="AI6543" s="1"/>
    </row>
    <row r="6544" spans="4:35" hidden="1">
      <c r="D6544" s="1"/>
      <c r="K6544" s="1"/>
      <c r="Q6544" s="1"/>
      <c r="AD6544" s="1"/>
      <c r="AG6544" s="1"/>
      <c r="AI6544" s="1"/>
    </row>
    <row r="6545" spans="4:35" hidden="1">
      <c r="D6545" s="1"/>
      <c r="K6545" s="1"/>
      <c r="Q6545" s="1"/>
      <c r="AD6545" s="1"/>
      <c r="AG6545" s="1"/>
      <c r="AI6545" s="1"/>
    </row>
    <row r="6546" spans="4:35" hidden="1">
      <c r="D6546" s="1"/>
      <c r="K6546" s="1"/>
      <c r="Q6546" s="1"/>
      <c r="AD6546" s="1"/>
      <c r="AG6546" s="1"/>
      <c r="AI6546" s="1"/>
    </row>
    <row r="6547" spans="4:35" hidden="1">
      <c r="D6547" s="1"/>
      <c r="K6547" s="1"/>
      <c r="Q6547" s="1"/>
      <c r="AD6547" s="1"/>
      <c r="AG6547" s="1"/>
      <c r="AI6547" s="1"/>
    </row>
    <row r="6548" spans="4:35" hidden="1">
      <c r="D6548" s="1"/>
      <c r="K6548" s="1"/>
      <c r="Q6548" s="1"/>
      <c r="AD6548" s="1"/>
      <c r="AG6548" s="1"/>
      <c r="AI6548" s="1"/>
    </row>
    <row r="6549" spans="4:35" hidden="1">
      <c r="D6549" s="1"/>
      <c r="K6549" s="1"/>
      <c r="Q6549" s="1"/>
      <c r="AD6549" s="1"/>
      <c r="AG6549" s="1"/>
      <c r="AI6549" s="1"/>
    </row>
    <row r="6550" spans="4:35" hidden="1">
      <c r="D6550" s="1"/>
      <c r="K6550" s="1"/>
      <c r="Q6550" s="1"/>
      <c r="AD6550" s="1"/>
      <c r="AG6550" s="1"/>
      <c r="AI6550" s="1"/>
    </row>
    <row r="6551" spans="4:35" hidden="1">
      <c r="D6551" s="1"/>
      <c r="K6551" s="1"/>
      <c r="Q6551" s="1"/>
      <c r="AD6551" s="1"/>
      <c r="AG6551" s="1"/>
      <c r="AI6551" s="1"/>
    </row>
    <row r="6552" spans="4:35" hidden="1">
      <c r="D6552" s="1"/>
      <c r="K6552" s="1"/>
      <c r="Q6552" s="1"/>
      <c r="AD6552" s="1"/>
      <c r="AG6552" s="1"/>
      <c r="AI6552" s="1"/>
    </row>
    <row r="6553" spans="4:35" hidden="1">
      <c r="D6553" s="1"/>
      <c r="K6553" s="1"/>
      <c r="Q6553" s="1"/>
      <c r="AD6553" s="1"/>
      <c r="AG6553" s="1"/>
      <c r="AI6553" s="1"/>
    </row>
    <row r="6554" spans="4:35" hidden="1">
      <c r="D6554" s="1"/>
      <c r="K6554" s="1"/>
      <c r="Q6554" s="1"/>
      <c r="AD6554" s="1"/>
      <c r="AG6554" s="1"/>
      <c r="AI6554" s="1"/>
    </row>
    <row r="6555" spans="4:35" hidden="1">
      <c r="D6555" s="1"/>
      <c r="K6555" s="1"/>
      <c r="Q6555" s="1"/>
      <c r="AD6555" s="1"/>
      <c r="AG6555" s="1"/>
      <c r="AI6555" s="1"/>
    </row>
    <row r="6556" spans="4:35" hidden="1">
      <c r="D6556" s="1"/>
      <c r="K6556" s="1"/>
      <c r="Q6556" s="1"/>
      <c r="AD6556" s="1"/>
      <c r="AG6556" s="1"/>
      <c r="AI6556" s="1"/>
    </row>
    <row r="6557" spans="4:35" hidden="1">
      <c r="D6557" s="1"/>
      <c r="K6557" s="1"/>
      <c r="Q6557" s="1"/>
      <c r="AD6557" s="1"/>
      <c r="AG6557" s="1"/>
      <c r="AI6557" s="1"/>
    </row>
    <row r="6558" spans="4:35" hidden="1">
      <c r="D6558" s="1"/>
      <c r="K6558" s="1"/>
      <c r="Q6558" s="1"/>
      <c r="AD6558" s="1"/>
      <c r="AG6558" s="1"/>
      <c r="AI6558" s="1"/>
    </row>
    <row r="6559" spans="4:35" hidden="1">
      <c r="D6559" s="1"/>
      <c r="K6559" s="1"/>
      <c r="Q6559" s="1"/>
      <c r="AD6559" s="1"/>
      <c r="AG6559" s="1"/>
      <c r="AI6559" s="1"/>
    </row>
    <row r="6560" spans="4:35" hidden="1">
      <c r="D6560" s="1"/>
      <c r="K6560" s="1"/>
      <c r="Q6560" s="1"/>
      <c r="AD6560" s="1"/>
      <c r="AG6560" s="1"/>
      <c r="AI6560" s="1"/>
    </row>
    <row r="6561" spans="4:35" hidden="1">
      <c r="D6561" s="1"/>
      <c r="K6561" s="1"/>
      <c r="Q6561" s="1"/>
      <c r="AD6561" s="1"/>
      <c r="AG6561" s="1"/>
      <c r="AI6561" s="1"/>
    </row>
    <row r="6562" spans="4:35" hidden="1">
      <c r="D6562" s="1"/>
      <c r="K6562" s="1"/>
      <c r="Q6562" s="1"/>
      <c r="AD6562" s="1"/>
      <c r="AG6562" s="1"/>
      <c r="AI6562" s="1"/>
    </row>
    <row r="6563" spans="4:35" hidden="1">
      <c r="D6563" s="1"/>
      <c r="K6563" s="1"/>
      <c r="Q6563" s="1"/>
      <c r="AD6563" s="1"/>
      <c r="AG6563" s="1"/>
      <c r="AI6563" s="1"/>
    </row>
    <row r="6564" spans="4:35" hidden="1">
      <c r="D6564" s="1"/>
      <c r="K6564" s="1"/>
      <c r="Q6564" s="1"/>
      <c r="AD6564" s="1"/>
      <c r="AG6564" s="1"/>
      <c r="AI6564" s="1"/>
    </row>
    <row r="6565" spans="4:35" hidden="1">
      <c r="D6565" s="1"/>
      <c r="K6565" s="1"/>
      <c r="Q6565" s="1"/>
      <c r="AD6565" s="1"/>
      <c r="AG6565" s="1"/>
      <c r="AI6565" s="1"/>
    </row>
    <row r="6566" spans="4:35" hidden="1">
      <c r="D6566" s="1"/>
      <c r="K6566" s="1"/>
      <c r="Q6566" s="1"/>
      <c r="AD6566" s="1"/>
      <c r="AG6566" s="1"/>
      <c r="AI6566" s="1"/>
    </row>
    <row r="6567" spans="4:35" hidden="1">
      <c r="D6567" s="1"/>
      <c r="K6567" s="1"/>
      <c r="Q6567" s="1"/>
      <c r="AD6567" s="1"/>
      <c r="AG6567" s="1"/>
      <c r="AI6567" s="1"/>
    </row>
    <row r="6568" spans="4:35" hidden="1">
      <c r="D6568" s="1"/>
      <c r="K6568" s="1"/>
      <c r="Q6568" s="1"/>
      <c r="AD6568" s="1"/>
      <c r="AG6568" s="1"/>
      <c r="AI6568" s="1"/>
    </row>
    <row r="6569" spans="4:35" hidden="1">
      <c r="D6569" s="1"/>
      <c r="K6569" s="1"/>
      <c r="Q6569" s="1"/>
      <c r="AD6569" s="1"/>
      <c r="AG6569" s="1"/>
      <c r="AI6569" s="1"/>
    </row>
    <row r="6570" spans="4:35" hidden="1">
      <c r="D6570" s="1"/>
      <c r="K6570" s="1"/>
      <c r="Q6570" s="1"/>
      <c r="AD6570" s="1"/>
      <c r="AG6570" s="1"/>
      <c r="AI6570" s="1"/>
    </row>
    <row r="6571" spans="4:35" hidden="1">
      <c r="D6571" s="1"/>
      <c r="K6571" s="1"/>
      <c r="Q6571" s="1"/>
      <c r="AD6571" s="1"/>
      <c r="AG6571" s="1"/>
      <c r="AI6571" s="1"/>
    </row>
    <row r="6572" spans="4:35" hidden="1">
      <c r="D6572" s="1"/>
      <c r="K6572" s="1"/>
      <c r="Q6572" s="1"/>
      <c r="AD6572" s="1"/>
      <c r="AG6572" s="1"/>
      <c r="AI6572" s="1"/>
    </row>
    <row r="6573" spans="4:35" hidden="1">
      <c r="D6573" s="1"/>
      <c r="K6573" s="1"/>
      <c r="Q6573" s="1"/>
      <c r="AD6573" s="1"/>
      <c r="AG6573" s="1"/>
      <c r="AI6573" s="1"/>
    </row>
    <row r="6574" spans="4:35" hidden="1">
      <c r="D6574" s="1"/>
      <c r="K6574" s="1"/>
      <c r="Q6574" s="1"/>
      <c r="AD6574" s="1"/>
      <c r="AG6574" s="1"/>
      <c r="AI6574" s="1"/>
    </row>
    <row r="6575" spans="4:35" hidden="1">
      <c r="D6575" s="1"/>
      <c r="K6575" s="1"/>
      <c r="Q6575" s="1"/>
      <c r="AD6575" s="1"/>
      <c r="AG6575" s="1"/>
      <c r="AI6575" s="1"/>
    </row>
    <row r="6576" spans="4:35" hidden="1">
      <c r="D6576" s="1"/>
      <c r="K6576" s="1"/>
      <c r="Q6576" s="1"/>
      <c r="AD6576" s="1"/>
      <c r="AG6576" s="1"/>
      <c r="AI6576" s="1"/>
    </row>
    <row r="6577" spans="4:35" hidden="1">
      <c r="D6577" s="1"/>
      <c r="K6577" s="1"/>
      <c r="Q6577" s="1"/>
      <c r="AD6577" s="1"/>
      <c r="AG6577" s="1"/>
      <c r="AI6577" s="1"/>
    </row>
    <row r="6578" spans="4:35" hidden="1">
      <c r="D6578" s="1"/>
      <c r="K6578" s="1"/>
      <c r="Q6578" s="1"/>
      <c r="AD6578" s="1"/>
      <c r="AG6578" s="1"/>
      <c r="AI6578" s="1"/>
    </row>
    <row r="6579" spans="4:35" hidden="1">
      <c r="D6579" s="1"/>
      <c r="K6579" s="1"/>
      <c r="Q6579" s="1"/>
      <c r="AD6579" s="1"/>
      <c r="AG6579" s="1"/>
      <c r="AI6579" s="1"/>
    </row>
    <row r="6580" spans="4:35" hidden="1">
      <c r="D6580" s="1"/>
      <c r="K6580" s="1"/>
      <c r="Q6580" s="1"/>
      <c r="AD6580" s="1"/>
      <c r="AG6580" s="1"/>
      <c r="AI6580" s="1"/>
    </row>
    <row r="6581" spans="4:35" hidden="1">
      <c r="D6581" s="1"/>
      <c r="K6581" s="1"/>
      <c r="Q6581" s="1"/>
      <c r="AD6581" s="1"/>
      <c r="AG6581" s="1"/>
      <c r="AI6581" s="1"/>
    </row>
    <row r="6582" spans="4:35" hidden="1">
      <c r="D6582" s="1"/>
      <c r="K6582" s="1"/>
      <c r="Q6582" s="1"/>
      <c r="AD6582" s="1"/>
      <c r="AG6582" s="1"/>
      <c r="AI6582" s="1"/>
    </row>
    <row r="6583" spans="4:35" hidden="1">
      <c r="D6583" s="1"/>
      <c r="K6583" s="1"/>
      <c r="Q6583" s="1"/>
      <c r="AD6583" s="1"/>
      <c r="AG6583" s="1"/>
      <c r="AI6583" s="1"/>
    </row>
    <row r="6584" spans="4:35" hidden="1">
      <c r="D6584" s="1"/>
      <c r="K6584" s="1"/>
      <c r="Q6584" s="1"/>
      <c r="AD6584" s="1"/>
      <c r="AG6584" s="1"/>
      <c r="AI6584" s="1"/>
    </row>
    <row r="6585" spans="4:35" hidden="1">
      <c r="D6585" s="1"/>
      <c r="K6585" s="1"/>
      <c r="Q6585" s="1"/>
      <c r="AD6585" s="1"/>
      <c r="AG6585" s="1"/>
      <c r="AI6585" s="1"/>
    </row>
    <row r="6586" spans="4:35" hidden="1">
      <c r="D6586" s="1"/>
      <c r="K6586" s="1"/>
      <c r="Q6586" s="1"/>
      <c r="AD6586" s="1"/>
      <c r="AG6586" s="1"/>
      <c r="AI6586" s="1"/>
    </row>
    <row r="6587" spans="4:35" hidden="1">
      <c r="D6587" s="1"/>
      <c r="K6587" s="1"/>
      <c r="Q6587" s="1"/>
      <c r="AD6587" s="1"/>
      <c r="AG6587" s="1"/>
      <c r="AI6587" s="1"/>
    </row>
    <row r="6588" spans="4:35" hidden="1">
      <c r="D6588" s="1"/>
      <c r="K6588" s="1"/>
      <c r="Q6588" s="1"/>
      <c r="AD6588" s="1"/>
      <c r="AG6588" s="1"/>
      <c r="AI6588" s="1"/>
    </row>
    <row r="6589" spans="4:35" hidden="1">
      <c r="D6589" s="1"/>
      <c r="K6589" s="1"/>
      <c r="Q6589" s="1"/>
      <c r="AD6589" s="1"/>
      <c r="AG6589" s="1"/>
      <c r="AI6589" s="1"/>
    </row>
    <row r="6590" spans="4:35" hidden="1">
      <c r="D6590" s="1"/>
      <c r="K6590" s="1"/>
      <c r="Q6590" s="1"/>
      <c r="AD6590" s="1"/>
      <c r="AG6590" s="1"/>
      <c r="AI6590" s="1"/>
    </row>
    <row r="6591" spans="4:35" hidden="1">
      <c r="D6591" s="1"/>
      <c r="K6591" s="1"/>
      <c r="Q6591" s="1"/>
      <c r="AD6591" s="1"/>
      <c r="AG6591" s="1"/>
      <c r="AI6591" s="1"/>
    </row>
    <row r="6592" spans="4:35" hidden="1">
      <c r="D6592" s="1"/>
      <c r="K6592" s="1"/>
      <c r="Q6592" s="1"/>
      <c r="AD6592" s="1"/>
      <c r="AG6592" s="1"/>
      <c r="AI6592" s="1"/>
    </row>
    <row r="6593" spans="4:35" hidden="1">
      <c r="D6593" s="1"/>
      <c r="K6593" s="1"/>
      <c r="Q6593" s="1"/>
      <c r="AD6593" s="1"/>
      <c r="AG6593" s="1"/>
      <c r="AI6593" s="1"/>
    </row>
    <row r="6594" spans="4:35" hidden="1">
      <c r="D6594" s="1"/>
      <c r="K6594" s="1"/>
      <c r="Q6594" s="1"/>
      <c r="AD6594" s="1"/>
      <c r="AG6594" s="1"/>
      <c r="AI6594" s="1"/>
    </row>
    <row r="6595" spans="4:35" hidden="1">
      <c r="D6595" s="1"/>
      <c r="K6595" s="1"/>
      <c r="Q6595" s="1"/>
      <c r="AD6595" s="1"/>
      <c r="AG6595" s="1"/>
      <c r="AI6595" s="1"/>
    </row>
    <row r="6596" spans="4:35" hidden="1">
      <c r="D6596" s="1"/>
      <c r="K6596" s="1"/>
      <c r="Q6596" s="1"/>
      <c r="AD6596" s="1"/>
      <c r="AG6596" s="1"/>
      <c r="AI6596" s="1"/>
    </row>
    <row r="6597" spans="4:35" hidden="1">
      <c r="D6597" s="1"/>
      <c r="K6597" s="1"/>
      <c r="Q6597" s="1"/>
      <c r="AD6597" s="1"/>
      <c r="AG6597" s="1"/>
      <c r="AI6597" s="1"/>
    </row>
    <row r="6598" spans="4:35" hidden="1">
      <c r="D6598" s="1"/>
      <c r="K6598" s="1"/>
      <c r="Q6598" s="1"/>
      <c r="AD6598" s="1"/>
      <c r="AG6598" s="1"/>
      <c r="AI6598" s="1"/>
    </row>
    <row r="6599" spans="4:35" hidden="1">
      <c r="D6599" s="1"/>
      <c r="K6599" s="1"/>
      <c r="Q6599" s="1"/>
      <c r="AD6599" s="1"/>
      <c r="AG6599" s="1"/>
      <c r="AI6599" s="1"/>
    </row>
    <row r="6600" spans="4:35" hidden="1">
      <c r="D6600" s="1"/>
      <c r="K6600" s="1"/>
      <c r="Q6600" s="1"/>
      <c r="AD6600" s="1"/>
      <c r="AG6600" s="1"/>
      <c r="AI6600" s="1"/>
    </row>
    <row r="6601" spans="4:35" hidden="1">
      <c r="D6601" s="1"/>
      <c r="K6601" s="1"/>
      <c r="Q6601" s="1"/>
      <c r="AD6601" s="1"/>
      <c r="AG6601" s="1"/>
      <c r="AI6601" s="1"/>
    </row>
    <row r="6602" spans="4:35" hidden="1">
      <c r="D6602" s="1"/>
      <c r="K6602" s="1"/>
      <c r="Q6602" s="1"/>
      <c r="AD6602" s="1"/>
      <c r="AG6602" s="1"/>
      <c r="AI6602" s="1"/>
    </row>
    <row r="6603" spans="4:35" hidden="1">
      <c r="D6603" s="1"/>
      <c r="K6603" s="1"/>
      <c r="Q6603" s="1"/>
      <c r="AD6603" s="1"/>
      <c r="AG6603" s="1"/>
      <c r="AI6603" s="1"/>
    </row>
    <row r="6604" spans="4:35" hidden="1">
      <c r="D6604" s="1"/>
      <c r="K6604" s="1"/>
      <c r="Q6604" s="1"/>
      <c r="AD6604" s="1"/>
      <c r="AG6604" s="1"/>
      <c r="AI6604" s="1"/>
    </row>
    <row r="6605" spans="4:35" hidden="1">
      <c r="D6605" s="1"/>
      <c r="K6605" s="1"/>
      <c r="Q6605" s="1"/>
      <c r="AD6605" s="1"/>
      <c r="AG6605" s="1"/>
      <c r="AI6605" s="1"/>
    </row>
    <row r="6606" spans="4:35" hidden="1">
      <c r="D6606" s="1"/>
      <c r="K6606" s="1"/>
      <c r="Q6606" s="1"/>
      <c r="AD6606" s="1"/>
      <c r="AG6606" s="1"/>
      <c r="AI6606" s="1"/>
    </row>
    <row r="6607" spans="4:35" hidden="1">
      <c r="D6607" s="1"/>
      <c r="K6607" s="1"/>
      <c r="Q6607" s="1"/>
      <c r="AD6607" s="1"/>
      <c r="AG6607" s="1"/>
      <c r="AI6607" s="1"/>
    </row>
    <row r="6608" spans="4:35" hidden="1">
      <c r="D6608" s="1"/>
      <c r="K6608" s="1"/>
      <c r="Q6608" s="1"/>
      <c r="AD6608" s="1"/>
      <c r="AG6608" s="1"/>
      <c r="AI6608" s="1"/>
    </row>
    <row r="6609" spans="4:35" hidden="1">
      <c r="D6609" s="1"/>
      <c r="K6609" s="1"/>
      <c r="Q6609" s="1"/>
      <c r="AD6609" s="1"/>
      <c r="AG6609" s="1"/>
      <c r="AI6609" s="1"/>
    </row>
    <row r="6610" spans="4:35" hidden="1">
      <c r="D6610" s="1"/>
      <c r="K6610" s="1"/>
      <c r="Q6610" s="1"/>
      <c r="AD6610" s="1"/>
      <c r="AG6610" s="1"/>
      <c r="AI6610" s="1"/>
    </row>
    <row r="6611" spans="4:35" hidden="1">
      <c r="D6611" s="1"/>
      <c r="K6611" s="1"/>
      <c r="Q6611" s="1"/>
      <c r="AD6611" s="1"/>
      <c r="AG6611" s="1"/>
      <c r="AI6611" s="1"/>
    </row>
    <row r="6612" spans="4:35" hidden="1">
      <c r="D6612" s="1"/>
      <c r="K6612" s="1"/>
      <c r="Q6612" s="1"/>
      <c r="AD6612" s="1"/>
      <c r="AG6612" s="1"/>
      <c r="AI6612" s="1"/>
    </row>
    <row r="6613" spans="4:35" hidden="1">
      <c r="D6613" s="1"/>
      <c r="K6613" s="1"/>
      <c r="Q6613" s="1"/>
      <c r="AD6613" s="1"/>
      <c r="AG6613" s="1"/>
      <c r="AI6613" s="1"/>
    </row>
    <row r="6614" spans="4:35" hidden="1">
      <c r="D6614" s="1"/>
      <c r="K6614" s="1"/>
      <c r="Q6614" s="1"/>
      <c r="AD6614" s="1"/>
      <c r="AG6614" s="1"/>
      <c r="AI6614" s="1"/>
    </row>
    <row r="6615" spans="4:35" hidden="1">
      <c r="D6615" s="1"/>
      <c r="K6615" s="1"/>
      <c r="Q6615" s="1"/>
      <c r="AD6615" s="1"/>
      <c r="AG6615" s="1"/>
      <c r="AI6615" s="1"/>
    </row>
    <row r="6616" spans="4:35" hidden="1">
      <c r="D6616" s="1"/>
      <c r="K6616" s="1"/>
      <c r="Q6616" s="1"/>
      <c r="AD6616" s="1"/>
      <c r="AG6616" s="1"/>
      <c r="AI6616" s="1"/>
    </row>
    <row r="6617" spans="4:35" hidden="1">
      <c r="D6617" s="1"/>
      <c r="K6617" s="1"/>
      <c r="Q6617" s="1"/>
      <c r="AD6617" s="1"/>
      <c r="AG6617" s="1"/>
      <c r="AI6617" s="1"/>
    </row>
    <row r="6618" spans="4:35" hidden="1">
      <c r="D6618" s="1"/>
      <c r="K6618" s="1"/>
      <c r="Q6618" s="1"/>
      <c r="AD6618" s="1"/>
      <c r="AG6618" s="1"/>
      <c r="AI6618" s="1"/>
    </row>
    <row r="6619" spans="4:35" hidden="1">
      <c r="D6619" s="1"/>
      <c r="K6619" s="1"/>
      <c r="Q6619" s="1"/>
      <c r="AD6619" s="1"/>
      <c r="AG6619" s="1"/>
      <c r="AI6619" s="1"/>
    </row>
    <row r="6620" spans="4:35" hidden="1">
      <c r="D6620" s="1"/>
      <c r="K6620" s="1"/>
      <c r="Q6620" s="1"/>
      <c r="AD6620" s="1"/>
      <c r="AG6620" s="1"/>
      <c r="AI6620" s="1"/>
    </row>
    <row r="6621" spans="4:35" hidden="1">
      <c r="D6621" s="1"/>
      <c r="K6621" s="1"/>
      <c r="Q6621" s="1"/>
      <c r="AD6621" s="1"/>
      <c r="AG6621" s="1"/>
      <c r="AI6621" s="1"/>
    </row>
    <row r="6622" spans="4:35" hidden="1">
      <c r="D6622" s="1"/>
      <c r="K6622" s="1"/>
      <c r="Q6622" s="1"/>
      <c r="AD6622" s="1"/>
      <c r="AG6622" s="1"/>
      <c r="AI6622" s="1"/>
    </row>
    <row r="6623" spans="4:35" hidden="1">
      <c r="D6623" s="1"/>
      <c r="K6623" s="1"/>
      <c r="Q6623" s="1"/>
      <c r="AD6623" s="1"/>
      <c r="AG6623" s="1"/>
      <c r="AI6623" s="1"/>
    </row>
    <row r="6624" spans="4:35" hidden="1">
      <c r="D6624" s="1"/>
      <c r="K6624" s="1"/>
      <c r="Q6624" s="1"/>
      <c r="AD6624" s="1"/>
      <c r="AG6624" s="1"/>
      <c r="AI6624" s="1"/>
    </row>
    <row r="6625" spans="4:35" hidden="1">
      <c r="D6625" s="1"/>
      <c r="K6625" s="1"/>
      <c r="Q6625" s="1"/>
      <c r="AD6625" s="1"/>
      <c r="AG6625" s="1"/>
      <c r="AI6625" s="1"/>
    </row>
    <row r="6626" spans="4:35" hidden="1">
      <c r="D6626" s="1"/>
      <c r="K6626" s="1"/>
      <c r="Q6626" s="1"/>
      <c r="AD6626" s="1"/>
      <c r="AG6626" s="1"/>
      <c r="AI6626" s="1"/>
    </row>
    <row r="6627" spans="4:35" hidden="1">
      <c r="D6627" s="1"/>
      <c r="K6627" s="1"/>
      <c r="Q6627" s="1"/>
      <c r="AD6627" s="1"/>
      <c r="AG6627" s="1"/>
      <c r="AI6627" s="1"/>
    </row>
    <row r="6628" spans="4:35" hidden="1">
      <c r="D6628" s="1"/>
      <c r="K6628" s="1"/>
      <c r="Q6628" s="1"/>
      <c r="AD6628" s="1"/>
      <c r="AG6628" s="1"/>
      <c r="AI6628" s="1"/>
    </row>
    <row r="6629" spans="4:35" hidden="1">
      <c r="D6629" s="1"/>
      <c r="K6629" s="1"/>
      <c r="Q6629" s="1"/>
      <c r="AD6629" s="1"/>
      <c r="AG6629" s="1"/>
      <c r="AI6629" s="1"/>
    </row>
    <row r="6630" spans="4:35" hidden="1">
      <c r="D6630" s="1"/>
      <c r="K6630" s="1"/>
      <c r="Q6630" s="1"/>
      <c r="AD6630" s="1"/>
      <c r="AG6630" s="1"/>
      <c r="AI6630" s="1"/>
    </row>
    <row r="6631" spans="4:35" hidden="1">
      <c r="D6631" s="1"/>
      <c r="K6631" s="1"/>
      <c r="Q6631" s="1"/>
      <c r="AD6631" s="1"/>
      <c r="AG6631" s="1"/>
      <c r="AI6631" s="1"/>
    </row>
    <row r="6632" spans="4:35" hidden="1">
      <c r="D6632" s="1"/>
      <c r="K6632" s="1"/>
      <c r="Q6632" s="1"/>
      <c r="AD6632" s="1"/>
      <c r="AG6632" s="1"/>
      <c r="AI6632" s="1"/>
    </row>
    <row r="6633" spans="4:35" hidden="1">
      <c r="D6633" s="1"/>
      <c r="K6633" s="1"/>
      <c r="Q6633" s="1"/>
      <c r="AD6633" s="1"/>
      <c r="AG6633" s="1"/>
      <c r="AI6633" s="1"/>
    </row>
    <row r="6634" spans="4:35" hidden="1">
      <c r="D6634" s="1"/>
      <c r="K6634" s="1"/>
      <c r="Q6634" s="1"/>
      <c r="AD6634" s="1"/>
      <c r="AG6634" s="1"/>
      <c r="AI6634" s="1"/>
    </row>
    <row r="6635" spans="4:35" hidden="1">
      <c r="D6635" s="1"/>
      <c r="K6635" s="1"/>
      <c r="Q6635" s="1"/>
      <c r="AD6635" s="1"/>
      <c r="AG6635" s="1"/>
      <c r="AI6635" s="1"/>
    </row>
    <row r="6636" spans="4:35" hidden="1">
      <c r="D6636" s="1"/>
      <c r="K6636" s="1"/>
      <c r="Q6636" s="1"/>
      <c r="AD6636" s="1"/>
      <c r="AG6636" s="1"/>
      <c r="AI6636" s="1"/>
    </row>
    <row r="6637" spans="4:35" hidden="1">
      <c r="D6637" s="1"/>
      <c r="K6637" s="1"/>
      <c r="Q6637" s="1"/>
      <c r="AD6637" s="1"/>
      <c r="AG6637" s="1"/>
      <c r="AI6637" s="1"/>
    </row>
    <row r="6638" spans="4:35" hidden="1">
      <c r="D6638" s="1"/>
      <c r="K6638" s="1"/>
      <c r="Q6638" s="1"/>
      <c r="AD6638" s="1"/>
      <c r="AG6638" s="1"/>
      <c r="AI6638" s="1"/>
    </row>
    <row r="6639" spans="4:35" hidden="1">
      <c r="D6639" s="1"/>
      <c r="K6639" s="1"/>
      <c r="Q6639" s="1"/>
      <c r="AD6639" s="1"/>
      <c r="AG6639" s="1"/>
      <c r="AI6639" s="1"/>
    </row>
    <row r="6640" spans="4:35" hidden="1">
      <c r="D6640" s="1"/>
      <c r="K6640" s="1"/>
      <c r="Q6640" s="1"/>
      <c r="AD6640" s="1"/>
      <c r="AG6640" s="1"/>
      <c r="AI6640" s="1"/>
    </row>
    <row r="6641" spans="4:35" hidden="1">
      <c r="D6641" s="1"/>
      <c r="K6641" s="1"/>
      <c r="Q6641" s="1"/>
      <c r="AD6641" s="1"/>
      <c r="AG6641" s="1"/>
      <c r="AI6641" s="1"/>
    </row>
    <row r="6642" spans="4:35" hidden="1">
      <c r="D6642" s="1"/>
      <c r="K6642" s="1"/>
      <c r="Q6642" s="1"/>
      <c r="AD6642" s="1"/>
      <c r="AG6642" s="1"/>
      <c r="AI6642" s="1"/>
    </row>
    <row r="6643" spans="4:35" hidden="1">
      <c r="D6643" s="1"/>
      <c r="K6643" s="1"/>
      <c r="Q6643" s="1"/>
      <c r="AD6643" s="1"/>
      <c r="AG6643" s="1"/>
      <c r="AI6643" s="1"/>
    </row>
    <row r="6644" spans="4:35" hidden="1">
      <c r="D6644" s="1"/>
      <c r="K6644" s="1"/>
      <c r="Q6644" s="1"/>
      <c r="AD6644" s="1"/>
      <c r="AG6644" s="1"/>
      <c r="AI6644" s="1"/>
    </row>
    <row r="6645" spans="4:35" hidden="1">
      <c r="D6645" s="1"/>
      <c r="K6645" s="1"/>
      <c r="Q6645" s="1"/>
      <c r="AD6645" s="1"/>
      <c r="AG6645" s="1"/>
      <c r="AI6645" s="1"/>
    </row>
    <row r="6646" spans="4:35" hidden="1">
      <c r="D6646" s="1"/>
      <c r="K6646" s="1"/>
      <c r="Q6646" s="1"/>
      <c r="AD6646" s="1"/>
      <c r="AG6646" s="1"/>
      <c r="AI6646" s="1"/>
    </row>
    <row r="6647" spans="4:35" hidden="1">
      <c r="D6647" s="1"/>
      <c r="K6647" s="1"/>
      <c r="Q6647" s="1"/>
      <c r="AD6647" s="1"/>
      <c r="AG6647" s="1"/>
      <c r="AI6647" s="1"/>
    </row>
    <row r="6648" spans="4:35" hidden="1">
      <c r="D6648" s="1"/>
      <c r="K6648" s="1"/>
      <c r="Q6648" s="1"/>
      <c r="AD6648" s="1"/>
      <c r="AG6648" s="1"/>
      <c r="AI6648" s="1"/>
    </row>
    <row r="6649" spans="4:35" hidden="1">
      <c r="D6649" s="1"/>
      <c r="K6649" s="1"/>
      <c r="Q6649" s="1"/>
      <c r="AD6649" s="1"/>
      <c r="AG6649" s="1"/>
      <c r="AI6649" s="1"/>
    </row>
    <row r="6650" spans="4:35" hidden="1">
      <c r="D6650" s="1"/>
      <c r="K6650" s="1"/>
      <c r="Q6650" s="1"/>
      <c r="AD6650" s="1"/>
      <c r="AG6650" s="1"/>
      <c r="AI6650" s="1"/>
    </row>
    <row r="6651" spans="4:35" hidden="1">
      <c r="D6651" s="1"/>
      <c r="K6651" s="1"/>
      <c r="Q6651" s="1"/>
      <c r="AD6651" s="1"/>
      <c r="AG6651" s="1"/>
      <c r="AI6651" s="1"/>
    </row>
    <row r="6652" spans="4:35" hidden="1">
      <c r="D6652" s="1"/>
      <c r="K6652" s="1"/>
      <c r="Q6652" s="1"/>
      <c r="AD6652" s="1"/>
      <c r="AG6652" s="1"/>
      <c r="AI6652" s="1"/>
    </row>
    <row r="6653" spans="4:35" hidden="1">
      <c r="D6653" s="1"/>
      <c r="K6653" s="1"/>
      <c r="Q6653" s="1"/>
      <c r="AD6653" s="1"/>
      <c r="AG6653" s="1"/>
      <c r="AI6653" s="1"/>
    </row>
    <row r="6654" spans="4:35" hidden="1">
      <c r="D6654" s="1"/>
      <c r="K6654" s="1"/>
      <c r="Q6654" s="1"/>
      <c r="AD6654" s="1"/>
      <c r="AG6654" s="1"/>
      <c r="AI6654" s="1"/>
    </row>
    <row r="6655" spans="4:35" hidden="1">
      <c r="D6655" s="1"/>
      <c r="K6655" s="1"/>
      <c r="Q6655" s="1"/>
      <c r="AD6655" s="1"/>
      <c r="AG6655" s="1"/>
      <c r="AI6655" s="1"/>
    </row>
    <row r="6656" spans="4:35" hidden="1">
      <c r="D6656" s="1"/>
      <c r="K6656" s="1"/>
      <c r="Q6656" s="1"/>
      <c r="AD6656" s="1"/>
      <c r="AG6656" s="1"/>
      <c r="AI6656" s="1"/>
    </row>
    <row r="6657" spans="4:35" hidden="1">
      <c r="D6657" s="1"/>
      <c r="K6657" s="1"/>
      <c r="Q6657" s="1"/>
      <c r="AD6657" s="1"/>
      <c r="AG6657" s="1"/>
      <c r="AI6657" s="1"/>
    </row>
    <row r="6658" spans="4:35" hidden="1">
      <c r="D6658" s="1"/>
      <c r="K6658" s="1"/>
      <c r="Q6658" s="1"/>
      <c r="AD6658" s="1"/>
      <c r="AG6658" s="1"/>
      <c r="AI6658" s="1"/>
    </row>
    <row r="6659" spans="4:35" hidden="1">
      <c r="D6659" s="1"/>
      <c r="K6659" s="1"/>
      <c r="Q6659" s="1"/>
      <c r="AD6659" s="1"/>
      <c r="AG6659" s="1"/>
      <c r="AI6659" s="1"/>
    </row>
    <row r="6660" spans="4:35" hidden="1">
      <c r="D6660" s="1"/>
      <c r="K6660" s="1"/>
      <c r="Q6660" s="1"/>
      <c r="AD6660" s="1"/>
      <c r="AG6660" s="1"/>
      <c r="AI6660" s="1"/>
    </row>
    <row r="6661" spans="4:35" hidden="1">
      <c r="D6661" s="1"/>
      <c r="K6661" s="1"/>
      <c r="Q6661" s="1"/>
      <c r="AD6661" s="1"/>
      <c r="AG6661" s="1"/>
      <c r="AI6661" s="1"/>
    </row>
    <row r="6662" spans="4:35" hidden="1">
      <c r="D6662" s="1"/>
      <c r="K6662" s="1"/>
      <c r="Q6662" s="1"/>
      <c r="AD6662" s="1"/>
      <c r="AG6662" s="1"/>
      <c r="AI6662" s="1"/>
    </row>
    <row r="6663" spans="4:35" hidden="1">
      <c r="D6663" s="1"/>
      <c r="K6663" s="1"/>
      <c r="Q6663" s="1"/>
      <c r="AD6663" s="1"/>
      <c r="AG6663" s="1"/>
      <c r="AI6663" s="1"/>
    </row>
    <row r="6664" spans="4:35" hidden="1">
      <c r="D6664" s="1"/>
      <c r="K6664" s="1"/>
      <c r="Q6664" s="1"/>
      <c r="AD6664" s="1"/>
      <c r="AG6664" s="1"/>
      <c r="AI6664" s="1"/>
    </row>
    <row r="6665" spans="4:35" hidden="1">
      <c r="D6665" s="1"/>
      <c r="K6665" s="1"/>
      <c r="Q6665" s="1"/>
      <c r="AD6665" s="1"/>
      <c r="AG6665" s="1"/>
      <c r="AI6665" s="1"/>
    </row>
    <row r="6666" spans="4:35" hidden="1">
      <c r="D6666" s="1"/>
      <c r="K6666" s="1"/>
      <c r="Q6666" s="1"/>
      <c r="AD6666" s="1"/>
      <c r="AG6666" s="1"/>
      <c r="AI6666" s="1"/>
    </row>
    <row r="6667" spans="4:35" hidden="1">
      <c r="D6667" s="1"/>
      <c r="K6667" s="1"/>
      <c r="Q6667" s="1"/>
      <c r="AD6667" s="1"/>
      <c r="AG6667" s="1"/>
      <c r="AI6667" s="1"/>
    </row>
    <row r="6668" spans="4:35" hidden="1">
      <c r="D6668" s="1"/>
      <c r="K6668" s="1"/>
      <c r="Q6668" s="1"/>
      <c r="AD6668" s="1"/>
      <c r="AG6668" s="1"/>
      <c r="AI6668" s="1"/>
    </row>
    <row r="6669" spans="4:35" hidden="1">
      <c r="D6669" s="1"/>
      <c r="K6669" s="1"/>
      <c r="Q6669" s="1"/>
      <c r="AD6669" s="1"/>
      <c r="AG6669" s="1"/>
      <c r="AI6669" s="1"/>
    </row>
    <row r="6670" spans="4:35" hidden="1">
      <c r="D6670" s="1"/>
      <c r="K6670" s="1"/>
      <c r="Q6670" s="1"/>
      <c r="AD6670" s="1"/>
      <c r="AG6670" s="1"/>
      <c r="AI6670" s="1"/>
    </row>
    <row r="6671" spans="4:35" hidden="1">
      <c r="D6671" s="1"/>
      <c r="K6671" s="1"/>
      <c r="Q6671" s="1"/>
      <c r="AD6671" s="1"/>
      <c r="AG6671" s="1"/>
      <c r="AI6671" s="1"/>
    </row>
    <row r="6672" spans="4:35" hidden="1">
      <c r="D6672" s="1"/>
      <c r="K6672" s="1"/>
      <c r="Q6672" s="1"/>
      <c r="AD6672" s="1"/>
      <c r="AG6672" s="1"/>
      <c r="AI6672" s="1"/>
    </row>
    <row r="6673" spans="4:35" hidden="1">
      <c r="D6673" s="1"/>
      <c r="K6673" s="1"/>
      <c r="Q6673" s="1"/>
      <c r="AD6673" s="1"/>
      <c r="AG6673" s="1"/>
      <c r="AI6673" s="1"/>
    </row>
    <row r="6674" spans="4:35" hidden="1">
      <c r="D6674" s="1"/>
      <c r="K6674" s="1"/>
      <c r="Q6674" s="1"/>
      <c r="AD6674" s="1"/>
      <c r="AG6674" s="1"/>
      <c r="AI6674" s="1"/>
    </row>
    <row r="6675" spans="4:35" hidden="1">
      <c r="D6675" s="1"/>
      <c r="K6675" s="1"/>
      <c r="Q6675" s="1"/>
      <c r="AD6675" s="1"/>
      <c r="AG6675" s="1"/>
      <c r="AI6675" s="1"/>
    </row>
    <row r="6676" spans="4:35" hidden="1">
      <c r="D6676" s="1"/>
      <c r="K6676" s="1"/>
      <c r="Q6676" s="1"/>
      <c r="AD6676" s="1"/>
      <c r="AG6676" s="1"/>
      <c r="AI6676" s="1"/>
    </row>
    <row r="6677" spans="4:35" hidden="1">
      <c r="D6677" s="1"/>
      <c r="K6677" s="1"/>
      <c r="Q6677" s="1"/>
      <c r="AD6677" s="1"/>
      <c r="AG6677" s="1"/>
      <c r="AI6677" s="1"/>
    </row>
    <row r="6678" spans="4:35" hidden="1">
      <c r="D6678" s="1"/>
      <c r="K6678" s="1"/>
      <c r="Q6678" s="1"/>
      <c r="AD6678" s="1"/>
      <c r="AG6678" s="1"/>
      <c r="AI6678" s="1"/>
    </row>
    <row r="6679" spans="4:35" hidden="1">
      <c r="D6679" s="1"/>
      <c r="K6679" s="1"/>
      <c r="Q6679" s="1"/>
      <c r="AD6679" s="1"/>
      <c r="AG6679" s="1"/>
      <c r="AI6679" s="1"/>
    </row>
    <row r="6680" spans="4:35" hidden="1">
      <c r="D6680" s="1"/>
      <c r="K6680" s="1"/>
      <c r="Q6680" s="1"/>
      <c r="AD6680" s="1"/>
      <c r="AG6680" s="1"/>
      <c r="AI6680" s="1"/>
    </row>
    <row r="6681" spans="4:35" hidden="1">
      <c r="D6681" s="1"/>
      <c r="K6681" s="1"/>
      <c r="Q6681" s="1"/>
      <c r="AD6681" s="1"/>
      <c r="AG6681" s="1"/>
      <c r="AI6681" s="1"/>
    </row>
    <row r="6682" spans="4:35" hidden="1">
      <c r="D6682" s="1"/>
      <c r="K6682" s="1"/>
      <c r="Q6682" s="1"/>
      <c r="AD6682" s="1"/>
      <c r="AG6682" s="1"/>
      <c r="AI6682" s="1"/>
    </row>
    <row r="6683" spans="4:35" hidden="1">
      <c r="D6683" s="1"/>
      <c r="K6683" s="1"/>
      <c r="Q6683" s="1"/>
      <c r="AD6683" s="1"/>
      <c r="AG6683" s="1"/>
      <c r="AI6683" s="1"/>
    </row>
    <row r="6684" spans="4:35" hidden="1">
      <c r="D6684" s="1"/>
      <c r="K6684" s="1"/>
      <c r="Q6684" s="1"/>
      <c r="AD6684" s="1"/>
      <c r="AG6684" s="1"/>
      <c r="AI6684" s="1"/>
    </row>
    <row r="6685" spans="4:35" hidden="1">
      <c r="D6685" s="1"/>
      <c r="K6685" s="1"/>
      <c r="Q6685" s="1"/>
      <c r="AD6685" s="1"/>
      <c r="AG6685" s="1"/>
      <c r="AI6685" s="1"/>
    </row>
    <row r="6686" spans="4:35" hidden="1">
      <c r="D6686" s="1"/>
      <c r="K6686" s="1"/>
      <c r="Q6686" s="1"/>
      <c r="AD6686" s="1"/>
      <c r="AG6686" s="1"/>
      <c r="AI6686" s="1"/>
    </row>
    <row r="6687" spans="4:35" hidden="1">
      <c r="D6687" s="1"/>
      <c r="K6687" s="1"/>
      <c r="Q6687" s="1"/>
      <c r="AD6687" s="1"/>
      <c r="AG6687" s="1"/>
      <c r="AI6687" s="1"/>
    </row>
    <row r="6688" spans="4:35" hidden="1">
      <c r="D6688" s="1"/>
      <c r="K6688" s="1"/>
      <c r="Q6688" s="1"/>
      <c r="AD6688" s="1"/>
      <c r="AG6688" s="1"/>
      <c r="AI6688" s="1"/>
    </row>
    <row r="6689" spans="4:35" hidden="1">
      <c r="D6689" s="1"/>
      <c r="K6689" s="1"/>
      <c r="Q6689" s="1"/>
      <c r="AD6689" s="1"/>
      <c r="AG6689" s="1"/>
      <c r="AI6689" s="1"/>
    </row>
    <row r="6690" spans="4:35" hidden="1">
      <c r="D6690" s="1"/>
      <c r="K6690" s="1"/>
      <c r="Q6690" s="1"/>
      <c r="AD6690" s="1"/>
      <c r="AG6690" s="1"/>
      <c r="AI6690" s="1"/>
    </row>
    <row r="6691" spans="4:35" hidden="1">
      <c r="D6691" s="1"/>
      <c r="K6691" s="1"/>
      <c r="Q6691" s="1"/>
      <c r="AD6691" s="1"/>
      <c r="AG6691" s="1"/>
      <c r="AI6691" s="1"/>
    </row>
    <row r="6692" spans="4:35" hidden="1">
      <c r="D6692" s="1"/>
      <c r="K6692" s="1"/>
      <c r="Q6692" s="1"/>
      <c r="AD6692" s="1"/>
      <c r="AG6692" s="1"/>
      <c r="AI6692" s="1"/>
    </row>
    <row r="6693" spans="4:35" hidden="1">
      <c r="D6693" s="1"/>
      <c r="K6693" s="1"/>
      <c r="Q6693" s="1"/>
      <c r="AD6693" s="1"/>
      <c r="AG6693" s="1"/>
      <c r="AI6693" s="1"/>
    </row>
    <row r="6694" spans="4:35" hidden="1">
      <c r="D6694" s="1"/>
      <c r="K6694" s="1"/>
      <c r="Q6694" s="1"/>
      <c r="AD6694" s="1"/>
      <c r="AG6694" s="1"/>
      <c r="AI6694" s="1"/>
    </row>
    <row r="6695" spans="4:35" hidden="1">
      <c r="D6695" s="1"/>
      <c r="K6695" s="1"/>
      <c r="Q6695" s="1"/>
      <c r="AD6695" s="1"/>
      <c r="AG6695" s="1"/>
      <c r="AI6695" s="1"/>
    </row>
    <row r="6696" spans="4:35" hidden="1">
      <c r="D6696" s="1"/>
      <c r="K6696" s="1"/>
      <c r="Q6696" s="1"/>
      <c r="AD6696" s="1"/>
      <c r="AG6696" s="1"/>
      <c r="AI6696" s="1"/>
    </row>
    <row r="6697" spans="4:35" hidden="1">
      <c r="D6697" s="1"/>
      <c r="K6697" s="1"/>
      <c r="Q6697" s="1"/>
      <c r="AD6697" s="1"/>
      <c r="AG6697" s="1"/>
      <c r="AI6697" s="1"/>
    </row>
    <row r="6698" spans="4:35" hidden="1">
      <c r="D6698" s="1"/>
      <c r="K6698" s="1"/>
      <c r="Q6698" s="1"/>
      <c r="AD6698" s="1"/>
      <c r="AG6698" s="1"/>
      <c r="AI6698" s="1"/>
    </row>
    <row r="6699" spans="4:35" hidden="1">
      <c r="D6699" s="1"/>
      <c r="K6699" s="1"/>
      <c r="Q6699" s="1"/>
      <c r="AD6699" s="1"/>
      <c r="AG6699" s="1"/>
      <c r="AI6699" s="1"/>
    </row>
    <row r="6700" spans="4:35" hidden="1">
      <c r="D6700" s="1"/>
      <c r="K6700" s="1"/>
      <c r="Q6700" s="1"/>
      <c r="AD6700" s="1"/>
      <c r="AG6700" s="1"/>
      <c r="AI6700" s="1"/>
    </row>
    <row r="6701" spans="4:35" hidden="1">
      <c r="D6701" s="1"/>
      <c r="K6701" s="1"/>
      <c r="Q6701" s="1"/>
      <c r="AD6701" s="1"/>
      <c r="AG6701" s="1"/>
      <c r="AI6701" s="1"/>
    </row>
    <row r="6702" spans="4:35" hidden="1">
      <c r="D6702" s="1"/>
      <c r="K6702" s="1"/>
      <c r="Q6702" s="1"/>
      <c r="AD6702" s="1"/>
      <c r="AG6702" s="1"/>
      <c r="AI6702" s="1"/>
    </row>
    <row r="6703" spans="4:35" hidden="1">
      <c r="D6703" s="1"/>
      <c r="K6703" s="1"/>
      <c r="Q6703" s="1"/>
      <c r="AD6703" s="1"/>
      <c r="AG6703" s="1"/>
      <c r="AI6703" s="1"/>
    </row>
    <row r="6704" spans="4:35" hidden="1">
      <c r="D6704" s="1"/>
      <c r="K6704" s="1"/>
      <c r="Q6704" s="1"/>
      <c r="AD6704" s="1"/>
      <c r="AG6704" s="1"/>
      <c r="AI6704" s="1"/>
    </row>
    <row r="6705" spans="4:35" hidden="1">
      <c r="D6705" s="1"/>
      <c r="K6705" s="1"/>
      <c r="Q6705" s="1"/>
      <c r="AD6705" s="1"/>
      <c r="AG6705" s="1"/>
      <c r="AI6705" s="1"/>
    </row>
    <row r="6706" spans="4:35" hidden="1">
      <c r="D6706" s="1"/>
      <c r="K6706" s="1"/>
      <c r="Q6706" s="1"/>
      <c r="AD6706" s="1"/>
      <c r="AG6706" s="1"/>
      <c r="AI6706" s="1"/>
    </row>
    <row r="6707" spans="4:35" hidden="1">
      <c r="D6707" s="1"/>
      <c r="K6707" s="1"/>
      <c r="Q6707" s="1"/>
      <c r="AD6707" s="1"/>
      <c r="AG6707" s="1"/>
      <c r="AI6707" s="1"/>
    </row>
    <row r="6708" spans="4:35" hidden="1">
      <c r="D6708" s="1"/>
      <c r="K6708" s="1"/>
      <c r="Q6708" s="1"/>
      <c r="AD6708" s="1"/>
      <c r="AG6708" s="1"/>
      <c r="AI6708" s="1"/>
    </row>
    <row r="6709" spans="4:35" hidden="1">
      <c r="D6709" s="1"/>
      <c r="K6709" s="1"/>
      <c r="Q6709" s="1"/>
      <c r="AD6709" s="1"/>
      <c r="AG6709" s="1"/>
      <c r="AI6709" s="1"/>
    </row>
    <row r="6710" spans="4:35" hidden="1">
      <c r="D6710" s="1"/>
      <c r="K6710" s="1"/>
      <c r="Q6710" s="1"/>
      <c r="AD6710" s="1"/>
      <c r="AG6710" s="1"/>
      <c r="AI6710" s="1"/>
    </row>
    <row r="6711" spans="4:35" hidden="1">
      <c r="D6711" s="1"/>
      <c r="K6711" s="1"/>
      <c r="Q6711" s="1"/>
      <c r="AD6711" s="1"/>
      <c r="AG6711" s="1"/>
      <c r="AI6711" s="1"/>
    </row>
    <row r="6712" spans="4:35" hidden="1">
      <c r="D6712" s="1"/>
      <c r="K6712" s="1"/>
      <c r="Q6712" s="1"/>
      <c r="AD6712" s="1"/>
      <c r="AG6712" s="1"/>
      <c r="AI6712" s="1"/>
    </row>
    <row r="6713" spans="4:35" hidden="1">
      <c r="D6713" s="1"/>
      <c r="K6713" s="1"/>
      <c r="Q6713" s="1"/>
      <c r="AD6713" s="1"/>
      <c r="AG6713" s="1"/>
      <c r="AI6713" s="1"/>
    </row>
    <row r="6714" spans="4:35" hidden="1">
      <c r="D6714" s="1"/>
      <c r="K6714" s="1"/>
      <c r="Q6714" s="1"/>
      <c r="AD6714" s="1"/>
      <c r="AG6714" s="1"/>
      <c r="AI6714" s="1"/>
    </row>
    <row r="6715" spans="4:35" hidden="1">
      <c r="D6715" s="1"/>
      <c r="K6715" s="1"/>
      <c r="Q6715" s="1"/>
      <c r="AD6715" s="1"/>
      <c r="AG6715" s="1"/>
      <c r="AI6715" s="1"/>
    </row>
    <row r="6716" spans="4:35" hidden="1">
      <c r="D6716" s="1"/>
      <c r="K6716" s="1"/>
      <c r="Q6716" s="1"/>
      <c r="AD6716" s="1"/>
      <c r="AG6716" s="1"/>
      <c r="AI6716" s="1"/>
    </row>
    <row r="6717" spans="4:35" hidden="1">
      <c r="D6717" s="1"/>
      <c r="K6717" s="1"/>
      <c r="Q6717" s="1"/>
      <c r="AD6717" s="1"/>
      <c r="AG6717" s="1"/>
      <c r="AI6717" s="1"/>
    </row>
    <row r="6718" spans="4:35" hidden="1">
      <c r="D6718" s="1"/>
      <c r="K6718" s="1"/>
      <c r="Q6718" s="1"/>
      <c r="AD6718" s="1"/>
      <c r="AG6718" s="1"/>
      <c r="AI6718" s="1"/>
    </row>
    <row r="6719" spans="4:35" hidden="1">
      <c r="D6719" s="1"/>
      <c r="K6719" s="1"/>
      <c r="Q6719" s="1"/>
      <c r="AD6719" s="1"/>
      <c r="AG6719" s="1"/>
      <c r="AI6719" s="1"/>
    </row>
    <row r="6720" spans="4:35" hidden="1">
      <c r="D6720" s="1"/>
      <c r="K6720" s="1"/>
      <c r="Q6720" s="1"/>
      <c r="AD6720" s="1"/>
      <c r="AG6720" s="1"/>
      <c r="AI6720" s="1"/>
    </row>
    <row r="6721" spans="4:35" hidden="1">
      <c r="D6721" s="1"/>
      <c r="K6721" s="1"/>
      <c r="Q6721" s="1"/>
      <c r="AD6721" s="1"/>
      <c r="AG6721" s="1"/>
      <c r="AI6721" s="1"/>
    </row>
    <row r="6722" spans="4:35" hidden="1">
      <c r="D6722" s="1"/>
      <c r="K6722" s="1"/>
      <c r="Q6722" s="1"/>
      <c r="AD6722" s="1"/>
      <c r="AG6722" s="1"/>
      <c r="AI6722" s="1"/>
    </row>
    <row r="6723" spans="4:35" hidden="1">
      <c r="D6723" s="1"/>
      <c r="K6723" s="1"/>
      <c r="Q6723" s="1"/>
      <c r="AD6723" s="1"/>
      <c r="AG6723" s="1"/>
      <c r="AI6723" s="1"/>
    </row>
    <row r="6724" spans="4:35" hidden="1">
      <c r="D6724" s="1"/>
      <c r="K6724" s="1"/>
      <c r="Q6724" s="1"/>
      <c r="AD6724" s="1"/>
      <c r="AG6724" s="1"/>
      <c r="AI6724" s="1"/>
    </row>
    <row r="6725" spans="4:35" hidden="1">
      <c r="D6725" s="1"/>
      <c r="K6725" s="1"/>
      <c r="Q6725" s="1"/>
      <c r="AD6725" s="1"/>
      <c r="AG6725" s="1"/>
      <c r="AI6725" s="1"/>
    </row>
    <row r="6726" spans="4:35" hidden="1">
      <c r="D6726" s="1"/>
      <c r="K6726" s="1"/>
      <c r="Q6726" s="1"/>
      <c r="AD6726" s="1"/>
      <c r="AG6726" s="1"/>
      <c r="AI6726" s="1"/>
    </row>
    <row r="6727" spans="4:35" hidden="1">
      <c r="D6727" s="1"/>
      <c r="K6727" s="1"/>
      <c r="Q6727" s="1"/>
      <c r="AD6727" s="1"/>
      <c r="AG6727" s="1"/>
      <c r="AI6727" s="1"/>
    </row>
    <row r="6728" spans="4:35" hidden="1">
      <c r="D6728" s="1"/>
      <c r="K6728" s="1"/>
      <c r="Q6728" s="1"/>
      <c r="AD6728" s="1"/>
      <c r="AG6728" s="1"/>
      <c r="AI6728" s="1"/>
    </row>
    <row r="6729" spans="4:35" hidden="1">
      <c r="D6729" s="1"/>
      <c r="K6729" s="1"/>
      <c r="Q6729" s="1"/>
      <c r="AD6729" s="1"/>
      <c r="AG6729" s="1"/>
      <c r="AI6729" s="1"/>
    </row>
    <row r="6730" spans="4:35" hidden="1">
      <c r="D6730" s="1"/>
      <c r="K6730" s="1"/>
      <c r="Q6730" s="1"/>
      <c r="AD6730" s="1"/>
      <c r="AG6730" s="1"/>
      <c r="AI6730" s="1"/>
    </row>
    <row r="6731" spans="4:35" hidden="1">
      <c r="D6731" s="1"/>
      <c r="K6731" s="1"/>
      <c r="Q6731" s="1"/>
      <c r="AD6731" s="1"/>
      <c r="AG6731" s="1"/>
      <c r="AI6731" s="1"/>
    </row>
    <row r="6732" spans="4:35" hidden="1">
      <c r="D6732" s="1"/>
      <c r="K6732" s="1"/>
      <c r="Q6732" s="1"/>
      <c r="AD6732" s="1"/>
      <c r="AG6732" s="1"/>
      <c r="AI6732" s="1"/>
    </row>
    <row r="6733" spans="4:35" hidden="1">
      <c r="D6733" s="1"/>
      <c r="K6733" s="1"/>
      <c r="Q6733" s="1"/>
      <c r="AD6733" s="1"/>
      <c r="AG6733" s="1"/>
      <c r="AI6733" s="1"/>
    </row>
    <row r="6734" spans="4:35" hidden="1">
      <c r="D6734" s="1"/>
      <c r="K6734" s="1"/>
      <c r="Q6734" s="1"/>
      <c r="AD6734" s="1"/>
      <c r="AG6734" s="1"/>
      <c r="AI6734" s="1"/>
    </row>
    <row r="6735" spans="4:35" hidden="1">
      <c r="D6735" s="1"/>
      <c r="K6735" s="1"/>
      <c r="Q6735" s="1"/>
      <c r="AD6735" s="1"/>
      <c r="AG6735" s="1"/>
      <c r="AI6735" s="1"/>
    </row>
    <row r="6736" spans="4:35" hidden="1">
      <c r="D6736" s="1"/>
      <c r="K6736" s="1"/>
      <c r="Q6736" s="1"/>
      <c r="AD6736" s="1"/>
      <c r="AG6736" s="1"/>
      <c r="AI6736" s="1"/>
    </row>
    <row r="6737" spans="4:35" hidden="1">
      <c r="D6737" s="1"/>
      <c r="K6737" s="1"/>
      <c r="Q6737" s="1"/>
      <c r="AD6737" s="1"/>
      <c r="AG6737" s="1"/>
      <c r="AI6737" s="1"/>
    </row>
    <row r="6738" spans="4:35" hidden="1">
      <c r="D6738" s="1"/>
      <c r="K6738" s="1"/>
      <c r="Q6738" s="1"/>
      <c r="AD6738" s="1"/>
      <c r="AG6738" s="1"/>
      <c r="AI6738" s="1"/>
    </row>
    <row r="6739" spans="4:35" hidden="1">
      <c r="D6739" s="1"/>
      <c r="K6739" s="1"/>
      <c r="Q6739" s="1"/>
      <c r="AD6739" s="1"/>
      <c r="AG6739" s="1"/>
      <c r="AI6739" s="1"/>
    </row>
    <row r="6740" spans="4:35" hidden="1">
      <c r="D6740" s="1"/>
      <c r="K6740" s="1"/>
      <c r="Q6740" s="1"/>
      <c r="AD6740" s="1"/>
      <c r="AG6740" s="1"/>
      <c r="AI6740" s="1"/>
    </row>
    <row r="6741" spans="4:35" hidden="1">
      <c r="D6741" s="1"/>
      <c r="K6741" s="1"/>
      <c r="Q6741" s="1"/>
      <c r="AD6741" s="1"/>
      <c r="AG6741" s="1"/>
      <c r="AI6741" s="1"/>
    </row>
    <row r="6742" spans="4:35" hidden="1">
      <c r="D6742" s="1"/>
      <c r="K6742" s="1"/>
      <c r="Q6742" s="1"/>
      <c r="AD6742" s="1"/>
      <c r="AG6742" s="1"/>
      <c r="AI6742" s="1"/>
    </row>
    <row r="6743" spans="4:35" hidden="1">
      <c r="D6743" s="1"/>
      <c r="K6743" s="1"/>
      <c r="Q6743" s="1"/>
      <c r="AD6743" s="1"/>
      <c r="AG6743" s="1"/>
      <c r="AI6743" s="1"/>
    </row>
    <row r="6744" spans="4:35" hidden="1">
      <c r="D6744" s="1"/>
      <c r="K6744" s="1"/>
      <c r="Q6744" s="1"/>
      <c r="AD6744" s="1"/>
      <c r="AG6744" s="1"/>
      <c r="AI6744" s="1"/>
    </row>
    <row r="6745" spans="4:35" hidden="1">
      <c r="D6745" s="1"/>
      <c r="K6745" s="1"/>
      <c r="Q6745" s="1"/>
      <c r="AD6745" s="1"/>
      <c r="AG6745" s="1"/>
      <c r="AI6745" s="1"/>
    </row>
    <row r="6746" spans="4:35" hidden="1">
      <c r="D6746" s="1"/>
      <c r="K6746" s="1"/>
      <c r="Q6746" s="1"/>
      <c r="AD6746" s="1"/>
      <c r="AG6746" s="1"/>
      <c r="AI6746" s="1"/>
    </row>
    <row r="6747" spans="4:35" hidden="1">
      <c r="D6747" s="1"/>
      <c r="K6747" s="1"/>
      <c r="Q6747" s="1"/>
      <c r="AD6747" s="1"/>
      <c r="AG6747" s="1"/>
      <c r="AI6747" s="1"/>
    </row>
    <row r="6748" spans="4:35" hidden="1">
      <c r="D6748" s="1"/>
      <c r="K6748" s="1"/>
      <c r="Q6748" s="1"/>
      <c r="AD6748" s="1"/>
      <c r="AG6748" s="1"/>
      <c r="AI6748" s="1"/>
    </row>
    <row r="6749" spans="4:35" hidden="1">
      <c r="D6749" s="1"/>
      <c r="K6749" s="1"/>
      <c r="Q6749" s="1"/>
      <c r="AD6749" s="1"/>
      <c r="AG6749" s="1"/>
      <c r="AI6749" s="1"/>
    </row>
    <row r="6750" spans="4:35" hidden="1">
      <c r="D6750" s="1"/>
      <c r="K6750" s="1"/>
      <c r="Q6750" s="1"/>
      <c r="AD6750" s="1"/>
      <c r="AG6750" s="1"/>
      <c r="AI6750" s="1"/>
    </row>
    <row r="6751" spans="4:35" hidden="1">
      <c r="D6751" s="1"/>
      <c r="K6751" s="1"/>
      <c r="Q6751" s="1"/>
      <c r="AD6751" s="1"/>
      <c r="AG6751" s="1"/>
      <c r="AI6751" s="1"/>
    </row>
    <row r="6752" spans="4:35" hidden="1">
      <c r="D6752" s="1"/>
      <c r="K6752" s="1"/>
      <c r="Q6752" s="1"/>
      <c r="AD6752" s="1"/>
      <c r="AG6752" s="1"/>
      <c r="AI6752" s="1"/>
    </row>
    <row r="6753" spans="4:35" hidden="1">
      <c r="D6753" s="1"/>
      <c r="K6753" s="1"/>
      <c r="Q6753" s="1"/>
      <c r="AD6753" s="1"/>
      <c r="AG6753" s="1"/>
      <c r="AI6753" s="1"/>
    </row>
    <row r="6754" spans="4:35" hidden="1">
      <c r="D6754" s="1"/>
      <c r="K6754" s="1"/>
      <c r="Q6754" s="1"/>
      <c r="AD6754" s="1"/>
      <c r="AG6754" s="1"/>
      <c r="AI6754" s="1"/>
    </row>
    <row r="6755" spans="4:35" hidden="1">
      <c r="D6755" s="1"/>
      <c r="K6755" s="1"/>
      <c r="Q6755" s="1"/>
      <c r="AD6755" s="1"/>
      <c r="AG6755" s="1"/>
      <c r="AI6755" s="1"/>
    </row>
    <row r="6756" spans="4:35" hidden="1">
      <c r="D6756" s="1"/>
      <c r="K6756" s="1"/>
      <c r="Q6756" s="1"/>
      <c r="AD6756" s="1"/>
      <c r="AG6756" s="1"/>
      <c r="AI6756" s="1"/>
    </row>
    <row r="6757" spans="4:35" hidden="1">
      <c r="D6757" s="1"/>
      <c r="K6757" s="1"/>
      <c r="Q6757" s="1"/>
      <c r="AD6757" s="1"/>
      <c r="AG6757" s="1"/>
      <c r="AI6757" s="1"/>
    </row>
    <row r="6758" spans="4:35" hidden="1">
      <c r="D6758" s="1"/>
      <c r="K6758" s="1"/>
      <c r="Q6758" s="1"/>
      <c r="AD6758" s="1"/>
      <c r="AG6758" s="1"/>
      <c r="AI6758" s="1"/>
    </row>
    <row r="6759" spans="4:35" hidden="1">
      <c r="D6759" s="1"/>
      <c r="K6759" s="1"/>
      <c r="Q6759" s="1"/>
      <c r="AD6759" s="1"/>
      <c r="AG6759" s="1"/>
      <c r="AI6759" s="1"/>
    </row>
    <row r="6760" spans="4:35" hidden="1">
      <c r="D6760" s="1"/>
      <c r="K6760" s="1"/>
      <c r="Q6760" s="1"/>
      <c r="AD6760" s="1"/>
      <c r="AG6760" s="1"/>
      <c r="AI6760" s="1"/>
    </row>
    <row r="6761" spans="4:35" hidden="1">
      <c r="D6761" s="1"/>
      <c r="K6761" s="1"/>
      <c r="Q6761" s="1"/>
      <c r="AD6761" s="1"/>
      <c r="AG6761" s="1"/>
      <c r="AI6761" s="1"/>
    </row>
    <row r="6762" spans="4:35" hidden="1">
      <c r="D6762" s="1"/>
      <c r="K6762" s="1"/>
      <c r="Q6762" s="1"/>
      <c r="AD6762" s="1"/>
      <c r="AG6762" s="1"/>
      <c r="AI6762" s="1"/>
    </row>
    <row r="6763" spans="4:35" hidden="1">
      <c r="D6763" s="1"/>
      <c r="K6763" s="1"/>
      <c r="Q6763" s="1"/>
      <c r="AD6763" s="1"/>
      <c r="AG6763" s="1"/>
      <c r="AI6763" s="1"/>
    </row>
    <row r="6764" spans="4:35" hidden="1">
      <c r="D6764" s="1"/>
      <c r="K6764" s="1"/>
      <c r="Q6764" s="1"/>
      <c r="AD6764" s="1"/>
      <c r="AG6764" s="1"/>
      <c r="AI6764" s="1"/>
    </row>
    <row r="6765" spans="4:35" hidden="1">
      <c r="D6765" s="1"/>
      <c r="K6765" s="1"/>
      <c r="Q6765" s="1"/>
      <c r="AD6765" s="1"/>
      <c r="AG6765" s="1"/>
      <c r="AI6765" s="1"/>
    </row>
    <row r="6766" spans="4:35" hidden="1">
      <c r="D6766" s="1"/>
      <c r="K6766" s="1"/>
      <c r="Q6766" s="1"/>
      <c r="AD6766" s="1"/>
      <c r="AG6766" s="1"/>
      <c r="AI6766" s="1"/>
    </row>
    <row r="6767" spans="4:35" hidden="1">
      <c r="D6767" s="1"/>
      <c r="K6767" s="1"/>
      <c r="Q6767" s="1"/>
      <c r="AD6767" s="1"/>
      <c r="AG6767" s="1"/>
      <c r="AI6767" s="1"/>
    </row>
    <row r="6768" spans="4:35" hidden="1">
      <c r="D6768" s="1"/>
      <c r="K6768" s="1"/>
      <c r="Q6768" s="1"/>
      <c r="AD6768" s="1"/>
      <c r="AG6768" s="1"/>
      <c r="AI6768" s="1"/>
    </row>
    <row r="6769" spans="4:35" hidden="1">
      <c r="D6769" s="1"/>
      <c r="K6769" s="1"/>
      <c r="Q6769" s="1"/>
      <c r="AD6769" s="1"/>
      <c r="AG6769" s="1"/>
      <c r="AI6769" s="1"/>
    </row>
    <row r="6770" spans="4:35" hidden="1">
      <c r="D6770" s="1"/>
      <c r="K6770" s="1"/>
      <c r="Q6770" s="1"/>
      <c r="AD6770" s="1"/>
      <c r="AG6770" s="1"/>
      <c r="AI6770" s="1"/>
    </row>
    <row r="6771" spans="4:35" hidden="1">
      <c r="D6771" s="1"/>
      <c r="K6771" s="1"/>
      <c r="Q6771" s="1"/>
      <c r="AD6771" s="1"/>
      <c r="AG6771" s="1"/>
      <c r="AI6771" s="1"/>
    </row>
    <row r="6772" spans="4:35" hidden="1">
      <c r="D6772" s="1"/>
      <c r="K6772" s="1"/>
      <c r="Q6772" s="1"/>
      <c r="AD6772" s="1"/>
      <c r="AG6772" s="1"/>
      <c r="AI6772" s="1"/>
    </row>
    <row r="6773" spans="4:35" hidden="1">
      <c r="D6773" s="1"/>
      <c r="K6773" s="1"/>
      <c r="Q6773" s="1"/>
      <c r="AD6773" s="1"/>
      <c r="AG6773" s="1"/>
      <c r="AI6773" s="1"/>
    </row>
    <row r="6774" spans="4:35" hidden="1">
      <c r="D6774" s="1"/>
      <c r="K6774" s="1"/>
      <c r="Q6774" s="1"/>
      <c r="AD6774" s="1"/>
      <c r="AG6774" s="1"/>
      <c r="AI6774" s="1"/>
    </row>
    <row r="6775" spans="4:35" hidden="1">
      <c r="D6775" s="1"/>
      <c r="K6775" s="1"/>
      <c r="Q6775" s="1"/>
      <c r="AD6775" s="1"/>
      <c r="AG6775" s="1"/>
      <c r="AI6775" s="1"/>
    </row>
    <row r="6776" spans="4:35" hidden="1">
      <c r="D6776" s="1"/>
      <c r="K6776" s="1"/>
      <c r="Q6776" s="1"/>
      <c r="AD6776" s="1"/>
      <c r="AG6776" s="1"/>
      <c r="AI6776" s="1"/>
    </row>
    <row r="6777" spans="4:35" hidden="1">
      <c r="D6777" s="1"/>
      <c r="K6777" s="1"/>
      <c r="Q6777" s="1"/>
      <c r="AD6777" s="1"/>
      <c r="AG6777" s="1"/>
      <c r="AI6777" s="1"/>
    </row>
    <row r="6778" spans="4:35" hidden="1">
      <c r="D6778" s="1"/>
      <c r="K6778" s="1"/>
      <c r="Q6778" s="1"/>
      <c r="AD6778" s="1"/>
      <c r="AG6778" s="1"/>
      <c r="AI6778" s="1"/>
    </row>
    <row r="6779" spans="4:35" hidden="1">
      <c r="D6779" s="1"/>
      <c r="K6779" s="1"/>
      <c r="Q6779" s="1"/>
      <c r="AD6779" s="1"/>
      <c r="AG6779" s="1"/>
      <c r="AI6779" s="1"/>
    </row>
    <row r="6780" spans="4:35" hidden="1">
      <c r="D6780" s="1"/>
      <c r="K6780" s="1"/>
      <c r="Q6780" s="1"/>
      <c r="AD6780" s="1"/>
      <c r="AG6780" s="1"/>
      <c r="AI6780" s="1"/>
    </row>
    <row r="6781" spans="4:35" hidden="1">
      <c r="D6781" s="1"/>
      <c r="K6781" s="1"/>
      <c r="Q6781" s="1"/>
      <c r="AD6781" s="1"/>
      <c r="AG6781" s="1"/>
      <c r="AI6781" s="1"/>
    </row>
    <row r="6782" spans="4:35" hidden="1">
      <c r="D6782" s="1"/>
      <c r="K6782" s="1"/>
      <c r="Q6782" s="1"/>
      <c r="AD6782" s="1"/>
      <c r="AG6782" s="1"/>
      <c r="AI6782" s="1"/>
    </row>
    <row r="6783" spans="4:35" hidden="1">
      <c r="D6783" s="1"/>
      <c r="K6783" s="1"/>
      <c r="Q6783" s="1"/>
      <c r="AD6783" s="1"/>
      <c r="AG6783" s="1"/>
      <c r="AI6783" s="1"/>
    </row>
    <row r="6784" spans="4:35" hidden="1">
      <c r="D6784" s="1"/>
      <c r="K6784" s="1"/>
      <c r="Q6784" s="1"/>
      <c r="AD6784" s="1"/>
      <c r="AG6784" s="1"/>
      <c r="AI6784" s="1"/>
    </row>
    <row r="6785" spans="4:35" hidden="1">
      <c r="D6785" s="1"/>
      <c r="K6785" s="1"/>
      <c r="Q6785" s="1"/>
      <c r="AD6785" s="1"/>
      <c r="AG6785" s="1"/>
      <c r="AI6785" s="1"/>
    </row>
    <row r="6786" spans="4:35" hidden="1">
      <c r="D6786" s="1"/>
      <c r="K6786" s="1"/>
      <c r="Q6786" s="1"/>
      <c r="AD6786" s="1"/>
      <c r="AG6786" s="1"/>
      <c r="AI6786" s="1"/>
    </row>
    <row r="6787" spans="4:35" hidden="1">
      <c r="D6787" s="1"/>
      <c r="K6787" s="1"/>
      <c r="Q6787" s="1"/>
      <c r="AD6787" s="1"/>
      <c r="AG6787" s="1"/>
      <c r="AI6787" s="1"/>
    </row>
    <row r="6788" spans="4:35" hidden="1">
      <c r="D6788" s="1"/>
      <c r="K6788" s="1"/>
      <c r="Q6788" s="1"/>
      <c r="AD6788" s="1"/>
      <c r="AG6788" s="1"/>
      <c r="AI6788" s="1"/>
    </row>
    <row r="6789" spans="4:35" hidden="1">
      <c r="D6789" s="1"/>
      <c r="K6789" s="1"/>
      <c r="Q6789" s="1"/>
      <c r="AD6789" s="1"/>
      <c r="AG6789" s="1"/>
      <c r="AI6789" s="1"/>
    </row>
    <row r="6790" spans="4:35" hidden="1">
      <c r="D6790" s="1"/>
      <c r="K6790" s="1"/>
      <c r="Q6790" s="1"/>
      <c r="AD6790" s="1"/>
      <c r="AG6790" s="1"/>
      <c r="AI6790" s="1"/>
    </row>
    <row r="6791" spans="4:35" hidden="1">
      <c r="D6791" s="1"/>
      <c r="K6791" s="1"/>
      <c r="Q6791" s="1"/>
      <c r="AD6791" s="1"/>
      <c r="AG6791" s="1"/>
      <c r="AI6791" s="1"/>
    </row>
    <row r="6792" spans="4:35" hidden="1">
      <c r="D6792" s="1"/>
      <c r="K6792" s="1"/>
      <c r="Q6792" s="1"/>
      <c r="AD6792" s="1"/>
      <c r="AG6792" s="1"/>
      <c r="AI6792" s="1"/>
    </row>
    <row r="6793" spans="4:35" hidden="1">
      <c r="D6793" s="1"/>
      <c r="K6793" s="1"/>
      <c r="Q6793" s="1"/>
      <c r="AD6793" s="1"/>
      <c r="AG6793" s="1"/>
      <c r="AI6793" s="1"/>
    </row>
    <row r="6794" spans="4:35" hidden="1">
      <c r="D6794" s="1"/>
      <c r="K6794" s="1"/>
      <c r="Q6794" s="1"/>
      <c r="AD6794" s="1"/>
      <c r="AG6794" s="1"/>
      <c r="AI6794" s="1"/>
    </row>
    <row r="6795" spans="4:35" hidden="1">
      <c r="D6795" s="1"/>
      <c r="K6795" s="1"/>
      <c r="Q6795" s="1"/>
      <c r="AD6795" s="1"/>
      <c r="AG6795" s="1"/>
      <c r="AI6795" s="1"/>
    </row>
    <row r="6796" spans="4:35" hidden="1">
      <c r="D6796" s="1"/>
      <c r="K6796" s="1"/>
      <c r="Q6796" s="1"/>
      <c r="AD6796" s="1"/>
      <c r="AG6796" s="1"/>
      <c r="AI6796" s="1"/>
    </row>
    <row r="6797" spans="4:35" hidden="1">
      <c r="D6797" s="1"/>
      <c r="K6797" s="1"/>
      <c r="Q6797" s="1"/>
      <c r="AD6797" s="1"/>
      <c r="AG6797" s="1"/>
      <c r="AI6797" s="1"/>
    </row>
    <row r="6798" spans="4:35" hidden="1">
      <c r="D6798" s="1"/>
      <c r="K6798" s="1"/>
      <c r="Q6798" s="1"/>
      <c r="AD6798" s="1"/>
      <c r="AG6798" s="1"/>
      <c r="AI6798" s="1"/>
    </row>
    <row r="6799" spans="4:35" hidden="1">
      <c r="D6799" s="1"/>
      <c r="K6799" s="1"/>
      <c r="Q6799" s="1"/>
      <c r="AD6799" s="1"/>
      <c r="AG6799" s="1"/>
      <c r="AI6799" s="1"/>
    </row>
    <row r="6800" spans="4:35" hidden="1">
      <c r="D6800" s="1"/>
      <c r="K6800" s="1"/>
      <c r="Q6800" s="1"/>
      <c r="AD6800" s="1"/>
      <c r="AG6800" s="1"/>
      <c r="AI6800" s="1"/>
    </row>
    <row r="6801" spans="4:35" hidden="1">
      <c r="D6801" s="1"/>
      <c r="K6801" s="1"/>
      <c r="Q6801" s="1"/>
      <c r="AD6801" s="1"/>
      <c r="AG6801" s="1"/>
      <c r="AI6801" s="1"/>
    </row>
    <row r="6802" spans="4:35" hidden="1">
      <c r="D6802" s="1"/>
      <c r="K6802" s="1"/>
      <c r="Q6802" s="1"/>
      <c r="AD6802" s="1"/>
      <c r="AG6802" s="1"/>
      <c r="AI6802" s="1"/>
    </row>
    <row r="6803" spans="4:35" hidden="1">
      <c r="D6803" s="1"/>
      <c r="K6803" s="1"/>
      <c r="Q6803" s="1"/>
      <c r="AD6803" s="1"/>
      <c r="AG6803" s="1"/>
      <c r="AI6803" s="1"/>
    </row>
    <row r="6804" spans="4:35" hidden="1">
      <c r="D6804" s="1"/>
      <c r="K6804" s="1"/>
      <c r="Q6804" s="1"/>
      <c r="AD6804" s="1"/>
      <c r="AG6804" s="1"/>
      <c r="AI6804" s="1"/>
    </row>
    <row r="6805" spans="4:35" hidden="1">
      <c r="D6805" s="1"/>
      <c r="K6805" s="1"/>
      <c r="Q6805" s="1"/>
      <c r="AD6805" s="1"/>
      <c r="AG6805" s="1"/>
      <c r="AI6805" s="1"/>
    </row>
    <row r="6806" spans="4:35" hidden="1">
      <c r="D6806" s="1"/>
      <c r="K6806" s="1"/>
      <c r="Q6806" s="1"/>
      <c r="AD6806" s="1"/>
      <c r="AG6806" s="1"/>
      <c r="AI6806" s="1"/>
    </row>
    <row r="6807" spans="4:35" hidden="1">
      <c r="D6807" s="1"/>
      <c r="K6807" s="1"/>
      <c r="Q6807" s="1"/>
      <c r="AD6807" s="1"/>
      <c r="AG6807" s="1"/>
      <c r="AI6807" s="1"/>
    </row>
    <row r="6808" spans="4:35" hidden="1">
      <c r="D6808" s="1"/>
      <c r="K6808" s="1"/>
      <c r="Q6808" s="1"/>
      <c r="AD6808" s="1"/>
      <c r="AG6808" s="1"/>
      <c r="AI6808" s="1"/>
    </row>
    <row r="6809" spans="4:35" hidden="1">
      <c r="D6809" s="1"/>
      <c r="K6809" s="1"/>
      <c r="Q6809" s="1"/>
      <c r="AD6809" s="1"/>
      <c r="AG6809" s="1"/>
      <c r="AI6809" s="1"/>
    </row>
    <row r="6810" spans="4:35" hidden="1">
      <c r="D6810" s="1"/>
      <c r="K6810" s="1"/>
      <c r="Q6810" s="1"/>
      <c r="AD6810" s="1"/>
      <c r="AG6810" s="1"/>
      <c r="AI6810" s="1"/>
    </row>
    <row r="6811" spans="4:35" hidden="1">
      <c r="D6811" s="1"/>
      <c r="K6811" s="1"/>
      <c r="Q6811" s="1"/>
      <c r="AD6811" s="1"/>
      <c r="AG6811" s="1"/>
      <c r="AI6811" s="1"/>
    </row>
    <row r="6812" spans="4:35" hidden="1">
      <c r="D6812" s="1"/>
      <c r="K6812" s="1"/>
      <c r="Q6812" s="1"/>
      <c r="AD6812" s="1"/>
      <c r="AG6812" s="1"/>
      <c r="AI6812" s="1"/>
    </row>
    <row r="6813" spans="4:35" hidden="1">
      <c r="D6813" s="1"/>
      <c r="K6813" s="1"/>
      <c r="Q6813" s="1"/>
      <c r="AD6813" s="1"/>
      <c r="AG6813" s="1"/>
      <c r="AI6813" s="1"/>
    </row>
    <row r="6814" spans="4:35" hidden="1">
      <c r="D6814" s="1"/>
      <c r="K6814" s="1"/>
      <c r="Q6814" s="1"/>
      <c r="AD6814" s="1"/>
      <c r="AG6814" s="1"/>
      <c r="AI6814" s="1"/>
    </row>
    <row r="6815" spans="4:35" hidden="1">
      <c r="D6815" s="1"/>
      <c r="K6815" s="1"/>
      <c r="Q6815" s="1"/>
      <c r="AD6815" s="1"/>
      <c r="AG6815" s="1"/>
      <c r="AI6815" s="1"/>
    </row>
    <row r="6816" spans="4:35" hidden="1">
      <c r="D6816" s="1"/>
      <c r="K6816" s="1"/>
      <c r="Q6816" s="1"/>
      <c r="AD6816" s="1"/>
      <c r="AG6816" s="1"/>
      <c r="AI6816" s="1"/>
    </row>
    <row r="6817" spans="4:35" hidden="1">
      <c r="D6817" s="1"/>
      <c r="K6817" s="1"/>
      <c r="Q6817" s="1"/>
      <c r="AD6817" s="1"/>
      <c r="AG6817" s="1"/>
      <c r="AI6817" s="1"/>
    </row>
    <row r="6818" spans="4:35" hidden="1">
      <c r="D6818" s="1"/>
      <c r="K6818" s="1"/>
      <c r="Q6818" s="1"/>
      <c r="AD6818" s="1"/>
      <c r="AG6818" s="1"/>
      <c r="AI6818" s="1"/>
    </row>
    <row r="6819" spans="4:35" hidden="1">
      <c r="D6819" s="1"/>
      <c r="K6819" s="1"/>
      <c r="Q6819" s="1"/>
      <c r="AD6819" s="1"/>
      <c r="AG6819" s="1"/>
      <c r="AI6819" s="1"/>
    </row>
    <row r="6820" spans="4:35" hidden="1">
      <c r="D6820" s="1"/>
      <c r="K6820" s="1"/>
      <c r="Q6820" s="1"/>
      <c r="AD6820" s="1"/>
      <c r="AG6820" s="1"/>
      <c r="AI6820" s="1"/>
    </row>
    <row r="6821" spans="4:35" hidden="1">
      <c r="D6821" s="1"/>
      <c r="K6821" s="1"/>
      <c r="Q6821" s="1"/>
      <c r="AD6821" s="1"/>
      <c r="AG6821" s="1"/>
      <c r="AI6821" s="1"/>
    </row>
    <row r="6822" spans="4:35" hidden="1">
      <c r="D6822" s="1"/>
      <c r="K6822" s="1"/>
      <c r="Q6822" s="1"/>
      <c r="AD6822" s="1"/>
      <c r="AG6822" s="1"/>
      <c r="AI6822" s="1"/>
    </row>
    <row r="6823" spans="4:35" hidden="1">
      <c r="D6823" s="1"/>
      <c r="K6823" s="1"/>
      <c r="Q6823" s="1"/>
      <c r="AD6823" s="1"/>
      <c r="AG6823" s="1"/>
      <c r="AI6823" s="1"/>
    </row>
    <row r="6824" spans="4:35" hidden="1">
      <c r="D6824" s="1"/>
      <c r="K6824" s="1"/>
      <c r="Q6824" s="1"/>
      <c r="AD6824" s="1"/>
      <c r="AG6824" s="1"/>
      <c r="AI6824" s="1"/>
    </row>
    <row r="6825" spans="4:35" hidden="1">
      <c r="D6825" s="1"/>
      <c r="K6825" s="1"/>
      <c r="Q6825" s="1"/>
      <c r="AD6825" s="1"/>
      <c r="AG6825" s="1"/>
      <c r="AI6825" s="1"/>
    </row>
    <row r="6826" spans="4:35" hidden="1">
      <c r="D6826" s="1"/>
      <c r="K6826" s="1"/>
      <c r="Q6826" s="1"/>
      <c r="AD6826" s="1"/>
      <c r="AG6826" s="1"/>
      <c r="AI6826" s="1"/>
    </row>
    <row r="6827" spans="4:35" hidden="1">
      <c r="D6827" s="1"/>
      <c r="K6827" s="1"/>
      <c r="Q6827" s="1"/>
      <c r="AD6827" s="1"/>
      <c r="AG6827" s="1"/>
      <c r="AI6827" s="1"/>
    </row>
    <row r="6828" spans="4:35" hidden="1">
      <c r="D6828" s="1"/>
      <c r="K6828" s="1"/>
      <c r="Q6828" s="1"/>
      <c r="AD6828" s="1"/>
      <c r="AG6828" s="1"/>
      <c r="AI6828" s="1"/>
    </row>
    <row r="6829" spans="4:35" hidden="1">
      <c r="D6829" s="1"/>
      <c r="K6829" s="1"/>
      <c r="Q6829" s="1"/>
      <c r="AD6829" s="1"/>
      <c r="AG6829" s="1"/>
      <c r="AI6829" s="1"/>
    </row>
    <row r="6830" spans="4:35" hidden="1">
      <c r="D6830" s="1"/>
      <c r="K6830" s="1"/>
      <c r="Q6830" s="1"/>
      <c r="AD6830" s="1"/>
      <c r="AG6830" s="1"/>
      <c r="AI6830" s="1"/>
    </row>
    <row r="6831" spans="4:35" hidden="1">
      <c r="D6831" s="1"/>
      <c r="K6831" s="1"/>
      <c r="Q6831" s="1"/>
      <c r="AD6831" s="1"/>
      <c r="AG6831" s="1"/>
      <c r="AI6831" s="1"/>
    </row>
    <row r="6832" spans="4:35" hidden="1">
      <c r="D6832" s="1"/>
      <c r="K6832" s="1"/>
      <c r="Q6832" s="1"/>
      <c r="AD6832" s="1"/>
      <c r="AG6832" s="1"/>
      <c r="AI6832" s="1"/>
    </row>
    <row r="6833" spans="4:35" hidden="1">
      <c r="D6833" s="1"/>
      <c r="K6833" s="1"/>
      <c r="Q6833" s="1"/>
      <c r="AD6833" s="1"/>
      <c r="AG6833" s="1"/>
      <c r="AI6833" s="1"/>
    </row>
    <row r="6834" spans="4:35" hidden="1">
      <c r="D6834" s="1"/>
      <c r="K6834" s="1"/>
      <c r="Q6834" s="1"/>
      <c r="AD6834" s="1"/>
      <c r="AG6834" s="1"/>
      <c r="AI6834" s="1"/>
    </row>
    <row r="6835" spans="4:35" hidden="1">
      <c r="D6835" s="1"/>
      <c r="K6835" s="1"/>
      <c r="Q6835" s="1"/>
      <c r="AD6835" s="1"/>
      <c r="AG6835" s="1"/>
      <c r="AI6835" s="1"/>
    </row>
    <row r="6836" spans="4:35" hidden="1">
      <c r="D6836" s="1"/>
      <c r="K6836" s="1"/>
      <c r="Q6836" s="1"/>
      <c r="AD6836" s="1"/>
      <c r="AG6836" s="1"/>
      <c r="AI6836" s="1"/>
    </row>
    <row r="6837" spans="4:35" hidden="1">
      <c r="D6837" s="1"/>
      <c r="K6837" s="1"/>
      <c r="Q6837" s="1"/>
      <c r="AD6837" s="1"/>
      <c r="AG6837" s="1"/>
      <c r="AI6837" s="1"/>
    </row>
    <row r="6838" spans="4:35" hidden="1">
      <c r="D6838" s="1"/>
      <c r="K6838" s="1"/>
      <c r="Q6838" s="1"/>
      <c r="AD6838" s="1"/>
      <c r="AG6838" s="1"/>
      <c r="AI6838" s="1"/>
    </row>
    <row r="6839" spans="4:35" hidden="1">
      <c r="D6839" s="1"/>
      <c r="K6839" s="1"/>
      <c r="Q6839" s="1"/>
      <c r="AD6839" s="1"/>
      <c r="AG6839" s="1"/>
      <c r="AI6839" s="1"/>
    </row>
    <row r="6840" spans="4:35" hidden="1">
      <c r="D6840" s="1"/>
      <c r="K6840" s="1"/>
      <c r="Q6840" s="1"/>
      <c r="AD6840" s="1"/>
      <c r="AG6840" s="1"/>
      <c r="AI6840" s="1"/>
    </row>
    <row r="6841" spans="4:35" hidden="1">
      <c r="D6841" s="1"/>
      <c r="K6841" s="1"/>
      <c r="Q6841" s="1"/>
      <c r="AD6841" s="1"/>
      <c r="AG6841" s="1"/>
      <c r="AI6841" s="1"/>
    </row>
    <row r="6842" spans="4:35" hidden="1">
      <c r="D6842" s="1"/>
      <c r="K6842" s="1"/>
      <c r="Q6842" s="1"/>
      <c r="AD6842" s="1"/>
      <c r="AG6842" s="1"/>
      <c r="AI6842" s="1"/>
    </row>
    <row r="6843" spans="4:35" hidden="1">
      <c r="D6843" s="1"/>
      <c r="K6843" s="1"/>
      <c r="Q6843" s="1"/>
      <c r="AD6843" s="1"/>
      <c r="AG6843" s="1"/>
      <c r="AI6843" s="1"/>
    </row>
    <row r="6844" spans="4:35" hidden="1">
      <c r="D6844" s="1"/>
      <c r="K6844" s="1"/>
      <c r="Q6844" s="1"/>
      <c r="AD6844" s="1"/>
      <c r="AG6844" s="1"/>
      <c r="AI6844" s="1"/>
    </row>
    <row r="6845" spans="4:35" hidden="1">
      <c r="D6845" s="1"/>
      <c r="K6845" s="1"/>
      <c r="Q6845" s="1"/>
      <c r="AD6845" s="1"/>
      <c r="AG6845" s="1"/>
      <c r="AI6845" s="1"/>
    </row>
    <row r="6846" spans="4:35" hidden="1">
      <c r="D6846" s="1"/>
      <c r="K6846" s="1"/>
      <c r="Q6846" s="1"/>
      <c r="AD6846" s="1"/>
      <c r="AG6846" s="1"/>
      <c r="AI6846" s="1"/>
    </row>
    <row r="6847" spans="4:35" hidden="1">
      <c r="D6847" s="1"/>
      <c r="K6847" s="1"/>
      <c r="Q6847" s="1"/>
      <c r="AD6847" s="1"/>
      <c r="AG6847" s="1"/>
      <c r="AI6847" s="1"/>
    </row>
    <row r="6848" spans="4:35" hidden="1">
      <c r="D6848" s="1"/>
      <c r="K6848" s="1"/>
      <c r="Q6848" s="1"/>
      <c r="AD6848" s="1"/>
      <c r="AG6848" s="1"/>
      <c r="AI6848" s="1"/>
    </row>
    <row r="6849" spans="4:35" hidden="1">
      <c r="D6849" s="1"/>
      <c r="K6849" s="1"/>
      <c r="Q6849" s="1"/>
      <c r="AD6849" s="1"/>
      <c r="AG6849" s="1"/>
      <c r="AI6849" s="1"/>
    </row>
    <row r="6850" spans="4:35" hidden="1">
      <c r="D6850" s="1"/>
      <c r="K6850" s="1"/>
      <c r="Q6850" s="1"/>
      <c r="AD6850" s="1"/>
      <c r="AG6850" s="1"/>
      <c r="AI6850" s="1"/>
    </row>
    <row r="6851" spans="4:35" hidden="1">
      <c r="D6851" s="1"/>
      <c r="K6851" s="1"/>
      <c r="Q6851" s="1"/>
      <c r="AD6851" s="1"/>
      <c r="AG6851" s="1"/>
      <c r="AI6851" s="1"/>
    </row>
    <row r="6852" spans="4:35" hidden="1">
      <c r="D6852" s="1"/>
      <c r="K6852" s="1"/>
      <c r="Q6852" s="1"/>
      <c r="AD6852" s="1"/>
      <c r="AG6852" s="1"/>
      <c r="AI6852" s="1"/>
    </row>
    <row r="6853" spans="4:35" hidden="1">
      <c r="D6853" s="1"/>
      <c r="K6853" s="1"/>
      <c r="Q6853" s="1"/>
      <c r="AD6853" s="1"/>
      <c r="AG6853" s="1"/>
      <c r="AI6853" s="1"/>
    </row>
    <row r="6854" spans="4:35" hidden="1">
      <c r="D6854" s="1"/>
      <c r="K6854" s="1"/>
      <c r="Q6854" s="1"/>
      <c r="AD6854" s="1"/>
      <c r="AG6854" s="1"/>
      <c r="AI6854" s="1"/>
    </row>
    <row r="6855" spans="4:35" hidden="1">
      <c r="D6855" s="1"/>
      <c r="K6855" s="1"/>
      <c r="Q6855" s="1"/>
      <c r="AD6855" s="1"/>
      <c r="AG6855" s="1"/>
      <c r="AI6855" s="1"/>
    </row>
    <row r="6856" spans="4:35" hidden="1">
      <c r="D6856" s="1"/>
      <c r="K6856" s="1"/>
      <c r="Q6856" s="1"/>
      <c r="AD6856" s="1"/>
      <c r="AG6856" s="1"/>
      <c r="AI6856" s="1"/>
    </row>
    <row r="6857" spans="4:35" hidden="1">
      <c r="D6857" s="1"/>
      <c r="K6857" s="1"/>
      <c r="Q6857" s="1"/>
      <c r="AD6857" s="1"/>
      <c r="AG6857" s="1"/>
      <c r="AI6857" s="1"/>
    </row>
    <row r="6858" spans="4:35" hidden="1">
      <c r="D6858" s="1"/>
      <c r="K6858" s="1"/>
      <c r="Q6858" s="1"/>
      <c r="AD6858" s="1"/>
      <c r="AG6858" s="1"/>
      <c r="AI6858" s="1"/>
    </row>
    <row r="6859" spans="4:35" hidden="1">
      <c r="D6859" s="1"/>
      <c r="K6859" s="1"/>
      <c r="Q6859" s="1"/>
      <c r="AD6859" s="1"/>
      <c r="AG6859" s="1"/>
      <c r="AI6859" s="1"/>
    </row>
    <row r="6860" spans="4:35" hidden="1">
      <c r="D6860" s="1"/>
      <c r="K6860" s="1"/>
      <c r="Q6860" s="1"/>
      <c r="AD6860" s="1"/>
      <c r="AG6860" s="1"/>
      <c r="AI6860" s="1"/>
    </row>
    <row r="6861" spans="4:35" hidden="1">
      <c r="D6861" s="1"/>
      <c r="K6861" s="1"/>
      <c r="Q6861" s="1"/>
      <c r="AD6861" s="1"/>
      <c r="AG6861" s="1"/>
      <c r="AI6861" s="1"/>
    </row>
    <row r="6862" spans="4:35" hidden="1">
      <c r="D6862" s="1"/>
      <c r="K6862" s="1"/>
      <c r="Q6862" s="1"/>
      <c r="AD6862" s="1"/>
      <c r="AG6862" s="1"/>
      <c r="AI6862" s="1"/>
    </row>
    <row r="6863" spans="4:35" hidden="1">
      <c r="D6863" s="1"/>
      <c r="K6863" s="1"/>
      <c r="Q6863" s="1"/>
      <c r="AD6863" s="1"/>
      <c r="AG6863" s="1"/>
      <c r="AI6863" s="1"/>
    </row>
    <row r="6864" spans="4:35" hidden="1">
      <c r="D6864" s="1"/>
      <c r="K6864" s="1"/>
      <c r="Q6864" s="1"/>
      <c r="AD6864" s="1"/>
      <c r="AG6864" s="1"/>
      <c r="AI6864" s="1"/>
    </row>
    <row r="6865" spans="4:35" hidden="1">
      <c r="D6865" s="1"/>
      <c r="K6865" s="1"/>
      <c r="Q6865" s="1"/>
      <c r="AD6865" s="1"/>
      <c r="AG6865" s="1"/>
      <c r="AI6865" s="1"/>
    </row>
    <row r="6866" spans="4:35" hidden="1">
      <c r="D6866" s="1"/>
      <c r="K6866" s="1"/>
      <c r="Q6866" s="1"/>
      <c r="AD6866" s="1"/>
      <c r="AG6866" s="1"/>
      <c r="AI6866" s="1"/>
    </row>
    <row r="6867" spans="4:35" hidden="1">
      <c r="D6867" s="1"/>
      <c r="K6867" s="1"/>
      <c r="Q6867" s="1"/>
      <c r="AD6867" s="1"/>
      <c r="AG6867" s="1"/>
      <c r="AI6867" s="1"/>
    </row>
    <row r="6868" spans="4:35" hidden="1">
      <c r="D6868" s="1"/>
      <c r="K6868" s="1"/>
      <c r="Q6868" s="1"/>
      <c r="AD6868" s="1"/>
      <c r="AG6868" s="1"/>
      <c r="AI6868" s="1"/>
    </row>
    <row r="6869" spans="4:35" hidden="1">
      <c r="D6869" s="1"/>
      <c r="K6869" s="1"/>
      <c r="Q6869" s="1"/>
      <c r="AD6869" s="1"/>
      <c r="AG6869" s="1"/>
      <c r="AI6869" s="1"/>
    </row>
    <row r="6870" spans="4:35" hidden="1">
      <c r="D6870" s="1"/>
      <c r="K6870" s="1"/>
      <c r="Q6870" s="1"/>
      <c r="AD6870" s="1"/>
      <c r="AG6870" s="1"/>
      <c r="AI6870" s="1"/>
    </row>
    <row r="6871" spans="4:35" hidden="1">
      <c r="D6871" s="1"/>
      <c r="K6871" s="1"/>
      <c r="Q6871" s="1"/>
      <c r="AD6871" s="1"/>
      <c r="AG6871" s="1"/>
      <c r="AI6871" s="1"/>
    </row>
    <row r="6872" spans="4:35" hidden="1">
      <c r="D6872" s="1"/>
      <c r="K6872" s="1"/>
      <c r="Q6872" s="1"/>
      <c r="AD6872" s="1"/>
      <c r="AG6872" s="1"/>
      <c r="AI6872" s="1"/>
    </row>
    <row r="6873" spans="4:35" hidden="1">
      <c r="D6873" s="1"/>
      <c r="K6873" s="1"/>
      <c r="Q6873" s="1"/>
      <c r="AD6873" s="1"/>
      <c r="AG6873" s="1"/>
      <c r="AI6873" s="1"/>
    </row>
    <row r="6874" spans="4:35" hidden="1">
      <c r="D6874" s="1"/>
      <c r="K6874" s="1"/>
      <c r="Q6874" s="1"/>
      <c r="AD6874" s="1"/>
      <c r="AG6874" s="1"/>
      <c r="AI6874" s="1"/>
    </row>
    <row r="6875" spans="4:35" hidden="1">
      <c r="D6875" s="1"/>
      <c r="K6875" s="1"/>
      <c r="Q6875" s="1"/>
      <c r="AD6875" s="1"/>
      <c r="AG6875" s="1"/>
      <c r="AI6875" s="1"/>
    </row>
    <row r="6876" spans="4:35" hidden="1">
      <c r="D6876" s="1"/>
      <c r="K6876" s="1"/>
      <c r="Q6876" s="1"/>
      <c r="AD6876" s="1"/>
      <c r="AG6876" s="1"/>
      <c r="AI6876" s="1"/>
    </row>
    <row r="6877" spans="4:35" hidden="1">
      <c r="D6877" s="1"/>
      <c r="K6877" s="1"/>
      <c r="Q6877" s="1"/>
      <c r="AD6877" s="1"/>
      <c r="AG6877" s="1"/>
      <c r="AI6877" s="1"/>
    </row>
    <row r="6878" spans="4:35" hidden="1">
      <c r="D6878" s="1"/>
      <c r="K6878" s="1"/>
      <c r="Q6878" s="1"/>
      <c r="AD6878" s="1"/>
      <c r="AG6878" s="1"/>
      <c r="AI6878" s="1"/>
    </row>
    <row r="6879" spans="4:35" hidden="1">
      <c r="D6879" s="1"/>
      <c r="K6879" s="1"/>
      <c r="Q6879" s="1"/>
      <c r="AD6879" s="1"/>
      <c r="AG6879" s="1"/>
      <c r="AI6879" s="1"/>
    </row>
    <row r="6880" spans="4:35" hidden="1">
      <c r="D6880" s="1"/>
      <c r="K6880" s="1"/>
      <c r="Q6880" s="1"/>
      <c r="AD6880" s="1"/>
      <c r="AG6880" s="1"/>
      <c r="AI6880" s="1"/>
    </row>
    <row r="6881" spans="4:35" hidden="1">
      <c r="D6881" s="1"/>
      <c r="K6881" s="1"/>
      <c r="Q6881" s="1"/>
      <c r="AD6881" s="1"/>
      <c r="AG6881" s="1"/>
      <c r="AI6881" s="1"/>
    </row>
    <row r="6882" spans="4:35" hidden="1">
      <c r="D6882" s="1"/>
      <c r="K6882" s="1"/>
      <c r="Q6882" s="1"/>
      <c r="AD6882" s="1"/>
      <c r="AG6882" s="1"/>
      <c r="AI6882" s="1"/>
    </row>
    <row r="6883" spans="4:35" hidden="1">
      <c r="D6883" s="1"/>
      <c r="K6883" s="1"/>
      <c r="Q6883" s="1"/>
      <c r="AD6883" s="1"/>
      <c r="AG6883" s="1"/>
      <c r="AI6883" s="1"/>
    </row>
    <row r="6884" spans="4:35" hidden="1">
      <c r="D6884" s="1"/>
      <c r="K6884" s="1"/>
      <c r="Q6884" s="1"/>
      <c r="AD6884" s="1"/>
      <c r="AG6884" s="1"/>
      <c r="AI6884" s="1"/>
    </row>
    <row r="6885" spans="4:35" hidden="1">
      <c r="D6885" s="1"/>
      <c r="K6885" s="1"/>
      <c r="Q6885" s="1"/>
      <c r="AD6885" s="1"/>
      <c r="AG6885" s="1"/>
      <c r="AI6885" s="1"/>
    </row>
    <row r="6886" spans="4:35" hidden="1">
      <c r="D6886" s="1"/>
      <c r="K6886" s="1"/>
      <c r="Q6886" s="1"/>
      <c r="AD6886" s="1"/>
      <c r="AG6886" s="1"/>
      <c r="AI6886" s="1"/>
    </row>
    <row r="6887" spans="4:35" hidden="1">
      <c r="D6887" s="1"/>
      <c r="K6887" s="1"/>
      <c r="Q6887" s="1"/>
      <c r="AD6887" s="1"/>
      <c r="AG6887" s="1"/>
      <c r="AI6887" s="1"/>
    </row>
    <row r="6888" spans="4:35" hidden="1">
      <c r="D6888" s="1"/>
      <c r="K6888" s="1"/>
      <c r="Q6888" s="1"/>
      <c r="AD6888" s="1"/>
      <c r="AG6888" s="1"/>
      <c r="AI6888" s="1"/>
    </row>
    <row r="6889" spans="4:35" hidden="1">
      <c r="D6889" s="1"/>
      <c r="K6889" s="1"/>
      <c r="Q6889" s="1"/>
      <c r="AD6889" s="1"/>
      <c r="AG6889" s="1"/>
      <c r="AI6889" s="1"/>
    </row>
    <row r="6890" spans="4:35" hidden="1">
      <c r="D6890" s="1"/>
      <c r="K6890" s="1"/>
      <c r="Q6890" s="1"/>
      <c r="AD6890" s="1"/>
      <c r="AG6890" s="1"/>
      <c r="AI6890" s="1"/>
    </row>
    <row r="6891" spans="4:35" hidden="1">
      <c r="D6891" s="1"/>
      <c r="K6891" s="1"/>
      <c r="Q6891" s="1"/>
      <c r="AD6891" s="1"/>
      <c r="AG6891" s="1"/>
      <c r="AI6891" s="1"/>
    </row>
    <row r="6892" spans="4:35" hidden="1">
      <c r="D6892" s="1"/>
      <c r="K6892" s="1"/>
      <c r="Q6892" s="1"/>
      <c r="AD6892" s="1"/>
      <c r="AG6892" s="1"/>
      <c r="AI6892" s="1"/>
    </row>
    <row r="6893" spans="4:35" hidden="1">
      <c r="D6893" s="1"/>
      <c r="K6893" s="1"/>
      <c r="Q6893" s="1"/>
      <c r="AD6893" s="1"/>
      <c r="AG6893" s="1"/>
      <c r="AI6893" s="1"/>
    </row>
    <row r="6894" spans="4:35" hidden="1">
      <c r="D6894" s="1"/>
      <c r="K6894" s="1"/>
      <c r="Q6894" s="1"/>
      <c r="AD6894" s="1"/>
      <c r="AG6894" s="1"/>
      <c r="AI6894" s="1"/>
    </row>
    <row r="6895" spans="4:35" hidden="1">
      <c r="D6895" s="1"/>
      <c r="K6895" s="1"/>
      <c r="Q6895" s="1"/>
      <c r="AD6895" s="1"/>
      <c r="AG6895" s="1"/>
      <c r="AI6895" s="1"/>
    </row>
    <row r="6896" spans="4:35" hidden="1">
      <c r="D6896" s="1"/>
      <c r="K6896" s="1"/>
      <c r="Q6896" s="1"/>
      <c r="AD6896" s="1"/>
      <c r="AG6896" s="1"/>
      <c r="AI6896" s="1"/>
    </row>
    <row r="6897" spans="4:35" hidden="1">
      <c r="D6897" s="1"/>
      <c r="K6897" s="1"/>
      <c r="Q6897" s="1"/>
      <c r="AD6897" s="1"/>
      <c r="AG6897" s="1"/>
      <c r="AI6897" s="1"/>
    </row>
    <row r="6898" spans="4:35" hidden="1">
      <c r="D6898" s="1"/>
      <c r="K6898" s="1"/>
      <c r="Q6898" s="1"/>
      <c r="AD6898" s="1"/>
      <c r="AG6898" s="1"/>
      <c r="AI6898" s="1"/>
    </row>
    <row r="6899" spans="4:35" hidden="1">
      <c r="D6899" s="1"/>
      <c r="K6899" s="1"/>
      <c r="Q6899" s="1"/>
      <c r="AD6899" s="1"/>
      <c r="AG6899" s="1"/>
      <c r="AI6899" s="1"/>
    </row>
    <row r="6900" spans="4:35" hidden="1">
      <c r="D6900" s="1"/>
      <c r="K6900" s="1"/>
      <c r="Q6900" s="1"/>
      <c r="AD6900" s="1"/>
      <c r="AG6900" s="1"/>
      <c r="AI6900" s="1"/>
    </row>
    <row r="6901" spans="4:35" hidden="1">
      <c r="D6901" s="1"/>
      <c r="K6901" s="1"/>
      <c r="Q6901" s="1"/>
      <c r="AD6901" s="1"/>
      <c r="AG6901" s="1"/>
      <c r="AI6901" s="1"/>
    </row>
    <row r="6902" spans="4:35" hidden="1">
      <c r="D6902" s="1"/>
      <c r="K6902" s="1"/>
      <c r="Q6902" s="1"/>
      <c r="AD6902" s="1"/>
      <c r="AG6902" s="1"/>
      <c r="AI6902" s="1"/>
    </row>
    <row r="6903" spans="4:35" hidden="1">
      <c r="D6903" s="1"/>
      <c r="K6903" s="1"/>
      <c r="Q6903" s="1"/>
      <c r="AD6903" s="1"/>
      <c r="AG6903" s="1"/>
      <c r="AI6903" s="1"/>
    </row>
    <row r="6904" spans="4:35" hidden="1">
      <c r="D6904" s="1"/>
      <c r="K6904" s="1"/>
      <c r="Q6904" s="1"/>
      <c r="AD6904" s="1"/>
      <c r="AG6904" s="1"/>
      <c r="AI6904" s="1"/>
    </row>
    <row r="6905" spans="4:35" hidden="1">
      <c r="D6905" s="1"/>
      <c r="K6905" s="1"/>
      <c r="Q6905" s="1"/>
      <c r="AD6905" s="1"/>
      <c r="AG6905" s="1"/>
      <c r="AI6905" s="1"/>
    </row>
    <row r="6906" spans="4:35" hidden="1">
      <c r="D6906" s="1"/>
      <c r="K6906" s="1"/>
      <c r="Q6906" s="1"/>
      <c r="AD6906" s="1"/>
      <c r="AG6906" s="1"/>
      <c r="AI6906" s="1"/>
    </row>
    <row r="6907" spans="4:35" hidden="1">
      <c r="D6907" s="1"/>
      <c r="K6907" s="1"/>
      <c r="Q6907" s="1"/>
      <c r="AD6907" s="1"/>
      <c r="AG6907" s="1"/>
      <c r="AI6907" s="1"/>
    </row>
    <row r="6908" spans="4:35" hidden="1">
      <c r="D6908" s="1"/>
      <c r="K6908" s="1"/>
      <c r="Q6908" s="1"/>
      <c r="AD6908" s="1"/>
      <c r="AG6908" s="1"/>
      <c r="AI6908" s="1"/>
    </row>
    <row r="6909" spans="4:35" hidden="1">
      <c r="D6909" s="1"/>
      <c r="K6909" s="1"/>
      <c r="Q6909" s="1"/>
      <c r="AD6909" s="1"/>
      <c r="AG6909" s="1"/>
      <c r="AI6909" s="1"/>
    </row>
    <row r="6910" spans="4:35" hidden="1">
      <c r="D6910" s="1"/>
      <c r="K6910" s="1"/>
      <c r="Q6910" s="1"/>
      <c r="AD6910" s="1"/>
      <c r="AG6910" s="1"/>
      <c r="AI6910" s="1"/>
    </row>
    <row r="6911" spans="4:35" hidden="1">
      <c r="D6911" s="1"/>
      <c r="K6911" s="1"/>
      <c r="Q6911" s="1"/>
      <c r="AD6911" s="1"/>
      <c r="AG6911" s="1"/>
      <c r="AI6911" s="1"/>
    </row>
    <row r="6912" spans="4:35" hidden="1">
      <c r="D6912" s="1"/>
      <c r="K6912" s="1"/>
      <c r="Q6912" s="1"/>
      <c r="AD6912" s="1"/>
      <c r="AG6912" s="1"/>
      <c r="AI6912" s="1"/>
    </row>
    <row r="6913" spans="4:35" hidden="1">
      <c r="D6913" s="1"/>
      <c r="K6913" s="1"/>
      <c r="Q6913" s="1"/>
      <c r="AD6913" s="1"/>
      <c r="AG6913" s="1"/>
      <c r="AI6913" s="1"/>
    </row>
    <row r="6914" spans="4:35" hidden="1">
      <c r="D6914" s="1"/>
      <c r="K6914" s="1"/>
      <c r="Q6914" s="1"/>
      <c r="AD6914" s="1"/>
      <c r="AG6914" s="1"/>
      <c r="AI6914" s="1"/>
    </row>
    <row r="6915" spans="4:35" hidden="1">
      <c r="D6915" s="1"/>
      <c r="K6915" s="1"/>
      <c r="Q6915" s="1"/>
      <c r="AD6915" s="1"/>
      <c r="AG6915" s="1"/>
      <c r="AI6915" s="1"/>
    </row>
    <row r="6916" spans="4:35" hidden="1">
      <c r="D6916" s="1"/>
      <c r="K6916" s="1"/>
      <c r="Q6916" s="1"/>
      <c r="AD6916" s="1"/>
      <c r="AG6916" s="1"/>
      <c r="AI6916" s="1"/>
    </row>
    <row r="6917" spans="4:35" hidden="1">
      <c r="D6917" s="1"/>
      <c r="K6917" s="1"/>
      <c r="Q6917" s="1"/>
      <c r="AD6917" s="1"/>
      <c r="AG6917" s="1"/>
      <c r="AI6917" s="1"/>
    </row>
    <row r="6918" spans="4:35" hidden="1">
      <c r="D6918" s="1"/>
      <c r="K6918" s="1"/>
      <c r="Q6918" s="1"/>
      <c r="AD6918" s="1"/>
      <c r="AG6918" s="1"/>
      <c r="AI6918" s="1"/>
    </row>
    <row r="6919" spans="4:35" hidden="1">
      <c r="D6919" s="1"/>
      <c r="K6919" s="1"/>
      <c r="Q6919" s="1"/>
      <c r="AD6919" s="1"/>
      <c r="AG6919" s="1"/>
      <c r="AI6919" s="1"/>
    </row>
    <row r="6920" spans="4:35" hidden="1">
      <c r="D6920" s="1"/>
      <c r="K6920" s="1"/>
      <c r="Q6920" s="1"/>
      <c r="AD6920" s="1"/>
      <c r="AG6920" s="1"/>
      <c r="AI6920" s="1"/>
    </row>
    <row r="6921" spans="4:35" hidden="1">
      <c r="D6921" s="1"/>
      <c r="K6921" s="1"/>
      <c r="Q6921" s="1"/>
      <c r="AD6921" s="1"/>
      <c r="AG6921" s="1"/>
      <c r="AI6921" s="1"/>
    </row>
    <row r="6922" spans="4:35" hidden="1">
      <c r="D6922" s="1"/>
      <c r="K6922" s="1"/>
      <c r="Q6922" s="1"/>
      <c r="AD6922" s="1"/>
      <c r="AG6922" s="1"/>
      <c r="AI6922" s="1"/>
    </row>
    <row r="6923" spans="4:35" hidden="1">
      <c r="D6923" s="1"/>
      <c r="K6923" s="1"/>
      <c r="Q6923" s="1"/>
      <c r="AD6923" s="1"/>
      <c r="AG6923" s="1"/>
      <c r="AI6923" s="1"/>
    </row>
    <row r="6924" spans="4:35" hidden="1">
      <c r="D6924" s="1"/>
      <c r="K6924" s="1"/>
      <c r="Q6924" s="1"/>
      <c r="AD6924" s="1"/>
      <c r="AG6924" s="1"/>
      <c r="AI6924" s="1"/>
    </row>
    <row r="6925" spans="4:35" hidden="1">
      <c r="D6925" s="1"/>
      <c r="K6925" s="1"/>
      <c r="Q6925" s="1"/>
      <c r="AD6925" s="1"/>
      <c r="AG6925" s="1"/>
      <c r="AI6925" s="1"/>
    </row>
    <row r="6926" spans="4:35" hidden="1">
      <c r="D6926" s="1"/>
      <c r="K6926" s="1"/>
      <c r="Q6926" s="1"/>
      <c r="AD6926" s="1"/>
      <c r="AG6926" s="1"/>
      <c r="AI6926" s="1"/>
    </row>
    <row r="6927" spans="4:35" hidden="1">
      <c r="D6927" s="1"/>
      <c r="K6927" s="1"/>
      <c r="Q6927" s="1"/>
      <c r="AD6927" s="1"/>
      <c r="AG6927" s="1"/>
      <c r="AI6927" s="1"/>
    </row>
    <row r="6928" spans="4:35" hidden="1">
      <c r="D6928" s="1"/>
      <c r="K6928" s="1"/>
      <c r="Q6928" s="1"/>
      <c r="AD6928" s="1"/>
      <c r="AG6928" s="1"/>
      <c r="AI6928" s="1"/>
    </row>
    <row r="6929" spans="4:35" hidden="1">
      <c r="D6929" s="1"/>
      <c r="K6929" s="1"/>
      <c r="Q6929" s="1"/>
      <c r="AD6929" s="1"/>
      <c r="AG6929" s="1"/>
      <c r="AI6929" s="1"/>
    </row>
    <row r="6930" spans="4:35" hidden="1">
      <c r="D6930" s="1"/>
      <c r="K6930" s="1"/>
      <c r="Q6930" s="1"/>
      <c r="AD6930" s="1"/>
      <c r="AG6930" s="1"/>
      <c r="AI6930" s="1"/>
    </row>
    <row r="6931" spans="4:35" hidden="1">
      <c r="D6931" s="1"/>
      <c r="K6931" s="1"/>
      <c r="Q6931" s="1"/>
      <c r="AD6931" s="1"/>
      <c r="AG6931" s="1"/>
      <c r="AI6931" s="1"/>
    </row>
    <row r="6932" spans="4:35" hidden="1">
      <c r="D6932" s="1"/>
      <c r="K6932" s="1"/>
      <c r="Q6932" s="1"/>
      <c r="AD6932" s="1"/>
      <c r="AG6932" s="1"/>
      <c r="AI6932" s="1"/>
    </row>
    <row r="6933" spans="4:35" hidden="1">
      <c r="D6933" s="1"/>
      <c r="K6933" s="1"/>
      <c r="Q6933" s="1"/>
      <c r="AD6933" s="1"/>
      <c r="AG6933" s="1"/>
      <c r="AI6933" s="1"/>
    </row>
    <row r="6934" spans="4:35" hidden="1">
      <c r="D6934" s="1"/>
      <c r="K6934" s="1"/>
      <c r="Q6934" s="1"/>
      <c r="AD6934" s="1"/>
      <c r="AG6934" s="1"/>
      <c r="AI6934" s="1"/>
    </row>
    <row r="6935" spans="4:35" hidden="1">
      <c r="D6935" s="1"/>
      <c r="K6935" s="1"/>
      <c r="Q6935" s="1"/>
      <c r="AD6935" s="1"/>
      <c r="AG6935" s="1"/>
      <c r="AI6935" s="1"/>
    </row>
    <row r="6936" spans="4:35" hidden="1">
      <c r="D6936" s="1"/>
      <c r="K6936" s="1"/>
      <c r="Q6936" s="1"/>
      <c r="AD6936" s="1"/>
      <c r="AG6936" s="1"/>
      <c r="AI6936" s="1"/>
    </row>
    <row r="6937" spans="4:35" hidden="1">
      <c r="D6937" s="1"/>
      <c r="K6937" s="1"/>
      <c r="Q6937" s="1"/>
      <c r="AD6937" s="1"/>
      <c r="AG6937" s="1"/>
      <c r="AI6937" s="1"/>
    </row>
    <row r="6938" spans="4:35" hidden="1">
      <c r="D6938" s="1"/>
      <c r="K6938" s="1"/>
      <c r="Q6938" s="1"/>
      <c r="AD6938" s="1"/>
      <c r="AG6938" s="1"/>
      <c r="AI6938" s="1"/>
    </row>
    <row r="6939" spans="4:35" hidden="1">
      <c r="D6939" s="1"/>
      <c r="K6939" s="1"/>
      <c r="Q6939" s="1"/>
      <c r="AD6939" s="1"/>
      <c r="AG6939" s="1"/>
      <c r="AI6939" s="1"/>
    </row>
    <row r="6940" spans="4:35" hidden="1">
      <c r="D6940" s="1"/>
      <c r="K6940" s="1"/>
      <c r="Q6940" s="1"/>
      <c r="AD6940" s="1"/>
      <c r="AG6940" s="1"/>
      <c r="AI6940" s="1"/>
    </row>
    <row r="6941" spans="4:35" hidden="1">
      <c r="D6941" s="1"/>
      <c r="K6941" s="1"/>
      <c r="Q6941" s="1"/>
      <c r="AD6941" s="1"/>
      <c r="AG6941" s="1"/>
      <c r="AI6941" s="1"/>
    </row>
    <row r="6942" spans="4:35" hidden="1">
      <c r="D6942" s="1"/>
      <c r="K6942" s="1"/>
      <c r="Q6942" s="1"/>
      <c r="AD6942" s="1"/>
      <c r="AG6942" s="1"/>
      <c r="AI6942" s="1"/>
    </row>
    <row r="6943" spans="4:35" hidden="1">
      <c r="D6943" s="1"/>
      <c r="K6943" s="1"/>
      <c r="Q6943" s="1"/>
      <c r="AD6943" s="1"/>
      <c r="AG6943" s="1"/>
      <c r="AI6943" s="1"/>
    </row>
    <row r="6944" spans="4:35" hidden="1">
      <c r="D6944" s="1"/>
      <c r="K6944" s="1"/>
      <c r="Q6944" s="1"/>
      <c r="AD6944" s="1"/>
      <c r="AG6944" s="1"/>
      <c r="AI6944" s="1"/>
    </row>
    <row r="6945" spans="4:35" hidden="1">
      <c r="D6945" s="1"/>
      <c r="K6945" s="1"/>
      <c r="Q6945" s="1"/>
      <c r="AD6945" s="1"/>
      <c r="AG6945" s="1"/>
      <c r="AI6945" s="1"/>
    </row>
    <row r="6946" spans="4:35" hidden="1">
      <c r="D6946" s="1"/>
      <c r="K6946" s="1"/>
      <c r="Q6946" s="1"/>
      <c r="AD6946" s="1"/>
      <c r="AG6946" s="1"/>
      <c r="AI6946" s="1"/>
    </row>
    <row r="6947" spans="4:35" hidden="1">
      <c r="D6947" s="1"/>
      <c r="K6947" s="1"/>
      <c r="Q6947" s="1"/>
      <c r="AD6947" s="1"/>
      <c r="AG6947" s="1"/>
      <c r="AI6947" s="1"/>
    </row>
    <row r="6948" spans="4:35" hidden="1">
      <c r="D6948" s="1"/>
      <c r="K6948" s="1"/>
      <c r="Q6948" s="1"/>
      <c r="AD6948" s="1"/>
      <c r="AG6948" s="1"/>
      <c r="AI6948" s="1"/>
    </row>
    <row r="6949" spans="4:35" hidden="1">
      <c r="D6949" s="1"/>
      <c r="K6949" s="1"/>
      <c r="Q6949" s="1"/>
      <c r="AD6949" s="1"/>
      <c r="AG6949" s="1"/>
      <c r="AI6949" s="1"/>
    </row>
    <row r="6950" spans="4:35" hidden="1">
      <c r="D6950" s="1"/>
      <c r="K6950" s="1"/>
      <c r="Q6950" s="1"/>
      <c r="AD6950" s="1"/>
      <c r="AG6950" s="1"/>
      <c r="AI6950" s="1"/>
    </row>
    <row r="6951" spans="4:35" hidden="1">
      <c r="D6951" s="1"/>
      <c r="K6951" s="1"/>
      <c r="Q6951" s="1"/>
      <c r="AD6951" s="1"/>
      <c r="AG6951" s="1"/>
      <c r="AI6951" s="1"/>
    </row>
    <row r="6952" spans="4:35" hidden="1">
      <c r="D6952" s="1"/>
      <c r="K6952" s="1"/>
      <c r="Q6952" s="1"/>
      <c r="AD6952" s="1"/>
      <c r="AG6952" s="1"/>
      <c r="AI6952" s="1"/>
    </row>
    <row r="6953" spans="4:35" hidden="1">
      <c r="D6953" s="1"/>
      <c r="K6953" s="1"/>
      <c r="Q6953" s="1"/>
      <c r="AD6953" s="1"/>
      <c r="AG6953" s="1"/>
      <c r="AI6953" s="1"/>
    </row>
    <row r="6954" spans="4:35" hidden="1">
      <c r="D6954" s="1"/>
      <c r="K6954" s="1"/>
      <c r="Q6954" s="1"/>
      <c r="AD6954" s="1"/>
      <c r="AG6954" s="1"/>
      <c r="AI6954" s="1"/>
    </row>
    <row r="6955" spans="4:35" hidden="1">
      <c r="D6955" s="1"/>
      <c r="K6955" s="1"/>
      <c r="Q6955" s="1"/>
      <c r="AD6955" s="1"/>
      <c r="AG6955" s="1"/>
      <c r="AI6955" s="1"/>
    </row>
    <row r="6956" spans="4:35" hidden="1">
      <c r="D6956" s="1"/>
      <c r="K6956" s="1"/>
      <c r="Q6956" s="1"/>
      <c r="AD6956" s="1"/>
      <c r="AG6956" s="1"/>
      <c r="AI6956" s="1"/>
    </row>
    <row r="6957" spans="4:35" hidden="1">
      <c r="D6957" s="1"/>
      <c r="K6957" s="1"/>
      <c r="Q6957" s="1"/>
      <c r="AD6957" s="1"/>
      <c r="AG6957" s="1"/>
      <c r="AI6957" s="1"/>
    </row>
    <row r="6958" spans="4:35" hidden="1">
      <c r="D6958" s="1"/>
      <c r="K6958" s="1"/>
      <c r="Q6958" s="1"/>
      <c r="AD6958" s="1"/>
      <c r="AG6958" s="1"/>
      <c r="AI6958" s="1"/>
    </row>
    <row r="6959" spans="4:35" hidden="1">
      <c r="D6959" s="1"/>
      <c r="K6959" s="1"/>
      <c r="Q6959" s="1"/>
      <c r="AD6959" s="1"/>
      <c r="AG6959" s="1"/>
      <c r="AI6959" s="1"/>
    </row>
    <row r="6960" spans="4:35" hidden="1">
      <c r="D6960" s="1"/>
      <c r="K6960" s="1"/>
      <c r="Q6960" s="1"/>
      <c r="AD6960" s="1"/>
      <c r="AG6960" s="1"/>
      <c r="AI6960" s="1"/>
    </row>
    <row r="6961" spans="4:35" hidden="1">
      <c r="D6961" s="1"/>
      <c r="K6961" s="1"/>
      <c r="Q6961" s="1"/>
      <c r="AD6961" s="1"/>
      <c r="AG6961" s="1"/>
      <c r="AI6961" s="1"/>
    </row>
    <row r="6962" spans="4:35" hidden="1">
      <c r="D6962" s="1"/>
      <c r="K6962" s="1"/>
      <c r="Q6962" s="1"/>
      <c r="AD6962" s="1"/>
      <c r="AG6962" s="1"/>
      <c r="AI6962" s="1"/>
    </row>
    <row r="6963" spans="4:35" hidden="1">
      <c r="D6963" s="1"/>
      <c r="K6963" s="1"/>
      <c r="Q6963" s="1"/>
      <c r="AD6963" s="1"/>
      <c r="AG6963" s="1"/>
      <c r="AI6963" s="1"/>
    </row>
    <row r="6964" spans="4:35" hidden="1">
      <c r="D6964" s="1"/>
      <c r="K6964" s="1"/>
      <c r="Q6964" s="1"/>
      <c r="AD6964" s="1"/>
      <c r="AG6964" s="1"/>
      <c r="AI6964" s="1"/>
    </row>
    <row r="6965" spans="4:35" hidden="1">
      <c r="D6965" s="1"/>
      <c r="K6965" s="1"/>
      <c r="Q6965" s="1"/>
      <c r="AD6965" s="1"/>
      <c r="AG6965" s="1"/>
      <c r="AI6965" s="1"/>
    </row>
    <row r="6966" spans="4:35" hidden="1">
      <c r="D6966" s="1"/>
      <c r="K6966" s="1"/>
      <c r="Q6966" s="1"/>
      <c r="AD6966" s="1"/>
      <c r="AG6966" s="1"/>
      <c r="AI6966" s="1"/>
    </row>
    <row r="6967" spans="4:35" hidden="1">
      <c r="D6967" s="1"/>
      <c r="K6967" s="1"/>
      <c r="Q6967" s="1"/>
      <c r="AD6967" s="1"/>
      <c r="AG6967" s="1"/>
      <c r="AI6967" s="1"/>
    </row>
    <row r="6968" spans="4:35" hidden="1">
      <c r="D6968" s="1"/>
      <c r="K6968" s="1"/>
      <c r="Q6968" s="1"/>
      <c r="AD6968" s="1"/>
      <c r="AG6968" s="1"/>
      <c r="AI6968" s="1"/>
    </row>
    <row r="6969" spans="4:35" hidden="1">
      <c r="D6969" s="1"/>
      <c r="K6969" s="1"/>
      <c r="Q6969" s="1"/>
      <c r="AD6969" s="1"/>
      <c r="AG6969" s="1"/>
      <c r="AI6969" s="1"/>
    </row>
    <row r="6970" spans="4:35" hidden="1">
      <c r="D6970" s="1"/>
      <c r="K6970" s="1"/>
      <c r="Q6970" s="1"/>
      <c r="AD6970" s="1"/>
      <c r="AG6970" s="1"/>
      <c r="AI6970" s="1"/>
    </row>
    <row r="6971" spans="4:35" hidden="1">
      <c r="D6971" s="1"/>
      <c r="K6971" s="1"/>
      <c r="Q6971" s="1"/>
      <c r="AD6971" s="1"/>
      <c r="AG6971" s="1"/>
      <c r="AI6971" s="1"/>
    </row>
    <row r="6972" spans="4:35" hidden="1">
      <c r="D6972" s="1"/>
      <c r="K6972" s="1"/>
      <c r="Q6972" s="1"/>
      <c r="AD6972" s="1"/>
      <c r="AG6972" s="1"/>
      <c r="AI6972" s="1"/>
    </row>
    <row r="6973" spans="4:35" hidden="1">
      <c r="D6973" s="1"/>
      <c r="K6973" s="1"/>
      <c r="Q6973" s="1"/>
      <c r="AD6973" s="1"/>
      <c r="AG6973" s="1"/>
      <c r="AI6973" s="1"/>
    </row>
    <row r="6974" spans="4:35" hidden="1">
      <c r="D6974" s="1"/>
      <c r="K6974" s="1"/>
      <c r="Q6974" s="1"/>
      <c r="AD6974" s="1"/>
      <c r="AG6974" s="1"/>
      <c r="AI6974" s="1"/>
    </row>
    <row r="6975" spans="4:35" hidden="1">
      <c r="D6975" s="1"/>
      <c r="K6975" s="1"/>
      <c r="Q6975" s="1"/>
      <c r="AD6975" s="1"/>
      <c r="AG6975" s="1"/>
      <c r="AI6975" s="1"/>
    </row>
    <row r="6976" spans="4:35" hidden="1">
      <c r="D6976" s="1"/>
      <c r="K6976" s="1"/>
      <c r="Q6976" s="1"/>
      <c r="AD6976" s="1"/>
      <c r="AG6976" s="1"/>
      <c r="AI6976" s="1"/>
    </row>
    <row r="6977" spans="4:35" hidden="1">
      <c r="D6977" s="1"/>
      <c r="K6977" s="1"/>
      <c r="Q6977" s="1"/>
      <c r="AD6977" s="1"/>
      <c r="AG6977" s="1"/>
      <c r="AI6977" s="1"/>
    </row>
    <row r="6978" spans="4:35" hidden="1">
      <c r="D6978" s="1"/>
      <c r="K6978" s="1"/>
      <c r="Q6978" s="1"/>
      <c r="AD6978" s="1"/>
      <c r="AG6978" s="1"/>
      <c r="AI6978" s="1"/>
    </row>
    <row r="6979" spans="4:35" hidden="1">
      <c r="D6979" s="1"/>
      <c r="K6979" s="1"/>
      <c r="Q6979" s="1"/>
      <c r="AD6979" s="1"/>
      <c r="AG6979" s="1"/>
      <c r="AI6979" s="1"/>
    </row>
    <row r="6980" spans="4:35" hidden="1">
      <c r="D6980" s="1"/>
      <c r="K6980" s="1"/>
      <c r="Q6980" s="1"/>
      <c r="AD6980" s="1"/>
      <c r="AG6980" s="1"/>
      <c r="AI6980" s="1"/>
    </row>
    <row r="6981" spans="4:35" hidden="1">
      <c r="D6981" s="1"/>
      <c r="K6981" s="1"/>
      <c r="Q6981" s="1"/>
      <c r="AD6981" s="1"/>
      <c r="AG6981" s="1"/>
      <c r="AI6981" s="1"/>
    </row>
    <row r="6982" spans="4:35" hidden="1">
      <c r="D6982" s="1"/>
      <c r="K6982" s="1"/>
      <c r="Q6982" s="1"/>
      <c r="AD6982" s="1"/>
      <c r="AG6982" s="1"/>
      <c r="AI6982" s="1"/>
    </row>
    <row r="6983" spans="4:35" hidden="1">
      <c r="D6983" s="1"/>
      <c r="K6983" s="1"/>
      <c r="Q6983" s="1"/>
      <c r="AD6983" s="1"/>
      <c r="AG6983" s="1"/>
      <c r="AI6983" s="1"/>
    </row>
    <row r="6984" spans="4:35" hidden="1">
      <c r="D6984" s="1"/>
      <c r="K6984" s="1"/>
      <c r="Q6984" s="1"/>
      <c r="AD6984" s="1"/>
      <c r="AG6984" s="1"/>
      <c r="AI6984" s="1"/>
    </row>
    <row r="6985" spans="4:35" hidden="1">
      <c r="D6985" s="1"/>
      <c r="K6985" s="1"/>
      <c r="Q6985" s="1"/>
      <c r="AD6985" s="1"/>
      <c r="AG6985" s="1"/>
      <c r="AI6985" s="1"/>
    </row>
    <row r="6986" spans="4:35" hidden="1">
      <c r="D6986" s="1"/>
      <c r="K6986" s="1"/>
      <c r="Q6986" s="1"/>
      <c r="AD6986" s="1"/>
      <c r="AG6986" s="1"/>
      <c r="AI6986" s="1"/>
    </row>
    <row r="6987" spans="4:35" hidden="1">
      <c r="D6987" s="1"/>
      <c r="K6987" s="1"/>
      <c r="Q6987" s="1"/>
      <c r="AD6987" s="1"/>
      <c r="AG6987" s="1"/>
      <c r="AI6987" s="1"/>
    </row>
    <row r="6988" spans="4:35" hidden="1">
      <c r="D6988" s="1"/>
      <c r="K6988" s="1"/>
      <c r="Q6988" s="1"/>
      <c r="AD6988" s="1"/>
      <c r="AG6988" s="1"/>
      <c r="AI6988" s="1"/>
    </row>
    <row r="6989" spans="4:35" hidden="1">
      <c r="D6989" s="1"/>
      <c r="K6989" s="1"/>
      <c r="Q6989" s="1"/>
      <c r="AD6989" s="1"/>
      <c r="AG6989" s="1"/>
      <c r="AI6989" s="1"/>
    </row>
    <row r="6990" spans="4:35" hidden="1">
      <c r="D6990" s="1"/>
      <c r="K6990" s="1"/>
      <c r="Q6990" s="1"/>
      <c r="AD6990" s="1"/>
      <c r="AG6990" s="1"/>
      <c r="AI6990" s="1"/>
    </row>
    <row r="6991" spans="4:35" hidden="1">
      <c r="D6991" s="1"/>
      <c r="K6991" s="1"/>
      <c r="Q6991" s="1"/>
      <c r="AD6991" s="1"/>
      <c r="AG6991" s="1"/>
      <c r="AI6991" s="1"/>
    </row>
    <row r="6992" spans="4:35" hidden="1">
      <c r="D6992" s="1"/>
      <c r="K6992" s="1"/>
      <c r="Q6992" s="1"/>
      <c r="AD6992" s="1"/>
      <c r="AG6992" s="1"/>
      <c r="AI6992" s="1"/>
    </row>
    <row r="6993" spans="4:35" hidden="1">
      <c r="D6993" s="1"/>
      <c r="K6993" s="1"/>
      <c r="Q6993" s="1"/>
      <c r="AD6993" s="1"/>
      <c r="AG6993" s="1"/>
      <c r="AI6993" s="1"/>
    </row>
    <row r="6994" spans="4:35" hidden="1">
      <c r="D6994" s="1"/>
      <c r="K6994" s="1"/>
      <c r="Q6994" s="1"/>
      <c r="AD6994" s="1"/>
      <c r="AG6994" s="1"/>
      <c r="AI6994" s="1"/>
    </row>
    <row r="6995" spans="4:35" hidden="1">
      <c r="D6995" s="1"/>
      <c r="K6995" s="1"/>
      <c r="Q6995" s="1"/>
      <c r="AD6995" s="1"/>
      <c r="AG6995" s="1"/>
      <c r="AI6995" s="1"/>
    </row>
    <row r="6996" spans="4:35" hidden="1">
      <c r="D6996" s="1"/>
      <c r="K6996" s="1"/>
      <c r="Q6996" s="1"/>
      <c r="AD6996" s="1"/>
      <c r="AG6996" s="1"/>
      <c r="AI6996" s="1"/>
    </row>
    <row r="6997" spans="4:35" hidden="1">
      <c r="D6997" s="1"/>
      <c r="K6997" s="1"/>
      <c r="Q6997" s="1"/>
      <c r="AD6997" s="1"/>
      <c r="AG6997" s="1"/>
      <c r="AI6997" s="1"/>
    </row>
    <row r="6998" spans="4:35" hidden="1">
      <c r="D6998" s="1"/>
      <c r="K6998" s="1"/>
      <c r="Q6998" s="1"/>
      <c r="AD6998" s="1"/>
      <c r="AG6998" s="1"/>
      <c r="AI6998" s="1"/>
    </row>
    <row r="6999" spans="4:35" hidden="1">
      <c r="D6999" s="1"/>
      <c r="K6999" s="1"/>
      <c r="Q6999" s="1"/>
      <c r="AD6999" s="1"/>
      <c r="AG6999" s="1"/>
      <c r="AI6999" s="1"/>
    </row>
    <row r="7000" spans="4:35" hidden="1">
      <c r="D7000" s="1"/>
      <c r="K7000" s="1"/>
      <c r="Q7000" s="1"/>
      <c r="AD7000" s="1"/>
      <c r="AG7000" s="1"/>
      <c r="AI7000" s="1"/>
    </row>
    <row r="7001" spans="4:35" hidden="1">
      <c r="D7001" s="1"/>
      <c r="K7001" s="1"/>
      <c r="Q7001" s="1"/>
      <c r="AD7001" s="1"/>
      <c r="AG7001" s="1"/>
      <c r="AI7001" s="1"/>
    </row>
    <row r="7002" spans="4:35" hidden="1">
      <c r="D7002" s="1"/>
      <c r="K7002" s="1"/>
      <c r="Q7002" s="1"/>
      <c r="AD7002" s="1"/>
      <c r="AG7002" s="1"/>
      <c r="AI7002" s="1"/>
    </row>
    <row r="7003" spans="4:35" hidden="1">
      <c r="D7003" s="1"/>
      <c r="K7003" s="1"/>
      <c r="Q7003" s="1"/>
      <c r="AD7003" s="1"/>
      <c r="AG7003" s="1"/>
      <c r="AI7003" s="1"/>
    </row>
    <row r="7004" spans="4:35" hidden="1">
      <c r="D7004" s="1"/>
      <c r="K7004" s="1"/>
      <c r="Q7004" s="1"/>
      <c r="AD7004" s="1"/>
      <c r="AG7004" s="1"/>
      <c r="AI7004" s="1"/>
    </row>
    <row r="7005" spans="4:35" hidden="1">
      <c r="D7005" s="1"/>
      <c r="K7005" s="1"/>
      <c r="Q7005" s="1"/>
      <c r="AD7005" s="1"/>
      <c r="AG7005" s="1"/>
      <c r="AI7005" s="1"/>
    </row>
    <row r="7006" spans="4:35" hidden="1">
      <c r="D7006" s="1"/>
      <c r="K7006" s="1"/>
      <c r="Q7006" s="1"/>
      <c r="AD7006" s="1"/>
      <c r="AG7006" s="1"/>
      <c r="AI7006" s="1"/>
    </row>
    <row r="7007" spans="4:35" hidden="1">
      <c r="D7007" s="1"/>
      <c r="K7007" s="1"/>
      <c r="Q7007" s="1"/>
      <c r="AD7007" s="1"/>
      <c r="AG7007" s="1"/>
      <c r="AI7007" s="1"/>
    </row>
    <row r="7008" spans="4:35" hidden="1">
      <c r="D7008" s="1"/>
      <c r="K7008" s="1"/>
      <c r="Q7008" s="1"/>
      <c r="AD7008" s="1"/>
      <c r="AG7008" s="1"/>
      <c r="AI7008" s="1"/>
    </row>
    <row r="7009" spans="4:35" hidden="1">
      <c r="D7009" s="1"/>
      <c r="K7009" s="1"/>
      <c r="Q7009" s="1"/>
      <c r="AD7009" s="1"/>
      <c r="AG7009" s="1"/>
      <c r="AI7009" s="1"/>
    </row>
    <row r="7010" spans="4:35" hidden="1">
      <c r="D7010" s="1"/>
      <c r="K7010" s="1"/>
      <c r="Q7010" s="1"/>
      <c r="AD7010" s="1"/>
      <c r="AG7010" s="1"/>
      <c r="AI7010" s="1"/>
    </row>
    <row r="7011" spans="4:35" hidden="1">
      <c r="D7011" s="1"/>
      <c r="K7011" s="1"/>
      <c r="Q7011" s="1"/>
      <c r="AD7011" s="1"/>
      <c r="AG7011" s="1"/>
      <c r="AI7011" s="1"/>
    </row>
    <row r="7012" spans="4:35" hidden="1">
      <c r="D7012" s="1"/>
      <c r="K7012" s="1"/>
      <c r="Q7012" s="1"/>
      <c r="AD7012" s="1"/>
      <c r="AG7012" s="1"/>
      <c r="AI7012" s="1"/>
    </row>
    <row r="7013" spans="4:35" hidden="1">
      <c r="D7013" s="1"/>
      <c r="K7013" s="1"/>
      <c r="Q7013" s="1"/>
      <c r="AD7013" s="1"/>
      <c r="AG7013" s="1"/>
      <c r="AI7013" s="1"/>
    </row>
    <row r="7014" spans="4:35" hidden="1">
      <c r="D7014" s="1"/>
      <c r="K7014" s="1"/>
      <c r="Q7014" s="1"/>
      <c r="AD7014" s="1"/>
      <c r="AG7014" s="1"/>
      <c r="AI7014" s="1"/>
    </row>
    <row r="7015" spans="4:35" hidden="1">
      <c r="D7015" s="1"/>
      <c r="K7015" s="1"/>
      <c r="Q7015" s="1"/>
      <c r="AD7015" s="1"/>
      <c r="AG7015" s="1"/>
      <c r="AI7015" s="1"/>
    </row>
    <row r="7016" spans="4:35" hidden="1">
      <c r="D7016" s="1"/>
      <c r="K7016" s="1"/>
      <c r="Q7016" s="1"/>
      <c r="AD7016" s="1"/>
      <c r="AG7016" s="1"/>
      <c r="AI7016" s="1"/>
    </row>
    <row r="7017" spans="4:35" hidden="1">
      <c r="D7017" s="1"/>
      <c r="K7017" s="1"/>
      <c r="Q7017" s="1"/>
      <c r="AD7017" s="1"/>
      <c r="AG7017" s="1"/>
      <c r="AI7017" s="1"/>
    </row>
    <row r="7018" spans="4:35" hidden="1">
      <c r="D7018" s="1"/>
      <c r="K7018" s="1"/>
      <c r="Q7018" s="1"/>
      <c r="AD7018" s="1"/>
      <c r="AG7018" s="1"/>
      <c r="AI7018" s="1"/>
    </row>
    <row r="7019" spans="4:35" hidden="1">
      <c r="D7019" s="1"/>
      <c r="K7019" s="1"/>
      <c r="Q7019" s="1"/>
      <c r="AD7019" s="1"/>
      <c r="AG7019" s="1"/>
      <c r="AI7019" s="1"/>
    </row>
    <row r="7020" spans="4:35" hidden="1">
      <c r="D7020" s="1"/>
      <c r="K7020" s="1"/>
      <c r="Q7020" s="1"/>
      <c r="AD7020" s="1"/>
      <c r="AG7020" s="1"/>
      <c r="AI7020" s="1"/>
    </row>
    <row r="7021" spans="4:35" hidden="1">
      <c r="D7021" s="1"/>
      <c r="K7021" s="1"/>
      <c r="Q7021" s="1"/>
      <c r="AD7021" s="1"/>
      <c r="AG7021" s="1"/>
      <c r="AI7021" s="1"/>
    </row>
    <row r="7022" spans="4:35" hidden="1">
      <c r="D7022" s="1"/>
      <c r="K7022" s="1"/>
      <c r="Q7022" s="1"/>
      <c r="AD7022" s="1"/>
      <c r="AG7022" s="1"/>
      <c r="AI7022" s="1"/>
    </row>
    <row r="7023" spans="4:35" hidden="1">
      <c r="D7023" s="1"/>
      <c r="K7023" s="1"/>
      <c r="Q7023" s="1"/>
      <c r="AD7023" s="1"/>
      <c r="AG7023" s="1"/>
      <c r="AI7023" s="1"/>
    </row>
    <row r="7024" spans="4:35" hidden="1">
      <c r="D7024" s="1"/>
      <c r="K7024" s="1"/>
      <c r="Q7024" s="1"/>
      <c r="AD7024" s="1"/>
      <c r="AG7024" s="1"/>
      <c r="AI7024" s="1"/>
    </row>
    <row r="7025" spans="4:35" hidden="1">
      <c r="D7025" s="1"/>
      <c r="K7025" s="1"/>
      <c r="Q7025" s="1"/>
      <c r="AD7025" s="1"/>
      <c r="AG7025" s="1"/>
      <c r="AI7025" s="1"/>
    </row>
    <row r="7026" spans="4:35" hidden="1">
      <c r="D7026" s="1"/>
      <c r="K7026" s="1"/>
      <c r="Q7026" s="1"/>
      <c r="AD7026" s="1"/>
      <c r="AG7026" s="1"/>
      <c r="AI7026" s="1"/>
    </row>
    <row r="7027" spans="4:35" hidden="1">
      <c r="D7027" s="1"/>
      <c r="K7027" s="1"/>
      <c r="Q7027" s="1"/>
      <c r="AD7027" s="1"/>
      <c r="AG7027" s="1"/>
      <c r="AI7027" s="1"/>
    </row>
    <row r="7028" spans="4:35" hidden="1">
      <c r="D7028" s="1"/>
      <c r="K7028" s="1"/>
      <c r="Q7028" s="1"/>
      <c r="AD7028" s="1"/>
      <c r="AG7028" s="1"/>
      <c r="AI7028" s="1"/>
    </row>
    <row r="7029" spans="4:35" hidden="1">
      <c r="D7029" s="1"/>
      <c r="K7029" s="1"/>
      <c r="Q7029" s="1"/>
      <c r="AD7029" s="1"/>
      <c r="AG7029" s="1"/>
      <c r="AI7029" s="1"/>
    </row>
    <row r="7030" spans="4:35" hidden="1">
      <c r="D7030" s="1"/>
      <c r="K7030" s="1"/>
      <c r="Q7030" s="1"/>
      <c r="AD7030" s="1"/>
      <c r="AG7030" s="1"/>
      <c r="AI7030" s="1"/>
    </row>
    <row r="7031" spans="4:35" hidden="1">
      <c r="D7031" s="1"/>
      <c r="K7031" s="1"/>
      <c r="Q7031" s="1"/>
      <c r="AD7031" s="1"/>
      <c r="AG7031" s="1"/>
      <c r="AI7031" s="1"/>
    </row>
    <row r="7032" spans="4:35" hidden="1">
      <c r="D7032" s="1"/>
      <c r="K7032" s="1"/>
      <c r="Q7032" s="1"/>
      <c r="AD7032" s="1"/>
      <c r="AG7032" s="1"/>
      <c r="AI7032" s="1"/>
    </row>
    <row r="7033" spans="4:35" hidden="1">
      <c r="D7033" s="1"/>
      <c r="K7033" s="1"/>
      <c r="Q7033" s="1"/>
      <c r="AD7033" s="1"/>
      <c r="AG7033" s="1"/>
      <c r="AI7033" s="1"/>
    </row>
    <row r="7034" spans="4:35" hidden="1">
      <c r="D7034" s="1"/>
      <c r="K7034" s="1"/>
      <c r="Q7034" s="1"/>
      <c r="AD7034" s="1"/>
      <c r="AG7034" s="1"/>
      <c r="AI7034" s="1"/>
    </row>
    <row r="7035" spans="4:35" hidden="1">
      <c r="D7035" s="1"/>
      <c r="K7035" s="1"/>
      <c r="Q7035" s="1"/>
      <c r="AD7035" s="1"/>
      <c r="AG7035" s="1"/>
      <c r="AI7035" s="1"/>
    </row>
    <row r="7036" spans="4:35" hidden="1">
      <c r="D7036" s="1"/>
      <c r="K7036" s="1"/>
      <c r="Q7036" s="1"/>
      <c r="AD7036" s="1"/>
      <c r="AG7036" s="1"/>
      <c r="AI7036" s="1"/>
    </row>
    <row r="7037" spans="4:35" hidden="1">
      <c r="D7037" s="1"/>
      <c r="K7037" s="1"/>
      <c r="Q7037" s="1"/>
      <c r="AD7037" s="1"/>
      <c r="AG7037" s="1"/>
      <c r="AI7037" s="1"/>
    </row>
    <row r="7038" spans="4:35" hidden="1">
      <c r="D7038" s="1"/>
      <c r="K7038" s="1"/>
      <c r="Q7038" s="1"/>
      <c r="AD7038" s="1"/>
      <c r="AG7038" s="1"/>
      <c r="AI7038" s="1"/>
    </row>
    <row r="7039" spans="4:35" hidden="1">
      <c r="D7039" s="1"/>
      <c r="K7039" s="1"/>
      <c r="Q7039" s="1"/>
      <c r="AD7039" s="1"/>
      <c r="AG7039" s="1"/>
      <c r="AI7039" s="1"/>
    </row>
    <row r="7040" spans="4:35" hidden="1">
      <c r="D7040" s="1"/>
      <c r="K7040" s="1"/>
      <c r="Q7040" s="1"/>
      <c r="AD7040" s="1"/>
      <c r="AG7040" s="1"/>
      <c r="AI7040" s="1"/>
    </row>
    <row r="7041" spans="4:35" hidden="1">
      <c r="D7041" s="1"/>
      <c r="K7041" s="1"/>
      <c r="Q7041" s="1"/>
      <c r="AD7041" s="1"/>
      <c r="AG7041" s="1"/>
      <c r="AI7041" s="1"/>
    </row>
    <row r="7042" spans="4:35" hidden="1">
      <c r="D7042" s="1"/>
      <c r="K7042" s="1"/>
      <c r="Q7042" s="1"/>
      <c r="AD7042" s="1"/>
      <c r="AG7042" s="1"/>
      <c r="AI7042" s="1"/>
    </row>
    <row r="7043" spans="4:35" hidden="1">
      <c r="D7043" s="1"/>
      <c r="K7043" s="1"/>
      <c r="Q7043" s="1"/>
      <c r="AD7043" s="1"/>
      <c r="AG7043" s="1"/>
      <c r="AI7043" s="1"/>
    </row>
    <row r="7044" spans="4:35" hidden="1">
      <c r="D7044" s="1"/>
      <c r="K7044" s="1"/>
      <c r="Q7044" s="1"/>
      <c r="AD7044" s="1"/>
      <c r="AG7044" s="1"/>
      <c r="AI7044" s="1"/>
    </row>
    <row r="7045" spans="4:35" hidden="1">
      <c r="D7045" s="1"/>
      <c r="K7045" s="1"/>
      <c r="Q7045" s="1"/>
      <c r="AD7045" s="1"/>
      <c r="AG7045" s="1"/>
      <c r="AI7045" s="1"/>
    </row>
    <row r="7046" spans="4:35" hidden="1">
      <c r="D7046" s="1"/>
      <c r="K7046" s="1"/>
      <c r="Q7046" s="1"/>
      <c r="AD7046" s="1"/>
      <c r="AG7046" s="1"/>
      <c r="AI7046" s="1"/>
    </row>
    <row r="7047" spans="4:35" hidden="1">
      <c r="D7047" s="1"/>
      <c r="K7047" s="1"/>
      <c r="Q7047" s="1"/>
      <c r="AD7047" s="1"/>
      <c r="AG7047" s="1"/>
      <c r="AI7047" s="1"/>
    </row>
    <row r="7048" spans="4:35" hidden="1">
      <c r="D7048" s="1"/>
      <c r="K7048" s="1"/>
      <c r="Q7048" s="1"/>
      <c r="AD7048" s="1"/>
      <c r="AG7048" s="1"/>
      <c r="AI7048" s="1"/>
    </row>
    <row r="7049" spans="4:35" hidden="1">
      <c r="D7049" s="1"/>
      <c r="K7049" s="1"/>
      <c r="Q7049" s="1"/>
      <c r="AD7049" s="1"/>
      <c r="AG7049" s="1"/>
      <c r="AI7049" s="1"/>
    </row>
    <row r="7050" spans="4:35" hidden="1">
      <c r="D7050" s="1"/>
      <c r="K7050" s="1"/>
      <c r="Q7050" s="1"/>
      <c r="AD7050" s="1"/>
      <c r="AG7050" s="1"/>
      <c r="AI7050" s="1"/>
    </row>
    <row r="7051" spans="4:35" hidden="1">
      <c r="D7051" s="1"/>
      <c r="K7051" s="1"/>
      <c r="Q7051" s="1"/>
      <c r="AD7051" s="1"/>
      <c r="AG7051" s="1"/>
      <c r="AI7051" s="1"/>
    </row>
    <row r="7052" spans="4:35" hidden="1">
      <c r="D7052" s="1"/>
      <c r="K7052" s="1"/>
      <c r="Q7052" s="1"/>
      <c r="AD7052" s="1"/>
      <c r="AG7052" s="1"/>
      <c r="AI7052" s="1"/>
    </row>
    <row r="7053" spans="4:35" hidden="1">
      <c r="D7053" s="1"/>
      <c r="K7053" s="1"/>
      <c r="Q7053" s="1"/>
      <c r="AD7053" s="1"/>
      <c r="AG7053" s="1"/>
      <c r="AI7053" s="1"/>
    </row>
    <row r="7054" spans="4:35" hidden="1">
      <c r="D7054" s="1"/>
      <c r="K7054" s="1"/>
      <c r="Q7054" s="1"/>
      <c r="AD7054" s="1"/>
      <c r="AG7054" s="1"/>
      <c r="AI7054" s="1"/>
    </row>
    <row r="7055" spans="4:35" hidden="1">
      <c r="D7055" s="1"/>
      <c r="K7055" s="1"/>
      <c r="Q7055" s="1"/>
      <c r="AD7055" s="1"/>
      <c r="AG7055" s="1"/>
      <c r="AI7055" s="1"/>
    </row>
    <row r="7056" spans="4:35" hidden="1">
      <c r="D7056" s="1"/>
      <c r="K7056" s="1"/>
      <c r="Q7056" s="1"/>
      <c r="AD7056" s="1"/>
      <c r="AG7056" s="1"/>
      <c r="AI7056" s="1"/>
    </row>
    <row r="7057" spans="4:35" hidden="1">
      <c r="D7057" s="1"/>
      <c r="K7057" s="1"/>
      <c r="Q7057" s="1"/>
      <c r="AD7057" s="1"/>
      <c r="AG7057" s="1"/>
      <c r="AI7057" s="1"/>
    </row>
    <row r="7058" spans="4:35" hidden="1">
      <c r="D7058" s="1"/>
      <c r="K7058" s="1"/>
      <c r="Q7058" s="1"/>
      <c r="AD7058" s="1"/>
      <c r="AG7058" s="1"/>
      <c r="AI7058" s="1"/>
    </row>
    <row r="7059" spans="4:35" hidden="1">
      <c r="D7059" s="1"/>
      <c r="K7059" s="1"/>
      <c r="Q7059" s="1"/>
      <c r="AD7059" s="1"/>
      <c r="AG7059" s="1"/>
      <c r="AI7059" s="1"/>
    </row>
    <row r="7060" spans="4:35" hidden="1">
      <c r="D7060" s="1"/>
      <c r="K7060" s="1"/>
      <c r="Q7060" s="1"/>
      <c r="AD7060" s="1"/>
      <c r="AG7060" s="1"/>
      <c r="AI7060" s="1"/>
    </row>
    <row r="7061" spans="4:35" hidden="1">
      <c r="D7061" s="1"/>
      <c r="K7061" s="1"/>
      <c r="Q7061" s="1"/>
      <c r="AD7061" s="1"/>
      <c r="AG7061" s="1"/>
      <c r="AI7061" s="1"/>
    </row>
    <row r="7062" spans="4:35" hidden="1">
      <c r="D7062" s="1"/>
      <c r="K7062" s="1"/>
      <c r="Q7062" s="1"/>
      <c r="AD7062" s="1"/>
      <c r="AG7062" s="1"/>
      <c r="AI7062" s="1"/>
    </row>
    <row r="7063" spans="4:35" hidden="1">
      <c r="D7063" s="1"/>
      <c r="K7063" s="1"/>
      <c r="Q7063" s="1"/>
      <c r="AD7063" s="1"/>
      <c r="AG7063" s="1"/>
      <c r="AI7063" s="1"/>
    </row>
    <row r="7064" spans="4:35" hidden="1">
      <c r="D7064" s="1"/>
      <c r="K7064" s="1"/>
      <c r="Q7064" s="1"/>
      <c r="AD7064" s="1"/>
      <c r="AG7064" s="1"/>
      <c r="AI7064" s="1"/>
    </row>
    <row r="7065" spans="4:35" hidden="1">
      <c r="D7065" s="1"/>
      <c r="K7065" s="1"/>
      <c r="Q7065" s="1"/>
      <c r="AD7065" s="1"/>
      <c r="AG7065" s="1"/>
      <c r="AI7065" s="1"/>
    </row>
    <row r="7066" spans="4:35" hidden="1">
      <c r="D7066" s="1"/>
      <c r="K7066" s="1"/>
      <c r="Q7066" s="1"/>
      <c r="AD7066" s="1"/>
      <c r="AG7066" s="1"/>
      <c r="AI7066" s="1"/>
    </row>
    <row r="7067" spans="4:35" hidden="1">
      <c r="D7067" s="1"/>
      <c r="K7067" s="1"/>
      <c r="Q7067" s="1"/>
      <c r="AD7067" s="1"/>
      <c r="AG7067" s="1"/>
      <c r="AI7067" s="1"/>
    </row>
    <row r="7068" spans="4:35" hidden="1">
      <c r="D7068" s="1"/>
      <c r="K7068" s="1"/>
      <c r="Q7068" s="1"/>
      <c r="AD7068" s="1"/>
      <c r="AG7068" s="1"/>
      <c r="AI7068" s="1"/>
    </row>
    <row r="7069" spans="4:35" hidden="1">
      <c r="D7069" s="1"/>
      <c r="K7069" s="1"/>
      <c r="Q7069" s="1"/>
      <c r="AD7069" s="1"/>
      <c r="AG7069" s="1"/>
      <c r="AI7069" s="1"/>
    </row>
    <row r="7070" spans="4:35" hidden="1">
      <c r="D7070" s="1"/>
      <c r="K7070" s="1"/>
      <c r="Q7070" s="1"/>
      <c r="AD7070" s="1"/>
      <c r="AG7070" s="1"/>
      <c r="AI7070" s="1"/>
    </row>
    <row r="7071" spans="4:35" hidden="1">
      <c r="D7071" s="1"/>
      <c r="K7071" s="1"/>
      <c r="Q7071" s="1"/>
      <c r="AD7071" s="1"/>
      <c r="AG7071" s="1"/>
      <c r="AI7071" s="1"/>
    </row>
    <row r="7072" spans="4:35" hidden="1">
      <c r="D7072" s="1"/>
      <c r="K7072" s="1"/>
      <c r="Q7072" s="1"/>
      <c r="AD7072" s="1"/>
      <c r="AG7072" s="1"/>
      <c r="AI7072" s="1"/>
    </row>
    <row r="7073" spans="4:35" hidden="1">
      <c r="D7073" s="1"/>
      <c r="K7073" s="1"/>
      <c r="Q7073" s="1"/>
      <c r="AD7073" s="1"/>
      <c r="AG7073" s="1"/>
      <c r="AI7073" s="1"/>
    </row>
    <row r="7074" spans="4:35" hidden="1">
      <c r="D7074" s="1"/>
      <c r="K7074" s="1"/>
      <c r="Q7074" s="1"/>
      <c r="AD7074" s="1"/>
      <c r="AG7074" s="1"/>
      <c r="AI7074" s="1"/>
    </row>
    <row r="7075" spans="4:35" hidden="1">
      <c r="D7075" s="1"/>
      <c r="K7075" s="1"/>
      <c r="Q7075" s="1"/>
      <c r="AD7075" s="1"/>
      <c r="AG7075" s="1"/>
      <c r="AI7075" s="1"/>
    </row>
    <row r="7076" spans="4:35" hidden="1">
      <c r="D7076" s="1"/>
      <c r="K7076" s="1"/>
      <c r="Q7076" s="1"/>
      <c r="AD7076" s="1"/>
      <c r="AG7076" s="1"/>
      <c r="AI7076" s="1"/>
    </row>
    <row r="7077" spans="4:35" hidden="1">
      <c r="D7077" s="1"/>
      <c r="K7077" s="1"/>
      <c r="Q7077" s="1"/>
      <c r="AD7077" s="1"/>
      <c r="AG7077" s="1"/>
      <c r="AI7077" s="1"/>
    </row>
    <row r="7078" spans="4:35" hidden="1">
      <c r="D7078" s="1"/>
      <c r="K7078" s="1"/>
      <c r="Q7078" s="1"/>
      <c r="AD7078" s="1"/>
      <c r="AG7078" s="1"/>
      <c r="AI7078" s="1"/>
    </row>
    <row r="7079" spans="4:35" hidden="1">
      <c r="D7079" s="1"/>
      <c r="K7079" s="1"/>
      <c r="Q7079" s="1"/>
      <c r="AD7079" s="1"/>
      <c r="AG7079" s="1"/>
      <c r="AI7079" s="1"/>
    </row>
    <row r="7080" spans="4:35" hidden="1">
      <c r="D7080" s="1"/>
      <c r="K7080" s="1"/>
      <c r="Q7080" s="1"/>
      <c r="AD7080" s="1"/>
      <c r="AG7080" s="1"/>
      <c r="AI7080" s="1"/>
    </row>
    <row r="7081" spans="4:35" hidden="1">
      <c r="D7081" s="1"/>
      <c r="K7081" s="1"/>
      <c r="Q7081" s="1"/>
      <c r="AD7081" s="1"/>
      <c r="AG7081" s="1"/>
      <c r="AI7081" s="1"/>
    </row>
    <row r="7082" spans="4:35" hidden="1">
      <c r="D7082" s="1"/>
      <c r="K7082" s="1"/>
      <c r="Q7082" s="1"/>
      <c r="AD7082" s="1"/>
      <c r="AG7082" s="1"/>
      <c r="AI7082" s="1"/>
    </row>
    <row r="7083" spans="4:35" hidden="1">
      <c r="D7083" s="1"/>
      <c r="K7083" s="1"/>
      <c r="Q7083" s="1"/>
      <c r="AD7083" s="1"/>
      <c r="AG7083" s="1"/>
      <c r="AI7083" s="1"/>
    </row>
    <row r="7084" spans="4:35" hidden="1">
      <c r="D7084" s="1"/>
      <c r="K7084" s="1"/>
      <c r="Q7084" s="1"/>
      <c r="AD7084" s="1"/>
      <c r="AG7084" s="1"/>
      <c r="AI7084" s="1"/>
    </row>
    <row r="7085" spans="4:35" hidden="1">
      <c r="D7085" s="1"/>
      <c r="K7085" s="1"/>
      <c r="Q7085" s="1"/>
      <c r="AD7085" s="1"/>
      <c r="AG7085" s="1"/>
      <c r="AI7085" s="1"/>
    </row>
    <row r="7086" spans="4:35" hidden="1">
      <c r="D7086" s="1"/>
      <c r="K7086" s="1"/>
      <c r="Q7086" s="1"/>
      <c r="AD7086" s="1"/>
      <c r="AG7086" s="1"/>
      <c r="AI7086" s="1"/>
    </row>
    <row r="7087" spans="4:35" hidden="1">
      <c r="D7087" s="1"/>
      <c r="K7087" s="1"/>
      <c r="Q7087" s="1"/>
      <c r="AD7087" s="1"/>
      <c r="AG7087" s="1"/>
      <c r="AI7087" s="1"/>
    </row>
    <row r="7088" spans="4:35" hidden="1">
      <c r="D7088" s="1"/>
      <c r="K7088" s="1"/>
      <c r="Q7088" s="1"/>
      <c r="AD7088" s="1"/>
      <c r="AG7088" s="1"/>
      <c r="AI7088" s="1"/>
    </row>
    <row r="7089" spans="4:35" hidden="1">
      <c r="D7089" s="1"/>
      <c r="K7089" s="1"/>
      <c r="Q7089" s="1"/>
      <c r="AD7089" s="1"/>
      <c r="AG7089" s="1"/>
      <c r="AI7089" s="1"/>
    </row>
    <row r="7090" spans="4:35" hidden="1">
      <c r="D7090" s="1"/>
      <c r="K7090" s="1"/>
      <c r="Q7090" s="1"/>
      <c r="AD7090" s="1"/>
      <c r="AG7090" s="1"/>
      <c r="AI7090" s="1"/>
    </row>
    <row r="7091" spans="4:35" hidden="1">
      <c r="D7091" s="1"/>
      <c r="K7091" s="1"/>
      <c r="Q7091" s="1"/>
      <c r="AD7091" s="1"/>
      <c r="AG7091" s="1"/>
      <c r="AI7091" s="1"/>
    </row>
    <row r="7092" spans="4:35" hidden="1">
      <c r="D7092" s="1"/>
      <c r="K7092" s="1"/>
      <c r="Q7092" s="1"/>
      <c r="AD7092" s="1"/>
      <c r="AG7092" s="1"/>
      <c r="AI7092" s="1"/>
    </row>
    <row r="7093" spans="4:35" hidden="1">
      <c r="D7093" s="1"/>
      <c r="K7093" s="1"/>
      <c r="Q7093" s="1"/>
      <c r="AD7093" s="1"/>
      <c r="AG7093" s="1"/>
      <c r="AI7093" s="1"/>
    </row>
    <row r="7094" spans="4:35" hidden="1">
      <c r="D7094" s="1"/>
      <c r="K7094" s="1"/>
      <c r="Q7094" s="1"/>
      <c r="AD7094" s="1"/>
      <c r="AG7094" s="1"/>
      <c r="AI7094" s="1"/>
    </row>
    <row r="7095" spans="4:35" hidden="1">
      <c r="D7095" s="1"/>
      <c r="K7095" s="1"/>
      <c r="Q7095" s="1"/>
      <c r="AD7095" s="1"/>
      <c r="AG7095" s="1"/>
      <c r="AI7095" s="1"/>
    </row>
    <row r="7096" spans="4:35" hidden="1">
      <c r="D7096" s="1"/>
      <c r="K7096" s="1"/>
      <c r="Q7096" s="1"/>
      <c r="AD7096" s="1"/>
      <c r="AG7096" s="1"/>
      <c r="AI7096" s="1"/>
    </row>
    <row r="7097" spans="4:35" hidden="1">
      <c r="D7097" s="1"/>
      <c r="K7097" s="1"/>
      <c r="Q7097" s="1"/>
      <c r="AD7097" s="1"/>
      <c r="AG7097" s="1"/>
      <c r="AI7097" s="1"/>
    </row>
    <row r="7098" spans="4:35" hidden="1">
      <c r="D7098" s="1"/>
      <c r="K7098" s="1"/>
      <c r="Q7098" s="1"/>
      <c r="AD7098" s="1"/>
      <c r="AG7098" s="1"/>
      <c r="AI7098" s="1"/>
    </row>
    <row r="7099" spans="4:35" hidden="1">
      <c r="D7099" s="1"/>
      <c r="K7099" s="1"/>
      <c r="Q7099" s="1"/>
      <c r="AD7099" s="1"/>
      <c r="AG7099" s="1"/>
      <c r="AI7099" s="1"/>
    </row>
    <row r="7100" spans="4:35" hidden="1">
      <c r="D7100" s="1"/>
      <c r="K7100" s="1"/>
      <c r="Q7100" s="1"/>
      <c r="AD7100" s="1"/>
      <c r="AG7100" s="1"/>
      <c r="AI7100" s="1"/>
    </row>
    <row r="7101" spans="4:35" hidden="1">
      <c r="D7101" s="1"/>
      <c r="K7101" s="1"/>
      <c r="Q7101" s="1"/>
      <c r="AD7101" s="1"/>
      <c r="AG7101" s="1"/>
      <c r="AI7101" s="1"/>
    </row>
    <row r="7102" spans="4:35" hidden="1">
      <c r="D7102" s="1"/>
      <c r="K7102" s="1"/>
      <c r="Q7102" s="1"/>
      <c r="AD7102" s="1"/>
      <c r="AG7102" s="1"/>
      <c r="AI7102" s="1"/>
    </row>
    <row r="7103" spans="4:35" hidden="1">
      <c r="D7103" s="1"/>
      <c r="K7103" s="1"/>
      <c r="Q7103" s="1"/>
      <c r="AD7103" s="1"/>
      <c r="AG7103" s="1"/>
      <c r="AI7103" s="1"/>
    </row>
    <row r="7104" spans="4:35" hidden="1">
      <c r="D7104" s="1"/>
      <c r="K7104" s="1"/>
      <c r="Q7104" s="1"/>
      <c r="AD7104" s="1"/>
      <c r="AG7104" s="1"/>
      <c r="AI7104" s="1"/>
    </row>
    <row r="7105" spans="4:35" hidden="1">
      <c r="D7105" s="1"/>
      <c r="K7105" s="1"/>
      <c r="Q7105" s="1"/>
      <c r="AD7105" s="1"/>
      <c r="AG7105" s="1"/>
      <c r="AI7105" s="1"/>
    </row>
    <row r="7106" spans="4:35" hidden="1">
      <c r="D7106" s="1"/>
      <c r="K7106" s="1"/>
      <c r="Q7106" s="1"/>
      <c r="AD7106" s="1"/>
      <c r="AG7106" s="1"/>
      <c r="AI7106" s="1"/>
    </row>
    <row r="7107" spans="4:35" hidden="1">
      <c r="D7107" s="1"/>
      <c r="K7107" s="1"/>
      <c r="Q7107" s="1"/>
      <c r="AD7107" s="1"/>
      <c r="AG7107" s="1"/>
      <c r="AI7107" s="1"/>
    </row>
    <row r="7108" spans="4:35" hidden="1">
      <c r="D7108" s="1"/>
      <c r="K7108" s="1"/>
      <c r="Q7108" s="1"/>
      <c r="AD7108" s="1"/>
      <c r="AG7108" s="1"/>
      <c r="AI7108" s="1"/>
    </row>
    <row r="7109" spans="4:35" hidden="1">
      <c r="D7109" s="1"/>
      <c r="K7109" s="1"/>
      <c r="Q7109" s="1"/>
      <c r="AD7109" s="1"/>
      <c r="AG7109" s="1"/>
      <c r="AI7109" s="1"/>
    </row>
    <row r="7110" spans="4:35" hidden="1">
      <c r="D7110" s="1"/>
      <c r="K7110" s="1"/>
      <c r="Q7110" s="1"/>
      <c r="AD7110" s="1"/>
      <c r="AG7110" s="1"/>
      <c r="AI7110" s="1"/>
    </row>
    <row r="7111" spans="4:35" hidden="1">
      <c r="D7111" s="1"/>
      <c r="K7111" s="1"/>
      <c r="Q7111" s="1"/>
      <c r="AD7111" s="1"/>
      <c r="AG7111" s="1"/>
      <c r="AI7111" s="1"/>
    </row>
    <row r="7112" spans="4:35" hidden="1">
      <c r="D7112" s="1"/>
      <c r="K7112" s="1"/>
      <c r="Q7112" s="1"/>
      <c r="AD7112" s="1"/>
      <c r="AG7112" s="1"/>
      <c r="AI7112" s="1"/>
    </row>
    <row r="7113" spans="4:35" hidden="1">
      <c r="D7113" s="1"/>
      <c r="K7113" s="1"/>
      <c r="Q7113" s="1"/>
      <c r="AD7113" s="1"/>
      <c r="AG7113" s="1"/>
      <c r="AI7113" s="1"/>
    </row>
    <row r="7114" spans="4:35" hidden="1">
      <c r="D7114" s="1"/>
      <c r="K7114" s="1"/>
      <c r="Q7114" s="1"/>
      <c r="AD7114" s="1"/>
      <c r="AG7114" s="1"/>
      <c r="AI7114" s="1"/>
    </row>
    <row r="7115" spans="4:35" hidden="1">
      <c r="D7115" s="1"/>
      <c r="K7115" s="1"/>
      <c r="Q7115" s="1"/>
      <c r="AD7115" s="1"/>
      <c r="AG7115" s="1"/>
      <c r="AI7115" s="1"/>
    </row>
    <row r="7116" spans="4:35" hidden="1">
      <c r="D7116" s="1"/>
      <c r="K7116" s="1"/>
      <c r="Q7116" s="1"/>
      <c r="AD7116" s="1"/>
      <c r="AG7116" s="1"/>
      <c r="AI7116" s="1"/>
    </row>
    <row r="7117" spans="4:35" hidden="1">
      <c r="D7117" s="1"/>
      <c r="K7117" s="1"/>
      <c r="Q7117" s="1"/>
      <c r="AD7117" s="1"/>
      <c r="AG7117" s="1"/>
      <c r="AI7117" s="1"/>
    </row>
    <row r="7118" spans="4:35" hidden="1">
      <c r="D7118" s="1"/>
      <c r="K7118" s="1"/>
      <c r="Q7118" s="1"/>
      <c r="AD7118" s="1"/>
      <c r="AG7118" s="1"/>
      <c r="AI7118" s="1"/>
    </row>
    <row r="7119" spans="4:35" hidden="1">
      <c r="D7119" s="1"/>
      <c r="K7119" s="1"/>
      <c r="Q7119" s="1"/>
      <c r="AD7119" s="1"/>
      <c r="AG7119" s="1"/>
      <c r="AI7119" s="1"/>
    </row>
    <row r="7120" spans="4:35" hidden="1">
      <c r="D7120" s="1"/>
      <c r="K7120" s="1"/>
      <c r="Q7120" s="1"/>
      <c r="AD7120" s="1"/>
      <c r="AG7120" s="1"/>
      <c r="AI7120" s="1"/>
    </row>
    <row r="7121" spans="4:35" hidden="1">
      <c r="D7121" s="1"/>
      <c r="K7121" s="1"/>
      <c r="Q7121" s="1"/>
      <c r="AD7121" s="1"/>
      <c r="AG7121" s="1"/>
      <c r="AI7121" s="1"/>
    </row>
    <row r="7122" spans="4:35" hidden="1">
      <c r="D7122" s="1"/>
      <c r="K7122" s="1"/>
      <c r="Q7122" s="1"/>
      <c r="AD7122" s="1"/>
      <c r="AG7122" s="1"/>
      <c r="AI7122" s="1"/>
    </row>
    <row r="7123" spans="4:35" hidden="1">
      <c r="D7123" s="1"/>
      <c r="K7123" s="1"/>
      <c r="Q7123" s="1"/>
      <c r="AD7123" s="1"/>
      <c r="AG7123" s="1"/>
      <c r="AI7123" s="1"/>
    </row>
    <row r="7124" spans="4:35" hidden="1">
      <c r="D7124" s="1"/>
      <c r="K7124" s="1"/>
      <c r="Q7124" s="1"/>
      <c r="AD7124" s="1"/>
      <c r="AG7124" s="1"/>
      <c r="AI7124" s="1"/>
    </row>
    <row r="7125" spans="4:35" hidden="1">
      <c r="D7125" s="1"/>
      <c r="K7125" s="1"/>
      <c r="Q7125" s="1"/>
      <c r="AD7125" s="1"/>
      <c r="AG7125" s="1"/>
      <c r="AI7125" s="1"/>
    </row>
    <row r="7126" spans="4:35" hidden="1">
      <c r="D7126" s="1"/>
      <c r="K7126" s="1"/>
      <c r="Q7126" s="1"/>
      <c r="AD7126" s="1"/>
      <c r="AG7126" s="1"/>
      <c r="AI7126" s="1"/>
    </row>
    <row r="7127" spans="4:35" hidden="1">
      <c r="D7127" s="1"/>
      <c r="K7127" s="1"/>
      <c r="Q7127" s="1"/>
      <c r="AD7127" s="1"/>
      <c r="AG7127" s="1"/>
      <c r="AI7127" s="1"/>
    </row>
    <row r="7128" spans="4:35" hidden="1">
      <c r="D7128" s="1"/>
      <c r="K7128" s="1"/>
      <c r="Q7128" s="1"/>
      <c r="AD7128" s="1"/>
      <c r="AG7128" s="1"/>
      <c r="AI7128" s="1"/>
    </row>
    <row r="7129" spans="4:35" hidden="1">
      <c r="D7129" s="1"/>
      <c r="K7129" s="1"/>
      <c r="Q7129" s="1"/>
      <c r="AD7129" s="1"/>
      <c r="AG7129" s="1"/>
      <c r="AI7129" s="1"/>
    </row>
    <row r="7130" spans="4:35" hidden="1">
      <c r="D7130" s="1"/>
      <c r="K7130" s="1"/>
      <c r="Q7130" s="1"/>
      <c r="AD7130" s="1"/>
      <c r="AG7130" s="1"/>
      <c r="AI7130" s="1"/>
    </row>
    <row r="7131" spans="4:35" hidden="1">
      <c r="D7131" s="1"/>
      <c r="K7131" s="1"/>
      <c r="Q7131" s="1"/>
      <c r="AD7131" s="1"/>
      <c r="AG7131" s="1"/>
      <c r="AI7131" s="1"/>
    </row>
    <row r="7132" spans="4:35" hidden="1">
      <c r="D7132" s="1"/>
      <c r="K7132" s="1"/>
      <c r="Q7132" s="1"/>
      <c r="AD7132" s="1"/>
      <c r="AG7132" s="1"/>
      <c r="AI7132" s="1"/>
    </row>
    <row r="7133" spans="4:35" hidden="1">
      <c r="D7133" s="1"/>
      <c r="K7133" s="1"/>
      <c r="Q7133" s="1"/>
      <c r="AD7133" s="1"/>
      <c r="AG7133" s="1"/>
      <c r="AI7133" s="1"/>
    </row>
    <row r="7134" spans="4:35" hidden="1">
      <c r="D7134" s="1"/>
      <c r="K7134" s="1"/>
      <c r="Q7134" s="1"/>
      <c r="AD7134" s="1"/>
      <c r="AG7134" s="1"/>
      <c r="AI7134" s="1"/>
    </row>
    <row r="7135" spans="4:35" hidden="1">
      <c r="D7135" s="1"/>
      <c r="K7135" s="1"/>
      <c r="Q7135" s="1"/>
      <c r="AD7135" s="1"/>
      <c r="AG7135" s="1"/>
      <c r="AI7135" s="1"/>
    </row>
    <row r="7136" spans="4:35" hidden="1">
      <c r="D7136" s="1"/>
      <c r="K7136" s="1"/>
      <c r="Q7136" s="1"/>
      <c r="AD7136" s="1"/>
      <c r="AG7136" s="1"/>
      <c r="AI7136" s="1"/>
    </row>
    <row r="7137" spans="4:35" hidden="1">
      <c r="D7137" s="1"/>
      <c r="K7137" s="1"/>
      <c r="Q7137" s="1"/>
      <c r="AD7137" s="1"/>
      <c r="AG7137" s="1"/>
      <c r="AI7137" s="1"/>
    </row>
    <row r="7138" spans="4:35" hidden="1">
      <c r="D7138" s="1"/>
      <c r="K7138" s="1"/>
      <c r="Q7138" s="1"/>
      <c r="AD7138" s="1"/>
      <c r="AG7138" s="1"/>
      <c r="AI7138" s="1"/>
    </row>
    <row r="7139" spans="4:35" hidden="1">
      <c r="D7139" s="1"/>
      <c r="K7139" s="1"/>
      <c r="Q7139" s="1"/>
      <c r="AD7139" s="1"/>
      <c r="AG7139" s="1"/>
      <c r="AI7139" s="1"/>
    </row>
    <row r="7140" spans="4:35" hidden="1">
      <c r="D7140" s="1"/>
      <c r="K7140" s="1"/>
      <c r="Q7140" s="1"/>
      <c r="AD7140" s="1"/>
      <c r="AG7140" s="1"/>
      <c r="AI7140" s="1"/>
    </row>
    <row r="7141" spans="4:35" hidden="1">
      <c r="D7141" s="1"/>
      <c r="K7141" s="1"/>
      <c r="Q7141" s="1"/>
      <c r="AD7141" s="1"/>
      <c r="AG7141" s="1"/>
      <c r="AI7141" s="1"/>
    </row>
    <row r="7142" spans="4:35" hidden="1">
      <c r="D7142" s="1"/>
      <c r="K7142" s="1"/>
      <c r="Q7142" s="1"/>
      <c r="AD7142" s="1"/>
      <c r="AG7142" s="1"/>
      <c r="AI7142" s="1"/>
    </row>
    <row r="7143" spans="4:35" hidden="1">
      <c r="D7143" s="1"/>
      <c r="K7143" s="1"/>
      <c r="Q7143" s="1"/>
      <c r="AD7143" s="1"/>
      <c r="AG7143" s="1"/>
      <c r="AI7143" s="1"/>
    </row>
    <row r="7144" spans="4:35" hidden="1">
      <c r="D7144" s="1"/>
      <c r="K7144" s="1"/>
      <c r="Q7144" s="1"/>
      <c r="AD7144" s="1"/>
      <c r="AG7144" s="1"/>
      <c r="AI7144" s="1"/>
    </row>
    <row r="7145" spans="4:35" hidden="1">
      <c r="D7145" s="1"/>
      <c r="K7145" s="1"/>
      <c r="Q7145" s="1"/>
      <c r="AD7145" s="1"/>
      <c r="AG7145" s="1"/>
      <c r="AI7145" s="1"/>
    </row>
    <row r="7146" spans="4:35" hidden="1">
      <c r="D7146" s="1"/>
      <c r="K7146" s="1"/>
      <c r="Q7146" s="1"/>
      <c r="AD7146" s="1"/>
      <c r="AG7146" s="1"/>
      <c r="AI7146" s="1"/>
    </row>
    <row r="7147" spans="4:35" hidden="1">
      <c r="D7147" s="1"/>
      <c r="K7147" s="1"/>
      <c r="Q7147" s="1"/>
      <c r="AD7147" s="1"/>
      <c r="AG7147" s="1"/>
      <c r="AI7147" s="1"/>
    </row>
    <row r="7148" spans="4:35" hidden="1">
      <c r="D7148" s="1"/>
      <c r="K7148" s="1"/>
      <c r="Q7148" s="1"/>
      <c r="AD7148" s="1"/>
      <c r="AG7148" s="1"/>
      <c r="AI7148" s="1"/>
    </row>
    <row r="7149" spans="4:35" hidden="1">
      <c r="D7149" s="1"/>
      <c r="K7149" s="1"/>
      <c r="Q7149" s="1"/>
      <c r="AD7149" s="1"/>
      <c r="AG7149" s="1"/>
      <c r="AI7149" s="1"/>
    </row>
    <row r="7150" spans="4:35" hidden="1">
      <c r="D7150" s="1"/>
      <c r="K7150" s="1"/>
      <c r="Q7150" s="1"/>
      <c r="AD7150" s="1"/>
      <c r="AG7150" s="1"/>
      <c r="AI7150" s="1"/>
    </row>
    <row r="7151" spans="4:35" hidden="1">
      <c r="D7151" s="1"/>
      <c r="K7151" s="1"/>
      <c r="Q7151" s="1"/>
      <c r="AD7151" s="1"/>
      <c r="AG7151" s="1"/>
      <c r="AI7151" s="1"/>
    </row>
    <row r="7152" spans="4:35" hidden="1">
      <c r="D7152" s="1"/>
      <c r="K7152" s="1"/>
      <c r="Q7152" s="1"/>
      <c r="AD7152" s="1"/>
      <c r="AG7152" s="1"/>
      <c r="AI7152" s="1"/>
    </row>
    <row r="7153" spans="4:35" hidden="1">
      <c r="D7153" s="1"/>
      <c r="K7153" s="1"/>
      <c r="Q7153" s="1"/>
      <c r="AD7153" s="1"/>
      <c r="AG7153" s="1"/>
      <c r="AI7153" s="1"/>
    </row>
    <row r="7154" spans="4:35" hidden="1">
      <c r="D7154" s="1"/>
      <c r="K7154" s="1"/>
      <c r="Q7154" s="1"/>
      <c r="AD7154" s="1"/>
      <c r="AG7154" s="1"/>
      <c r="AI7154" s="1"/>
    </row>
    <row r="7155" spans="4:35" hidden="1">
      <c r="D7155" s="1"/>
      <c r="K7155" s="1"/>
      <c r="Q7155" s="1"/>
      <c r="AD7155" s="1"/>
      <c r="AG7155" s="1"/>
      <c r="AI7155" s="1"/>
    </row>
    <row r="7156" spans="4:35" hidden="1">
      <c r="D7156" s="1"/>
      <c r="K7156" s="1"/>
      <c r="Q7156" s="1"/>
      <c r="AD7156" s="1"/>
      <c r="AG7156" s="1"/>
      <c r="AI7156" s="1"/>
    </row>
    <row r="7157" spans="4:35" hidden="1">
      <c r="D7157" s="1"/>
      <c r="K7157" s="1"/>
      <c r="Q7157" s="1"/>
      <c r="AD7157" s="1"/>
      <c r="AG7157" s="1"/>
      <c r="AI7157" s="1"/>
    </row>
    <row r="7158" spans="4:35" hidden="1">
      <c r="D7158" s="1"/>
      <c r="K7158" s="1"/>
      <c r="Q7158" s="1"/>
      <c r="AD7158" s="1"/>
      <c r="AG7158" s="1"/>
      <c r="AI7158" s="1"/>
    </row>
    <row r="7159" spans="4:35" hidden="1">
      <c r="D7159" s="1"/>
      <c r="K7159" s="1"/>
      <c r="Q7159" s="1"/>
      <c r="AD7159" s="1"/>
      <c r="AG7159" s="1"/>
      <c r="AI7159" s="1"/>
    </row>
    <row r="7160" spans="4:35" hidden="1">
      <c r="D7160" s="1"/>
      <c r="K7160" s="1"/>
      <c r="Q7160" s="1"/>
      <c r="AD7160" s="1"/>
      <c r="AG7160" s="1"/>
      <c r="AI7160" s="1"/>
    </row>
    <row r="7161" spans="4:35" hidden="1">
      <c r="D7161" s="1"/>
      <c r="K7161" s="1"/>
      <c r="Q7161" s="1"/>
      <c r="AD7161" s="1"/>
      <c r="AG7161" s="1"/>
      <c r="AI7161" s="1"/>
    </row>
    <row r="7162" spans="4:35" hidden="1">
      <c r="D7162" s="1"/>
      <c r="K7162" s="1"/>
      <c r="Q7162" s="1"/>
      <c r="AD7162" s="1"/>
      <c r="AG7162" s="1"/>
      <c r="AI7162" s="1"/>
    </row>
    <row r="7163" spans="4:35" hidden="1">
      <c r="D7163" s="1"/>
      <c r="K7163" s="1"/>
      <c r="Q7163" s="1"/>
      <c r="AD7163" s="1"/>
      <c r="AG7163" s="1"/>
      <c r="AI7163" s="1"/>
    </row>
    <row r="7164" spans="4:35" hidden="1">
      <c r="D7164" s="1"/>
      <c r="K7164" s="1"/>
      <c r="Q7164" s="1"/>
      <c r="AD7164" s="1"/>
      <c r="AG7164" s="1"/>
      <c r="AI7164" s="1"/>
    </row>
    <row r="7165" spans="4:35" hidden="1">
      <c r="D7165" s="1"/>
      <c r="K7165" s="1"/>
      <c r="Q7165" s="1"/>
      <c r="AD7165" s="1"/>
      <c r="AG7165" s="1"/>
      <c r="AI7165" s="1"/>
    </row>
    <row r="7166" spans="4:35" hidden="1">
      <c r="D7166" s="1"/>
      <c r="K7166" s="1"/>
      <c r="Q7166" s="1"/>
      <c r="AD7166" s="1"/>
      <c r="AG7166" s="1"/>
      <c r="AI7166" s="1"/>
    </row>
    <row r="7167" spans="4:35" hidden="1">
      <c r="D7167" s="1"/>
      <c r="K7167" s="1"/>
      <c r="Q7167" s="1"/>
      <c r="AD7167" s="1"/>
      <c r="AG7167" s="1"/>
      <c r="AI7167" s="1"/>
    </row>
    <row r="7168" spans="4:35" hidden="1">
      <c r="D7168" s="1"/>
      <c r="K7168" s="1"/>
      <c r="Q7168" s="1"/>
      <c r="AD7168" s="1"/>
      <c r="AG7168" s="1"/>
      <c r="AI7168" s="1"/>
    </row>
    <row r="7169" spans="4:35" hidden="1">
      <c r="D7169" s="1"/>
      <c r="K7169" s="1"/>
      <c r="Q7169" s="1"/>
      <c r="AD7169" s="1"/>
      <c r="AG7169" s="1"/>
      <c r="AI7169" s="1"/>
    </row>
    <row r="7170" spans="4:35" hidden="1">
      <c r="D7170" s="1"/>
      <c r="K7170" s="1"/>
      <c r="Q7170" s="1"/>
      <c r="AD7170" s="1"/>
      <c r="AG7170" s="1"/>
      <c r="AI7170" s="1"/>
    </row>
    <row r="7171" spans="4:35" hidden="1">
      <c r="D7171" s="1"/>
      <c r="K7171" s="1"/>
      <c r="Q7171" s="1"/>
      <c r="AD7171" s="1"/>
      <c r="AG7171" s="1"/>
      <c r="AI7171" s="1"/>
    </row>
    <row r="7172" spans="4:35" hidden="1">
      <c r="D7172" s="1"/>
      <c r="K7172" s="1"/>
      <c r="Q7172" s="1"/>
      <c r="AD7172" s="1"/>
      <c r="AG7172" s="1"/>
      <c r="AI7172" s="1"/>
    </row>
    <row r="7173" spans="4:35" hidden="1">
      <c r="D7173" s="1"/>
      <c r="K7173" s="1"/>
      <c r="Q7173" s="1"/>
      <c r="AD7173" s="1"/>
      <c r="AG7173" s="1"/>
      <c r="AI7173" s="1"/>
    </row>
    <row r="7174" spans="4:35" hidden="1">
      <c r="D7174" s="1"/>
      <c r="K7174" s="1"/>
      <c r="Q7174" s="1"/>
      <c r="AD7174" s="1"/>
      <c r="AG7174" s="1"/>
      <c r="AI7174" s="1"/>
    </row>
    <row r="7175" spans="4:35" hidden="1">
      <c r="D7175" s="1"/>
      <c r="K7175" s="1"/>
      <c r="Q7175" s="1"/>
      <c r="AD7175" s="1"/>
      <c r="AG7175" s="1"/>
      <c r="AI7175" s="1"/>
    </row>
    <row r="7176" spans="4:35" hidden="1">
      <c r="D7176" s="1"/>
      <c r="K7176" s="1"/>
      <c r="Q7176" s="1"/>
      <c r="AD7176" s="1"/>
      <c r="AG7176" s="1"/>
      <c r="AI7176" s="1"/>
    </row>
    <row r="7177" spans="4:35" hidden="1">
      <c r="D7177" s="1"/>
      <c r="K7177" s="1"/>
      <c r="Q7177" s="1"/>
      <c r="AD7177" s="1"/>
      <c r="AG7177" s="1"/>
      <c r="AI7177" s="1"/>
    </row>
    <row r="7178" spans="4:35" hidden="1">
      <c r="D7178" s="1"/>
      <c r="K7178" s="1"/>
      <c r="Q7178" s="1"/>
      <c r="AD7178" s="1"/>
      <c r="AG7178" s="1"/>
      <c r="AI7178" s="1"/>
    </row>
    <row r="7179" spans="4:35" hidden="1">
      <c r="D7179" s="1"/>
      <c r="K7179" s="1"/>
      <c r="Q7179" s="1"/>
      <c r="AD7179" s="1"/>
      <c r="AG7179" s="1"/>
      <c r="AI7179" s="1"/>
    </row>
    <row r="7180" spans="4:35" hidden="1">
      <c r="D7180" s="1"/>
      <c r="K7180" s="1"/>
      <c r="Q7180" s="1"/>
      <c r="AD7180" s="1"/>
      <c r="AG7180" s="1"/>
      <c r="AI7180" s="1"/>
    </row>
    <row r="7181" spans="4:35" hidden="1">
      <c r="D7181" s="1"/>
      <c r="K7181" s="1"/>
      <c r="Q7181" s="1"/>
      <c r="AD7181" s="1"/>
      <c r="AG7181" s="1"/>
      <c r="AI7181" s="1"/>
    </row>
    <row r="7182" spans="4:35" hidden="1">
      <c r="D7182" s="1"/>
      <c r="K7182" s="1"/>
      <c r="Q7182" s="1"/>
      <c r="AD7182" s="1"/>
      <c r="AG7182" s="1"/>
      <c r="AI7182" s="1"/>
    </row>
    <row r="7183" spans="4:35" hidden="1">
      <c r="D7183" s="1"/>
      <c r="K7183" s="1"/>
      <c r="Q7183" s="1"/>
      <c r="AD7183" s="1"/>
      <c r="AG7183" s="1"/>
      <c r="AI7183" s="1"/>
    </row>
    <row r="7184" spans="4:35" hidden="1">
      <c r="D7184" s="1"/>
      <c r="K7184" s="1"/>
      <c r="Q7184" s="1"/>
      <c r="AD7184" s="1"/>
      <c r="AG7184" s="1"/>
      <c r="AI7184" s="1"/>
    </row>
    <row r="7185" spans="4:35" hidden="1">
      <c r="D7185" s="1"/>
      <c r="K7185" s="1"/>
      <c r="Q7185" s="1"/>
      <c r="AD7185" s="1"/>
      <c r="AG7185" s="1"/>
      <c r="AI7185" s="1"/>
    </row>
    <row r="7186" spans="4:35" hidden="1">
      <c r="D7186" s="1"/>
      <c r="K7186" s="1"/>
      <c r="Q7186" s="1"/>
      <c r="AD7186" s="1"/>
      <c r="AG7186" s="1"/>
      <c r="AI7186" s="1"/>
    </row>
    <row r="7187" spans="4:35" hidden="1">
      <c r="D7187" s="1"/>
      <c r="K7187" s="1"/>
      <c r="Q7187" s="1"/>
      <c r="AD7187" s="1"/>
      <c r="AG7187" s="1"/>
      <c r="AI7187" s="1"/>
    </row>
    <row r="7188" spans="4:35" hidden="1">
      <c r="D7188" s="1"/>
      <c r="K7188" s="1"/>
      <c r="Q7188" s="1"/>
      <c r="AD7188" s="1"/>
      <c r="AG7188" s="1"/>
      <c r="AI7188" s="1"/>
    </row>
    <row r="7189" spans="4:35" hidden="1">
      <c r="D7189" s="1"/>
      <c r="K7189" s="1"/>
      <c r="Q7189" s="1"/>
      <c r="AD7189" s="1"/>
      <c r="AG7189" s="1"/>
      <c r="AI7189" s="1"/>
    </row>
    <row r="7190" spans="4:35" hidden="1">
      <c r="D7190" s="1"/>
      <c r="K7190" s="1"/>
      <c r="Q7190" s="1"/>
      <c r="AD7190" s="1"/>
      <c r="AG7190" s="1"/>
      <c r="AI7190" s="1"/>
    </row>
    <row r="7191" spans="4:35" hidden="1">
      <c r="D7191" s="1"/>
      <c r="K7191" s="1"/>
      <c r="Q7191" s="1"/>
      <c r="AD7191" s="1"/>
      <c r="AG7191" s="1"/>
      <c r="AI7191" s="1"/>
    </row>
    <row r="7192" spans="4:35" hidden="1">
      <c r="D7192" s="1"/>
      <c r="K7192" s="1"/>
      <c r="Q7192" s="1"/>
      <c r="AD7192" s="1"/>
      <c r="AG7192" s="1"/>
      <c r="AI7192" s="1"/>
    </row>
    <row r="7193" spans="4:35" hidden="1">
      <c r="D7193" s="1"/>
      <c r="K7193" s="1"/>
      <c r="Q7193" s="1"/>
      <c r="AD7193" s="1"/>
      <c r="AG7193" s="1"/>
      <c r="AI7193" s="1"/>
    </row>
    <row r="7194" spans="4:35" hidden="1">
      <c r="D7194" s="1"/>
      <c r="K7194" s="1"/>
      <c r="Q7194" s="1"/>
      <c r="AD7194" s="1"/>
      <c r="AG7194" s="1"/>
      <c r="AI7194" s="1"/>
    </row>
    <row r="7195" spans="4:35" hidden="1">
      <c r="D7195" s="1"/>
      <c r="K7195" s="1"/>
      <c r="Q7195" s="1"/>
      <c r="AD7195" s="1"/>
      <c r="AG7195" s="1"/>
      <c r="AI7195" s="1"/>
    </row>
    <row r="7196" spans="4:35" hidden="1">
      <c r="D7196" s="1"/>
      <c r="K7196" s="1"/>
      <c r="Q7196" s="1"/>
      <c r="AD7196" s="1"/>
      <c r="AG7196" s="1"/>
      <c r="AI7196" s="1"/>
    </row>
    <row r="7197" spans="4:35" hidden="1">
      <c r="D7197" s="1"/>
      <c r="K7197" s="1"/>
      <c r="Q7197" s="1"/>
      <c r="AD7197" s="1"/>
      <c r="AG7197" s="1"/>
      <c r="AI7197" s="1"/>
    </row>
    <row r="7198" spans="4:35" hidden="1">
      <c r="D7198" s="1"/>
      <c r="K7198" s="1"/>
      <c r="Q7198" s="1"/>
      <c r="AD7198" s="1"/>
      <c r="AG7198" s="1"/>
      <c r="AI7198" s="1"/>
    </row>
    <row r="7199" spans="4:35" hidden="1">
      <c r="D7199" s="1"/>
      <c r="K7199" s="1"/>
      <c r="Q7199" s="1"/>
      <c r="AD7199" s="1"/>
      <c r="AG7199" s="1"/>
      <c r="AI7199" s="1"/>
    </row>
    <row r="7200" spans="4:35" hidden="1">
      <c r="D7200" s="1"/>
      <c r="K7200" s="1"/>
      <c r="Q7200" s="1"/>
      <c r="AD7200" s="1"/>
      <c r="AG7200" s="1"/>
      <c r="AI7200" s="1"/>
    </row>
    <row r="7201" spans="4:35" hidden="1">
      <c r="D7201" s="1"/>
      <c r="K7201" s="1"/>
      <c r="Q7201" s="1"/>
      <c r="AD7201" s="1"/>
      <c r="AG7201" s="1"/>
      <c r="AI7201" s="1"/>
    </row>
    <row r="7202" spans="4:35" hidden="1">
      <c r="D7202" s="1"/>
      <c r="K7202" s="1"/>
      <c r="Q7202" s="1"/>
      <c r="AD7202" s="1"/>
      <c r="AG7202" s="1"/>
      <c r="AI7202" s="1"/>
    </row>
    <row r="7203" spans="4:35" hidden="1">
      <c r="D7203" s="1"/>
      <c r="K7203" s="1"/>
      <c r="Q7203" s="1"/>
      <c r="AD7203" s="1"/>
      <c r="AG7203" s="1"/>
      <c r="AI7203" s="1"/>
    </row>
    <row r="7204" spans="4:35" hidden="1">
      <c r="D7204" s="1"/>
      <c r="K7204" s="1"/>
      <c r="Q7204" s="1"/>
      <c r="AD7204" s="1"/>
      <c r="AG7204" s="1"/>
      <c r="AI7204" s="1"/>
    </row>
    <row r="7205" spans="4:35" hidden="1">
      <c r="D7205" s="1"/>
      <c r="K7205" s="1"/>
      <c r="Q7205" s="1"/>
      <c r="AD7205" s="1"/>
      <c r="AG7205" s="1"/>
      <c r="AI7205" s="1"/>
    </row>
    <row r="7206" spans="4:35" hidden="1">
      <c r="D7206" s="1"/>
      <c r="K7206" s="1"/>
      <c r="Q7206" s="1"/>
      <c r="AD7206" s="1"/>
      <c r="AG7206" s="1"/>
      <c r="AI7206" s="1"/>
    </row>
    <row r="7207" spans="4:35" hidden="1">
      <c r="D7207" s="1"/>
      <c r="K7207" s="1"/>
      <c r="Q7207" s="1"/>
      <c r="AD7207" s="1"/>
      <c r="AG7207" s="1"/>
      <c r="AI7207" s="1"/>
    </row>
    <row r="7208" spans="4:35" hidden="1">
      <c r="D7208" s="1"/>
      <c r="K7208" s="1"/>
      <c r="Q7208" s="1"/>
      <c r="AD7208" s="1"/>
      <c r="AG7208" s="1"/>
      <c r="AI7208" s="1"/>
    </row>
    <row r="7209" spans="4:35" hidden="1">
      <c r="D7209" s="1"/>
      <c r="K7209" s="1"/>
      <c r="Q7209" s="1"/>
      <c r="AD7209" s="1"/>
      <c r="AG7209" s="1"/>
      <c r="AI7209" s="1"/>
    </row>
    <row r="7210" spans="4:35" hidden="1">
      <c r="D7210" s="1"/>
      <c r="K7210" s="1"/>
      <c r="Q7210" s="1"/>
      <c r="AD7210" s="1"/>
      <c r="AG7210" s="1"/>
      <c r="AI7210" s="1"/>
    </row>
    <row r="7211" spans="4:35" hidden="1">
      <c r="D7211" s="1"/>
      <c r="K7211" s="1"/>
      <c r="Q7211" s="1"/>
      <c r="AD7211" s="1"/>
      <c r="AG7211" s="1"/>
      <c r="AI7211" s="1"/>
    </row>
    <row r="7212" spans="4:35" hidden="1">
      <c r="D7212" s="1"/>
      <c r="K7212" s="1"/>
      <c r="Q7212" s="1"/>
      <c r="AD7212" s="1"/>
      <c r="AG7212" s="1"/>
      <c r="AI7212" s="1"/>
    </row>
    <row r="7213" spans="4:35" hidden="1">
      <c r="D7213" s="1"/>
      <c r="K7213" s="1"/>
      <c r="Q7213" s="1"/>
      <c r="AD7213" s="1"/>
      <c r="AG7213" s="1"/>
      <c r="AI7213" s="1"/>
    </row>
    <row r="7214" spans="4:35" hidden="1">
      <c r="D7214" s="1"/>
      <c r="K7214" s="1"/>
      <c r="Q7214" s="1"/>
      <c r="AD7214" s="1"/>
      <c r="AG7214" s="1"/>
      <c r="AI7214" s="1"/>
    </row>
    <row r="7215" spans="4:35" hidden="1">
      <c r="D7215" s="1"/>
      <c r="K7215" s="1"/>
      <c r="Q7215" s="1"/>
      <c r="AD7215" s="1"/>
      <c r="AG7215" s="1"/>
      <c r="AI7215" s="1"/>
    </row>
    <row r="7216" spans="4:35" hidden="1">
      <c r="D7216" s="1"/>
      <c r="K7216" s="1"/>
      <c r="Q7216" s="1"/>
      <c r="AD7216" s="1"/>
      <c r="AG7216" s="1"/>
      <c r="AI7216" s="1"/>
    </row>
    <row r="7217" spans="4:35" hidden="1">
      <c r="D7217" s="1"/>
      <c r="K7217" s="1"/>
      <c r="Q7217" s="1"/>
      <c r="AD7217" s="1"/>
      <c r="AG7217" s="1"/>
      <c r="AI7217" s="1"/>
    </row>
    <row r="7218" spans="4:35" hidden="1">
      <c r="D7218" s="1"/>
      <c r="K7218" s="1"/>
      <c r="Q7218" s="1"/>
      <c r="AD7218" s="1"/>
      <c r="AG7218" s="1"/>
      <c r="AI7218" s="1"/>
    </row>
    <row r="7219" spans="4:35" hidden="1">
      <c r="D7219" s="1"/>
      <c r="K7219" s="1"/>
      <c r="Q7219" s="1"/>
      <c r="AD7219" s="1"/>
      <c r="AG7219" s="1"/>
      <c r="AI7219" s="1"/>
    </row>
    <row r="7220" spans="4:35" hidden="1">
      <c r="D7220" s="1"/>
      <c r="K7220" s="1"/>
      <c r="Q7220" s="1"/>
      <c r="AD7220" s="1"/>
      <c r="AG7220" s="1"/>
      <c r="AI7220" s="1"/>
    </row>
    <row r="7221" spans="4:35" hidden="1">
      <c r="D7221" s="1"/>
      <c r="K7221" s="1"/>
      <c r="Q7221" s="1"/>
      <c r="AD7221" s="1"/>
      <c r="AG7221" s="1"/>
      <c r="AI7221" s="1"/>
    </row>
    <row r="7222" spans="4:35" hidden="1">
      <c r="D7222" s="1"/>
      <c r="K7222" s="1"/>
      <c r="Q7222" s="1"/>
      <c r="AD7222" s="1"/>
      <c r="AG7222" s="1"/>
      <c r="AI7222" s="1"/>
    </row>
    <row r="7223" spans="4:35" hidden="1">
      <c r="D7223" s="1"/>
      <c r="K7223" s="1"/>
      <c r="Q7223" s="1"/>
      <c r="AD7223" s="1"/>
      <c r="AG7223" s="1"/>
      <c r="AI7223" s="1"/>
    </row>
    <row r="7224" spans="4:35" hidden="1">
      <c r="D7224" s="1"/>
      <c r="K7224" s="1"/>
      <c r="Q7224" s="1"/>
      <c r="AD7224" s="1"/>
      <c r="AG7224" s="1"/>
      <c r="AI7224" s="1"/>
    </row>
    <row r="7225" spans="4:35" hidden="1">
      <c r="D7225" s="1"/>
      <c r="K7225" s="1"/>
      <c r="Q7225" s="1"/>
      <c r="AD7225" s="1"/>
      <c r="AG7225" s="1"/>
      <c r="AI7225" s="1"/>
    </row>
    <row r="7226" spans="4:35" hidden="1">
      <c r="D7226" s="1"/>
      <c r="K7226" s="1"/>
      <c r="Q7226" s="1"/>
      <c r="AD7226" s="1"/>
      <c r="AG7226" s="1"/>
      <c r="AI7226" s="1"/>
    </row>
    <row r="7227" spans="4:35" hidden="1">
      <c r="D7227" s="1"/>
      <c r="K7227" s="1"/>
      <c r="Q7227" s="1"/>
      <c r="AD7227" s="1"/>
      <c r="AG7227" s="1"/>
      <c r="AI7227" s="1"/>
    </row>
    <row r="7228" spans="4:35" hidden="1">
      <c r="D7228" s="1"/>
      <c r="K7228" s="1"/>
      <c r="Q7228" s="1"/>
      <c r="AD7228" s="1"/>
      <c r="AG7228" s="1"/>
      <c r="AI7228" s="1"/>
    </row>
    <row r="7229" spans="4:35" hidden="1">
      <c r="D7229" s="1"/>
      <c r="K7229" s="1"/>
      <c r="Q7229" s="1"/>
      <c r="AD7229" s="1"/>
      <c r="AG7229" s="1"/>
      <c r="AI7229" s="1"/>
    </row>
    <row r="7230" spans="4:35" hidden="1">
      <c r="D7230" s="1"/>
      <c r="K7230" s="1"/>
      <c r="Q7230" s="1"/>
      <c r="AD7230" s="1"/>
      <c r="AG7230" s="1"/>
      <c r="AI7230" s="1"/>
    </row>
    <row r="7231" spans="4:35" hidden="1">
      <c r="D7231" s="1"/>
      <c r="K7231" s="1"/>
      <c r="Q7231" s="1"/>
      <c r="AD7231" s="1"/>
      <c r="AG7231" s="1"/>
      <c r="AI7231" s="1"/>
    </row>
    <row r="7232" spans="4:35" hidden="1">
      <c r="D7232" s="1"/>
      <c r="K7232" s="1"/>
      <c r="Q7232" s="1"/>
      <c r="AD7232" s="1"/>
      <c r="AG7232" s="1"/>
      <c r="AI7232" s="1"/>
    </row>
    <row r="7233" spans="4:35" hidden="1">
      <c r="D7233" s="1"/>
      <c r="K7233" s="1"/>
      <c r="Q7233" s="1"/>
      <c r="AD7233" s="1"/>
      <c r="AG7233" s="1"/>
      <c r="AI7233" s="1"/>
    </row>
    <row r="7234" spans="4:35" hidden="1">
      <c r="D7234" s="1"/>
      <c r="K7234" s="1"/>
      <c r="Q7234" s="1"/>
      <c r="AD7234" s="1"/>
      <c r="AG7234" s="1"/>
      <c r="AI7234" s="1"/>
    </row>
    <row r="7235" spans="4:35" hidden="1">
      <c r="D7235" s="1"/>
      <c r="K7235" s="1"/>
      <c r="Q7235" s="1"/>
      <c r="AD7235" s="1"/>
      <c r="AG7235" s="1"/>
      <c r="AI7235" s="1"/>
    </row>
    <row r="7236" spans="4:35" hidden="1">
      <c r="D7236" s="1"/>
      <c r="K7236" s="1"/>
      <c r="Q7236" s="1"/>
      <c r="AD7236" s="1"/>
      <c r="AG7236" s="1"/>
      <c r="AI7236" s="1"/>
    </row>
    <row r="7237" spans="4:35" hidden="1">
      <c r="D7237" s="1"/>
      <c r="K7237" s="1"/>
      <c r="Q7237" s="1"/>
      <c r="AD7237" s="1"/>
      <c r="AG7237" s="1"/>
      <c r="AI7237" s="1"/>
    </row>
    <row r="7238" spans="4:35" hidden="1">
      <c r="D7238" s="1"/>
      <c r="K7238" s="1"/>
      <c r="Q7238" s="1"/>
      <c r="AD7238" s="1"/>
      <c r="AG7238" s="1"/>
      <c r="AI7238" s="1"/>
    </row>
    <row r="7239" spans="4:35" hidden="1">
      <c r="D7239" s="1"/>
      <c r="K7239" s="1"/>
      <c r="Q7239" s="1"/>
      <c r="AD7239" s="1"/>
      <c r="AG7239" s="1"/>
      <c r="AI7239" s="1"/>
    </row>
    <row r="7240" spans="4:35" hidden="1">
      <c r="D7240" s="1"/>
      <c r="K7240" s="1"/>
      <c r="Q7240" s="1"/>
      <c r="AD7240" s="1"/>
      <c r="AG7240" s="1"/>
      <c r="AI7240" s="1"/>
    </row>
    <row r="7241" spans="4:35" hidden="1">
      <c r="D7241" s="1"/>
      <c r="K7241" s="1"/>
      <c r="Q7241" s="1"/>
      <c r="AD7241" s="1"/>
      <c r="AG7241" s="1"/>
      <c r="AI7241" s="1"/>
    </row>
    <row r="7242" spans="4:35" hidden="1">
      <c r="D7242" s="1"/>
      <c r="K7242" s="1"/>
      <c r="Q7242" s="1"/>
      <c r="AD7242" s="1"/>
      <c r="AG7242" s="1"/>
      <c r="AI7242" s="1"/>
    </row>
    <row r="7243" spans="4:35" hidden="1">
      <c r="D7243" s="1"/>
      <c r="K7243" s="1"/>
      <c r="Q7243" s="1"/>
      <c r="AD7243" s="1"/>
      <c r="AG7243" s="1"/>
      <c r="AI7243" s="1"/>
    </row>
    <row r="7244" spans="4:35" hidden="1">
      <c r="D7244" s="1"/>
      <c r="K7244" s="1"/>
      <c r="Q7244" s="1"/>
      <c r="AD7244" s="1"/>
      <c r="AG7244" s="1"/>
      <c r="AI7244" s="1"/>
    </row>
    <row r="7245" spans="4:35" hidden="1">
      <c r="D7245" s="1"/>
      <c r="K7245" s="1"/>
      <c r="Q7245" s="1"/>
      <c r="AD7245" s="1"/>
      <c r="AG7245" s="1"/>
      <c r="AI7245" s="1"/>
    </row>
    <row r="7246" spans="4:35" hidden="1">
      <c r="D7246" s="1"/>
      <c r="K7246" s="1"/>
      <c r="Q7246" s="1"/>
      <c r="AD7246" s="1"/>
      <c r="AG7246" s="1"/>
      <c r="AI7246" s="1"/>
    </row>
    <row r="7247" spans="4:35" hidden="1">
      <c r="D7247" s="1"/>
      <c r="K7247" s="1"/>
      <c r="Q7247" s="1"/>
      <c r="AD7247" s="1"/>
      <c r="AG7247" s="1"/>
      <c r="AI7247" s="1"/>
    </row>
    <row r="7248" spans="4:35" hidden="1">
      <c r="D7248" s="1"/>
      <c r="K7248" s="1"/>
      <c r="Q7248" s="1"/>
      <c r="AD7248" s="1"/>
      <c r="AG7248" s="1"/>
      <c r="AI7248" s="1"/>
    </row>
    <row r="7249" spans="4:35" hidden="1">
      <c r="D7249" s="1"/>
      <c r="K7249" s="1"/>
      <c r="Q7249" s="1"/>
      <c r="AD7249" s="1"/>
      <c r="AG7249" s="1"/>
      <c r="AI7249" s="1"/>
    </row>
    <row r="7250" spans="4:35" hidden="1">
      <c r="D7250" s="1"/>
      <c r="K7250" s="1"/>
      <c r="Q7250" s="1"/>
      <c r="AD7250" s="1"/>
      <c r="AG7250" s="1"/>
      <c r="AI7250" s="1"/>
    </row>
    <row r="7251" spans="4:35" hidden="1">
      <c r="D7251" s="1"/>
      <c r="K7251" s="1"/>
      <c r="Q7251" s="1"/>
      <c r="AD7251" s="1"/>
      <c r="AG7251" s="1"/>
      <c r="AI7251" s="1"/>
    </row>
    <row r="7252" spans="4:35" hidden="1">
      <c r="D7252" s="1"/>
      <c r="K7252" s="1"/>
      <c r="Q7252" s="1"/>
      <c r="AD7252" s="1"/>
      <c r="AG7252" s="1"/>
      <c r="AI7252" s="1"/>
    </row>
    <row r="7253" spans="4:35" hidden="1">
      <c r="D7253" s="1"/>
      <c r="K7253" s="1"/>
      <c r="Q7253" s="1"/>
      <c r="AD7253" s="1"/>
      <c r="AG7253" s="1"/>
      <c r="AI7253" s="1"/>
    </row>
    <row r="7254" spans="4:35" hidden="1">
      <c r="D7254" s="1"/>
      <c r="K7254" s="1"/>
      <c r="Q7254" s="1"/>
      <c r="AD7254" s="1"/>
      <c r="AG7254" s="1"/>
      <c r="AI7254" s="1"/>
    </row>
    <row r="7255" spans="4:35" hidden="1">
      <c r="D7255" s="1"/>
      <c r="K7255" s="1"/>
      <c r="Q7255" s="1"/>
      <c r="AD7255" s="1"/>
      <c r="AG7255" s="1"/>
      <c r="AI7255" s="1"/>
    </row>
    <row r="7256" spans="4:35" hidden="1">
      <c r="D7256" s="1"/>
      <c r="K7256" s="1"/>
      <c r="Q7256" s="1"/>
      <c r="AD7256" s="1"/>
      <c r="AG7256" s="1"/>
      <c r="AI7256" s="1"/>
    </row>
    <row r="7257" spans="4:35" hidden="1">
      <c r="D7257" s="1"/>
      <c r="K7257" s="1"/>
      <c r="Q7257" s="1"/>
      <c r="AD7257" s="1"/>
      <c r="AG7257" s="1"/>
      <c r="AI7257" s="1"/>
    </row>
    <row r="7258" spans="4:35" hidden="1">
      <c r="D7258" s="1"/>
      <c r="K7258" s="1"/>
      <c r="Q7258" s="1"/>
      <c r="AD7258" s="1"/>
      <c r="AG7258" s="1"/>
      <c r="AI7258" s="1"/>
    </row>
    <row r="7259" spans="4:35" hidden="1">
      <c r="D7259" s="1"/>
      <c r="K7259" s="1"/>
      <c r="Q7259" s="1"/>
      <c r="AD7259" s="1"/>
      <c r="AG7259" s="1"/>
      <c r="AI7259" s="1"/>
    </row>
    <row r="7260" spans="4:35" hidden="1">
      <c r="D7260" s="1"/>
      <c r="K7260" s="1"/>
      <c r="Q7260" s="1"/>
      <c r="AD7260" s="1"/>
      <c r="AG7260" s="1"/>
      <c r="AI7260" s="1"/>
    </row>
    <row r="7261" spans="4:35" hidden="1">
      <c r="D7261" s="1"/>
      <c r="K7261" s="1"/>
      <c r="Q7261" s="1"/>
      <c r="AD7261" s="1"/>
      <c r="AG7261" s="1"/>
      <c r="AI7261" s="1"/>
    </row>
    <row r="7262" spans="4:35" hidden="1">
      <c r="D7262" s="1"/>
      <c r="K7262" s="1"/>
      <c r="Q7262" s="1"/>
      <c r="AD7262" s="1"/>
      <c r="AG7262" s="1"/>
      <c r="AI7262" s="1"/>
    </row>
    <row r="7263" spans="4:35" hidden="1">
      <c r="D7263" s="1"/>
      <c r="K7263" s="1"/>
      <c r="Q7263" s="1"/>
      <c r="AD7263" s="1"/>
      <c r="AG7263" s="1"/>
      <c r="AI7263" s="1"/>
    </row>
    <row r="7264" spans="4:35" hidden="1">
      <c r="D7264" s="1"/>
      <c r="K7264" s="1"/>
      <c r="Q7264" s="1"/>
      <c r="AD7264" s="1"/>
      <c r="AG7264" s="1"/>
      <c r="AI7264" s="1"/>
    </row>
    <row r="7265" spans="4:35" hidden="1">
      <c r="D7265" s="1"/>
      <c r="K7265" s="1"/>
      <c r="Q7265" s="1"/>
      <c r="AD7265" s="1"/>
      <c r="AG7265" s="1"/>
      <c r="AI7265" s="1"/>
    </row>
    <row r="7266" spans="4:35" hidden="1">
      <c r="D7266" s="1"/>
      <c r="K7266" s="1"/>
      <c r="Q7266" s="1"/>
      <c r="AD7266" s="1"/>
      <c r="AG7266" s="1"/>
      <c r="AI7266" s="1"/>
    </row>
    <row r="7267" spans="4:35" hidden="1">
      <c r="D7267" s="1"/>
      <c r="K7267" s="1"/>
      <c r="Q7267" s="1"/>
      <c r="AD7267" s="1"/>
      <c r="AG7267" s="1"/>
      <c r="AI7267" s="1"/>
    </row>
    <row r="7268" spans="4:35" hidden="1">
      <c r="D7268" s="1"/>
      <c r="K7268" s="1"/>
      <c r="Q7268" s="1"/>
      <c r="AD7268" s="1"/>
      <c r="AG7268" s="1"/>
      <c r="AI7268" s="1"/>
    </row>
    <row r="7269" spans="4:35" hidden="1">
      <c r="D7269" s="1"/>
      <c r="K7269" s="1"/>
      <c r="Q7269" s="1"/>
      <c r="AD7269" s="1"/>
      <c r="AG7269" s="1"/>
      <c r="AI7269" s="1"/>
    </row>
    <row r="7270" spans="4:35" hidden="1">
      <c r="D7270" s="1"/>
      <c r="K7270" s="1"/>
      <c r="Q7270" s="1"/>
      <c r="AD7270" s="1"/>
      <c r="AG7270" s="1"/>
      <c r="AI7270" s="1"/>
    </row>
    <row r="7271" spans="4:35" hidden="1">
      <c r="D7271" s="1"/>
      <c r="K7271" s="1"/>
      <c r="Q7271" s="1"/>
      <c r="AD7271" s="1"/>
      <c r="AG7271" s="1"/>
      <c r="AI7271" s="1"/>
    </row>
    <row r="7272" spans="4:35" hidden="1">
      <c r="D7272" s="1"/>
      <c r="K7272" s="1"/>
      <c r="Q7272" s="1"/>
      <c r="AD7272" s="1"/>
      <c r="AG7272" s="1"/>
      <c r="AI7272" s="1"/>
    </row>
    <row r="7273" spans="4:35" hidden="1">
      <c r="D7273" s="1"/>
      <c r="K7273" s="1"/>
      <c r="Q7273" s="1"/>
      <c r="AD7273" s="1"/>
      <c r="AG7273" s="1"/>
      <c r="AI7273" s="1"/>
    </row>
    <row r="7274" spans="4:35" hidden="1">
      <c r="D7274" s="1"/>
      <c r="K7274" s="1"/>
      <c r="Q7274" s="1"/>
      <c r="AD7274" s="1"/>
      <c r="AG7274" s="1"/>
      <c r="AI7274" s="1"/>
    </row>
    <row r="7275" spans="4:35" hidden="1">
      <c r="D7275" s="1"/>
      <c r="K7275" s="1"/>
      <c r="Q7275" s="1"/>
      <c r="AD7275" s="1"/>
      <c r="AG7275" s="1"/>
      <c r="AI7275" s="1"/>
    </row>
    <row r="7276" spans="4:35" hidden="1">
      <c r="D7276" s="1"/>
      <c r="K7276" s="1"/>
      <c r="Q7276" s="1"/>
      <c r="AD7276" s="1"/>
      <c r="AG7276" s="1"/>
      <c r="AI7276" s="1"/>
    </row>
    <row r="7277" spans="4:35" hidden="1">
      <c r="D7277" s="1"/>
      <c r="K7277" s="1"/>
      <c r="Q7277" s="1"/>
      <c r="AD7277" s="1"/>
      <c r="AG7277" s="1"/>
      <c r="AI7277" s="1"/>
    </row>
    <row r="7278" spans="4:35" hidden="1">
      <c r="D7278" s="1"/>
      <c r="K7278" s="1"/>
      <c r="Q7278" s="1"/>
      <c r="AD7278" s="1"/>
      <c r="AG7278" s="1"/>
      <c r="AI7278" s="1"/>
    </row>
    <row r="7279" spans="4:35" hidden="1">
      <c r="D7279" s="1"/>
      <c r="K7279" s="1"/>
      <c r="Q7279" s="1"/>
      <c r="AD7279" s="1"/>
      <c r="AG7279" s="1"/>
      <c r="AI7279" s="1"/>
    </row>
    <row r="7280" spans="4:35" hidden="1">
      <c r="D7280" s="1"/>
      <c r="K7280" s="1"/>
      <c r="Q7280" s="1"/>
      <c r="AD7280" s="1"/>
      <c r="AG7280" s="1"/>
      <c r="AI7280" s="1"/>
    </row>
    <row r="7281" spans="4:35" hidden="1">
      <c r="D7281" s="1"/>
      <c r="K7281" s="1"/>
      <c r="Q7281" s="1"/>
      <c r="AD7281" s="1"/>
      <c r="AG7281" s="1"/>
      <c r="AI7281" s="1"/>
    </row>
    <row r="7282" spans="4:35" hidden="1">
      <c r="D7282" s="1"/>
      <c r="K7282" s="1"/>
      <c r="Q7282" s="1"/>
      <c r="AD7282" s="1"/>
      <c r="AG7282" s="1"/>
      <c r="AI7282" s="1"/>
    </row>
    <row r="7283" spans="4:35" hidden="1">
      <c r="D7283" s="1"/>
      <c r="K7283" s="1"/>
      <c r="Q7283" s="1"/>
      <c r="AD7283" s="1"/>
      <c r="AG7283" s="1"/>
      <c r="AI7283" s="1"/>
    </row>
    <row r="7284" spans="4:35" hidden="1">
      <c r="D7284" s="1"/>
      <c r="K7284" s="1"/>
      <c r="Q7284" s="1"/>
      <c r="AD7284" s="1"/>
      <c r="AG7284" s="1"/>
      <c r="AI7284" s="1"/>
    </row>
    <row r="7285" spans="4:35" hidden="1">
      <c r="D7285" s="1"/>
      <c r="K7285" s="1"/>
      <c r="Q7285" s="1"/>
      <c r="AD7285" s="1"/>
      <c r="AG7285" s="1"/>
      <c r="AI7285" s="1"/>
    </row>
    <row r="7286" spans="4:35" hidden="1">
      <c r="D7286" s="1"/>
      <c r="K7286" s="1"/>
      <c r="Q7286" s="1"/>
      <c r="AD7286" s="1"/>
      <c r="AG7286" s="1"/>
      <c r="AI7286" s="1"/>
    </row>
    <row r="7287" spans="4:35" hidden="1">
      <c r="D7287" s="1"/>
      <c r="K7287" s="1"/>
      <c r="Q7287" s="1"/>
      <c r="AD7287" s="1"/>
      <c r="AG7287" s="1"/>
      <c r="AI7287" s="1"/>
    </row>
    <row r="7288" spans="4:35" hidden="1">
      <c r="D7288" s="1"/>
      <c r="K7288" s="1"/>
      <c r="Q7288" s="1"/>
      <c r="AD7288" s="1"/>
      <c r="AG7288" s="1"/>
      <c r="AI7288" s="1"/>
    </row>
    <row r="7289" spans="4:35" hidden="1">
      <c r="D7289" s="1"/>
      <c r="K7289" s="1"/>
      <c r="Q7289" s="1"/>
      <c r="AD7289" s="1"/>
      <c r="AG7289" s="1"/>
      <c r="AI7289" s="1"/>
    </row>
    <row r="7290" spans="4:35" hidden="1">
      <c r="D7290" s="1"/>
      <c r="K7290" s="1"/>
      <c r="Q7290" s="1"/>
      <c r="AD7290" s="1"/>
      <c r="AG7290" s="1"/>
      <c r="AI7290" s="1"/>
    </row>
    <row r="7291" spans="4:35" hidden="1">
      <c r="D7291" s="1"/>
      <c r="K7291" s="1"/>
      <c r="Q7291" s="1"/>
      <c r="AD7291" s="1"/>
      <c r="AG7291" s="1"/>
      <c r="AI7291" s="1"/>
    </row>
    <row r="7292" spans="4:35" hidden="1">
      <c r="D7292" s="1"/>
      <c r="K7292" s="1"/>
      <c r="Q7292" s="1"/>
      <c r="AD7292" s="1"/>
      <c r="AG7292" s="1"/>
      <c r="AI7292" s="1"/>
    </row>
    <row r="7293" spans="4:35" hidden="1">
      <c r="D7293" s="1"/>
      <c r="K7293" s="1"/>
      <c r="Q7293" s="1"/>
      <c r="AD7293" s="1"/>
      <c r="AG7293" s="1"/>
      <c r="AI7293" s="1"/>
    </row>
    <row r="7294" spans="4:35" hidden="1">
      <c r="D7294" s="1"/>
      <c r="K7294" s="1"/>
      <c r="Q7294" s="1"/>
      <c r="AD7294" s="1"/>
      <c r="AG7294" s="1"/>
      <c r="AI7294" s="1"/>
    </row>
    <row r="7295" spans="4:35" hidden="1">
      <c r="D7295" s="1"/>
      <c r="K7295" s="1"/>
      <c r="Q7295" s="1"/>
      <c r="AD7295" s="1"/>
      <c r="AG7295" s="1"/>
      <c r="AI7295" s="1"/>
    </row>
    <row r="7296" spans="4:35" hidden="1">
      <c r="D7296" s="1"/>
      <c r="K7296" s="1"/>
      <c r="Q7296" s="1"/>
      <c r="AD7296" s="1"/>
      <c r="AG7296" s="1"/>
      <c r="AI7296" s="1"/>
    </row>
    <row r="7297" spans="4:35" hidden="1">
      <c r="D7297" s="1"/>
      <c r="K7297" s="1"/>
      <c r="Q7297" s="1"/>
      <c r="AD7297" s="1"/>
      <c r="AG7297" s="1"/>
      <c r="AI7297" s="1"/>
    </row>
    <row r="7298" spans="4:35" hidden="1">
      <c r="D7298" s="1"/>
      <c r="K7298" s="1"/>
      <c r="Q7298" s="1"/>
      <c r="AD7298" s="1"/>
      <c r="AG7298" s="1"/>
      <c r="AI7298" s="1"/>
    </row>
    <row r="7299" spans="4:35" hidden="1">
      <c r="D7299" s="1"/>
      <c r="K7299" s="1"/>
      <c r="Q7299" s="1"/>
      <c r="AD7299" s="1"/>
      <c r="AG7299" s="1"/>
      <c r="AI7299" s="1"/>
    </row>
    <row r="7300" spans="4:35" hidden="1">
      <c r="D7300" s="1"/>
      <c r="K7300" s="1"/>
      <c r="Q7300" s="1"/>
      <c r="AD7300" s="1"/>
      <c r="AG7300" s="1"/>
      <c r="AI7300" s="1"/>
    </row>
    <row r="7301" spans="4:35" hidden="1">
      <c r="D7301" s="1"/>
      <c r="K7301" s="1"/>
      <c r="Q7301" s="1"/>
      <c r="AD7301" s="1"/>
      <c r="AG7301" s="1"/>
      <c r="AI7301" s="1"/>
    </row>
    <row r="7302" spans="4:35" hidden="1">
      <c r="D7302" s="1"/>
      <c r="K7302" s="1"/>
      <c r="Q7302" s="1"/>
      <c r="AD7302" s="1"/>
      <c r="AG7302" s="1"/>
      <c r="AI7302" s="1"/>
    </row>
    <row r="7303" spans="4:35" hidden="1">
      <c r="D7303" s="1"/>
      <c r="K7303" s="1"/>
      <c r="Q7303" s="1"/>
      <c r="AD7303" s="1"/>
      <c r="AG7303" s="1"/>
      <c r="AI7303" s="1"/>
    </row>
    <row r="7304" spans="4:35" hidden="1">
      <c r="D7304" s="1"/>
      <c r="K7304" s="1"/>
      <c r="Q7304" s="1"/>
      <c r="AD7304" s="1"/>
      <c r="AG7304" s="1"/>
      <c r="AI7304" s="1"/>
    </row>
    <row r="7305" spans="4:35" hidden="1">
      <c r="D7305" s="1"/>
      <c r="K7305" s="1"/>
      <c r="Q7305" s="1"/>
      <c r="AD7305" s="1"/>
      <c r="AG7305" s="1"/>
      <c r="AI7305" s="1"/>
    </row>
    <row r="7306" spans="4:35" hidden="1">
      <c r="D7306" s="1"/>
      <c r="K7306" s="1"/>
      <c r="Q7306" s="1"/>
      <c r="AD7306" s="1"/>
      <c r="AG7306" s="1"/>
      <c r="AI7306" s="1"/>
    </row>
    <row r="7307" spans="4:35" hidden="1">
      <c r="D7307" s="1"/>
      <c r="K7307" s="1"/>
      <c r="Q7307" s="1"/>
      <c r="AD7307" s="1"/>
      <c r="AG7307" s="1"/>
      <c r="AI7307" s="1"/>
    </row>
    <row r="7308" spans="4:35" hidden="1">
      <c r="D7308" s="1"/>
      <c r="K7308" s="1"/>
      <c r="Q7308" s="1"/>
      <c r="AD7308" s="1"/>
      <c r="AG7308" s="1"/>
      <c r="AI7308" s="1"/>
    </row>
    <row r="7309" spans="4:35" hidden="1">
      <c r="D7309" s="1"/>
      <c r="K7309" s="1"/>
      <c r="Q7309" s="1"/>
      <c r="AD7309" s="1"/>
      <c r="AG7309" s="1"/>
      <c r="AI7309" s="1"/>
    </row>
    <row r="7310" spans="4:35" hidden="1">
      <c r="D7310" s="1"/>
      <c r="K7310" s="1"/>
      <c r="Q7310" s="1"/>
      <c r="AD7310" s="1"/>
      <c r="AG7310" s="1"/>
      <c r="AI7310" s="1"/>
    </row>
    <row r="7311" spans="4:35" hidden="1">
      <c r="D7311" s="1"/>
      <c r="K7311" s="1"/>
      <c r="Q7311" s="1"/>
      <c r="AD7311" s="1"/>
      <c r="AG7311" s="1"/>
      <c r="AI7311" s="1"/>
    </row>
    <row r="7312" spans="4:35" hidden="1">
      <c r="D7312" s="1"/>
      <c r="K7312" s="1"/>
      <c r="Q7312" s="1"/>
      <c r="AD7312" s="1"/>
      <c r="AG7312" s="1"/>
      <c r="AI7312" s="1"/>
    </row>
    <row r="7313" spans="4:35" hidden="1">
      <c r="D7313" s="1"/>
      <c r="K7313" s="1"/>
      <c r="Q7313" s="1"/>
      <c r="AD7313" s="1"/>
      <c r="AG7313" s="1"/>
      <c r="AI7313" s="1"/>
    </row>
    <row r="7314" spans="4:35" hidden="1">
      <c r="D7314" s="1"/>
      <c r="K7314" s="1"/>
      <c r="Q7314" s="1"/>
      <c r="AD7314" s="1"/>
      <c r="AG7314" s="1"/>
      <c r="AI7314" s="1"/>
    </row>
    <row r="7315" spans="4:35" hidden="1">
      <c r="D7315" s="1"/>
      <c r="K7315" s="1"/>
      <c r="Q7315" s="1"/>
      <c r="AD7315" s="1"/>
      <c r="AG7315" s="1"/>
      <c r="AI7315" s="1"/>
    </row>
    <row r="7316" spans="4:35" hidden="1">
      <c r="D7316" s="1"/>
      <c r="K7316" s="1"/>
      <c r="Q7316" s="1"/>
      <c r="AD7316" s="1"/>
      <c r="AG7316" s="1"/>
      <c r="AI7316" s="1"/>
    </row>
    <row r="7317" spans="4:35" hidden="1">
      <c r="D7317" s="1"/>
      <c r="K7317" s="1"/>
      <c r="Q7317" s="1"/>
      <c r="AD7317" s="1"/>
      <c r="AG7317" s="1"/>
      <c r="AI7317" s="1"/>
    </row>
    <row r="7318" spans="4:35" hidden="1">
      <c r="D7318" s="1"/>
      <c r="K7318" s="1"/>
      <c r="Q7318" s="1"/>
      <c r="AD7318" s="1"/>
      <c r="AG7318" s="1"/>
      <c r="AI7318" s="1"/>
    </row>
    <row r="7319" spans="4:35" hidden="1">
      <c r="D7319" s="1"/>
      <c r="K7319" s="1"/>
      <c r="Q7319" s="1"/>
      <c r="AD7319" s="1"/>
      <c r="AG7319" s="1"/>
      <c r="AI7319" s="1"/>
    </row>
    <row r="7320" spans="4:35" hidden="1">
      <c r="D7320" s="1"/>
      <c r="K7320" s="1"/>
      <c r="Q7320" s="1"/>
      <c r="AD7320" s="1"/>
      <c r="AG7320" s="1"/>
      <c r="AI7320" s="1"/>
    </row>
    <row r="7321" spans="4:35" hidden="1">
      <c r="D7321" s="1"/>
      <c r="K7321" s="1"/>
      <c r="Q7321" s="1"/>
      <c r="AD7321" s="1"/>
      <c r="AG7321" s="1"/>
      <c r="AI7321" s="1"/>
    </row>
    <row r="7322" spans="4:35" hidden="1">
      <c r="D7322" s="1"/>
      <c r="K7322" s="1"/>
      <c r="Q7322" s="1"/>
      <c r="AD7322" s="1"/>
      <c r="AG7322" s="1"/>
      <c r="AI7322" s="1"/>
    </row>
    <row r="7323" spans="4:35" hidden="1">
      <c r="D7323" s="1"/>
      <c r="K7323" s="1"/>
      <c r="Q7323" s="1"/>
      <c r="AD7323" s="1"/>
      <c r="AG7323" s="1"/>
      <c r="AI7323" s="1"/>
    </row>
    <row r="7324" spans="4:35" hidden="1">
      <c r="D7324" s="1"/>
      <c r="K7324" s="1"/>
      <c r="Q7324" s="1"/>
      <c r="AD7324" s="1"/>
      <c r="AG7324" s="1"/>
      <c r="AI7324" s="1"/>
    </row>
    <row r="7325" spans="4:35" hidden="1">
      <c r="D7325" s="1"/>
      <c r="K7325" s="1"/>
      <c r="Q7325" s="1"/>
      <c r="AD7325" s="1"/>
      <c r="AG7325" s="1"/>
      <c r="AI7325" s="1"/>
    </row>
    <row r="7326" spans="4:35" hidden="1">
      <c r="D7326" s="1"/>
      <c r="K7326" s="1"/>
      <c r="Q7326" s="1"/>
      <c r="AD7326" s="1"/>
      <c r="AG7326" s="1"/>
      <c r="AI7326" s="1"/>
    </row>
    <row r="7327" spans="4:35" hidden="1">
      <c r="D7327" s="1"/>
      <c r="K7327" s="1"/>
      <c r="Q7327" s="1"/>
      <c r="AD7327" s="1"/>
      <c r="AG7327" s="1"/>
      <c r="AI7327" s="1"/>
    </row>
    <row r="7328" spans="4:35" hidden="1">
      <c r="D7328" s="1"/>
      <c r="K7328" s="1"/>
      <c r="Q7328" s="1"/>
      <c r="AD7328" s="1"/>
      <c r="AG7328" s="1"/>
      <c r="AI7328" s="1"/>
    </row>
    <row r="7329" spans="4:35" hidden="1">
      <c r="D7329" s="1"/>
      <c r="K7329" s="1"/>
      <c r="Q7329" s="1"/>
      <c r="AD7329" s="1"/>
      <c r="AG7329" s="1"/>
      <c r="AI7329" s="1"/>
    </row>
    <row r="7330" spans="4:35" hidden="1">
      <c r="D7330" s="1"/>
      <c r="K7330" s="1"/>
      <c r="Q7330" s="1"/>
      <c r="AD7330" s="1"/>
      <c r="AG7330" s="1"/>
      <c r="AI7330" s="1"/>
    </row>
    <row r="7331" spans="4:35" hidden="1">
      <c r="D7331" s="1"/>
      <c r="K7331" s="1"/>
      <c r="Q7331" s="1"/>
      <c r="AD7331" s="1"/>
      <c r="AG7331" s="1"/>
      <c r="AI7331" s="1"/>
    </row>
    <row r="7332" spans="4:35" hidden="1">
      <c r="D7332" s="1"/>
      <c r="K7332" s="1"/>
      <c r="Q7332" s="1"/>
      <c r="AD7332" s="1"/>
      <c r="AG7332" s="1"/>
      <c r="AI7332" s="1"/>
    </row>
    <row r="7333" spans="4:35" hidden="1">
      <c r="D7333" s="1"/>
      <c r="K7333" s="1"/>
      <c r="Q7333" s="1"/>
      <c r="AD7333" s="1"/>
      <c r="AG7333" s="1"/>
      <c r="AI7333" s="1"/>
    </row>
    <row r="7334" spans="4:35" hidden="1">
      <c r="D7334" s="1"/>
      <c r="K7334" s="1"/>
      <c r="Q7334" s="1"/>
      <c r="AD7334" s="1"/>
      <c r="AG7334" s="1"/>
      <c r="AI7334" s="1"/>
    </row>
    <row r="7335" spans="4:35" hidden="1">
      <c r="D7335" s="1"/>
      <c r="K7335" s="1"/>
      <c r="Q7335" s="1"/>
      <c r="AD7335" s="1"/>
      <c r="AG7335" s="1"/>
      <c r="AI7335" s="1"/>
    </row>
    <row r="7336" spans="4:35" hidden="1">
      <c r="D7336" s="1"/>
      <c r="K7336" s="1"/>
      <c r="Q7336" s="1"/>
      <c r="AD7336" s="1"/>
      <c r="AG7336" s="1"/>
      <c r="AI7336" s="1"/>
    </row>
    <row r="7337" spans="4:35" hidden="1">
      <c r="D7337" s="1"/>
      <c r="K7337" s="1"/>
      <c r="Q7337" s="1"/>
      <c r="AD7337" s="1"/>
      <c r="AG7337" s="1"/>
      <c r="AI7337" s="1"/>
    </row>
    <row r="7338" spans="4:35" hidden="1">
      <c r="D7338" s="1"/>
      <c r="K7338" s="1"/>
      <c r="Q7338" s="1"/>
      <c r="AD7338" s="1"/>
      <c r="AG7338" s="1"/>
      <c r="AI7338" s="1"/>
    </row>
    <row r="7339" spans="4:35" hidden="1">
      <c r="D7339" s="1"/>
      <c r="K7339" s="1"/>
      <c r="Q7339" s="1"/>
      <c r="AD7339" s="1"/>
      <c r="AG7339" s="1"/>
      <c r="AI7339" s="1"/>
    </row>
    <row r="7340" spans="4:35" hidden="1">
      <c r="D7340" s="1"/>
      <c r="K7340" s="1"/>
      <c r="Q7340" s="1"/>
      <c r="AD7340" s="1"/>
      <c r="AG7340" s="1"/>
      <c r="AI7340" s="1"/>
    </row>
    <row r="7341" spans="4:35" hidden="1">
      <c r="D7341" s="1"/>
      <c r="K7341" s="1"/>
      <c r="Q7341" s="1"/>
      <c r="AD7341" s="1"/>
      <c r="AG7341" s="1"/>
      <c r="AI7341" s="1"/>
    </row>
    <row r="7342" spans="4:35" hidden="1">
      <c r="D7342" s="1"/>
      <c r="K7342" s="1"/>
      <c r="Q7342" s="1"/>
      <c r="AD7342" s="1"/>
      <c r="AG7342" s="1"/>
      <c r="AI7342" s="1"/>
    </row>
    <row r="7343" spans="4:35" hidden="1">
      <c r="D7343" s="1"/>
      <c r="K7343" s="1"/>
      <c r="Q7343" s="1"/>
      <c r="AD7343" s="1"/>
      <c r="AG7343" s="1"/>
      <c r="AI7343" s="1"/>
    </row>
    <row r="7344" spans="4:35" hidden="1">
      <c r="D7344" s="1"/>
      <c r="K7344" s="1"/>
      <c r="Q7344" s="1"/>
      <c r="AD7344" s="1"/>
      <c r="AG7344" s="1"/>
      <c r="AI7344" s="1"/>
    </row>
    <row r="7345" spans="4:35" hidden="1">
      <c r="D7345" s="1"/>
      <c r="K7345" s="1"/>
      <c r="Q7345" s="1"/>
      <c r="AD7345" s="1"/>
      <c r="AG7345" s="1"/>
      <c r="AI7345" s="1"/>
    </row>
    <row r="7346" spans="4:35" hidden="1">
      <c r="D7346" s="1"/>
      <c r="K7346" s="1"/>
      <c r="Q7346" s="1"/>
      <c r="AD7346" s="1"/>
      <c r="AG7346" s="1"/>
      <c r="AI7346" s="1"/>
    </row>
    <row r="7347" spans="4:35" hidden="1">
      <c r="D7347" s="1"/>
      <c r="K7347" s="1"/>
      <c r="Q7347" s="1"/>
      <c r="AD7347" s="1"/>
      <c r="AG7347" s="1"/>
      <c r="AI7347" s="1"/>
    </row>
    <row r="7348" spans="4:35" hidden="1">
      <c r="D7348" s="1"/>
      <c r="K7348" s="1"/>
      <c r="Q7348" s="1"/>
      <c r="AD7348" s="1"/>
      <c r="AG7348" s="1"/>
      <c r="AI7348" s="1"/>
    </row>
    <row r="7349" spans="4:35" hidden="1">
      <c r="D7349" s="1"/>
      <c r="K7349" s="1"/>
      <c r="Q7349" s="1"/>
      <c r="AD7349" s="1"/>
      <c r="AG7349" s="1"/>
      <c r="AI7349" s="1"/>
    </row>
    <row r="7350" spans="4:35" hidden="1">
      <c r="D7350" s="1"/>
      <c r="K7350" s="1"/>
      <c r="Q7350" s="1"/>
      <c r="AD7350" s="1"/>
      <c r="AG7350" s="1"/>
      <c r="AI7350" s="1"/>
    </row>
    <row r="7351" spans="4:35" hidden="1">
      <c r="D7351" s="1"/>
      <c r="K7351" s="1"/>
      <c r="Q7351" s="1"/>
      <c r="AD7351" s="1"/>
      <c r="AG7351" s="1"/>
      <c r="AI7351" s="1"/>
    </row>
    <row r="7352" spans="4:35" hidden="1">
      <c r="D7352" s="1"/>
      <c r="K7352" s="1"/>
      <c r="Q7352" s="1"/>
      <c r="AD7352" s="1"/>
      <c r="AG7352" s="1"/>
      <c r="AI7352" s="1"/>
    </row>
    <row r="7353" spans="4:35" hidden="1">
      <c r="D7353" s="1"/>
      <c r="K7353" s="1"/>
      <c r="Q7353" s="1"/>
      <c r="AD7353" s="1"/>
      <c r="AG7353" s="1"/>
      <c r="AI7353" s="1"/>
    </row>
    <row r="7354" spans="4:35" hidden="1">
      <c r="D7354" s="1"/>
      <c r="K7354" s="1"/>
      <c r="Q7354" s="1"/>
      <c r="AD7354" s="1"/>
      <c r="AG7354" s="1"/>
      <c r="AI7354" s="1"/>
    </row>
    <row r="7355" spans="4:35" hidden="1">
      <c r="D7355" s="1"/>
      <c r="K7355" s="1"/>
      <c r="Q7355" s="1"/>
      <c r="AD7355" s="1"/>
      <c r="AG7355" s="1"/>
      <c r="AI7355" s="1"/>
    </row>
    <row r="7356" spans="4:35" hidden="1">
      <c r="D7356" s="1"/>
      <c r="K7356" s="1"/>
      <c r="Q7356" s="1"/>
      <c r="AD7356" s="1"/>
      <c r="AG7356" s="1"/>
      <c r="AI7356" s="1"/>
    </row>
    <row r="7357" spans="4:35" hidden="1">
      <c r="D7357" s="1"/>
      <c r="K7357" s="1"/>
      <c r="Q7357" s="1"/>
      <c r="AD7357" s="1"/>
      <c r="AG7357" s="1"/>
      <c r="AI7357" s="1"/>
    </row>
    <row r="7358" spans="4:35" hidden="1">
      <c r="D7358" s="1"/>
      <c r="K7358" s="1"/>
      <c r="Q7358" s="1"/>
      <c r="AD7358" s="1"/>
      <c r="AG7358" s="1"/>
      <c r="AI7358" s="1"/>
    </row>
    <row r="7359" spans="4:35" hidden="1">
      <c r="D7359" s="1"/>
      <c r="K7359" s="1"/>
      <c r="Q7359" s="1"/>
      <c r="AD7359" s="1"/>
      <c r="AG7359" s="1"/>
      <c r="AI7359" s="1"/>
    </row>
    <row r="7360" spans="4:35" hidden="1">
      <c r="D7360" s="1"/>
      <c r="K7360" s="1"/>
      <c r="Q7360" s="1"/>
      <c r="AD7360" s="1"/>
      <c r="AG7360" s="1"/>
      <c r="AI7360" s="1"/>
    </row>
    <row r="7361" spans="4:35" hidden="1">
      <c r="D7361" s="1"/>
      <c r="K7361" s="1"/>
      <c r="Q7361" s="1"/>
      <c r="AD7361" s="1"/>
      <c r="AG7361" s="1"/>
      <c r="AI7361" s="1"/>
    </row>
    <row r="7362" spans="4:35" hidden="1">
      <c r="D7362" s="1"/>
      <c r="K7362" s="1"/>
      <c r="Q7362" s="1"/>
      <c r="AD7362" s="1"/>
      <c r="AG7362" s="1"/>
      <c r="AI7362" s="1"/>
    </row>
    <row r="7363" spans="4:35" hidden="1">
      <c r="D7363" s="1"/>
      <c r="K7363" s="1"/>
      <c r="Q7363" s="1"/>
      <c r="AD7363" s="1"/>
      <c r="AG7363" s="1"/>
      <c r="AI7363" s="1"/>
    </row>
    <row r="7364" spans="4:35" hidden="1">
      <c r="D7364" s="1"/>
      <c r="K7364" s="1"/>
      <c r="Q7364" s="1"/>
      <c r="AD7364" s="1"/>
      <c r="AG7364" s="1"/>
      <c r="AI7364" s="1"/>
    </row>
    <row r="7365" spans="4:35" hidden="1">
      <c r="D7365" s="1"/>
      <c r="K7365" s="1"/>
      <c r="Q7365" s="1"/>
      <c r="AD7365" s="1"/>
      <c r="AG7365" s="1"/>
      <c r="AI7365" s="1"/>
    </row>
    <row r="7366" spans="4:35" hidden="1">
      <c r="D7366" s="1"/>
      <c r="K7366" s="1"/>
      <c r="Q7366" s="1"/>
      <c r="AD7366" s="1"/>
      <c r="AG7366" s="1"/>
      <c r="AI7366" s="1"/>
    </row>
    <row r="7367" spans="4:35" hidden="1">
      <c r="D7367" s="1"/>
      <c r="K7367" s="1"/>
      <c r="Q7367" s="1"/>
      <c r="AD7367" s="1"/>
      <c r="AG7367" s="1"/>
      <c r="AI7367" s="1"/>
    </row>
    <row r="7368" spans="4:35" hidden="1">
      <c r="D7368" s="1"/>
      <c r="K7368" s="1"/>
      <c r="Q7368" s="1"/>
      <c r="AD7368" s="1"/>
      <c r="AG7368" s="1"/>
      <c r="AI7368" s="1"/>
    </row>
    <row r="7369" spans="4:35" hidden="1">
      <c r="D7369" s="1"/>
      <c r="K7369" s="1"/>
      <c r="Q7369" s="1"/>
      <c r="AD7369" s="1"/>
      <c r="AG7369" s="1"/>
      <c r="AI7369" s="1"/>
    </row>
    <row r="7370" spans="4:35" hidden="1">
      <c r="D7370" s="1"/>
      <c r="K7370" s="1"/>
      <c r="Q7370" s="1"/>
      <c r="AD7370" s="1"/>
      <c r="AG7370" s="1"/>
      <c r="AI7370" s="1"/>
    </row>
    <row r="7371" spans="4:35" hidden="1">
      <c r="D7371" s="1"/>
      <c r="K7371" s="1"/>
      <c r="Q7371" s="1"/>
      <c r="AD7371" s="1"/>
      <c r="AG7371" s="1"/>
      <c r="AI7371" s="1"/>
    </row>
    <row r="7372" spans="4:35" hidden="1">
      <c r="D7372" s="1"/>
      <c r="K7372" s="1"/>
      <c r="Q7372" s="1"/>
      <c r="AD7372" s="1"/>
      <c r="AG7372" s="1"/>
      <c r="AI7372" s="1"/>
    </row>
    <row r="7373" spans="4:35" hidden="1">
      <c r="D7373" s="1"/>
      <c r="K7373" s="1"/>
      <c r="Q7373" s="1"/>
      <c r="AD7373" s="1"/>
      <c r="AG7373" s="1"/>
      <c r="AI7373" s="1"/>
    </row>
    <row r="7374" spans="4:35" hidden="1">
      <c r="D7374" s="1"/>
      <c r="K7374" s="1"/>
      <c r="Q7374" s="1"/>
      <c r="AD7374" s="1"/>
      <c r="AG7374" s="1"/>
      <c r="AI7374" s="1"/>
    </row>
    <row r="7375" spans="4:35" hidden="1">
      <c r="D7375" s="1"/>
      <c r="K7375" s="1"/>
      <c r="Q7375" s="1"/>
      <c r="AD7375" s="1"/>
      <c r="AG7375" s="1"/>
      <c r="AI7375" s="1"/>
    </row>
    <row r="7376" spans="4:35" hidden="1">
      <c r="D7376" s="1"/>
      <c r="K7376" s="1"/>
      <c r="Q7376" s="1"/>
      <c r="AD7376" s="1"/>
      <c r="AG7376" s="1"/>
      <c r="AI7376" s="1"/>
    </row>
    <row r="7377" spans="4:35" hidden="1">
      <c r="D7377" s="1"/>
      <c r="K7377" s="1"/>
      <c r="Q7377" s="1"/>
      <c r="AD7377" s="1"/>
      <c r="AG7377" s="1"/>
      <c r="AI7377" s="1"/>
    </row>
    <row r="7378" spans="4:35" hidden="1">
      <c r="D7378" s="1"/>
      <c r="K7378" s="1"/>
      <c r="Q7378" s="1"/>
      <c r="AD7378" s="1"/>
      <c r="AG7378" s="1"/>
      <c r="AI7378" s="1"/>
    </row>
    <row r="7379" spans="4:35" hidden="1">
      <c r="D7379" s="1"/>
      <c r="K7379" s="1"/>
      <c r="Q7379" s="1"/>
      <c r="AD7379" s="1"/>
      <c r="AG7379" s="1"/>
      <c r="AI7379" s="1"/>
    </row>
    <row r="7380" spans="4:35" hidden="1">
      <c r="D7380" s="1"/>
      <c r="K7380" s="1"/>
      <c r="Q7380" s="1"/>
      <c r="AD7380" s="1"/>
      <c r="AG7380" s="1"/>
      <c r="AI7380" s="1"/>
    </row>
    <row r="7381" spans="4:35" hidden="1">
      <c r="D7381" s="1"/>
      <c r="K7381" s="1"/>
      <c r="Q7381" s="1"/>
      <c r="AD7381" s="1"/>
      <c r="AG7381" s="1"/>
      <c r="AI7381" s="1"/>
    </row>
    <row r="7382" spans="4:35" hidden="1">
      <c r="D7382" s="1"/>
      <c r="K7382" s="1"/>
      <c r="Q7382" s="1"/>
      <c r="AD7382" s="1"/>
      <c r="AG7382" s="1"/>
      <c r="AI7382" s="1"/>
    </row>
    <row r="7383" spans="4:35" hidden="1">
      <c r="D7383" s="1"/>
      <c r="K7383" s="1"/>
      <c r="Q7383" s="1"/>
      <c r="AD7383" s="1"/>
      <c r="AG7383" s="1"/>
      <c r="AI7383" s="1"/>
    </row>
    <row r="7384" spans="4:35" hidden="1">
      <c r="D7384" s="1"/>
      <c r="K7384" s="1"/>
      <c r="Q7384" s="1"/>
      <c r="AD7384" s="1"/>
      <c r="AG7384" s="1"/>
      <c r="AI7384" s="1"/>
    </row>
    <row r="7385" spans="4:35" hidden="1">
      <c r="D7385" s="1"/>
      <c r="K7385" s="1"/>
      <c r="Q7385" s="1"/>
      <c r="AD7385" s="1"/>
      <c r="AG7385" s="1"/>
      <c r="AI7385" s="1"/>
    </row>
    <row r="7386" spans="4:35" hidden="1">
      <c r="D7386" s="1"/>
      <c r="K7386" s="1"/>
      <c r="Q7386" s="1"/>
      <c r="AD7386" s="1"/>
      <c r="AG7386" s="1"/>
      <c r="AI7386" s="1"/>
    </row>
    <row r="7387" spans="4:35" hidden="1">
      <c r="D7387" s="1"/>
      <c r="K7387" s="1"/>
      <c r="Q7387" s="1"/>
      <c r="AD7387" s="1"/>
      <c r="AG7387" s="1"/>
      <c r="AI7387" s="1"/>
    </row>
    <row r="7388" spans="4:35" hidden="1">
      <c r="D7388" s="1"/>
      <c r="K7388" s="1"/>
      <c r="Q7388" s="1"/>
      <c r="AD7388" s="1"/>
      <c r="AG7388" s="1"/>
      <c r="AI7388" s="1"/>
    </row>
    <row r="7389" spans="4:35" hidden="1">
      <c r="D7389" s="1"/>
      <c r="K7389" s="1"/>
      <c r="Q7389" s="1"/>
      <c r="AD7389" s="1"/>
      <c r="AG7389" s="1"/>
      <c r="AI7389" s="1"/>
    </row>
    <row r="7390" spans="4:35" hidden="1">
      <c r="D7390" s="1"/>
      <c r="K7390" s="1"/>
      <c r="Q7390" s="1"/>
      <c r="AD7390" s="1"/>
      <c r="AG7390" s="1"/>
      <c r="AI7390" s="1"/>
    </row>
    <row r="7391" spans="4:35" hidden="1">
      <c r="D7391" s="1"/>
      <c r="K7391" s="1"/>
      <c r="Q7391" s="1"/>
      <c r="AD7391" s="1"/>
      <c r="AG7391" s="1"/>
      <c r="AI7391" s="1"/>
    </row>
    <row r="7392" spans="4:35" hidden="1">
      <c r="D7392" s="1"/>
      <c r="K7392" s="1"/>
      <c r="Q7392" s="1"/>
      <c r="AD7392" s="1"/>
      <c r="AG7392" s="1"/>
      <c r="AI7392" s="1"/>
    </row>
    <row r="7393" spans="4:35" hidden="1">
      <c r="D7393" s="1"/>
      <c r="K7393" s="1"/>
      <c r="Q7393" s="1"/>
      <c r="AD7393" s="1"/>
      <c r="AG7393" s="1"/>
      <c r="AI7393" s="1"/>
    </row>
    <row r="7394" spans="4:35" hidden="1">
      <c r="D7394" s="1"/>
      <c r="K7394" s="1"/>
      <c r="Q7394" s="1"/>
      <c r="AD7394" s="1"/>
      <c r="AG7394" s="1"/>
      <c r="AI7394" s="1"/>
    </row>
    <row r="7395" spans="4:35" hidden="1">
      <c r="D7395" s="1"/>
      <c r="K7395" s="1"/>
      <c r="Q7395" s="1"/>
      <c r="AD7395" s="1"/>
      <c r="AG7395" s="1"/>
      <c r="AI7395" s="1"/>
    </row>
    <row r="7396" spans="4:35" hidden="1">
      <c r="D7396" s="1"/>
      <c r="K7396" s="1"/>
      <c r="Q7396" s="1"/>
      <c r="AD7396" s="1"/>
      <c r="AG7396" s="1"/>
      <c r="AI7396" s="1"/>
    </row>
    <row r="7397" spans="4:35" hidden="1">
      <c r="D7397" s="1"/>
      <c r="K7397" s="1"/>
      <c r="Q7397" s="1"/>
      <c r="AD7397" s="1"/>
      <c r="AG7397" s="1"/>
      <c r="AI7397" s="1"/>
    </row>
    <row r="7398" spans="4:35" hidden="1">
      <c r="D7398" s="1"/>
      <c r="K7398" s="1"/>
      <c r="Q7398" s="1"/>
      <c r="AD7398" s="1"/>
      <c r="AG7398" s="1"/>
      <c r="AI7398" s="1"/>
    </row>
    <row r="7399" spans="4:35" hidden="1">
      <c r="D7399" s="1"/>
      <c r="K7399" s="1"/>
      <c r="Q7399" s="1"/>
      <c r="AD7399" s="1"/>
      <c r="AG7399" s="1"/>
      <c r="AI7399" s="1"/>
    </row>
    <row r="7400" spans="4:35" hidden="1">
      <c r="D7400" s="1"/>
      <c r="K7400" s="1"/>
      <c r="Q7400" s="1"/>
      <c r="AD7400" s="1"/>
      <c r="AG7400" s="1"/>
      <c r="AI7400" s="1"/>
    </row>
    <row r="7401" spans="4:35" hidden="1">
      <c r="D7401" s="1"/>
      <c r="K7401" s="1"/>
      <c r="Q7401" s="1"/>
      <c r="AD7401" s="1"/>
      <c r="AG7401" s="1"/>
      <c r="AI7401" s="1"/>
    </row>
    <row r="7402" spans="4:35" hidden="1">
      <c r="D7402" s="1"/>
      <c r="K7402" s="1"/>
      <c r="Q7402" s="1"/>
      <c r="AD7402" s="1"/>
      <c r="AG7402" s="1"/>
      <c r="AI7402" s="1"/>
    </row>
    <row r="7403" spans="4:35" hidden="1">
      <c r="D7403" s="1"/>
      <c r="K7403" s="1"/>
      <c r="Q7403" s="1"/>
      <c r="AD7403" s="1"/>
      <c r="AG7403" s="1"/>
      <c r="AI7403" s="1"/>
    </row>
    <row r="7404" spans="4:35" hidden="1">
      <c r="D7404" s="1"/>
      <c r="K7404" s="1"/>
      <c r="Q7404" s="1"/>
      <c r="AD7404" s="1"/>
      <c r="AG7404" s="1"/>
      <c r="AI7404" s="1"/>
    </row>
    <row r="7405" spans="4:35" hidden="1">
      <c r="D7405" s="1"/>
      <c r="K7405" s="1"/>
      <c r="Q7405" s="1"/>
      <c r="AD7405" s="1"/>
      <c r="AG7405" s="1"/>
      <c r="AI7405" s="1"/>
    </row>
    <row r="7406" spans="4:35" hidden="1">
      <c r="D7406" s="1"/>
      <c r="K7406" s="1"/>
      <c r="Q7406" s="1"/>
      <c r="AD7406" s="1"/>
      <c r="AG7406" s="1"/>
      <c r="AI7406" s="1"/>
    </row>
    <row r="7407" spans="4:35" hidden="1">
      <c r="D7407" s="1"/>
      <c r="K7407" s="1"/>
      <c r="Q7407" s="1"/>
      <c r="AD7407" s="1"/>
      <c r="AG7407" s="1"/>
      <c r="AI7407" s="1"/>
    </row>
    <row r="7408" spans="4:35" hidden="1">
      <c r="D7408" s="1"/>
      <c r="K7408" s="1"/>
      <c r="Q7408" s="1"/>
      <c r="AD7408" s="1"/>
      <c r="AG7408" s="1"/>
      <c r="AI7408" s="1"/>
    </row>
    <row r="7409" spans="4:35" hidden="1">
      <c r="D7409" s="1"/>
      <c r="K7409" s="1"/>
      <c r="Q7409" s="1"/>
      <c r="AD7409" s="1"/>
      <c r="AG7409" s="1"/>
      <c r="AI7409" s="1"/>
    </row>
    <row r="7410" spans="4:35" hidden="1">
      <c r="D7410" s="1"/>
      <c r="K7410" s="1"/>
      <c r="Q7410" s="1"/>
      <c r="AD7410" s="1"/>
      <c r="AG7410" s="1"/>
      <c r="AI7410" s="1"/>
    </row>
    <row r="7411" spans="4:35" hidden="1">
      <c r="D7411" s="1"/>
      <c r="K7411" s="1"/>
      <c r="Q7411" s="1"/>
      <c r="AD7411" s="1"/>
      <c r="AG7411" s="1"/>
      <c r="AI7411" s="1"/>
    </row>
    <row r="7412" spans="4:35" hidden="1">
      <c r="D7412" s="1"/>
      <c r="K7412" s="1"/>
      <c r="Q7412" s="1"/>
      <c r="AD7412" s="1"/>
      <c r="AG7412" s="1"/>
      <c r="AI7412" s="1"/>
    </row>
    <row r="7413" spans="4:35" hidden="1">
      <c r="D7413" s="1"/>
      <c r="K7413" s="1"/>
      <c r="Q7413" s="1"/>
      <c r="AD7413" s="1"/>
      <c r="AG7413" s="1"/>
      <c r="AI7413" s="1"/>
    </row>
    <row r="7414" spans="4:35" hidden="1">
      <c r="D7414" s="1"/>
      <c r="K7414" s="1"/>
      <c r="Q7414" s="1"/>
      <c r="AD7414" s="1"/>
      <c r="AG7414" s="1"/>
      <c r="AI7414" s="1"/>
    </row>
    <row r="7415" spans="4:35" hidden="1">
      <c r="D7415" s="1"/>
      <c r="K7415" s="1"/>
      <c r="Q7415" s="1"/>
      <c r="AD7415" s="1"/>
      <c r="AG7415" s="1"/>
      <c r="AI7415" s="1"/>
    </row>
    <row r="7416" spans="4:35" hidden="1">
      <c r="D7416" s="1"/>
      <c r="K7416" s="1"/>
      <c r="Q7416" s="1"/>
      <c r="AD7416" s="1"/>
      <c r="AG7416" s="1"/>
      <c r="AI7416" s="1"/>
    </row>
    <row r="7417" spans="4:35" hidden="1">
      <c r="D7417" s="1"/>
      <c r="K7417" s="1"/>
      <c r="Q7417" s="1"/>
      <c r="AD7417" s="1"/>
      <c r="AG7417" s="1"/>
      <c r="AI7417" s="1"/>
    </row>
    <row r="7418" spans="4:35" hidden="1">
      <c r="D7418" s="1"/>
      <c r="K7418" s="1"/>
      <c r="Q7418" s="1"/>
      <c r="AD7418" s="1"/>
      <c r="AG7418" s="1"/>
      <c r="AI7418" s="1"/>
    </row>
    <row r="7419" spans="4:35" hidden="1">
      <c r="D7419" s="1"/>
      <c r="K7419" s="1"/>
      <c r="Q7419" s="1"/>
      <c r="AD7419" s="1"/>
      <c r="AG7419" s="1"/>
      <c r="AI7419" s="1"/>
    </row>
    <row r="7420" spans="4:35" hidden="1">
      <c r="D7420" s="1"/>
      <c r="K7420" s="1"/>
      <c r="Q7420" s="1"/>
      <c r="AD7420" s="1"/>
      <c r="AG7420" s="1"/>
      <c r="AI7420" s="1"/>
    </row>
    <row r="7421" spans="4:35" hidden="1">
      <c r="D7421" s="1"/>
      <c r="K7421" s="1"/>
      <c r="Q7421" s="1"/>
      <c r="AD7421" s="1"/>
      <c r="AG7421" s="1"/>
      <c r="AI7421" s="1"/>
    </row>
    <row r="7422" spans="4:35" hidden="1">
      <c r="D7422" s="1"/>
      <c r="K7422" s="1"/>
      <c r="Q7422" s="1"/>
      <c r="AD7422" s="1"/>
      <c r="AG7422" s="1"/>
      <c r="AI7422" s="1"/>
    </row>
    <row r="7423" spans="4:35" hidden="1">
      <c r="D7423" s="1"/>
      <c r="K7423" s="1"/>
      <c r="Q7423" s="1"/>
      <c r="AD7423" s="1"/>
      <c r="AG7423" s="1"/>
      <c r="AI7423" s="1"/>
    </row>
    <row r="7424" spans="4:35" hidden="1">
      <c r="D7424" s="1"/>
      <c r="K7424" s="1"/>
      <c r="Q7424" s="1"/>
      <c r="AD7424" s="1"/>
      <c r="AG7424" s="1"/>
      <c r="AI7424" s="1"/>
    </row>
    <row r="7425" spans="4:35" hidden="1">
      <c r="D7425" s="1"/>
      <c r="K7425" s="1"/>
      <c r="Q7425" s="1"/>
      <c r="AD7425" s="1"/>
      <c r="AG7425" s="1"/>
      <c r="AI7425" s="1"/>
    </row>
    <row r="7426" spans="4:35" hidden="1">
      <c r="D7426" s="1"/>
      <c r="K7426" s="1"/>
      <c r="Q7426" s="1"/>
      <c r="AD7426" s="1"/>
      <c r="AG7426" s="1"/>
      <c r="AI7426" s="1"/>
    </row>
    <row r="7427" spans="4:35" hidden="1">
      <c r="D7427" s="1"/>
      <c r="K7427" s="1"/>
      <c r="Q7427" s="1"/>
      <c r="AD7427" s="1"/>
      <c r="AG7427" s="1"/>
      <c r="AI7427" s="1"/>
    </row>
    <row r="7428" spans="4:35" hidden="1">
      <c r="D7428" s="1"/>
      <c r="K7428" s="1"/>
      <c r="Q7428" s="1"/>
      <c r="AD7428" s="1"/>
      <c r="AG7428" s="1"/>
      <c r="AI7428" s="1"/>
    </row>
    <row r="7429" spans="4:35" hidden="1">
      <c r="D7429" s="1"/>
      <c r="K7429" s="1"/>
      <c r="Q7429" s="1"/>
      <c r="AD7429" s="1"/>
      <c r="AG7429" s="1"/>
      <c r="AI7429" s="1"/>
    </row>
    <row r="7430" spans="4:35" hidden="1">
      <c r="D7430" s="1"/>
      <c r="K7430" s="1"/>
      <c r="Q7430" s="1"/>
      <c r="AD7430" s="1"/>
      <c r="AG7430" s="1"/>
      <c r="AI7430" s="1"/>
    </row>
    <row r="7431" spans="4:35" hidden="1">
      <c r="D7431" s="1"/>
      <c r="K7431" s="1"/>
      <c r="Q7431" s="1"/>
      <c r="AD7431" s="1"/>
      <c r="AG7431" s="1"/>
      <c r="AI7431" s="1"/>
    </row>
    <row r="7432" spans="4:35" hidden="1">
      <c r="D7432" s="1"/>
      <c r="K7432" s="1"/>
      <c r="Q7432" s="1"/>
      <c r="AD7432" s="1"/>
      <c r="AG7432" s="1"/>
      <c r="AI7432" s="1"/>
    </row>
    <row r="7433" spans="4:35" hidden="1">
      <c r="D7433" s="1"/>
      <c r="K7433" s="1"/>
      <c r="Q7433" s="1"/>
      <c r="AD7433" s="1"/>
      <c r="AG7433" s="1"/>
      <c r="AI7433" s="1"/>
    </row>
    <row r="7434" spans="4:35" hidden="1">
      <c r="D7434" s="1"/>
      <c r="K7434" s="1"/>
      <c r="Q7434" s="1"/>
      <c r="AD7434" s="1"/>
      <c r="AG7434" s="1"/>
      <c r="AI7434" s="1"/>
    </row>
    <row r="7435" spans="4:35" hidden="1">
      <c r="D7435" s="1"/>
      <c r="K7435" s="1"/>
      <c r="Q7435" s="1"/>
      <c r="AD7435" s="1"/>
      <c r="AG7435" s="1"/>
      <c r="AI7435" s="1"/>
    </row>
    <row r="7436" spans="4:35" hidden="1">
      <c r="D7436" s="1"/>
      <c r="K7436" s="1"/>
      <c r="Q7436" s="1"/>
      <c r="AD7436" s="1"/>
      <c r="AG7436" s="1"/>
      <c r="AI7436" s="1"/>
    </row>
    <row r="7437" spans="4:35" hidden="1">
      <c r="D7437" s="1"/>
      <c r="K7437" s="1"/>
      <c r="Q7437" s="1"/>
      <c r="AD7437" s="1"/>
      <c r="AG7437" s="1"/>
      <c r="AI7437" s="1"/>
    </row>
    <row r="7438" spans="4:35" hidden="1">
      <c r="D7438" s="1"/>
      <c r="K7438" s="1"/>
      <c r="Q7438" s="1"/>
      <c r="AD7438" s="1"/>
      <c r="AG7438" s="1"/>
      <c r="AI7438" s="1"/>
    </row>
    <row r="7439" spans="4:35" hidden="1">
      <c r="D7439" s="1"/>
      <c r="K7439" s="1"/>
      <c r="Q7439" s="1"/>
      <c r="AD7439" s="1"/>
      <c r="AG7439" s="1"/>
      <c r="AI7439" s="1"/>
    </row>
    <row r="7440" spans="4:35" hidden="1">
      <c r="D7440" s="1"/>
      <c r="K7440" s="1"/>
      <c r="Q7440" s="1"/>
      <c r="AD7440" s="1"/>
      <c r="AG7440" s="1"/>
      <c r="AI7440" s="1"/>
    </row>
    <row r="7441" spans="4:35" hidden="1">
      <c r="D7441" s="1"/>
      <c r="K7441" s="1"/>
      <c r="Q7441" s="1"/>
      <c r="AD7441" s="1"/>
      <c r="AG7441" s="1"/>
      <c r="AI7441" s="1"/>
    </row>
    <row r="7442" spans="4:35" hidden="1">
      <c r="D7442" s="1"/>
      <c r="K7442" s="1"/>
      <c r="Q7442" s="1"/>
      <c r="AD7442" s="1"/>
      <c r="AG7442" s="1"/>
      <c r="AI7442" s="1"/>
    </row>
    <row r="7443" spans="4:35" hidden="1">
      <c r="D7443" s="1"/>
      <c r="K7443" s="1"/>
      <c r="Q7443" s="1"/>
      <c r="AD7443" s="1"/>
      <c r="AG7443" s="1"/>
      <c r="AI7443" s="1"/>
    </row>
    <row r="7444" spans="4:35" hidden="1">
      <c r="D7444" s="1"/>
      <c r="K7444" s="1"/>
      <c r="Q7444" s="1"/>
      <c r="AD7444" s="1"/>
      <c r="AG7444" s="1"/>
      <c r="AI7444" s="1"/>
    </row>
    <row r="7445" spans="4:35" hidden="1">
      <c r="D7445" s="1"/>
      <c r="K7445" s="1"/>
      <c r="Q7445" s="1"/>
      <c r="AD7445" s="1"/>
      <c r="AG7445" s="1"/>
      <c r="AI7445" s="1"/>
    </row>
    <row r="7446" spans="4:35" hidden="1">
      <c r="D7446" s="1"/>
      <c r="K7446" s="1"/>
      <c r="Q7446" s="1"/>
      <c r="AD7446" s="1"/>
      <c r="AG7446" s="1"/>
      <c r="AI7446" s="1"/>
    </row>
    <row r="7447" spans="4:35" hidden="1">
      <c r="D7447" s="1"/>
      <c r="K7447" s="1"/>
      <c r="Q7447" s="1"/>
      <c r="AD7447" s="1"/>
      <c r="AG7447" s="1"/>
      <c r="AI7447" s="1"/>
    </row>
    <row r="7448" spans="4:35" hidden="1">
      <c r="D7448" s="1"/>
      <c r="K7448" s="1"/>
      <c r="Q7448" s="1"/>
      <c r="AD7448" s="1"/>
      <c r="AG7448" s="1"/>
      <c r="AI7448" s="1"/>
    </row>
    <row r="7449" spans="4:35" hidden="1">
      <c r="D7449" s="1"/>
      <c r="K7449" s="1"/>
      <c r="Q7449" s="1"/>
      <c r="AD7449" s="1"/>
      <c r="AG7449" s="1"/>
      <c r="AI7449" s="1"/>
    </row>
    <row r="7450" spans="4:35" hidden="1">
      <c r="D7450" s="1"/>
      <c r="K7450" s="1"/>
      <c r="Q7450" s="1"/>
      <c r="AD7450" s="1"/>
      <c r="AG7450" s="1"/>
      <c r="AI7450" s="1"/>
    </row>
    <row r="7451" spans="4:35" hidden="1">
      <c r="D7451" s="1"/>
      <c r="K7451" s="1"/>
      <c r="Q7451" s="1"/>
      <c r="AD7451" s="1"/>
      <c r="AG7451" s="1"/>
      <c r="AI7451" s="1"/>
    </row>
    <row r="7452" spans="4:35" hidden="1">
      <c r="D7452" s="1"/>
      <c r="K7452" s="1"/>
      <c r="Q7452" s="1"/>
      <c r="AD7452" s="1"/>
      <c r="AG7452" s="1"/>
      <c r="AI7452" s="1"/>
    </row>
    <row r="7453" spans="4:35" hidden="1">
      <c r="D7453" s="1"/>
      <c r="K7453" s="1"/>
      <c r="Q7453" s="1"/>
      <c r="AD7453" s="1"/>
      <c r="AG7453" s="1"/>
      <c r="AI7453" s="1"/>
    </row>
    <row r="7454" spans="4:35" hidden="1">
      <c r="D7454" s="1"/>
      <c r="K7454" s="1"/>
      <c r="Q7454" s="1"/>
      <c r="AD7454" s="1"/>
      <c r="AG7454" s="1"/>
      <c r="AI7454" s="1"/>
    </row>
    <row r="7455" spans="4:35" hidden="1">
      <c r="D7455" s="1"/>
      <c r="K7455" s="1"/>
      <c r="Q7455" s="1"/>
      <c r="AD7455" s="1"/>
      <c r="AG7455" s="1"/>
      <c r="AI7455" s="1"/>
    </row>
    <row r="7456" spans="4:35" hidden="1">
      <c r="D7456" s="1"/>
      <c r="K7456" s="1"/>
      <c r="Q7456" s="1"/>
      <c r="AD7456" s="1"/>
      <c r="AG7456" s="1"/>
      <c r="AI7456" s="1"/>
    </row>
    <row r="7457" spans="4:35" hidden="1">
      <c r="D7457" s="1"/>
      <c r="K7457" s="1"/>
      <c r="Q7457" s="1"/>
      <c r="AD7457" s="1"/>
      <c r="AG7457" s="1"/>
      <c r="AI7457" s="1"/>
    </row>
    <row r="7458" spans="4:35" hidden="1">
      <c r="D7458" s="1"/>
      <c r="K7458" s="1"/>
      <c r="Q7458" s="1"/>
      <c r="AD7458" s="1"/>
      <c r="AG7458" s="1"/>
      <c r="AI7458" s="1"/>
    </row>
    <row r="7459" spans="4:35" hidden="1">
      <c r="D7459" s="1"/>
      <c r="K7459" s="1"/>
      <c r="Q7459" s="1"/>
      <c r="AD7459" s="1"/>
      <c r="AG7459" s="1"/>
      <c r="AI7459" s="1"/>
    </row>
    <row r="7460" spans="4:35" hidden="1">
      <c r="D7460" s="1"/>
      <c r="K7460" s="1"/>
      <c r="Q7460" s="1"/>
      <c r="AD7460" s="1"/>
      <c r="AG7460" s="1"/>
      <c r="AI7460" s="1"/>
    </row>
    <row r="7461" spans="4:35" hidden="1">
      <c r="D7461" s="1"/>
      <c r="K7461" s="1"/>
      <c r="Q7461" s="1"/>
      <c r="AD7461" s="1"/>
      <c r="AG7461" s="1"/>
      <c r="AI7461" s="1"/>
    </row>
    <row r="7462" spans="4:35" hidden="1">
      <c r="D7462" s="1"/>
      <c r="K7462" s="1"/>
      <c r="Q7462" s="1"/>
      <c r="AD7462" s="1"/>
      <c r="AG7462" s="1"/>
      <c r="AI7462" s="1"/>
    </row>
    <row r="7463" spans="4:35" hidden="1">
      <c r="D7463" s="1"/>
      <c r="K7463" s="1"/>
      <c r="Q7463" s="1"/>
      <c r="AD7463" s="1"/>
      <c r="AG7463" s="1"/>
      <c r="AI7463" s="1"/>
    </row>
    <row r="7464" spans="4:35" hidden="1">
      <c r="D7464" s="1"/>
      <c r="K7464" s="1"/>
      <c r="Q7464" s="1"/>
      <c r="AD7464" s="1"/>
      <c r="AG7464" s="1"/>
      <c r="AI7464" s="1"/>
    </row>
    <row r="7465" spans="4:35" hidden="1">
      <c r="D7465" s="1"/>
      <c r="K7465" s="1"/>
      <c r="Q7465" s="1"/>
      <c r="AD7465" s="1"/>
      <c r="AG7465" s="1"/>
      <c r="AI7465" s="1"/>
    </row>
    <row r="7466" spans="4:35" hidden="1">
      <c r="D7466" s="1"/>
      <c r="K7466" s="1"/>
      <c r="Q7466" s="1"/>
      <c r="AD7466" s="1"/>
      <c r="AG7466" s="1"/>
      <c r="AI7466" s="1"/>
    </row>
    <row r="7467" spans="4:35" hidden="1">
      <c r="D7467" s="1"/>
      <c r="K7467" s="1"/>
      <c r="Q7467" s="1"/>
      <c r="AD7467" s="1"/>
      <c r="AG7467" s="1"/>
      <c r="AI7467" s="1"/>
    </row>
    <row r="7468" spans="4:35" hidden="1">
      <c r="D7468" s="1"/>
      <c r="K7468" s="1"/>
      <c r="Q7468" s="1"/>
      <c r="AD7468" s="1"/>
      <c r="AG7468" s="1"/>
      <c r="AI7468" s="1"/>
    </row>
    <row r="7469" spans="4:35" hidden="1">
      <c r="D7469" s="1"/>
      <c r="K7469" s="1"/>
      <c r="Q7469" s="1"/>
      <c r="AD7469" s="1"/>
      <c r="AG7469" s="1"/>
      <c r="AI7469" s="1"/>
    </row>
    <row r="7470" spans="4:35" hidden="1">
      <c r="D7470" s="1"/>
      <c r="K7470" s="1"/>
      <c r="Q7470" s="1"/>
      <c r="AD7470" s="1"/>
      <c r="AG7470" s="1"/>
      <c r="AI7470" s="1"/>
    </row>
    <row r="7471" spans="4:35" hidden="1">
      <c r="D7471" s="1"/>
      <c r="K7471" s="1"/>
      <c r="Q7471" s="1"/>
      <c r="AD7471" s="1"/>
      <c r="AG7471" s="1"/>
      <c r="AI7471" s="1"/>
    </row>
    <row r="7472" spans="4:35" hidden="1">
      <c r="D7472" s="1"/>
      <c r="K7472" s="1"/>
      <c r="Q7472" s="1"/>
      <c r="AD7472" s="1"/>
      <c r="AG7472" s="1"/>
      <c r="AI7472" s="1"/>
    </row>
    <row r="7473" spans="4:35" hidden="1">
      <c r="D7473" s="1"/>
      <c r="K7473" s="1"/>
      <c r="Q7473" s="1"/>
      <c r="AD7473" s="1"/>
      <c r="AG7473" s="1"/>
      <c r="AI7473" s="1"/>
    </row>
    <row r="7474" spans="4:35" hidden="1">
      <c r="D7474" s="1"/>
      <c r="K7474" s="1"/>
      <c r="Q7474" s="1"/>
      <c r="AD7474" s="1"/>
      <c r="AG7474" s="1"/>
      <c r="AI7474" s="1"/>
    </row>
    <row r="7475" spans="4:35" hidden="1">
      <c r="D7475" s="1"/>
      <c r="K7475" s="1"/>
      <c r="Q7475" s="1"/>
      <c r="AD7475" s="1"/>
      <c r="AG7475" s="1"/>
      <c r="AI7475" s="1"/>
    </row>
    <row r="7476" spans="4:35" hidden="1">
      <c r="D7476" s="1"/>
      <c r="K7476" s="1"/>
      <c r="Q7476" s="1"/>
      <c r="AD7476" s="1"/>
      <c r="AG7476" s="1"/>
      <c r="AI7476" s="1"/>
    </row>
    <row r="7477" spans="4:35" hidden="1">
      <c r="D7477" s="1"/>
      <c r="K7477" s="1"/>
      <c r="Q7477" s="1"/>
      <c r="AD7477" s="1"/>
      <c r="AG7477" s="1"/>
      <c r="AI7477" s="1"/>
    </row>
    <row r="7478" spans="4:35" hidden="1">
      <c r="D7478" s="1"/>
      <c r="K7478" s="1"/>
      <c r="Q7478" s="1"/>
      <c r="AD7478" s="1"/>
      <c r="AG7478" s="1"/>
      <c r="AI7478" s="1"/>
    </row>
    <row r="7479" spans="4:35" hidden="1">
      <c r="D7479" s="1"/>
      <c r="K7479" s="1"/>
      <c r="Q7479" s="1"/>
      <c r="AD7479" s="1"/>
      <c r="AG7479" s="1"/>
      <c r="AI7479" s="1"/>
    </row>
    <row r="7480" spans="4:35" hidden="1">
      <c r="D7480" s="1"/>
      <c r="K7480" s="1"/>
      <c r="Q7480" s="1"/>
      <c r="AD7480" s="1"/>
      <c r="AG7480" s="1"/>
      <c r="AI7480" s="1"/>
    </row>
    <row r="7481" spans="4:35" hidden="1">
      <c r="D7481" s="1"/>
      <c r="K7481" s="1"/>
      <c r="Q7481" s="1"/>
      <c r="AD7481" s="1"/>
      <c r="AG7481" s="1"/>
      <c r="AI7481" s="1"/>
    </row>
    <row r="7482" spans="4:35" hidden="1">
      <c r="D7482" s="1"/>
      <c r="K7482" s="1"/>
      <c r="Q7482" s="1"/>
      <c r="AD7482" s="1"/>
      <c r="AG7482" s="1"/>
      <c r="AI7482" s="1"/>
    </row>
    <row r="7483" spans="4:35" hidden="1">
      <c r="D7483" s="1"/>
      <c r="K7483" s="1"/>
      <c r="Q7483" s="1"/>
      <c r="AD7483" s="1"/>
      <c r="AG7483" s="1"/>
      <c r="AI7483" s="1"/>
    </row>
    <row r="7484" spans="4:35" hidden="1">
      <c r="D7484" s="1"/>
      <c r="K7484" s="1"/>
      <c r="Q7484" s="1"/>
      <c r="AD7484" s="1"/>
      <c r="AG7484" s="1"/>
      <c r="AI7484" s="1"/>
    </row>
    <row r="7485" spans="4:35" hidden="1">
      <c r="D7485" s="1"/>
      <c r="K7485" s="1"/>
      <c r="Q7485" s="1"/>
      <c r="AD7485" s="1"/>
      <c r="AG7485" s="1"/>
      <c r="AI7485" s="1"/>
    </row>
    <row r="7486" spans="4:35" hidden="1">
      <c r="D7486" s="1"/>
      <c r="K7486" s="1"/>
      <c r="Q7486" s="1"/>
      <c r="AD7486" s="1"/>
      <c r="AG7486" s="1"/>
      <c r="AI7486" s="1"/>
    </row>
    <row r="7487" spans="4:35" hidden="1">
      <c r="D7487" s="1"/>
      <c r="K7487" s="1"/>
      <c r="Q7487" s="1"/>
      <c r="AD7487" s="1"/>
      <c r="AG7487" s="1"/>
      <c r="AI7487" s="1"/>
    </row>
    <row r="7488" spans="4:35" hidden="1">
      <c r="D7488" s="1"/>
      <c r="K7488" s="1"/>
      <c r="Q7488" s="1"/>
      <c r="AD7488" s="1"/>
      <c r="AG7488" s="1"/>
      <c r="AI7488" s="1"/>
    </row>
    <row r="7489" spans="4:35" hidden="1">
      <c r="D7489" s="1"/>
      <c r="K7489" s="1"/>
      <c r="Q7489" s="1"/>
      <c r="AD7489" s="1"/>
      <c r="AG7489" s="1"/>
      <c r="AI7489" s="1"/>
    </row>
    <row r="7490" spans="4:35" hidden="1">
      <c r="D7490" s="1"/>
      <c r="K7490" s="1"/>
      <c r="Q7490" s="1"/>
      <c r="AD7490" s="1"/>
      <c r="AG7490" s="1"/>
      <c r="AI7490" s="1"/>
    </row>
    <row r="7491" spans="4:35" hidden="1">
      <c r="D7491" s="1"/>
      <c r="K7491" s="1"/>
      <c r="Q7491" s="1"/>
      <c r="AD7491" s="1"/>
      <c r="AG7491" s="1"/>
      <c r="AI7491" s="1"/>
    </row>
    <row r="7492" spans="4:35" hidden="1">
      <c r="D7492" s="1"/>
      <c r="K7492" s="1"/>
      <c r="Q7492" s="1"/>
      <c r="AD7492" s="1"/>
      <c r="AG7492" s="1"/>
      <c r="AI7492" s="1"/>
    </row>
    <row r="7493" spans="4:35" hidden="1">
      <c r="D7493" s="1"/>
      <c r="K7493" s="1"/>
      <c r="Q7493" s="1"/>
      <c r="AD7493" s="1"/>
      <c r="AG7493" s="1"/>
      <c r="AI7493" s="1"/>
    </row>
    <row r="7494" spans="4:35" hidden="1">
      <c r="D7494" s="1"/>
      <c r="K7494" s="1"/>
      <c r="Q7494" s="1"/>
      <c r="AD7494" s="1"/>
      <c r="AG7494" s="1"/>
      <c r="AI7494" s="1"/>
    </row>
    <row r="7495" spans="4:35" hidden="1">
      <c r="D7495" s="1"/>
      <c r="K7495" s="1"/>
      <c r="Q7495" s="1"/>
      <c r="AD7495" s="1"/>
      <c r="AG7495" s="1"/>
      <c r="AI7495" s="1"/>
    </row>
    <row r="7496" spans="4:35" hidden="1">
      <c r="D7496" s="1"/>
      <c r="K7496" s="1"/>
      <c r="Q7496" s="1"/>
      <c r="AD7496" s="1"/>
      <c r="AG7496" s="1"/>
      <c r="AI7496" s="1"/>
    </row>
    <row r="7497" spans="4:35" hidden="1">
      <c r="D7497" s="1"/>
      <c r="K7497" s="1"/>
      <c r="Q7497" s="1"/>
      <c r="AD7497" s="1"/>
      <c r="AG7497" s="1"/>
      <c r="AI7497" s="1"/>
    </row>
    <row r="7498" spans="4:35" hidden="1">
      <c r="D7498" s="1"/>
      <c r="K7498" s="1"/>
      <c r="Q7498" s="1"/>
      <c r="AD7498" s="1"/>
      <c r="AG7498" s="1"/>
      <c r="AI7498" s="1"/>
    </row>
    <row r="7499" spans="4:35" hidden="1">
      <c r="D7499" s="1"/>
      <c r="K7499" s="1"/>
      <c r="Q7499" s="1"/>
      <c r="AD7499" s="1"/>
      <c r="AG7499" s="1"/>
      <c r="AI7499" s="1"/>
    </row>
    <row r="7500" spans="4:35" hidden="1">
      <c r="D7500" s="1"/>
      <c r="K7500" s="1"/>
      <c r="Q7500" s="1"/>
      <c r="AD7500" s="1"/>
      <c r="AG7500" s="1"/>
      <c r="AI7500" s="1"/>
    </row>
    <row r="7501" spans="4:35" hidden="1">
      <c r="D7501" s="1"/>
      <c r="K7501" s="1"/>
      <c r="Q7501" s="1"/>
      <c r="AD7501" s="1"/>
      <c r="AG7501" s="1"/>
      <c r="AI7501" s="1"/>
    </row>
    <row r="7502" spans="4:35" hidden="1">
      <c r="D7502" s="1"/>
      <c r="K7502" s="1"/>
      <c r="Q7502" s="1"/>
      <c r="AD7502" s="1"/>
      <c r="AG7502" s="1"/>
      <c r="AI7502" s="1"/>
    </row>
    <row r="7503" spans="4:35" hidden="1">
      <c r="D7503" s="1"/>
      <c r="K7503" s="1"/>
      <c r="Q7503" s="1"/>
      <c r="AD7503" s="1"/>
      <c r="AG7503" s="1"/>
      <c r="AI7503" s="1"/>
    </row>
    <row r="7504" spans="4:35" hidden="1">
      <c r="D7504" s="1"/>
      <c r="K7504" s="1"/>
      <c r="Q7504" s="1"/>
      <c r="AD7504" s="1"/>
      <c r="AG7504" s="1"/>
      <c r="AI7504" s="1"/>
    </row>
    <row r="7505" spans="4:35" hidden="1">
      <c r="D7505" s="1"/>
      <c r="K7505" s="1"/>
      <c r="Q7505" s="1"/>
      <c r="AD7505" s="1"/>
      <c r="AG7505" s="1"/>
      <c r="AI7505" s="1"/>
    </row>
    <row r="7506" spans="4:35" hidden="1">
      <c r="D7506" s="1"/>
      <c r="K7506" s="1"/>
      <c r="Q7506" s="1"/>
      <c r="AD7506" s="1"/>
      <c r="AG7506" s="1"/>
      <c r="AI7506" s="1"/>
    </row>
    <row r="7507" spans="4:35" hidden="1">
      <c r="D7507" s="1"/>
      <c r="K7507" s="1"/>
      <c r="Q7507" s="1"/>
      <c r="AD7507" s="1"/>
      <c r="AG7507" s="1"/>
      <c r="AI7507" s="1"/>
    </row>
    <row r="7508" spans="4:35" hidden="1">
      <c r="D7508" s="1"/>
      <c r="K7508" s="1"/>
      <c r="Q7508" s="1"/>
      <c r="AD7508" s="1"/>
      <c r="AG7508" s="1"/>
      <c r="AI7508" s="1"/>
    </row>
    <row r="7509" spans="4:35" hidden="1">
      <c r="D7509" s="1"/>
      <c r="K7509" s="1"/>
      <c r="Q7509" s="1"/>
      <c r="AD7509" s="1"/>
      <c r="AG7509" s="1"/>
      <c r="AI7509" s="1"/>
    </row>
    <row r="7510" spans="4:35" hidden="1">
      <c r="D7510" s="1"/>
      <c r="K7510" s="1"/>
      <c r="Q7510" s="1"/>
      <c r="AD7510" s="1"/>
      <c r="AG7510" s="1"/>
      <c r="AI7510" s="1"/>
    </row>
    <row r="7511" spans="4:35" hidden="1">
      <c r="D7511" s="1"/>
      <c r="K7511" s="1"/>
      <c r="Q7511" s="1"/>
      <c r="AD7511" s="1"/>
      <c r="AG7511" s="1"/>
      <c r="AI7511" s="1"/>
    </row>
    <row r="7512" spans="4:35" hidden="1">
      <c r="D7512" s="1"/>
      <c r="K7512" s="1"/>
      <c r="Q7512" s="1"/>
      <c r="AD7512" s="1"/>
      <c r="AG7512" s="1"/>
      <c r="AI7512" s="1"/>
    </row>
    <row r="7513" spans="4:35" hidden="1">
      <c r="D7513" s="1"/>
      <c r="K7513" s="1"/>
      <c r="Q7513" s="1"/>
      <c r="AD7513" s="1"/>
      <c r="AG7513" s="1"/>
      <c r="AI7513" s="1"/>
    </row>
    <row r="7514" spans="4:35" hidden="1">
      <c r="D7514" s="1"/>
      <c r="K7514" s="1"/>
      <c r="Q7514" s="1"/>
      <c r="AD7514" s="1"/>
      <c r="AG7514" s="1"/>
      <c r="AI7514" s="1"/>
    </row>
    <row r="7515" spans="4:35" hidden="1">
      <c r="D7515" s="1"/>
      <c r="K7515" s="1"/>
      <c r="Q7515" s="1"/>
      <c r="AD7515" s="1"/>
      <c r="AG7515" s="1"/>
      <c r="AI7515" s="1"/>
    </row>
    <row r="7516" spans="4:35" hidden="1">
      <c r="D7516" s="1"/>
      <c r="K7516" s="1"/>
      <c r="Q7516" s="1"/>
      <c r="AD7516" s="1"/>
      <c r="AG7516" s="1"/>
      <c r="AI7516" s="1"/>
    </row>
    <row r="7517" spans="4:35" hidden="1">
      <c r="D7517" s="1"/>
      <c r="K7517" s="1"/>
      <c r="Q7517" s="1"/>
      <c r="AD7517" s="1"/>
      <c r="AG7517" s="1"/>
      <c r="AI7517" s="1"/>
    </row>
    <row r="7518" spans="4:35" hidden="1">
      <c r="D7518" s="1"/>
      <c r="K7518" s="1"/>
      <c r="Q7518" s="1"/>
      <c r="AD7518" s="1"/>
      <c r="AG7518" s="1"/>
      <c r="AI7518" s="1"/>
    </row>
    <row r="7519" spans="4:35" hidden="1">
      <c r="D7519" s="1"/>
      <c r="K7519" s="1"/>
      <c r="Q7519" s="1"/>
      <c r="AD7519" s="1"/>
      <c r="AG7519" s="1"/>
      <c r="AI7519" s="1"/>
    </row>
    <row r="7520" spans="4:35" hidden="1">
      <c r="D7520" s="1"/>
      <c r="K7520" s="1"/>
      <c r="Q7520" s="1"/>
      <c r="AD7520" s="1"/>
      <c r="AG7520" s="1"/>
      <c r="AI7520" s="1"/>
    </row>
    <row r="7521" spans="4:35" hidden="1">
      <c r="D7521" s="1"/>
      <c r="K7521" s="1"/>
      <c r="Q7521" s="1"/>
      <c r="AD7521" s="1"/>
      <c r="AG7521" s="1"/>
      <c r="AI7521" s="1"/>
    </row>
    <row r="7522" spans="4:35" hidden="1">
      <c r="D7522" s="1"/>
      <c r="K7522" s="1"/>
      <c r="Q7522" s="1"/>
      <c r="AD7522" s="1"/>
      <c r="AG7522" s="1"/>
      <c r="AI7522" s="1"/>
    </row>
    <row r="7523" spans="4:35" hidden="1">
      <c r="D7523" s="1"/>
      <c r="K7523" s="1"/>
      <c r="Q7523" s="1"/>
      <c r="AD7523" s="1"/>
      <c r="AG7523" s="1"/>
      <c r="AI7523" s="1"/>
    </row>
    <row r="7524" spans="4:35" hidden="1">
      <c r="D7524" s="1"/>
      <c r="K7524" s="1"/>
      <c r="Q7524" s="1"/>
      <c r="AD7524" s="1"/>
      <c r="AG7524" s="1"/>
      <c r="AI7524" s="1"/>
    </row>
    <row r="7525" spans="4:35" hidden="1">
      <c r="D7525" s="1"/>
      <c r="K7525" s="1"/>
      <c r="Q7525" s="1"/>
      <c r="AD7525" s="1"/>
      <c r="AG7525" s="1"/>
      <c r="AI7525" s="1"/>
    </row>
    <row r="7526" spans="4:35" hidden="1">
      <c r="D7526" s="1"/>
      <c r="K7526" s="1"/>
      <c r="Q7526" s="1"/>
      <c r="AD7526" s="1"/>
      <c r="AG7526" s="1"/>
      <c r="AI7526" s="1"/>
    </row>
    <row r="7527" spans="4:35" hidden="1">
      <c r="D7527" s="1"/>
      <c r="K7527" s="1"/>
      <c r="Q7527" s="1"/>
      <c r="AD7527" s="1"/>
      <c r="AG7527" s="1"/>
      <c r="AI7527" s="1"/>
    </row>
    <row r="7528" spans="4:35" hidden="1">
      <c r="D7528" s="1"/>
      <c r="K7528" s="1"/>
      <c r="Q7528" s="1"/>
      <c r="AD7528" s="1"/>
      <c r="AG7528" s="1"/>
      <c r="AI7528" s="1"/>
    </row>
    <row r="7529" spans="4:35" hidden="1">
      <c r="D7529" s="1"/>
      <c r="K7529" s="1"/>
      <c r="Q7529" s="1"/>
      <c r="AD7529" s="1"/>
      <c r="AG7529" s="1"/>
      <c r="AI7529" s="1"/>
    </row>
    <row r="7530" spans="4:35" hidden="1">
      <c r="D7530" s="1"/>
      <c r="K7530" s="1"/>
      <c r="Q7530" s="1"/>
      <c r="AD7530" s="1"/>
      <c r="AG7530" s="1"/>
      <c r="AI7530" s="1"/>
    </row>
    <row r="7531" spans="4:35" hidden="1">
      <c r="D7531" s="1"/>
      <c r="K7531" s="1"/>
      <c r="Q7531" s="1"/>
      <c r="AD7531" s="1"/>
      <c r="AG7531" s="1"/>
      <c r="AI7531" s="1"/>
    </row>
    <row r="7532" spans="4:35" hidden="1">
      <c r="D7532" s="1"/>
      <c r="K7532" s="1"/>
      <c r="Q7532" s="1"/>
      <c r="AD7532" s="1"/>
      <c r="AG7532" s="1"/>
      <c r="AI7532" s="1"/>
    </row>
    <row r="7533" spans="4:35" hidden="1">
      <c r="D7533" s="1"/>
      <c r="K7533" s="1"/>
      <c r="Q7533" s="1"/>
      <c r="AD7533" s="1"/>
      <c r="AG7533" s="1"/>
      <c r="AI7533" s="1"/>
    </row>
    <row r="7534" spans="4:35" hidden="1">
      <c r="D7534" s="1"/>
      <c r="K7534" s="1"/>
      <c r="Q7534" s="1"/>
      <c r="AD7534" s="1"/>
      <c r="AG7534" s="1"/>
      <c r="AI7534" s="1"/>
    </row>
    <row r="7535" spans="4:35" hidden="1">
      <c r="D7535" s="1"/>
      <c r="K7535" s="1"/>
      <c r="Q7535" s="1"/>
      <c r="AD7535" s="1"/>
      <c r="AG7535" s="1"/>
      <c r="AI7535" s="1"/>
    </row>
    <row r="7536" spans="4:35" hidden="1">
      <c r="D7536" s="1"/>
      <c r="K7536" s="1"/>
      <c r="Q7536" s="1"/>
      <c r="AD7536" s="1"/>
      <c r="AG7536" s="1"/>
      <c r="AI7536" s="1"/>
    </row>
    <row r="7537" spans="4:35" hidden="1">
      <c r="D7537" s="1"/>
      <c r="K7537" s="1"/>
      <c r="Q7537" s="1"/>
      <c r="AD7537" s="1"/>
      <c r="AG7537" s="1"/>
      <c r="AI7537" s="1"/>
    </row>
    <row r="7538" spans="4:35" hidden="1">
      <c r="D7538" s="1"/>
      <c r="K7538" s="1"/>
      <c r="Q7538" s="1"/>
      <c r="AD7538" s="1"/>
      <c r="AG7538" s="1"/>
      <c r="AI7538" s="1"/>
    </row>
    <row r="7539" spans="4:35" hidden="1">
      <c r="D7539" s="1"/>
      <c r="K7539" s="1"/>
      <c r="Q7539" s="1"/>
      <c r="AD7539" s="1"/>
      <c r="AG7539" s="1"/>
      <c r="AI7539" s="1"/>
    </row>
    <row r="7540" spans="4:35" hidden="1">
      <c r="D7540" s="1"/>
      <c r="K7540" s="1"/>
      <c r="Q7540" s="1"/>
      <c r="AD7540" s="1"/>
      <c r="AG7540" s="1"/>
      <c r="AI7540" s="1"/>
    </row>
    <row r="7541" spans="4:35" hidden="1">
      <c r="D7541" s="1"/>
      <c r="K7541" s="1"/>
      <c r="Q7541" s="1"/>
      <c r="AD7541" s="1"/>
      <c r="AG7541" s="1"/>
      <c r="AI7541" s="1"/>
    </row>
    <row r="7542" spans="4:35" hidden="1">
      <c r="D7542" s="1"/>
      <c r="K7542" s="1"/>
      <c r="Q7542" s="1"/>
      <c r="AD7542" s="1"/>
      <c r="AG7542" s="1"/>
      <c r="AI7542" s="1"/>
    </row>
    <row r="7543" spans="4:35" hidden="1">
      <c r="D7543" s="1"/>
      <c r="K7543" s="1"/>
      <c r="Q7543" s="1"/>
      <c r="AD7543" s="1"/>
      <c r="AG7543" s="1"/>
      <c r="AI7543" s="1"/>
    </row>
    <row r="7544" spans="4:35" hidden="1">
      <c r="D7544" s="1"/>
      <c r="K7544" s="1"/>
      <c r="Q7544" s="1"/>
      <c r="AD7544" s="1"/>
      <c r="AG7544" s="1"/>
      <c r="AI7544" s="1"/>
    </row>
    <row r="7545" spans="4:35" hidden="1">
      <c r="D7545" s="1"/>
      <c r="K7545" s="1"/>
      <c r="Q7545" s="1"/>
      <c r="AD7545" s="1"/>
      <c r="AG7545" s="1"/>
      <c r="AI7545" s="1"/>
    </row>
    <row r="7546" spans="4:35" hidden="1">
      <c r="D7546" s="1"/>
      <c r="K7546" s="1"/>
      <c r="Q7546" s="1"/>
      <c r="AD7546" s="1"/>
      <c r="AG7546" s="1"/>
      <c r="AI7546" s="1"/>
    </row>
    <row r="7547" spans="4:35" hidden="1">
      <c r="D7547" s="1"/>
      <c r="K7547" s="1"/>
      <c r="Q7547" s="1"/>
      <c r="AD7547" s="1"/>
      <c r="AG7547" s="1"/>
      <c r="AI7547" s="1"/>
    </row>
    <row r="7548" spans="4:35" hidden="1">
      <c r="D7548" s="1"/>
      <c r="K7548" s="1"/>
      <c r="Q7548" s="1"/>
      <c r="AD7548" s="1"/>
      <c r="AG7548" s="1"/>
      <c r="AI7548" s="1"/>
    </row>
    <row r="7549" spans="4:35" hidden="1">
      <c r="D7549" s="1"/>
      <c r="K7549" s="1"/>
      <c r="Q7549" s="1"/>
      <c r="AD7549" s="1"/>
      <c r="AG7549" s="1"/>
      <c r="AI7549" s="1"/>
    </row>
    <row r="7550" spans="4:35" hidden="1">
      <c r="D7550" s="1"/>
      <c r="K7550" s="1"/>
      <c r="Q7550" s="1"/>
      <c r="AD7550" s="1"/>
      <c r="AG7550" s="1"/>
      <c r="AI7550" s="1"/>
    </row>
    <row r="7551" spans="4:35" hidden="1">
      <c r="D7551" s="1"/>
      <c r="K7551" s="1"/>
      <c r="Q7551" s="1"/>
      <c r="AD7551" s="1"/>
      <c r="AG7551" s="1"/>
      <c r="AI7551" s="1"/>
    </row>
    <row r="7552" spans="4:35" hidden="1">
      <c r="D7552" s="1"/>
      <c r="K7552" s="1"/>
      <c r="Q7552" s="1"/>
      <c r="AD7552" s="1"/>
      <c r="AG7552" s="1"/>
      <c r="AI7552" s="1"/>
    </row>
    <row r="7553" spans="4:35" hidden="1">
      <c r="D7553" s="1"/>
      <c r="K7553" s="1"/>
      <c r="Q7553" s="1"/>
      <c r="AD7553" s="1"/>
      <c r="AG7553" s="1"/>
      <c r="AI7553" s="1"/>
    </row>
    <row r="7554" spans="4:35" hidden="1">
      <c r="D7554" s="1"/>
      <c r="K7554" s="1"/>
      <c r="Q7554" s="1"/>
      <c r="AD7554" s="1"/>
      <c r="AG7554" s="1"/>
      <c r="AI7554" s="1"/>
    </row>
    <row r="7555" spans="4:35" hidden="1">
      <c r="D7555" s="1"/>
      <c r="K7555" s="1"/>
      <c r="Q7555" s="1"/>
      <c r="AD7555" s="1"/>
      <c r="AG7555" s="1"/>
      <c r="AI7555" s="1"/>
    </row>
    <row r="7556" spans="4:35" hidden="1">
      <c r="D7556" s="1"/>
      <c r="K7556" s="1"/>
      <c r="Q7556" s="1"/>
      <c r="AD7556" s="1"/>
      <c r="AG7556" s="1"/>
      <c r="AI7556" s="1"/>
    </row>
    <row r="7557" spans="4:35" hidden="1">
      <c r="D7557" s="1"/>
      <c r="K7557" s="1"/>
      <c r="Q7557" s="1"/>
      <c r="AD7557" s="1"/>
      <c r="AG7557" s="1"/>
      <c r="AI7557" s="1"/>
    </row>
    <row r="7558" spans="4:35" hidden="1">
      <c r="D7558" s="1"/>
      <c r="K7558" s="1"/>
      <c r="Q7558" s="1"/>
      <c r="AD7558" s="1"/>
      <c r="AG7558" s="1"/>
      <c r="AI7558" s="1"/>
    </row>
    <row r="7559" spans="4:35" hidden="1">
      <c r="D7559" s="1"/>
      <c r="K7559" s="1"/>
      <c r="Q7559" s="1"/>
      <c r="AD7559" s="1"/>
      <c r="AG7559" s="1"/>
      <c r="AI7559" s="1"/>
    </row>
    <row r="7560" spans="4:35" hidden="1">
      <c r="D7560" s="1"/>
      <c r="K7560" s="1"/>
      <c r="Q7560" s="1"/>
      <c r="AD7560" s="1"/>
      <c r="AG7560" s="1"/>
      <c r="AI7560" s="1"/>
    </row>
    <row r="7561" spans="4:35" hidden="1">
      <c r="D7561" s="1"/>
      <c r="K7561" s="1"/>
      <c r="Q7561" s="1"/>
      <c r="AD7561" s="1"/>
      <c r="AG7561" s="1"/>
      <c r="AI7561" s="1"/>
    </row>
    <row r="7562" spans="4:35" hidden="1">
      <c r="D7562" s="1"/>
      <c r="K7562" s="1"/>
      <c r="Q7562" s="1"/>
      <c r="AD7562" s="1"/>
      <c r="AG7562" s="1"/>
      <c r="AI7562" s="1"/>
    </row>
    <row r="7563" spans="4:35" hidden="1">
      <c r="D7563" s="1"/>
      <c r="K7563" s="1"/>
      <c r="Q7563" s="1"/>
      <c r="AD7563" s="1"/>
      <c r="AG7563" s="1"/>
      <c r="AI7563" s="1"/>
    </row>
    <row r="7564" spans="4:35" hidden="1">
      <c r="D7564" s="1"/>
      <c r="K7564" s="1"/>
      <c r="Q7564" s="1"/>
      <c r="AD7564" s="1"/>
      <c r="AG7564" s="1"/>
      <c r="AI7564" s="1"/>
    </row>
    <row r="7565" spans="4:35" hidden="1">
      <c r="D7565" s="1"/>
      <c r="K7565" s="1"/>
      <c r="Q7565" s="1"/>
      <c r="AD7565" s="1"/>
      <c r="AG7565" s="1"/>
      <c r="AI7565" s="1"/>
    </row>
    <row r="7566" spans="4:35" hidden="1">
      <c r="D7566" s="1"/>
      <c r="K7566" s="1"/>
      <c r="Q7566" s="1"/>
      <c r="AD7566" s="1"/>
      <c r="AG7566" s="1"/>
      <c r="AI7566" s="1"/>
    </row>
    <row r="7567" spans="4:35" hidden="1">
      <c r="D7567" s="1"/>
      <c r="K7567" s="1"/>
      <c r="Q7567" s="1"/>
      <c r="AD7567" s="1"/>
      <c r="AG7567" s="1"/>
      <c r="AI7567" s="1"/>
    </row>
    <row r="7568" spans="4:35" hidden="1">
      <c r="D7568" s="1"/>
      <c r="K7568" s="1"/>
      <c r="Q7568" s="1"/>
      <c r="AD7568" s="1"/>
      <c r="AG7568" s="1"/>
      <c r="AI7568" s="1"/>
    </row>
    <row r="7569" spans="4:35" hidden="1">
      <c r="D7569" s="1"/>
      <c r="K7569" s="1"/>
      <c r="Q7569" s="1"/>
      <c r="AD7569" s="1"/>
      <c r="AG7569" s="1"/>
      <c r="AI7569" s="1"/>
    </row>
    <row r="7570" spans="4:35" hidden="1">
      <c r="D7570" s="1"/>
      <c r="K7570" s="1"/>
      <c r="Q7570" s="1"/>
      <c r="AD7570" s="1"/>
      <c r="AG7570" s="1"/>
      <c r="AI7570" s="1"/>
    </row>
    <row r="7571" spans="4:35" hidden="1">
      <c r="D7571" s="1"/>
      <c r="K7571" s="1"/>
      <c r="Q7571" s="1"/>
      <c r="AD7571" s="1"/>
      <c r="AG7571" s="1"/>
      <c r="AI7571" s="1"/>
    </row>
    <row r="7572" spans="4:35" hidden="1">
      <c r="D7572" s="1"/>
      <c r="K7572" s="1"/>
      <c r="Q7572" s="1"/>
      <c r="AD7572" s="1"/>
      <c r="AG7572" s="1"/>
      <c r="AI7572" s="1"/>
    </row>
    <row r="7573" spans="4:35" hidden="1">
      <c r="D7573" s="1"/>
      <c r="K7573" s="1"/>
      <c r="Q7573" s="1"/>
      <c r="AD7573" s="1"/>
      <c r="AG7573" s="1"/>
      <c r="AI7573" s="1"/>
    </row>
    <row r="7574" spans="4:35" hidden="1">
      <c r="D7574" s="1"/>
      <c r="K7574" s="1"/>
      <c r="Q7574" s="1"/>
      <c r="AD7574" s="1"/>
      <c r="AG7574" s="1"/>
      <c r="AI7574" s="1"/>
    </row>
    <row r="7575" spans="4:35" hidden="1">
      <c r="D7575" s="1"/>
      <c r="K7575" s="1"/>
      <c r="Q7575" s="1"/>
      <c r="AD7575" s="1"/>
      <c r="AG7575" s="1"/>
      <c r="AI7575" s="1"/>
    </row>
    <row r="7576" spans="4:35" hidden="1">
      <c r="D7576" s="1"/>
      <c r="K7576" s="1"/>
      <c r="Q7576" s="1"/>
      <c r="AD7576" s="1"/>
      <c r="AG7576" s="1"/>
      <c r="AI7576" s="1"/>
    </row>
    <row r="7577" spans="4:35" hidden="1">
      <c r="D7577" s="1"/>
      <c r="K7577" s="1"/>
      <c r="Q7577" s="1"/>
      <c r="AD7577" s="1"/>
      <c r="AG7577" s="1"/>
      <c r="AI7577" s="1"/>
    </row>
    <row r="7578" spans="4:35" hidden="1">
      <c r="D7578" s="1"/>
      <c r="K7578" s="1"/>
      <c r="Q7578" s="1"/>
      <c r="AD7578" s="1"/>
      <c r="AG7578" s="1"/>
      <c r="AI7578" s="1"/>
    </row>
    <row r="7579" spans="4:35" hidden="1">
      <c r="D7579" s="1"/>
      <c r="K7579" s="1"/>
      <c r="Q7579" s="1"/>
      <c r="AD7579" s="1"/>
      <c r="AG7579" s="1"/>
      <c r="AI7579" s="1"/>
    </row>
    <row r="7580" spans="4:35" hidden="1">
      <c r="D7580" s="1"/>
      <c r="K7580" s="1"/>
      <c r="Q7580" s="1"/>
      <c r="AD7580" s="1"/>
      <c r="AG7580" s="1"/>
      <c r="AI7580" s="1"/>
    </row>
    <row r="7581" spans="4:35" hidden="1">
      <c r="D7581" s="1"/>
      <c r="K7581" s="1"/>
      <c r="Q7581" s="1"/>
      <c r="AD7581" s="1"/>
      <c r="AG7581" s="1"/>
      <c r="AI7581" s="1"/>
    </row>
    <row r="7582" spans="4:35" hidden="1">
      <c r="D7582" s="1"/>
      <c r="K7582" s="1"/>
      <c r="Q7582" s="1"/>
      <c r="AD7582" s="1"/>
      <c r="AG7582" s="1"/>
      <c r="AI7582" s="1"/>
    </row>
    <row r="7583" spans="4:35" hidden="1">
      <c r="D7583" s="1"/>
      <c r="K7583" s="1"/>
      <c r="Q7583" s="1"/>
      <c r="AD7583" s="1"/>
      <c r="AG7583" s="1"/>
      <c r="AI7583" s="1"/>
    </row>
    <row r="7584" spans="4:35" hidden="1">
      <c r="D7584" s="1"/>
      <c r="K7584" s="1"/>
      <c r="Q7584" s="1"/>
      <c r="AD7584" s="1"/>
      <c r="AG7584" s="1"/>
      <c r="AI7584" s="1"/>
    </row>
    <row r="7585" spans="4:35" hidden="1">
      <c r="D7585" s="1"/>
      <c r="K7585" s="1"/>
      <c r="Q7585" s="1"/>
      <c r="AD7585" s="1"/>
      <c r="AG7585" s="1"/>
      <c r="AI7585" s="1"/>
    </row>
    <row r="7586" spans="4:35" hidden="1">
      <c r="D7586" s="1"/>
      <c r="K7586" s="1"/>
      <c r="Q7586" s="1"/>
      <c r="AD7586" s="1"/>
      <c r="AG7586" s="1"/>
      <c r="AI7586" s="1"/>
    </row>
    <row r="7587" spans="4:35" hidden="1">
      <c r="D7587" s="1"/>
      <c r="K7587" s="1"/>
      <c r="Q7587" s="1"/>
      <c r="AD7587" s="1"/>
      <c r="AG7587" s="1"/>
      <c r="AI7587" s="1"/>
    </row>
    <row r="7588" spans="4:35" hidden="1">
      <c r="D7588" s="1"/>
      <c r="K7588" s="1"/>
      <c r="Q7588" s="1"/>
      <c r="AD7588" s="1"/>
      <c r="AG7588" s="1"/>
      <c r="AI7588" s="1"/>
    </row>
    <row r="7589" spans="4:35" hidden="1">
      <c r="D7589" s="1"/>
      <c r="K7589" s="1"/>
      <c r="Q7589" s="1"/>
      <c r="AD7589" s="1"/>
      <c r="AG7589" s="1"/>
      <c r="AI7589" s="1"/>
    </row>
    <row r="7590" spans="4:35" hidden="1">
      <c r="D7590" s="1"/>
      <c r="K7590" s="1"/>
      <c r="Q7590" s="1"/>
      <c r="AD7590" s="1"/>
      <c r="AG7590" s="1"/>
      <c r="AI7590" s="1"/>
    </row>
    <row r="7591" spans="4:35" hidden="1">
      <c r="D7591" s="1"/>
      <c r="K7591" s="1"/>
      <c r="Q7591" s="1"/>
      <c r="AD7591" s="1"/>
      <c r="AG7591" s="1"/>
      <c r="AI7591" s="1"/>
    </row>
    <row r="7592" spans="4:35" hidden="1">
      <c r="D7592" s="1"/>
      <c r="K7592" s="1"/>
      <c r="Q7592" s="1"/>
      <c r="AD7592" s="1"/>
      <c r="AG7592" s="1"/>
      <c r="AI7592" s="1"/>
    </row>
    <row r="7593" spans="4:35" hidden="1">
      <c r="D7593" s="1"/>
      <c r="K7593" s="1"/>
      <c r="Q7593" s="1"/>
      <c r="AD7593" s="1"/>
      <c r="AG7593" s="1"/>
      <c r="AI7593" s="1"/>
    </row>
    <row r="7594" spans="4:35" hidden="1">
      <c r="D7594" s="1"/>
      <c r="K7594" s="1"/>
      <c r="Q7594" s="1"/>
      <c r="AD7594" s="1"/>
      <c r="AG7594" s="1"/>
      <c r="AI7594" s="1"/>
    </row>
    <row r="7595" spans="4:35" hidden="1">
      <c r="D7595" s="1"/>
      <c r="K7595" s="1"/>
      <c r="Q7595" s="1"/>
      <c r="AD7595" s="1"/>
      <c r="AG7595" s="1"/>
      <c r="AI7595" s="1"/>
    </row>
    <row r="7596" spans="4:35" hidden="1">
      <c r="D7596" s="1"/>
      <c r="K7596" s="1"/>
      <c r="Q7596" s="1"/>
      <c r="AD7596" s="1"/>
      <c r="AG7596" s="1"/>
      <c r="AI7596" s="1"/>
    </row>
    <row r="7597" spans="4:35" hidden="1">
      <c r="D7597" s="1"/>
      <c r="K7597" s="1"/>
      <c r="Q7597" s="1"/>
      <c r="AD7597" s="1"/>
      <c r="AG7597" s="1"/>
      <c r="AI7597" s="1"/>
    </row>
    <row r="7598" spans="4:35" hidden="1">
      <c r="D7598" s="1"/>
      <c r="K7598" s="1"/>
      <c r="Q7598" s="1"/>
      <c r="AD7598" s="1"/>
      <c r="AG7598" s="1"/>
      <c r="AI7598" s="1"/>
    </row>
    <row r="7599" spans="4:35" hidden="1">
      <c r="D7599" s="1"/>
      <c r="K7599" s="1"/>
      <c r="Q7599" s="1"/>
      <c r="AD7599" s="1"/>
      <c r="AG7599" s="1"/>
      <c r="AI7599" s="1"/>
    </row>
    <row r="7600" spans="4:35" hidden="1">
      <c r="D7600" s="1"/>
      <c r="K7600" s="1"/>
      <c r="Q7600" s="1"/>
      <c r="AD7600" s="1"/>
      <c r="AG7600" s="1"/>
      <c r="AI7600" s="1"/>
    </row>
    <row r="7601" spans="4:35" hidden="1">
      <c r="D7601" s="1"/>
      <c r="K7601" s="1"/>
      <c r="Q7601" s="1"/>
      <c r="AD7601" s="1"/>
      <c r="AG7601" s="1"/>
      <c r="AI7601" s="1"/>
    </row>
    <row r="7602" spans="4:35" hidden="1">
      <c r="D7602" s="1"/>
      <c r="K7602" s="1"/>
      <c r="Q7602" s="1"/>
      <c r="AD7602" s="1"/>
      <c r="AG7602" s="1"/>
      <c r="AI7602" s="1"/>
    </row>
    <row r="7603" spans="4:35" hidden="1">
      <c r="D7603" s="1"/>
      <c r="K7603" s="1"/>
      <c r="Q7603" s="1"/>
      <c r="AD7603" s="1"/>
      <c r="AG7603" s="1"/>
      <c r="AI7603" s="1"/>
    </row>
    <row r="7604" spans="4:35" hidden="1">
      <c r="D7604" s="1"/>
      <c r="K7604" s="1"/>
      <c r="Q7604" s="1"/>
      <c r="AD7604" s="1"/>
      <c r="AG7604" s="1"/>
      <c r="AI7604" s="1"/>
    </row>
    <row r="7605" spans="4:35" hidden="1">
      <c r="D7605" s="1"/>
      <c r="K7605" s="1"/>
      <c r="Q7605" s="1"/>
      <c r="AD7605" s="1"/>
      <c r="AG7605" s="1"/>
      <c r="AI7605" s="1"/>
    </row>
    <row r="7606" spans="4:35" hidden="1">
      <c r="D7606" s="1"/>
      <c r="K7606" s="1"/>
      <c r="Q7606" s="1"/>
      <c r="AD7606" s="1"/>
      <c r="AG7606" s="1"/>
      <c r="AI7606" s="1"/>
    </row>
    <row r="7607" spans="4:35" hidden="1">
      <c r="D7607" s="1"/>
      <c r="K7607" s="1"/>
      <c r="Q7607" s="1"/>
      <c r="AD7607" s="1"/>
      <c r="AG7607" s="1"/>
      <c r="AI7607" s="1"/>
    </row>
    <row r="7608" spans="4:35" hidden="1">
      <c r="D7608" s="1"/>
      <c r="K7608" s="1"/>
      <c r="Q7608" s="1"/>
      <c r="AD7608" s="1"/>
      <c r="AG7608" s="1"/>
      <c r="AI7608" s="1"/>
    </row>
    <row r="7609" spans="4:35" hidden="1">
      <c r="D7609" s="1"/>
      <c r="K7609" s="1"/>
      <c r="Q7609" s="1"/>
      <c r="AD7609" s="1"/>
      <c r="AG7609" s="1"/>
      <c r="AI7609" s="1"/>
    </row>
    <row r="7610" spans="4:35" hidden="1">
      <c r="D7610" s="1"/>
      <c r="K7610" s="1"/>
      <c r="Q7610" s="1"/>
      <c r="AD7610" s="1"/>
      <c r="AG7610" s="1"/>
      <c r="AI7610" s="1"/>
    </row>
    <row r="7611" spans="4:35" hidden="1">
      <c r="D7611" s="1"/>
      <c r="K7611" s="1"/>
      <c r="Q7611" s="1"/>
      <c r="AD7611" s="1"/>
      <c r="AG7611" s="1"/>
      <c r="AI7611" s="1"/>
    </row>
    <row r="7612" spans="4:35" hidden="1">
      <c r="D7612" s="1"/>
      <c r="K7612" s="1"/>
      <c r="Q7612" s="1"/>
      <c r="AD7612" s="1"/>
      <c r="AG7612" s="1"/>
      <c r="AI7612" s="1"/>
    </row>
    <row r="7613" spans="4:35" hidden="1">
      <c r="D7613" s="1"/>
      <c r="K7613" s="1"/>
      <c r="Q7613" s="1"/>
      <c r="AD7613" s="1"/>
      <c r="AG7613" s="1"/>
      <c r="AI7613" s="1"/>
    </row>
    <row r="7614" spans="4:35" hidden="1">
      <c r="D7614" s="1"/>
      <c r="K7614" s="1"/>
      <c r="Q7614" s="1"/>
      <c r="AD7614" s="1"/>
      <c r="AG7614" s="1"/>
      <c r="AI7614" s="1"/>
    </row>
    <row r="7615" spans="4:35" hidden="1">
      <c r="D7615" s="1"/>
      <c r="K7615" s="1"/>
      <c r="Q7615" s="1"/>
      <c r="AD7615" s="1"/>
      <c r="AG7615" s="1"/>
      <c r="AI7615" s="1"/>
    </row>
    <row r="7616" spans="4:35" hidden="1">
      <c r="D7616" s="1"/>
      <c r="K7616" s="1"/>
      <c r="Q7616" s="1"/>
      <c r="AD7616" s="1"/>
      <c r="AG7616" s="1"/>
      <c r="AI7616" s="1"/>
    </row>
    <row r="7617" spans="4:35" hidden="1">
      <c r="D7617" s="1"/>
      <c r="K7617" s="1"/>
      <c r="Q7617" s="1"/>
      <c r="AD7617" s="1"/>
      <c r="AG7617" s="1"/>
      <c r="AI7617" s="1"/>
    </row>
    <row r="7618" spans="4:35" hidden="1">
      <c r="D7618" s="1"/>
      <c r="K7618" s="1"/>
      <c r="Q7618" s="1"/>
      <c r="AD7618" s="1"/>
      <c r="AG7618" s="1"/>
      <c r="AI7618" s="1"/>
    </row>
    <row r="7619" spans="4:35" hidden="1">
      <c r="D7619" s="1"/>
      <c r="K7619" s="1"/>
      <c r="Q7619" s="1"/>
      <c r="AD7619" s="1"/>
      <c r="AG7619" s="1"/>
      <c r="AI7619" s="1"/>
    </row>
    <row r="7620" spans="4:35" hidden="1">
      <c r="D7620" s="1"/>
      <c r="K7620" s="1"/>
      <c r="Q7620" s="1"/>
      <c r="AD7620" s="1"/>
      <c r="AG7620" s="1"/>
      <c r="AI7620" s="1"/>
    </row>
    <row r="7621" spans="4:35" hidden="1">
      <c r="D7621" s="1"/>
      <c r="K7621" s="1"/>
      <c r="Q7621" s="1"/>
      <c r="AD7621" s="1"/>
      <c r="AG7621" s="1"/>
      <c r="AI7621" s="1"/>
    </row>
    <row r="7622" spans="4:35" hidden="1">
      <c r="D7622" s="1"/>
      <c r="K7622" s="1"/>
      <c r="Q7622" s="1"/>
      <c r="AD7622" s="1"/>
      <c r="AG7622" s="1"/>
      <c r="AI7622" s="1"/>
    </row>
    <row r="7623" spans="4:35" hidden="1">
      <c r="D7623" s="1"/>
      <c r="K7623" s="1"/>
      <c r="Q7623" s="1"/>
      <c r="AD7623" s="1"/>
      <c r="AG7623" s="1"/>
      <c r="AI7623" s="1"/>
    </row>
    <row r="7624" spans="4:35" hidden="1">
      <c r="D7624" s="1"/>
      <c r="K7624" s="1"/>
      <c r="Q7624" s="1"/>
      <c r="AD7624" s="1"/>
      <c r="AG7624" s="1"/>
      <c r="AI7624" s="1"/>
    </row>
    <row r="7625" spans="4:35" hidden="1">
      <c r="D7625" s="1"/>
      <c r="K7625" s="1"/>
      <c r="Q7625" s="1"/>
      <c r="AD7625" s="1"/>
      <c r="AG7625" s="1"/>
      <c r="AI7625" s="1"/>
    </row>
    <row r="7626" spans="4:35" hidden="1">
      <c r="D7626" s="1"/>
      <c r="K7626" s="1"/>
      <c r="Q7626" s="1"/>
      <c r="AD7626" s="1"/>
      <c r="AG7626" s="1"/>
      <c r="AI7626" s="1"/>
    </row>
    <row r="7627" spans="4:35" hidden="1">
      <c r="D7627" s="1"/>
      <c r="K7627" s="1"/>
      <c r="Q7627" s="1"/>
      <c r="AD7627" s="1"/>
      <c r="AG7627" s="1"/>
      <c r="AI7627" s="1"/>
    </row>
    <row r="7628" spans="4:35" hidden="1">
      <c r="D7628" s="1"/>
      <c r="K7628" s="1"/>
      <c r="Q7628" s="1"/>
      <c r="AD7628" s="1"/>
      <c r="AG7628" s="1"/>
      <c r="AI7628" s="1"/>
    </row>
    <row r="7629" spans="4:35" hidden="1">
      <c r="D7629" s="1"/>
      <c r="K7629" s="1"/>
      <c r="Q7629" s="1"/>
      <c r="AD7629" s="1"/>
      <c r="AG7629" s="1"/>
      <c r="AI7629" s="1"/>
    </row>
    <row r="7630" spans="4:35" hidden="1">
      <c r="D7630" s="1"/>
      <c r="K7630" s="1"/>
      <c r="Q7630" s="1"/>
      <c r="AD7630" s="1"/>
      <c r="AG7630" s="1"/>
      <c r="AI7630" s="1"/>
    </row>
    <row r="7631" spans="4:35" hidden="1">
      <c r="D7631" s="1"/>
      <c r="K7631" s="1"/>
      <c r="Q7631" s="1"/>
      <c r="AD7631" s="1"/>
      <c r="AG7631" s="1"/>
      <c r="AI7631" s="1"/>
    </row>
    <row r="7632" spans="4:35" hidden="1">
      <c r="D7632" s="1"/>
      <c r="K7632" s="1"/>
      <c r="Q7632" s="1"/>
      <c r="AD7632" s="1"/>
      <c r="AG7632" s="1"/>
      <c r="AI7632" s="1"/>
    </row>
    <row r="7633" spans="4:35" hidden="1">
      <c r="D7633" s="1"/>
      <c r="K7633" s="1"/>
      <c r="Q7633" s="1"/>
      <c r="AD7633" s="1"/>
      <c r="AG7633" s="1"/>
      <c r="AI7633" s="1"/>
    </row>
    <row r="7634" spans="4:35" hidden="1">
      <c r="D7634" s="1"/>
      <c r="K7634" s="1"/>
      <c r="Q7634" s="1"/>
      <c r="AD7634" s="1"/>
      <c r="AG7634" s="1"/>
      <c r="AI7634" s="1"/>
    </row>
    <row r="7635" spans="4:35" hidden="1">
      <c r="D7635" s="1"/>
      <c r="K7635" s="1"/>
      <c r="Q7635" s="1"/>
      <c r="AD7635" s="1"/>
      <c r="AG7635" s="1"/>
      <c r="AI7635" s="1"/>
    </row>
    <row r="7636" spans="4:35" hidden="1">
      <c r="D7636" s="1"/>
      <c r="K7636" s="1"/>
      <c r="Q7636" s="1"/>
      <c r="AD7636" s="1"/>
      <c r="AG7636" s="1"/>
      <c r="AI7636" s="1"/>
    </row>
    <row r="7637" spans="4:35" hidden="1">
      <c r="D7637" s="1"/>
      <c r="K7637" s="1"/>
      <c r="Q7637" s="1"/>
      <c r="AD7637" s="1"/>
      <c r="AG7637" s="1"/>
      <c r="AI7637" s="1"/>
    </row>
    <row r="7638" spans="4:35" hidden="1">
      <c r="D7638" s="1"/>
      <c r="K7638" s="1"/>
      <c r="Q7638" s="1"/>
      <c r="AD7638" s="1"/>
      <c r="AG7638" s="1"/>
      <c r="AI7638" s="1"/>
    </row>
    <row r="7639" spans="4:35" hidden="1">
      <c r="D7639" s="1"/>
      <c r="K7639" s="1"/>
      <c r="Q7639" s="1"/>
      <c r="AD7639" s="1"/>
      <c r="AG7639" s="1"/>
      <c r="AI7639" s="1"/>
    </row>
    <row r="7640" spans="4:35" hidden="1">
      <c r="D7640" s="1"/>
      <c r="K7640" s="1"/>
      <c r="Q7640" s="1"/>
      <c r="AD7640" s="1"/>
      <c r="AG7640" s="1"/>
      <c r="AI7640" s="1"/>
    </row>
    <row r="7641" spans="4:35" hidden="1">
      <c r="D7641" s="1"/>
      <c r="K7641" s="1"/>
      <c r="Q7641" s="1"/>
      <c r="AD7641" s="1"/>
      <c r="AG7641" s="1"/>
      <c r="AI7641" s="1"/>
    </row>
    <row r="7642" spans="4:35" hidden="1">
      <c r="D7642" s="1"/>
      <c r="K7642" s="1"/>
      <c r="Q7642" s="1"/>
      <c r="AD7642" s="1"/>
      <c r="AG7642" s="1"/>
      <c r="AI7642" s="1"/>
    </row>
    <row r="7643" spans="4:35" hidden="1">
      <c r="D7643" s="1"/>
      <c r="K7643" s="1"/>
      <c r="Q7643" s="1"/>
      <c r="AD7643" s="1"/>
      <c r="AG7643" s="1"/>
      <c r="AI7643" s="1"/>
    </row>
    <row r="7644" spans="4:35" hidden="1">
      <c r="D7644" s="1"/>
      <c r="K7644" s="1"/>
      <c r="Q7644" s="1"/>
      <c r="AD7644" s="1"/>
      <c r="AG7644" s="1"/>
      <c r="AI7644" s="1"/>
    </row>
    <row r="7645" spans="4:35" hidden="1">
      <c r="D7645" s="1"/>
      <c r="K7645" s="1"/>
      <c r="Q7645" s="1"/>
      <c r="AD7645" s="1"/>
      <c r="AG7645" s="1"/>
      <c r="AI7645" s="1"/>
    </row>
    <row r="7646" spans="4:35" hidden="1">
      <c r="D7646" s="1"/>
      <c r="K7646" s="1"/>
      <c r="Q7646" s="1"/>
      <c r="AD7646" s="1"/>
      <c r="AG7646" s="1"/>
      <c r="AI7646" s="1"/>
    </row>
    <row r="7647" spans="4:35" hidden="1">
      <c r="D7647" s="1"/>
      <c r="K7647" s="1"/>
      <c r="Q7647" s="1"/>
      <c r="AD7647" s="1"/>
      <c r="AG7647" s="1"/>
      <c r="AI7647" s="1"/>
    </row>
    <row r="7648" spans="4:35" hidden="1">
      <c r="D7648" s="1"/>
      <c r="K7648" s="1"/>
      <c r="Q7648" s="1"/>
      <c r="AD7648" s="1"/>
      <c r="AG7648" s="1"/>
      <c r="AI7648" s="1"/>
    </row>
    <row r="7649" spans="4:35" hidden="1">
      <c r="D7649" s="1"/>
      <c r="K7649" s="1"/>
      <c r="Q7649" s="1"/>
      <c r="AD7649" s="1"/>
      <c r="AG7649" s="1"/>
      <c r="AI7649" s="1"/>
    </row>
    <row r="7650" spans="4:35" hidden="1">
      <c r="D7650" s="1"/>
      <c r="K7650" s="1"/>
      <c r="Q7650" s="1"/>
      <c r="AD7650" s="1"/>
      <c r="AG7650" s="1"/>
      <c r="AI7650" s="1"/>
    </row>
    <row r="7651" spans="4:35" hidden="1">
      <c r="D7651" s="1"/>
      <c r="K7651" s="1"/>
      <c r="Q7651" s="1"/>
      <c r="AD7651" s="1"/>
      <c r="AG7651" s="1"/>
      <c r="AI7651" s="1"/>
    </row>
    <row r="7652" spans="4:35" hidden="1">
      <c r="D7652" s="1"/>
      <c r="K7652" s="1"/>
      <c r="Q7652" s="1"/>
      <c r="AD7652" s="1"/>
      <c r="AG7652" s="1"/>
      <c r="AI7652" s="1"/>
    </row>
    <row r="7653" spans="4:35" hidden="1">
      <c r="D7653" s="1"/>
      <c r="K7653" s="1"/>
      <c r="Q7653" s="1"/>
      <c r="AD7653" s="1"/>
      <c r="AG7653" s="1"/>
      <c r="AI7653" s="1"/>
    </row>
    <row r="7654" spans="4:35" hidden="1">
      <c r="D7654" s="1"/>
      <c r="K7654" s="1"/>
      <c r="Q7654" s="1"/>
      <c r="AD7654" s="1"/>
      <c r="AG7654" s="1"/>
      <c r="AI7654" s="1"/>
    </row>
    <row r="7655" spans="4:35" hidden="1">
      <c r="D7655" s="1"/>
      <c r="K7655" s="1"/>
      <c r="Q7655" s="1"/>
      <c r="AD7655" s="1"/>
      <c r="AG7655" s="1"/>
      <c r="AI7655" s="1"/>
    </row>
    <row r="7656" spans="4:35" hidden="1">
      <c r="D7656" s="1"/>
      <c r="K7656" s="1"/>
      <c r="Q7656" s="1"/>
      <c r="AD7656" s="1"/>
      <c r="AG7656" s="1"/>
      <c r="AI7656" s="1"/>
    </row>
    <row r="7657" spans="4:35" hidden="1">
      <c r="D7657" s="1"/>
      <c r="K7657" s="1"/>
      <c r="Q7657" s="1"/>
      <c r="AD7657" s="1"/>
      <c r="AG7657" s="1"/>
      <c r="AI7657" s="1"/>
    </row>
    <row r="7658" spans="4:35" hidden="1">
      <c r="D7658" s="1"/>
      <c r="K7658" s="1"/>
      <c r="Q7658" s="1"/>
      <c r="AD7658" s="1"/>
      <c r="AG7658" s="1"/>
      <c r="AI7658" s="1"/>
    </row>
    <row r="7659" spans="4:35" hidden="1">
      <c r="D7659" s="1"/>
      <c r="K7659" s="1"/>
      <c r="Q7659" s="1"/>
      <c r="AD7659" s="1"/>
      <c r="AG7659" s="1"/>
      <c r="AI7659" s="1"/>
    </row>
    <row r="7660" spans="4:35" hidden="1">
      <c r="D7660" s="1"/>
      <c r="K7660" s="1"/>
      <c r="Q7660" s="1"/>
      <c r="AD7660" s="1"/>
      <c r="AG7660" s="1"/>
      <c r="AI7660" s="1"/>
    </row>
    <row r="7661" spans="4:35" hidden="1">
      <c r="D7661" s="1"/>
      <c r="K7661" s="1"/>
      <c r="Q7661" s="1"/>
      <c r="AD7661" s="1"/>
      <c r="AG7661" s="1"/>
      <c r="AI7661" s="1"/>
    </row>
    <row r="7662" spans="4:35" hidden="1">
      <c r="D7662" s="1"/>
      <c r="K7662" s="1"/>
      <c r="Q7662" s="1"/>
      <c r="AD7662" s="1"/>
      <c r="AG7662" s="1"/>
      <c r="AI7662" s="1"/>
    </row>
    <row r="7663" spans="4:35" hidden="1">
      <c r="D7663" s="1"/>
      <c r="K7663" s="1"/>
      <c r="Q7663" s="1"/>
      <c r="AD7663" s="1"/>
      <c r="AG7663" s="1"/>
      <c r="AI7663" s="1"/>
    </row>
    <row r="7664" spans="4:35" hidden="1">
      <c r="D7664" s="1"/>
      <c r="K7664" s="1"/>
      <c r="Q7664" s="1"/>
      <c r="AD7664" s="1"/>
      <c r="AG7664" s="1"/>
      <c r="AI7664" s="1"/>
    </row>
    <row r="7665" spans="4:35" hidden="1">
      <c r="D7665" s="1"/>
      <c r="K7665" s="1"/>
      <c r="Q7665" s="1"/>
      <c r="AD7665" s="1"/>
      <c r="AG7665" s="1"/>
      <c r="AI7665" s="1"/>
    </row>
    <row r="7666" spans="4:35" hidden="1">
      <c r="D7666" s="1"/>
      <c r="K7666" s="1"/>
      <c r="Q7666" s="1"/>
      <c r="AD7666" s="1"/>
      <c r="AG7666" s="1"/>
      <c r="AI7666" s="1"/>
    </row>
    <row r="7667" spans="4:35" hidden="1">
      <c r="D7667" s="1"/>
      <c r="K7667" s="1"/>
      <c r="Q7667" s="1"/>
      <c r="AD7667" s="1"/>
      <c r="AG7667" s="1"/>
      <c r="AI7667" s="1"/>
    </row>
    <row r="7668" spans="4:35" hidden="1">
      <c r="D7668" s="1"/>
      <c r="K7668" s="1"/>
      <c r="Q7668" s="1"/>
      <c r="AD7668" s="1"/>
      <c r="AG7668" s="1"/>
      <c r="AI7668" s="1"/>
    </row>
    <row r="7669" spans="4:35" hidden="1">
      <c r="D7669" s="1"/>
      <c r="K7669" s="1"/>
      <c r="Q7669" s="1"/>
      <c r="AD7669" s="1"/>
      <c r="AG7669" s="1"/>
      <c r="AI7669" s="1"/>
    </row>
    <row r="7670" spans="4:35" hidden="1">
      <c r="D7670" s="1"/>
      <c r="K7670" s="1"/>
      <c r="Q7670" s="1"/>
      <c r="AD7670" s="1"/>
      <c r="AG7670" s="1"/>
      <c r="AI7670" s="1"/>
    </row>
    <row r="7671" spans="4:35" hidden="1">
      <c r="D7671" s="1"/>
      <c r="K7671" s="1"/>
      <c r="Q7671" s="1"/>
      <c r="AD7671" s="1"/>
      <c r="AG7671" s="1"/>
      <c r="AI7671" s="1"/>
    </row>
    <row r="7672" spans="4:35" hidden="1">
      <c r="D7672" s="1"/>
      <c r="K7672" s="1"/>
      <c r="Q7672" s="1"/>
      <c r="AD7672" s="1"/>
      <c r="AG7672" s="1"/>
      <c r="AI7672" s="1"/>
    </row>
    <row r="7673" spans="4:35" hidden="1">
      <c r="D7673" s="1"/>
      <c r="K7673" s="1"/>
      <c r="Q7673" s="1"/>
      <c r="AD7673" s="1"/>
      <c r="AG7673" s="1"/>
      <c r="AI7673" s="1"/>
    </row>
    <row r="7674" spans="4:35" hidden="1">
      <c r="D7674" s="1"/>
      <c r="K7674" s="1"/>
      <c r="Q7674" s="1"/>
      <c r="AD7674" s="1"/>
      <c r="AG7674" s="1"/>
      <c r="AI7674" s="1"/>
    </row>
    <row r="7675" spans="4:35" hidden="1">
      <c r="D7675" s="1"/>
      <c r="K7675" s="1"/>
      <c r="Q7675" s="1"/>
      <c r="AD7675" s="1"/>
      <c r="AG7675" s="1"/>
      <c r="AI7675" s="1"/>
    </row>
    <row r="7676" spans="4:35" hidden="1">
      <c r="D7676" s="1"/>
      <c r="K7676" s="1"/>
      <c r="Q7676" s="1"/>
      <c r="AD7676" s="1"/>
      <c r="AG7676" s="1"/>
      <c r="AI7676" s="1"/>
    </row>
    <row r="7677" spans="4:35" hidden="1">
      <c r="D7677" s="1"/>
      <c r="K7677" s="1"/>
      <c r="Q7677" s="1"/>
      <c r="AD7677" s="1"/>
      <c r="AG7677" s="1"/>
      <c r="AI7677" s="1"/>
    </row>
    <row r="7678" spans="4:35" hidden="1">
      <c r="D7678" s="1"/>
      <c r="K7678" s="1"/>
      <c r="Q7678" s="1"/>
      <c r="AD7678" s="1"/>
      <c r="AG7678" s="1"/>
      <c r="AI7678" s="1"/>
    </row>
    <row r="7679" spans="4:35" hidden="1">
      <c r="D7679" s="1"/>
      <c r="K7679" s="1"/>
      <c r="Q7679" s="1"/>
      <c r="AD7679" s="1"/>
      <c r="AG7679" s="1"/>
      <c r="AI7679" s="1"/>
    </row>
    <row r="7680" spans="4:35" hidden="1">
      <c r="D7680" s="1"/>
      <c r="K7680" s="1"/>
      <c r="Q7680" s="1"/>
      <c r="AD7680" s="1"/>
      <c r="AG7680" s="1"/>
      <c r="AI7680" s="1"/>
    </row>
    <row r="7681" spans="4:35" hidden="1">
      <c r="D7681" s="1"/>
      <c r="K7681" s="1"/>
      <c r="Q7681" s="1"/>
      <c r="AD7681" s="1"/>
      <c r="AG7681" s="1"/>
      <c r="AI7681" s="1"/>
    </row>
    <row r="7682" spans="4:35" hidden="1">
      <c r="D7682" s="1"/>
      <c r="K7682" s="1"/>
      <c r="Q7682" s="1"/>
      <c r="AD7682" s="1"/>
      <c r="AG7682" s="1"/>
      <c r="AI7682" s="1"/>
    </row>
    <row r="7683" spans="4:35" hidden="1">
      <c r="D7683" s="1"/>
      <c r="K7683" s="1"/>
      <c r="Q7683" s="1"/>
      <c r="AD7683" s="1"/>
      <c r="AG7683" s="1"/>
      <c r="AI7683" s="1"/>
    </row>
    <row r="7684" spans="4:35" hidden="1">
      <c r="D7684" s="1"/>
      <c r="K7684" s="1"/>
      <c r="Q7684" s="1"/>
      <c r="AD7684" s="1"/>
      <c r="AG7684" s="1"/>
      <c r="AI7684" s="1"/>
    </row>
    <row r="7685" spans="4:35" hidden="1">
      <c r="D7685" s="1"/>
      <c r="K7685" s="1"/>
      <c r="Q7685" s="1"/>
      <c r="AD7685" s="1"/>
      <c r="AG7685" s="1"/>
      <c r="AI7685" s="1"/>
    </row>
    <row r="7686" spans="4:35" hidden="1">
      <c r="D7686" s="1"/>
      <c r="K7686" s="1"/>
      <c r="Q7686" s="1"/>
      <c r="AD7686" s="1"/>
      <c r="AG7686" s="1"/>
      <c r="AI7686" s="1"/>
    </row>
    <row r="7687" spans="4:35" hidden="1">
      <c r="D7687" s="1"/>
      <c r="K7687" s="1"/>
      <c r="Q7687" s="1"/>
      <c r="AD7687" s="1"/>
      <c r="AG7687" s="1"/>
      <c r="AI7687" s="1"/>
    </row>
    <row r="7688" spans="4:35" hidden="1">
      <c r="D7688" s="1"/>
      <c r="K7688" s="1"/>
      <c r="Q7688" s="1"/>
      <c r="AD7688" s="1"/>
      <c r="AG7688" s="1"/>
      <c r="AI7688" s="1"/>
    </row>
    <row r="7689" spans="4:35" hidden="1">
      <c r="D7689" s="1"/>
      <c r="K7689" s="1"/>
      <c r="Q7689" s="1"/>
      <c r="AD7689" s="1"/>
      <c r="AG7689" s="1"/>
      <c r="AI7689" s="1"/>
    </row>
    <row r="7690" spans="4:35" hidden="1">
      <c r="D7690" s="1"/>
      <c r="K7690" s="1"/>
      <c r="Q7690" s="1"/>
      <c r="AD7690" s="1"/>
      <c r="AG7690" s="1"/>
      <c r="AI7690" s="1"/>
    </row>
    <row r="7691" spans="4:35" hidden="1">
      <c r="D7691" s="1"/>
      <c r="K7691" s="1"/>
      <c r="Q7691" s="1"/>
      <c r="AD7691" s="1"/>
      <c r="AG7691" s="1"/>
      <c r="AI7691" s="1"/>
    </row>
    <row r="7692" spans="4:35" hidden="1">
      <c r="D7692" s="1"/>
      <c r="K7692" s="1"/>
      <c r="Q7692" s="1"/>
      <c r="AD7692" s="1"/>
      <c r="AG7692" s="1"/>
      <c r="AI7692" s="1"/>
    </row>
    <row r="7693" spans="4:35" hidden="1">
      <c r="D7693" s="1"/>
      <c r="K7693" s="1"/>
      <c r="Q7693" s="1"/>
      <c r="AD7693" s="1"/>
      <c r="AG7693" s="1"/>
      <c r="AI7693" s="1"/>
    </row>
    <row r="7694" spans="4:35" hidden="1">
      <c r="D7694" s="1"/>
      <c r="K7694" s="1"/>
      <c r="Q7694" s="1"/>
      <c r="AD7694" s="1"/>
      <c r="AG7694" s="1"/>
      <c r="AI7694" s="1"/>
    </row>
    <row r="7695" spans="4:35" hidden="1">
      <c r="D7695" s="1"/>
      <c r="K7695" s="1"/>
      <c r="Q7695" s="1"/>
      <c r="AD7695" s="1"/>
      <c r="AG7695" s="1"/>
      <c r="AI7695" s="1"/>
    </row>
    <row r="7696" spans="4:35" hidden="1">
      <c r="D7696" s="1"/>
      <c r="K7696" s="1"/>
      <c r="Q7696" s="1"/>
      <c r="AD7696" s="1"/>
      <c r="AG7696" s="1"/>
      <c r="AI7696" s="1"/>
    </row>
    <row r="7697" spans="4:35" hidden="1">
      <c r="D7697" s="1"/>
      <c r="K7697" s="1"/>
      <c r="Q7697" s="1"/>
      <c r="AD7697" s="1"/>
      <c r="AG7697" s="1"/>
      <c r="AI7697" s="1"/>
    </row>
    <row r="7698" spans="4:35" hidden="1">
      <c r="D7698" s="1"/>
      <c r="K7698" s="1"/>
      <c r="Q7698" s="1"/>
      <c r="AD7698" s="1"/>
      <c r="AG7698" s="1"/>
      <c r="AI7698" s="1"/>
    </row>
    <row r="7699" spans="4:35" hidden="1">
      <c r="D7699" s="1"/>
      <c r="K7699" s="1"/>
      <c r="Q7699" s="1"/>
      <c r="AD7699" s="1"/>
      <c r="AG7699" s="1"/>
      <c r="AI7699" s="1"/>
    </row>
    <row r="7700" spans="4:35" hidden="1">
      <c r="D7700" s="1"/>
      <c r="K7700" s="1"/>
      <c r="Q7700" s="1"/>
      <c r="AD7700" s="1"/>
      <c r="AG7700" s="1"/>
      <c r="AI7700" s="1"/>
    </row>
    <row r="7701" spans="4:35" hidden="1">
      <c r="D7701" s="1"/>
      <c r="K7701" s="1"/>
      <c r="Q7701" s="1"/>
      <c r="AD7701" s="1"/>
      <c r="AG7701" s="1"/>
      <c r="AI7701" s="1"/>
    </row>
    <row r="7702" spans="4:35" hidden="1">
      <c r="D7702" s="1"/>
      <c r="K7702" s="1"/>
      <c r="Q7702" s="1"/>
      <c r="AD7702" s="1"/>
      <c r="AG7702" s="1"/>
      <c r="AI7702" s="1"/>
    </row>
    <row r="7703" spans="4:35" hidden="1">
      <c r="D7703" s="1"/>
      <c r="K7703" s="1"/>
      <c r="Q7703" s="1"/>
      <c r="AD7703" s="1"/>
      <c r="AG7703" s="1"/>
      <c r="AI7703" s="1"/>
    </row>
    <row r="7704" spans="4:35" hidden="1">
      <c r="D7704" s="1"/>
      <c r="K7704" s="1"/>
      <c r="Q7704" s="1"/>
      <c r="AD7704" s="1"/>
      <c r="AG7704" s="1"/>
      <c r="AI7704" s="1"/>
    </row>
    <row r="7705" spans="4:35" hidden="1">
      <c r="D7705" s="1"/>
      <c r="K7705" s="1"/>
      <c r="Q7705" s="1"/>
      <c r="AD7705" s="1"/>
      <c r="AG7705" s="1"/>
      <c r="AI7705" s="1"/>
    </row>
    <row r="7706" spans="4:35" hidden="1">
      <c r="D7706" s="1"/>
      <c r="K7706" s="1"/>
      <c r="Q7706" s="1"/>
      <c r="AD7706" s="1"/>
      <c r="AG7706" s="1"/>
      <c r="AI7706" s="1"/>
    </row>
    <row r="7707" spans="4:35" hidden="1">
      <c r="D7707" s="1"/>
      <c r="K7707" s="1"/>
      <c r="Q7707" s="1"/>
      <c r="AD7707" s="1"/>
      <c r="AG7707" s="1"/>
      <c r="AI7707" s="1"/>
    </row>
    <row r="7708" spans="4:35" hidden="1">
      <c r="D7708" s="1"/>
      <c r="K7708" s="1"/>
      <c r="Q7708" s="1"/>
      <c r="AD7708" s="1"/>
      <c r="AG7708" s="1"/>
      <c r="AI7708" s="1"/>
    </row>
    <row r="7709" spans="4:35" hidden="1">
      <c r="D7709" s="1"/>
      <c r="K7709" s="1"/>
      <c r="Q7709" s="1"/>
      <c r="AD7709" s="1"/>
      <c r="AG7709" s="1"/>
      <c r="AI7709" s="1"/>
    </row>
    <row r="7710" spans="4:35" hidden="1">
      <c r="D7710" s="1"/>
      <c r="K7710" s="1"/>
      <c r="Q7710" s="1"/>
      <c r="AD7710" s="1"/>
      <c r="AG7710" s="1"/>
      <c r="AI7710" s="1"/>
    </row>
    <row r="7711" spans="4:35" hidden="1">
      <c r="D7711" s="1"/>
      <c r="K7711" s="1"/>
      <c r="Q7711" s="1"/>
      <c r="AD7711" s="1"/>
      <c r="AG7711" s="1"/>
      <c r="AI7711" s="1"/>
    </row>
    <row r="7712" spans="4:35" hidden="1">
      <c r="D7712" s="1"/>
      <c r="K7712" s="1"/>
      <c r="Q7712" s="1"/>
      <c r="AD7712" s="1"/>
      <c r="AG7712" s="1"/>
      <c r="AI7712" s="1"/>
    </row>
    <row r="7713" spans="4:35" hidden="1">
      <c r="D7713" s="1"/>
      <c r="K7713" s="1"/>
      <c r="Q7713" s="1"/>
      <c r="AD7713" s="1"/>
      <c r="AG7713" s="1"/>
      <c r="AI7713" s="1"/>
    </row>
    <row r="7714" spans="4:35" hidden="1">
      <c r="D7714" s="1"/>
      <c r="K7714" s="1"/>
      <c r="Q7714" s="1"/>
      <c r="AD7714" s="1"/>
      <c r="AG7714" s="1"/>
      <c r="AI7714" s="1"/>
    </row>
    <row r="7715" spans="4:35" hidden="1">
      <c r="D7715" s="1"/>
      <c r="K7715" s="1"/>
      <c r="Q7715" s="1"/>
      <c r="AD7715" s="1"/>
      <c r="AG7715" s="1"/>
      <c r="AI7715" s="1"/>
    </row>
    <row r="7716" spans="4:35" hidden="1">
      <c r="D7716" s="1"/>
      <c r="K7716" s="1"/>
      <c r="Q7716" s="1"/>
      <c r="AD7716" s="1"/>
      <c r="AG7716" s="1"/>
      <c r="AI7716" s="1"/>
    </row>
    <row r="7717" spans="4:35" hidden="1">
      <c r="D7717" s="1"/>
      <c r="K7717" s="1"/>
      <c r="Q7717" s="1"/>
      <c r="AD7717" s="1"/>
      <c r="AG7717" s="1"/>
      <c r="AI7717" s="1"/>
    </row>
    <row r="7718" spans="4:35" hidden="1">
      <c r="D7718" s="1"/>
      <c r="K7718" s="1"/>
      <c r="Q7718" s="1"/>
      <c r="AD7718" s="1"/>
      <c r="AG7718" s="1"/>
      <c r="AI7718" s="1"/>
    </row>
    <row r="7719" spans="4:35" hidden="1">
      <c r="D7719" s="1"/>
      <c r="K7719" s="1"/>
      <c r="Q7719" s="1"/>
      <c r="AD7719" s="1"/>
      <c r="AG7719" s="1"/>
      <c r="AI7719" s="1"/>
    </row>
    <row r="7720" spans="4:35" hidden="1">
      <c r="D7720" s="1"/>
      <c r="K7720" s="1"/>
      <c r="Q7720" s="1"/>
      <c r="AD7720" s="1"/>
      <c r="AG7720" s="1"/>
      <c r="AI7720" s="1"/>
    </row>
    <row r="7721" spans="4:35" hidden="1">
      <c r="D7721" s="1"/>
      <c r="K7721" s="1"/>
      <c r="Q7721" s="1"/>
      <c r="AD7721" s="1"/>
      <c r="AG7721" s="1"/>
      <c r="AI7721" s="1"/>
    </row>
    <row r="7722" spans="4:35" hidden="1">
      <c r="D7722" s="1"/>
      <c r="K7722" s="1"/>
      <c r="Q7722" s="1"/>
      <c r="AD7722" s="1"/>
      <c r="AG7722" s="1"/>
      <c r="AI7722" s="1"/>
    </row>
    <row r="7723" spans="4:35" hidden="1">
      <c r="D7723" s="1"/>
      <c r="K7723" s="1"/>
      <c r="Q7723" s="1"/>
      <c r="AD7723" s="1"/>
      <c r="AG7723" s="1"/>
      <c r="AI7723" s="1"/>
    </row>
    <row r="7724" spans="4:35" hidden="1">
      <c r="D7724" s="1"/>
      <c r="K7724" s="1"/>
      <c r="Q7724" s="1"/>
      <c r="AD7724" s="1"/>
      <c r="AG7724" s="1"/>
      <c r="AI7724" s="1"/>
    </row>
    <row r="7725" spans="4:35" hidden="1">
      <c r="D7725" s="1"/>
      <c r="K7725" s="1"/>
      <c r="Q7725" s="1"/>
      <c r="AD7725" s="1"/>
      <c r="AG7725" s="1"/>
      <c r="AI7725" s="1"/>
    </row>
    <row r="7726" spans="4:35" hidden="1">
      <c r="D7726" s="1"/>
      <c r="K7726" s="1"/>
      <c r="Q7726" s="1"/>
      <c r="AD7726" s="1"/>
      <c r="AG7726" s="1"/>
      <c r="AI7726" s="1"/>
    </row>
    <row r="7727" spans="4:35" hidden="1">
      <c r="D7727" s="1"/>
      <c r="K7727" s="1"/>
      <c r="Q7727" s="1"/>
      <c r="AD7727" s="1"/>
      <c r="AG7727" s="1"/>
      <c r="AI7727" s="1"/>
    </row>
    <row r="7728" spans="4:35" hidden="1">
      <c r="D7728" s="1"/>
      <c r="K7728" s="1"/>
      <c r="Q7728" s="1"/>
      <c r="AD7728" s="1"/>
      <c r="AG7728" s="1"/>
      <c r="AI7728" s="1"/>
    </row>
    <row r="7729" spans="4:35" hidden="1">
      <c r="D7729" s="1"/>
      <c r="K7729" s="1"/>
      <c r="Q7729" s="1"/>
      <c r="AD7729" s="1"/>
      <c r="AG7729" s="1"/>
      <c r="AI7729" s="1"/>
    </row>
    <row r="7730" spans="4:35" hidden="1">
      <c r="D7730" s="1"/>
      <c r="K7730" s="1"/>
      <c r="Q7730" s="1"/>
      <c r="AD7730" s="1"/>
      <c r="AG7730" s="1"/>
      <c r="AI7730" s="1"/>
    </row>
    <row r="7731" spans="4:35" hidden="1">
      <c r="D7731" s="1"/>
      <c r="K7731" s="1"/>
      <c r="Q7731" s="1"/>
      <c r="AD7731" s="1"/>
      <c r="AG7731" s="1"/>
      <c r="AI7731" s="1"/>
    </row>
    <row r="7732" spans="4:35" hidden="1">
      <c r="D7732" s="1"/>
      <c r="K7732" s="1"/>
      <c r="Q7732" s="1"/>
      <c r="AD7732" s="1"/>
      <c r="AG7732" s="1"/>
      <c r="AI7732" s="1"/>
    </row>
    <row r="7733" spans="4:35" hidden="1">
      <c r="D7733" s="1"/>
      <c r="K7733" s="1"/>
      <c r="Q7733" s="1"/>
      <c r="AD7733" s="1"/>
      <c r="AG7733" s="1"/>
      <c r="AI7733" s="1"/>
    </row>
    <row r="7734" spans="4:35" hidden="1">
      <c r="D7734" s="1"/>
      <c r="K7734" s="1"/>
      <c r="Q7734" s="1"/>
      <c r="AD7734" s="1"/>
      <c r="AG7734" s="1"/>
      <c r="AI7734" s="1"/>
    </row>
    <row r="7735" spans="4:35" hidden="1">
      <c r="D7735" s="1"/>
      <c r="K7735" s="1"/>
      <c r="Q7735" s="1"/>
      <c r="AD7735" s="1"/>
      <c r="AG7735" s="1"/>
      <c r="AI7735" s="1"/>
    </row>
    <row r="7736" spans="4:35" hidden="1">
      <c r="D7736" s="1"/>
      <c r="K7736" s="1"/>
      <c r="Q7736" s="1"/>
      <c r="AD7736" s="1"/>
      <c r="AG7736" s="1"/>
      <c r="AI7736" s="1"/>
    </row>
    <row r="7737" spans="4:35" hidden="1">
      <c r="D7737" s="1"/>
      <c r="K7737" s="1"/>
      <c r="Q7737" s="1"/>
      <c r="AD7737" s="1"/>
      <c r="AG7737" s="1"/>
      <c r="AI7737" s="1"/>
    </row>
    <row r="7738" spans="4:35" hidden="1">
      <c r="D7738" s="1"/>
      <c r="K7738" s="1"/>
      <c r="Q7738" s="1"/>
      <c r="AD7738" s="1"/>
      <c r="AG7738" s="1"/>
      <c r="AI7738" s="1"/>
    </row>
    <row r="7739" spans="4:35" hidden="1">
      <c r="D7739" s="1"/>
      <c r="K7739" s="1"/>
      <c r="Q7739" s="1"/>
      <c r="AD7739" s="1"/>
      <c r="AG7739" s="1"/>
      <c r="AI7739" s="1"/>
    </row>
    <row r="7740" spans="4:35" hidden="1">
      <c r="D7740" s="1"/>
      <c r="K7740" s="1"/>
      <c r="Q7740" s="1"/>
      <c r="AD7740" s="1"/>
      <c r="AG7740" s="1"/>
      <c r="AI7740" s="1"/>
    </row>
    <row r="7741" spans="4:35" hidden="1">
      <c r="D7741" s="1"/>
      <c r="K7741" s="1"/>
      <c r="Q7741" s="1"/>
      <c r="AD7741" s="1"/>
      <c r="AG7741" s="1"/>
      <c r="AI7741" s="1"/>
    </row>
    <row r="7742" spans="4:35" hidden="1">
      <c r="D7742" s="1"/>
      <c r="K7742" s="1"/>
      <c r="Q7742" s="1"/>
      <c r="AD7742" s="1"/>
      <c r="AG7742" s="1"/>
      <c r="AI7742" s="1"/>
    </row>
    <row r="7743" spans="4:35" hidden="1">
      <c r="D7743" s="1"/>
      <c r="K7743" s="1"/>
      <c r="Q7743" s="1"/>
      <c r="AD7743" s="1"/>
      <c r="AG7743" s="1"/>
      <c r="AI7743" s="1"/>
    </row>
    <row r="7744" spans="4:35" hidden="1">
      <c r="D7744" s="1"/>
      <c r="K7744" s="1"/>
      <c r="Q7744" s="1"/>
      <c r="AD7744" s="1"/>
      <c r="AG7744" s="1"/>
      <c r="AI7744" s="1"/>
    </row>
    <row r="7745" spans="4:35" hidden="1">
      <c r="D7745" s="1"/>
      <c r="K7745" s="1"/>
      <c r="Q7745" s="1"/>
      <c r="AD7745" s="1"/>
      <c r="AG7745" s="1"/>
      <c r="AI7745" s="1"/>
    </row>
    <row r="7746" spans="4:35" hidden="1">
      <c r="D7746" s="1"/>
      <c r="K7746" s="1"/>
      <c r="Q7746" s="1"/>
      <c r="AD7746" s="1"/>
      <c r="AG7746" s="1"/>
      <c r="AI7746" s="1"/>
    </row>
    <row r="7747" spans="4:35" hidden="1">
      <c r="D7747" s="1"/>
      <c r="K7747" s="1"/>
      <c r="Q7747" s="1"/>
      <c r="AD7747" s="1"/>
      <c r="AG7747" s="1"/>
      <c r="AI7747" s="1"/>
    </row>
    <row r="7748" spans="4:35" hidden="1">
      <c r="D7748" s="1"/>
      <c r="K7748" s="1"/>
      <c r="Q7748" s="1"/>
      <c r="AD7748" s="1"/>
      <c r="AG7748" s="1"/>
      <c r="AI7748" s="1"/>
    </row>
    <row r="7749" spans="4:35" hidden="1">
      <c r="D7749" s="1"/>
      <c r="K7749" s="1"/>
      <c r="Q7749" s="1"/>
      <c r="AD7749" s="1"/>
      <c r="AG7749" s="1"/>
      <c r="AI7749" s="1"/>
    </row>
    <row r="7750" spans="4:35" hidden="1">
      <c r="D7750" s="1"/>
      <c r="K7750" s="1"/>
      <c r="Q7750" s="1"/>
      <c r="AD7750" s="1"/>
      <c r="AG7750" s="1"/>
      <c r="AI7750" s="1"/>
    </row>
    <row r="7751" spans="4:35" hidden="1">
      <c r="D7751" s="1"/>
      <c r="K7751" s="1"/>
      <c r="Q7751" s="1"/>
      <c r="AD7751" s="1"/>
      <c r="AG7751" s="1"/>
      <c r="AI7751" s="1"/>
    </row>
    <row r="7752" spans="4:35" hidden="1">
      <c r="D7752" s="1"/>
      <c r="K7752" s="1"/>
      <c r="Q7752" s="1"/>
      <c r="AD7752" s="1"/>
      <c r="AG7752" s="1"/>
      <c r="AI7752" s="1"/>
    </row>
    <row r="7753" spans="4:35" hidden="1">
      <c r="D7753" s="1"/>
      <c r="K7753" s="1"/>
      <c r="Q7753" s="1"/>
      <c r="AD7753" s="1"/>
      <c r="AG7753" s="1"/>
      <c r="AI7753" s="1"/>
    </row>
    <row r="7754" spans="4:35" hidden="1">
      <c r="D7754" s="1"/>
      <c r="K7754" s="1"/>
      <c r="Q7754" s="1"/>
      <c r="AD7754" s="1"/>
      <c r="AG7754" s="1"/>
      <c r="AI7754" s="1"/>
    </row>
    <row r="7755" spans="4:35" hidden="1">
      <c r="D7755" s="1"/>
      <c r="K7755" s="1"/>
      <c r="Q7755" s="1"/>
      <c r="AD7755" s="1"/>
      <c r="AG7755" s="1"/>
      <c r="AI7755" s="1"/>
    </row>
    <row r="7756" spans="4:35" hidden="1">
      <c r="D7756" s="1"/>
      <c r="K7756" s="1"/>
      <c r="Q7756" s="1"/>
      <c r="AD7756" s="1"/>
      <c r="AG7756" s="1"/>
      <c r="AI7756" s="1"/>
    </row>
    <row r="7757" spans="4:35" hidden="1">
      <c r="D7757" s="1"/>
      <c r="K7757" s="1"/>
      <c r="Q7757" s="1"/>
      <c r="AD7757" s="1"/>
      <c r="AG7757" s="1"/>
      <c r="AI7757" s="1"/>
    </row>
    <row r="7758" spans="4:35" hidden="1">
      <c r="D7758" s="1"/>
      <c r="K7758" s="1"/>
      <c r="Q7758" s="1"/>
      <c r="AD7758" s="1"/>
      <c r="AG7758" s="1"/>
      <c r="AI7758" s="1"/>
    </row>
    <row r="7759" spans="4:35" hidden="1">
      <c r="D7759" s="1"/>
      <c r="K7759" s="1"/>
      <c r="Q7759" s="1"/>
      <c r="AD7759" s="1"/>
      <c r="AG7759" s="1"/>
      <c r="AI7759" s="1"/>
    </row>
    <row r="7760" spans="4:35" hidden="1">
      <c r="D7760" s="1"/>
      <c r="K7760" s="1"/>
      <c r="Q7760" s="1"/>
      <c r="AD7760" s="1"/>
      <c r="AG7760" s="1"/>
      <c r="AI7760" s="1"/>
    </row>
    <row r="7761" spans="4:35" hidden="1">
      <c r="D7761" s="1"/>
      <c r="K7761" s="1"/>
      <c r="Q7761" s="1"/>
      <c r="AD7761" s="1"/>
      <c r="AG7761" s="1"/>
      <c r="AI7761" s="1"/>
    </row>
    <row r="7762" spans="4:35" hidden="1">
      <c r="D7762" s="1"/>
      <c r="K7762" s="1"/>
      <c r="Q7762" s="1"/>
      <c r="AD7762" s="1"/>
      <c r="AG7762" s="1"/>
      <c r="AI7762" s="1"/>
    </row>
    <row r="7763" spans="4:35" hidden="1">
      <c r="D7763" s="1"/>
      <c r="K7763" s="1"/>
      <c r="Q7763" s="1"/>
      <c r="AD7763" s="1"/>
      <c r="AG7763" s="1"/>
      <c r="AI7763" s="1"/>
    </row>
    <row r="7764" spans="4:35" hidden="1">
      <c r="D7764" s="1"/>
      <c r="K7764" s="1"/>
      <c r="Q7764" s="1"/>
      <c r="AD7764" s="1"/>
      <c r="AG7764" s="1"/>
      <c r="AI7764" s="1"/>
    </row>
    <row r="7765" spans="4:35" hidden="1">
      <c r="D7765" s="1"/>
      <c r="K7765" s="1"/>
      <c r="Q7765" s="1"/>
      <c r="AD7765" s="1"/>
      <c r="AG7765" s="1"/>
      <c r="AI7765" s="1"/>
    </row>
    <row r="7766" spans="4:35" hidden="1">
      <c r="D7766" s="1"/>
      <c r="K7766" s="1"/>
      <c r="Q7766" s="1"/>
      <c r="AD7766" s="1"/>
      <c r="AG7766" s="1"/>
      <c r="AI7766" s="1"/>
    </row>
    <row r="7767" spans="4:35" hidden="1">
      <c r="D7767" s="1"/>
      <c r="K7767" s="1"/>
      <c r="Q7767" s="1"/>
      <c r="AD7767" s="1"/>
      <c r="AG7767" s="1"/>
      <c r="AI7767" s="1"/>
    </row>
    <row r="7768" spans="4:35" hidden="1">
      <c r="D7768" s="1"/>
      <c r="K7768" s="1"/>
      <c r="Q7768" s="1"/>
      <c r="AD7768" s="1"/>
      <c r="AG7768" s="1"/>
      <c r="AI7768" s="1"/>
    </row>
    <row r="7769" spans="4:35" hidden="1">
      <c r="D7769" s="1"/>
      <c r="K7769" s="1"/>
      <c r="Q7769" s="1"/>
      <c r="AD7769" s="1"/>
      <c r="AG7769" s="1"/>
      <c r="AI7769" s="1"/>
    </row>
    <row r="7770" spans="4:35" hidden="1">
      <c r="D7770" s="1"/>
      <c r="K7770" s="1"/>
      <c r="Q7770" s="1"/>
      <c r="AD7770" s="1"/>
      <c r="AG7770" s="1"/>
      <c r="AI7770" s="1"/>
    </row>
    <row r="7771" spans="4:35" hidden="1">
      <c r="D7771" s="1"/>
      <c r="K7771" s="1"/>
      <c r="Q7771" s="1"/>
      <c r="AD7771" s="1"/>
      <c r="AG7771" s="1"/>
      <c r="AI7771" s="1"/>
    </row>
    <row r="7772" spans="4:35" hidden="1">
      <c r="D7772" s="1"/>
      <c r="K7772" s="1"/>
      <c r="Q7772" s="1"/>
      <c r="AD7772" s="1"/>
      <c r="AG7772" s="1"/>
      <c r="AI7772" s="1"/>
    </row>
    <row r="7773" spans="4:35" hidden="1">
      <c r="D7773" s="1"/>
      <c r="K7773" s="1"/>
      <c r="Q7773" s="1"/>
      <c r="AD7773" s="1"/>
      <c r="AG7773" s="1"/>
      <c r="AI7773" s="1"/>
    </row>
    <row r="7774" spans="4:35" hidden="1">
      <c r="D7774" s="1"/>
      <c r="K7774" s="1"/>
      <c r="Q7774" s="1"/>
      <c r="AD7774" s="1"/>
      <c r="AG7774" s="1"/>
      <c r="AI7774" s="1"/>
    </row>
    <row r="7775" spans="4:35" hidden="1">
      <c r="D7775" s="1"/>
      <c r="K7775" s="1"/>
      <c r="Q7775" s="1"/>
      <c r="AD7775" s="1"/>
      <c r="AG7775" s="1"/>
      <c r="AI7775" s="1"/>
    </row>
    <row r="7776" spans="4:35" hidden="1">
      <c r="D7776" s="1"/>
      <c r="K7776" s="1"/>
      <c r="Q7776" s="1"/>
      <c r="AD7776" s="1"/>
      <c r="AG7776" s="1"/>
      <c r="AI7776" s="1"/>
    </row>
    <row r="7777" spans="4:35" hidden="1">
      <c r="D7777" s="1"/>
      <c r="K7777" s="1"/>
      <c r="Q7777" s="1"/>
      <c r="AD7777" s="1"/>
      <c r="AG7777" s="1"/>
      <c r="AI7777" s="1"/>
    </row>
    <row r="7778" spans="4:35" hidden="1">
      <c r="D7778" s="1"/>
      <c r="K7778" s="1"/>
      <c r="Q7778" s="1"/>
      <c r="AD7778" s="1"/>
      <c r="AG7778" s="1"/>
      <c r="AI7778" s="1"/>
    </row>
    <row r="7779" spans="4:35" hidden="1">
      <c r="D7779" s="1"/>
      <c r="K7779" s="1"/>
      <c r="Q7779" s="1"/>
      <c r="AD7779" s="1"/>
      <c r="AG7779" s="1"/>
      <c r="AI7779" s="1"/>
    </row>
    <row r="7780" spans="4:35" hidden="1">
      <c r="D7780" s="1"/>
      <c r="K7780" s="1"/>
      <c r="Q7780" s="1"/>
      <c r="AD7780" s="1"/>
      <c r="AG7780" s="1"/>
      <c r="AI7780" s="1"/>
    </row>
    <row r="7781" spans="4:35" hidden="1">
      <c r="D7781" s="1"/>
      <c r="K7781" s="1"/>
      <c r="Q7781" s="1"/>
      <c r="AD7781" s="1"/>
      <c r="AG7781" s="1"/>
      <c r="AI7781" s="1"/>
    </row>
    <row r="7782" spans="4:35" hidden="1">
      <c r="D7782" s="1"/>
      <c r="K7782" s="1"/>
      <c r="Q7782" s="1"/>
      <c r="AD7782" s="1"/>
      <c r="AG7782" s="1"/>
      <c r="AI7782" s="1"/>
    </row>
    <row r="7783" spans="4:35" hidden="1">
      <c r="D7783" s="1"/>
      <c r="K7783" s="1"/>
      <c r="Q7783" s="1"/>
      <c r="AD7783" s="1"/>
      <c r="AG7783" s="1"/>
      <c r="AI7783" s="1"/>
    </row>
    <row r="7784" spans="4:35" hidden="1">
      <c r="D7784" s="1"/>
      <c r="K7784" s="1"/>
      <c r="Q7784" s="1"/>
      <c r="AD7784" s="1"/>
      <c r="AG7784" s="1"/>
      <c r="AI7784" s="1"/>
    </row>
    <row r="7785" spans="4:35" hidden="1">
      <c r="D7785" s="1"/>
      <c r="K7785" s="1"/>
      <c r="Q7785" s="1"/>
      <c r="AD7785" s="1"/>
      <c r="AG7785" s="1"/>
      <c r="AI7785" s="1"/>
    </row>
    <row r="7786" spans="4:35" hidden="1">
      <c r="D7786" s="1"/>
      <c r="K7786" s="1"/>
      <c r="Q7786" s="1"/>
      <c r="AD7786" s="1"/>
      <c r="AG7786" s="1"/>
      <c r="AI7786" s="1"/>
    </row>
    <row r="7787" spans="4:35" hidden="1">
      <c r="D7787" s="1"/>
      <c r="K7787" s="1"/>
      <c r="Q7787" s="1"/>
      <c r="AD7787" s="1"/>
      <c r="AG7787" s="1"/>
      <c r="AI7787" s="1"/>
    </row>
    <row r="7788" spans="4:35" hidden="1">
      <c r="D7788" s="1"/>
      <c r="K7788" s="1"/>
      <c r="Q7788" s="1"/>
      <c r="AD7788" s="1"/>
      <c r="AG7788" s="1"/>
      <c r="AI7788" s="1"/>
    </row>
    <row r="7789" spans="4:35" hidden="1">
      <c r="D7789" s="1"/>
      <c r="K7789" s="1"/>
      <c r="Q7789" s="1"/>
      <c r="AD7789" s="1"/>
      <c r="AG7789" s="1"/>
      <c r="AI7789" s="1"/>
    </row>
    <row r="7790" spans="4:35" hidden="1">
      <c r="D7790" s="1"/>
      <c r="K7790" s="1"/>
      <c r="Q7790" s="1"/>
      <c r="AD7790" s="1"/>
      <c r="AG7790" s="1"/>
      <c r="AI7790" s="1"/>
    </row>
    <row r="7791" spans="4:35" hidden="1">
      <c r="D7791" s="1"/>
      <c r="K7791" s="1"/>
      <c r="Q7791" s="1"/>
      <c r="AD7791" s="1"/>
      <c r="AG7791" s="1"/>
      <c r="AI7791" s="1"/>
    </row>
    <row r="7792" spans="4:35" hidden="1">
      <c r="D7792" s="1"/>
      <c r="K7792" s="1"/>
      <c r="Q7792" s="1"/>
      <c r="AD7792" s="1"/>
      <c r="AG7792" s="1"/>
      <c r="AI7792" s="1"/>
    </row>
    <row r="7793" spans="4:35" hidden="1">
      <c r="D7793" s="1"/>
      <c r="K7793" s="1"/>
      <c r="Q7793" s="1"/>
      <c r="AD7793" s="1"/>
      <c r="AG7793" s="1"/>
      <c r="AI7793" s="1"/>
    </row>
    <row r="7794" spans="4:35" hidden="1">
      <c r="D7794" s="1"/>
      <c r="K7794" s="1"/>
      <c r="Q7794" s="1"/>
      <c r="AD7794" s="1"/>
      <c r="AG7794" s="1"/>
      <c r="AI7794" s="1"/>
    </row>
    <row r="7795" spans="4:35" hidden="1">
      <c r="D7795" s="1"/>
      <c r="K7795" s="1"/>
      <c r="Q7795" s="1"/>
      <c r="AD7795" s="1"/>
      <c r="AG7795" s="1"/>
      <c r="AI7795" s="1"/>
    </row>
    <row r="7796" spans="4:35" hidden="1">
      <c r="D7796" s="1"/>
      <c r="K7796" s="1"/>
      <c r="Q7796" s="1"/>
      <c r="AD7796" s="1"/>
      <c r="AG7796" s="1"/>
      <c r="AI7796" s="1"/>
    </row>
    <row r="7797" spans="4:35" hidden="1">
      <c r="D7797" s="1"/>
      <c r="K7797" s="1"/>
      <c r="Q7797" s="1"/>
      <c r="AD7797" s="1"/>
      <c r="AG7797" s="1"/>
      <c r="AI7797" s="1"/>
    </row>
    <row r="7798" spans="4:35" hidden="1">
      <c r="D7798" s="1"/>
      <c r="K7798" s="1"/>
      <c r="Q7798" s="1"/>
      <c r="AD7798" s="1"/>
      <c r="AG7798" s="1"/>
      <c r="AI7798" s="1"/>
    </row>
    <row r="7799" spans="4:35" hidden="1">
      <c r="D7799" s="1"/>
      <c r="K7799" s="1"/>
      <c r="Q7799" s="1"/>
      <c r="AD7799" s="1"/>
      <c r="AG7799" s="1"/>
      <c r="AI7799" s="1"/>
    </row>
    <row r="7800" spans="4:35" hidden="1">
      <c r="D7800" s="1"/>
      <c r="K7800" s="1"/>
      <c r="Q7800" s="1"/>
      <c r="AD7800" s="1"/>
      <c r="AG7800" s="1"/>
      <c r="AI7800" s="1"/>
    </row>
    <row r="7801" spans="4:35" hidden="1">
      <c r="D7801" s="1"/>
      <c r="K7801" s="1"/>
      <c r="Q7801" s="1"/>
      <c r="AD7801" s="1"/>
      <c r="AG7801" s="1"/>
      <c r="AI7801" s="1"/>
    </row>
    <row r="7802" spans="4:35" hidden="1">
      <c r="D7802" s="1"/>
      <c r="K7802" s="1"/>
      <c r="Q7802" s="1"/>
      <c r="AD7802" s="1"/>
      <c r="AG7802" s="1"/>
      <c r="AI7802" s="1"/>
    </row>
    <row r="7803" spans="4:35" hidden="1">
      <c r="D7803" s="1"/>
      <c r="K7803" s="1"/>
      <c r="Q7803" s="1"/>
      <c r="AD7803" s="1"/>
      <c r="AG7803" s="1"/>
      <c r="AI7803" s="1"/>
    </row>
    <row r="7804" spans="4:35" hidden="1">
      <c r="D7804" s="1"/>
      <c r="K7804" s="1"/>
      <c r="Q7804" s="1"/>
      <c r="AD7804" s="1"/>
      <c r="AG7804" s="1"/>
      <c r="AI7804" s="1"/>
    </row>
    <row r="7805" spans="4:35" hidden="1">
      <c r="D7805" s="1"/>
      <c r="K7805" s="1"/>
      <c r="Q7805" s="1"/>
      <c r="AD7805" s="1"/>
      <c r="AG7805" s="1"/>
      <c r="AI7805" s="1"/>
    </row>
    <row r="7806" spans="4:35" hidden="1">
      <c r="D7806" s="1"/>
      <c r="K7806" s="1"/>
      <c r="Q7806" s="1"/>
      <c r="AD7806" s="1"/>
      <c r="AG7806" s="1"/>
      <c r="AI7806" s="1"/>
    </row>
    <row r="7807" spans="4:35" hidden="1">
      <c r="D7807" s="1"/>
      <c r="K7807" s="1"/>
      <c r="Q7807" s="1"/>
      <c r="AD7807" s="1"/>
      <c r="AG7807" s="1"/>
      <c r="AI7807" s="1"/>
    </row>
    <row r="7808" spans="4:35" hidden="1">
      <c r="D7808" s="1"/>
      <c r="K7808" s="1"/>
      <c r="Q7808" s="1"/>
      <c r="AD7808" s="1"/>
      <c r="AG7808" s="1"/>
      <c r="AI7808" s="1"/>
    </row>
    <row r="7809" spans="4:35" hidden="1">
      <c r="D7809" s="1"/>
      <c r="K7809" s="1"/>
      <c r="Q7809" s="1"/>
      <c r="AD7809" s="1"/>
      <c r="AG7809" s="1"/>
      <c r="AI7809" s="1"/>
    </row>
    <row r="7810" spans="4:35" hidden="1">
      <c r="D7810" s="1"/>
      <c r="K7810" s="1"/>
      <c r="Q7810" s="1"/>
      <c r="AD7810" s="1"/>
      <c r="AG7810" s="1"/>
      <c r="AI7810" s="1"/>
    </row>
    <row r="7811" spans="4:35" hidden="1">
      <c r="D7811" s="1"/>
      <c r="K7811" s="1"/>
      <c r="Q7811" s="1"/>
      <c r="AD7811" s="1"/>
      <c r="AG7811" s="1"/>
      <c r="AI7811" s="1"/>
    </row>
    <row r="7812" spans="4:35" hidden="1">
      <c r="D7812" s="1"/>
      <c r="K7812" s="1"/>
      <c r="Q7812" s="1"/>
      <c r="AD7812" s="1"/>
      <c r="AG7812" s="1"/>
      <c r="AI7812" s="1"/>
    </row>
    <row r="7813" spans="4:35" hidden="1">
      <c r="D7813" s="1"/>
      <c r="K7813" s="1"/>
      <c r="Q7813" s="1"/>
      <c r="AD7813" s="1"/>
      <c r="AG7813" s="1"/>
      <c r="AI7813" s="1"/>
    </row>
    <row r="7814" spans="4:35" hidden="1">
      <c r="D7814" s="1"/>
      <c r="K7814" s="1"/>
      <c r="Q7814" s="1"/>
      <c r="AD7814" s="1"/>
      <c r="AG7814" s="1"/>
      <c r="AI7814" s="1"/>
    </row>
    <row r="7815" spans="4:35" hidden="1">
      <c r="D7815" s="1"/>
      <c r="K7815" s="1"/>
      <c r="Q7815" s="1"/>
      <c r="AD7815" s="1"/>
      <c r="AG7815" s="1"/>
      <c r="AI7815" s="1"/>
    </row>
    <row r="7816" spans="4:35" hidden="1">
      <c r="D7816" s="1"/>
      <c r="K7816" s="1"/>
      <c r="Q7816" s="1"/>
      <c r="AD7816" s="1"/>
      <c r="AG7816" s="1"/>
      <c r="AI7816" s="1"/>
    </row>
    <row r="7817" spans="4:35" hidden="1">
      <c r="D7817" s="1"/>
      <c r="K7817" s="1"/>
      <c r="Q7817" s="1"/>
      <c r="AD7817" s="1"/>
      <c r="AG7817" s="1"/>
      <c r="AI7817" s="1"/>
    </row>
    <row r="7818" spans="4:35" hidden="1">
      <c r="D7818" s="1"/>
      <c r="K7818" s="1"/>
      <c r="Q7818" s="1"/>
      <c r="AD7818" s="1"/>
      <c r="AG7818" s="1"/>
      <c r="AI7818" s="1"/>
    </row>
    <row r="7819" spans="4:35" hidden="1">
      <c r="D7819" s="1"/>
      <c r="K7819" s="1"/>
      <c r="Q7819" s="1"/>
      <c r="AD7819" s="1"/>
      <c r="AG7819" s="1"/>
      <c r="AI7819" s="1"/>
    </row>
    <row r="7820" spans="4:35" hidden="1">
      <c r="D7820" s="1"/>
      <c r="K7820" s="1"/>
      <c r="Q7820" s="1"/>
      <c r="AD7820" s="1"/>
      <c r="AG7820" s="1"/>
      <c r="AI7820" s="1"/>
    </row>
    <row r="7821" spans="4:35" hidden="1">
      <c r="D7821" s="1"/>
      <c r="K7821" s="1"/>
      <c r="Q7821" s="1"/>
      <c r="AD7821" s="1"/>
      <c r="AG7821" s="1"/>
      <c r="AI7821" s="1"/>
    </row>
    <row r="7822" spans="4:35" hidden="1">
      <c r="D7822" s="1"/>
      <c r="K7822" s="1"/>
      <c r="Q7822" s="1"/>
      <c r="AD7822" s="1"/>
      <c r="AG7822" s="1"/>
      <c r="AI7822" s="1"/>
    </row>
    <row r="7823" spans="4:35" hidden="1">
      <c r="D7823" s="1"/>
      <c r="K7823" s="1"/>
      <c r="Q7823" s="1"/>
      <c r="AD7823" s="1"/>
      <c r="AG7823" s="1"/>
      <c r="AI7823" s="1"/>
    </row>
    <row r="7824" spans="4:35" hidden="1">
      <c r="D7824" s="1"/>
      <c r="K7824" s="1"/>
      <c r="Q7824" s="1"/>
      <c r="AD7824" s="1"/>
      <c r="AG7824" s="1"/>
      <c r="AI7824" s="1"/>
    </row>
    <row r="7825" spans="4:35" hidden="1">
      <c r="D7825" s="1"/>
      <c r="K7825" s="1"/>
      <c r="Q7825" s="1"/>
      <c r="AD7825" s="1"/>
      <c r="AG7825" s="1"/>
      <c r="AI7825" s="1"/>
    </row>
    <row r="7826" spans="4:35" hidden="1">
      <c r="D7826" s="1"/>
      <c r="K7826" s="1"/>
      <c r="Q7826" s="1"/>
      <c r="AD7826" s="1"/>
      <c r="AG7826" s="1"/>
      <c r="AI7826" s="1"/>
    </row>
    <row r="7827" spans="4:35" hidden="1">
      <c r="D7827" s="1"/>
      <c r="K7827" s="1"/>
      <c r="Q7827" s="1"/>
      <c r="AD7827" s="1"/>
      <c r="AG7827" s="1"/>
      <c r="AI7827" s="1"/>
    </row>
    <row r="7828" spans="4:35" hidden="1">
      <c r="D7828" s="1"/>
      <c r="K7828" s="1"/>
      <c r="Q7828" s="1"/>
      <c r="AD7828" s="1"/>
      <c r="AG7828" s="1"/>
      <c r="AI7828" s="1"/>
    </row>
    <row r="7829" spans="4:35" hidden="1">
      <c r="D7829" s="1"/>
      <c r="K7829" s="1"/>
      <c r="Q7829" s="1"/>
      <c r="AD7829" s="1"/>
      <c r="AG7829" s="1"/>
      <c r="AI7829" s="1"/>
    </row>
    <row r="7830" spans="4:35" hidden="1">
      <c r="D7830" s="1"/>
      <c r="K7830" s="1"/>
      <c r="Q7830" s="1"/>
      <c r="AD7830" s="1"/>
      <c r="AG7830" s="1"/>
      <c r="AI7830" s="1"/>
    </row>
    <row r="7831" spans="4:35" hidden="1">
      <c r="D7831" s="1"/>
      <c r="K7831" s="1"/>
      <c r="Q7831" s="1"/>
      <c r="AD7831" s="1"/>
      <c r="AG7831" s="1"/>
      <c r="AI7831" s="1"/>
    </row>
    <row r="7832" spans="4:35" hidden="1">
      <c r="D7832" s="1"/>
      <c r="K7832" s="1"/>
      <c r="Q7832" s="1"/>
      <c r="AD7832" s="1"/>
      <c r="AG7832" s="1"/>
      <c r="AI7832" s="1"/>
    </row>
    <row r="7833" spans="4:35" hidden="1">
      <c r="D7833" s="1"/>
      <c r="K7833" s="1"/>
      <c r="Q7833" s="1"/>
      <c r="AD7833" s="1"/>
      <c r="AG7833" s="1"/>
      <c r="AI7833" s="1"/>
    </row>
    <row r="7834" spans="4:35" hidden="1">
      <c r="D7834" s="1"/>
      <c r="K7834" s="1"/>
      <c r="Q7834" s="1"/>
      <c r="AD7834" s="1"/>
      <c r="AG7834" s="1"/>
      <c r="AI7834" s="1"/>
    </row>
    <row r="7835" spans="4:35" hidden="1">
      <c r="D7835" s="1"/>
      <c r="K7835" s="1"/>
      <c r="Q7835" s="1"/>
      <c r="AD7835" s="1"/>
      <c r="AG7835" s="1"/>
      <c r="AI7835" s="1"/>
    </row>
    <row r="7836" spans="4:35" hidden="1">
      <c r="D7836" s="1"/>
      <c r="K7836" s="1"/>
      <c r="Q7836" s="1"/>
      <c r="AD7836" s="1"/>
      <c r="AG7836" s="1"/>
      <c r="AI7836" s="1"/>
    </row>
    <row r="7837" spans="4:35" hidden="1">
      <c r="D7837" s="1"/>
      <c r="K7837" s="1"/>
      <c r="Q7837" s="1"/>
      <c r="AD7837" s="1"/>
      <c r="AG7837" s="1"/>
      <c r="AI7837" s="1"/>
    </row>
    <row r="7838" spans="4:35" hidden="1">
      <c r="D7838" s="1"/>
      <c r="K7838" s="1"/>
      <c r="Q7838" s="1"/>
      <c r="AD7838" s="1"/>
      <c r="AG7838" s="1"/>
      <c r="AI7838" s="1"/>
    </row>
    <row r="7839" spans="4:35" hidden="1">
      <c r="D7839" s="1"/>
      <c r="K7839" s="1"/>
      <c r="Q7839" s="1"/>
      <c r="AD7839" s="1"/>
      <c r="AG7839" s="1"/>
      <c r="AI7839" s="1"/>
    </row>
    <row r="7840" spans="4:35" hidden="1">
      <c r="D7840" s="1"/>
      <c r="K7840" s="1"/>
      <c r="Q7840" s="1"/>
      <c r="AD7840" s="1"/>
      <c r="AG7840" s="1"/>
      <c r="AI7840" s="1"/>
    </row>
    <row r="7841" spans="4:35" hidden="1">
      <c r="D7841" s="1"/>
      <c r="K7841" s="1"/>
      <c r="Q7841" s="1"/>
      <c r="AD7841" s="1"/>
      <c r="AG7841" s="1"/>
      <c r="AI7841" s="1"/>
    </row>
    <row r="7842" spans="4:35" hidden="1">
      <c r="D7842" s="1"/>
      <c r="K7842" s="1"/>
      <c r="Q7842" s="1"/>
      <c r="AD7842" s="1"/>
      <c r="AG7842" s="1"/>
      <c r="AI7842" s="1"/>
    </row>
    <row r="7843" spans="4:35" hidden="1">
      <c r="D7843" s="1"/>
      <c r="K7843" s="1"/>
      <c r="Q7843" s="1"/>
      <c r="AD7843" s="1"/>
      <c r="AG7843" s="1"/>
      <c r="AI7843" s="1"/>
    </row>
    <row r="7844" spans="4:35" hidden="1">
      <c r="D7844" s="1"/>
      <c r="K7844" s="1"/>
      <c r="Q7844" s="1"/>
      <c r="AD7844" s="1"/>
      <c r="AG7844" s="1"/>
      <c r="AI7844" s="1"/>
    </row>
    <row r="7845" spans="4:35" hidden="1">
      <c r="D7845" s="1"/>
      <c r="K7845" s="1"/>
      <c r="Q7845" s="1"/>
      <c r="AD7845" s="1"/>
      <c r="AG7845" s="1"/>
      <c r="AI7845" s="1"/>
    </row>
    <row r="7846" spans="4:35" hidden="1">
      <c r="D7846" s="1"/>
      <c r="K7846" s="1"/>
      <c r="Q7846" s="1"/>
      <c r="AD7846" s="1"/>
      <c r="AG7846" s="1"/>
      <c r="AI7846" s="1"/>
    </row>
    <row r="7847" spans="4:35" hidden="1">
      <c r="D7847" s="1"/>
      <c r="K7847" s="1"/>
      <c r="Q7847" s="1"/>
      <c r="AD7847" s="1"/>
      <c r="AG7847" s="1"/>
      <c r="AI7847" s="1"/>
    </row>
    <row r="7848" spans="4:35" hidden="1">
      <c r="D7848" s="1"/>
      <c r="K7848" s="1"/>
      <c r="Q7848" s="1"/>
      <c r="AD7848" s="1"/>
      <c r="AG7848" s="1"/>
      <c r="AI7848" s="1"/>
    </row>
    <row r="7849" spans="4:35" hidden="1">
      <c r="D7849" s="1"/>
      <c r="K7849" s="1"/>
      <c r="Q7849" s="1"/>
      <c r="AD7849" s="1"/>
      <c r="AG7849" s="1"/>
      <c r="AI7849" s="1"/>
    </row>
    <row r="7850" spans="4:35" hidden="1">
      <c r="D7850" s="1"/>
      <c r="K7850" s="1"/>
      <c r="Q7850" s="1"/>
      <c r="AD7850" s="1"/>
      <c r="AG7850" s="1"/>
      <c r="AI7850" s="1"/>
    </row>
    <row r="7851" spans="4:35" hidden="1">
      <c r="D7851" s="1"/>
      <c r="K7851" s="1"/>
      <c r="Q7851" s="1"/>
      <c r="AD7851" s="1"/>
      <c r="AG7851" s="1"/>
      <c r="AI7851" s="1"/>
    </row>
    <row r="7852" spans="4:35" hidden="1">
      <c r="D7852" s="1"/>
      <c r="K7852" s="1"/>
      <c r="Q7852" s="1"/>
      <c r="AD7852" s="1"/>
      <c r="AG7852" s="1"/>
      <c r="AI7852" s="1"/>
    </row>
    <row r="7853" spans="4:35" hidden="1">
      <c r="D7853" s="1"/>
      <c r="K7853" s="1"/>
      <c r="Q7853" s="1"/>
      <c r="AD7853" s="1"/>
      <c r="AG7853" s="1"/>
      <c r="AI7853" s="1"/>
    </row>
    <row r="7854" spans="4:35" hidden="1">
      <c r="D7854" s="1"/>
      <c r="K7854" s="1"/>
      <c r="Q7854" s="1"/>
      <c r="AD7854" s="1"/>
      <c r="AG7854" s="1"/>
      <c r="AI7854" s="1"/>
    </row>
    <row r="7855" spans="4:35" hidden="1">
      <c r="D7855" s="1"/>
      <c r="K7855" s="1"/>
      <c r="Q7855" s="1"/>
      <c r="AD7855" s="1"/>
      <c r="AG7855" s="1"/>
      <c r="AI7855" s="1"/>
    </row>
    <row r="7856" spans="4:35" hidden="1">
      <c r="D7856" s="1"/>
      <c r="K7856" s="1"/>
      <c r="Q7856" s="1"/>
      <c r="AD7856" s="1"/>
      <c r="AG7856" s="1"/>
      <c r="AI7856" s="1"/>
    </row>
    <row r="7857" spans="4:35" hidden="1">
      <c r="D7857" s="1"/>
      <c r="K7857" s="1"/>
      <c r="Q7857" s="1"/>
      <c r="AD7857" s="1"/>
      <c r="AG7857" s="1"/>
      <c r="AI7857" s="1"/>
    </row>
    <row r="7858" spans="4:35" hidden="1">
      <c r="D7858" s="1"/>
      <c r="K7858" s="1"/>
      <c r="Q7858" s="1"/>
      <c r="AD7858" s="1"/>
      <c r="AG7858" s="1"/>
      <c r="AI7858" s="1"/>
    </row>
    <row r="7859" spans="4:35" hidden="1">
      <c r="D7859" s="1"/>
      <c r="K7859" s="1"/>
      <c r="Q7859" s="1"/>
      <c r="AD7859" s="1"/>
      <c r="AG7859" s="1"/>
      <c r="AI7859" s="1"/>
    </row>
    <row r="7860" spans="4:35" hidden="1">
      <c r="D7860" s="1"/>
      <c r="K7860" s="1"/>
      <c r="Q7860" s="1"/>
      <c r="AD7860" s="1"/>
      <c r="AG7860" s="1"/>
      <c r="AI7860" s="1"/>
    </row>
    <row r="7861" spans="4:35" hidden="1">
      <c r="D7861" s="1"/>
      <c r="K7861" s="1"/>
      <c r="Q7861" s="1"/>
      <c r="AD7861" s="1"/>
      <c r="AG7861" s="1"/>
      <c r="AI7861" s="1"/>
    </row>
    <row r="7862" spans="4:35" hidden="1">
      <c r="D7862" s="1"/>
      <c r="K7862" s="1"/>
      <c r="Q7862" s="1"/>
      <c r="AD7862" s="1"/>
      <c r="AG7862" s="1"/>
      <c r="AI7862" s="1"/>
    </row>
    <row r="7863" spans="4:35" hidden="1">
      <c r="D7863" s="1"/>
      <c r="K7863" s="1"/>
      <c r="Q7863" s="1"/>
      <c r="AD7863" s="1"/>
      <c r="AG7863" s="1"/>
      <c r="AI7863" s="1"/>
    </row>
    <row r="7864" spans="4:35" hidden="1">
      <c r="D7864" s="1"/>
      <c r="K7864" s="1"/>
      <c r="Q7864" s="1"/>
      <c r="AD7864" s="1"/>
      <c r="AG7864" s="1"/>
      <c r="AI7864" s="1"/>
    </row>
    <row r="7865" spans="4:35" hidden="1">
      <c r="D7865" s="1"/>
      <c r="K7865" s="1"/>
      <c r="Q7865" s="1"/>
      <c r="AD7865" s="1"/>
      <c r="AG7865" s="1"/>
      <c r="AI7865" s="1"/>
    </row>
    <row r="7866" spans="4:35" hidden="1">
      <c r="D7866" s="1"/>
      <c r="K7866" s="1"/>
      <c r="Q7866" s="1"/>
      <c r="AD7866" s="1"/>
      <c r="AG7866" s="1"/>
      <c r="AI7866" s="1"/>
    </row>
    <row r="7867" spans="4:35" hidden="1">
      <c r="D7867" s="1"/>
      <c r="K7867" s="1"/>
      <c r="Q7867" s="1"/>
      <c r="AD7867" s="1"/>
      <c r="AG7867" s="1"/>
      <c r="AI7867" s="1"/>
    </row>
    <row r="7868" spans="4:35" hidden="1">
      <c r="D7868" s="1"/>
      <c r="K7868" s="1"/>
      <c r="Q7868" s="1"/>
      <c r="AD7868" s="1"/>
      <c r="AG7868" s="1"/>
      <c r="AI7868" s="1"/>
    </row>
    <row r="7869" spans="4:35" hidden="1">
      <c r="D7869" s="1"/>
      <c r="K7869" s="1"/>
      <c r="Q7869" s="1"/>
      <c r="AD7869" s="1"/>
      <c r="AG7869" s="1"/>
      <c r="AI7869" s="1"/>
    </row>
    <row r="7870" spans="4:35" hidden="1">
      <c r="D7870" s="1"/>
      <c r="K7870" s="1"/>
      <c r="Q7870" s="1"/>
      <c r="AD7870" s="1"/>
      <c r="AG7870" s="1"/>
      <c r="AI7870" s="1"/>
    </row>
    <row r="7871" spans="4:35" hidden="1">
      <c r="D7871" s="1"/>
      <c r="K7871" s="1"/>
      <c r="Q7871" s="1"/>
      <c r="AD7871" s="1"/>
      <c r="AG7871" s="1"/>
      <c r="AI7871" s="1"/>
    </row>
    <row r="7872" spans="4:35" hidden="1">
      <c r="D7872" s="1"/>
      <c r="K7872" s="1"/>
      <c r="Q7872" s="1"/>
      <c r="AD7872" s="1"/>
      <c r="AG7872" s="1"/>
      <c r="AI7872" s="1"/>
    </row>
    <row r="7873" spans="4:35" hidden="1">
      <c r="D7873" s="1"/>
      <c r="K7873" s="1"/>
      <c r="Q7873" s="1"/>
      <c r="AD7873" s="1"/>
      <c r="AG7873" s="1"/>
      <c r="AI7873" s="1"/>
    </row>
    <row r="7874" spans="4:35" hidden="1">
      <c r="D7874" s="1"/>
      <c r="K7874" s="1"/>
      <c r="Q7874" s="1"/>
      <c r="AD7874" s="1"/>
      <c r="AG7874" s="1"/>
      <c r="AI7874" s="1"/>
    </row>
    <row r="7875" spans="4:35" hidden="1">
      <c r="D7875" s="1"/>
      <c r="K7875" s="1"/>
      <c r="Q7875" s="1"/>
      <c r="AD7875" s="1"/>
      <c r="AG7875" s="1"/>
      <c r="AI7875" s="1"/>
    </row>
    <row r="7876" spans="4:35" hidden="1">
      <c r="D7876" s="1"/>
      <c r="K7876" s="1"/>
      <c r="Q7876" s="1"/>
      <c r="AD7876" s="1"/>
      <c r="AG7876" s="1"/>
      <c r="AI7876" s="1"/>
    </row>
    <row r="7877" spans="4:35" hidden="1">
      <c r="D7877" s="1"/>
      <c r="K7877" s="1"/>
      <c r="Q7877" s="1"/>
      <c r="AD7877" s="1"/>
      <c r="AG7877" s="1"/>
      <c r="AI7877" s="1"/>
    </row>
    <row r="7878" spans="4:35" hidden="1">
      <c r="D7878" s="1"/>
      <c r="K7878" s="1"/>
      <c r="Q7878" s="1"/>
      <c r="AD7878" s="1"/>
      <c r="AG7878" s="1"/>
      <c r="AI7878" s="1"/>
    </row>
    <row r="7879" spans="4:35" hidden="1">
      <c r="D7879" s="1"/>
      <c r="K7879" s="1"/>
      <c r="Q7879" s="1"/>
      <c r="AD7879" s="1"/>
      <c r="AG7879" s="1"/>
      <c r="AI7879" s="1"/>
    </row>
    <row r="7880" spans="4:35" hidden="1">
      <c r="D7880" s="1"/>
      <c r="K7880" s="1"/>
      <c r="Q7880" s="1"/>
      <c r="AD7880" s="1"/>
      <c r="AG7880" s="1"/>
      <c r="AI7880" s="1"/>
    </row>
    <row r="7881" spans="4:35" hidden="1">
      <c r="D7881" s="1"/>
      <c r="K7881" s="1"/>
      <c r="Q7881" s="1"/>
      <c r="AD7881" s="1"/>
      <c r="AG7881" s="1"/>
      <c r="AI7881" s="1"/>
    </row>
    <row r="7882" spans="4:35" hidden="1">
      <c r="D7882" s="1"/>
      <c r="K7882" s="1"/>
      <c r="Q7882" s="1"/>
      <c r="AD7882" s="1"/>
      <c r="AG7882" s="1"/>
      <c r="AI7882" s="1"/>
    </row>
    <row r="7883" spans="4:35" hidden="1">
      <c r="D7883" s="1"/>
      <c r="K7883" s="1"/>
      <c r="Q7883" s="1"/>
      <c r="AD7883" s="1"/>
      <c r="AG7883" s="1"/>
      <c r="AI7883" s="1"/>
    </row>
    <row r="7884" spans="4:35" hidden="1">
      <c r="D7884" s="1"/>
      <c r="K7884" s="1"/>
      <c r="Q7884" s="1"/>
      <c r="AD7884" s="1"/>
      <c r="AG7884" s="1"/>
      <c r="AI7884" s="1"/>
    </row>
    <row r="7885" spans="4:35" hidden="1">
      <c r="D7885" s="1"/>
      <c r="K7885" s="1"/>
      <c r="Q7885" s="1"/>
      <c r="AD7885" s="1"/>
      <c r="AG7885" s="1"/>
      <c r="AI7885" s="1"/>
    </row>
    <row r="7886" spans="4:35" hidden="1">
      <c r="D7886" s="1"/>
      <c r="K7886" s="1"/>
      <c r="Q7886" s="1"/>
      <c r="AD7886" s="1"/>
      <c r="AG7886" s="1"/>
      <c r="AI7886" s="1"/>
    </row>
    <row r="7887" spans="4:35" hidden="1">
      <c r="D7887" s="1"/>
      <c r="K7887" s="1"/>
      <c r="Q7887" s="1"/>
      <c r="AD7887" s="1"/>
      <c r="AG7887" s="1"/>
      <c r="AI7887" s="1"/>
    </row>
    <row r="7888" spans="4:35" hidden="1">
      <c r="D7888" s="1"/>
      <c r="K7888" s="1"/>
      <c r="Q7888" s="1"/>
      <c r="AD7888" s="1"/>
      <c r="AG7888" s="1"/>
      <c r="AI7888" s="1"/>
    </row>
    <row r="7889" spans="4:35" hidden="1">
      <c r="D7889" s="1"/>
      <c r="K7889" s="1"/>
      <c r="Q7889" s="1"/>
      <c r="AD7889" s="1"/>
      <c r="AG7889" s="1"/>
      <c r="AI7889" s="1"/>
    </row>
    <row r="7890" spans="4:35" hidden="1">
      <c r="D7890" s="1"/>
      <c r="K7890" s="1"/>
      <c r="Q7890" s="1"/>
      <c r="AD7890" s="1"/>
      <c r="AG7890" s="1"/>
      <c r="AI7890" s="1"/>
    </row>
    <row r="7891" spans="4:35" hidden="1">
      <c r="D7891" s="1"/>
      <c r="K7891" s="1"/>
      <c r="Q7891" s="1"/>
      <c r="AD7891" s="1"/>
      <c r="AG7891" s="1"/>
      <c r="AI7891" s="1"/>
    </row>
    <row r="7892" spans="4:35" hidden="1">
      <c r="D7892" s="1"/>
      <c r="K7892" s="1"/>
      <c r="Q7892" s="1"/>
      <c r="AD7892" s="1"/>
      <c r="AG7892" s="1"/>
      <c r="AI7892" s="1"/>
    </row>
    <row r="7893" spans="4:35" hidden="1">
      <c r="D7893" s="1"/>
      <c r="K7893" s="1"/>
      <c r="Q7893" s="1"/>
      <c r="AD7893" s="1"/>
      <c r="AG7893" s="1"/>
      <c r="AI7893" s="1"/>
    </row>
    <row r="7894" spans="4:35" hidden="1">
      <c r="D7894" s="1"/>
      <c r="K7894" s="1"/>
      <c r="Q7894" s="1"/>
      <c r="AD7894" s="1"/>
      <c r="AG7894" s="1"/>
      <c r="AI7894" s="1"/>
    </row>
    <row r="7895" spans="4:35" hidden="1">
      <c r="D7895" s="1"/>
      <c r="K7895" s="1"/>
      <c r="Q7895" s="1"/>
      <c r="AD7895" s="1"/>
      <c r="AG7895" s="1"/>
      <c r="AI7895" s="1"/>
    </row>
    <row r="7896" spans="4:35" hidden="1">
      <c r="D7896" s="1"/>
      <c r="K7896" s="1"/>
      <c r="Q7896" s="1"/>
      <c r="AD7896" s="1"/>
      <c r="AG7896" s="1"/>
      <c r="AI7896" s="1"/>
    </row>
    <row r="7897" spans="4:35" hidden="1">
      <c r="D7897" s="1"/>
      <c r="K7897" s="1"/>
      <c r="Q7897" s="1"/>
      <c r="AD7897" s="1"/>
      <c r="AG7897" s="1"/>
      <c r="AI7897" s="1"/>
    </row>
    <row r="7898" spans="4:35" hidden="1">
      <c r="D7898" s="1"/>
      <c r="K7898" s="1"/>
      <c r="Q7898" s="1"/>
      <c r="AD7898" s="1"/>
      <c r="AG7898" s="1"/>
      <c r="AI7898" s="1"/>
    </row>
    <row r="7899" spans="4:35" hidden="1">
      <c r="D7899" s="1"/>
      <c r="K7899" s="1"/>
      <c r="Q7899" s="1"/>
      <c r="AD7899" s="1"/>
      <c r="AG7899" s="1"/>
      <c r="AI7899" s="1"/>
    </row>
    <row r="7900" spans="4:35" hidden="1">
      <c r="D7900" s="1"/>
      <c r="K7900" s="1"/>
      <c r="Q7900" s="1"/>
      <c r="AD7900" s="1"/>
      <c r="AG7900" s="1"/>
      <c r="AI7900" s="1"/>
    </row>
    <row r="7901" spans="4:35" hidden="1">
      <c r="D7901" s="1"/>
      <c r="K7901" s="1"/>
      <c r="Q7901" s="1"/>
      <c r="AD7901" s="1"/>
      <c r="AG7901" s="1"/>
      <c r="AI7901" s="1"/>
    </row>
    <row r="7902" spans="4:35" hidden="1">
      <c r="D7902" s="1"/>
      <c r="K7902" s="1"/>
      <c r="Q7902" s="1"/>
      <c r="AD7902" s="1"/>
      <c r="AG7902" s="1"/>
      <c r="AI7902" s="1"/>
    </row>
    <row r="7903" spans="4:35" hidden="1">
      <c r="D7903" s="1"/>
      <c r="K7903" s="1"/>
      <c r="Q7903" s="1"/>
      <c r="AD7903" s="1"/>
      <c r="AG7903" s="1"/>
      <c r="AI7903" s="1"/>
    </row>
    <row r="7904" spans="4:35" hidden="1">
      <c r="D7904" s="1"/>
      <c r="K7904" s="1"/>
      <c r="Q7904" s="1"/>
      <c r="AD7904" s="1"/>
      <c r="AG7904" s="1"/>
      <c r="AI7904" s="1"/>
    </row>
    <row r="7905" spans="4:35" hidden="1">
      <c r="D7905" s="1"/>
      <c r="K7905" s="1"/>
      <c r="Q7905" s="1"/>
      <c r="AD7905" s="1"/>
      <c r="AG7905" s="1"/>
      <c r="AI7905" s="1"/>
    </row>
    <row r="7906" spans="4:35" hidden="1">
      <c r="D7906" s="1"/>
      <c r="K7906" s="1"/>
      <c r="Q7906" s="1"/>
      <c r="AD7906" s="1"/>
      <c r="AG7906" s="1"/>
      <c r="AI7906" s="1"/>
    </row>
    <row r="7907" spans="4:35" hidden="1">
      <c r="D7907" s="1"/>
      <c r="K7907" s="1"/>
      <c r="Q7907" s="1"/>
      <c r="AD7907" s="1"/>
      <c r="AG7907" s="1"/>
      <c r="AI7907" s="1"/>
    </row>
    <row r="7908" spans="4:35" hidden="1">
      <c r="D7908" s="1"/>
      <c r="K7908" s="1"/>
      <c r="Q7908" s="1"/>
      <c r="AD7908" s="1"/>
      <c r="AG7908" s="1"/>
      <c r="AI7908" s="1"/>
    </row>
    <row r="7909" spans="4:35" hidden="1">
      <c r="D7909" s="1"/>
      <c r="K7909" s="1"/>
      <c r="Q7909" s="1"/>
      <c r="AD7909" s="1"/>
      <c r="AG7909" s="1"/>
      <c r="AI7909" s="1"/>
    </row>
    <row r="7910" spans="4:35" hidden="1">
      <c r="D7910" s="1"/>
      <c r="K7910" s="1"/>
      <c r="Q7910" s="1"/>
      <c r="AD7910" s="1"/>
      <c r="AG7910" s="1"/>
      <c r="AI7910" s="1"/>
    </row>
    <row r="7911" spans="4:35" hidden="1">
      <c r="D7911" s="1"/>
      <c r="K7911" s="1"/>
      <c r="Q7911" s="1"/>
      <c r="AD7911" s="1"/>
      <c r="AG7911" s="1"/>
      <c r="AI7911" s="1"/>
    </row>
    <row r="7912" spans="4:35" hidden="1">
      <c r="D7912" s="1"/>
      <c r="K7912" s="1"/>
      <c r="Q7912" s="1"/>
      <c r="AD7912" s="1"/>
      <c r="AG7912" s="1"/>
      <c r="AI7912" s="1"/>
    </row>
    <row r="7913" spans="4:35" hidden="1">
      <c r="D7913" s="1"/>
      <c r="K7913" s="1"/>
      <c r="Q7913" s="1"/>
      <c r="AD7913" s="1"/>
      <c r="AG7913" s="1"/>
      <c r="AI7913" s="1"/>
    </row>
    <row r="7914" spans="4:35" hidden="1">
      <c r="D7914" s="1"/>
      <c r="K7914" s="1"/>
      <c r="Q7914" s="1"/>
      <c r="AD7914" s="1"/>
      <c r="AG7914" s="1"/>
      <c r="AI7914" s="1"/>
    </row>
    <row r="7915" spans="4:35" hidden="1">
      <c r="D7915" s="1"/>
      <c r="K7915" s="1"/>
      <c r="Q7915" s="1"/>
      <c r="AD7915" s="1"/>
      <c r="AG7915" s="1"/>
      <c r="AI7915" s="1"/>
    </row>
    <row r="7916" spans="4:35" hidden="1">
      <c r="D7916" s="1"/>
      <c r="K7916" s="1"/>
      <c r="Q7916" s="1"/>
      <c r="AD7916" s="1"/>
      <c r="AG7916" s="1"/>
      <c r="AI7916" s="1"/>
    </row>
    <row r="7917" spans="4:35" hidden="1">
      <c r="D7917" s="1"/>
      <c r="K7917" s="1"/>
      <c r="Q7917" s="1"/>
      <c r="AD7917" s="1"/>
      <c r="AG7917" s="1"/>
      <c r="AI7917" s="1"/>
    </row>
    <row r="7918" spans="4:35" hidden="1">
      <c r="D7918" s="1"/>
      <c r="K7918" s="1"/>
      <c r="Q7918" s="1"/>
      <c r="AD7918" s="1"/>
      <c r="AG7918" s="1"/>
      <c r="AI7918" s="1"/>
    </row>
    <row r="7919" spans="4:35" hidden="1">
      <c r="D7919" s="1"/>
      <c r="K7919" s="1"/>
      <c r="Q7919" s="1"/>
      <c r="AD7919" s="1"/>
      <c r="AG7919" s="1"/>
      <c r="AI7919" s="1"/>
    </row>
    <row r="7920" spans="4:35" hidden="1">
      <c r="D7920" s="1"/>
      <c r="K7920" s="1"/>
      <c r="Q7920" s="1"/>
      <c r="AD7920" s="1"/>
      <c r="AG7920" s="1"/>
      <c r="AI7920" s="1"/>
    </row>
    <row r="7921" spans="4:35" hidden="1">
      <c r="D7921" s="1"/>
      <c r="K7921" s="1"/>
      <c r="Q7921" s="1"/>
      <c r="AD7921" s="1"/>
      <c r="AG7921" s="1"/>
      <c r="AI7921" s="1"/>
    </row>
    <row r="7922" spans="4:35" hidden="1">
      <c r="D7922" s="1"/>
      <c r="K7922" s="1"/>
      <c r="Q7922" s="1"/>
      <c r="AD7922" s="1"/>
      <c r="AG7922" s="1"/>
      <c r="AI7922" s="1"/>
    </row>
    <row r="7923" spans="4:35" hidden="1">
      <c r="D7923" s="1"/>
      <c r="K7923" s="1"/>
      <c r="Q7923" s="1"/>
      <c r="AD7923" s="1"/>
      <c r="AG7923" s="1"/>
      <c r="AI7923" s="1"/>
    </row>
    <row r="7924" spans="4:35" hidden="1">
      <c r="D7924" s="1"/>
      <c r="K7924" s="1"/>
      <c r="Q7924" s="1"/>
      <c r="AD7924" s="1"/>
      <c r="AG7924" s="1"/>
      <c r="AI7924" s="1"/>
    </row>
    <row r="7925" spans="4:35" hidden="1">
      <c r="D7925" s="1"/>
      <c r="K7925" s="1"/>
      <c r="Q7925" s="1"/>
      <c r="AD7925" s="1"/>
      <c r="AG7925" s="1"/>
      <c r="AI7925" s="1"/>
    </row>
    <row r="7926" spans="4:35" hidden="1">
      <c r="D7926" s="1"/>
      <c r="K7926" s="1"/>
      <c r="Q7926" s="1"/>
      <c r="AD7926" s="1"/>
      <c r="AG7926" s="1"/>
      <c r="AI7926" s="1"/>
    </row>
    <row r="7927" spans="4:35" hidden="1">
      <c r="D7927" s="1"/>
      <c r="K7927" s="1"/>
      <c r="Q7927" s="1"/>
      <c r="AD7927" s="1"/>
      <c r="AG7927" s="1"/>
      <c r="AI7927" s="1"/>
    </row>
    <row r="7928" spans="4:35" hidden="1">
      <c r="D7928" s="1"/>
      <c r="K7928" s="1"/>
      <c r="Q7928" s="1"/>
      <c r="AD7928" s="1"/>
      <c r="AG7928" s="1"/>
      <c r="AI7928" s="1"/>
    </row>
    <row r="7929" spans="4:35" hidden="1">
      <c r="D7929" s="1"/>
      <c r="K7929" s="1"/>
      <c r="Q7929" s="1"/>
      <c r="AD7929" s="1"/>
      <c r="AG7929" s="1"/>
      <c r="AI7929" s="1"/>
    </row>
    <row r="7930" spans="4:35" hidden="1">
      <c r="D7930" s="1"/>
      <c r="K7930" s="1"/>
      <c r="Q7930" s="1"/>
      <c r="AD7930" s="1"/>
      <c r="AG7930" s="1"/>
      <c r="AI7930" s="1"/>
    </row>
    <row r="7931" spans="4:35" hidden="1">
      <c r="D7931" s="1"/>
      <c r="K7931" s="1"/>
      <c r="Q7931" s="1"/>
      <c r="AD7931" s="1"/>
      <c r="AG7931" s="1"/>
      <c r="AI7931" s="1"/>
    </row>
    <row r="7932" spans="4:35" hidden="1">
      <c r="D7932" s="1"/>
      <c r="K7932" s="1"/>
      <c r="Q7932" s="1"/>
      <c r="AD7932" s="1"/>
      <c r="AG7932" s="1"/>
      <c r="AI7932" s="1"/>
    </row>
    <row r="7933" spans="4:35" hidden="1">
      <c r="D7933" s="1"/>
      <c r="K7933" s="1"/>
      <c r="Q7933" s="1"/>
      <c r="AD7933" s="1"/>
      <c r="AG7933" s="1"/>
      <c r="AI7933" s="1"/>
    </row>
    <row r="7934" spans="4:35" hidden="1">
      <c r="D7934" s="1"/>
      <c r="K7934" s="1"/>
      <c r="Q7934" s="1"/>
      <c r="AD7934" s="1"/>
      <c r="AG7934" s="1"/>
      <c r="AI7934" s="1"/>
    </row>
    <row r="7935" spans="4:35" hidden="1">
      <c r="D7935" s="1"/>
      <c r="K7935" s="1"/>
      <c r="Q7935" s="1"/>
      <c r="AD7935" s="1"/>
      <c r="AG7935" s="1"/>
      <c r="AI7935" s="1"/>
    </row>
    <row r="7936" spans="4:35" hidden="1">
      <c r="D7936" s="1"/>
      <c r="K7936" s="1"/>
      <c r="Q7936" s="1"/>
      <c r="AD7936" s="1"/>
      <c r="AG7936" s="1"/>
      <c r="AI7936" s="1"/>
    </row>
    <row r="7937" spans="4:35" hidden="1">
      <c r="D7937" s="1"/>
      <c r="K7937" s="1"/>
      <c r="Q7937" s="1"/>
      <c r="AD7937" s="1"/>
      <c r="AG7937" s="1"/>
      <c r="AI7937" s="1"/>
    </row>
    <row r="7938" spans="4:35" hidden="1">
      <c r="D7938" s="1"/>
      <c r="K7938" s="1"/>
      <c r="Q7938" s="1"/>
      <c r="AD7938" s="1"/>
      <c r="AG7938" s="1"/>
      <c r="AI7938" s="1"/>
    </row>
    <row r="7939" spans="4:35" hidden="1">
      <c r="D7939" s="1"/>
      <c r="K7939" s="1"/>
      <c r="Q7939" s="1"/>
      <c r="AD7939" s="1"/>
      <c r="AG7939" s="1"/>
      <c r="AI7939" s="1"/>
    </row>
    <row r="7940" spans="4:35" hidden="1">
      <c r="D7940" s="1"/>
      <c r="K7940" s="1"/>
      <c r="Q7940" s="1"/>
      <c r="AD7940" s="1"/>
      <c r="AG7940" s="1"/>
      <c r="AI7940" s="1"/>
    </row>
    <row r="7941" spans="4:35" hidden="1">
      <c r="D7941" s="1"/>
      <c r="K7941" s="1"/>
      <c r="Q7941" s="1"/>
      <c r="AD7941" s="1"/>
      <c r="AG7941" s="1"/>
      <c r="AI7941" s="1"/>
    </row>
    <row r="7942" spans="4:35" hidden="1">
      <c r="D7942" s="1"/>
      <c r="K7942" s="1"/>
      <c r="Q7942" s="1"/>
      <c r="AD7942" s="1"/>
      <c r="AG7942" s="1"/>
      <c r="AI7942" s="1"/>
    </row>
    <row r="7943" spans="4:35" hidden="1">
      <c r="D7943" s="1"/>
      <c r="K7943" s="1"/>
      <c r="Q7943" s="1"/>
      <c r="AD7943" s="1"/>
      <c r="AG7943" s="1"/>
      <c r="AI7943" s="1"/>
    </row>
    <row r="7944" spans="4:35" hidden="1">
      <c r="D7944" s="1"/>
      <c r="K7944" s="1"/>
      <c r="Q7944" s="1"/>
      <c r="AD7944" s="1"/>
      <c r="AG7944" s="1"/>
      <c r="AI7944" s="1"/>
    </row>
    <row r="7945" spans="4:35" hidden="1">
      <c r="D7945" s="1"/>
      <c r="K7945" s="1"/>
      <c r="Q7945" s="1"/>
      <c r="AD7945" s="1"/>
      <c r="AG7945" s="1"/>
      <c r="AI7945" s="1"/>
    </row>
    <row r="7946" spans="4:35" hidden="1">
      <c r="D7946" s="1"/>
      <c r="K7946" s="1"/>
      <c r="Q7946" s="1"/>
      <c r="AD7946" s="1"/>
      <c r="AG7946" s="1"/>
      <c r="AI7946" s="1"/>
    </row>
    <row r="7947" spans="4:35" hidden="1">
      <c r="D7947" s="1"/>
      <c r="K7947" s="1"/>
      <c r="Q7947" s="1"/>
      <c r="AD7947" s="1"/>
      <c r="AG7947" s="1"/>
      <c r="AI7947" s="1"/>
    </row>
    <row r="7948" spans="4:35" hidden="1">
      <c r="D7948" s="1"/>
      <c r="K7948" s="1"/>
      <c r="Q7948" s="1"/>
      <c r="AD7948" s="1"/>
      <c r="AG7948" s="1"/>
      <c r="AI7948" s="1"/>
    </row>
    <row r="7949" spans="4:35" hidden="1">
      <c r="D7949" s="1"/>
      <c r="K7949" s="1"/>
      <c r="Q7949" s="1"/>
      <c r="AD7949" s="1"/>
      <c r="AG7949" s="1"/>
      <c r="AI7949" s="1"/>
    </row>
    <row r="7950" spans="4:35" hidden="1">
      <c r="D7950" s="1"/>
      <c r="K7950" s="1"/>
      <c r="Q7950" s="1"/>
      <c r="AD7950" s="1"/>
      <c r="AG7950" s="1"/>
      <c r="AI7950" s="1"/>
    </row>
    <row r="7951" spans="4:35" hidden="1">
      <c r="D7951" s="1"/>
      <c r="K7951" s="1"/>
      <c r="Q7951" s="1"/>
      <c r="AD7951" s="1"/>
      <c r="AG7951" s="1"/>
      <c r="AI7951" s="1"/>
    </row>
    <row r="7952" spans="4:35" hidden="1">
      <c r="D7952" s="1"/>
      <c r="K7952" s="1"/>
      <c r="Q7952" s="1"/>
      <c r="AD7952" s="1"/>
      <c r="AG7952" s="1"/>
      <c r="AI7952" s="1"/>
    </row>
    <row r="7953" spans="4:35" hidden="1">
      <c r="D7953" s="1"/>
      <c r="K7953" s="1"/>
      <c r="Q7953" s="1"/>
      <c r="AD7953" s="1"/>
      <c r="AG7953" s="1"/>
      <c r="AI7953" s="1"/>
    </row>
    <row r="7954" spans="4:35" hidden="1">
      <c r="D7954" s="1"/>
      <c r="K7954" s="1"/>
      <c r="Q7954" s="1"/>
      <c r="AD7954" s="1"/>
      <c r="AG7954" s="1"/>
      <c r="AI7954" s="1"/>
    </row>
    <row r="7955" spans="4:35" hidden="1">
      <c r="D7955" s="1"/>
      <c r="K7955" s="1"/>
      <c r="Q7955" s="1"/>
      <c r="AD7955" s="1"/>
      <c r="AG7955" s="1"/>
      <c r="AI7955" s="1"/>
    </row>
    <row r="7956" spans="4:35" hidden="1">
      <c r="D7956" s="1"/>
      <c r="K7956" s="1"/>
      <c r="Q7956" s="1"/>
      <c r="AD7956" s="1"/>
      <c r="AG7956" s="1"/>
      <c r="AI7956" s="1"/>
    </row>
    <row r="7957" spans="4:35" hidden="1">
      <c r="D7957" s="1"/>
      <c r="K7957" s="1"/>
      <c r="Q7957" s="1"/>
      <c r="AD7957" s="1"/>
      <c r="AG7957" s="1"/>
      <c r="AI7957" s="1"/>
    </row>
    <row r="7958" spans="4:35" hidden="1">
      <c r="D7958" s="1"/>
      <c r="K7958" s="1"/>
      <c r="Q7958" s="1"/>
      <c r="AD7958" s="1"/>
      <c r="AG7958" s="1"/>
      <c r="AI7958" s="1"/>
    </row>
    <row r="7959" spans="4:35" hidden="1">
      <c r="D7959" s="1"/>
      <c r="K7959" s="1"/>
      <c r="Q7959" s="1"/>
      <c r="AD7959" s="1"/>
      <c r="AG7959" s="1"/>
      <c r="AI7959" s="1"/>
    </row>
    <row r="7960" spans="4:35" hidden="1">
      <c r="D7960" s="1"/>
      <c r="K7960" s="1"/>
      <c r="Q7960" s="1"/>
      <c r="AD7960" s="1"/>
      <c r="AG7960" s="1"/>
      <c r="AI7960" s="1"/>
    </row>
    <row r="7961" spans="4:35" hidden="1">
      <c r="D7961" s="1"/>
      <c r="K7961" s="1"/>
      <c r="Q7961" s="1"/>
      <c r="AD7961" s="1"/>
      <c r="AG7961" s="1"/>
      <c r="AI7961" s="1"/>
    </row>
    <row r="7962" spans="4:35" hidden="1">
      <c r="D7962" s="1"/>
      <c r="K7962" s="1"/>
      <c r="Q7962" s="1"/>
      <c r="AD7962" s="1"/>
      <c r="AG7962" s="1"/>
      <c r="AI7962" s="1"/>
    </row>
    <row r="7963" spans="4:35" hidden="1">
      <c r="D7963" s="1"/>
      <c r="K7963" s="1"/>
      <c r="Q7963" s="1"/>
      <c r="AD7963" s="1"/>
      <c r="AG7963" s="1"/>
      <c r="AI7963" s="1"/>
    </row>
    <row r="7964" spans="4:35" hidden="1">
      <c r="D7964" s="1"/>
      <c r="K7964" s="1"/>
      <c r="Q7964" s="1"/>
      <c r="AD7964" s="1"/>
      <c r="AG7964" s="1"/>
      <c r="AI7964" s="1"/>
    </row>
    <row r="7965" spans="4:35" hidden="1">
      <c r="D7965" s="1"/>
      <c r="K7965" s="1"/>
      <c r="Q7965" s="1"/>
      <c r="AD7965" s="1"/>
      <c r="AG7965" s="1"/>
      <c r="AI7965" s="1"/>
    </row>
    <row r="7966" spans="4:35" hidden="1">
      <c r="D7966" s="1"/>
      <c r="K7966" s="1"/>
      <c r="Q7966" s="1"/>
      <c r="AD7966" s="1"/>
      <c r="AG7966" s="1"/>
      <c r="AI7966" s="1"/>
    </row>
    <row r="7967" spans="4:35" hidden="1">
      <c r="D7967" s="1"/>
      <c r="K7967" s="1"/>
      <c r="Q7967" s="1"/>
      <c r="AD7967" s="1"/>
      <c r="AG7967" s="1"/>
      <c r="AI7967" s="1"/>
    </row>
    <row r="7968" spans="4:35" hidden="1">
      <c r="D7968" s="1"/>
      <c r="K7968" s="1"/>
      <c r="Q7968" s="1"/>
      <c r="AD7968" s="1"/>
      <c r="AG7968" s="1"/>
      <c r="AI7968" s="1"/>
    </row>
    <row r="7969" spans="4:35" hidden="1">
      <c r="D7969" s="1"/>
      <c r="K7969" s="1"/>
      <c r="Q7969" s="1"/>
      <c r="AD7969" s="1"/>
      <c r="AG7969" s="1"/>
      <c r="AI7969" s="1"/>
    </row>
    <row r="7970" spans="4:35" hidden="1">
      <c r="D7970" s="1"/>
      <c r="K7970" s="1"/>
      <c r="Q7970" s="1"/>
      <c r="AD7970" s="1"/>
      <c r="AG7970" s="1"/>
      <c r="AI7970" s="1"/>
    </row>
    <row r="7971" spans="4:35" hidden="1">
      <c r="D7971" s="1"/>
      <c r="K7971" s="1"/>
      <c r="Q7971" s="1"/>
      <c r="AD7971" s="1"/>
      <c r="AG7971" s="1"/>
      <c r="AI7971" s="1"/>
    </row>
    <row r="7972" spans="4:35" hidden="1">
      <c r="D7972" s="1"/>
      <c r="K7972" s="1"/>
      <c r="Q7972" s="1"/>
      <c r="AD7972" s="1"/>
      <c r="AG7972" s="1"/>
      <c r="AI7972" s="1"/>
    </row>
    <row r="7973" spans="4:35" hidden="1">
      <c r="D7973" s="1"/>
      <c r="K7973" s="1"/>
      <c r="Q7973" s="1"/>
      <c r="AD7973" s="1"/>
      <c r="AG7973" s="1"/>
      <c r="AI7973" s="1"/>
    </row>
    <row r="7974" spans="4:35" hidden="1">
      <c r="D7974" s="1"/>
      <c r="K7974" s="1"/>
      <c r="Q7974" s="1"/>
      <c r="AD7974" s="1"/>
      <c r="AG7974" s="1"/>
      <c r="AI7974" s="1"/>
    </row>
    <row r="7975" spans="4:35" hidden="1">
      <c r="D7975" s="1"/>
      <c r="K7975" s="1"/>
      <c r="Q7975" s="1"/>
      <c r="AD7975" s="1"/>
      <c r="AG7975" s="1"/>
      <c r="AI7975" s="1"/>
    </row>
    <row r="7976" spans="4:35" hidden="1">
      <c r="D7976" s="1"/>
      <c r="K7976" s="1"/>
      <c r="Q7976" s="1"/>
      <c r="AD7976" s="1"/>
      <c r="AG7976" s="1"/>
      <c r="AI7976" s="1"/>
    </row>
    <row r="7977" spans="4:35" hidden="1">
      <c r="D7977" s="1"/>
      <c r="K7977" s="1"/>
      <c r="Q7977" s="1"/>
      <c r="AD7977" s="1"/>
      <c r="AG7977" s="1"/>
      <c r="AI7977" s="1"/>
    </row>
    <row r="7978" spans="4:35" hidden="1">
      <c r="D7978" s="1"/>
      <c r="K7978" s="1"/>
      <c r="Q7978" s="1"/>
      <c r="AD7978" s="1"/>
      <c r="AG7978" s="1"/>
      <c r="AI7978" s="1"/>
    </row>
    <row r="7979" spans="4:35" hidden="1">
      <c r="D7979" s="1"/>
      <c r="K7979" s="1"/>
      <c r="Q7979" s="1"/>
      <c r="AD7979" s="1"/>
      <c r="AG7979" s="1"/>
      <c r="AI7979" s="1"/>
    </row>
    <row r="7980" spans="4:35" hidden="1">
      <c r="D7980" s="1"/>
      <c r="K7980" s="1"/>
      <c r="Q7980" s="1"/>
      <c r="AD7980" s="1"/>
      <c r="AG7980" s="1"/>
      <c r="AI7980" s="1"/>
    </row>
    <row r="7981" spans="4:35" hidden="1">
      <c r="D7981" s="1"/>
      <c r="K7981" s="1"/>
      <c r="Q7981" s="1"/>
      <c r="AD7981" s="1"/>
      <c r="AG7981" s="1"/>
      <c r="AI7981" s="1"/>
    </row>
    <row r="7982" spans="4:35" hidden="1">
      <c r="D7982" s="1"/>
      <c r="K7982" s="1"/>
      <c r="Q7982" s="1"/>
      <c r="AD7982" s="1"/>
      <c r="AG7982" s="1"/>
      <c r="AI7982" s="1"/>
    </row>
    <row r="7983" spans="4:35" hidden="1">
      <c r="D7983" s="1"/>
      <c r="K7983" s="1"/>
      <c r="Q7983" s="1"/>
      <c r="AD7983" s="1"/>
      <c r="AG7983" s="1"/>
      <c r="AI7983" s="1"/>
    </row>
    <row r="7984" spans="4:35" hidden="1">
      <c r="D7984" s="1"/>
      <c r="K7984" s="1"/>
      <c r="Q7984" s="1"/>
      <c r="AD7984" s="1"/>
      <c r="AG7984" s="1"/>
      <c r="AI7984" s="1"/>
    </row>
    <row r="7985" spans="4:35" hidden="1">
      <c r="D7985" s="1"/>
      <c r="K7985" s="1"/>
      <c r="Q7985" s="1"/>
      <c r="AD7985" s="1"/>
      <c r="AG7985" s="1"/>
      <c r="AI7985" s="1"/>
    </row>
    <row r="7986" spans="4:35" hidden="1">
      <c r="D7986" s="1"/>
      <c r="K7986" s="1"/>
      <c r="Q7986" s="1"/>
      <c r="AD7986" s="1"/>
      <c r="AG7986" s="1"/>
      <c r="AI7986" s="1"/>
    </row>
    <row r="7987" spans="4:35" hidden="1">
      <c r="D7987" s="1"/>
      <c r="K7987" s="1"/>
      <c r="Q7987" s="1"/>
      <c r="AD7987" s="1"/>
      <c r="AG7987" s="1"/>
      <c r="AI7987" s="1"/>
    </row>
    <row r="7988" spans="4:35" hidden="1">
      <c r="D7988" s="1"/>
      <c r="K7988" s="1"/>
      <c r="Q7988" s="1"/>
      <c r="AD7988" s="1"/>
      <c r="AG7988" s="1"/>
      <c r="AI7988" s="1"/>
    </row>
    <row r="7989" spans="4:35" hidden="1">
      <c r="D7989" s="1"/>
      <c r="K7989" s="1"/>
      <c r="Q7989" s="1"/>
      <c r="AD7989" s="1"/>
      <c r="AG7989" s="1"/>
      <c r="AI7989" s="1"/>
    </row>
    <row r="7990" spans="4:35" hidden="1">
      <c r="D7990" s="1"/>
      <c r="K7990" s="1"/>
      <c r="Q7990" s="1"/>
      <c r="AD7990" s="1"/>
      <c r="AG7990" s="1"/>
      <c r="AI7990" s="1"/>
    </row>
    <row r="7991" spans="4:35" hidden="1">
      <c r="D7991" s="1"/>
      <c r="K7991" s="1"/>
      <c r="Q7991" s="1"/>
      <c r="AD7991" s="1"/>
      <c r="AG7991" s="1"/>
      <c r="AI7991" s="1"/>
    </row>
    <row r="7992" spans="4:35" hidden="1">
      <c r="D7992" s="1"/>
      <c r="K7992" s="1"/>
      <c r="Q7992" s="1"/>
      <c r="AD7992" s="1"/>
      <c r="AG7992" s="1"/>
      <c r="AI7992" s="1"/>
    </row>
    <row r="7993" spans="4:35" hidden="1">
      <c r="D7993" s="1"/>
      <c r="K7993" s="1"/>
      <c r="Q7993" s="1"/>
      <c r="AD7993" s="1"/>
      <c r="AG7993" s="1"/>
      <c r="AI7993" s="1"/>
    </row>
    <row r="7994" spans="4:35" hidden="1">
      <c r="D7994" s="1"/>
      <c r="K7994" s="1"/>
      <c r="Q7994" s="1"/>
      <c r="AD7994" s="1"/>
      <c r="AG7994" s="1"/>
      <c r="AI7994" s="1"/>
    </row>
    <row r="7995" spans="4:35" hidden="1">
      <c r="D7995" s="1"/>
      <c r="K7995" s="1"/>
      <c r="Q7995" s="1"/>
      <c r="AD7995" s="1"/>
      <c r="AG7995" s="1"/>
      <c r="AI7995" s="1"/>
    </row>
    <row r="7996" spans="4:35" hidden="1">
      <c r="D7996" s="1"/>
      <c r="K7996" s="1"/>
      <c r="Q7996" s="1"/>
      <c r="AD7996" s="1"/>
      <c r="AG7996" s="1"/>
      <c r="AI7996" s="1"/>
    </row>
    <row r="7997" spans="4:35" hidden="1">
      <c r="D7997" s="1"/>
      <c r="K7997" s="1"/>
      <c r="Q7997" s="1"/>
      <c r="AD7997" s="1"/>
      <c r="AG7997" s="1"/>
      <c r="AI7997" s="1"/>
    </row>
    <row r="7998" spans="4:35" hidden="1">
      <c r="D7998" s="1"/>
      <c r="K7998" s="1"/>
      <c r="Q7998" s="1"/>
      <c r="AD7998" s="1"/>
      <c r="AG7998" s="1"/>
      <c r="AI7998" s="1"/>
    </row>
    <row r="7999" spans="4:35" hidden="1">
      <c r="D7999" s="1"/>
      <c r="K7999" s="1"/>
      <c r="Q7999" s="1"/>
      <c r="AD7999" s="1"/>
      <c r="AG7999" s="1"/>
      <c r="AI7999" s="1"/>
    </row>
    <row r="8000" spans="4:35" hidden="1">
      <c r="D8000" s="1"/>
      <c r="K8000" s="1"/>
      <c r="Q8000" s="1"/>
      <c r="AD8000" s="1"/>
      <c r="AG8000" s="1"/>
      <c r="AI8000" s="1"/>
    </row>
    <row r="8001" spans="4:35" hidden="1">
      <c r="D8001" s="1"/>
      <c r="K8001" s="1"/>
      <c r="Q8001" s="1"/>
      <c r="AD8001" s="1"/>
      <c r="AG8001" s="1"/>
      <c r="AI8001" s="1"/>
    </row>
    <row r="8002" spans="4:35" hidden="1">
      <c r="D8002" s="1"/>
      <c r="K8002" s="1"/>
      <c r="Q8002" s="1"/>
      <c r="AD8002" s="1"/>
      <c r="AG8002" s="1"/>
      <c r="AI8002" s="1"/>
    </row>
    <row r="8003" spans="4:35" hidden="1">
      <c r="D8003" s="1"/>
      <c r="K8003" s="1"/>
      <c r="Q8003" s="1"/>
      <c r="AD8003" s="1"/>
      <c r="AG8003" s="1"/>
      <c r="AI8003" s="1"/>
    </row>
    <row r="8004" spans="4:35" hidden="1">
      <c r="D8004" s="1"/>
      <c r="K8004" s="1"/>
      <c r="Q8004" s="1"/>
      <c r="AD8004" s="1"/>
      <c r="AG8004" s="1"/>
      <c r="AI8004" s="1"/>
    </row>
    <row r="8005" spans="4:35" hidden="1">
      <c r="D8005" s="1"/>
      <c r="K8005" s="1"/>
      <c r="Q8005" s="1"/>
      <c r="AD8005" s="1"/>
      <c r="AG8005" s="1"/>
      <c r="AI8005" s="1"/>
    </row>
    <row r="8006" spans="4:35" hidden="1">
      <c r="D8006" s="1"/>
      <c r="K8006" s="1"/>
      <c r="Q8006" s="1"/>
      <c r="AD8006" s="1"/>
      <c r="AG8006" s="1"/>
      <c r="AI8006" s="1"/>
    </row>
    <row r="8007" spans="4:35" hidden="1">
      <c r="D8007" s="1"/>
      <c r="K8007" s="1"/>
      <c r="Q8007" s="1"/>
      <c r="AD8007" s="1"/>
      <c r="AG8007" s="1"/>
      <c r="AI8007" s="1"/>
    </row>
    <row r="8008" spans="4:35" hidden="1">
      <c r="D8008" s="1"/>
      <c r="K8008" s="1"/>
      <c r="Q8008" s="1"/>
      <c r="AD8008" s="1"/>
      <c r="AG8008" s="1"/>
      <c r="AI8008" s="1"/>
    </row>
    <row r="8009" spans="4:35" hidden="1">
      <c r="D8009" s="1"/>
      <c r="K8009" s="1"/>
      <c r="Q8009" s="1"/>
      <c r="AD8009" s="1"/>
      <c r="AG8009" s="1"/>
      <c r="AI8009" s="1"/>
    </row>
    <row r="8010" spans="4:35" hidden="1">
      <c r="D8010" s="1"/>
      <c r="K8010" s="1"/>
      <c r="Q8010" s="1"/>
      <c r="AD8010" s="1"/>
      <c r="AG8010" s="1"/>
      <c r="AI8010" s="1"/>
    </row>
    <row r="8011" spans="4:35" hidden="1">
      <c r="D8011" s="1"/>
      <c r="K8011" s="1"/>
      <c r="Q8011" s="1"/>
      <c r="AD8011" s="1"/>
      <c r="AG8011" s="1"/>
      <c r="AI8011" s="1"/>
    </row>
    <row r="8012" spans="4:35" hidden="1">
      <c r="D8012" s="1"/>
      <c r="K8012" s="1"/>
      <c r="Q8012" s="1"/>
      <c r="AD8012" s="1"/>
      <c r="AG8012" s="1"/>
      <c r="AI8012" s="1"/>
    </row>
    <row r="8013" spans="4:35" hidden="1">
      <c r="D8013" s="1"/>
      <c r="K8013" s="1"/>
      <c r="Q8013" s="1"/>
      <c r="AD8013" s="1"/>
      <c r="AG8013" s="1"/>
      <c r="AI8013" s="1"/>
    </row>
    <row r="8014" spans="4:35" hidden="1">
      <c r="D8014" s="1"/>
      <c r="K8014" s="1"/>
      <c r="Q8014" s="1"/>
      <c r="AD8014" s="1"/>
      <c r="AG8014" s="1"/>
      <c r="AI8014" s="1"/>
    </row>
    <row r="8015" spans="4:35" hidden="1">
      <c r="D8015" s="1"/>
      <c r="K8015" s="1"/>
      <c r="Q8015" s="1"/>
      <c r="AD8015" s="1"/>
      <c r="AG8015" s="1"/>
      <c r="AI8015" s="1"/>
    </row>
    <row r="8016" spans="4:35" hidden="1">
      <c r="D8016" s="1"/>
      <c r="K8016" s="1"/>
      <c r="Q8016" s="1"/>
      <c r="AD8016" s="1"/>
      <c r="AG8016" s="1"/>
      <c r="AI8016" s="1"/>
    </row>
    <row r="8017" spans="4:35" hidden="1">
      <c r="D8017" s="1"/>
      <c r="K8017" s="1"/>
      <c r="Q8017" s="1"/>
      <c r="AD8017" s="1"/>
      <c r="AG8017" s="1"/>
      <c r="AI8017" s="1"/>
    </row>
    <row r="8018" spans="4:35" hidden="1">
      <c r="D8018" s="1"/>
      <c r="K8018" s="1"/>
      <c r="Q8018" s="1"/>
      <c r="AD8018" s="1"/>
      <c r="AG8018" s="1"/>
      <c r="AI8018" s="1"/>
    </row>
    <row r="8019" spans="4:35" hidden="1">
      <c r="D8019" s="1"/>
      <c r="K8019" s="1"/>
      <c r="Q8019" s="1"/>
      <c r="AD8019" s="1"/>
      <c r="AG8019" s="1"/>
      <c r="AI8019" s="1"/>
    </row>
    <row r="8020" spans="4:35" hidden="1">
      <c r="D8020" s="1"/>
      <c r="K8020" s="1"/>
      <c r="Q8020" s="1"/>
      <c r="AD8020" s="1"/>
      <c r="AG8020" s="1"/>
      <c r="AI8020" s="1"/>
    </row>
    <row r="8021" spans="4:35" hidden="1">
      <c r="D8021" s="1"/>
      <c r="K8021" s="1"/>
      <c r="Q8021" s="1"/>
      <c r="AD8021" s="1"/>
      <c r="AG8021" s="1"/>
      <c r="AI8021" s="1"/>
    </row>
    <row r="8022" spans="4:35" hidden="1">
      <c r="D8022" s="1"/>
      <c r="K8022" s="1"/>
      <c r="Q8022" s="1"/>
      <c r="AD8022" s="1"/>
      <c r="AG8022" s="1"/>
      <c r="AI8022" s="1"/>
    </row>
    <row r="8023" spans="4:35" hidden="1">
      <c r="D8023" s="1"/>
      <c r="K8023" s="1"/>
      <c r="Q8023" s="1"/>
      <c r="AD8023" s="1"/>
      <c r="AG8023" s="1"/>
      <c r="AI8023" s="1"/>
    </row>
    <row r="8024" spans="4:35" hidden="1">
      <c r="D8024" s="1"/>
      <c r="K8024" s="1"/>
      <c r="Q8024" s="1"/>
      <c r="AD8024" s="1"/>
      <c r="AG8024" s="1"/>
      <c r="AI8024" s="1"/>
    </row>
    <row r="8025" spans="4:35" hidden="1">
      <c r="D8025" s="1"/>
      <c r="K8025" s="1"/>
      <c r="Q8025" s="1"/>
      <c r="AD8025" s="1"/>
      <c r="AG8025" s="1"/>
      <c r="AI8025" s="1"/>
    </row>
    <row r="8026" spans="4:35" hidden="1">
      <c r="D8026" s="1"/>
      <c r="K8026" s="1"/>
      <c r="Q8026" s="1"/>
      <c r="AD8026" s="1"/>
      <c r="AG8026" s="1"/>
      <c r="AI8026" s="1"/>
    </row>
    <row r="8027" spans="4:35" hidden="1">
      <c r="D8027" s="1"/>
      <c r="K8027" s="1"/>
      <c r="Q8027" s="1"/>
      <c r="AD8027" s="1"/>
      <c r="AG8027" s="1"/>
      <c r="AI8027" s="1"/>
    </row>
    <row r="8028" spans="4:35" hidden="1">
      <c r="D8028" s="1"/>
      <c r="K8028" s="1"/>
      <c r="Q8028" s="1"/>
      <c r="AD8028" s="1"/>
      <c r="AG8028" s="1"/>
      <c r="AI8028" s="1"/>
    </row>
    <row r="8029" spans="4:35" hidden="1">
      <c r="D8029" s="1"/>
      <c r="K8029" s="1"/>
      <c r="Q8029" s="1"/>
      <c r="AD8029" s="1"/>
      <c r="AG8029" s="1"/>
      <c r="AI8029" s="1"/>
    </row>
    <row r="8030" spans="4:35" hidden="1">
      <c r="D8030" s="1"/>
      <c r="K8030" s="1"/>
      <c r="Q8030" s="1"/>
      <c r="AD8030" s="1"/>
      <c r="AG8030" s="1"/>
      <c r="AI8030" s="1"/>
    </row>
    <row r="8031" spans="4:35" hidden="1">
      <c r="D8031" s="1"/>
      <c r="K8031" s="1"/>
      <c r="Q8031" s="1"/>
      <c r="AD8031" s="1"/>
      <c r="AG8031" s="1"/>
      <c r="AI8031" s="1"/>
    </row>
    <row r="8032" spans="4:35" hidden="1">
      <c r="D8032" s="1"/>
      <c r="K8032" s="1"/>
      <c r="Q8032" s="1"/>
      <c r="AD8032" s="1"/>
      <c r="AG8032" s="1"/>
      <c r="AI8032" s="1"/>
    </row>
    <row r="8033" spans="4:35" hidden="1">
      <c r="D8033" s="1"/>
      <c r="K8033" s="1"/>
      <c r="Q8033" s="1"/>
      <c r="AD8033" s="1"/>
      <c r="AG8033" s="1"/>
      <c r="AI8033" s="1"/>
    </row>
    <row r="8034" spans="4:35" hidden="1">
      <c r="D8034" s="1"/>
      <c r="K8034" s="1"/>
      <c r="Q8034" s="1"/>
      <c r="AD8034" s="1"/>
      <c r="AG8034" s="1"/>
      <c r="AI8034" s="1"/>
    </row>
    <row r="8035" spans="4:35" hidden="1">
      <c r="D8035" s="1"/>
      <c r="K8035" s="1"/>
      <c r="Q8035" s="1"/>
      <c r="AD8035" s="1"/>
      <c r="AG8035" s="1"/>
      <c r="AI8035" s="1"/>
    </row>
    <row r="8036" spans="4:35" hidden="1">
      <c r="D8036" s="1"/>
      <c r="K8036" s="1"/>
      <c r="Q8036" s="1"/>
      <c r="AD8036" s="1"/>
      <c r="AG8036" s="1"/>
      <c r="AI8036" s="1"/>
    </row>
    <row r="8037" spans="4:35" hidden="1">
      <c r="D8037" s="1"/>
      <c r="K8037" s="1"/>
      <c r="Q8037" s="1"/>
      <c r="AD8037" s="1"/>
      <c r="AG8037" s="1"/>
      <c r="AI8037" s="1"/>
    </row>
    <row r="8038" spans="4:35" hidden="1">
      <c r="D8038" s="1"/>
      <c r="K8038" s="1"/>
      <c r="Q8038" s="1"/>
      <c r="AD8038" s="1"/>
      <c r="AG8038" s="1"/>
      <c r="AI8038" s="1"/>
    </row>
    <row r="8039" spans="4:35" hidden="1">
      <c r="D8039" s="1"/>
      <c r="K8039" s="1"/>
      <c r="Q8039" s="1"/>
      <c r="AD8039" s="1"/>
      <c r="AG8039" s="1"/>
      <c r="AI8039" s="1"/>
    </row>
    <row r="8040" spans="4:35" hidden="1">
      <c r="D8040" s="1"/>
      <c r="K8040" s="1"/>
      <c r="Q8040" s="1"/>
      <c r="AD8040" s="1"/>
      <c r="AG8040" s="1"/>
      <c r="AI8040" s="1"/>
    </row>
    <row r="8041" spans="4:35" hidden="1">
      <c r="D8041" s="1"/>
      <c r="K8041" s="1"/>
      <c r="Q8041" s="1"/>
      <c r="AD8041" s="1"/>
      <c r="AG8041" s="1"/>
      <c r="AI8041" s="1"/>
    </row>
    <row r="8042" spans="4:35" hidden="1">
      <c r="D8042" s="1"/>
      <c r="K8042" s="1"/>
      <c r="Q8042" s="1"/>
      <c r="AD8042" s="1"/>
      <c r="AG8042" s="1"/>
      <c r="AI8042" s="1"/>
    </row>
    <row r="8043" spans="4:35" hidden="1">
      <c r="D8043" s="1"/>
      <c r="K8043" s="1"/>
      <c r="Q8043" s="1"/>
      <c r="AD8043" s="1"/>
      <c r="AG8043" s="1"/>
      <c r="AI8043" s="1"/>
    </row>
    <row r="8044" spans="4:35" hidden="1">
      <c r="D8044" s="1"/>
      <c r="K8044" s="1"/>
      <c r="Q8044" s="1"/>
      <c r="AD8044" s="1"/>
      <c r="AG8044" s="1"/>
      <c r="AI8044" s="1"/>
    </row>
    <row r="8045" spans="4:35" hidden="1">
      <c r="D8045" s="1"/>
      <c r="K8045" s="1"/>
      <c r="Q8045" s="1"/>
      <c r="AD8045" s="1"/>
      <c r="AG8045" s="1"/>
      <c r="AI8045" s="1"/>
    </row>
    <row r="8046" spans="4:35" hidden="1">
      <c r="D8046" s="1"/>
      <c r="K8046" s="1"/>
      <c r="Q8046" s="1"/>
      <c r="AD8046" s="1"/>
      <c r="AG8046" s="1"/>
      <c r="AI8046" s="1"/>
    </row>
    <row r="8047" spans="4:35" hidden="1">
      <c r="D8047" s="1"/>
      <c r="K8047" s="1"/>
      <c r="Q8047" s="1"/>
      <c r="AD8047" s="1"/>
      <c r="AG8047" s="1"/>
      <c r="AI8047" s="1"/>
    </row>
    <row r="8048" spans="4:35" hidden="1">
      <c r="D8048" s="1"/>
      <c r="K8048" s="1"/>
      <c r="Q8048" s="1"/>
      <c r="AD8048" s="1"/>
      <c r="AG8048" s="1"/>
      <c r="AI8048" s="1"/>
    </row>
    <row r="8049" spans="4:35" hidden="1">
      <c r="D8049" s="1"/>
      <c r="K8049" s="1"/>
      <c r="Q8049" s="1"/>
      <c r="AD8049" s="1"/>
      <c r="AG8049" s="1"/>
      <c r="AI8049" s="1"/>
    </row>
    <row r="8050" spans="4:35" hidden="1">
      <c r="D8050" s="1"/>
      <c r="K8050" s="1"/>
      <c r="Q8050" s="1"/>
      <c r="AD8050" s="1"/>
      <c r="AG8050" s="1"/>
      <c r="AI8050" s="1"/>
    </row>
    <row r="8051" spans="4:35" hidden="1">
      <c r="D8051" s="1"/>
      <c r="K8051" s="1"/>
      <c r="Q8051" s="1"/>
      <c r="AD8051" s="1"/>
      <c r="AG8051" s="1"/>
      <c r="AI8051" s="1"/>
    </row>
    <row r="8052" spans="4:35" hidden="1">
      <c r="D8052" s="1"/>
      <c r="K8052" s="1"/>
      <c r="Q8052" s="1"/>
      <c r="AD8052" s="1"/>
      <c r="AG8052" s="1"/>
      <c r="AI8052" s="1"/>
    </row>
    <row r="8053" spans="4:35" hidden="1">
      <c r="D8053" s="1"/>
      <c r="K8053" s="1"/>
      <c r="Q8053" s="1"/>
      <c r="AD8053" s="1"/>
      <c r="AG8053" s="1"/>
      <c r="AI8053" s="1"/>
    </row>
    <row r="8054" spans="4:35" hidden="1">
      <c r="D8054" s="1"/>
      <c r="K8054" s="1"/>
      <c r="Q8054" s="1"/>
      <c r="AD8054" s="1"/>
      <c r="AG8054" s="1"/>
      <c r="AI8054" s="1"/>
    </row>
    <row r="8055" spans="4:35" hidden="1">
      <c r="D8055" s="1"/>
      <c r="K8055" s="1"/>
      <c r="Q8055" s="1"/>
      <c r="AD8055" s="1"/>
      <c r="AG8055" s="1"/>
      <c r="AI8055" s="1"/>
    </row>
    <row r="8056" spans="4:35" hidden="1">
      <c r="D8056" s="1"/>
      <c r="K8056" s="1"/>
      <c r="Q8056" s="1"/>
      <c r="AD8056" s="1"/>
      <c r="AG8056" s="1"/>
      <c r="AI8056" s="1"/>
    </row>
    <row r="8057" spans="4:35" hidden="1">
      <c r="D8057" s="1"/>
      <c r="K8057" s="1"/>
      <c r="Q8057" s="1"/>
      <c r="AD8057" s="1"/>
      <c r="AG8057" s="1"/>
      <c r="AI8057" s="1"/>
    </row>
    <row r="8058" spans="4:35" hidden="1">
      <c r="D8058" s="1"/>
      <c r="K8058" s="1"/>
      <c r="Q8058" s="1"/>
      <c r="AD8058" s="1"/>
      <c r="AG8058" s="1"/>
      <c r="AI8058" s="1"/>
    </row>
    <row r="8059" spans="4:35" hidden="1">
      <c r="D8059" s="1"/>
      <c r="K8059" s="1"/>
      <c r="Q8059" s="1"/>
      <c r="AD8059" s="1"/>
      <c r="AG8059" s="1"/>
      <c r="AI8059" s="1"/>
    </row>
    <row r="8060" spans="4:35" hidden="1">
      <c r="D8060" s="1"/>
      <c r="K8060" s="1"/>
      <c r="Q8060" s="1"/>
      <c r="AD8060" s="1"/>
      <c r="AG8060" s="1"/>
      <c r="AI8060" s="1"/>
    </row>
    <row r="8061" spans="4:35" hidden="1">
      <c r="D8061" s="1"/>
      <c r="K8061" s="1"/>
      <c r="Q8061" s="1"/>
      <c r="AD8061" s="1"/>
      <c r="AG8061" s="1"/>
      <c r="AI8061" s="1"/>
    </row>
    <row r="8062" spans="4:35" hidden="1">
      <c r="D8062" s="1"/>
      <c r="K8062" s="1"/>
      <c r="Q8062" s="1"/>
      <c r="AD8062" s="1"/>
      <c r="AG8062" s="1"/>
      <c r="AI8062" s="1"/>
    </row>
    <row r="8063" spans="4:35" hidden="1">
      <c r="D8063" s="1"/>
      <c r="K8063" s="1"/>
      <c r="Q8063" s="1"/>
      <c r="AD8063" s="1"/>
      <c r="AG8063" s="1"/>
      <c r="AI8063" s="1"/>
    </row>
    <row r="8064" spans="4:35" hidden="1">
      <c r="D8064" s="1"/>
      <c r="K8064" s="1"/>
      <c r="Q8064" s="1"/>
      <c r="AD8064" s="1"/>
      <c r="AG8064" s="1"/>
      <c r="AI8064" s="1"/>
    </row>
    <row r="8065" spans="4:35" hidden="1">
      <c r="D8065" s="1"/>
      <c r="K8065" s="1"/>
      <c r="Q8065" s="1"/>
      <c r="AD8065" s="1"/>
      <c r="AG8065" s="1"/>
      <c r="AI8065" s="1"/>
    </row>
    <row r="8066" spans="4:35" hidden="1">
      <c r="D8066" s="1"/>
      <c r="K8066" s="1"/>
      <c r="Q8066" s="1"/>
      <c r="AD8066" s="1"/>
      <c r="AG8066" s="1"/>
      <c r="AI8066" s="1"/>
    </row>
    <row r="8067" spans="4:35" hidden="1">
      <c r="D8067" s="1"/>
      <c r="K8067" s="1"/>
      <c r="Q8067" s="1"/>
      <c r="AD8067" s="1"/>
      <c r="AG8067" s="1"/>
      <c r="AI8067" s="1"/>
    </row>
    <row r="8068" spans="4:35" hidden="1">
      <c r="D8068" s="1"/>
      <c r="K8068" s="1"/>
      <c r="Q8068" s="1"/>
      <c r="AD8068" s="1"/>
      <c r="AG8068" s="1"/>
      <c r="AI8068" s="1"/>
    </row>
    <row r="8069" spans="4:35" hidden="1">
      <c r="D8069" s="1"/>
      <c r="K8069" s="1"/>
      <c r="Q8069" s="1"/>
      <c r="AD8069" s="1"/>
      <c r="AG8069" s="1"/>
      <c r="AI8069" s="1"/>
    </row>
    <row r="8070" spans="4:35" hidden="1">
      <c r="D8070" s="1"/>
      <c r="K8070" s="1"/>
      <c r="Q8070" s="1"/>
      <c r="AD8070" s="1"/>
      <c r="AG8070" s="1"/>
      <c r="AI8070" s="1"/>
    </row>
    <row r="8071" spans="4:35" hidden="1">
      <c r="D8071" s="1"/>
      <c r="K8071" s="1"/>
      <c r="Q8071" s="1"/>
      <c r="AD8071" s="1"/>
      <c r="AG8071" s="1"/>
      <c r="AI8071" s="1"/>
    </row>
    <row r="8072" spans="4:35" hidden="1">
      <c r="D8072" s="1"/>
      <c r="K8072" s="1"/>
      <c r="Q8072" s="1"/>
      <c r="AD8072" s="1"/>
      <c r="AG8072" s="1"/>
      <c r="AI8072" s="1"/>
    </row>
    <row r="8073" spans="4:35" hidden="1">
      <c r="D8073" s="1"/>
      <c r="K8073" s="1"/>
      <c r="Q8073" s="1"/>
      <c r="AD8073" s="1"/>
      <c r="AG8073" s="1"/>
      <c r="AI8073" s="1"/>
    </row>
    <row r="8074" spans="4:35" hidden="1">
      <c r="D8074" s="1"/>
      <c r="K8074" s="1"/>
      <c r="Q8074" s="1"/>
      <c r="AD8074" s="1"/>
      <c r="AG8074" s="1"/>
      <c r="AI8074" s="1"/>
    </row>
    <row r="8075" spans="4:35" hidden="1">
      <c r="D8075" s="1"/>
      <c r="K8075" s="1"/>
      <c r="Q8075" s="1"/>
      <c r="AD8075" s="1"/>
      <c r="AG8075" s="1"/>
      <c r="AI8075" s="1"/>
    </row>
    <row r="8076" spans="4:35" hidden="1">
      <c r="D8076" s="1"/>
      <c r="K8076" s="1"/>
      <c r="Q8076" s="1"/>
      <c r="AD8076" s="1"/>
      <c r="AG8076" s="1"/>
      <c r="AI8076" s="1"/>
    </row>
    <row r="8077" spans="4:35" hidden="1">
      <c r="D8077" s="1"/>
      <c r="K8077" s="1"/>
      <c r="Q8077" s="1"/>
      <c r="AD8077" s="1"/>
      <c r="AG8077" s="1"/>
      <c r="AI8077" s="1"/>
    </row>
    <row r="8078" spans="4:35" hidden="1">
      <c r="D8078" s="1"/>
      <c r="K8078" s="1"/>
      <c r="Q8078" s="1"/>
      <c r="AD8078" s="1"/>
      <c r="AG8078" s="1"/>
      <c r="AI8078" s="1"/>
    </row>
    <row r="8079" spans="4:35" hidden="1">
      <c r="D8079" s="1"/>
      <c r="K8079" s="1"/>
      <c r="Q8079" s="1"/>
      <c r="AD8079" s="1"/>
      <c r="AG8079" s="1"/>
      <c r="AI8079" s="1"/>
    </row>
    <row r="8080" spans="4:35" hidden="1">
      <c r="D8080" s="1"/>
      <c r="K8080" s="1"/>
      <c r="Q8080" s="1"/>
      <c r="AD8080" s="1"/>
      <c r="AG8080" s="1"/>
      <c r="AI8080" s="1"/>
    </row>
    <row r="8081" spans="4:35" hidden="1">
      <c r="D8081" s="1"/>
      <c r="K8081" s="1"/>
      <c r="Q8081" s="1"/>
      <c r="AD8081" s="1"/>
      <c r="AG8081" s="1"/>
      <c r="AI8081" s="1"/>
    </row>
    <row r="8082" spans="4:35" hidden="1">
      <c r="D8082" s="1"/>
      <c r="K8082" s="1"/>
      <c r="Q8082" s="1"/>
      <c r="AD8082" s="1"/>
      <c r="AG8082" s="1"/>
      <c r="AI8082" s="1"/>
    </row>
    <row r="8083" spans="4:35" hidden="1">
      <c r="D8083" s="1"/>
      <c r="K8083" s="1"/>
      <c r="Q8083" s="1"/>
      <c r="AD8083" s="1"/>
      <c r="AG8083" s="1"/>
      <c r="AI8083" s="1"/>
    </row>
    <row r="8084" spans="4:35" hidden="1">
      <c r="D8084" s="1"/>
      <c r="K8084" s="1"/>
      <c r="Q8084" s="1"/>
      <c r="AD8084" s="1"/>
      <c r="AG8084" s="1"/>
      <c r="AI8084" s="1"/>
    </row>
    <row r="8085" spans="4:35" hidden="1">
      <c r="D8085" s="1"/>
      <c r="K8085" s="1"/>
      <c r="Q8085" s="1"/>
      <c r="AD8085" s="1"/>
      <c r="AG8085" s="1"/>
      <c r="AI8085" s="1"/>
    </row>
    <row r="8086" spans="4:35" hidden="1">
      <c r="D8086" s="1"/>
      <c r="K8086" s="1"/>
      <c r="Q8086" s="1"/>
      <c r="AD8086" s="1"/>
      <c r="AG8086" s="1"/>
      <c r="AI8086" s="1"/>
    </row>
    <row r="8087" spans="4:35" hidden="1">
      <c r="D8087" s="1"/>
      <c r="K8087" s="1"/>
      <c r="Q8087" s="1"/>
      <c r="AD8087" s="1"/>
      <c r="AG8087" s="1"/>
      <c r="AI8087" s="1"/>
    </row>
    <row r="8088" spans="4:35" hidden="1">
      <c r="D8088" s="1"/>
      <c r="K8088" s="1"/>
      <c r="Q8088" s="1"/>
      <c r="AD8088" s="1"/>
      <c r="AG8088" s="1"/>
      <c r="AI8088" s="1"/>
    </row>
    <row r="8089" spans="4:35" hidden="1">
      <c r="D8089" s="1"/>
      <c r="K8089" s="1"/>
      <c r="Q8089" s="1"/>
      <c r="AD8089" s="1"/>
      <c r="AG8089" s="1"/>
      <c r="AI8089" s="1"/>
    </row>
    <row r="8090" spans="4:35" hidden="1">
      <c r="D8090" s="1"/>
      <c r="K8090" s="1"/>
      <c r="Q8090" s="1"/>
      <c r="AD8090" s="1"/>
      <c r="AG8090" s="1"/>
      <c r="AI8090" s="1"/>
    </row>
    <row r="8091" spans="4:35" hidden="1">
      <c r="D8091" s="1"/>
      <c r="K8091" s="1"/>
      <c r="Q8091" s="1"/>
      <c r="AD8091" s="1"/>
      <c r="AG8091" s="1"/>
      <c r="AI8091" s="1"/>
    </row>
    <row r="8092" spans="4:35" hidden="1">
      <c r="D8092" s="1"/>
      <c r="K8092" s="1"/>
      <c r="Q8092" s="1"/>
      <c r="AD8092" s="1"/>
      <c r="AG8092" s="1"/>
      <c r="AI8092" s="1"/>
    </row>
    <row r="8093" spans="4:35" hidden="1">
      <c r="D8093" s="1"/>
      <c r="K8093" s="1"/>
      <c r="Q8093" s="1"/>
      <c r="AD8093" s="1"/>
      <c r="AG8093" s="1"/>
      <c r="AI8093" s="1"/>
    </row>
    <row r="8094" spans="4:35" hidden="1">
      <c r="D8094" s="1"/>
      <c r="K8094" s="1"/>
      <c r="Q8094" s="1"/>
      <c r="AD8094" s="1"/>
      <c r="AG8094" s="1"/>
      <c r="AI8094" s="1"/>
    </row>
    <row r="8095" spans="4:35" hidden="1">
      <c r="D8095" s="1"/>
      <c r="K8095" s="1"/>
      <c r="Q8095" s="1"/>
      <c r="AD8095" s="1"/>
      <c r="AG8095" s="1"/>
      <c r="AI8095" s="1"/>
    </row>
    <row r="8096" spans="4:35" hidden="1">
      <c r="D8096" s="1"/>
      <c r="K8096" s="1"/>
      <c r="Q8096" s="1"/>
      <c r="AD8096" s="1"/>
      <c r="AG8096" s="1"/>
      <c r="AI8096" s="1"/>
    </row>
    <row r="8097" spans="4:35" hidden="1">
      <c r="D8097" s="1"/>
      <c r="K8097" s="1"/>
      <c r="Q8097" s="1"/>
      <c r="AD8097" s="1"/>
      <c r="AG8097" s="1"/>
      <c r="AI8097" s="1"/>
    </row>
    <row r="8098" spans="4:35" hidden="1">
      <c r="D8098" s="1"/>
      <c r="K8098" s="1"/>
      <c r="Q8098" s="1"/>
      <c r="AD8098" s="1"/>
      <c r="AG8098" s="1"/>
      <c r="AI8098" s="1"/>
    </row>
    <row r="8099" spans="4:35" hidden="1">
      <c r="D8099" s="1"/>
      <c r="K8099" s="1"/>
      <c r="Q8099" s="1"/>
      <c r="AD8099" s="1"/>
      <c r="AG8099" s="1"/>
      <c r="AI8099" s="1"/>
    </row>
    <row r="8100" spans="4:35" hidden="1">
      <c r="D8100" s="1"/>
      <c r="K8100" s="1"/>
      <c r="Q8100" s="1"/>
      <c r="AD8100" s="1"/>
      <c r="AG8100" s="1"/>
      <c r="AI8100" s="1"/>
    </row>
    <row r="8101" spans="4:35" hidden="1">
      <c r="D8101" s="1"/>
      <c r="K8101" s="1"/>
      <c r="Q8101" s="1"/>
      <c r="AD8101" s="1"/>
      <c r="AG8101" s="1"/>
      <c r="AI8101" s="1"/>
    </row>
    <row r="8102" spans="4:35" hidden="1">
      <c r="D8102" s="1"/>
      <c r="K8102" s="1"/>
      <c r="Q8102" s="1"/>
      <c r="AD8102" s="1"/>
      <c r="AG8102" s="1"/>
      <c r="AI8102" s="1"/>
    </row>
    <row r="8103" spans="4:35" hidden="1">
      <c r="D8103" s="1"/>
      <c r="K8103" s="1"/>
      <c r="Q8103" s="1"/>
      <c r="AD8103" s="1"/>
      <c r="AG8103" s="1"/>
      <c r="AI8103" s="1"/>
    </row>
    <row r="8104" spans="4:35" hidden="1">
      <c r="D8104" s="1"/>
      <c r="K8104" s="1"/>
      <c r="Q8104" s="1"/>
      <c r="AD8104" s="1"/>
      <c r="AG8104" s="1"/>
      <c r="AI8104" s="1"/>
    </row>
    <row r="8105" spans="4:35" hidden="1">
      <c r="D8105" s="1"/>
      <c r="K8105" s="1"/>
      <c r="Q8105" s="1"/>
      <c r="AD8105" s="1"/>
      <c r="AG8105" s="1"/>
      <c r="AI8105" s="1"/>
    </row>
    <row r="8106" spans="4:35" hidden="1">
      <c r="D8106" s="1"/>
      <c r="K8106" s="1"/>
      <c r="Q8106" s="1"/>
      <c r="AD8106" s="1"/>
      <c r="AG8106" s="1"/>
      <c r="AI8106" s="1"/>
    </row>
    <row r="8107" spans="4:35" hidden="1">
      <c r="D8107" s="1"/>
      <c r="K8107" s="1"/>
      <c r="Q8107" s="1"/>
      <c r="AD8107" s="1"/>
      <c r="AG8107" s="1"/>
      <c r="AI8107" s="1"/>
    </row>
    <row r="8108" spans="4:35" hidden="1">
      <c r="D8108" s="1"/>
      <c r="K8108" s="1"/>
      <c r="Q8108" s="1"/>
      <c r="AD8108" s="1"/>
      <c r="AG8108" s="1"/>
      <c r="AI8108" s="1"/>
    </row>
    <row r="8109" spans="4:35" hidden="1">
      <c r="D8109" s="1"/>
      <c r="K8109" s="1"/>
      <c r="Q8109" s="1"/>
      <c r="AD8109" s="1"/>
      <c r="AG8109" s="1"/>
      <c r="AI8109" s="1"/>
    </row>
    <row r="8110" spans="4:35" hidden="1">
      <c r="D8110" s="1"/>
      <c r="K8110" s="1"/>
      <c r="Q8110" s="1"/>
      <c r="AD8110" s="1"/>
      <c r="AG8110" s="1"/>
      <c r="AI8110" s="1"/>
    </row>
    <row r="8111" spans="4:35" hidden="1">
      <c r="D8111" s="1"/>
      <c r="K8111" s="1"/>
      <c r="Q8111" s="1"/>
      <c r="AD8111" s="1"/>
      <c r="AG8111" s="1"/>
      <c r="AI8111" s="1"/>
    </row>
    <row r="8112" spans="4:35" hidden="1">
      <c r="D8112" s="1"/>
      <c r="K8112" s="1"/>
      <c r="Q8112" s="1"/>
      <c r="AD8112" s="1"/>
      <c r="AG8112" s="1"/>
      <c r="AI8112" s="1"/>
    </row>
    <row r="8113" spans="4:35" hidden="1">
      <c r="D8113" s="1"/>
      <c r="K8113" s="1"/>
      <c r="Q8113" s="1"/>
      <c r="AD8113" s="1"/>
      <c r="AG8113" s="1"/>
      <c r="AI8113" s="1"/>
    </row>
    <row r="8114" spans="4:35" hidden="1">
      <c r="D8114" s="1"/>
      <c r="K8114" s="1"/>
      <c r="Q8114" s="1"/>
      <c r="AD8114" s="1"/>
      <c r="AG8114" s="1"/>
      <c r="AI8114" s="1"/>
    </row>
    <row r="8115" spans="4:35" hidden="1">
      <c r="D8115" s="1"/>
      <c r="K8115" s="1"/>
      <c r="Q8115" s="1"/>
      <c r="AD8115" s="1"/>
      <c r="AG8115" s="1"/>
      <c r="AI8115" s="1"/>
    </row>
    <row r="8116" spans="4:35" hidden="1">
      <c r="D8116" s="1"/>
      <c r="K8116" s="1"/>
      <c r="Q8116" s="1"/>
      <c r="AD8116" s="1"/>
      <c r="AG8116" s="1"/>
      <c r="AI8116" s="1"/>
    </row>
    <row r="8117" spans="4:35" hidden="1">
      <c r="D8117" s="1"/>
      <c r="K8117" s="1"/>
      <c r="Q8117" s="1"/>
      <c r="AD8117" s="1"/>
      <c r="AG8117" s="1"/>
      <c r="AI8117" s="1"/>
    </row>
    <row r="8118" spans="4:35" hidden="1">
      <c r="D8118" s="1"/>
      <c r="K8118" s="1"/>
      <c r="Q8118" s="1"/>
      <c r="AD8118" s="1"/>
      <c r="AG8118" s="1"/>
      <c r="AI8118" s="1"/>
    </row>
    <row r="8119" spans="4:35" hidden="1">
      <c r="D8119" s="1"/>
      <c r="K8119" s="1"/>
      <c r="Q8119" s="1"/>
      <c r="AD8119" s="1"/>
      <c r="AG8119" s="1"/>
      <c r="AI8119" s="1"/>
    </row>
    <row r="8120" spans="4:35" hidden="1">
      <c r="D8120" s="1"/>
      <c r="K8120" s="1"/>
      <c r="Q8120" s="1"/>
      <c r="AD8120" s="1"/>
      <c r="AG8120" s="1"/>
      <c r="AI8120" s="1"/>
    </row>
    <row r="8121" spans="4:35" hidden="1">
      <c r="D8121" s="1"/>
      <c r="K8121" s="1"/>
      <c r="Q8121" s="1"/>
      <c r="AD8121" s="1"/>
      <c r="AG8121" s="1"/>
      <c r="AI8121" s="1"/>
    </row>
    <row r="8122" spans="4:35" hidden="1">
      <c r="D8122" s="1"/>
      <c r="K8122" s="1"/>
      <c r="Q8122" s="1"/>
      <c r="AD8122" s="1"/>
      <c r="AG8122" s="1"/>
      <c r="AI8122" s="1"/>
    </row>
    <row r="8123" spans="4:35" hidden="1">
      <c r="D8123" s="1"/>
      <c r="K8123" s="1"/>
      <c r="Q8123" s="1"/>
      <c r="AD8123" s="1"/>
      <c r="AG8123" s="1"/>
      <c r="AI8123" s="1"/>
    </row>
    <row r="8124" spans="4:35" hidden="1">
      <c r="D8124" s="1"/>
      <c r="K8124" s="1"/>
      <c r="Q8124" s="1"/>
      <c r="AD8124" s="1"/>
      <c r="AG8124" s="1"/>
      <c r="AI8124" s="1"/>
    </row>
    <row r="8125" spans="4:35" hidden="1">
      <c r="D8125" s="1"/>
      <c r="K8125" s="1"/>
      <c r="Q8125" s="1"/>
      <c r="AD8125" s="1"/>
      <c r="AG8125" s="1"/>
      <c r="AI8125" s="1"/>
    </row>
    <row r="8126" spans="4:35" hidden="1">
      <c r="D8126" s="1"/>
      <c r="K8126" s="1"/>
      <c r="Q8126" s="1"/>
      <c r="AD8126" s="1"/>
      <c r="AG8126" s="1"/>
      <c r="AI8126" s="1"/>
    </row>
    <row r="8127" spans="4:35" hidden="1">
      <c r="D8127" s="1"/>
      <c r="K8127" s="1"/>
      <c r="Q8127" s="1"/>
      <c r="AD8127" s="1"/>
      <c r="AG8127" s="1"/>
      <c r="AI8127" s="1"/>
    </row>
    <row r="8128" spans="4:35" hidden="1">
      <c r="D8128" s="1"/>
      <c r="K8128" s="1"/>
      <c r="Q8128" s="1"/>
      <c r="AD8128" s="1"/>
      <c r="AG8128" s="1"/>
      <c r="AI8128" s="1"/>
    </row>
    <row r="8129" spans="4:35" hidden="1">
      <c r="D8129" s="1"/>
      <c r="K8129" s="1"/>
      <c r="Q8129" s="1"/>
      <c r="AD8129" s="1"/>
      <c r="AG8129" s="1"/>
      <c r="AI8129" s="1"/>
    </row>
    <row r="8130" spans="4:35" hidden="1">
      <c r="D8130" s="1"/>
      <c r="K8130" s="1"/>
      <c r="Q8130" s="1"/>
      <c r="AD8130" s="1"/>
      <c r="AG8130" s="1"/>
      <c r="AI8130" s="1"/>
    </row>
    <row r="8131" spans="4:35" hidden="1">
      <c r="D8131" s="1"/>
      <c r="K8131" s="1"/>
      <c r="Q8131" s="1"/>
      <c r="AD8131" s="1"/>
      <c r="AG8131" s="1"/>
      <c r="AI8131" s="1"/>
    </row>
    <row r="8132" spans="4:35" hidden="1">
      <c r="D8132" s="1"/>
      <c r="K8132" s="1"/>
      <c r="Q8132" s="1"/>
      <c r="AD8132" s="1"/>
      <c r="AG8132" s="1"/>
      <c r="AI8132" s="1"/>
    </row>
    <row r="8133" spans="4:35" hidden="1">
      <c r="D8133" s="1"/>
      <c r="K8133" s="1"/>
      <c r="Q8133" s="1"/>
      <c r="AD8133" s="1"/>
      <c r="AG8133" s="1"/>
      <c r="AI8133" s="1"/>
    </row>
    <row r="8134" spans="4:35" hidden="1">
      <c r="D8134" s="1"/>
      <c r="K8134" s="1"/>
      <c r="Q8134" s="1"/>
      <c r="AD8134" s="1"/>
      <c r="AG8134" s="1"/>
      <c r="AI8134" s="1"/>
    </row>
    <row r="8135" spans="4:35" hidden="1">
      <c r="D8135" s="1"/>
      <c r="K8135" s="1"/>
      <c r="Q8135" s="1"/>
      <c r="AD8135" s="1"/>
      <c r="AG8135" s="1"/>
      <c r="AI8135" s="1"/>
    </row>
    <row r="8136" spans="4:35" hidden="1">
      <c r="D8136" s="1"/>
      <c r="K8136" s="1"/>
      <c r="Q8136" s="1"/>
      <c r="AD8136" s="1"/>
      <c r="AG8136" s="1"/>
      <c r="AI8136" s="1"/>
    </row>
    <row r="8137" spans="4:35" hidden="1">
      <c r="D8137" s="1"/>
      <c r="K8137" s="1"/>
      <c r="Q8137" s="1"/>
      <c r="AD8137" s="1"/>
      <c r="AG8137" s="1"/>
      <c r="AI8137" s="1"/>
    </row>
    <row r="8138" spans="4:35" hidden="1">
      <c r="D8138" s="1"/>
      <c r="K8138" s="1"/>
      <c r="Q8138" s="1"/>
      <c r="AD8138" s="1"/>
      <c r="AG8138" s="1"/>
      <c r="AI8138" s="1"/>
    </row>
    <row r="8139" spans="4:35" hidden="1">
      <c r="D8139" s="1"/>
      <c r="K8139" s="1"/>
      <c r="Q8139" s="1"/>
      <c r="AD8139" s="1"/>
      <c r="AG8139" s="1"/>
      <c r="AI8139" s="1"/>
    </row>
    <row r="8140" spans="4:35" hidden="1">
      <c r="D8140" s="1"/>
      <c r="K8140" s="1"/>
      <c r="Q8140" s="1"/>
      <c r="AD8140" s="1"/>
      <c r="AG8140" s="1"/>
      <c r="AI8140" s="1"/>
    </row>
    <row r="8141" spans="4:35" hidden="1">
      <c r="D8141" s="1"/>
      <c r="K8141" s="1"/>
      <c r="Q8141" s="1"/>
      <c r="AD8141" s="1"/>
      <c r="AG8141" s="1"/>
      <c r="AI8141" s="1"/>
    </row>
    <row r="8142" spans="4:35" hidden="1">
      <c r="D8142" s="1"/>
      <c r="K8142" s="1"/>
      <c r="Q8142" s="1"/>
      <c r="AD8142" s="1"/>
      <c r="AG8142" s="1"/>
      <c r="AI8142" s="1"/>
    </row>
    <row r="8143" spans="4:35" hidden="1">
      <c r="D8143" s="1"/>
      <c r="K8143" s="1"/>
      <c r="Q8143" s="1"/>
      <c r="AD8143" s="1"/>
      <c r="AG8143" s="1"/>
      <c r="AI8143" s="1"/>
    </row>
    <row r="8144" spans="4:35" hidden="1">
      <c r="D8144" s="1"/>
      <c r="K8144" s="1"/>
      <c r="Q8144" s="1"/>
      <c r="AD8144" s="1"/>
      <c r="AG8144" s="1"/>
      <c r="AI8144" s="1"/>
    </row>
    <row r="8145" spans="4:35" hidden="1">
      <c r="D8145" s="1"/>
      <c r="K8145" s="1"/>
      <c r="Q8145" s="1"/>
      <c r="AD8145" s="1"/>
      <c r="AG8145" s="1"/>
      <c r="AI8145" s="1"/>
    </row>
    <row r="8146" spans="4:35" hidden="1">
      <c r="D8146" s="1"/>
      <c r="K8146" s="1"/>
      <c r="Q8146" s="1"/>
      <c r="AD8146" s="1"/>
      <c r="AG8146" s="1"/>
      <c r="AI8146" s="1"/>
    </row>
    <row r="8147" spans="4:35" hidden="1">
      <c r="D8147" s="1"/>
      <c r="K8147" s="1"/>
      <c r="Q8147" s="1"/>
      <c r="AD8147" s="1"/>
      <c r="AG8147" s="1"/>
      <c r="AI8147" s="1"/>
    </row>
    <row r="8148" spans="4:35" hidden="1">
      <c r="D8148" s="1"/>
      <c r="K8148" s="1"/>
      <c r="Q8148" s="1"/>
      <c r="AD8148" s="1"/>
      <c r="AG8148" s="1"/>
      <c r="AI8148" s="1"/>
    </row>
    <row r="8149" spans="4:35" hidden="1">
      <c r="D8149" s="1"/>
      <c r="K8149" s="1"/>
      <c r="Q8149" s="1"/>
      <c r="AD8149" s="1"/>
      <c r="AG8149" s="1"/>
      <c r="AI8149" s="1"/>
    </row>
    <row r="8150" spans="4:35" hidden="1">
      <c r="D8150" s="1"/>
      <c r="K8150" s="1"/>
      <c r="Q8150" s="1"/>
      <c r="AD8150" s="1"/>
      <c r="AG8150" s="1"/>
      <c r="AI8150" s="1"/>
    </row>
    <row r="8151" spans="4:35" hidden="1">
      <c r="D8151" s="1"/>
      <c r="K8151" s="1"/>
      <c r="Q8151" s="1"/>
      <c r="AD8151" s="1"/>
      <c r="AG8151" s="1"/>
      <c r="AI8151" s="1"/>
    </row>
    <row r="8152" spans="4:35" hidden="1">
      <c r="D8152" s="1"/>
      <c r="K8152" s="1"/>
      <c r="Q8152" s="1"/>
      <c r="AD8152" s="1"/>
      <c r="AG8152" s="1"/>
      <c r="AI8152" s="1"/>
    </row>
    <row r="8153" spans="4:35" hidden="1">
      <c r="D8153" s="1"/>
      <c r="K8153" s="1"/>
      <c r="Q8153" s="1"/>
      <c r="AD8153" s="1"/>
      <c r="AG8153" s="1"/>
      <c r="AI8153" s="1"/>
    </row>
    <row r="8154" spans="4:35" hidden="1">
      <c r="D8154" s="1"/>
      <c r="K8154" s="1"/>
      <c r="Q8154" s="1"/>
      <c r="AD8154" s="1"/>
      <c r="AG8154" s="1"/>
      <c r="AI8154" s="1"/>
    </row>
    <row r="8155" spans="4:35" hidden="1">
      <c r="D8155" s="1"/>
      <c r="K8155" s="1"/>
      <c r="Q8155" s="1"/>
      <c r="AD8155" s="1"/>
      <c r="AG8155" s="1"/>
      <c r="AI8155" s="1"/>
    </row>
    <row r="8156" spans="4:35" hidden="1">
      <c r="D8156" s="1"/>
      <c r="K8156" s="1"/>
      <c r="Q8156" s="1"/>
      <c r="AD8156" s="1"/>
      <c r="AG8156" s="1"/>
      <c r="AI8156" s="1"/>
    </row>
    <row r="8157" spans="4:35" hidden="1">
      <c r="D8157" s="1"/>
      <c r="K8157" s="1"/>
      <c r="Q8157" s="1"/>
      <c r="AD8157" s="1"/>
      <c r="AG8157" s="1"/>
      <c r="AI8157" s="1"/>
    </row>
    <row r="8158" spans="4:35" hidden="1">
      <c r="D8158" s="1"/>
      <c r="K8158" s="1"/>
      <c r="Q8158" s="1"/>
      <c r="AD8158" s="1"/>
      <c r="AG8158" s="1"/>
      <c r="AI8158" s="1"/>
    </row>
    <row r="8159" spans="4:35" hidden="1">
      <c r="D8159" s="1"/>
      <c r="K8159" s="1"/>
      <c r="Q8159" s="1"/>
      <c r="AD8159" s="1"/>
      <c r="AG8159" s="1"/>
      <c r="AI8159" s="1"/>
    </row>
    <row r="8160" spans="4:35" hidden="1">
      <c r="D8160" s="1"/>
      <c r="K8160" s="1"/>
      <c r="Q8160" s="1"/>
      <c r="AD8160" s="1"/>
      <c r="AG8160" s="1"/>
      <c r="AI8160" s="1"/>
    </row>
    <row r="8161" spans="4:35" hidden="1">
      <c r="D8161" s="1"/>
      <c r="K8161" s="1"/>
      <c r="Q8161" s="1"/>
      <c r="AD8161" s="1"/>
      <c r="AG8161" s="1"/>
      <c r="AI8161" s="1"/>
    </row>
    <row r="8162" spans="4:35" hidden="1">
      <c r="D8162" s="1"/>
      <c r="K8162" s="1"/>
      <c r="Q8162" s="1"/>
      <c r="AD8162" s="1"/>
      <c r="AG8162" s="1"/>
      <c r="AI8162" s="1"/>
    </row>
    <row r="8163" spans="4:35" hidden="1">
      <c r="D8163" s="1"/>
      <c r="K8163" s="1"/>
      <c r="Q8163" s="1"/>
      <c r="AD8163" s="1"/>
      <c r="AG8163" s="1"/>
      <c r="AI8163" s="1"/>
    </row>
    <row r="8164" spans="4:35" hidden="1">
      <c r="D8164" s="1"/>
      <c r="K8164" s="1"/>
      <c r="Q8164" s="1"/>
      <c r="AD8164" s="1"/>
      <c r="AG8164" s="1"/>
      <c r="AI8164" s="1"/>
    </row>
    <row r="8165" spans="4:35" hidden="1">
      <c r="D8165" s="1"/>
      <c r="K8165" s="1"/>
      <c r="Q8165" s="1"/>
      <c r="AD8165" s="1"/>
      <c r="AG8165" s="1"/>
      <c r="AI8165" s="1"/>
    </row>
    <row r="8166" spans="4:35" hidden="1">
      <c r="D8166" s="1"/>
      <c r="K8166" s="1"/>
      <c r="Q8166" s="1"/>
      <c r="AD8166" s="1"/>
      <c r="AG8166" s="1"/>
      <c r="AI8166" s="1"/>
    </row>
    <row r="8167" spans="4:35" hidden="1">
      <c r="D8167" s="1"/>
      <c r="K8167" s="1"/>
      <c r="Q8167" s="1"/>
      <c r="AD8167" s="1"/>
      <c r="AG8167" s="1"/>
      <c r="AI8167" s="1"/>
    </row>
    <row r="8168" spans="4:35" hidden="1">
      <c r="D8168" s="1"/>
      <c r="K8168" s="1"/>
      <c r="Q8168" s="1"/>
      <c r="AD8168" s="1"/>
      <c r="AG8168" s="1"/>
      <c r="AI8168" s="1"/>
    </row>
    <row r="8169" spans="4:35" hidden="1">
      <c r="D8169" s="1"/>
      <c r="K8169" s="1"/>
      <c r="Q8169" s="1"/>
      <c r="AD8169" s="1"/>
      <c r="AG8169" s="1"/>
      <c r="AI8169" s="1"/>
    </row>
    <row r="8170" spans="4:35" hidden="1">
      <c r="D8170" s="1"/>
      <c r="K8170" s="1"/>
      <c r="Q8170" s="1"/>
      <c r="AD8170" s="1"/>
      <c r="AG8170" s="1"/>
      <c r="AI8170" s="1"/>
    </row>
    <row r="8171" spans="4:35" hidden="1">
      <c r="D8171" s="1"/>
      <c r="K8171" s="1"/>
      <c r="Q8171" s="1"/>
      <c r="AD8171" s="1"/>
      <c r="AG8171" s="1"/>
      <c r="AI8171" s="1"/>
    </row>
    <row r="8172" spans="4:35" hidden="1">
      <c r="D8172" s="1"/>
      <c r="K8172" s="1"/>
      <c r="Q8172" s="1"/>
      <c r="AD8172" s="1"/>
      <c r="AG8172" s="1"/>
      <c r="AI8172" s="1"/>
    </row>
    <row r="8173" spans="4:35" hidden="1">
      <c r="D8173" s="1"/>
      <c r="K8173" s="1"/>
      <c r="Q8173" s="1"/>
      <c r="AD8173" s="1"/>
      <c r="AG8173" s="1"/>
      <c r="AI8173" s="1"/>
    </row>
    <row r="8174" spans="4:35" hidden="1">
      <c r="D8174" s="1"/>
      <c r="K8174" s="1"/>
      <c r="Q8174" s="1"/>
      <c r="AD8174" s="1"/>
      <c r="AG8174" s="1"/>
      <c r="AI8174" s="1"/>
    </row>
    <row r="8175" spans="4:35" hidden="1">
      <c r="D8175" s="1"/>
      <c r="K8175" s="1"/>
      <c r="Q8175" s="1"/>
      <c r="AD8175" s="1"/>
      <c r="AG8175" s="1"/>
      <c r="AI8175" s="1"/>
    </row>
    <row r="8176" spans="4:35" hidden="1">
      <c r="D8176" s="1"/>
      <c r="K8176" s="1"/>
      <c r="Q8176" s="1"/>
      <c r="AD8176" s="1"/>
      <c r="AG8176" s="1"/>
      <c r="AI8176" s="1"/>
    </row>
    <row r="8177" spans="4:35" hidden="1">
      <c r="D8177" s="1"/>
      <c r="K8177" s="1"/>
      <c r="Q8177" s="1"/>
      <c r="AD8177" s="1"/>
      <c r="AG8177" s="1"/>
      <c r="AI8177" s="1"/>
    </row>
    <row r="8178" spans="4:35" hidden="1">
      <c r="D8178" s="1"/>
      <c r="K8178" s="1"/>
      <c r="Q8178" s="1"/>
      <c r="AD8178" s="1"/>
      <c r="AG8178" s="1"/>
      <c r="AI8178" s="1"/>
    </row>
    <row r="8179" spans="4:35" hidden="1">
      <c r="D8179" s="1"/>
      <c r="K8179" s="1"/>
      <c r="Q8179" s="1"/>
      <c r="AD8179" s="1"/>
      <c r="AG8179" s="1"/>
      <c r="AI8179" s="1"/>
    </row>
    <row r="8180" spans="4:35" hidden="1">
      <c r="D8180" s="1"/>
      <c r="K8180" s="1"/>
      <c r="Q8180" s="1"/>
      <c r="AD8180" s="1"/>
      <c r="AG8180" s="1"/>
      <c r="AI8180" s="1"/>
    </row>
    <row r="8181" spans="4:35" hidden="1">
      <c r="D8181" s="1"/>
      <c r="K8181" s="1"/>
      <c r="Q8181" s="1"/>
      <c r="AD8181" s="1"/>
      <c r="AG8181" s="1"/>
      <c r="AI8181" s="1"/>
    </row>
    <row r="8182" spans="4:35" hidden="1">
      <c r="D8182" s="1"/>
      <c r="K8182" s="1"/>
      <c r="Q8182" s="1"/>
      <c r="AD8182" s="1"/>
      <c r="AG8182" s="1"/>
      <c r="AI8182" s="1"/>
    </row>
    <row r="8183" spans="4:35" hidden="1">
      <c r="D8183" s="1"/>
      <c r="K8183" s="1"/>
      <c r="Q8183" s="1"/>
      <c r="AD8183" s="1"/>
      <c r="AG8183" s="1"/>
      <c r="AI8183" s="1"/>
    </row>
    <row r="8184" spans="4:35" hidden="1">
      <c r="D8184" s="1"/>
      <c r="K8184" s="1"/>
      <c r="Q8184" s="1"/>
      <c r="AD8184" s="1"/>
      <c r="AG8184" s="1"/>
      <c r="AI8184" s="1"/>
    </row>
    <row r="8185" spans="4:35" hidden="1">
      <c r="D8185" s="1"/>
      <c r="K8185" s="1"/>
      <c r="Q8185" s="1"/>
      <c r="AD8185" s="1"/>
      <c r="AG8185" s="1"/>
      <c r="AI8185" s="1"/>
    </row>
    <row r="8186" spans="4:35" hidden="1">
      <c r="D8186" s="1"/>
      <c r="K8186" s="1"/>
      <c r="Q8186" s="1"/>
      <c r="AD8186" s="1"/>
      <c r="AG8186" s="1"/>
      <c r="AI8186" s="1"/>
    </row>
    <row r="8187" spans="4:35" hidden="1">
      <c r="D8187" s="1"/>
      <c r="K8187" s="1"/>
      <c r="Q8187" s="1"/>
      <c r="AD8187" s="1"/>
      <c r="AG8187" s="1"/>
      <c r="AI8187" s="1"/>
    </row>
    <row r="8188" spans="4:35" hidden="1">
      <c r="D8188" s="1"/>
      <c r="K8188" s="1"/>
      <c r="Q8188" s="1"/>
      <c r="AD8188" s="1"/>
      <c r="AG8188" s="1"/>
      <c r="AI8188" s="1"/>
    </row>
    <row r="8189" spans="4:35" hidden="1">
      <c r="D8189" s="1"/>
      <c r="K8189" s="1"/>
      <c r="Q8189" s="1"/>
      <c r="AD8189" s="1"/>
      <c r="AG8189" s="1"/>
      <c r="AI8189" s="1"/>
    </row>
    <row r="8190" spans="4:35" hidden="1">
      <c r="D8190" s="1"/>
      <c r="K8190" s="1"/>
      <c r="Q8190" s="1"/>
      <c r="AD8190" s="1"/>
      <c r="AG8190" s="1"/>
      <c r="AI8190" s="1"/>
    </row>
    <row r="8191" spans="4:35" hidden="1">
      <c r="D8191" s="1"/>
      <c r="K8191" s="1"/>
      <c r="Q8191" s="1"/>
      <c r="AD8191" s="1"/>
      <c r="AG8191" s="1"/>
      <c r="AI8191" s="1"/>
    </row>
    <row r="8192" spans="4:35" hidden="1">
      <c r="D8192" s="1"/>
      <c r="K8192" s="1"/>
      <c r="Q8192" s="1"/>
      <c r="AD8192" s="1"/>
      <c r="AG8192" s="1"/>
      <c r="AI8192" s="1"/>
    </row>
    <row r="8193" spans="4:35" hidden="1">
      <c r="D8193" s="1"/>
      <c r="K8193" s="1"/>
      <c r="Q8193" s="1"/>
      <c r="AD8193" s="1"/>
      <c r="AG8193" s="1"/>
      <c r="AI8193" s="1"/>
    </row>
    <row r="8194" spans="4:35" hidden="1">
      <c r="D8194" s="1"/>
      <c r="K8194" s="1"/>
      <c r="Q8194" s="1"/>
      <c r="AD8194" s="1"/>
      <c r="AG8194" s="1"/>
      <c r="AI8194" s="1"/>
    </row>
    <row r="8195" spans="4:35" hidden="1">
      <c r="D8195" s="1"/>
      <c r="K8195" s="1"/>
      <c r="Q8195" s="1"/>
      <c r="AD8195" s="1"/>
      <c r="AG8195" s="1"/>
      <c r="AI8195" s="1"/>
    </row>
    <row r="8196" spans="4:35" hidden="1">
      <c r="D8196" s="1"/>
      <c r="K8196" s="1"/>
      <c r="Q8196" s="1"/>
      <c r="AD8196" s="1"/>
      <c r="AG8196" s="1"/>
      <c r="AI8196" s="1"/>
    </row>
    <row r="8197" spans="4:35" hidden="1">
      <c r="D8197" s="1"/>
      <c r="K8197" s="1"/>
      <c r="Q8197" s="1"/>
      <c r="AD8197" s="1"/>
      <c r="AG8197" s="1"/>
      <c r="AI8197" s="1"/>
    </row>
    <row r="8198" spans="4:35" hidden="1">
      <c r="D8198" s="1"/>
      <c r="K8198" s="1"/>
      <c r="Q8198" s="1"/>
      <c r="AD8198" s="1"/>
      <c r="AG8198" s="1"/>
      <c r="AI8198" s="1"/>
    </row>
    <row r="8199" spans="4:35" hidden="1">
      <c r="D8199" s="1"/>
      <c r="K8199" s="1"/>
      <c r="Q8199" s="1"/>
      <c r="AD8199" s="1"/>
      <c r="AG8199" s="1"/>
      <c r="AI8199" s="1"/>
    </row>
    <row r="8200" spans="4:35" hidden="1">
      <c r="D8200" s="1"/>
      <c r="K8200" s="1"/>
      <c r="Q8200" s="1"/>
      <c r="AD8200" s="1"/>
      <c r="AG8200" s="1"/>
      <c r="AI8200" s="1"/>
    </row>
    <row r="8201" spans="4:35" hidden="1">
      <c r="D8201" s="1"/>
      <c r="K8201" s="1"/>
      <c r="Q8201" s="1"/>
      <c r="AD8201" s="1"/>
      <c r="AG8201" s="1"/>
      <c r="AI8201" s="1"/>
    </row>
    <row r="8202" spans="4:35" hidden="1">
      <c r="D8202" s="1"/>
      <c r="K8202" s="1"/>
      <c r="Q8202" s="1"/>
      <c r="AD8202" s="1"/>
      <c r="AG8202" s="1"/>
      <c r="AI8202" s="1"/>
    </row>
    <row r="8203" spans="4:35" hidden="1">
      <c r="D8203" s="1"/>
      <c r="K8203" s="1"/>
      <c r="Q8203" s="1"/>
      <c r="AD8203" s="1"/>
      <c r="AG8203" s="1"/>
      <c r="AI8203" s="1"/>
    </row>
    <row r="8204" spans="4:35" hidden="1">
      <c r="D8204" s="1"/>
      <c r="K8204" s="1"/>
      <c r="Q8204" s="1"/>
      <c r="AD8204" s="1"/>
      <c r="AG8204" s="1"/>
      <c r="AI8204" s="1"/>
    </row>
    <row r="8205" spans="4:35" hidden="1">
      <c r="D8205" s="1"/>
      <c r="K8205" s="1"/>
      <c r="Q8205" s="1"/>
      <c r="AD8205" s="1"/>
      <c r="AG8205" s="1"/>
      <c r="AI8205" s="1"/>
    </row>
    <row r="8206" spans="4:35" hidden="1">
      <c r="D8206" s="1"/>
      <c r="K8206" s="1"/>
      <c r="Q8206" s="1"/>
      <c r="AD8206" s="1"/>
      <c r="AG8206" s="1"/>
      <c r="AI8206" s="1"/>
    </row>
    <row r="8207" spans="4:35" hidden="1">
      <c r="D8207" s="1"/>
      <c r="K8207" s="1"/>
      <c r="Q8207" s="1"/>
      <c r="AD8207" s="1"/>
      <c r="AG8207" s="1"/>
      <c r="AI8207" s="1"/>
    </row>
    <row r="8208" spans="4:35" hidden="1">
      <c r="D8208" s="1"/>
      <c r="K8208" s="1"/>
      <c r="Q8208" s="1"/>
      <c r="AD8208" s="1"/>
      <c r="AG8208" s="1"/>
      <c r="AI8208" s="1"/>
    </row>
    <row r="8209" spans="4:35" hidden="1">
      <c r="D8209" s="1"/>
      <c r="K8209" s="1"/>
      <c r="Q8209" s="1"/>
      <c r="AD8209" s="1"/>
      <c r="AG8209" s="1"/>
      <c r="AI8209" s="1"/>
    </row>
    <row r="8210" spans="4:35" hidden="1">
      <c r="D8210" s="1"/>
      <c r="K8210" s="1"/>
      <c r="Q8210" s="1"/>
      <c r="AD8210" s="1"/>
      <c r="AG8210" s="1"/>
      <c r="AI8210" s="1"/>
    </row>
    <row r="8211" spans="4:35" hidden="1">
      <c r="D8211" s="1"/>
      <c r="K8211" s="1"/>
      <c r="Q8211" s="1"/>
      <c r="AD8211" s="1"/>
      <c r="AG8211" s="1"/>
      <c r="AI8211" s="1"/>
    </row>
    <row r="8212" spans="4:35" hidden="1">
      <c r="D8212" s="1"/>
      <c r="K8212" s="1"/>
      <c r="Q8212" s="1"/>
      <c r="AD8212" s="1"/>
      <c r="AG8212" s="1"/>
      <c r="AI8212" s="1"/>
    </row>
    <row r="8213" spans="4:35" hidden="1">
      <c r="D8213" s="1"/>
      <c r="K8213" s="1"/>
      <c r="Q8213" s="1"/>
      <c r="AD8213" s="1"/>
      <c r="AG8213" s="1"/>
      <c r="AI8213" s="1"/>
    </row>
    <row r="8214" spans="4:35" hidden="1">
      <c r="D8214" s="1"/>
      <c r="K8214" s="1"/>
      <c r="Q8214" s="1"/>
      <c r="AD8214" s="1"/>
      <c r="AG8214" s="1"/>
      <c r="AI8214" s="1"/>
    </row>
    <row r="8215" spans="4:35" hidden="1">
      <c r="D8215" s="1"/>
      <c r="K8215" s="1"/>
      <c r="Q8215" s="1"/>
      <c r="AD8215" s="1"/>
      <c r="AG8215" s="1"/>
      <c r="AI8215" s="1"/>
    </row>
    <row r="8216" spans="4:35" hidden="1">
      <c r="D8216" s="1"/>
      <c r="K8216" s="1"/>
      <c r="Q8216" s="1"/>
      <c r="AD8216" s="1"/>
      <c r="AG8216" s="1"/>
      <c r="AI8216" s="1"/>
    </row>
    <row r="8217" spans="4:35" hidden="1">
      <c r="D8217" s="1"/>
      <c r="K8217" s="1"/>
      <c r="Q8217" s="1"/>
      <c r="AD8217" s="1"/>
      <c r="AG8217" s="1"/>
      <c r="AI8217" s="1"/>
    </row>
    <row r="8218" spans="4:35" hidden="1">
      <c r="D8218" s="1"/>
      <c r="K8218" s="1"/>
      <c r="Q8218" s="1"/>
      <c r="AD8218" s="1"/>
      <c r="AG8218" s="1"/>
      <c r="AI8218" s="1"/>
    </row>
    <row r="8219" spans="4:35" hidden="1">
      <c r="D8219" s="1"/>
      <c r="K8219" s="1"/>
      <c r="Q8219" s="1"/>
      <c r="AD8219" s="1"/>
      <c r="AG8219" s="1"/>
      <c r="AI8219" s="1"/>
    </row>
    <row r="8220" spans="4:35" hidden="1">
      <c r="D8220" s="1"/>
      <c r="K8220" s="1"/>
      <c r="Q8220" s="1"/>
      <c r="AD8220" s="1"/>
      <c r="AG8220" s="1"/>
      <c r="AI8220" s="1"/>
    </row>
    <row r="8221" spans="4:35" hidden="1">
      <c r="D8221" s="1"/>
      <c r="K8221" s="1"/>
      <c r="Q8221" s="1"/>
      <c r="AD8221" s="1"/>
      <c r="AG8221" s="1"/>
      <c r="AI8221" s="1"/>
    </row>
    <row r="8222" spans="4:35" hidden="1">
      <c r="D8222" s="1"/>
      <c r="K8222" s="1"/>
      <c r="Q8222" s="1"/>
      <c r="AD8222" s="1"/>
      <c r="AG8222" s="1"/>
      <c r="AI8222" s="1"/>
    </row>
    <row r="8223" spans="4:35" hidden="1">
      <c r="D8223" s="1"/>
      <c r="K8223" s="1"/>
      <c r="Q8223" s="1"/>
      <c r="AD8223" s="1"/>
      <c r="AG8223" s="1"/>
      <c r="AI8223" s="1"/>
    </row>
    <row r="8224" spans="4:35" hidden="1">
      <c r="D8224" s="1"/>
      <c r="K8224" s="1"/>
      <c r="Q8224" s="1"/>
      <c r="AD8224" s="1"/>
      <c r="AG8224" s="1"/>
      <c r="AI8224" s="1"/>
    </row>
    <row r="8225" spans="4:35" hidden="1">
      <c r="D8225" s="1"/>
      <c r="K8225" s="1"/>
      <c r="Q8225" s="1"/>
      <c r="AD8225" s="1"/>
      <c r="AG8225" s="1"/>
      <c r="AI8225" s="1"/>
    </row>
    <row r="8226" spans="4:35" hidden="1">
      <c r="D8226" s="1"/>
      <c r="K8226" s="1"/>
      <c r="Q8226" s="1"/>
      <c r="AD8226" s="1"/>
      <c r="AG8226" s="1"/>
      <c r="AI8226" s="1"/>
    </row>
    <row r="8227" spans="4:35" hidden="1">
      <c r="D8227" s="1"/>
      <c r="K8227" s="1"/>
      <c r="Q8227" s="1"/>
      <c r="AD8227" s="1"/>
      <c r="AG8227" s="1"/>
      <c r="AI8227" s="1"/>
    </row>
    <row r="8228" spans="4:35" hidden="1">
      <c r="D8228" s="1"/>
      <c r="K8228" s="1"/>
      <c r="Q8228" s="1"/>
      <c r="AD8228" s="1"/>
      <c r="AG8228" s="1"/>
      <c r="AI8228" s="1"/>
    </row>
    <row r="8229" spans="4:35" hidden="1">
      <c r="D8229" s="1"/>
      <c r="K8229" s="1"/>
      <c r="Q8229" s="1"/>
      <c r="AD8229" s="1"/>
      <c r="AG8229" s="1"/>
      <c r="AI8229" s="1"/>
    </row>
    <row r="8230" spans="4:35" hidden="1">
      <c r="D8230" s="1"/>
      <c r="K8230" s="1"/>
      <c r="Q8230" s="1"/>
      <c r="AD8230" s="1"/>
      <c r="AG8230" s="1"/>
      <c r="AI8230" s="1"/>
    </row>
    <row r="8231" spans="4:35" hidden="1">
      <c r="D8231" s="1"/>
      <c r="K8231" s="1"/>
      <c r="Q8231" s="1"/>
      <c r="AD8231" s="1"/>
      <c r="AG8231" s="1"/>
      <c r="AI8231" s="1"/>
    </row>
    <row r="8232" spans="4:35" hidden="1">
      <c r="D8232" s="1"/>
      <c r="K8232" s="1"/>
      <c r="Q8232" s="1"/>
      <c r="AD8232" s="1"/>
      <c r="AG8232" s="1"/>
      <c r="AI8232" s="1"/>
    </row>
    <row r="8233" spans="4:35" hidden="1">
      <c r="D8233" s="1"/>
      <c r="K8233" s="1"/>
      <c r="Q8233" s="1"/>
      <c r="AD8233" s="1"/>
      <c r="AG8233" s="1"/>
      <c r="AI8233" s="1"/>
    </row>
    <row r="8234" spans="4:35" hidden="1">
      <c r="D8234" s="1"/>
      <c r="K8234" s="1"/>
      <c r="Q8234" s="1"/>
      <c r="AD8234" s="1"/>
      <c r="AG8234" s="1"/>
      <c r="AI8234" s="1"/>
    </row>
    <row r="8235" spans="4:35" hidden="1">
      <c r="D8235" s="1"/>
      <c r="K8235" s="1"/>
      <c r="Q8235" s="1"/>
      <c r="AD8235" s="1"/>
      <c r="AG8235" s="1"/>
      <c r="AI8235" s="1"/>
    </row>
    <row r="8236" spans="4:35" hidden="1">
      <c r="D8236" s="1"/>
      <c r="K8236" s="1"/>
      <c r="Q8236" s="1"/>
      <c r="AD8236" s="1"/>
      <c r="AG8236" s="1"/>
      <c r="AI8236" s="1"/>
    </row>
    <row r="8237" spans="4:35" hidden="1">
      <c r="D8237" s="1"/>
      <c r="K8237" s="1"/>
      <c r="Q8237" s="1"/>
      <c r="AD8237" s="1"/>
      <c r="AG8237" s="1"/>
      <c r="AI8237" s="1"/>
    </row>
    <row r="8238" spans="4:35" hidden="1">
      <c r="D8238" s="1"/>
      <c r="K8238" s="1"/>
      <c r="Q8238" s="1"/>
      <c r="AD8238" s="1"/>
      <c r="AG8238" s="1"/>
      <c r="AI8238" s="1"/>
    </row>
    <row r="8239" spans="4:35" hidden="1">
      <c r="D8239" s="1"/>
      <c r="K8239" s="1"/>
      <c r="Q8239" s="1"/>
      <c r="AD8239" s="1"/>
      <c r="AG8239" s="1"/>
      <c r="AI8239" s="1"/>
    </row>
    <row r="8240" spans="4:35" hidden="1">
      <c r="D8240" s="1"/>
      <c r="K8240" s="1"/>
      <c r="Q8240" s="1"/>
      <c r="AD8240" s="1"/>
      <c r="AG8240" s="1"/>
      <c r="AI8240" s="1"/>
    </row>
    <row r="8241" spans="4:35" hidden="1">
      <c r="D8241" s="1"/>
      <c r="K8241" s="1"/>
      <c r="Q8241" s="1"/>
      <c r="AD8241" s="1"/>
      <c r="AG8241" s="1"/>
      <c r="AI8241" s="1"/>
    </row>
    <row r="8242" spans="4:35" hidden="1">
      <c r="D8242" s="1"/>
      <c r="K8242" s="1"/>
      <c r="Q8242" s="1"/>
      <c r="AD8242" s="1"/>
      <c r="AG8242" s="1"/>
      <c r="AI8242" s="1"/>
    </row>
    <row r="8243" spans="4:35" hidden="1">
      <c r="D8243" s="1"/>
      <c r="K8243" s="1"/>
      <c r="Q8243" s="1"/>
      <c r="AD8243" s="1"/>
      <c r="AG8243" s="1"/>
      <c r="AI8243" s="1"/>
    </row>
    <row r="8244" spans="4:35" hidden="1">
      <c r="D8244" s="1"/>
      <c r="K8244" s="1"/>
      <c r="Q8244" s="1"/>
      <c r="AD8244" s="1"/>
      <c r="AG8244" s="1"/>
      <c r="AI8244" s="1"/>
    </row>
    <row r="8245" spans="4:35" hidden="1">
      <c r="D8245" s="1"/>
      <c r="K8245" s="1"/>
      <c r="Q8245" s="1"/>
      <c r="AD8245" s="1"/>
      <c r="AG8245" s="1"/>
      <c r="AI8245" s="1"/>
    </row>
    <row r="8246" spans="4:35" hidden="1">
      <c r="D8246" s="1"/>
      <c r="K8246" s="1"/>
      <c r="Q8246" s="1"/>
      <c r="AD8246" s="1"/>
      <c r="AG8246" s="1"/>
      <c r="AI8246" s="1"/>
    </row>
    <row r="8247" spans="4:35" hidden="1">
      <c r="D8247" s="1"/>
      <c r="K8247" s="1"/>
      <c r="Q8247" s="1"/>
      <c r="AD8247" s="1"/>
      <c r="AG8247" s="1"/>
      <c r="AI8247" s="1"/>
    </row>
    <row r="8248" spans="4:35" hidden="1">
      <c r="D8248" s="1"/>
      <c r="K8248" s="1"/>
      <c r="Q8248" s="1"/>
      <c r="AD8248" s="1"/>
      <c r="AG8248" s="1"/>
      <c r="AI8248" s="1"/>
    </row>
    <row r="8249" spans="4:35" hidden="1">
      <c r="D8249" s="1"/>
      <c r="K8249" s="1"/>
      <c r="Q8249" s="1"/>
      <c r="AD8249" s="1"/>
      <c r="AG8249" s="1"/>
      <c r="AI8249" s="1"/>
    </row>
    <row r="8250" spans="4:35" hidden="1">
      <c r="D8250" s="1"/>
      <c r="K8250" s="1"/>
      <c r="Q8250" s="1"/>
      <c r="AD8250" s="1"/>
      <c r="AG8250" s="1"/>
      <c r="AI8250" s="1"/>
    </row>
    <row r="8251" spans="4:35" hidden="1">
      <c r="D8251" s="1"/>
      <c r="K8251" s="1"/>
      <c r="Q8251" s="1"/>
      <c r="AD8251" s="1"/>
      <c r="AG8251" s="1"/>
      <c r="AI8251" s="1"/>
    </row>
    <row r="8252" spans="4:35" hidden="1">
      <c r="D8252" s="1"/>
      <c r="K8252" s="1"/>
      <c r="Q8252" s="1"/>
      <c r="AD8252" s="1"/>
      <c r="AG8252" s="1"/>
      <c r="AI8252" s="1"/>
    </row>
    <row r="8253" spans="4:35" hidden="1">
      <c r="D8253" s="1"/>
      <c r="K8253" s="1"/>
      <c r="Q8253" s="1"/>
      <c r="AD8253" s="1"/>
      <c r="AG8253" s="1"/>
      <c r="AI8253" s="1"/>
    </row>
    <row r="8254" spans="4:35" hidden="1">
      <c r="D8254" s="1"/>
      <c r="K8254" s="1"/>
      <c r="Q8254" s="1"/>
      <c r="AD8254" s="1"/>
      <c r="AG8254" s="1"/>
      <c r="AI8254" s="1"/>
    </row>
    <row r="8255" spans="4:35" hidden="1">
      <c r="D8255" s="1"/>
      <c r="K8255" s="1"/>
      <c r="Q8255" s="1"/>
      <c r="AD8255" s="1"/>
      <c r="AG8255" s="1"/>
      <c r="AI8255" s="1"/>
    </row>
    <row r="8256" spans="4:35" hidden="1">
      <c r="D8256" s="1"/>
      <c r="K8256" s="1"/>
      <c r="Q8256" s="1"/>
      <c r="AD8256" s="1"/>
      <c r="AG8256" s="1"/>
      <c r="AI8256" s="1"/>
    </row>
    <row r="8257" spans="4:35" hidden="1">
      <c r="D8257" s="1"/>
      <c r="K8257" s="1"/>
      <c r="Q8257" s="1"/>
      <c r="AD8257" s="1"/>
      <c r="AG8257" s="1"/>
      <c r="AI8257" s="1"/>
    </row>
    <row r="8258" spans="4:35" hidden="1">
      <c r="D8258" s="1"/>
      <c r="K8258" s="1"/>
      <c r="Q8258" s="1"/>
      <c r="AD8258" s="1"/>
      <c r="AG8258" s="1"/>
      <c r="AI8258" s="1"/>
    </row>
    <row r="8259" spans="4:35" hidden="1">
      <c r="D8259" s="1"/>
      <c r="K8259" s="1"/>
      <c r="Q8259" s="1"/>
      <c r="AD8259" s="1"/>
      <c r="AG8259" s="1"/>
      <c r="AI8259" s="1"/>
    </row>
    <row r="8260" spans="4:35" hidden="1">
      <c r="D8260" s="1"/>
      <c r="K8260" s="1"/>
      <c r="Q8260" s="1"/>
      <c r="AD8260" s="1"/>
      <c r="AG8260" s="1"/>
      <c r="AI8260" s="1"/>
    </row>
    <row r="8261" spans="4:35" hidden="1">
      <c r="D8261" s="1"/>
      <c r="K8261" s="1"/>
      <c r="Q8261" s="1"/>
      <c r="AD8261" s="1"/>
      <c r="AG8261" s="1"/>
      <c r="AI8261" s="1"/>
    </row>
    <row r="8262" spans="4:35" hidden="1">
      <c r="D8262" s="1"/>
      <c r="K8262" s="1"/>
      <c r="Q8262" s="1"/>
      <c r="AD8262" s="1"/>
      <c r="AG8262" s="1"/>
      <c r="AI8262" s="1"/>
    </row>
    <row r="8263" spans="4:35" hidden="1">
      <c r="D8263" s="1"/>
      <c r="K8263" s="1"/>
      <c r="Q8263" s="1"/>
      <c r="AD8263" s="1"/>
      <c r="AG8263" s="1"/>
      <c r="AI8263" s="1"/>
    </row>
    <row r="8264" spans="4:35" hidden="1">
      <c r="D8264" s="1"/>
      <c r="K8264" s="1"/>
      <c r="Q8264" s="1"/>
      <c r="AD8264" s="1"/>
      <c r="AG8264" s="1"/>
      <c r="AI8264" s="1"/>
    </row>
    <row r="8265" spans="4:35" hidden="1">
      <c r="D8265" s="1"/>
      <c r="K8265" s="1"/>
      <c r="Q8265" s="1"/>
      <c r="AD8265" s="1"/>
      <c r="AG8265" s="1"/>
      <c r="AI8265" s="1"/>
    </row>
    <row r="8266" spans="4:35" hidden="1">
      <c r="D8266" s="1"/>
      <c r="K8266" s="1"/>
      <c r="Q8266" s="1"/>
      <c r="AD8266" s="1"/>
      <c r="AG8266" s="1"/>
      <c r="AI8266" s="1"/>
    </row>
    <row r="8267" spans="4:35" hidden="1">
      <c r="D8267" s="1"/>
      <c r="K8267" s="1"/>
      <c r="Q8267" s="1"/>
      <c r="AD8267" s="1"/>
      <c r="AG8267" s="1"/>
      <c r="AI8267" s="1"/>
    </row>
    <row r="8268" spans="4:35" hidden="1">
      <c r="D8268" s="1"/>
      <c r="K8268" s="1"/>
      <c r="Q8268" s="1"/>
      <c r="AD8268" s="1"/>
      <c r="AG8268" s="1"/>
      <c r="AI8268" s="1"/>
    </row>
    <row r="8269" spans="4:35" hidden="1">
      <c r="D8269" s="1"/>
      <c r="K8269" s="1"/>
      <c r="Q8269" s="1"/>
      <c r="AD8269" s="1"/>
      <c r="AG8269" s="1"/>
      <c r="AI8269" s="1"/>
    </row>
    <row r="8270" spans="4:35" hidden="1">
      <c r="D8270" s="1"/>
      <c r="K8270" s="1"/>
      <c r="Q8270" s="1"/>
      <c r="AD8270" s="1"/>
      <c r="AG8270" s="1"/>
      <c r="AI8270" s="1"/>
    </row>
    <row r="8271" spans="4:35" hidden="1">
      <c r="D8271" s="1"/>
      <c r="K8271" s="1"/>
      <c r="Q8271" s="1"/>
      <c r="AD8271" s="1"/>
      <c r="AG8271" s="1"/>
      <c r="AI8271" s="1"/>
    </row>
    <row r="8272" spans="4:35" hidden="1">
      <c r="D8272" s="1"/>
      <c r="K8272" s="1"/>
      <c r="Q8272" s="1"/>
      <c r="AD8272" s="1"/>
      <c r="AG8272" s="1"/>
      <c r="AI8272" s="1"/>
    </row>
    <row r="8273" spans="4:35" hidden="1">
      <c r="D8273" s="1"/>
      <c r="K8273" s="1"/>
      <c r="Q8273" s="1"/>
      <c r="AD8273" s="1"/>
      <c r="AG8273" s="1"/>
      <c r="AI8273" s="1"/>
    </row>
    <row r="8274" spans="4:35" hidden="1">
      <c r="D8274" s="1"/>
      <c r="K8274" s="1"/>
      <c r="Q8274" s="1"/>
      <c r="AD8274" s="1"/>
      <c r="AG8274" s="1"/>
      <c r="AI8274" s="1"/>
    </row>
    <row r="8275" spans="4:35" hidden="1">
      <c r="D8275" s="1"/>
      <c r="K8275" s="1"/>
      <c r="Q8275" s="1"/>
      <c r="AD8275" s="1"/>
      <c r="AG8275" s="1"/>
      <c r="AI8275" s="1"/>
    </row>
    <row r="8276" spans="4:35" hidden="1">
      <c r="D8276" s="1"/>
      <c r="K8276" s="1"/>
      <c r="Q8276" s="1"/>
      <c r="AD8276" s="1"/>
      <c r="AG8276" s="1"/>
      <c r="AI8276" s="1"/>
    </row>
    <row r="8277" spans="4:35" hidden="1">
      <c r="D8277" s="1"/>
      <c r="K8277" s="1"/>
      <c r="Q8277" s="1"/>
      <c r="AD8277" s="1"/>
      <c r="AG8277" s="1"/>
      <c r="AI8277" s="1"/>
    </row>
    <row r="8278" spans="4:35" hidden="1">
      <c r="D8278" s="1"/>
      <c r="K8278" s="1"/>
      <c r="Q8278" s="1"/>
      <c r="AD8278" s="1"/>
      <c r="AG8278" s="1"/>
      <c r="AI8278" s="1"/>
    </row>
    <row r="8279" spans="4:35" hidden="1">
      <c r="D8279" s="1"/>
      <c r="K8279" s="1"/>
      <c r="Q8279" s="1"/>
      <c r="AD8279" s="1"/>
      <c r="AG8279" s="1"/>
      <c r="AI8279" s="1"/>
    </row>
    <row r="8280" spans="4:35" hidden="1">
      <c r="D8280" s="1"/>
      <c r="K8280" s="1"/>
      <c r="Q8280" s="1"/>
      <c r="AD8280" s="1"/>
      <c r="AG8280" s="1"/>
      <c r="AI8280" s="1"/>
    </row>
    <row r="8281" spans="4:35" hidden="1">
      <c r="D8281" s="1"/>
      <c r="K8281" s="1"/>
      <c r="Q8281" s="1"/>
      <c r="AD8281" s="1"/>
      <c r="AG8281" s="1"/>
      <c r="AI8281" s="1"/>
    </row>
    <row r="8282" spans="4:35" hidden="1">
      <c r="D8282" s="1"/>
      <c r="K8282" s="1"/>
      <c r="Q8282" s="1"/>
      <c r="AD8282" s="1"/>
      <c r="AG8282" s="1"/>
      <c r="AI8282" s="1"/>
    </row>
    <row r="8283" spans="4:35" hidden="1">
      <c r="D8283" s="1"/>
      <c r="K8283" s="1"/>
      <c r="Q8283" s="1"/>
      <c r="AD8283" s="1"/>
      <c r="AG8283" s="1"/>
      <c r="AI8283" s="1"/>
    </row>
    <row r="8284" spans="4:35" hidden="1">
      <c r="D8284" s="1"/>
      <c r="K8284" s="1"/>
      <c r="Q8284" s="1"/>
      <c r="AD8284" s="1"/>
      <c r="AG8284" s="1"/>
      <c r="AI8284" s="1"/>
    </row>
    <row r="8285" spans="4:35" hidden="1">
      <c r="D8285" s="1"/>
      <c r="K8285" s="1"/>
      <c r="Q8285" s="1"/>
      <c r="AD8285" s="1"/>
      <c r="AG8285" s="1"/>
      <c r="AI8285" s="1"/>
    </row>
    <row r="8286" spans="4:35" hidden="1">
      <c r="D8286" s="1"/>
      <c r="K8286" s="1"/>
      <c r="Q8286" s="1"/>
      <c r="AD8286" s="1"/>
      <c r="AG8286" s="1"/>
      <c r="AI8286" s="1"/>
    </row>
    <row r="8287" spans="4:35" hidden="1">
      <c r="D8287" s="1"/>
      <c r="K8287" s="1"/>
      <c r="Q8287" s="1"/>
      <c r="AD8287" s="1"/>
      <c r="AG8287" s="1"/>
      <c r="AI8287" s="1"/>
    </row>
    <row r="8288" spans="4:35" hidden="1">
      <c r="D8288" s="1"/>
      <c r="K8288" s="1"/>
      <c r="Q8288" s="1"/>
      <c r="AD8288" s="1"/>
      <c r="AG8288" s="1"/>
      <c r="AI8288" s="1"/>
    </row>
    <row r="8289" spans="4:35" hidden="1">
      <c r="D8289" s="1"/>
      <c r="K8289" s="1"/>
      <c r="Q8289" s="1"/>
      <c r="AD8289" s="1"/>
      <c r="AG8289" s="1"/>
      <c r="AI8289" s="1"/>
    </row>
    <row r="8290" spans="4:35" hidden="1">
      <c r="D8290" s="1"/>
      <c r="K8290" s="1"/>
      <c r="Q8290" s="1"/>
      <c r="AD8290" s="1"/>
      <c r="AG8290" s="1"/>
      <c r="AI8290" s="1"/>
    </row>
    <row r="8291" spans="4:35" hidden="1">
      <c r="D8291" s="1"/>
      <c r="K8291" s="1"/>
      <c r="Q8291" s="1"/>
      <c r="AD8291" s="1"/>
      <c r="AG8291" s="1"/>
      <c r="AI8291" s="1"/>
    </row>
    <row r="8292" spans="4:35" hidden="1">
      <c r="D8292" s="1"/>
      <c r="K8292" s="1"/>
      <c r="Q8292" s="1"/>
      <c r="AD8292" s="1"/>
      <c r="AG8292" s="1"/>
      <c r="AI8292" s="1"/>
    </row>
    <row r="8293" spans="4:35" hidden="1">
      <c r="D8293" s="1"/>
      <c r="K8293" s="1"/>
      <c r="Q8293" s="1"/>
      <c r="AD8293" s="1"/>
      <c r="AG8293" s="1"/>
      <c r="AI8293" s="1"/>
    </row>
    <row r="8294" spans="4:35" hidden="1">
      <c r="D8294" s="1"/>
      <c r="K8294" s="1"/>
      <c r="Q8294" s="1"/>
      <c r="AD8294" s="1"/>
      <c r="AG8294" s="1"/>
      <c r="AI8294" s="1"/>
    </row>
    <row r="8295" spans="4:35" hidden="1">
      <c r="D8295" s="1"/>
      <c r="K8295" s="1"/>
      <c r="Q8295" s="1"/>
      <c r="AD8295" s="1"/>
      <c r="AG8295" s="1"/>
      <c r="AI8295" s="1"/>
    </row>
    <row r="8296" spans="4:35" hidden="1">
      <c r="D8296" s="1"/>
      <c r="K8296" s="1"/>
      <c r="Q8296" s="1"/>
      <c r="AD8296" s="1"/>
      <c r="AG8296" s="1"/>
      <c r="AI8296" s="1"/>
    </row>
    <row r="8297" spans="4:35" hidden="1">
      <c r="D8297" s="1"/>
      <c r="K8297" s="1"/>
      <c r="Q8297" s="1"/>
      <c r="AD8297" s="1"/>
      <c r="AG8297" s="1"/>
      <c r="AI8297" s="1"/>
    </row>
    <row r="8298" spans="4:35" hidden="1">
      <c r="D8298" s="1"/>
      <c r="K8298" s="1"/>
      <c r="Q8298" s="1"/>
      <c r="AD8298" s="1"/>
      <c r="AG8298" s="1"/>
      <c r="AI8298" s="1"/>
    </row>
    <row r="8299" spans="4:35" hidden="1">
      <c r="D8299" s="1"/>
      <c r="K8299" s="1"/>
      <c r="Q8299" s="1"/>
      <c r="AD8299" s="1"/>
      <c r="AG8299" s="1"/>
      <c r="AI8299" s="1"/>
    </row>
    <row r="8300" spans="4:35" hidden="1">
      <c r="D8300" s="1"/>
      <c r="K8300" s="1"/>
      <c r="Q8300" s="1"/>
      <c r="AD8300" s="1"/>
      <c r="AG8300" s="1"/>
      <c r="AI8300" s="1"/>
    </row>
    <row r="8301" spans="4:35" hidden="1">
      <c r="D8301" s="1"/>
      <c r="K8301" s="1"/>
      <c r="Q8301" s="1"/>
      <c r="AD8301" s="1"/>
      <c r="AG8301" s="1"/>
      <c r="AI8301" s="1"/>
    </row>
    <row r="8302" spans="4:35" hidden="1">
      <c r="D8302" s="1"/>
      <c r="K8302" s="1"/>
      <c r="Q8302" s="1"/>
      <c r="AD8302" s="1"/>
      <c r="AG8302" s="1"/>
      <c r="AI8302" s="1"/>
    </row>
    <row r="8303" spans="4:35" hidden="1">
      <c r="D8303" s="1"/>
      <c r="K8303" s="1"/>
      <c r="Q8303" s="1"/>
      <c r="AD8303" s="1"/>
      <c r="AG8303" s="1"/>
      <c r="AI8303" s="1"/>
    </row>
    <row r="8304" spans="4:35" hidden="1">
      <c r="D8304" s="1"/>
      <c r="K8304" s="1"/>
      <c r="Q8304" s="1"/>
      <c r="AD8304" s="1"/>
      <c r="AG8304" s="1"/>
      <c r="AI8304" s="1"/>
    </row>
    <row r="8305" spans="4:35" hidden="1">
      <c r="D8305" s="1"/>
      <c r="K8305" s="1"/>
      <c r="Q8305" s="1"/>
      <c r="AD8305" s="1"/>
      <c r="AG8305" s="1"/>
      <c r="AI8305" s="1"/>
    </row>
    <row r="8306" spans="4:35" hidden="1">
      <c r="D8306" s="1"/>
      <c r="K8306" s="1"/>
      <c r="Q8306" s="1"/>
      <c r="AD8306" s="1"/>
      <c r="AG8306" s="1"/>
      <c r="AI8306" s="1"/>
    </row>
    <row r="8307" spans="4:35" hidden="1">
      <c r="D8307" s="1"/>
      <c r="K8307" s="1"/>
      <c r="Q8307" s="1"/>
      <c r="AD8307" s="1"/>
      <c r="AG8307" s="1"/>
      <c r="AI8307" s="1"/>
    </row>
    <row r="8308" spans="4:35" hidden="1">
      <c r="D8308" s="1"/>
      <c r="K8308" s="1"/>
      <c r="Q8308" s="1"/>
      <c r="AD8308" s="1"/>
      <c r="AG8308" s="1"/>
      <c r="AI8308" s="1"/>
    </row>
    <row r="8309" spans="4:35" hidden="1">
      <c r="D8309" s="1"/>
      <c r="K8309" s="1"/>
      <c r="Q8309" s="1"/>
      <c r="AD8309" s="1"/>
      <c r="AG8309" s="1"/>
      <c r="AI8309" s="1"/>
    </row>
    <row r="8310" spans="4:35" hidden="1">
      <c r="D8310" s="1"/>
      <c r="K8310" s="1"/>
      <c r="Q8310" s="1"/>
      <c r="AD8310" s="1"/>
      <c r="AG8310" s="1"/>
      <c r="AI8310" s="1"/>
    </row>
    <row r="8311" spans="4:35" hidden="1">
      <c r="D8311" s="1"/>
      <c r="K8311" s="1"/>
      <c r="Q8311" s="1"/>
      <c r="AD8311" s="1"/>
      <c r="AG8311" s="1"/>
      <c r="AI8311" s="1"/>
    </row>
    <row r="8312" spans="4:35" hidden="1">
      <c r="D8312" s="1"/>
      <c r="K8312" s="1"/>
      <c r="Q8312" s="1"/>
      <c r="AD8312" s="1"/>
      <c r="AG8312" s="1"/>
      <c r="AI8312" s="1"/>
    </row>
    <row r="8313" spans="4:35" hidden="1">
      <c r="D8313" s="1"/>
      <c r="K8313" s="1"/>
      <c r="Q8313" s="1"/>
      <c r="AD8313" s="1"/>
      <c r="AG8313" s="1"/>
      <c r="AI8313" s="1"/>
    </row>
    <row r="8314" spans="4:35" hidden="1">
      <c r="D8314" s="1"/>
      <c r="K8314" s="1"/>
      <c r="Q8314" s="1"/>
      <c r="AD8314" s="1"/>
      <c r="AG8314" s="1"/>
      <c r="AI8314" s="1"/>
    </row>
    <row r="8315" spans="4:35" hidden="1">
      <c r="D8315" s="1"/>
      <c r="K8315" s="1"/>
      <c r="Q8315" s="1"/>
      <c r="AD8315" s="1"/>
      <c r="AG8315" s="1"/>
      <c r="AI8315" s="1"/>
    </row>
    <row r="8316" spans="4:35" hidden="1">
      <c r="D8316" s="1"/>
      <c r="K8316" s="1"/>
      <c r="Q8316" s="1"/>
      <c r="AD8316" s="1"/>
      <c r="AG8316" s="1"/>
      <c r="AI8316" s="1"/>
    </row>
    <row r="8317" spans="4:35" hidden="1">
      <c r="D8317" s="1"/>
      <c r="K8317" s="1"/>
      <c r="Q8317" s="1"/>
      <c r="AD8317" s="1"/>
      <c r="AG8317" s="1"/>
      <c r="AI8317" s="1"/>
    </row>
    <row r="8318" spans="4:35" hidden="1">
      <c r="D8318" s="1"/>
      <c r="K8318" s="1"/>
      <c r="Q8318" s="1"/>
      <c r="AD8318" s="1"/>
      <c r="AG8318" s="1"/>
      <c r="AI8318" s="1"/>
    </row>
    <row r="8319" spans="4:35" hidden="1">
      <c r="D8319" s="1"/>
      <c r="K8319" s="1"/>
      <c r="Q8319" s="1"/>
      <c r="AD8319" s="1"/>
      <c r="AG8319" s="1"/>
      <c r="AI8319" s="1"/>
    </row>
    <row r="8320" spans="4:35" hidden="1">
      <c r="D8320" s="1"/>
      <c r="K8320" s="1"/>
      <c r="Q8320" s="1"/>
      <c r="AD8320" s="1"/>
      <c r="AG8320" s="1"/>
      <c r="AI8320" s="1"/>
    </row>
    <row r="8321" spans="4:35" hidden="1">
      <c r="D8321" s="1"/>
      <c r="K8321" s="1"/>
      <c r="Q8321" s="1"/>
      <c r="AD8321" s="1"/>
      <c r="AG8321" s="1"/>
      <c r="AI8321" s="1"/>
    </row>
    <row r="8322" spans="4:35" hidden="1">
      <c r="D8322" s="1"/>
      <c r="K8322" s="1"/>
      <c r="Q8322" s="1"/>
      <c r="AD8322" s="1"/>
      <c r="AG8322" s="1"/>
      <c r="AI8322" s="1"/>
    </row>
    <row r="8323" spans="4:35" hidden="1">
      <c r="D8323" s="1"/>
      <c r="K8323" s="1"/>
      <c r="Q8323" s="1"/>
      <c r="AD8323" s="1"/>
      <c r="AG8323" s="1"/>
      <c r="AI8323" s="1"/>
    </row>
    <row r="8324" spans="4:35" hidden="1">
      <c r="D8324" s="1"/>
      <c r="K8324" s="1"/>
      <c r="Q8324" s="1"/>
      <c r="AD8324" s="1"/>
      <c r="AG8324" s="1"/>
      <c r="AI8324" s="1"/>
    </row>
    <row r="8325" spans="4:35" hidden="1">
      <c r="D8325" s="1"/>
      <c r="K8325" s="1"/>
      <c r="Q8325" s="1"/>
      <c r="AD8325" s="1"/>
      <c r="AG8325" s="1"/>
      <c r="AI8325" s="1"/>
    </row>
    <row r="8326" spans="4:35" hidden="1">
      <c r="D8326" s="1"/>
      <c r="K8326" s="1"/>
      <c r="Q8326" s="1"/>
      <c r="AD8326" s="1"/>
      <c r="AG8326" s="1"/>
      <c r="AI8326" s="1"/>
    </row>
    <row r="8327" spans="4:35" hidden="1">
      <c r="D8327" s="1"/>
      <c r="K8327" s="1"/>
      <c r="Q8327" s="1"/>
      <c r="AD8327" s="1"/>
      <c r="AG8327" s="1"/>
      <c r="AI8327" s="1"/>
    </row>
    <row r="8328" spans="4:35" hidden="1">
      <c r="D8328" s="1"/>
      <c r="K8328" s="1"/>
      <c r="Q8328" s="1"/>
      <c r="AD8328" s="1"/>
      <c r="AG8328" s="1"/>
      <c r="AI8328" s="1"/>
    </row>
    <row r="8329" spans="4:35" hidden="1">
      <c r="D8329" s="1"/>
      <c r="K8329" s="1"/>
      <c r="Q8329" s="1"/>
      <c r="AD8329" s="1"/>
      <c r="AG8329" s="1"/>
      <c r="AI8329" s="1"/>
    </row>
    <row r="8330" spans="4:35" hidden="1">
      <c r="D8330" s="1"/>
      <c r="K8330" s="1"/>
      <c r="Q8330" s="1"/>
      <c r="AD8330" s="1"/>
      <c r="AG8330" s="1"/>
      <c r="AI8330" s="1"/>
    </row>
    <row r="8331" spans="4:35" hidden="1">
      <c r="D8331" s="1"/>
      <c r="K8331" s="1"/>
      <c r="Q8331" s="1"/>
      <c r="AD8331" s="1"/>
      <c r="AG8331" s="1"/>
      <c r="AI8331" s="1"/>
    </row>
    <row r="8332" spans="4:35" hidden="1">
      <c r="D8332" s="1"/>
      <c r="K8332" s="1"/>
      <c r="Q8332" s="1"/>
      <c r="AD8332" s="1"/>
      <c r="AG8332" s="1"/>
      <c r="AI8332" s="1"/>
    </row>
    <row r="8333" spans="4:35" hidden="1">
      <c r="D8333" s="1"/>
      <c r="K8333" s="1"/>
      <c r="Q8333" s="1"/>
      <c r="AD8333" s="1"/>
      <c r="AG8333" s="1"/>
      <c r="AI8333" s="1"/>
    </row>
    <row r="8334" spans="4:35" hidden="1">
      <c r="D8334" s="1"/>
      <c r="K8334" s="1"/>
      <c r="Q8334" s="1"/>
      <c r="AD8334" s="1"/>
      <c r="AG8334" s="1"/>
      <c r="AI8334" s="1"/>
    </row>
    <row r="8335" spans="4:35" hidden="1">
      <c r="D8335" s="1"/>
      <c r="K8335" s="1"/>
      <c r="Q8335" s="1"/>
      <c r="AD8335" s="1"/>
      <c r="AG8335" s="1"/>
      <c r="AI8335" s="1"/>
    </row>
    <row r="8336" spans="4:35" hidden="1">
      <c r="D8336" s="1"/>
      <c r="K8336" s="1"/>
      <c r="Q8336" s="1"/>
      <c r="AD8336" s="1"/>
      <c r="AG8336" s="1"/>
      <c r="AI8336" s="1"/>
    </row>
    <row r="8337" spans="4:35" hidden="1">
      <c r="D8337" s="1"/>
      <c r="K8337" s="1"/>
      <c r="Q8337" s="1"/>
      <c r="AD8337" s="1"/>
      <c r="AG8337" s="1"/>
      <c r="AI8337" s="1"/>
    </row>
    <row r="8338" spans="4:35" hidden="1">
      <c r="D8338" s="1"/>
      <c r="K8338" s="1"/>
      <c r="Q8338" s="1"/>
      <c r="AD8338" s="1"/>
      <c r="AG8338" s="1"/>
      <c r="AI8338" s="1"/>
    </row>
    <row r="8339" spans="4:35" hidden="1">
      <c r="D8339" s="1"/>
      <c r="K8339" s="1"/>
      <c r="Q8339" s="1"/>
      <c r="AD8339" s="1"/>
      <c r="AG8339" s="1"/>
      <c r="AI8339" s="1"/>
    </row>
    <row r="8340" spans="4:35" hidden="1">
      <c r="D8340" s="1"/>
      <c r="K8340" s="1"/>
      <c r="Q8340" s="1"/>
      <c r="AD8340" s="1"/>
      <c r="AG8340" s="1"/>
      <c r="AI8340" s="1"/>
    </row>
    <row r="8341" spans="4:35" hidden="1">
      <c r="D8341" s="1"/>
      <c r="K8341" s="1"/>
      <c r="Q8341" s="1"/>
      <c r="AD8341" s="1"/>
      <c r="AG8341" s="1"/>
      <c r="AI8341" s="1"/>
    </row>
    <row r="8342" spans="4:35" hidden="1">
      <c r="D8342" s="1"/>
      <c r="K8342" s="1"/>
      <c r="Q8342" s="1"/>
      <c r="AD8342" s="1"/>
      <c r="AG8342" s="1"/>
      <c r="AI8342" s="1"/>
    </row>
    <row r="8343" spans="4:35" hidden="1">
      <c r="D8343" s="1"/>
      <c r="K8343" s="1"/>
      <c r="Q8343" s="1"/>
      <c r="AD8343" s="1"/>
      <c r="AG8343" s="1"/>
      <c r="AI8343" s="1"/>
    </row>
    <row r="8344" spans="4:35" hidden="1">
      <c r="D8344" s="1"/>
      <c r="K8344" s="1"/>
      <c r="Q8344" s="1"/>
      <c r="AD8344" s="1"/>
      <c r="AG8344" s="1"/>
      <c r="AI8344" s="1"/>
    </row>
    <row r="8345" spans="4:35" hidden="1">
      <c r="D8345" s="1"/>
      <c r="K8345" s="1"/>
      <c r="Q8345" s="1"/>
      <c r="AD8345" s="1"/>
      <c r="AG8345" s="1"/>
      <c r="AI8345" s="1"/>
    </row>
    <row r="8346" spans="4:35" hidden="1">
      <c r="D8346" s="1"/>
      <c r="K8346" s="1"/>
      <c r="Q8346" s="1"/>
      <c r="AD8346" s="1"/>
      <c r="AG8346" s="1"/>
      <c r="AI8346" s="1"/>
    </row>
    <row r="8347" spans="4:35" hidden="1">
      <c r="D8347" s="1"/>
      <c r="K8347" s="1"/>
      <c r="Q8347" s="1"/>
      <c r="AD8347" s="1"/>
      <c r="AG8347" s="1"/>
      <c r="AI8347" s="1"/>
    </row>
    <row r="8348" spans="4:35" hidden="1">
      <c r="D8348" s="1"/>
      <c r="K8348" s="1"/>
      <c r="Q8348" s="1"/>
      <c r="AD8348" s="1"/>
      <c r="AG8348" s="1"/>
      <c r="AI8348" s="1"/>
    </row>
    <row r="8349" spans="4:35" hidden="1">
      <c r="D8349" s="1"/>
      <c r="K8349" s="1"/>
      <c r="Q8349" s="1"/>
      <c r="AD8349" s="1"/>
      <c r="AG8349" s="1"/>
      <c r="AI8349" s="1"/>
    </row>
    <row r="8350" spans="4:35" hidden="1">
      <c r="D8350" s="1"/>
      <c r="K8350" s="1"/>
      <c r="Q8350" s="1"/>
      <c r="AD8350" s="1"/>
      <c r="AG8350" s="1"/>
      <c r="AI8350" s="1"/>
    </row>
    <row r="8351" spans="4:35" hidden="1">
      <c r="D8351" s="1"/>
      <c r="K8351" s="1"/>
      <c r="Q8351" s="1"/>
      <c r="AD8351" s="1"/>
      <c r="AG8351" s="1"/>
      <c r="AI8351" s="1"/>
    </row>
    <row r="8352" spans="4:35" hidden="1">
      <c r="D8352" s="1"/>
      <c r="K8352" s="1"/>
      <c r="Q8352" s="1"/>
      <c r="AD8352" s="1"/>
      <c r="AG8352" s="1"/>
      <c r="AI8352" s="1"/>
    </row>
    <row r="8353" spans="4:35" hidden="1">
      <c r="D8353" s="1"/>
      <c r="K8353" s="1"/>
      <c r="Q8353" s="1"/>
      <c r="AD8353" s="1"/>
      <c r="AG8353" s="1"/>
      <c r="AI8353" s="1"/>
    </row>
    <row r="8354" spans="4:35" hidden="1">
      <c r="D8354" s="1"/>
      <c r="K8354" s="1"/>
      <c r="Q8354" s="1"/>
      <c r="AD8354" s="1"/>
      <c r="AG8354" s="1"/>
      <c r="AI8354" s="1"/>
    </row>
    <row r="8355" spans="4:35" hidden="1">
      <c r="D8355" s="1"/>
      <c r="K8355" s="1"/>
      <c r="Q8355" s="1"/>
      <c r="AD8355" s="1"/>
      <c r="AG8355" s="1"/>
      <c r="AI8355" s="1"/>
    </row>
    <row r="8356" spans="4:35" hidden="1">
      <c r="D8356" s="1"/>
      <c r="K8356" s="1"/>
      <c r="Q8356" s="1"/>
      <c r="AD8356" s="1"/>
      <c r="AG8356" s="1"/>
      <c r="AI8356" s="1"/>
    </row>
    <row r="8357" spans="4:35" hidden="1">
      <c r="D8357" s="1"/>
      <c r="K8357" s="1"/>
      <c r="Q8357" s="1"/>
      <c r="AD8357" s="1"/>
      <c r="AG8357" s="1"/>
      <c r="AI8357" s="1"/>
    </row>
    <row r="8358" spans="4:35" hidden="1">
      <c r="D8358" s="1"/>
      <c r="K8358" s="1"/>
      <c r="Q8358" s="1"/>
      <c r="AD8358" s="1"/>
      <c r="AG8358" s="1"/>
      <c r="AI8358" s="1"/>
    </row>
    <row r="8359" spans="4:35" hidden="1">
      <c r="D8359" s="1"/>
      <c r="K8359" s="1"/>
      <c r="Q8359" s="1"/>
      <c r="AD8359" s="1"/>
      <c r="AG8359" s="1"/>
      <c r="AI8359" s="1"/>
    </row>
    <row r="8360" spans="4:35" hidden="1">
      <c r="D8360" s="1"/>
      <c r="K8360" s="1"/>
      <c r="Q8360" s="1"/>
      <c r="AD8360" s="1"/>
      <c r="AG8360" s="1"/>
      <c r="AI8360" s="1"/>
    </row>
    <row r="8361" spans="4:35" hidden="1">
      <c r="D8361" s="1"/>
      <c r="K8361" s="1"/>
      <c r="Q8361" s="1"/>
      <c r="AD8361" s="1"/>
      <c r="AG8361" s="1"/>
      <c r="AI8361" s="1"/>
    </row>
    <row r="8362" spans="4:35" hidden="1">
      <c r="D8362" s="1"/>
      <c r="K8362" s="1"/>
      <c r="Q8362" s="1"/>
      <c r="AD8362" s="1"/>
      <c r="AG8362" s="1"/>
      <c r="AI8362" s="1"/>
    </row>
    <row r="8363" spans="4:35" hidden="1">
      <c r="D8363" s="1"/>
      <c r="K8363" s="1"/>
      <c r="Q8363" s="1"/>
      <c r="AD8363" s="1"/>
      <c r="AG8363" s="1"/>
      <c r="AI8363" s="1"/>
    </row>
    <row r="8364" spans="4:35" hidden="1">
      <c r="D8364" s="1"/>
      <c r="K8364" s="1"/>
      <c r="Q8364" s="1"/>
      <c r="AD8364" s="1"/>
      <c r="AG8364" s="1"/>
      <c r="AI8364" s="1"/>
    </row>
    <row r="8365" spans="4:35" hidden="1">
      <c r="D8365" s="1"/>
      <c r="K8365" s="1"/>
      <c r="Q8365" s="1"/>
      <c r="AD8365" s="1"/>
      <c r="AG8365" s="1"/>
      <c r="AI8365" s="1"/>
    </row>
    <row r="8366" spans="4:35" hidden="1">
      <c r="D8366" s="1"/>
      <c r="K8366" s="1"/>
      <c r="Q8366" s="1"/>
      <c r="AD8366" s="1"/>
      <c r="AG8366" s="1"/>
      <c r="AI8366" s="1"/>
    </row>
    <row r="8367" spans="4:35" hidden="1">
      <c r="D8367" s="1"/>
      <c r="K8367" s="1"/>
      <c r="Q8367" s="1"/>
      <c r="AD8367" s="1"/>
      <c r="AG8367" s="1"/>
      <c r="AI8367" s="1"/>
    </row>
    <row r="8368" spans="4:35" hidden="1">
      <c r="D8368" s="1"/>
      <c r="K8368" s="1"/>
      <c r="Q8368" s="1"/>
      <c r="AD8368" s="1"/>
      <c r="AG8368" s="1"/>
      <c r="AI8368" s="1"/>
    </row>
    <row r="8369" spans="4:35" hidden="1">
      <c r="D8369" s="1"/>
      <c r="K8369" s="1"/>
      <c r="Q8369" s="1"/>
      <c r="AD8369" s="1"/>
      <c r="AG8369" s="1"/>
      <c r="AI8369" s="1"/>
    </row>
    <row r="8370" spans="4:35" hidden="1">
      <c r="D8370" s="1"/>
      <c r="K8370" s="1"/>
      <c r="Q8370" s="1"/>
      <c r="AD8370" s="1"/>
      <c r="AG8370" s="1"/>
      <c r="AI8370" s="1"/>
    </row>
    <row r="8371" spans="4:35" hidden="1">
      <c r="D8371" s="1"/>
      <c r="K8371" s="1"/>
      <c r="Q8371" s="1"/>
      <c r="AD8371" s="1"/>
      <c r="AG8371" s="1"/>
      <c r="AI8371" s="1"/>
    </row>
    <row r="8372" spans="4:35" hidden="1">
      <c r="D8372" s="1"/>
      <c r="K8372" s="1"/>
      <c r="Q8372" s="1"/>
      <c r="AD8372" s="1"/>
      <c r="AG8372" s="1"/>
      <c r="AI8372" s="1"/>
    </row>
    <row r="8373" spans="4:35" hidden="1">
      <c r="D8373" s="1"/>
      <c r="K8373" s="1"/>
      <c r="Q8373" s="1"/>
      <c r="AD8373" s="1"/>
      <c r="AG8373" s="1"/>
      <c r="AI8373" s="1"/>
    </row>
    <row r="8374" spans="4:35" hidden="1">
      <c r="D8374" s="1"/>
      <c r="K8374" s="1"/>
      <c r="Q8374" s="1"/>
      <c r="AD8374" s="1"/>
      <c r="AG8374" s="1"/>
      <c r="AI8374" s="1"/>
    </row>
    <row r="8375" spans="4:35" hidden="1">
      <c r="D8375" s="1"/>
      <c r="K8375" s="1"/>
      <c r="Q8375" s="1"/>
      <c r="AD8375" s="1"/>
      <c r="AG8375" s="1"/>
      <c r="AI8375" s="1"/>
    </row>
    <row r="8376" spans="4:35" hidden="1">
      <c r="D8376" s="1"/>
      <c r="K8376" s="1"/>
      <c r="Q8376" s="1"/>
      <c r="AD8376" s="1"/>
      <c r="AG8376" s="1"/>
      <c r="AI8376" s="1"/>
    </row>
    <row r="8377" spans="4:35" hidden="1">
      <c r="D8377" s="1"/>
      <c r="K8377" s="1"/>
      <c r="Q8377" s="1"/>
      <c r="AD8377" s="1"/>
      <c r="AG8377" s="1"/>
      <c r="AI8377" s="1"/>
    </row>
    <row r="8378" spans="4:35" hidden="1">
      <c r="D8378" s="1"/>
      <c r="K8378" s="1"/>
      <c r="Q8378" s="1"/>
      <c r="AD8378" s="1"/>
      <c r="AG8378" s="1"/>
      <c r="AI8378" s="1"/>
    </row>
    <row r="8379" spans="4:35" hidden="1">
      <c r="D8379" s="1"/>
      <c r="K8379" s="1"/>
      <c r="Q8379" s="1"/>
      <c r="AD8379" s="1"/>
      <c r="AG8379" s="1"/>
      <c r="AI8379" s="1"/>
    </row>
    <row r="8380" spans="4:35" hidden="1">
      <c r="D8380" s="1"/>
      <c r="K8380" s="1"/>
      <c r="Q8380" s="1"/>
      <c r="AD8380" s="1"/>
      <c r="AG8380" s="1"/>
      <c r="AI8380" s="1"/>
    </row>
    <row r="8381" spans="4:35" hidden="1">
      <c r="D8381" s="1"/>
      <c r="K8381" s="1"/>
      <c r="Q8381" s="1"/>
      <c r="AD8381" s="1"/>
      <c r="AG8381" s="1"/>
      <c r="AI8381" s="1"/>
    </row>
    <row r="8382" spans="4:35" hidden="1">
      <c r="D8382" s="1"/>
      <c r="K8382" s="1"/>
      <c r="Q8382" s="1"/>
      <c r="AD8382" s="1"/>
      <c r="AG8382" s="1"/>
      <c r="AI8382" s="1"/>
    </row>
    <row r="8383" spans="4:35" hidden="1">
      <c r="D8383" s="1"/>
      <c r="K8383" s="1"/>
      <c r="Q8383" s="1"/>
      <c r="AD8383" s="1"/>
      <c r="AG8383" s="1"/>
      <c r="AI8383" s="1"/>
    </row>
    <row r="8384" spans="4:35" hidden="1">
      <c r="D8384" s="1"/>
      <c r="K8384" s="1"/>
      <c r="Q8384" s="1"/>
      <c r="AD8384" s="1"/>
      <c r="AG8384" s="1"/>
      <c r="AI8384" s="1"/>
    </row>
    <row r="8385" spans="4:35" hidden="1">
      <c r="D8385" s="1"/>
      <c r="K8385" s="1"/>
      <c r="Q8385" s="1"/>
      <c r="AD8385" s="1"/>
      <c r="AG8385" s="1"/>
      <c r="AI8385" s="1"/>
    </row>
    <row r="8386" spans="4:35" hidden="1">
      <c r="D8386" s="1"/>
      <c r="K8386" s="1"/>
      <c r="Q8386" s="1"/>
      <c r="AD8386" s="1"/>
      <c r="AG8386" s="1"/>
      <c r="AI8386" s="1"/>
    </row>
    <row r="8387" spans="4:35" hidden="1">
      <c r="D8387" s="1"/>
      <c r="K8387" s="1"/>
      <c r="Q8387" s="1"/>
      <c r="AD8387" s="1"/>
      <c r="AG8387" s="1"/>
      <c r="AI8387" s="1"/>
    </row>
    <row r="8388" spans="4:35" hidden="1">
      <c r="D8388" s="1"/>
      <c r="K8388" s="1"/>
      <c r="Q8388" s="1"/>
      <c r="AD8388" s="1"/>
      <c r="AG8388" s="1"/>
      <c r="AI8388" s="1"/>
    </row>
    <row r="8389" spans="4:35" hidden="1">
      <c r="D8389" s="1"/>
      <c r="K8389" s="1"/>
      <c r="Q8389" s="1"/>
      <c r="AD8389" s="1"/>
      <c r="AG8389" s="1"/>
      <c r="AI8389" s="1"/>
    </row>
    <row r="8390" spans="4:35" hidden="1">
      <c r="D8390" s="1"/>
      <c r="K8390" s="1"/>
      <c r="Q8390" s="1"/>
      <c r="AD8390" s="1"/>
      <c r="AG8390" s="1"/>
      <c r="AI8390" s="1"/>
    </row>
    <row r="8391" spans="4:35" hidden="1">
      <c r="D8391" s="1"/>
      <c r="K8391" s="1"/>
      <c r="Q8391" s="1"/>
      <c r="AD8391" s="1"/>
      <c r="AG8391" s="1"/>
      <c r="AI8391" s="1"/>
    </row>
    <row r="8392" spans="4:35" hidden="1">
      <c r="D8392" s="1"/>
      <c r="K8392" s="1"/>
      <c r="Q8392" s="1"/>
      <c r="AD8392" s="1"/>
      <c r="AG8392" s="1"/>
      <c r="AI8392" s="1"/>
    </row>
    <row r="8393" spans="4:35" hidden="1">
      <c r="D8393" s="1"/>
      <c r="K8393" s="1"/>
      <c r="Q8393" s="1"/>
      <c r="AD8393" s="1"/>
      <c r="AG8393" s="1"/>
      <c r="AI8393" s="1"/>
    </row>
    <row r="8394" spans="4:35" hidden="1">
      <c r="D8394" s="1"/>
      <c r="K8394" s="1"/>
      <c r="Q8394" s="1"/>
      <c r="AD8394" s="1"/>
      <c r="AG8394" s="1"/>
      <c r="AI8394" s="1"/>
    </row>
    <row r="8395" spans="4:35" hidden="1">
      <c r="D8395" s="1"/>
      <c r="K8395" s="1"/>
      <c r="Q8395" s="1"/>
      <c r="AD8395" s="1"/>
      <c r="AG8395" s="1"/>
      <c r="AI8395" s="1"/>
    </row>
    <row r="8396" spans="4:35" hidden="1">
      <c r="D8396" s="1"/>
      <c r="K8396" s="1"/>
      <c r="Q8396" s="1"/>
      <c r="AD8396" s="1"/>
      <c r="AG8396" s="1"/>
      <c r="AI8396" s="1"/>
    </row>
    <row r="8397" spans="4:35" hidden="1">
      <c r="D8397" s="1"/>
      <c r="K8397" s="1"/>
      <c r="Q8397" s="1"/>
      <c r="AD8397" s="1"/>
      <c r="AG8397" s="1"/>
      <c r="AI8397" s="1"/>
    </row>
    <row r="8398" spans="4:35" hidden="1">
      <c r="D8398" s="1"/>
      <c r="K8398" s="1"/>
      <c r="Q8398" s="1"/>
      <c r="AD8398" s="1"/>
      <c r="AG8398" s="1"/>
      <c r="AI8398" s="1"/>
    </row>
    <row r="8399" spans="4:35" hidden="1">
      <c r="D8399" s="1"/>
      <c r="K8399" s="1"/>
      <c r="Q8399" s="1"/>
      <c r="AD8399" s="1"/>
      <c r="AG8399" s="1"/>
      <c r="AI8399" s="1"/>
    </row>
    <row r="8400" spans="4:35" hidden="1">
      <c r="D8400" s="1"/>
      <c r="K8400" s="1"/>
      <c r="Q8400" s="1"/>
      <c r="AD8400" s="1"/>
      <c r="AG8400" s="1"/>
      <c r="AI8400" s="1"/>
    </row>
    <row r="8401" spans="4:35" hidden="1">
      <c r="D8401" s="1"/>
      <c r="K8401" s="1"/>
      <c r="Q8401" s="1"/>
      <c r="AD8401" s="1"/>
      <c r="AG8401" s="1"/>
      <c r="AI8401" s="1"/>
    </row>
    <row r="8402" spans="4:35" hidden="1">
      <c r="D8402" s="1"/>
      <c r="K8402" s="1"/>
      <c r="Q8402" s="1"/>
      <c r="AD8402" s="1"/>
      <c r="AG8402" s="1"/>
      <c r="AI8402" s="1"/>
    </row>
    <row r="8403" spans="4:35" hidden="1">
      <c r="D8403" s="1"/>
      <c r="K8403" s="1"/>
      <c r="Q8403" s="1"/>
      <c r="AD8403" s="1"/>
      <c r="AG8403" s="1"/>
      <c r="AI8403" s="1"/>
    </row>
    <row r="8404" spans="4:35" hidden="1">
      <c r="D8404" s="1"/>
      <c r="K8404" s="1"/>
      <c r="Q8404" s="1"/>
      <c r="AD8404" s="1"/>
      <c r="AG8404" s="1"/>
      <c r="AI8404" s="1"/>
    </row>
    <row r="8405" spans="4:35" hidden="1">
      <c r="D8405" s="1"/>
      <c r="K8405" s="1"/>
      <c r="Q8405" s="1"/>
      <c r="AD8405" s="1"/>
      <c r="AG8405" s="1"/>
      <c r="AI8405" s="1"/>
    </row>
    <row r="8406" spans="4:35" hidden="1">
      <c r="D8406" s="1"/>
      <c r="K8406" s="1"/>
      <c r="Q8406" s="1"/>
      <c r="AD8406" s="1"/>
      <c r="AG8406" s="1"/>
      <c r="AI8406" s="1"/>
    </row>
    <row r="8407" spans="4:35" hidden="1">
      <c r="D8407" s="1"/>
      <c r="K8407" s="1"/>
      <c r="Q8407" s="1"/>
      <c r="AD8407" s="1"/>
      <c r="AG8407" s="1"/>
      <c r="AI8407" s="1"/>
    </row>
    <row r="8408" spans="4:35" hidden="1">
      <c r="D8408" s="1"/>
      <c r="K8408" s="1"/>
      <c r="Q8408" s="1"/>
      <c r="AD8408" s="1"/>
      <c r="AG8408" s="1"/>
      <c r="AI8408" s="1"/>
    </row>
    <row r="8409" spans="4:35" hidden="1">
      <c r="D8409" s="1"/>
      <c r="K8409" s="1"/>
      <c r="Q8409" s="1"/>
      <c r="AD8409" s="1"/>
      <c r="AG8409" s="1"/>
      <c r="AI8409" s="1"/>
    </row>
    <row r="8410" spans="4:35" hidden="1">
      <c r="D8410" s="1"/>
      <c r="K8410" s="1"/>
      <c r="Q8410" s="1"/>
      <c r="AD8410" s="1"/>
      <c r="AG8410" s="1"/>
      <c r="AI8410" s="1"/>
    </row>
    <row r="8411" spans="4:35" hidden="1">
      <c r="D8411" s="1"/>
      <c r="K8411" s="1"/>
      <c r="Q8411" s="1"/>
      <c r="AD8411" s="1"/>
      <c r="AG8411" s="1"/>
      <c r="AI8411" s="1"/>
    </row>
    <row r="8412" spans="4:35" hidden="1">
      <c r="D8412" s="1"/>
      <c r="K8412" s="1"/>
      <c r="Q8412" s="1"/>
      <c r="AD8412" s="1"/>
      <c r="AG8412" s="1"/>
      <c r="AI8412" s="1"/>
    </row>
    <row r="8413" spans="4:35" hidden="1">
      <c r="D8413" s="1"/>
      <c r="K8413" s="1"/>
      <c r="Q8413" s="1"/>
      <c r="AD8413" s="1"/>
      <c r="AG8413" s="1"/>
      <c r="AI8413" s="1"/>
    </row>
    <row r="8414" spans="4:35" hidden="1">
      <c r="D8414" s="1"/>
      <c r="K8414" s="1"/>
      <c r="Q8414" s="1"/>
      <c r="AD8414" s="1"/>
      <c r="AG8414" s="1"/>
      <c r="AI8414" s="1"/>
    </row>
    <row r="8415" spans="4:35" hidden="1">
      <c r="D8415" s="1"/>
      <c r="K8415" s="1"/>
      <c r="Q8415" s="1"/>
      <c r="AD8415" s="1"/>
      <c r="AG8415" s="1"/>
      <c r="AI8415" s="1"/>
    </row>
    <row r="8416" spans="4:35" hidden="1">
      <c r="D8416" s="1"/>
      <c r="K8416" s="1"/>
      <c r="Q8416" s="1"/>
      <c r="AD8416" s="1"/>
      <c r="AG8416" s="1"/>
      <c r="AI8416" s="1"/>
    </row>
    <row r="8417" spans="4:35" hidden="1">
      <c r="D8417" s="1"/>
      <c r="K8417" s="1"/>
      <c r="Q8417" s="1"/>
      <c r="AD8417" s="1"/>
      <c r="AG8417" s="1"/>
      <c r="AI8417" s="1"/>
    </row>
    <row r="8418" spans="4:35" hidden="1">
      <c r="D8418" s="1"/>
      <c r="K8418" s="1"/>
      <c r="Q8418" s="1"/>
      <c r="AD8418" s="1"/>
      <c r="AG8418" s="1"/>
      <c r="AI8418" s="1"/>
    </row>
    <row r="8419" spans="4:35" hidden="1">
      <c r="D8419" s="1"/>
      <c r="K8419" s="1"/>
      <c r="Q8419" s="1"/>
      <c r="AD8419" s="1"/>
      <c r="AG8419" s="1"/>
      <c r="AI8419" s="1"/>
    </row>
    <row r="8420" spans="4:35" hidden="1">
      <c r="D8420" s="1"/>
      <c r="K8420" s="1"/>
      <c r="Q8420" s="1"/>
      <c r="AD8420" s="1"/>
      <c r="AG8420" s="1"/>
      <c r="AI8420" s="1"/>
    </row>
    <row r="8421" spans="4:35" hidden="1">
      <c r="D8421" s="1"/>
      <c r="K8421" s="1"/>
      <c r="Q8421" s="1"/>
      <c r="AD8421" s="1"/>
      <c r="AG8421" s="1"/>
      <c r="AI8421" s="1"/>
    </row>
    <row r="8422" spans="4:35" hidden="1">
      <c r="D8422" s="1"/>
      <c r="K8422" s="1"/>
      <c r="Q8422" s="1"/>
      <c r="AD8422" s="1"/>
      <c r="AG8422" s="1"/>
      <c r="AI8422" s="1"/>
    </row>
    <row r="8423" spans="4:35" hidden="1">
      <c r="D8423" s="1"/>
      <c r="K8423" s="1"/>
      <c r="Q8423" s="1"/>
      <c r="AD8423" s="1"/>
      <c r="AG8423" s="1"/>
      <c r="AI8423" s="1"/>
    </row>
    <row r="8424" spans="4:35" hidden="1">
      <c r="D8424" s="1"/>
      <c r="K8424" s="1"/>
      <c r="Q8424" s="1"/>
      <c r="AD8424" s="1"/>
      <c r="AG8424" s="1"/>
      <c r="AI8424" s="1"/>
    </row>
    <row r="8425" spans="4:35" hidden="1">
      <c r="D8425" s="1"/>
      <c r="K8425" s="1"/>
      <c r="Q8425" s="1"/>
      <c r="AD8425" s="1"/>
      <c r="AG8425" s="1"/>
      <c r="AI8425" s="1"/>
    </row>
    <row r="8426" spans="4:35" hidden="1">
      <c r="D8426" s="1"/>
      <c r="K8426" s="1"/>
      <c r="Q8426" s="1"/>
      <c r="AD8426" s="1"/>
      <c r="AG8426" s="1"/>
      <c r="AI8426" s="1"/>
    </row>
    <row r="8427" spans="4:35" hidden="1">
      <c r="D8427" s="1"/>
      <c r="K8427" s="1"/>
      <c r="Q8427" s="1"/>
      <c r="AD8427" s="1"/>
      <c r="AG8427" s="1"/>
      <c r="AI8427" s="1"/>
    </row>
    <row r="8428" spans="4:35" hidden="1">
      <c r="D8428" s="1"/>
      <c r="K8428" s="1"/>
      <c r="Q8428" s="1"/>
      <c r="AD8428" s="1"/>
      <c r="AG8428" s="1"/>
      <c r="AI8428" s="1"/>
    </row>
    <row r="8429" spans="4:35" hidden="1">
      <c r="D8429" s="1"/>
      <c r="K8429" s="1"/>
      <c r="Q8429" s="1"/>
      <c r="AD8429" s="1"/>
      <c r="AG8429" s="1"/>
      <c r="AI8429" s="1"/>
    </row>
    <row r="8430" spans="4:35" hidden="1">
      <c r="D8430" s="1"/>
      <c r="K8430" s="1"/>
      <c r="Q8430" s="1"/>
      <c r="AD8430" s="1"/>
      <c r="AG8430" s="1"/>
      <c r="AI8430" s="1"/>
    </row>
    <row r="8431" spans="4:35" hidden="1">
      <c r="D8431" s="1"/>
      <c r="K8431" s="1"/>
      <c r="Q8431" s="1"/>
      <c r="AD8431" s="1"/>
      <c r="AG8431" s="1"/>
      <c r="AI8431" s="1"/>
    </row>
    <row r="8432" spans="4:35" hidden="1">
      <c r="D8432" s="1"/>
      <c r="K8432" s="1"/>
      <c r="Q8432" s="1"/>
      <c r="AD8432" s="1"/>
      <c r="AG8432" s="1"/>
      <c r="AI8432" s="1"/>
    </row>
    <row r="8433" spans="4:35" hidden="1">
      <c r="D8433" s="1"/>
      <c r="K8433" s="1"/>
      <c r="Q8433" s="1"/>
      <c r="AD8433" s="1"/>
      <c r="AG8433" s="1"/>
      <c r="AI8433" s="1"/>
    </row>
    <row r="8434" spans="4:35" hidden="1">
      <c r="D8434" s="1"/>
      <c r="K8434" s="1"/>
      <c r="Q8434" s="1"/>
      <c r="AD8434" s="1"/>
      <c r="AG8434" s="1"/>
      <c r="AI8434" s="1"/>
    </row>
    <row r="8435" spans="4:35" hidden="1">
      <c r="D8435" s="1"/>
      <c r="K8435" s="1"/>
      <c r="Q8435" s="1"/>
      <c r="AD8435" s="1"/>
      <c r="AG8435" s="1"/>
      <c r="AI8435" s="1"/>
    </row>
    <row r="8436" spans="4:35" hidden="1">
      <c r="D8436" s="1"/>
      <c r="K8436" s="1"/>
      <c r="Q8436" s="1"/>
      <c r="AD8436" s="1"/>
      <c r="AG8436" s="1"/>
      <c r="AI8436" s="1"/>
    </row>
    <row r="8437" spans="4:35" hidden="1">
      <c r="D8437" s="1"/>
      <c r="K8437" s="1"/>
      <c r="Q8437" s="1"/>
      <c r="AD8437" s="1"/>
      <c r="AG8437" s="1"/>
      <c r="AI8437" s="1"/>
    </row>
    <row r="8438" spans="4:35" hidden="1">
      <c r="D8438" s="1"/>
      <c r="K8438" s="1"/>
      <c r="Q8438" s="1"/>
      <c r="AD8438" s="1"/>
      <c r="AG8438" s="1"/>
      <c r="AI8438" s="1"/>
    </row>
    <row r="8439" spans="4:35" hidden="1">
      <c r="D8439" s="1"/>
      <c r="K8439" s="1"/>
      <c r="Q8439" s="1"/>
      <c r="AD8439" s="1"/>
      <c r="AG8439" s="1"/>
      <c r="AI8439" s="1"/>
    </row>
    <row r="8440" spans="4:35" hidden="1">
      <c r="D8440" s="1"/>
      <c r="K8440" s="1"/>
      <c r="Q8440" s="1"/>
      <c r="AD8440" s="1"/>
      <c r="AG8440" s="1"/>
      <c r="AI8440" s="1"/>
    </row>
    <row r="8441" spans="4:35" hidden="1">
      <c r="D8441" s="1"/>
      <c r="K8441" s="1"/>
      <c r="Q8441" s="1"/>
      <c r="AD8441" s="1"/>
      <c r="AG8441" s="1"/>
      <c r="AI8441" s="1"/>
    </row>
    <row r="8442" spans="4:35" hidden="1">
      <c r="D8442" s="1"/>
      <c r="K8442" s="1"/>
      <c r="Q8442" s="1"/>
      <c r="AD8442" s="1"/>
      <c r="AG8442" s="1"/>
      <c r="AI8442" s="1"/>
    </row>
    <row r="8443" spans="4:35" hidden="1">
      <c r="D8443" s="1"/>
      <c r="K8443" s="1"/>
      <c r="Q8443" s="1"/>
      <c r="AD8443" s="1"/>
      <c r="AG8443" s="1"/>
      <c r="AI8443" s="1"/>
    </row>
    <row r="8444" spans="4:35" hidden="1">
      <c r="D8444" s="1"/>
      <c r="K8444" s="1"/>
      <c r="Q8444" s="1"/>
      <c r="AD8444" s="1"/>
      <c r="AG8444" s="1"/>
      <c r="AI8444" s="1"/>
    </row>
    <row r="8445" spans="4:35" hidden="1">
      <c r="D8445" s="1"/>
      <c r="K8445" s="1"/>
      <c r="Q8445" s="1"/>
      <c r="AD8445" s="1"/>
      <c r="AG8445" s="1"/>
      <c r="AI8445" s="1"/>
    </row>
    <row r="8446" spans="4:35" hidden="1">
      <c r="D8446" s="1"/>
      <c r="K8446" s="1"/>
      <c r="Q8446" s="1"/>
      <c r="AD8446" s="1"/>
      <c r="AG8446" s="1"/>
      <c r="AI8446" s="1"/>
    </row>
    <row r="8447" spans="4:35" hidden="1">
      <c r="D8447" s="1"/>
      <c r="K8447" s="1"/>
      <c r="Q8447" s="1"/>
      <c r="AD8447" s="1"/>
      <c r="AG8447" s="1"/>
      <c r="AI8447" s="1"/>
    </row>
    <row r="8448" spans="4:35" hidden="1">
      <c r="D8448" s="1"/>
      <c r="K8448" s="1"/>
      <c r="Q8448" s="1"/>
      <c r="AD8448" s="1"/>
      <c r="AG8448" s="1"/>
      <c r="AI8448" s="1"/>
    </row>
    <row r="8449" spans="4:35" hidden="1">
      <c r="D8449" s="1"/>
      <c r="K8449" s="1"/>
      <c r="Q8449" s="1"/>
      <c r="AD8449" s="1"/>
      <c r="AG8449" s="1"/>
      <c r="AI8449" s="1"/>
    </row>
    <row r="8450" spans="4:35" hidden="1">
      <c r="D8450" s="1"/>
      <c r="K8450" s="1"/>
      <c r="Q8450" s="1"/>
      <c r="AD8450" s="1"/>
      <c r="AG8450" s="1"/>
      <c r="AI8450" s="1"/>
    </row>
    <row r="8451" spans="4:35" hidden="1">
      <c r="D8451" s="1"/>
      <c r="K8451" s="1"/>
      <c r="Q8451" s="1"/>
      <c r="AD8451" s="1"/>
      <c r="AG8451" s="1"/>
      <c r="AI8451" s="1"/>
    </row>
    <row r="8452" spans="4:35" hidden="1">
      <c r="D8452" s="1"/>
      <c r="K8452" s="1"/>
      <c r="Q8452" s="1"/>
      <c r="AD8452" s="1"/>
      <c r="AG8452" s="1"/>
      <c r="AI8452" s="1"/>
    </row>
    <row r="8453" spans="4:35" hidden="1">
      <c r="D8453" s="1"/>
      <c r="K8453" s="1"/>
      <c r="Q8453" s="1"/>
      <c r="AD8453" s="1"/>
      <c r="AG8453" s="1"/>
      <c r="AI8453" s="1"/>
    </row>
    <row r="8454" spans="4:35" hidden="1">
      <c r="D8454" s="1"/>
      <c r="K8454" s="1"/>
      <c r="Q8454" s="1"/>
      <c r="AD8454" s="1"/>
      <c r="AG8454" s="1"/>
      <c r="AI8454" s="1"/>
    </row>
    <row r="8455" spans="4:35" hidden="1">
      <c r="D8455" s="1"/>
      <c r="K8455" s="1"/>
      <c r="Q8455" s="1"/>
      <c r="AD8455" s="1"/>
      <c r="AG8455" s="1"/>
      <c r="AI8455" s="1"/>
    </row>
    <row r="8456" spans="4:35" hidden="1">
      <c r="D8456" s="1"/>
      <c r="K8456" s="1"/>
      <c r="Q8456" s="1"/>
      <c r="AD8456" s="1"/>
      <c r="AG8456" s="1"/>
      <c r="AI8456" s="1"/>
    </row>
    <row r="8457" spans="4:35" hidden="1">
      <c r="D8457" s="1"/>
      <c r="K8457" s="1"/>
      <c r="Q8457" s="1"/>
      <c r="AD8457" s="1"/>
      <c r="AG8457" s="1"/>
      <c r="AI8457" s="1"/>
    </row>
    <row r="8458" spans="4:35" hidden="1">
      <c r="D8458" s="1"/>
      <c r="K8458" s="1"/>
      <c r="Q8458" s="1"/>
      <c r="AD8458" s="1"/>
      <c r="AG8458" s="1"/>
      <c r="AI8458" s="1"/>
    </row>
    <row r="8459" spans="4:35" hidden="1">
      <c r="D8459" s="1"/>
      <c r="K8459" s="1"/>
      <c r="Q8459" s="1"/>
      <c r="AD8459" s="1"/>
      <c r="AG8459" s="1"/>
      <c r="AI8459" s="1"/>
    </row>
    <row r="8460" spans="4:35" hidden="1">
      <c r="D8460" s="1"/>
      <c r="K8460" s="1"/>
      <c r="Q8460" s="1"/>
      <c r="AD8460" s="1"/>
      <c r="AG8460" s="1"/>
      <c r="AI8460" s="1"/>
    </row>
    <row r="8461" spans="4:35" hidden="1">
      <c r="D8461" s="1"/>
      <c r="K8461" s="1"/>
      <c r="Q8461" s="1"/>
      <c r="AD8461" s="1"/>
      <c r="AG8461" s="1"/>
      <c r="AI8461" s="1"/>
    </row>
    <row r="8462" spans="4:35" hidden="1">
      <c r="D8462" s="1"/>
      <c r="K8462" s="1"/>
      <c r="Q8462" s="1"/>
      <c r="AD8462" s="1"/>
      <c r="AG8462" s="1"/>
      <c r="AI8462" s="1"/>
    </row>
    <row r="8463" spans="4:35" hidden="1">
      <c r="D8463" s="1"/>
      <c r="K8463" s="1"/>
      <c r="Q8463" s="1"/>
      <c r="AD8463" s="1"/>
      <c r="AG8463" s="1"/>
      <c r="AI8463" s="1"/>
    </row>
    <row r="8464" spans="4:35" hidden="1">
      <c r="D8464" s="1"/>
      <c r="K8464" s="1"/>
      <c r="Q8464" s="1"/>
      <c r="AD8464" s="1"/>
      <c r="AG8464" s="1"/>
      <c r="AI8464" s="1"/>
    </row>
    <row r="8465" spans="4:35" hidden="1">
      <c r="D8465" s="1"/>
      <c r="K8465" s="1"/>
      <c r="Q8465" s="1"/>
      <c r="AD8465" s="1"/>
      <c r="AG8465" s="1"/>
      <c r="AI8465" s="1"/>
    </row>
    <row r="8466" spans="4:35" hidden="1">
      <c r="D8466" s="1"/>
      <c r="K8466" s="1"/>
      <c r="Q8466" s="1"/>
      <c r="AD8466" s="1"/>
      <c r="AG8466" s="1"/>
      <c r="AI8466" s="1"/>
    </row>
    <row r="8467" spans="4:35" hidden="1">
      <c r="D8467" s="1"/>
      <c r="K8467" s="1"/>
      <c r="Q8467" s="1"/>
      <c r="AD8467" s="1"/>
      <c r="AG8467" s="1"/>
      <c r="AI8467" s="1"/>
    </row>
    <row r="8468" spans="4:35" hidden="1">
      <c r="D8468" s="1"/>
      <c r="K8468" s="1"/>
      <c r="Q8468" s="1"/>
      <c r="AD8468" s="1"/>
      <c r="AG8468" s="1"/>
      <c r="AI8468" s="1"/>
    </row>
    <row r="8469" spans="4:35" hidden="1">
      <c r="D8469" s="1"/>
      <c r="K8469" s="1"/>
      <c r="Q8469" s="1"/>
      <c r="AD8469" s="1"/>
      <c r="AG8469" s="1"/>
      <c r="AI8469" s="1"/>
    </row>
    <row r="8470" spans="4:35" hidden="1">
      <c r="D8470" s="1"/>
      <c r="K8470" s="1"/>
      <c r="Q8470" s="1"/>
      <c r="AD8470" s="1"/>
      <c r="AG8470" s="1"/>
      <c r="AI8470" s="1"/>
    </row>
    <row r="8471" spans="4:35" hidden="1">
      <c r="D8471" s="1"/>
      <c r="K8471" s="1"/>
      <c r="Q8471" s="1"/>
      <c r="AD8471" s="1"/>
      <c r="AG8471" s="1"/>
      <c r="AI8471" s="1"/>
    </row>
    <row r="8472" spans="4:35" hidden="1">
      <c r="D8472" s="1"/>
      <c r="K8472" s="1"/>
      <c r="Q8472" s="1"/>
      <c r="AD8472" s="1"/>
      <c r="AG8472" s="1"/>
      <c r="AI8472" s="1"/>
    </row>
    <row r="8473" spans="4:35" hidden="1">
      <c r="D8473" s="1"/>
      <c r="K8473" s="1"/>
      <c r="Q8473" s="1"/>
      <c r="AD8473" s="1"/>
      <c r="AG8473" s="1"/>
      <c r="AI8473" s="1"/>
    </row>
    <row r="8474" spans="4:35" hidden="1">
      <c r="D8474" s="1"/>
      <c r="K8474" s="1"/>
      <c r="Q8474" s="1"/>
      <c r="AD8474" s="1"/>
      <c r="AG8474" s="1"/>
      <c r="AI8474" s="1"/>
    </row>
    <row r="8475" spans="4:35" hidden="1">
      <c r="D8475" s="1"/>
      <c r="K8475" s="1"/>
      <c r="Q8475" s="1"/>
      <c r="AD8475" s="1"/>
      <c r="AG8475" s="1"/>
      <c r="AI8475" s="1"/>
    </row>
    <row r="8476" spans="4:35" hidden="1">
      <c r="D8476" s="1"/>
      <c r="K8476" s="1"/>
      <c r="Q8476" s="1"/>
      <c r="AD8476" s="1"/>
      <c r="AG8476" s="1"/>
      <c r="AI8476" s="1"/>
    </row>
    <row r="8477" spans="4:35" hidden="1">
      <c r="D8477" s="1"/>
      <c r="K8477" s="1"/>
      <c r="Q8477" s="1"/>
      <c r="AD8477" s="1"/>
      <c r="AG8477" s="1"/>
      <c r="AI8477" s="1"/>
    </row>
    <row r="8478" spans="4:35" hidden="1">
      <c r="D8478" s="1"/>
      <c r="K8478" s="1"/>
      <c r="Q8478" s="1"/>
      <c r="AD8478" s="1"/>
      <c r="AG8478" s="1"/>
      <c r="AI8478" s="1"/>
    </row>
    <row r="8479" spans="4:35" hidden="1">
      <c r="D8479" s="1"/>
      <c r="K8479" s="1"/>
      <c r="Q8479" s="1"/>
      <c r="AD8479" s="1"/>
      <c r="AG8479" s="1"/>
      <c r="AI8479" s="1"/>
    </row>
    <row r="8480" spans="4:35" hidden="1">
      <c r="D8480" s="1"/>
      <c r="K8480" s="1"/>
      <c r="Q8480" s="1"/>
      <c r="AD8480" s="1"/>
      <c r="AG8480" s="1"/>
      <c r="AI8480" s="1"/>
    </row>
    <row r="8481" spans="4:35" hidden="1">
      <c r="D8481" s="1"/>
      <c r="K8481" s="1"/>
      <c r="Q8481" s="1"/>
      <c r="AD8481" s="1"/>
      <c r="AG8481" s="1"/>
      <c r="AI8481" s="1"/>
    </row>
    <row r="8482" spans="4:35" hidden="1">
      <c r="D8482" s="1"/>
      <c r="K8482" s="1"/>
      <c r="Q8482" s="1"/>
      <c r="AD8482" s="1"/>
      <c r="AG8482" s="1"/>
      <c r="AI8482" s="1"/>
    </row>
    <row r="8483" spans="4:35" hidden="1">
      <c r="D8483" s="1"/>
      <c r="K8483" s="1"/>
      <c r="Q8483" s="1"/>
      <c r="AD8483" s="1"/>
      <c r="AG8483" s="1"/>
      <c r="AI8483" s="1"/>
    </row>
    <row r="8484" spans="4:35" hidden="1">
      <c r="D8484" s="1"/>
      <c r="K8484" s="1"/>
      <c r="Q8484" s="1"/>
      <c r="AD8484" s="1"/>
      <c r="AG8484" s="1"/>
      <c r="AI8484" s="1"/>
    </row>
    <row r="8485" spans="4:35" hidden="1">
      <c r="D8485" s="1"/>
      <c r="K8485" s="1"/>
      <c r="Q8485" s="1"/>
      <c r="AD8485" s="1"/>
      <c r="AG8485" s="1"/>
      <c r="AI8485" s="1"/>
    </row>
    <row r="8486" spans="4:35" hidden="1">
      <c r="D8486" s="1"/>
      <c r="K8486" s="1"/>
      <c r="Q8486" s="1"/>
      <c r="AD8486" s="1"/>
      <c r="AG8486" s="1"/>
      <c r="AI8486" s="1"/>
    </row>
    <row r="8487" spans="4:35" hidden="1">
      <c r="D8487" s="1"/>
      <c r="K8487" s="1"/>
      <c r="Q8487" s="1"/>
      <c r="AD8487" s="1"/>
      <c r="AG8487" s="1"/>
      <c r="AI8487" s="1"/>
    </row>
    <row r="8488" spans="4:35" hidden="1">
      <c r="D8488" s="1"/>
      <c r="K8488" s="1"/>
      <c r="Q8488" s="1"/>
      <c r="AD8488" s="1"/>
      <c r="AG8488" s="1"/>
      <c r="AI8488" s="1"/>
    </row>
    <row r="8489" spans="4:35" hidden="1">
      <c r="D8489" s="1"/>
      <c r="K8489" s="1"/>
      <c r="Q8489" s="1"/>
      <c r="AD8489" s="1"/>
      <c r="AG8489" s="1"/>
      <c r="AI8489" s="1"/>
    </row>
    <row r="8490" spans="4:35" hidden="1">
      <c r="D8490" s="1"/>
      <c r="K8490" s="1"/>
      <c r="Q8490" s="1"/>
      <c r="AD8490" s="1"/>
      <c r="AG8490" s="1"/>
      <c r="AI8490" s="1"/>
    </row>
    <row r="8491" spans="4:35" hidden="1">
      <c r="D8491" s="1"/>
      <c r="K8491" s="1"/>
      <c r="Q8491" s="1"/>
      <c r="AD8491" s="1"/>
      <c r="AG8491" s="1"/>
      <c r="AI8491" s="1"/>
    </row>
    <row r="8492" spans="4:35" hidden="1">
      <c r="D8492" s="1"/>
      <c r="K8492" s="1"/>
      <c r="Q8492" s="1"/>
      <c r="AD8492" s="1"/>
      <c r="AG8492" s="1"/>
      <c r="AI8492" s="1"/>
    </row>
    <row r="8493" spans="4:35" hidden="1">
      <c r="D8493" s="1"/>
      <c r="K8493" s="1"/>
      <c r="Q8493" s="1"/>
      <c r="AD8493" s="1"/>
      <c r="AG8493" s="1"/>
      <c r="AI8493" s="1"/>
    </row>
    <row r="8494" spans="4:35" hidden="1">
      <c r="D8494" s="1"/>
      <c r="K8494" s="1"/>
      <c r="Q8494" s="1"/>
      <c r="AD8494" s="1"/>
      <c r="AG8494" s="1"/>
      <c r="AI8494" s="1"/>
    </row>
    <row r="8495" spans="4:35" hidden="1">
      <c r="D8495" s="1"/>
      <c r="K8495" s="1"/>
      <c r="Q8495" s="1"/>
      <c r="AD8495" s="1"/>
      <c r="AG8495" s="1"/>
      <c r="AI8495" s="1"/>
    </row>
    <row r="8496" spans="4:35" hidden="1">
      <c r="D8496" s="1"/>
      <c r="K8496" s="1"/>
      <c r="Q8496" s="1"/>
      <c r="AD8496" s="1"/>
      <c r="AG8496" s="1"/>
      <c r="AI8496" s="1"/>
    </row>
    <row r="8497" spans="4:35" hidden="1">
      <c r="D8497" s="1"/>
      <c r="K8497" s="1"/>
      <c r="Q8497" s="1"/>
      <c r="AD8497" s="1"/>
      <c r="AG8497" s="1"/>
      <c r="AI8497" s="1"/>
    </row>
    <row r="8498" spans="4:35" hidden="1">
      <c r="D8498" s="1"/>
      <c r="K8498" s="1"/>
      <c r="Q8498" s="1"/>
      <c r="AD8498" s="1"/>
      <c r="AG8498" s="1"/>
      <c r="AI8498" s="1"/>
    </row>
    <row r="8499" spans="4:35" hidden="1">
      <c r="D8499" s="1"/>
      <c r="K8499" s="1"/>
      <c r="Q8499" s="1"/>
      <c r="AD8499" s="1"/>
      <c r="AG8499" s="1"/>
      <c r="AI8499" s="1"/>
    </row>
    <row r="8500" spans="4:35" hidden="1">
      <c r="D8500" s="1"/>
      <c r="K8500" s="1"/>
      <c r="Q8500" s="1"/>
      <c r="AD8500" s="1"/>
      <c r="AG8500" s="1"/>
      <c r="AI8500" s="1"/>
    </row>
    <row r="8501" spans="4:35" hidden="1">
      <c r="D8501" s="1"/>
      <c r="K8501" s="1"/>
      <c r="Q8501" s="1"/>
      <c r="AD8501" s="1"/>
      <c r="AG8501" s="1"/>
      <c r="AI8501" s="1"/>
    </row>
    <row r="8502" spans="4:35" hidden="1">
      <c r="D8502" s="1"/>
      <c r="K8502" s="1"/>
      <c r="Q8502" s="1"/>
      <c r="AD8502" s="1"/>
      <c r="AG8502" s="1"/>
      <c r="AI8502" s="1"/>
    </row>
    <row r="8503" spans="4:35" hidden="1">
      <c r="D8503" s="1"/>
      <c r="K8503" s="1"/>
      <c r="Q8503" s="1"/>
      <c r="AD8503" s="1"/>
      <c r="AG8503" s="1"/>
      <c r="AI8503" s="1"/>
    </row>
    <row r="8504" spans="4:35" hidden="1">
      <c r="D8504" s="1"/>
      <c r="K8504" s="1"/>
      <c r="Q8504" s="1"/>
      <c r="AD8504" s="1"/>
      <c r="AG8504" s="1"/>
      <c r="AI8504" s="1"/>
    </row>
    <row r="8505" spans="4:35" hidden="1">
      <c r="D8505" s="1"/>
      <c r="K8505" s="1"/>
      <c r="Q8505" s="1"/>
      <c r="AD8505" s="1"/>
      <c r="AG8505" s="1"/>
      <c r="AI8505" s="1"/>
    </row>
    <row r="8506" spans="4:35" hidden="1">
      <c r="D8506" s="1"/>
      <c r="K8506" s="1"/>
      <c r="Q8506" s="1"/>
      <c r="AD8506" s="1"/>
      <c r="AG8506" s="1"/>
      <c r="AI8506" s="1"/>
    </row>
    <row r="8507" spans="4:35" hidden="1">
      <c r="D8507" s="1"/>
      <c r="K8507" s="1"/>
      <c r="Q8507" s="1"/>
      <c r="AD8507" s="1"/>
      <c r="AG8507" s="1"/>
      <c r="AI8507" s="1"/>
    </row>
    <row r="8508" spans="4:35" hidden="1">
      <c r="D8508" s="1"/>
      <c r="K8508" s="1"/>
      <c r="Q8508" s="1"/>
      <c r="AD8508" s="1"/>
      <c r="AG8508" s="1"/>
      <c r="AI8508" s="1"/>
    </row>
    <row r="8509" spans="4:35" hidden="1">
      <c r="D8509" s="1"/>
      <c r="K8509" s="1"/>
      <c r="Q8509" s="1"/>
      <c r="AD8509" s="1"/>
      <c r="AG8509" s="1"/>
      <c r="AI8509" s="1"/>
    </row>
    <row r="8510" spans="4:35" hidden="1">
      <c r="D8510" s="1"/>
      <c r="K8510" s="1"/>
      <c r="Q8510" s="1"/>
      <c r="AD8510" s="1"/>
      <c r="AG8510" s="1"/>
      <c r="AI8510" s="1"/>
    </row>
    <row r="8511" spans="4:35" hidden="1">
      <c r="D8511" s="1"/>
      <c r="K8511" s="1"/>
      <c r="Q8511" s="1"/>
      <c r="AD8511" s="1"/>
      <c r="AG8511" s="1"/>
      <c r="AI8511" s="1"/>
    </row>
    <row r="8512" spans="4:35" hidden="1">
      <c r="D8512" s="1"/>
      <c r="K8512" s="1"/>
      <c r="Q8512" s="1"/>
      <c r="AD8512" s="1"/>
      <c r="AG8512" s="1"/>
      <c r="AI8512" s="1"/>
    </row>
    <row r="8513" spans="4:35" hidden="1">
      <c r="D8513" s="1"/>
      <c r="K8513" s="1"/>
      <c r="Q8513" s="1"/>
      <c r="AD8513" s="1"/>
      <c r="AG8513" s="1"/>
      <c r="AI8513" s="1"/>
    </row>
    <row r="8514" spans="4:35" hidden="1">
      <c r="D8514" s="1"/>
      <c r="K8514" s="1"/>
      <c r="Q8514" s="1"/>
      <c r="AD8514" s="1"/>
      <c r="AG8514" s="1"/>
      <c r="AI8514" s="1"/>
    </row>
    <row r="8515" spans="4:35" hidden="1">
      <c r="D8515" s="1"/>
      <c r="K8515" s="1"/>
      <c r="Q8515" s="1"/>
      <c r="AD8515" s="1"/>
      <c r="AG8515" s="1"/>
      <c r="AI8515" s="1"/>
    </row>
    <row r="8516" spans="4:35" hidden="1">
      <c r="D8516" s="1"/>
      <c r="K8516" s="1"/>
      <c r="Q8516" s="1"/>
      <c r="AD8516" s="1"/>
      <c r="AG8516" s="1"/>
      <c r="AI8516" s="1"/>
    </row>
    <row r="8517" spans="4:35" hidden="1">
      <c r="D8517" s="1"/>
      <c r="K8517" s="1"/>
      <c r="Q8517" s="1"/>
      <c r="AD8517" s="1"/>
      <c r="AG8517" s="1"/>
      <c r="AI8517" s="1"/>
    </row>
    <row r="8518" spans="4:35" hidden="1">
      <c r="D8518" s="1"/>
      <c r="K8518" s="1"/>
      <c r="Q8518" s="1"/>
      <c r="AD8518" s="1"/>
      <c r="AG8518" s="1"/>
      <c r="AI8518" s="1"/>
    </row>
    <row r="8519" spans="4:35" hidden="1">
      <c r="D8519" s="1"/>
      <c r="K8519" s="1"/>
      <c r="Q8519" s="1"/>
      <c r="AD8519" s="1"/>
      <c r="AG8519" s="1"/>
      <c r="AI8519" s="1"/>
    </row>
    <row r="8520" spans="4:35" hidden="1">
      <c r="D8520" s="1"/>
      <c r="K8520" s="1"/>
      <c r="Q8520" s="1"/>
      <c r="AD8520" s="1"/>
      <c r="AG8520" s="1"/>
      <c r="AI8520" s="1"/>
    </row>
    <row r="8521" spans="4:35" hidden="1">
      <c r="D8521" s="1"/>
      <c r="K8521" s="1"/>
      <c r="Q8521" s="1"/>
      <c r="AD8521" s="1"/>
      <c r="AG8521" s="1"/>
      <c r="AI8521" s="1"/>
    </row>
    <row r="8522" spans="4:35" hidden="1">
      <c r="D8522" s="1"/>
      <c r="K8522" s="1"/>
      <c r="Q8522" s="1"/>
      <c r="AD8522" s="1"/>
      <c r="AG8522" s="1"/>
      <c r="AI8522" s="1"/>
    </row>
    <row r="8523" spans="4:35" hidden="1">
      <c r="D8523" s="1"/>
      <c r="K8523" s="1"/>
      <c r="Q8523" s="1"/>
      <c r="AD8523" s="1"/>
      <c r="AG8523" s="1"/>
      <c r="AI8523" s="1"/>
    </row>
    <row r="8524" spans="4:35" hidden="1">
      <c r="D8524" s="1"/>
      <c r="K8524" s="1"/>
      <c r="Q8524" s="1"/>
      <c r="AD8524" s="1"/>
      <c r="AG8524" s="1"/>
      <c r="AI8524" s="1"/>
    </row>
    <row r="8525" spans="4:35" hidden="1">
      <c r="D8525" s="1"/>
      <c r="K8525" s="1"/>
      <c r="Q8525" s="1"/>
      <c r="AD8525" s="1"/>
      <c r="AG8525" s="1"/>
      <c r="AI8525" s="1"/>
    </row>
    <row r="8526" spans="4:35" hidden="1">
      <c r="D8526" s="1"/>
      <c r="K8526" s="1"/>
      <c r="Q8526" s="1"/>
      <c r="AD8526" s="1"/>
      <c r="AG8526" s="1"/>
      <c r="AI8526" s="1"/>
    </row>
    <row r="8527" spans="4:35" hidden="1">
      <c r="D8527" s="1"/>
      <c r="K8527" s="1"/>
      <c r="Q8527" s="1"/>
      <c r="AD8527" s="1"/>
      <c r="AG8527" s="1"/>
      <c r="AI8527" s="1"/>
    </row>
    <row r="8528" spans="4:35" hidden="1">
      <c r="D8528" s="1"/>
      <c r="K8528" s="1"/>
      <c r="Q8528" s="1"/>
      <c r="AD8528" s="1"/>
      <c r="AG8528" s="1"/>
      <c r="AI8528" s="1"/>
    </row>
    <row r="8529" spans="4:35" hidden="1">
      <c r="D8529" s="1"/>
      <c r="K8529" s="1"/>
      <c r="Q8529" s="1"/>
      <c r="AD8529" s="1"/>
      <c r="AG8529" s="1"/>
      <c r="AI8529" s="1"/>
    </row>
    <row r="8530" spans="4:35" hidden="1">
      <c r="D8530" s="1"/>
      <c r="K8530" s="1"/>
      <c r="Q8530" s="1"/>
      <c r="AD8530" s="1"/>
      <c r="AG8530" s="1"/>
      <c r="AI8530" s="1"/>
    </row>
    <row r="8531" spans="4:35" hidden="1">
      <c r="D8531" s="1"/>
      <c r="K8531" s="1"/>
      <c r="Q8531" s="1"/>
      <c r="AD8531" s="1"/>
      <c r="AG8531" s="1"/>
      <c r="AI8531" s="1"/>
    </row>
    <row r="8532" spans="4:35" hidden="1">
      <c r="D8532" s="1"/>
      <c r="K8532" s="1"/>
      <c r="Q8532" s="1"/>
      <c r="AD8532" s="1"/>
      <c r="AG8532" s="1"/>
      <c r="AI8532" s="1"/>
    </row>
    <row r="8533" spans="4:35" hidden="1">
      <c r="D8533" s="1"/>
      <c r="K8533" s="1"/>
      <c r="Q8533" s="1"/>
      <c r="AD8533" s="1"/>
      <c r="AG8533" s="1"/>
      <c r="AI8533" s="1"/>
    </row>
    <row r="8534" spans="4:35" hidden="1">
      <c r="D8534" s="1"/>
      <c r="K8534" s="1"/>
      <c r="Q8534" s="1"/>
      <c r="AD8534" s="1"/>
      <c r="AG8534" s="1"/>
      <c r="AI8534" s="1"/>
    </row>
    <row r="8535" spans="4:35" hidden="1">
      <c r="D8535" s="1"/>
      <c r="K8535" s="1"/>
      <c r="Q8535" s="1"/>
      <c r="AD8535" s="1"/>
      <c r="AG8535" s="1"/>
      <c r="AI8535" s="1"/>
    </row>
    <row r="8536" spans="4:35" hidden="1">
      <c r="D8536" s="1"/>
      <c r="K8536" s="1"/>
      <c r="Q8536" s="1"/>
      <c r="AD8536" s="1"/>
      <c r="AG8536" s="1"/>
      <c r="AI8536" s="1"/>
    </row>
    <row r="8537" spans="4:35" hidden="1">
      <c r="D8537" s="1"/>
      <c r="K8537" s="1"/>
      <c r="Q8537" s="1"/>
      <c r="AD8537" s="1"/>
      <c r="AG8537" s="1"/>
      <c r="AI8537" s="1"/>
    </row>
    <row r="8538" spans="4:35" hidden="1">
      <c r="D8538" s="1"/>
      <c r="K8538" s="1"/>
      <c r="Q8538" s="1"/>
      <c r="AD8538" s="1"/>
      <c r="AG8538" s="1"/>
      <c r="AI8538" s="1"/>
    </row>
    <row r="8539" spans="4:35" hidden="1">
      <c r="D8539" s="1"/>
      <c r="K8539" s="1"/>
      <c r="Q8539" s="1"/>
      <c r="AD8539" s="1"/>
      <c r="AG8539" s="1"/>
      <c r="AI8539" s="1"/>
    </row>
    <row r="8540" spans="4:35" hidden="1">
      <c r="D8540" s="1"/>
      <c r="K8540" s="1"/>
      <c r="Q8540" s="1"/>
      <c r="AD8540" s="1"/>
      <c r="AG8540" s="1"/>
      <c r="AI8540" s="1"/>
    </row>
    <row r="8541" spans="4:35" hidden="1">
      <c r="D8541" s="1"/>
      <c r="K8541" s="1"/>
      <c r="Q8541" s="1"/>
      <c r="AD8541" s="1"/>
      <c r="AG8541" s="1"/>
      <c r="AI8541" s="1"/>
    </row>
    <row r="8542" spans="4:35" hidden="1">
      <c r="D8542" s="1"/>
      <c r="K8542" s="1"/>
      <c r="Q8542" s="1"/>
      <c r="AD8542" s="1"/>
      <c r="AG8542" s="1"/>
      <c r="AI8542" s="1"/>
    </row>
    <row r="8543" spans="4:35" hidden="1">
      <c r="D8543" s="1"/>
      <c r="K8543" s="1"/>
      <c r="Q8543" s="1"/>
      <c r="AD8543" s="1"/>
      <c r="AG8543" s="1"/>
      <c r="AI8543" s="1"/>
    </row>
    <row r="8544" spans="4:35" hidden="1">
      <c r="D8544" s="1"/>
      <c r="K8544" s="1"/>
      <c r="Q8544" s="1"/>
      <c r="AD8544" s="1"/>
      <c r="AG8544" s="1"/>
      <c r="AI8544" s="1"/>
    </row>
    <row r="8545" spans="4:35" hidden="1">
      <c r="D8545" s="1"/>
      <c r="K8545" s="1"/>
      <c r="Q8545" s="1"/>
      <c r="AD8545" s="1"/>
      <c r="AG8545" s="1"/>
      <c r="AI8545" s="1"/>
    </row>
    <row r="8546" spans="4:35" hidden="1">
      <c r="D8546" s="1"/>
      <c r="K8546" s="1"/>
      <c r="Q8546" s="1"/>
      <c r="AD8546" s="1"/>
      <c r="AG8546" s="1"/>
      <c r="AI8546" s="1"/>
    </row>
    <row r="8547" spans="4:35" hidden="1">
      <c r="D8547" s="1"/>
      <c r="K8547" s="1"/>
      <c r="Q8547" s="1"/>
      <c r="AD8547" s="1"/>
      <c r="AG8547" s="1"/>
      <c r="AI8547" s="1"/>
    </row>
    <row r="8548" spans="4:35" hidden="1">
      <c r="D8548" s="1"/>
      <c r="K8548" s="1"/>
      <c r="Q8548" s="1"/>
      <c r="AD8548" s="1"/>
      <c r="AG8548" s="1"/>
      <c r="AI8548" s="1"/>
    </row>
    <row r="8549" spans="4:35" hidden="1">
      <c r="D8549" s="1"/>
      <c r="K8549" s="1"/>
      <c r="Q8549" s="1"/>
      <c r="AD8549" s="1"/>
      <c r="AG8549" s="1"/>
      <c r="AI8549" s="1"/>
    </row>
    <row r="8550" spans="4:35" hidden="1">
      <c r="D8550" s="1"/>
      <c r="K8550" s="1"/>
      <c r="Q8550" s="1"/>
      <c r="AD8550" s="1"/>
      <c r="AG8550" s="1"/>
      <c r="AI8550" s="1"/>
    </row>
    <row r="8551" spans="4:35" hidden="1">
      <c r="D8551" s="1"/>
      <c r="K8551" s="1"/>
      <c r="Q8551" s="1"/>
      <c r="AD8551" s="1"/>
      <c r="AG8551" s="1"/>
      <c r="AI8551" s="1"/>
    </row>
    <row r="8552" spans="4:35" hidden="1">
      <c r="D8552" s="1"/>
      <c r="K8552" s="1"/>
      <c r="Q8552" s="1"/>
      <c r="AD8552" s="1"/>
      <c r="AG8552" s="1"/>
      <c r="AI8552" s="1"/>
    </row>
    <row r="8553" spans="4:35" hidden="1">
      <c r="D8553" s="1"/>
      <c r="K8553" s="1"/>
      <c r="Q8553" s="1"/>
      <c r="AD8553" s="1"/>
      <c r="AG8553" s="1"/>
      <c r="AI8553" s="1"/>
    </row>
    <row r="8554" spans="4:35" hidden="1">
      <c r="D8554" s="1"/>
      <c r="K8554" s="1"/>
      <c r="Q8554" s="1"/>
      <c r="AD8554" s="1"/>
      <c r="AG8554" s="1"/>
      <c r="AI8554" s="1"/>
    </row>
    <row r="8555" spans="4:35" hidden="1">
      <c r="D8555" s="1"/>
      <c r="K8555" s="1"/>
      <c r="Q8555" s="1"/>
      <c r="AD8555" s="1"/>
      <c r="AG8555" s="1"/>
      <c r="AI8555" s="1"/>
    </row>
    <row r="8556" spans="4:35" hidden="1">
      <c r="D8556" s="1"/>
      <c r="K8556" s="1"/>
      <c r="Q8556" s="1"/>
      <c r="AD8556" s="1"/>
      <c r="AG8556" s="1"/>
      <c r="AI8556" s="1"/>
    </row>
    <row r="8557" spans="4:35" hidden="1">
      <c r="D8557" s="1"/>
      <c r="K8557" s="1"/>
      <c r="Q8557" s="1"/>
      <c r="AD8557" s="1"/>
      <c r="AG8557" s="1"/>
      <c r="AI8557" s="1"/>
    </row>
    <row r="8558" spans="4:35" hidden="1">
      <c r="D8558" s="1"/>
      <c r="K8558" s="1"/>
      <c r="Q8558" s="1"/>
      <c r="AD8558" s="1"/>
      <c r="AG8558" s="1"/>
      <c r="AI8558" s="1"/>
    </row>
    <row r="8559" spans="4:35" hidden="1">
      <c r="D8559" s="1"/>
      <c r="K8559" s="1"/>
      <c r="Q8559" s="1"/>
      <c r="AD8559" s="1"/>
      <c r="AG8559" s="1"/>
      <c r="AI8559" s="1"/>
    </row>
    <row r="8560" spans="4:35" hidden="1">
      <c r="D8560" s="1"/>
      <c r="K8560" s="1"/>
      <c r="Q8560" s="1"/>
      <c r="AD8560" s="1"/>
      <c r="AG8560" s="1"/>
      <c r="AI8560" s="1"/>
    </row>
    <row r="8561" spans="4:35" hidden="1">
      <c r="D8561" s="1"/>
      <c r="K8561" s="1"/>
      <c r="Q8561" s="1"/>
      <c r="AD8561" s="1"/>
      <c r="AG8561" s="1"/>
      <c r="AI8561" s="1"/>
    </row>
    <row r="8562" spans="4:35" hidden="1">
      <c r="D8562" s="1"/>
      <c r="K8562" s="1"/>
      <c r="Q8562" s="1"/>
      <c r="AD8562" s="1"/>
      <c r="AG8562" s="1"/>
      <c r="AI8562" s="1"/>
    </row>
    <row r="8563" spans="4:35" hidden="1">
      <c r="D8563" s="1"/>
      <c r="K8563" s="1"/>
      <c r="Q8563" s="1"/>
      <c r="AD8563" s="1"/>
      <c r="AG8563" s="1"/>
      <c r="AI8563" s="1"/>
    </row>
    <row r="8564" spans="4:35" hidden="1">
      <c r="D8564" s="1"/>
      <c r="K8564" s="1"/>
      <c r="Q8564" s="1"/>
      <c r="AD8564" s="1"/>
      <c r="AG8564" s="1"/>
      <c r="AI8564" s="1"/>
    </row>
    <row r="8565" spans="4:35" hidden="1">
      <c r="D8565" s="1"/>
      <c r="K8565" s="1"/>
      <c r="Q8565" s="1"/>
      <c r="AD8565" s="1"/>
      <c r="AG8565" s="1"/>
      <c r="AI8565" s="1"/>
    </row>
    <row r="8566" spans="4:35" hidden="1">
      <c r="D8566" s="1"/>
      <c r="K8566" s="1"/>
      <c r="Q8566" s="1"/>
      <c r="AD8566" s="1"/>
      <c r="AG8566" s="1"/>
      <c r="AI8566" s="1"/>
    </row>
    <row r="8567" spans="4:35" hidden="1">
      <c r="D8567" s="1"/>
      <c r="K8567" s="1"/>
      <c r="Q8567" s="1"/>
      <c r="AD8567" s="1"/>
      <c r="AG8567" s="1"/>
      <c r="AI8567" s="1"/>
    </row>
    <row r="8568" spans="4:35" hidden="1">
      <c r="D8568" s="1"/>
      <c r="K8568" s="1"/>
      <c r="Q8568" s="1"/>
      <c r="AD8568" s="1"/>
      <c r="AG8568" s="1"/>
      <c r="AI8568" s="1"/>
    </row>
    <row r="8569" spans="4:35" hidden="1">
      <c r="D8569" s="1"/>
      <c r="K8569" s="1"/>
      <c r="Q8569" s="1"/>
      <c r="AD8569" s="1"/>
      <c r="AG8569" s="1"/>
      <c r="AI8569" s="1"/>
    </row>
    <row r="8570" spans="4:35" hidden="1">
      <c r="D8570" s="1"/>
      <c r="K8570" s="1"/>
      <c r="Q8570" s="1"/>
      <c r="AD8570" s="1"/>
      <c r="AG8570" s="1"/>
      <c r="AI8570" s="1"/>
    </row>
    <row r="8571" spans="4:35" hidden="1">
      <c r="D8571" s="1"/>
      <c r="K8571" s="1"/>
      <c r="Q8571" s="1"/>
      <c r="AD8571" s="1"/>
      <c r="AG8571" s="1"/>
      <c r="AI8571" s="1"/>
    </row>
    <row r="8572" spans="4:35" hidden="1">
      <c r="D8572" s="1"/>
      <c r="K8572" s="1"/>
      <c r="Q8572" s="1"/>
      <c r="AD8572" s="1"/>
      <c r="AG8572" s="1"/>
      <c r="AI8572" s="1"/>
    </row>
    <row r="8573" spans="4:35" hidden="1">
      <c r="D8573" s="1"/>
      <c r="K8573" s="1"/>
      <c r="Q8573" s="1"/>
      <c r="AD8573" s="1"/>
      <c r="AG8573" s="1"/>
      <c r="AI8573" s="1"/>
    </row>
    <row r="8574" spans="4:35" hidden="1">
      <c r="D8574" s="1"/>
      <c r="K8574" s="1"/>
      <c r="Q8574" s="1"/>
      <c r="AD8574" s="1"/>
      <c r="AG8574" s="1"/>
      <c r="AI8574" s="1"/>
    </row>
    <row r="8575" spans="4:35" hidden="1">
      <c r="D8575" s="1"/>
      <c r="K8575" s="1"/>
      <c r="Q8575" s="1"/>
      <c r="AD8575" s="1"/>
      <c r="AG8575" s="1"/>
      <c r="AI8575" s="1"/>
    </row>
    <row r="8576" spans="4:35" hidden="1">
      <c r="D8576" s="1"/>
      <c r="K8576" s="1"/>
      <c r="Q8576" s="1"/>
      <c r="AD8576" s="1"/>
      <c r="AG8576" s="1"/>
      <c r="AI8576" s="1"/>
    </row>
    <row r="8577" spans="4:35" hidden="1">
      <c r="D8577" s="1"/>
      <c r="K8577" s="1"/>
      <c r="Q8577" s="1"/>
      <c r="AD8577" s="1"/>
      <c r="AG8577" s="1"/>
      <c r="AI8577" s="1"/>
    </row>
    <row r="8578" spans="4:35" hidden="1">
      <c r="D8578" s="1"/>
      <c r="K8578" s="1"/>
      <c r="Q8578" s="1"/>
      <c r="AD8578" s="1"/>
      <c r="AG8578" s="1"/>
      <c r="AI8578" s="1"/>
    </row>
    <row r="8579" spans="4:35" hidden="1">
      <c r="D8579" s="1"/>
      <c r="K8579" s="1"/>
      <c r="Q8579" s="1"/>
      <c r="AD8579" s="1"/>
      <c r="AG8579" s="1"/>
      <c r="AI8579" s="1"/>
    </row>
    <row r="8580" spans="4:35" hidden="1">
      <c r="D8580" s="1"/>
      <c r="K8580" s="1"/>
      <c r="Q8580" s="1"/>
      <c r="AD8580" s="1"/>
      <c r="AG8580" s="1"/>
      <c r="AI8580" s="1"/>
    </row>
    <row r="8581" spans="4:35" hidden="1">
      <c r="D8581" s="1"/>
      <c r="K8581" s="1"/>
      <c r="Q8581" s="1"/>
      <c r="AD8581" s="1"/>
      <c r="AG8581" s="1"/>
      <c r="AI8581" s="1"/>
    </row>
    <row r="8582" spans="4:35" hidden="1">
      <c r="D8582" s="1"/>
      <c r="K8582" s="1"/>
      <c r="Q8582" s="1"/>
      <c r="AD8582" s="1"/>
      <c r="AG8582" s="1"/>
      <c r="AI8582" s="1"/>
    </row>
    <row r="8583" spans="4:35" hidden="1">
      <c r="D8583" s="1"/>
      <c r="K8583" s="1"/>
      <c r="Q8583" s="1"/>
      <c r="AD8583" s="1"/>
      <c r="AG8583" s="1"/>
      <c r="AI8583" s="1"/>
    </row>
    <row r="8584" spans="4:35" hidden="1">
      <c r="D8584" s="1"/>
      <c r="K8584" s="1"/>
      <c r="Q8584" s="1"/>
      <c r="AD8584" s="1"/>
      <c r="AG8584" s="1"/>
      <c r="AI8584" s="1"/>
    </row>
    <row r="8585" spans="4:35" hidden="1">
      <c r="D8585" s="1"/>
      <c r="K8585" s="1"/>
      <c r="Q8585" s="1"/>
      <c r="AD8585" s="1"/>
      <c r="AG8585" s="1"/>
      <c r="AI8585" s="1"/>
    </row>
    <row r="8586" spans="4:35" hidden="1">
      <c r="D8586" s="1"/>
      <c r="K8586" s="1"/>
      <c r="Q8586" s="1"/>
      <c r="AD8586" s="1"/>
      <c r="AG8586" s="1"/>
      <c r="AI8586" s="1"/>
    </row>
    <row r="8587" spans="4:35" hidden="1">
      <c r="D8587" s="1"/>
      <c r="K8587" s="1"/>
      <c r="Q8587" s="1"/>
      <c r="AD8587" s="1"/>
      <c r="AG8587" s="1"/>
      <c r="AI8587" s="1"/>
    </row>
    <row r="8588" spans="4:35" hidden="1">
      <c r="D8588" s="1"/>
      <c r="K8588" s="1"/>
      <c r="Q8588" s="1"/>
      <c r="AD8588" s="1"/>
      <c r="AG8588" s="1"/>
      <c r="AI8588" s="1"/>
    </row>
    <row r="8589" spans="4:35" hidden="1">
      <c r="D8589" s="1"/>
      <c r="K8589" s="1"/>
      <c r="Q8589" s="1"/>
      <c r="AD8589" s="1"/>
      <c r="AG8589" s="1"/>
      <c r="AI8589" s="1"/>
    </row>
    <row r="8590" spans="4:35" hidden="1">
      <c r="D8590" s="1"/>
      <c r="K8590" s="1"/>
      <c r="Q8590" s="1"/>
      <c r="AD8590" s="1"/>
      <c r="AG8590" s="1"/>
      <c r="AI8590" s="1"/>
    </row>
    <row r="8591" spans="4:35" hidden="1">
      <c r="D8591" s="1"/>
      <c r="K8591" s="1"/>
      <c r="Q8591" s="1"/>
      <c r="AD8591" s="1"/>
      <c r="AG8591" s="1"/>
      <c r="AI8591" s="1"/>
    </row>
    <row r="8592" spans="4:35" hidden="1">
      <c r="D8592" s="1"/>
      <c r="K8592" s="1"/>
      <c r="Q8592" s="1"/>
      <c r="AD8592" s="1"/>
      <c r="AG8592" s="1"/>
      <c r="AI8592" s="1"/>
    </row>
    <row r="8593" spans="4:35" hidden="1">
      <c r="D8593" s="1"/>
      <c r="K8593" s="1"/>
      <c r="Q8593" s="1"/>
      <c r="AD8593" s="1"/>
      <c r="AG8593" s="1"/>
      <c r="AI8593" s="1"/>
    </row>
    <row r="8594" spans="4:35" hidden="1">
      <c r="D8594" s="1"/>
      <c r="K8594" s="1"/>
      <c r="Q8594" s="1"/>
      <c r="AD8594" s="1"/>
      <c r="AG8594" s="1"/>
      <c r="AI8594" s="1"/>
    </row>
    <row r="8595" spans="4:35" hidden="1">
      <c r="D8595" s="1"/>
      <c r="K8595" s="1"/>
      <c r="Q8595" s="1"/>
      <c r="AD8595" s="1"/>
      <c r="AG8595" s="1"/>
      <c r="AI8595" s="1"/>
    </row>
    <row r="8596" spans="4:35" hidden="1">
      <c r="D8596" s="1"/>
      <c r="K8596" s="1"/>
      <c r="Q8596" s="1"/>
      <c r="AD8596" s="1"/>
      <c r="AG8596" s="1"/>
      <c r="AI8596" s="1"/>
    </row>
    <row r="8597" spans="4:35" hidden="1">
      <c r="D8597" s="1"/>
      <c r="K8597" s="1"/>
      <c r="Q8597" s="1"/>
      <c r="AD8597" s="1"/>
      <c r="AG8597" s="1"/>
      <c r="AI8597" s="1"/>
    </row>
    <row r="8598" spans="4:35" hidden="1">
      <c r="D8598" s="1"/>
      <c r="K8598" s="1"/>
      <c r="Q8598" s="1"/>
      <c r="AD8598" s="1"/>
      <c r="AG8598" s="1"/>
      <c r="AI8598" s="1"/>
    </row>
    <row r="8599" spans="4:35" hidden="1">
      <c r="D8599" s="1"/>
      <c r="K8599" s="1"/>
      <c r="Q8599" s="1"/>
      <c r="AD8599" s="1"/>
      <c r="AG8599" s="1"/>
      <c r="AI8599" s="1"/>
    </row>
    <row r="8600" spans="4:35" hidden="1">
      <c r="D8600" s="1"/>
      <c r="K8600" s="1"/>
      <c r="Q8600" s="1"/>
      <c r="AD8600" s="1"/>
      <c r="AG8600" s="1"/>
      <c r="AI8600" s="1"/>
    </row>
    <row r="8601" spans="4:35" hidden="1">
      <c r="D8601" s="1"/>
      <c r="K8601" s="1"/>
      <c r="Q8601" s="1"/>
      <c r="AD8601" s="1"/>
      <c r="AG8601" s="1"/>
      <c r="AI8601" s="1"/>
    </row>
    <row r="8602" spans="4:35" hidden="1">
      <c r="D8602" s="1"/>
      <c r="K8602" s="1"/>
      <c r="Q8602" s="1"/>
      <c r="AD8602" s="1"/>
      <c r="AG8602" s="1"/>
      <c r="AI8602" s="1"/>
    </row>
    <row r="8603" spans="4:35" hidden="1">
      <c r="D8603" s="1"/>
      <c r="K8603" s="1"/>
      <c r="Q8603" s="1"/>
      <c r="AD8603" s="1"/>
      <c r="AG8603" s="1"/>
      <c r="AI8603" s="1"/>
    </row>
    <row r="8604" spans="4:35" hidden="1">
      <c r="D8604" s="1"/>
      <c r="K8604" s="1"/>
      <c r="Q8604" s="1"/>
      <c r="AD8604" s="1"/>
      <c r="AG8604" s="1"/>
      <c r="AI8604" s="1"/>
    </row>
    <row r="8605" spans="4:35" hidden="1">
      <c r="D8605" s="1"/>
      <c r="K8605" s="1"/>
      <c r="Q8605" s="1"/>
      <c r="AD8605" s="1"/>
      <c r="AG8605" s="1"/>
      <c r="AI8605" s="1"/>
    </row>
    <row r="8606" spans="4:35" hidden="1">
      <c r="D8606" s="1"/>
      <c r="K8606" s="1"/>
      <c r="Q8606" s="1"/>
      <c r="AD8606" s="1"/>
      <c r="AG8606" s="1"/>
      <c r="AI8606" s="1"/>
    </row>
    <row r="8607" spans="4:35" hidden="1">
      <c r="D8607" s="1"/>
      <c r="K8607" s="1"/>
      <c r="Q8607" s="1"/>
      <c r="AD8607" s="1"/>
      <c r="AG8607" s="1"/>
      <c r="AI8607" s="1"/>
    </row>
    <row r="8608" spans="4:35" hidden="1">
      <c r="D8608" s="1"/>
      <c r="K8608" s="1"/>
      <c r="Q8608" s="1"/>
      <c r="AD8608" s="1"/>
      <c r="AG8608" s="1"/>
      <c r="AI8608" s="1"/>
    </row>
    <row r="8609" spans="4:35" hidden="1">
      <c r="D8609" s="1"/>
      <c r="K8609" s="1"/>
      <c r="Q8609" s="1"/>
      <c r="AD8609" s="1"/>
      <c r="AG8609" s="1"/>
      <c r="AI8609" s="1"/>
    </row>
    <row r="8610" spans="4:35" hidden="1">
      <c r="D8610" s="1"/>
      <c r="K8610" s="1"/>
      <c r="Q8610" s="1"/>
      <c r="AD8610" s="1"/>
      <c r="AG8610" s="1"/>
      <c r="AI8610" s="1"/>
    </row>
    <row r="8611" spans="4:35" hidden="1">
      <c r="D8611" s="1"/>
      <c r="K8611" s="1"/>
      <c r="Q8611" s="1"/>
      <c r="AD8611" s="1"/>
      <c r="AG8611" s="1"/>
      <c r="AI8611" s="1"/>
    </row>
    <row r="8612" spans="4:35" hidden="1">
      <c r="D8612" s="1"/>
      <c r="K8612" s="1"/>
      <c r="Q8612" s="1"/>
      <c r="AD8612" s="1"/>
      <c r="AG8612" s="1"/>
      <c r="AI8612" s="1"/>
    </row>
    <row r="8613" spans="4:35" hidden="1">
      <c r="D8613" s="1"/>
      <c r="K8613" s="1"/>
      <c r="Q8613" s="1"/>
      <c r="AD8613" s="1"/>
      <c r="AG8613" s="1"/>
      <c r="AI8613" s="1"/>
    </row>
    <row r="8614" spans="4:35" hidden="1">
      <c r="D8614" s="1"/>
      <c r="K8614" s="1"/>
      <c r="Q8614" s="1"/>
      <c r="AD8614" s="1"/>
      <c r="AG8614" s="1"/>
      <c r="AI8614" s="1"/>
    </row>
    <row r="8615" spans="4:35" hidden="1">
      <c r="D8615" s="1"/>
      <c r="K8615" s="1"/>
      <c r="Q8615" s="1"/>
      <c r="AD8615" s="1"/>
      <c r="AG8615" s="1"/>
      <c r="AI8615" s="1"/>
    </row>
    <row r="8616" spans="4:35" hidden="1">
      <c r="D8616" s="1"/>
      <c r="K8616" s="1"/>
      <c r="Q8616" s="1"/>
      <c r="AD8616" s="1"/>
      <c r="AG8616" s="1"/>
      <c r="AI8616" s="1"/>
    </row>
    <row r="8617" spans="4:35" hidden="1">
      <c r="D8617" s="1"/>
      <c r="K8617" s="1"/>
      <c r="Q8617" s="1"/>
      <c r="AD8617" s="1"/>
      <c r="AG8617" s="1"/>
      <c r="AI8617" s="1"/>
    </row>
    <row r="8618" spans="4:35" hidden="1">
      <c r="D8618" s="1"/>
      <c r="K8618" s="1"/>
      <c r="Q8618" s="1"/>
      <c r="AD8618" s="1"/>
      <c r="AG8618" s="1"/>
      <c r="AI8618" s="1"/>
    </row>
    <row r="8619" spans="4:35" hidden="1">
      <c r="D8619" s="1"/>
      <c r="K8619" s="1"/>
      <c r="Q8619" s="1"/>
      <c r="AD8619" s="1"/>
      <c r="AG8619" s="1"/>
      <c r="AI8619" s="1"/>
    </row>
    <row r="8620" spans="4:35" hidden="1">
      <c r="D8620" s="1"/>
      <c r="K8620" s="1"/>
      <c r="Q8620" s="1"/>
      <c r="AD8620" s="1"/>
      <c r="AG8620" s="1"/>
      <c r="AI8620" s="1"/>
    </row>
    <row r="8621" spans="4:35" hidden="1">
      <c r="D8621" s="1"/>
      <c r="K8621" s="1"/>
      <c r="Q8621" s="1"/>
      <c r="AD8621" s="1"/>
      <c r="AG8621" s="1"/>
      <c r="AI8621" s="1"/>
    </row>
    <row r="8622" spans="4:35" hidden="1">
      <c r="D8622" s="1"/>
      <c r="K8622" s="1"/>
      <c r="Q8622" s="1"/>
      <c r="AD8622" s="1"/>
      <c r="AG8622" s="1"/>
      <c r="AI8622" s="1"/>
    </row>
    <row r="8623" spans="4:35" hidden="1">
      <c r="D8623" s="1"/>
      <c r="K8623" s="1"/>
      <c r="Q8623" s="1"/>
      <c r="AD8623" s="1"/>
      <c r="AG8623" s="1"/>
      <c r="AI8623" s="1"/>
    </row>
    <row r="8624" spans="4:35" hidden="1">
      <c r="D8624" s="1"/>
      <c r="K8624" s="1"/>
      <c r="Q8624" s="1"/>
      <c r="AD8624" s="1"/>
      <c r="AG8624" s="1"/>
      <c r="AI8624" s="1"/>
    </row>
    <row r="8625" spans="4:35" hidden="1">
      <c r="D8625" s="1"/>
      <c r="K8625" s="1"/>
      <c r="Q8625" s="1"/>
      <c r="AD8625" s="1"/>
      <c r="AG8625" s="1"/>
      <c r="AI8625" s="1"/>
    </row>
    <row r="8626" spans="4:35" hidden="1">
      <c r="D8626" s="1"/>
      <c r="K8626" s="1"/>
      <c r="Q8626" s="1"/>
      <c r="AD8626" s="1"/>
      <c r="AG8626" s="1"/>
      <c r="AI8626" s="1"/>
    </row>
    <row r="8627" spans="4:35" hidden="1">
      <c r="D8627" s="1"/>
      <c r="K8627" s="1"/>
      <c r="Q8627" s="1"/>
      <c r="AD8627" s="1"/>
      <c r="AG8627" s="1"/>
      <c r="AI8627" s="1"/>
    </row>
    <row r="8628" spans="4:35" hidden="1">
      <c r="D8628" s="1"/>
      <c r="K8628" s="1"/>
      <c r="Q8628" s="1"/>
      <c r="AD8628" s="1"/>
      <c r="AG8628" s="1"/>
      <c r="AI8628" s="1"/>
    </row>
    <row r="8629" spans="4:35" hidden="1">
      <c r="D8629" s="1"/>
      <c r="K8629" s="1"/>
      <c r="Q8629" s="1"/>
      <c r="AD8629" s="1"/>
      <c r="AG8629" s="1"/>
      <c r="AI8629" s="1"/>
    </row>
    <row r="8630" spans="4:35" hidden="1">
      <c r="D8630" s="1"/>
      <c r="K8630" s="1"/>
      <c r="Q8630" s="1"/>
      <c r="AD8630" s="1"/>
      <c r="AG8630" s="1"/>
      <c r="AI8630" s="1"/>
    </row>
    <row r="8631" spans="4:35" hidden="1">
      <c r="D8631" s="1"/>
      <c r="K8631" s="1"/>
      <c r="Q8631" s="1"/>
      <c r="AD8631" s="1"/>
      <c r="AG8631" s="1"/>
      <c r="AI8631" s="1"/>
    </row>
    <row r="8632" spans="4:35" hidden="1">
      <c r="D8632" s="1"/>
      <c r="K8632" s="1"/>
      <c r="Q8632" s="1"/>
      <c r="AD8632" s="1"/>
      <c r="AG8632" s="1"/>
      <c r="AI8632" s="1"/>
    </row>
    <row r="8633" spans="4:35" hidden="1">
      <c r="D8633" s="1"/>
      <c r="K8633" s="1"/>
      <c r="Q8633" s="1"/>
      <c r="AD8633" s="1"/>
      <c r="AG8633" s="1"/>
      <c r="AI8633" s="1"/>
    </row>
    <row r="8634" spans="4:35" hidden="1">
      <c r="D8634" s="1"/>
      <c r="K8634" s="1"/>
      <c r="Q8634" s="1"/>
      <c r="AD8634" s="1"/>
      <c r="AG8634" s="1"/>
      <c r="AI8634" s="1"/>
    </row>
    <row r="8635" spans="4:35" hidden="1">
      <c r="D8635" s="1"/>
      <c r="K8635" s="1"/>
      <c r="Q8635" s="1"/>
      <c r="AD8635" s="1"/>
      <c r="AG8635" s="1"/>
      <c r="AI8635" s="1"/>
    </row>
    <row r="8636" spans="4:35" hidden="1">
      <c r="D8636" s="1"/>
      <c r="K8636" s="1"/>
      <c r="Q8636" s="1"/>
      <c r="AD8636" s="1"/>
      <c r="AG8636" s="1"/>
      <c r="AI8636" s="1"/>
    </row>
    <row r="8637" spans="4:35" hidden="1">
      <c r="D8637" s="1"/>
      <c r="K8637" s="1"/>
      <c r="Q8637" s="1"/>
      <c r="AD8637" s="1"/>
      <c r="AG8637" s="1"/>
      <c r="AI8637" s="1"/>
    </row>
    <row r="8638" spans="4:35" hidden="1">
      <c r="D8638" s="1"/>
      <c r="K8638" s="1"/>
      <c r="Q8638" s="1"/>
      <c r="AD8638" s="1"/>
      <c r="AG8638" s="1"/>
      <c r="AI8638" s="1"/>
    </row>
    <row r="8639" spans="4:35" hidden="1">
      <c r="D8639" s="1"/>
      <c r="K8639" s="1"/>
      <c r="Q8639" s="1"/>
      <c r="AD8639" s="1"/>
      <c r="AG8639" s="1"/>
      <c r="AI8639" s="1"/>
    </row>
    <row r="8640" spans="4:35" hidden="1">
      <c r="D8640" s="1"/>
      <c r="K8640" s="1"/>
      <c r="Q8640" s="1"/>
      <c r="AD8640" s="1"/>
      <c r="AG8640" s="1"/>
      <c r="AI8640" s="1"/>
    </row>
    <row r="8641" spans="4:35" hidden="1">
      <c r="D8641" s="1"/>
      <c r="K8641" s="1"/>
      <c r="Q8641" s="1"/>
      <c r="AD8641" s="1"/>
      <c r="AG8641" s="1"/>
      <c r="AI8641" s="1"/>
    </row>
    <row r="8642" spans="4:35" hidden="1">
      <c r="D8642" s="1"/>
      <c r="K8642" s="1"/>
      <c r="Q8642" s="1"/>
      <c r="AD8642" s="1"/>
      <c r="AG8642" s="1"/>
      <c r="AI8642" s="1"/>
    </row>
    <row r="8643" spans="4:35" hidden="1">
      <c r="D8643" s="1"/>
      <c r="K8643" s="1"/>
      <c r="Q8643" s="1"/>
      <c r="AD8643" s="1"/>
      <c r="AG8643" s="1"/>
      <c r="AI8643" s="1"/>
    </row>
    <row r="8644" spans="4:35" hidden="1">
      <c r="D8644" s="1"/>
      <c r="K8644" s="1"/>
      <c r="Q8644" s="1"/>
      <c r="AD8644" s="1"/>
      <c r="AG8644" s="1"/>
      <c r="AI8644" s="1"/>
    </row>
    <row r="8645" spans="4:35" hidden="1">
      <c r="D8645" s="1"/>
      <c r="K8645" s="1"/>
      <c r="Q8645" s="1"/>
      <c r="AD8645" s="1"/>
      <c r="AG8645" s="1"/>
      <c r="AI8645" s="1"/>
    </row>
    <row r="8646" spans="4:35" hidden="1">
      <c r="D8646" s="1"/>
      <c r="K8646" s="1"/>
      <c r="Q8646" s="1"/>
      <c r="AD8646" s="1"/>
      <c r="AG8646" s="1"/>
      <c r="AI8646" s="1"/>
    </row>
    <row r="8647" spans="4:35" hidden="1">
      <c r="D8647" s="1"/>
      <c r="K8647" s="1"/>
      <c r="Q8647" s="1"/>
      <c r="AD8647" s="1"/>
      <c r="AG8647" s="1"/>
      <c r="AI8647" s="1"/>
    </row>
    <row r="8648" spans="4:35" hidden="1">
      <c r="D8648" s="1"/>
      <c r="K8648" s="1"/>
      <c r="Q8648" s="1"/>
      <c r="AD8648" s="1"/>
      <c r="AG8648" s="1"/>
      <c r="AI8648" s="1"/>
    </row>
    <row r="8649" spans="4:35" hidden="1">
      <c r="D8649" s="1"/>
      <c r="K8649" s="1"/>
      <c r="Q8649" s="1"/>
      <c r="AD8649" s="1"/>
      <c r="AG8649" s="1"/>
      <c r="AI8649" s="1"/>
    </row>
    <row r="8650" spans="4:35" hidden="1">
      <c r="D8650" s="1"/>
      <c r="K8650" s="1"/>
      <c r="Q8650" s="1"/>
      <c r="AD8650" s="1"/>
      <c r="AG8650" s="1"/>
      <c r="AI8650" s="1"/>
    </row>
    <row r="8651" spans="4:35" hidden="1">
      <c r="D8651" s="1"/>
      <c r="K8651" s="1"/>
      <c r="Q8651" s="1"/>
      <c r="AD8651" s="1"/>
      <c r="AG8651" s="1"/>
      <c r="AI8651" s="1"/>
    </row>
    <row r="8652" spans="4:35" hidden="1">
      <c r="D8652" s="1"/>
      <c r="K8652" s="1"/>
      <c r="Q8652" s="1"/>
      <c r="AD8652" s="1"/>
      <c r="AG8652" s="1"/>
      <c r="AI8652" s="1"/>
    </row>
    <row r="8653" spans="4:35" hidden="1">
      <c r="D8653" s="1"/>
      <c r="K8653" s="1"/>
      <c r="Q8653" s="1"/>
      <c r="AD8653" s="1"/>
      <c r="AG8653" s="1"/>
      <c r="AI8653" s="1"/>
    </row>
    <row r="8654" spans="4:35" hidden="1">
      <c r="D8654" s="1"/>
      <c r="K8654" s="1"/>
      <c r="Q8654" s="1"/>
      <c r="AD8654" s="1"/>
      <c r="AG8654" s="1"/>
      <c r="AI8654" s="1"/>
    </row>
    <row r="8655" spans="4:35" hidden="1">
      <c r="D8655" s="1"/>
      <c r="K8655" s="1"/>
      <c r="Q8655" s="1"/>
      <c r="AD8655" s="1"/>
      <c r="AG8655" s="1"/>
      <c r="AI8655" s="1"/>
    </row>
    <row r="8656" spans="4:35" hidden="1">
      <c r="D8656" s="1"/>
      <c r="K8656" s="1"/>
      <c r="Q8656" s="1"/>
      <c r="AD8656" s="1"/>
      <c r="AG8656" s="1"/>
      <c r="AI8656" s="1"/>
    </row>
    <row r="8657" spans="4:35" hidden="1">
      <c r="D8657" s="1"/>
      <c r="K8657" s="1"/>
      <c r="Q8657" s="1"/>
      <c r="AD8657" s="1"/>
      <c r="AG8657" s="1"/>
      <c r="AI8657" s="1"/>
    </row>
    <row r="8658" spans="4:35" hidden="1">
      <c r="D8658" s="1"/>
      <c r="K8658" s="1"/>
      <c r="Q8658" s="1"/>
      <c r="AD8658" s="1"/>
      <c r="AG8658" s="1"/>
      <c r="AI8658" s="1"/>
    </row>
    <row r="8659" spans="4:35" hidden="1">
      <c r="D8659" s="1"/>
      <c r="K8659" s="1"/>
      <c r="Q8659" s="1"/>
      <c r="AD8659" s="1"/>
      <c r="AG8659" s="1"/>
      <c r="AI8659" s="1"/>
    </row>
    <row r="8660" spans="4:35" hidden="1">
      <c r="D8660" s="1"/>
      <c r="K8660" s="1"/>
      <c r="Q8660" s="1"/>
      <c r="AD8660" s="1"/>
      <c r="AG8660" s="1"/>
      <c r="AI8660" s="1"/>
    </row>
    <row r="8661" spans="4:35" hidden="1">
      <c r="D8661" s="1"/>
      <c r="K8661" s="1"/>
      <c r="Q8661" s="1"/>
      <c r="AD8661" s="1"/>
      <c r="AG8661" s="1"/>
      <c r="AI8661" s="1"/>
    </row>
    <row r="8662" spans="4:35" hidden="1">
      <c r="D8662" s="1"/>
      <c r="K8662" s="1"/>
      <c r="Q8662" s="1"/>
      <c r="AD8662" s="1"/>
      <c r="AG8662" s="1"/>
      <c r="AI8662" s="1"/>
    </row>
    <row r="8663" spans="4:35" hidden="1">
      <c r="D8663" s="1"/>
      <c r="K8663" s="1"/>
      <c r="Q8663" s="1"/>
      <c r="AD8663" s="1"/>
      <c r="AG8663" s="1"/>
      <c r="AI8663" s="1"/>
    </row>
    <row r="8664" spans="4:35" hidden="1">
      <c r="D8664" s="1"/>
      <c r="K8664" s="1"/>
      <c r="Q8664" s="1"/>
      <c r="AD8664" s="1"/>
      <c r="AG8664" s="1"/>
      <c r="AI8664" s="1"/>
    </row>
    <row r="8665" spans="4:35" hidden="1">
      <c r="D8665" s="1"/>
      <c r="K8665" s="1"/>
      <c r="Q8665" s="1"/>
      <c r="AD8665" s="1"/>
      <c r="AG8665" s="1"/>
      <c r="AI8665" s="1"/>
    </row>
    <row r="8666" spans="4:35" hidden="1">
      <c r="D8666" s="1"/>
      <c r="K8666" s="1"/>
      <c r="Q8666" s="1"/>
      <c r="AD8666" s="1"/>
      <c r="AG8666" s="1"/>
      <c r="AI8666" s="1"/>
    </row>
    <row r="8667" spans="4:35" hidden="1">
      <c r="D8667" s="1"/>
      <c r="K8667" s="1"/>
      <c r="Q8667" s="1"/>
      <c r="AD8667" s="1"/>
      <c r="AG8667" s="1"/>
      <c r="AI8667" s="1"/>
    </row>
    <row r="8668" spans="4:35" hidden="1">
      <c r="D8668" s="1"/>
      <c r="K8668" s="1"/>
      <c r="Q8668" s="1"/>
      <c r="AD8668" s="1"/>
      <c r="AG8668" s="1"/>
      <c r="AI8668" s="1"/>
    </row>
    <row r="8669" spans="4:35" hidden="1">
      <c r="D8669" s="1"/>
      <c r="K8669" s="1"/>
      <c r="Q8669" s="1"/>
      <c r="AD8669" s="1"/>
      <c r="AG8669" s="1"/>
      <c r="AI8669" s="1"/>
    </row>
    <row r="8670" spans="4:35" hidden="1">
      <c r="D8670" s="1"/>
      <c r="K8670" s="1"/>
      <c r="Q8670" s="1"/>
      <c r="AD8670" s="1"/>
      <c r="AG8670" s="1"/>
      <c r="AI8670" s="1"/>
    </row>
    <row r="8671" spans="4:35" hidden="1">
      <c r="D8671" s="1"/>
      <c r="K8671" s="1"/>
      <c r="Q8671" s="1"/>
      <c r="AD8671" s="1"/>
      <c r="AG8671" s="1"/>
      <c r="AI8671" s="1"/>
    </row>
    <row r="8672" spans="4:35" hidden="1">
      <c r="D8672" s="1"/>
      <c r="K8672" s="1"/>
      <c r="Q8672" s="1"/>
      <c r="AD8672" s="1"/>
      <c r="AG8672" s="1"/>
      <c r="AI8672" s="1"/>
    </row>
    <row r="8673" spans="4:35" hidden="1">
      <c r="D8673" s="1"/>
      <c r="K8673" s="1"/>
      <c r="Q8673" s="1"/>
      <c r="AD8673" s="1"/>
      <c r="AG8673" s="1"/>
      <c r="AI8673" s="1"/>
    </row>
    <row r="8674" spans="4:35" hidden="1">
      <c r="D8674" s="1"/>
      <c r="K8674" s="1"/>
      <c r="Q8674" s="1"/>
      <c r="AD8674" s="1"/>
      <c r="AG8674" s="1"/>
      <c r="AI8674" s="1"/>
    </row>
    <row r="8675" spans="4:35" hidden="1">
      <c r="D8675" s="1"/>
      <c r="K8675" s="1"/>
      <c r="Q8675" s="1"/>
      <c r="AD8675" s="1"/>
      <c r="AG8675" s="1"/>
      <c r="AI8675" s="1"/>
    </row>
    <row r="8676" spans="4:35" hidden="1">
      <c r="D8676" s="1"/>
      <c r="K8676" s="1"/>
      <c r="Q8676" s="1"/>
      <c r="AD8676" s="1"/>
      <c r="AG8676" s="1"/>
      <c r="AI8676" s="1"/>
    </row>
    <row r="8677" spans="4:35" hidden="1">
      <c r="D8677" s="1"/>
      <c r="K8677" s="1"/>
      <c r="Q8677" s="1"/>
      <c r="AD8677" s="1"/>
      <c r="AG8677" s="1"/>
      <c r="AI8677" s="1"/>
    </row>
    <row r="8678" spans="4:35" hidden="1">
      <c r="D8678" s="1"/>
      <c r="K8678" s="1"/>
      <c r="Q8678" s="1"/>
      <c r="AD8678" s="1"/>
      <c r="AG8678" s="1"/>
      <c r="AI8678" s="1"/>
    </row>
    <row r="8679" spans="4:35" hidden="1">
      <c r="D8679" s="1"/>
      <c r="K8679" s="1"/>
      <c r="Q8679" s="1"/>
      <c r="AD8679" s="1"/>
      <c r="AG8679" s="1"/>
      <c r="AI8679" s="1"/>
    </row>
    <row r="8680" spans="4:35" hidden="1">
      <c r="D8680" s="1"/>
      <c r="K8680" s="1"/>
      <c r="Q8680" s="1"/>
      <c r="AD8680" s="1"/>
      <c r="AG8680" s="1"/>
      <c r="AI8680" s="1"/>
    </row>
    <row r="8681" spans="4:35" hidden="1">
      <c r="D8681" s="1"/>
      <c r="K8681" s="1"/>
      <c r="Q8681" s="1"/>
      <c r="AD8681" s="1"/>
      <c r="AG8681" s="1"/>
      <c r="AI8681" s="1"/>
    </row>
    <row r="8682" spans="4:35" hidden="1">
      <c r="D8682" s="1"/>
      <c r="K8682" s="1"/>
      <c r="Q8682" s="1"/>
      <c r="AD8682" s="1"/>
      <c r="AG8682" s="1"/>
      <c r="AI8682" s="1"/>
    </row>
    <row r="8683" spans="4:35" hidden="1">
      <c r="D8683" s="1"/>
      <c r="K8683" s="1"/>
      <c r="Q8683" s="1"/>
      <c r="AD8683" s="1"/>
      <c r="AG8683" s="1"/>
      <c r="AI8683" s="1"/>
    </row>
    <row r="8684" spans="4:35" hidden="1">
      <c r="D8684" s="1"/>
      <c r="K8684" s="1"/>
      <c r="Q8684" s="1"/>
      <c r="AD8684" s="1"/>
      <c r="AG8684" s="1"/>
      <c r="AI8684" s="1"/>
    </row>
    <row r="8685" spans="4:35" hidden="1">
      <c r="D8685" s="1"/>
      <c r="K8685" s="1"/>
      <c r="Q8685" s="1"/>
      <c r="AD8685" s="1"/>
      <c r="AG8685" s="1"/>
      <c r="AI8685" s="1"/>
    </row>
    <row r="8686" spans="4:35" hidden="1">
      <c r="D8686" s="1"/>
      <c r="K8686" s="1"/>
      <c r="Q8686" s="1"/>
      <c r="AD8686" s="1"/>
      <c r="AG8686" s="1"/>
      <c r="AI8686" s="1"/>
    </row>
    <row r="8687" spans="4:35" hidden="1">
      <c r="D8687" s="1"/>
      <c r="K8687" s="1"/>
      <c r="Q8687" s="1"/>
      <c r="AD8687" s="1"/>
      <c r="AG8687" s="1"/>
      <c r="AI8687" s="1"/>
    </row>
    <row r="8688" spans="4:35" hidden="1">
      <c r="D8688" s="1"/>
      <c r="K8688" s="1"/>
      <c r="Q8688" s="1"/>
      <c r="AD8688" s="1"/>
      <c r="AG8688" s="1"/>
      <c r="AI8688" s="1"/>
    </row>
    <row r="8689" spans="4:35" hidden="1">
      <c r="D8689" s="1"/>
      <c r="K8689" s="1"/>
      <c r="Q8689" s="1"/>
      <c r="AD8689" s="1"/>
      <c r="AG8689" s="1"/>
      <c r="AI8689" s="1"/>
    </row>
    <row r="8690" spans="4:35" hidden="1">
      <c r="D8690" s="1"/>
      <c r="K8690" s="1"/>
      <c r="Q8690" s="1"/>
      <c r="AD8690" s="1"/>
      <c r="AG8690" s="1"/>
      <c r="AI8690" s="1"/>
    </row>
    <row r="8691" spans="4:35" hidden="1">
      <c r="D8691" s="1"/>
      <c r="K8691" s="1"/>
      <c r="Q8691" s="1"/>
      <c r="AD8691" s="1"/>
      <c r="AG8691" s="1"/>
      <c r="AI8691" s="1"/>
    </row>
    <row r="8692" spans="4:35" hidden="1">
      <c r="D8692" s="1"/>
      <c r="K8692" s="1"/>
      <c r="Q8692" s="1"/>
      <c r="AD8692" s="1"/>
      <c r="AG8692" s="1"/>
      <c r="AI8692" s="1"/>
    </row>
    <row r="8693" spans="4:35" hidden="1">
      <c r="D8693" s="1"/>
      <c r="K8693" s="1"/>
      <c r="Q8693" s="1"/>
      <c r="AD8693" s="1"/>
      <c r="AG8693" s="1"/>
      <c r="AI8693" s="1"/>
    </row>
    <row r="8694" spans="4:35" hidden="1">
      <c r="D8694" s="1"/>
      <c r="K8694" s="1"/>
      <c r="Q8694" s="1"/>
      <c r="AD8694" s="1"/>
      <c r="AG8694" s="1"/>
      <c r="AI8694" s="1"/>
    </row>
    <row r="8695" spans="4:35" hidden="1">
      <c r="D8695" s="1"/>
      <c r="K8695" s="1"/>
      <c r="Q8695" s="1"/>
      <c r="AD8695" s="1"/>
      <c r="AG8695" s="1"/>
      <c r="AI8695" s="1"/>
    </row>
    <row r="8696" spans="4:35" hidden="1">
      <c r="D8696" s="1"/>
      <c r="K8696" s="1"/>
      <c r="Q8696" s="1"/>
      <c r="AD8696" s="1"/>
      <c r="AG8696" s="1"/>
      <c r="AI8696" s="1"/>
    </row>
    <row r="8697" spans="4:35" hidden="1">
      <c r="D8697" s="1"/>
      <c r="K8697" s="1"/>
      <c r="Q8697" s="1"/>
      <c r="AD8697" s="1"/>
      <c r="AG8697" s="1"/>
      <c r="AI8697" s="1"/>
    </row>
    <row r="8698" spans="4:35" hidden="1">
      <c r="D8698" s="1"/>
      <c r="K8698" s="1"/>
      <c r="Q8698" s="1"/>
      <c r="AD8698" s="1"/>
      <c r="AG8698" s="1"/>
      <c r="AI8698" s="1"/>
    </row>
    <row r="8699" spans="4:35" hidden="1">
      <c r="D8699" s="1"/>
      <c r="K8699" s="1"/>
      <c r="Q8699" s="1"/>
      <c r="AD8699" s="1"/>
      <c r="AG8699" s="1"/>
      <c r="AI8699" s="1"/>
    </row>
    <row r="8700" spans="4:35" hidden="1">
      <c r="D8700" s="1"/>
      <c r="K8700" s="1"/>
      <c r="Q8700" s="1"/>
      <c r="AD8700" s="1"/>
      <c r="AG8700" s="1"/>
      <c r="AI8700" s="1"/>
    </row>
    <row r="8701" spans="4:35" hidden="1">
      <c r="D8701" s="1"/>
      <c r="K8701" s="1"/>
      <c r="Q8701" s="1"/>
      <c r="AD8701" s="1"/>
      <c r="AG8701" s="1"/>
      <c r="AI8701" s="1"/>
    </row>
    <row r="8702" spans="4:35" hidden="1">
      <c r="D8702" s="1"/>
      <c r="K8702" s="1"/>
      <c r="Q8702" s="1"/>
      <c r="AD8702" s="1"/>
      <c r="AG8702" s="1"/>
      <c r="AI8702" s="1"/>
    </row>
    <row r="8703" spans="4:35" hidden="1">
      <c r="D8703" s="1"/>
      <c r="K8703" s="1"/>
      <c r="Q8703" s="1"/>
      <c r="AD8703" s="1"/>
      <c r="AG8703" s="1"/>
      <c r="AI8703" s="1"/>
    </row>
    <row r="8704" spans="4:35" hidden="1">
      <c r="D8704" s="1"/>
      <c r="K8704" s="1"/>
      <c r="Q8704" s="1"/>
      <c r="AD8704" s="1"/>
      <c r="AG8704" s="1"/>
      <c r="AI8704" s="1"/>
    </row>
    <row r="8705" spans="4:35" hidden="1">
      <c r="D8705" s="1"/>
      <c r="K8705" s="1"/>
      <c r="Q8705" s="1"/>
      <c r="AD8705" s="1"/>
      <c r="AG8705" s="1"/>
      <c r="AI8705" s="1"/>
    </row>
    <row r="8706" spans="4:35" hidden="1">
      <c r="D8706" s="1"/>
      <c r="K8706" s="1"/>
      <c r="Q8706" s="1"/>
      <c r="AD8706" s="1"/>
      <c r="AG8706" s="1"/>
      <c r="AI8706" s="1"/>
    </row>
    <row r="8707" spans="4:35" hidden="1">
      <c r="D8707" s="1"/>
      <c r="K8707" s="1"/>
      <c r="Q8707" s="1"/>
      <c r="AD8707" s="1"/>
      <c r="AG8707" s="1"/>
      <c r="AI8707" s="1"/>
    </row>
    <row r="8708" spans="4:35" hidden="1">
      <c r="D8708" s="1"/>
      <c r="K8708" s="1"/>
      <c r="Q8708" s="1"/>
      <c r="AD8708" s="1"/>
      <c r="AG8708" s="1"/>
      <c r="AI8708" s="1"/>
    </row>
    <row r="8709" spans="4:35" hidden="1">
      <c r="D8709" s="1"/>
      <c r="K8709" s="1"/>
      <c r="Q8709" s="1"/>
      <c r="AD8709" s="1"/>
      <c r="AG8709" s="1"/>
      <c r="AI8709" s="1"/>
    </row>
    <row r="8710" spans="4:35" hidden="1">
      <c r="D8710" s="1"/>
      <c r="K8710" s="1"/>
      <c r="Q8710" s="1"/>
      <c r="AD8710" s="1"/>
      <c r="AG8710" s="1"/>
      <c r="AI8710" s="1"/>
    </row>
    <row r="8711" spans="4:35" hidden="1">
      <c r="D8711" s="1"/>
      <c r="K8711" s="1"/>
      <c r="Q8711" s="1"/>
      <c r="AD8711" s="1"/>
      <c r="AG8711" s="1"/>
      <c r="AI8711" s="1"/>
    </row>
    <row r="8712" spans="4:35" hidden="1">
      <c r="D8712" s="1"/>
      <c r="K8712" s="1"/>
      <c r="Q8712" s="1"/>
      <c r="AD8712" s="1"/>
      <c r="AG8712" s="1"/>
      <c r="AI8712" s="1"/>
    </row>
    <row r="8713" spans="4:35" hidden="1">
      <c r="D8713" s="1"/>
      <c r="K8713" s="1"/>
      <c r="Q8713" s="1"/>
      <c r="AD8713" s="1"/>
      <c r="AG8713" s="1"/>
      <c r="AI8713" s="1"/>
    </row>
    <row r="8714" spans="4:35" hidden="1">
      <c r="D8714" s="1"/>
      <c r="K8714" s="1"/>
      <c r="Q8714" s="1"/>
      <c r="AD8714" s="1"/>
      <c r="AG8714" s="1"/>
      <c r="AI8714" s="1"/>
    </row>
    <row r="8715" spans="4:35" hidden="1">
      <c r="D8715" s="1"/>
      <c r="K8715" s="1"/>
      <c r="Q8715" s="1"/>
      <c r="AD8715" s="1"/>
      <c r="AG8715" s="1"/>
      <c r="AI8715" s="1"/>
    </row>
    <row r="8716" spans="4:35" hidden="1">
      <c r="D8716" s="1"/>
      <c r="K8716" s="1"/>
      <c r="Q8716" s="1"/>
      <c r="AD8716" s="1"/>
      <c r="AG8716" s="1"/>
      <c r="AI8716" s="1"/>
    </row>
    <row r="8717" spans="4:35" hidden="1">
      <c r="D8717" s="1"/>
      <c r="K8717" s="1"/>
      <c r="Q8717" s="1"/>
      <c r="AD8717" s="1"/>
      <c r="AG8717" s="1"/>
      <c r="AI8717" s="1"/>
    </row>
    <row r="8718" spans="4:35" hidden="1">
      <c r="D8718" s="1"/>
      <c r="K8718" s="1"/>
      <c r="Q8718" s="1"/>
      <c r="AD8718" s="1"/>
      <c r="AG8718" s="1"/>
      <c r="AI8718" s="1"/>
    </row>
    <row r="8719" spans="4:35" hidden="1">
      <c r="D8719" s="1"/>
      <c r="K8719" s="1"/>
      <c r="Q8719" s="1"/>
      <c r="AD8719" s="1"/>
      <c r="AG8719" s="1"/>
      <c r="AI8719" s="1"/>
    </row>
    <row r="8720" spans="4:35" hidden="1">
      <c r="D8720" s="1"/>
      <c r="K8720" s="1"/>
      <c r="Q8720" s="1"/>
      <c r="AD8720" s="1"/>
      <c r="AG8720" s="1"/>
      <c r="AI8720" s="1"/>
    </row>
    <row r="8721" spans="4:35" hidden="1">
      <c r="D8721" s="1"/>
      <c r="K8721" s="1"/>
      <c r="Q8721" s="1"/>
      <c r="AD8721" s="1"/>
      <c r="AG8721" s="1"/>
      <c r="AI8721" s="1"/>
    </row>
    <row r="8722" spans="4:35" hidden="1">
      <c r="D8722" s="1"/>
      <c r="K8722" s="1"/>
      <c r="Q8722" s="1"/>
      <c r="AD8722" s="1"/>
      <c r="AG8722" s="1"/>
      <c r="AI8722" s="1"/>
    </row>
    <row r="8723" spans="4:35" hidden="1">
      <c r="D8723" s="1"/>
      <c r="K8723" s="1"/>
      <c r="Q8723" s="1"/>
      <c r="AD8723" s="1"/>
      <c r="AG8723" s="1"/>
      <c r="AI8723" s="1"/>
    </row>
    <row r="8724" spans="4:35" hidden="1">
      <c r="D8724" s="1"/>
      <c r="K8724" s="1"/>
      <c r="Q8724" s="1"/>
      <c r="AD8724" s="1"/>
      <c r="AG8724" s="1"/>
      <c r="AI8724" s="1"/>
    </row>
    <row r="8725" spans="4:35" hidden="1">
      <c r="D8725" s="1"/>
      <c r="K8725" s="1"/>
      <c r="Q8725" s="1"/>
      <c r="AD8725" s="1"/>
      <c r="AG8725" s="1"/>
      <c r="AI8725" s="1"/>
    </row>
    <row r="8726" spans="4:35" hidden="1">
      <c r="D8726" s="1"/>
      <c r="K8726" s="1"/>
      <c r="Q8726" s="1"/>
      <c r="AD8726" s="1"/>
      <c r="AG8726" s="1"/>
      <c r="AI8726" s="1"/>
    </row>
    <row r="8727" spans="4:35" hidden="1">
      <c r="D8727" s="1"/>
      <c r="K8727" s="1"/>
      <c r="Q8727" s="1"/>
      <c r="AD8727" s="1"/>
      <c r="AG8727" s="1"/>
      <c r="AI8727" s="1"/>
    </row>
    <row r="8728" spans="4:35" hidden="1">
      <c r="D8728" s="1"/>
      <c r="K8728" s="1"/>
      <c r="Q8728" s="1"/>
      <c r="AD8728" s="1"/>
      <c r="AG8728" s="1"/>
      <c r="AI8728" s="1"/>
    </row>
    <row r="8729" spans="4:35" hidden="1">
      <c r="D8729" s="1"/>
      <c r="K8729" s="1"/>
      <c r="Q8729" s="1"/>
      <c r="AD8729" s="1"/>
      <c r="AG8729" s="1"/>
      <c r="AI8729" s="1"/>
    </row>
    <row r="8730" spans="4:35" hidden="1">
      <c r="D8730" s="1"/>
      <c r="K8730" s="1"/>
      <c r="Q8730" s="1"/>
      <c r="AD8730" s="1"/>
      <c r="AG8730" s="1"/>
      <c r="AI8730" s="1"/>
    </row>
    <row r="8731" spans="4:35" hidden="1">
      <c r="D8731" s="1"/>
      <c r="K8731" s="1"/>
      <c r="Q8731" s="1"/>
      <c r="AD8731" s="1"/>
      <c r="AG8731" s="1"/>
      <c r="AI8731" s="1"/>
    </row>
    <row r="8732" spans="4:35" hidden="1">
      <c r="D8732" s="1"/>
      <c r="K8732" s="1"/>
      <c r="Q8732" s="1"/>
      <c r="AD8732" s="1"/>
      <c r="AG8732" s="1"/>
      <c r="AI8732" s="1"/>
    </row>
    <row r="8733" spans="4:35" hidden="1">
      <c r="D8733" s="1"/>
      <c r="K8733" s="1"/>
      <c r="Q8733" s="1"/>
      <c r="AD8733" s="1"/>
      <c r="AG8733" s="1"/>
      <c r="AI8733" s="1"/>
    </row>
    <row r="8734" spans="4:35" hidden="1">
      <c r="D8734" s="1"/>
      <c r="K8734" s="1"/>
      <c r="Q8734" s="1"/>
      <c r="AD8734" s="1"/>
      <c r="AG8734" s="1"/>
      <c r="AI8734" s="1"/>
    </row>
    <row r="8735" spans="4:35" hidden="1">
      <c r="D8735" s="1"/>
      <c r="K8735" s="1"/>
      <c r="Q8735" s="1"/>
      <c r="AD8735" s="1"/>
      <c r="AG8735" s="1"/>
      <c r="AI8735" s="1"/>
    </row>
    <row r="8736" spans="4:35" hidden="1">
      <c r="D8736" s="1"/>
      <c r="K8736" s="1"/>
      <c r="Q8736" s="1"/>
      <c r="AD8736" s="1"/>
      <c r="AG8736" s="1"/>
      <c r="AI8736" s="1"/>
    </row>
    <row r="8737" spans="4:35" hidden="1">
      <c r="D8737" s="1"/>
      <c r="K8737" s="1"/>
      <c r="Q8737" s="1"/>
      <c r="AD8737" s="1"/>
      <c r="AG8737" s="1"/>
      <c r="AI8737" s="1"/>
    </row>
    <row r="8738" spans="4:35" hidden="1">
      <c r="D8738" s="1"/>
      <c r="K8738" s="1"/>
      <c r="Q8738" s="1"/>
      <c r="AD8738" s="1"/>
      <c r="AG8738" s="1"/>
      <c r="AI8738" s="1"/>
    </row>
    <row r="8739" spans="4:35" hidden="1">
      <c r="D8739" s="1"/>
      <c r="K8739" s="1"/>
      <c r="Q8739" s="1"/>
      <c r="AD8739" s="1"/>
      <c r="AG8739" s="1"/>
      <c r="AI8739" s="1"/>
    </row>
    <row r="8740" spans="4:35" hidden="1">
      <c r="D8740" s="1"/>
      <c r="K8740" s="1"/>
      <c r="Q8740" s="1"/>
      <c r="AD8740" s="1"/>
      <c r="AG8740" s="1"/>
      <c r="AI8740" s="1"/>
    </row>
    <row r="8741" spans="4:35" hidden="1">
      <c r="D8741" s="1"/>
      <c r="K8741" s="1"/>
      <c r="Q8741" s="1"/>
      <c r="AD8741" s="1"/>
      <c r="AG8741" s="1"/>
      <c r="AI8741" s="1"/>
    </row>
    <row r="8742" spans="4:35" hidden="1">
      <c r="D8742" s="1"/>
      <c r="K8742" s="1"/>
      <c r="Q8742" s="1"/>
      <c r="AD8742" s="1"/>
      <c r="AG8742" s="1"/>
      <c r="AI8742" s="1"/>
    </row>
    <row r="8743" spans="4:35" hidden="1">
      <c r="D8743" s="1"/>
      <c r="K8743" s="1"/>
      <c r="Q8743" s="1"/>
      <c r="AD8743" s="1"/>
      <c r="AG8743" s="1"/>
      <c r="AI8743" s="1"/>
    </row>
    <row r="8744" spans="4:35" hidden="1">
      <c r="D8744" s="1"/>
      <c r="K8744" s="1"/>
      <c r="Q8744" s="1"/>
      <c r="AD8744" s="1"/>
      <c r="AG8744" s="1"/>
      <c r="AI8744" s="1"/>
    </row>
    <row r="8745" spans="4:35" hidden="1">
      <c r="D8745" s="1"/>
      <c r="K8745" s="1"/>
      <c r="Q8745" s="1"/>
      <c r="AD8745" s="1"/>
      <c r="AG8745" s="1"/>
      <c r="AI8745" s="1"/>
    </row>
    <row r="8746" spans="4:35" hidden="1">
      <c r="D8746" s="1"/>
      <c r="K8746" s="1"/>
      <c r="Q8746" s="1"/>
      <c r="AD8746" s="1"/>
      <c r="AG8746" s="1"/>
      <c r="AI8746" s="1"/>
    </row>
    <row r="8747" spans="4:35" hidden="1">
      <c r="D8747" s="1"/>
      <c r="K8747" s="1"/>
      <c r="Q8747" s="1"/>
      <c r="AD8747" s="1"/>
      <c r="AG8747" s="1"/>
      <c r="AI8747" s="1"/>
    </row>
    <row r="8748" spans="4:35" hidden="1">
      <c r="D8748" s="1"/>
      <c r="K8748" s="1"/>
      <c r="Q8748" s="1"/>
      <c r="AD8748" s="1"/>
      <c r="AG8748" s="1"/>
      <c r="AI8748" s="1"/>
    </row>
    <row r="8749" spans="4:35" hidden="1">
      <c r="D8749" s="1"/>
      <c r="K8749" s="1"/>
      <c r="Q8749" s="1"/>
      <c r="AD8749" s="1"/>
      <c r="AG8749" s="1"/>
      <c r="AI8749" s="1"/>
    </row>
    <row r="8750" spans="4:35" hidden="1">
      <c r="D8750" s="1"/>
      <c r="K8750" s="1"/>
      <c r="Q8750" s="1"/>
      <c r="AD8750" s="1"/>
      <c r="AG8750" s="1"/>
      <c r="AI8750" s="1"/>
    </row>
    <row r="8751" spans="4:35" hidden="1">
      <c r="D8751" s="1"/>
      <c r="K8751" s="1"/>
      <c r="Q8751" s="1"/>
      <c r="AD8751" s="1"/>
      <c r="AG8751" s="1"/>
      <c r="AI8751" s="1"/>
    </row>
    <row r="8752" spans="4:35" hidden="1">
      <c r="D8752" s="1"/>
      <c r="K8752" s="1"/>
      <c r="Q8752" s="1"/>
      <c r="AD8752" s="1"/>
      <c r="AG8752" s="1"/>
      <c r="AI8752" s="1"/>
    </row>
    <row r="8753" spans="4:35" hidden="1">
      <c r="D8753" s="1"/>
      <c r="K8753" s="1"/>
      <c r="Q8753" s="1"/>
      <c r="AD8753" s="1"/>
      <c r="AG8753" s="1"/>
      <c r="AI8753" s="1"/>
    </row>
    <row r="8754" spans="4:35" hidden="1">
      <c r="D8754" s="1"/>
      <c r="K8754" s="1"/>
      <c r="Q8754" s="1"/>
      <c r="AD8754" s="1"/>
      <c r="AG8754" s="1"/>
      <c r="AI8754" s="1"/>
    </row>
    <row r="8755" spans="4:35" hidden="1">
      <c r="D8755" s="1"/>
      <c r="K8755" s="1"/>
      <c r="Q8755" s="1"/>
      <c r="AD8755" s="1"/>
      <c r="AG8755" s="1"/>
      <c r="AI8755" s="1"/>
    </row>
    <row r="8756" spans="4:35" hidden="1">
      <c r="D8756" s="1"/>
      <c r="K8756" s="1"/>
      <c r="Q8756" s="1"/>
      <c r="AD8756" s="1"/>
      <c r="AG8756" s="1"/>
      <c r="AI8756" s="1"/>
    </row>
    <row r="8757" spans="4:35" hidden="1">
      <c r="D8757" s="1"/>
      <c r="K8757" s="1"/>
      <c r="Q8757" s="1"/>
      <c r="AD8757" s="1"/>
      <c r="AG8757" s="1"/>
      <c r="AI8757" s="1"/>
    </row>
    <row r="8758" spans="4:35" hidden="1">
      <c r="D8758" s="1"/>
      <c r="K8758" s="1"/>
      <c r="Q8758" s="1"/>
      <c r="AD8758" s="1"/>
      <c r="AG8758" s="1"/>
      <c r="AI8758" s="1"/>
    </row>
    <row r="8759" spans="4:35" hidden="1">
      <c r="D8759" s="1"/>
      <c r="K8759" s="1"/>
      <c r="Q8759" s="1"/>
      <c r="AD8759" s="1"/>
      <c r="AG8759" s="1"/>
      <c r="AI8759" s="1"/>
    </row>
    <row r="8760" spans="4:35" hidden="1">
      <c r="D8760" s="1"/>
      <c r="K8760" s="1"/>
      <c r="Q8760" s="1"/>
      <c r="AD8760" s="1"/>
      <c r="AG8760" s="1"/>
      <c r="AI8760" s="1"/>
    </row>
    <row r="8761" spans="4:35" hidden="1">
      <c r="D8761" s="1"/>
      <c r="K8761" s="1"/>
      <c r="Q8761" s="1"/>
      <c r="AD8761" s="1"/>
      <c r="AG8761" s="1"/>
      <c r="AI8761" s="1"/>
    </row>
    <row r="8762" spans="4:35" hidden="1">
      <c r="D8762" s="1"/>
      <c r="K8762" s="1"/>
      <c r="Q8762" s="1"/>
      <c r="AD8762" s="1"/>
      <c r="AG8762" s="1"/>
      <c r="AI8762" s="1"/>
    </row>
    <row r="8763" spans="4:35" hidden="1">
      <c r="D8763" s="1"/>
      <c r="K8763" s="1"/>
      <c r="Q8763" s="1"/>
      <c r="AD8763" s="1"/>
      <c r="AG8763" s="1"/>
      <c r="AI8763" s="1"/>
    </row>
    <row r="8764" spans="4:35" hidden="1">
      <c r="D8764" s="1"/>
      <c r="K8764" s="1"/>
      <c r="Q8764" s="1"/>
      <c r="AD8764" s="1"/>
      <c r="AG8764" s="1"/>
      <c r="AI8764" s="1"/>
    </row>
    <row r="8765" spans="4:35" hidden="1">
      <c r="D8765" s="1"/>
      <c r="K8765" s="1"/>
      <c r="Q8765" s="1"/>
      <c r="AD8765" s="1"/>
      <c r="AG8765" s="1"/>
      <c r="AI8765" s="1"/>
    </row>
    <row r="8766" spans="4:35" hidden="1">
      <c r="D8766" s="1"/>
      <c r="K8766" s="1"/>
      <c r="Q8766" s="1"/>
      <c r="AD8766" s="1"/>
      <c r="AG8766" s="1"/>
      <c r="AI8766" s="1"/>
    </row>
    <row r="8767" spans="4:35" hidden="1">
      <c r="D8767" s="1"/>
      <c r="K8767" s="1"/>
      <c r="Q8767" s="1"/>
      <c r="AD8767" s="1"/>
      <c r="AG8767" s="1"/>
      <c r="AI8767" s="1"/>
    </row>
    <row r="8768" spans="4:35" hidden="1">
      <c r="D8768" s="1"/>
      <c r="K8768" s="1"/>
      <c r="Q8768" s="1"/>
      <c r="AD8768" s="1"/>
      <c r="AG8768" s="1"/>
      <c r="AI8768" s="1"/>
    </row>
    <row r="8769" spans="4:35" hidden="1">
      <c r="D8769" s="1"/>
      <c r="K8769" s="1"/>
      <c r="Q8769" s="1"/>
      <c r="AD8769" s="1"/>
      <c r="AG8769" s="1"/>
      <c r="AI8769" s="1"/>
    </row>
    <row r="8770" spans="4:35" hidden="1">
      <c r="D8770" s="1"/>
      <c r="K8770" s="1"/>
      <c r="Q8770" s="1"/>
      <c r="AD8770" s="1"/>
      <c r="AG8770" s="1"/>
      <c r="AI8770" s="1"/>
    </row>
    <row r="8771" spans="4:35" hidden="1">
      <c r="D8771" s="1"/>
      <c r="K8771" s="1"/>
      <c r="Q8771" s="1"/>
      <c r="AD8771" s="1"/>
      <c r="AG8771" s="1"/>
      <c r="AI8771" s="1"/>
    </row>
    <row r="8772" spans="4:35" hidden="1">
      <c r="D8772" s="1"/>
      <c r="K8772" s="1"/>
      <c r="Q8772" s="1"/>
      <c r="AD8772" s="1"/>
      <c r="AG8772" s="1"/>
      <c r="AI8772" s="1"/>
    </row>
    <row r="8773" spans="4:35" hidden="1">
      <c r="D8773" s="1"/>
      <c r="K8773" s="1"/>
      <c r="Q8773" s="1"/>
      <c r="AD8773" s="1"/>
      <c r="AG8773" s="1"/>
      <c r="AI8773" s="1"/>
    </row>
    <row r="8774" spans="4:35" hidden="1">
      <c r="D8774" s="1"/>
      <c r="K8774" s="1"/>
      <c r="Q8774" s="1"/>
      <c r="AD8774" s="1"/>
      <c r="AG8774" s="1"/>
      <c r="AI8774" s="1"/>
    </row>
    <row r="8775" spans="4:35" hidden="1">
      <c r="D8775" s="1"/>
      <c r="K8775" s="1"/>
      <c r="Q8775" s="1"/>
      <c r="AD8775" s="1"/>
      <c r="AG8775" s="1"/>
      <c r="AI8775" s="1"/>
    </row>
    <row r="8776" spans="4:35" hidden="1">
      <c r="D8776" s="1"/>
      <c r="K8776" s="1"/>
      <c r="Q8776" s="1"/>
      <c r="AD8776" s="1"/>
      <c r="AG8776" s="1"/>
      <c r="AI8776" s="1"/>
    </row>
    <row r="8777" spans="4:35" hidden="1">
      <c r="D8777" s="1"/>
      <c r="K8777" s="1"/>
      <c r="Q8777" s="1"/>
      <c r="AD8777" s="1"/>
      <c r="AG8777" s="1"/>
      <c r="AI8777" s="1"/>
    </row>
    <row r="8778" spans="4:35" hidden="1">
      <c r="D8778" s="1"/>
      <c r="K8778" s="1"/>
      <c r="Q8778" s="1"/>
      <c r="AD8778" s="1"/>
      <c r="AG8778" s="1"/>
      <c r="AI8778" s="1"/>
    </row>
    <row r="8779" spans="4:35" hidden="1">
      <c r="D8779" s="1"/>
      <c r="K8779" s="1"/>
      <c r="Q8779" s="1"/>
      <c r="AD8779" s="1"/>
      <c r="AG8779" s="1"/>
      <c r="AI8779" s="1"/>
    </row>
    <row r="8780" spans="4:35" hidden="1">
      <c r="D8780" s="1"/>
      <c r="K8780" s="1"/>
      <c r="Q8780" s="1"/>
      <c r="AD8780" s="1"/>
      <c r="AG8780" s="1"/>
      <c r="AI8780" s="1"/>
    </row>
    <row r="8781" spans="4:35" hidden="1">
      <c r="D8781" s="1"/>
      <c r="K8781" s="1"/>
      <c r="Q8781" s="1"/>
      <c r="AD8781" s="1"/>
      <c r="AG8781" s="1"/>
      <c r="AI8781" s="1"/>
    </row>
    <row r="8782" spans="4:35" hidden="1">
      <c r="D8782" s="1"/>
      <c r="K8782" s="1"/>
      <c r="Q8782" s="1"/>
      <c r="AD8782" s="1"/>
      <c r="AG8782" s="1"/>
      <c r="AI8782" s="1"/>
    </row>
    <row r="8783" spans="4:35" hidden="1">
      <c r="D8783" s="1"/>
      <c r="K8783" s="1"/>
      <c r="Q8783" s="1"/>
      <c r="AD8783" s="1"/>
      <c r="AG8783" s="1"/>
      <c r="AI8783" s="1"/>
    </row>
    <row r="8784" spans="4:35" hidden="1">
      <c r="D8784" s="1"/>
      <c r="K8784" s="1"/>
      <c r="Q8784" s="1"/>
      <c r="AD8784" s="1"/>
      <c r="AG8784" s="1"/>
      <c r="AI8784" s="1"/>
    </row>
    <row r="8785" spans="4:35" hidden="1">
      <c r="D8785" s="1"/>
      <c r="K8785" s="1"/>
      <c r="Q8785" s="1"/>
      <c r="AD8785" s="1"/>
      <c r="AG8785" s="1"/>
      <c r="AI8785" s="1"/>
    </row>
    <row r="8786" spans="4:35" hidden="1">
      <c r="D8786" s="1"/>
      <c r="K8786" s="1"/>
      <c r="Q8786" s="1"/>
      <c r="AD8786" s="1"/>
      <c r="AG8786" s="1"/>
      <c r="AI8786" s="1"/>
    </row>
    <row r="8787" spans="4:35" hidden="1">
      <c r="D8787" s="1"/>
      <c r="K8787" s="1"/>
      <c r="Q8787" s="1"/>
      <c r="AD8787" s="1"/>
      <c r="AG8787" s="1"/>
      <c r="AI8787" s="1"/>
    </row>
    <row r="8788" spans="4:35" hidden="1">
      <c r="D8788" s="1"/>
      <c r="K8788" s="1"/>
      <c r="Q8788" s="1"/>
      <c r="AD8788" s="1"/>
      <c r="AG8788" s="1"/>
      <c r="AI8788" s="1"/>
    </row>
    <row r="8789" spans="4:35" hidden="1">
      <c r="D8789" s="1"/>
      <c r="K8789" s="1"/>
      <c r="Q8789" s="1"/>
      <c r="AD8789" s="1"/>
      <c r="AG8789" s="1"/>
      <c r="AI8789" s="1"/>
    </row>
    <row r="8790" spans="4:35" hidden="1">
      <c r="D8790" s="1"/>
      <c r="K8790" s="1"/>
      <c r="Q8790" s="1"/>
      <c r="AD8790" s="1"/>
      <c r="AG8790" s="1"/>
      <c r="AI8790" s="1"/>
    </row>
    <row r="8791" spans="4:35" hidden="1">
      <c r="D8791" s="1"/>
      <c r="K8791" s="1"/>
      <c r="Q8791" s="1"/>
      <c r="AD8791" s="1"/>
      <c r="AG8791" s="1"/>
      <c r="AI8791" s="1"/>
    </row>
    <row r="8792" spans="4:35" hidden="1">
      <c r="D8792" s="1"/>
      <c r="K8792" s="1"/>
      <c r="Q8792" s="1"/>
      <c r="AD8792" s="1"/>
      <c r="AG8792" s="1"/>
      <c r="AI8792" s="1"/>
    </row>
    <row r="8793" spans="4:35" hidden="1">
      <c r="D8793" s="1"/>
      <c r="K8793" s="1"/>
      <c r="Q8793" s="1"/>
      <c r="AD8793" s="1"/>
      <c r="AG8793" s="1"/>
      <c r="AI8793" s="1"/>
    </row>
    <row r="8794" spans="4:35" hidden="1">
      <c r="D8794" s="1"/>
      <c r="K8794" s="1"/>
      <c r="Q8794" s="1"/>
      <c r="AD8794" s="1"/>
      <c r="AG8794" s="1"/>
      <c r="AI8794" s="1"/>
    </row>
    <row r="8795" spans="4:35" hidden="1">
      <c r="D8795" s="1"/>
      <c r="K8795" s="1"/>
      <c r="Q8795" s="1"/>
      <c r="AD8795" s="1"/>
      <c r="AG8795" s="1"/>
      <c r="AI8795" s="1"/>
    </row>
    <row r="8796" spans="4:35" hidden="1">
      <c r="D8796" s="1"/>
      <c r="K8796" s="1"/>
      <c r="Q8796" s="1"/>
      <c r="AD8796" s="1"/>
      <c r="AG8796" s="1"/>
      <c r="AI8796" s="1"/>
    </row>
    <row r="8797" spans="4:35" hidden="1">
      <c r="D8797" s="1"/>
      <c r="K8797" s="1"/>
      <c r="Q8797" s="1"/>
      <c r="AD8797" s="1"/>
      <c r="AG8797" s="1"/>
      <c r="AI8797" s="1"/>
    </row>
    <row r="8798" spans="4:35" hidden="1">
      <c r="D8798" s="1"/>
      <c r="K8798" s="1"/>
      <c r="Q8798" s="1"/>
      <c r="AD8798" s="1"/>
      <c r="AG8798" s="1"/>
      <c r="AI8798" s="1"/>
    </row>
    <row r="8799" spans="4:35" hidden="1">
      <c r="D8799" s="1"/>
      <c r="K8799" s="1"/>
      <c r="Q8799" s="1"/>
      <c r="AD8799" s="1"/>
      <c r="AG8799" s="1"/>
      <c r="AI8799" s="1"/>
    </row>
    <row r="8800" spans="4:35" hidden="1">
      <c r="D8800" s="1"/>
      <c r="K8800" s="1"/>
      <c r="Q8800" s="1"/>
      <c r="AD8800" s="1"/>
      <c r="AG8800" s="1"/>
      <c r="AI8800" s="1"/>
    </row>
    <row r="8801" spans="4:35" hidden="1">
      <c r="D8801" s="1"/>
      <c r="K8801" s="1"/>
      <c r="Q8801" s="1"/>
      <c r="AD8801" s="1"/>
      <c r="AG8801" s="1"/>
      <c r="AI8801" s="1"/>
    </row>
    <row r="8802" spans="4:35" hidden="1">
      <c r="D8802" s="1"/>
      <c r="K8802" s="1"/>
      <c r="Q8802" s="1"/>
      <c r="AD8802" s="1"/>
      <c r="AG8802" s="1"/>
      <c r="AI8802" s="1"/>
    </row>
    <row r="8803" spans="4:35" hidden="1">
      <c r="D8803" s="1"/>
      <c r="K8803" s="1"/>
      <c r="Q8803" s="1"/>
      <c r="AD8803" s="1"/>
      <c r="AG8803" s="1"/>
      <c r="AI8803" s="1"/>
    </row>
    <row r="8804" spans="4:35" hidden="1">
      <c r="D8804" s="1"/>
      <c r="K8804" s="1"/>
      <c r="Q8804" s="1"/>
      <c r="AD8804" s="1"/>
      <c r="AG8804" s="1"/>
      <c r="AI8804" s="1"/>
    </row>
    <row r="8805" spans="4:35" hidden="1">
      <c r="D8805" s="1"/>
      <c r="K8805" s="1"/>
      <c r="Q8805" s="1"/>
      <c r="AD8805" s="1"/>
      <c r="AG8805" s="1"/>
      <c r="AI8805" s="1"/>
    </row>
    <row r="8806" spans="4:35" hidden="1">
      <c r="D8806" s="1"/>
      <c r="K8806" s="1"/>
      <c r="Q8806" s="1"/>
      <c r="AD8806" s="1"/>
      <c r="AG8806" s="1"/>
      <c r="AI8806" s="1"/>
    </row>
    <row r="8807" spans="4:35" hidden="1">
      <c r="D8807" s="1"/>
      <c r="K8807" s="1"/>
      <c r="Q8807" s="1"/>
      <c r="AD8807" s="1"/>
      <c r="AG8807" s="1"/>
      <c r="AI8807" s="1"/>
    </row>
    <row r="8808" spans="4:35" hidden="1">
      <c r="D8808" s="1"/>
      <c r="K8808" s="1"/>
      <c r="Q8808" s="1"/>
      <c r="AD8808" s="1"/>
      <c r="AG8808" s="1"/>
      <c r="AI8808" s="1"/>
    </row>
    <row r="8809" spans="4:35" hidden="1">
      <c r="D8809" s="1"/>
      <c r="K8809" s="1"/>
      <c r="Q8809" s="1"/>
      <c r="AD8809" s="1"/>
      <c r="AG8809" s="1"/>
      <c r="AI8809" s="1"/>
    </row>
    <row r="8810" spans="4:35" hidden="1">
      <c r="D8810" s="1"/>
      <c r="K8810" s="1"/>
      <c r="Q8810" s="1"/>
      <c r="AD8810" s="1"/>
      <c r="AG8810" s="1"/>
      <c r="AI8810" s="1"/>
    </row>
    <row r="8811" spans="4:35" hidden="1">
      <c r="D8811" s="1"/>
      <c r="K8811" s="1"/>
      <c r="Q8811" s="1"/>
      <c r="AD8811" s="1"/>
      <c r="AG8811" s="1"/>
      <c r="AI8811" s="1"/>
    </row>
    <row r="8812" spans="4:35" hidden="1">
      <c r="D8812" s="1"/>
      <c r="K8812" s="1"/>
      <c r="Q8812" s="1"/>
      <c r="AD8812" s="1"/>
      <c r="AG8812" s="1"/>
      <c r="AI8812" s="1"/>
    </row>
    <row r="8813" spans="4:35" hidden="1">
      <c r="D8813" s="1"/>
      <c r="K8813" s="1"/>
      <c r="Q8813" s="1"/>
      <c r="AD8813" s="1"/>
      <c r="AG8813" s="1"/>
      <c r="AI8813" s="1"/>
    </row>
    <row r="8814" spans="4:35" hidden="1">
      <c r="D8814" s="1"/>
      <c r="K8814" s="1"/>
      <c r="Q8814" s="1"/>
      <c r="AD8814" s="1"/>
      <c r="AG8814" s="1"/>
      <c r="AI8814" s="1"/>
    </row>
    <row r="8815" spans="4:35" hidden="1">
      <c r="D8815" s="1"/>
      <c r="K8815" s="1"/>
      <c r="Q8815" s="1"/>
      <c r="AD8815" s="1"/>
      <c r="AG8815" s="1"/>
      <c r="AI8815" s="1"/>
    </row>
    <row r="8816" spans="4:35" hidden="1">
      <c r="D8816" s="1"/>
      <c r="K8816" s="1"/>
      <c r="Q8816" s="1"/>
      <c r="AD8816" s="1"/>
      <c r="AG8816" s="1"/>
      <c r="AI8816" s="1"/>
    </row>
    <row r="8817" spans="4:35" hidden="1">
      <c r="D8817" s="1"/>
      <c r="K8817" s="1"/>
      <c r="Q8817" s="1"/>
      <c r="AD8817" s="1"/>
      <c r="AG8817" s="1"/>
      <c r="AI8817" s="1"/>
    </row>
    <row r="8818" spans="4:35" hidden="1">
      <c r="D8818" s="1"/>
      <c r="K8818" s="1"/>
      <c r="Q8818" s="1"/>
      <c r="AD8818" s="1"/>
      <c r="AG8818" s="1"/>
      <c r="AI8818" s="1"/>
    </row>
    <row r="8819" spans="4:35" hidden="1">
      <c r="D8819" s="1"/>
      <c r="K8819" s="1"/>
      <c r="Q8819" s="1"/>
      <c r="AD8819" s="1"/>
      <c r="AG8819" s="1"/>
      <c r="AI8819" s="1"/>
    </row>
    <row r="8820" spans="4:35" hidden="1">
      <c r="D8820" s="1"/>
      <c r="K8820" s="1"/>
      <c r="Q8820" s="1"/>
      <c r="AD8820" s="1"/>
      <c r="AG8820" s="1"/>
      <c r="AI8820" s="1"/>
    </row>
    <row r="8821" spans="4:35" hidden="1">
      <c r="D8821" s="1"/>
      <c r="K8821" s="1"/>
      <c r="Q8821" s="1"/>
      <c r="AD8821" s="1"/>
      <c r="AG8821" s="1"/>
      <c r="AI8821" s="1"/>
    </row>
    <row r="8822" spans="4:35" hidden="1">
      <c r="D8822" s="1"/>
      <c r="K8822" s="1"/>
      <c r="Q8822" s="1"/>
      <c r="AD8822" s="1"/>
      <c r="AG8822" s="1"/>
      <c r="AI8822" s="1"/>
    </row>
    <row r="8823" spans="4:35" hidden="1">
      <c r="D8823" s="1"/>
      <c r="K8823" s="1"/>
      <c r="Q8823" s="1"/>
      <c r="AD8823" s="1"/>
      <c r="AG8823" s="1"/>
      <c r="AI8823" s="1"/>
    </row>
    <row r="8824" spans="4:35" hidden="1">
      <c r="D8824" s="1"/>
      <c r="K8824" s="1"/>
      <c r="Q8824" s="1"/>
      <c r="AD8824" s="1"/>
      <c r="AG8824" s="1"/>
      <c r="AI8824" s="1"/>
    </row>
    <row r="8825" spans="4:35" hidden="1">
      <c r="D8825" s="1"/>
      <c r="K8825" s="1"/>
      <c r="Q8825" s="1"/>
      <c r="AD8825" s="1"/>
      <c r="AG8825" s="1"/>
      <c r="AI8825" s="1"/>
    </row>
    <row r="8826" spans="4:35" hidden="1">
      <c r="D8826" s="1"/>
      <c r="K8826" s="1"/>
      <c r="Q8826" s="1"/>
      <c r="AD8826" s="1"/>
      <c r="AG8826" s="1"/>
      <c r="AI8826" s="1"/>
    </row>
    <row r="8827" spans="4:35" hidden="1">
      <c r="D8827" s="1"/>
      <c r="K8827" s="1"/>
      <c r="Q8827" s="1"/>
      <c r="AD8827" s="1"/>
      <c r="AG8827" s="1"/>
      <c r="AI8827" s="1"/>
    </row>
    <row r="8828" spans="4:35" hidden="1">
      <c r="D8828" s="1"/>
      <c r="K8828" s="1"/>
      <c r="Q8828" s="1"/>
      <c r="AD8828" s="1"/>
      <c r="AG8828" s="1"/>
      <c r="AI8828" s="1"/>
    </row>
    <row r="8829" spans="4:35" hidden="1">
      <c r="D8829" s="1"/>
      <c r="K8829" s="1"/>
      <c r="Q8829" s="1"/>
      <c r="AD8829" s="1"/>
      <c r="AG8829" s="1"/>
      <c r="AI8829" s="1"/>
    </row>
    <row r="8830" spans="4:35" hidden="1">
      <c r="D8830" s="1"/>
      <c r="K8830" s="1"/>
      <c r="Q8830" s="1"/>
      <c r="AD8830" s="1"/>
      <c r="AG8830" s="1"/>
      <c r="AI8830" s="1"/>
    </row>
    <row r="8831" spans="4:35" hidden="1">
      <c r="D8831" s="1"/>
      <c r="K8831" s="1"/>
      <c r="Q8831" s="1"/>
      <c r="AD8831" s="1"/>
      <c r="AG8831" s="1"/>
      <c r="AI8831" s="1"/>
    </row>
    <row r="8832" spans="4:35" hidden="1">
      <c r="D8832" s="1"/>
      <c r="K8832" s="1"/>
      <c r="Q8832" s="1"/>
      <c r="AD8832" s="1"/>
      <c r="AG8832" s="1"/>
      <c r="AI8832" s="1"/>
    </row>
    <row r="8833" spans="4:35" hidden="1">
      <c r="D8833" s="1"/>
      <c r="K8833" s="1"/>
      <c r="Q8833" s="1"/>
      <c r="AD8833" s="1"/>
      <c r="AG8833" s="1"/>
      <c r="AI8833" s="1"/>
    </row>
    <row r="8834" spans="4:35" hidden="1">
      <c r="D8834" s="1"/>
      <c r="K8834" s="1"/>
      <c r="Q8834" s="1"/>
      <c r="AD8834" s="1"/>
      <c r="AG8834" s="1"/>
      <c r="AI8834" s="1"/>
    </row>
    <row r="8835" spans="4:35" hidden="1">
      <c r="D8835" s="1"/>
      <c r="K8835" s="1"/>
      <c r="Q8835" s="1"/>
      <c r="AD8835" s="1"/>
      <c r="AG8835" s="1"/>
      <c r="AI8835" s="1"/>
    </row>
    <row r="8836" spans="4:35" hidden="1">
      <c r="D8836" s="1"/>
      <c r="K8836" s="1"/>
      <c r="Q8836" s="1"/>
      <c r="AD8836" s="1"/>
      <c r="AG8836" s="1"/>
      <c r="AI8836" s="1"/>
    </row>
    <row r="8837" spans="4:35" hidden="1">
      <c r="D8837" s="1"/>
      <c r="K8837" s="1"/>
      <c r="Q8837" s="1"/>
      <c r="AD8837" s="1"/>
      <c r="AG8837" s="1"/>
      <c r="AI8837" s="1"/>
    </row>
    <row r="8838" spans="4:35" hidden="1">
      <c r="D8838" s="1"/>
      <c r="K8838" s="1"/>
      <c r="Q8838" s="1"/>
      <c r="AD8838" s="1"/>
      <c r="AG8838" s="1"/>
      <c r="AI8838" s="1"/>
    </row>
    <row r="8839" spans="4:35" hidden="1">
      <c r="D8839" s="1"/>
      <c r="K8839" s="1"/>
      <c r="Q8839" s="1"/>
      <c r="AD8839" s="1"/>
      <c r="AG8839" s="1"/>
      <c r="AI8839" s="1"/>
    </row>
    <row r="8840" spans="4:35" hidden="1">
      <c r="D8840" s="1"/>
      <c r="K8840" s="1"/>
      <c r="Q8840" s="1"/>
      <c r="AD8840" s="1"/>
      <c r="AG8840" s="1"/>
      <c r="AI8840" s="1"/>
    </row>
    <row r="8841" spans="4:35" hidden="1">
      <c r="D8841" s="1"/>
      <c r="K8841" s="1"/>
      <c r="Q8841" s="1"/>
      <c r="AD8841" s="1"/>
      <c r="AG8841" s="1"/>
      <c r="AI8841" s="1"/>
    </row>
    <row r="8842" spans="4:35" hidden="1">
      <c r="D8842" s="1"/>
      <c r="K8842" s="1"/>
      <c r="Q8842" s="1"/>
      <c r="AD8842" s="1"/>
      <c r="AG8842" s="1"/>
      <c r="AI8842" s="1"/>
    </row>
    <row r="8843" spans="4:35" hidden="1">
      <c r="D8843" s="1"/>
      <c r="K8843" s="1"/>
      <c r="Q8843" s="1"/>
      <c r="AD8843" s="1"/>
      <c r="AG8843" s="1"/>
      <c r="AI8843" s="1"/>
    </row>
    <row r="8844" spans="4:35" hidden="1">
      <c r="D8844" s="1"/>
      <c r="K8844" s="1"/>
      <c r="Q8844" s="1"/>
      <c r="AD8844" s="1"/>
      <c r="AG8844" s="1"/>
      <c r="AI8844" s="1"/>
    </row>
    <row r="8845" spans="4:35" hidden="1">
      <c r="D8845" s="1"/>
      <c r="K8845" s="1"/>
      <c r="Q8845" s="1"/>
      <c r="AD8845" s="1"/>
      <c r="AG8845" s="1"/>
      <c r="AI8845" s="1"/>
    </row>
    <row r="8846" spans="4:35" hidden="1">
      <c r="D8846" s="1"/>
      <c r="K8846" s="1"/>
      <c r="Q8846" s="1"/>
      <c r="AD8846" s="1"/>
      <c r="AG8846" s="1"/>
      <c r="AI8846" s="1"/>
    </row>
    <row r="8847" spans="4:35" hidden="1">
      <c r="D8847" s="1"/>
      <c r="K8847" s="1"/>
      <c r="Q8847" s="1"/>
      <c r="AD8847" s="1"/>
      <c r="AG8847" s="1"/>
      <c r="AI8847" s="1"/>
    </row>
    <row r="8848" spans="4:35" hidden="1">
      <c r="D8848" s="1"/>
      <c r="K8848" s="1"/>
      <c r="Q8848" s="1"/>
      <c r="AD8848" s="1"/>
      <c r="AG8848" s="1"/>
      <c r="AI8848" s="1"/>
    </row>
    <row r="8849" spans="4:35" hidden="1">
      <c r="D8849" s="1"/>
      <c r="K8849" s="1"/>
      <c r="Q8849" s="1"/>
      <c r="AD8849" s="1"/>
      <c r="AG8849" s="1"/>
      <c r="AI8849" s="1"/>
    </row>
    <row r="8850" spans="4:35" hidden="1">
      <c r="D8850" s="1"/>
      <c r="K8850" s="1"/>
      <c r="Q8850" s="1"/>
      <c r="AD8850" s="1"/>
      <c r="AG8850" s="1"/>
      <c r="AI8850" s="1"/>
    </row>
    <row r="8851" spans="4:35" hidden="1">
      <c r="D8851" s="1"/>
      <c r="K8851" s="1"/>
      <c r="Q8851" s="1"/>
      <c r="AD8851" s="1"/>
      <c r="AG8851" s="1"/>
      <c r="AI8851" s="1"/>
    </row>
    <row r="8852" spans="4:35" hidden="1">
      <c r="D8852" s="1"/>
      <c r="K8852" s="1"/>
      <c r="Q8852" s="1"/>
      <c r="AD8852" s="1"/>
      <c r="AG8852" s="1"/>
      <c r="AI8852" s="1"/>
    </row>
    <row r="8853" spans="4:35" hidden="1">
      <c r="D8853" s="1"/>
      <c r="K8853" s="1"/>
      <c r="Q8853" s="1"/>
      <c r="AD8853" s="1"/>
      <c r="AG8853" s="1"/>
      <c r="AI8853" s="1"/>
    </row>
    <row r="8854" spans="4:35" hidden="1">
      <c r="D8854" s="1"/>
      <c r="K8854" s="1"/>
      <c r="Q8854" s="1"/>
      <c r="AD8854" s="1"/>
      <c r="AG8854" s="1"/>
      <c r="AI8854" s="1"/>
    </row>
    <row r="8855" spans="4:35" hidden="1">
      <c r="D8855" s="1"/>
      <c r="K8855" s="1"/>
      <c r="Q8855" s="1"/>
      <c r="AD8855" s="1"/>
      <c r="AG8855" s="1"/>
      <c r="AI8855" s="1"/>
    </row>
    <row r="8856" spans="4:35" hidden="1">
      <c r="D8856" s="1"/>
      <c r="K8856" s="1"/>
      <c r="Q8856" s="1"/>
      <c r="AD8856" s="1"/>
      <c r="AG8856" s="1"/>
      <c r="AI8856" s="1"/>
    </row>
    <row r="8857" spans="4:35" hidden="1">
      <c r="D8857" s="1"/>
      <c r="K8857" s="1"/>
      <c r="Q8857" s="1"/>
      <c r="AD8857" s="1"/>
      <c r="AG8857" s="1"/>
      <c r="AI8857" s="1"/>
    </row>
    <row r="8858" spans="4:35" hidden="1">
      <c r="D8858" s="1"/>
      <c r="K8858" s="1"/>
      <c r="Q8858" s="1"/>
      <c r="AD8858" s="1"/>
      <c r="AG8858" s="1"/>
      <c r="AI8858" s="1"/>
    </row>
    <row r="8859" spans="4:35" hidden="1">
      <c r="D8859" s="1"/>
      <c r="K8859" s="1"/>
      <c r="Q8859" s="1"/>
      <c r="AD8859" s="1"/>
      <c r="AG8859" s="1"/>
      <c r="AI8859" s="1"/>
    </row>
    <row r="8860" spans="4:35" hidden="1">
      <c r="D8860" s="1"/>
      <c r="K8860" s="1"/>
      <c r="Q8860" s="1"/>
      <c r="AD8860" s="1"/>
      <c r="AG8860" s="1"/>
      <c r="AI8860" s="1"/>
    </row>
    <row r="8861" spans="4:35" hidden="1">
      <c r="D8861" s="1"/>
      <c r="K8861" s="1"/>
      <c r="Q8861" s="1"/>
      <c r="AD8861" s="1"/>
      <c r="AG8861" s="1"/>
      <c r="AI8861" s="1"/>
    </row>
    <row r="8862" spans="4:35" hidden="1">
      <c r="D8862" s="1"/>
      <c r="K8862" s="1"/>
      <c r="Q8862" s="1"/>
      <c r="AD8862" s="1"/>
      <c r="AG8862" s="1"/>
      <c r="AI8862" s="1"/>
    </row>
    <row r="8863" spans="4:35" hidden="1">
      <c r="D8863" s="1"/>
      <c r="K8863" s="1"/>
      <c r="Q8863" s="1"/>
      <c r="AD8863" s="1"/>
      <c r="AG8863" s="1"/>
      <c r="AI8863" s="1"/>
    </row>
    <row r="8864" spans="4:35" hidden="1">
      <c r="D8864" s="1"/>
      <c r="K8864" s="1"/>
      <c r="Q8864" s="1"/>
      <c r="AD8864" s="1"/>
      <c r="AG8864" s="1"/>
      <c r="AI8864" s="1"/>
    </row>
    <row r="8865" spans="4:35" hidden="1">
      <c r="D8865" s="1"/>
      <c r="K8865" s="1"/>
      <c r="Q8865" s="1"/>
      <c r="AD8865" s="1"/>
      <c r="AG8865" s="1"/>
      <c r="AI8865" s="1"/>
    </row>
    <row r="8866" spans="4:35" hidden="1">
      <c r="D8866" s="1"/>
      <c r="K8866" s="1"/>
      <c r="Q8866" s="1"/>
      <c r="AD8866" s="1"/>
      <c r="AG8866" s="1"/>
      <c r="AI8866" s="1"/>
    </row>
    <row r="8867" spans="4:35" hidden="1">
      <c r="D8867" s="1"/>
      <c r="K8867" s="1"/>
      <c r="Q8867" s="1"/>
      <c r="AD8867" s="1"/>
      <c r="AG8867" s="1"/>
      <c r="AI8867" s="1"/>
    </row>
    <row r="8868" spans="4:35" hidden="1">
      <c r="D8868" s="1"/>
      <c r="K8868" s="1"/>
      <c r="Q8868" s="1"/>
      <c r="AD8868" s="1"/>
      <c r="AG8868" s="1"/>
      <c r="AI8868" s="1"/>
    </row>
    <row r="8869" spans="4:35" hidden="1">
      <c r="D8869" s="1"/>
      <c r="K8869" s="1"/>
      <c r="Q8869" s="1"/>
      <c r="AD8869" s="1"/>
      <c r="AG8869" s="1"/>
      <c r="AI8869" s="1"/>
    </row>
    <row r="8870" spans="4:35" hidden="1">
      <c r="D8870" s="1"/>
      <c r="K8870" s="1"/>
      <c r="Q8870" s="1"/>
      <c r="AD8870" s="1"/>
      <c r="AG8870" s="1"/>
      <c r="AI8870" s="1"/>
    </row>
    <row r="8871" spans="4:35" hidden="1">
      <c r="D8871" s="1"/>
      <c r="K8871" s="1"/>
      <c r="Q8871" s="1"/>
      <c r="AD8871" s="1"/>
      <c r="AG8871" s="1"/>
      <c r="AI8871" s="1"/>
    </row>
    <row r="8872" spans="4:35" hidden="1">
      <c r="D8872" s="1"/>
      <c r="K8872" s="1"/>
      <c r="Q8872" s="1"/>
      <c r="AD8872" s="1"/>
      <c r="AG8872" s="1"/>
      <c r="AI8872" s="1"/>
    </row>
    <row r="8873" spans="4:35" hidden="1">
      <c r="D8873" s="1"/>
      <c r="K8873" s="1"/>
      <c r="Q8873" s="1"/>
      <c r="AD8873" s="1"/>
      <c r="AG8873" s="1"/>
      <c r="AI8873" s="1"/>
    </row>
    <row r="8874" spans="4:35" hidden="1">
      <c r="D8874" s="1"/>
      <c r="K8874" s="1"/>
      <c r="Q8874" s="1"/>
      <c r="AD8874" s="1"/>
      <c r="AG8874" s="1"/>
      <c r="AI8874" s="1"/>
    </row>
    <row r="8875" spans="4:35" hidden="1">
      <c r="D8875" s="1"/>
      <c r="K8875" s="1"/>
      <c r="Q8875" s="1"/>
      <c r="AD8875" s="1"/>
      <c r="AG8875" s="1"/>
      <c r="AI8875" s="1"/>
    </row>
    <row r="8876" spans="4:35" hidden="1">
      <c r="D8876" s="1"/>
      <c r="K8876" s="1"/>
      <c r="Q8876" s="1"/>
      <c r="AD8876" s="1"/>
      <c r="AG8876" s="1"/>
      <c r="AI8876" s="1"/>
    </row>
    <row r="8877" spans="4:35" hidden="1">
      <c r="D8877" s="1"/>
      <c r="K8877" s="1"/>
      <c r="Q8877" s="1"/>
      <c r="AD8877" s="1"/>
      <c r="AG8877" s="1"/>
      <c r="AI8877" s="1"/>
    </row>
    <row r="8878" spans="4:35" hidden="1">
      <c r="D8878" s="1"/>
      <c r="K8878" s="1"/>
      <c r="Q8878" s="1"/>
      <c r="AD8878" s="1"/>
      <c r="AG8878" s="1"/>
      <c r="AI8878" s="1"/>
    </row>
    <row r="8879" spans="4:35" hidden="1">
      <c r="D8879" s="1"/>
      <c r="K8879" s="1"/>
      <c r="Q8879" s="1"/>
      <c r="AD8879" s="1"/>
      <c r="AG8879" s="1"/>
      <c r="AI8879" s="1"/>
    </row>
    <row r="8880" spans="4:35" hidden="1">
      <c r="D8880" s="1"/>
      <c r="K8880" s="1"/>
      <c r="Q8880" s="1"/>
      <c r="AD8880" s="1"/>
      <c r="AG8880" s="1"/>
      <c r="AI8880" s="1"/>
    </row>
    <row r="8881" spans="4:35" hidden="1">
      <c r="D8881" s="1"/>
      <c r="K8881" s="1"/>
      <c r="Q8881" s="1"/>
      <c r="AD8881" s="1"/>
      <c r="AG8881" s="1"/>
      <c r="AI8881" s="1"/>
    </row>
    <row r="8882" spans="4:35" hidden="1">
      <c r="D8882" s="1"/>
      <c r="K8882" s="1"/>
      <c r="Q8882" s="1"/>
      <c r="AD8882" s="1"/>
      <c r="AG8882" s="1"/>
      <c r="AI8882" s="1"/>
    </row>
    <row r="8883" spans="4:35" hidden="1">
      <c r="D8883" s="1"/>
      <c r="K8883" s="1"/>
      <c r="Q8883" s="1"/>
      <c r="AD8883" s="1"/>
      <c r="AG8883" s="1"/>
      <c r="AI8883" s="1"/>
    </row>
    <row r="8884" spans="4:35" hidden="1">
      <c r="D8884" s="1"/>
      <c r="K8884" s="1"/>
      <c r="Q8884" s="1"/>
      <c r="AD8884" s="1"/>
      <c r="AG8884" s="1"/>
      <c r="AI8884" s="1"/>
    </row>
    <row r="8885" spans="4:35" hidden="1">
      <c r="D8885" s="1"/>
      <c r="K8885" s="1"/>
      <c r="Q8885" s="1"/>
      <c r="AD8885" s="1"/>
      <c r="AG8885" s="1"/>
      <c r="AI8885" s="1"/>
    </row>
    <row r="8886" spans="4:35" hidden="1">
      <c r="D8886" s="1"/>
      <c r="K8886" s="1"/>
      <c r="Q8886" s="1"/>
      <c r="AD8886" s="1"/>
      <c r="AG8886" s="1"/>
      <c r="AI8886" s="1"/>
    </row>
    <row r="8887" spans="4:35" hidden="1">
      <c r="D8887" s="1"/>
      <c r="K8887" s="1"/>
      <c r="Q8887" s="1"/>
      <c r="AD8887" s="1"/>
      <c r="AG8887" s="1"/>
      <c r="AI8887" s="1"/>
    </row>
    <row r="8888" spans="4:35" hidden="1">
      <c r="D8888" s="1"/>
      <c r="K8888" s="1"/>
      <c r="Q8888" s="1"/>
      <c r="AD8888" s="1"/>
      <c r="AG8888" s="1"/>
      <c r="AI8888" s="1"/>
    </row>
    <row r="8889" spans="4:35" hidden="1">
      <c r="D8889" s="1"/>
      <c r="K8889" s="1"/>
      <c r="Q8889" s="1"/>
      <c r="AD8889" s="1"/>
      <c r="AG8889" s="1"/>
      <c r="AI8889" s="1"/>
    </row>
    <row r="8890" spans="4:35" hidden="1">
      <c r="D8890" s="1"/>
      <c r="K8890" s="1"/>
      <c r="Q8890" s="1"/>
      <c r="AD8890" s="1"/>
      <c r="AG8890" s="1"/>
      <c r="AI8890" s="1"/>
    </row>
    <row r="8891" spans="4:35" hidden="1">
      <c r="D8891" s="1"/>
      <c r="K8891" s="1"/>
      <c r="Q8891" s="1"/>
      <c r="AD8891" s="1"/>
      <c r="AG8891" s="1"/>
      <c r="AI8891" s="1"/>
    </row>
    <row r="8892" spans="4:35" hidden="1">
      <c r="D8892" s="1"/>
      <c r="K8892" s="1"/>
      <c r="Q8892" s="1"/>
      <c r="AD8892" s="1"/>
      <c r="AG8892" s="1"/>
      <c r="AI8892" s="1"/>
    </row>
    <row r="8893" spans="4:35" hidden="1">
      <c r="D8893" s="1"/>
      <c r="K8893" s="1"/>
      <c r="Q8893" s="1"/>
      <c r="AD8893" s="1"/>
      <c r="AG8893" s="1"/>
      <c r="AI8893" s="1"/>
    </row>
    <row r="8894" spans="4:35" hidden="1">
      <c r="D8894" s="1"/>
      <c r="K8894" s="1"/>
      <c r="Q8894" s="1"/>
      <c r="AD8894" s="1"/>
      <c r="AG8894" s="1"/>
      <c r="AI8894" s="1"/>
    </row>
    <row r="8895" spans="4:35" hidden="1">
      <c r="D8895" s="1"/>
      <c r="K8895" s="1"/>
      <c r="Q8895" s="1"/>
      <c r="AD8895" s="1"/>
      <c r="AG8895" s="1"/>
      <c r="AI8895" s="1"/>
    </row>
    <row r="8896" spans="4:35" hidden="1">
      <c r="D8896" s="1"/>
      <c r="K8896" s="1"/>
      <c r="Q8896" s="1"/>
      <c r="AD8896" s="1"/>
      <c r="AG8896" s="1"/>
      <c r="AI8896" s="1"/>
    </row>
    <row r="8897" spans="4:35" hidden="1">
      <c r="D8897" s="1"/>
      <c r="K8897" s="1"/>
      <c r="Q8897" s="1"/>
      <c r="AD8897" s="1"/>
      <c r="AG8897" s="1"/>
      <c r="AI8897" s="1"/>
    </row>
    <row r="8898" spans="4:35" hidden="1">
      <c r="D8898" s="1"/>
      <c r="K8898" s="1"/>
      <c r="Q8898" s="1"/>
      <c r="AD8898" s="1"/>
      <c r="AG8898" s="1"/>
      <c r="AI8898" s="1"/>
    </row>
    <row r="8899" spans="4:35" hidden="1">
      <c r="D8899" s="1"/>
      <c r="K8899" s="1"/>
      <c r="Q8899" s="1"/>
      <c r="AD8899" s="1"/>
      <c r="AG8899" s="1"/>
      <c r="AI8899" s="1"/>
    </row>
    <row r="8900" spans="4:35" hidden="1">
      <c r="D8900" s="1"/>
      <c r="K8900" s="1"/>
      <c r="Q8900" s="1"/>
      <c r="AD8900" s="1"/>
      <c r="AG8900" s="1"/>
      <c r="AI8900" s="1"/>
    </row>
    <row r="8901" spans="4:35" hidden="1">
      <c r="D8901" s="1"/>
      <c r="K8901" s="1"/>
      <c r="Q8901" s="1"/>
      <c r="AD8901" s="1"/>
      <c r="AG8901" s="1"/>
      <c r="AI8901" s="1"/>
    </row>
    <row r="8902" spans="4:35" hidden="1">
      <c r="D8902" s="1"/>
      <c r="K8902" s="1"/>
      <c r="Q8902" s="1"/>
      <c r="AD8902" s="1"/>
      <c r="AG8902" s="1"/>
      <c r="AI8902" s="1"/>
    </row>
    <row r="8903" spans="4:35" hidden="1">
      <c r="D8903" s="1"/>
      <c r="K8903" s="1"/>
      <c r="Q8903" s="1"/>
      <c r="AD8903" s="1"/>
      <c r="AG8903" s="1"/>
      <c r="AI8903" s="1"/>
    </row>
    <row r="8904" spans="4:35" hidden="1">
      <c r="D8904" s="1"/>
      <c r="K8904" s="1"/>
      <c r="Q8904" s="1"/>
      <c r="AD8904" s="1"/>
      <c r="AG8904" s="1"/>
      <c r="AI8904" s="1"/>
    </row>
    <row r="8905" spans="4:35" hidden="1">
      <c r="D8905" s="1"/>
      <c r="K8905" s="1"/>
      <c r="Q8905" s="1"/>
      <c r="AD8905" s="1"/>
      <c r="AG8905" s="1"/>
      <c r="AI8905" s="1"/>
    </row>
    <row r="8906" spans="4:35" hidden="1">
      <c r="D8906" s="1"/>
      <c r="K8906" s="1"/>
      <c r="Q8906" s="1"/>
      <c r="AD8906" s="1"/>
      <c r="AG8906" s="1"/>
      <c r="AI8906" s="1"/>
    </row>
    <row r="8907" spans="4:35" hidden="1">
      <c r="D8907" s="1"/>
      <c r="K8907" s="1"/>
      <c r="Q8907" s="1"/>
      <c r="AD8907" s="1"/>
      <c r="AG8907" s="1"/>
      <c r="AI8907" s="1"/>
    </row>
    <row r="8908" spans="4:35" hidden="1">
      <c r="D8908" s="1"/>
      <c r="K8908" s="1"/>
      <c r="Q8908" s="1"/>
      <c r="AD8908" s="1"/>
      <c r="AG8908" s="1"/>
      <c r="AI8908" s="1"/>
    </row>
    <row r="8909" spans="4:35" hidden="1">
      <c r="D8909" s="1"/>
      <c r="K8909" s="1"/>
      <c r="Q8909" s="1"/>
      <c r="AD8909" s="1"/>
      <c r="AG8909" s="1"/>
      <c r="AI8909" s="1"/>
    </row>
    <row r="8910" spans="4:35" hidden="1">
      <c r="D8910" s="1"/>
      <c r="K8910" s="1"/>
      <c r="Q8910" s="1"/>
      <c r="AD8910" s="1"/>
      <c r="AG8910" s="1"/>
      <c r="AI8910" s="1"/>
    </row>
    <row r="8911" spans="4:35" hidden="1">
      <c r="D8911" s="1"/>
      <c r="K8911" s="1"/>
      <c r="Q8911" s="1"/>
      <c r="AD8911" s="1"/>
      <c r="AG8911" s="1"/>
      <c r="AI8911" s="1"/>
    </row>
    <row r="8912" spans="4:35" hidden="1">
      <c r="D8912" s="1"/>
      <c r="K8912" s="1"/>
      <c r="Q8912" s="1"/>
      <c r="AD8912" s="1"/>
      <c r="AG8912" s="1"/>
      <c r="AI8912" s="1"/>
    </row>
    <row r="8913" spans="4:35" hidden="1">
      <c r="D8913" s="1"/>
      <c r="K8913" s="1"/>
      <c r="Q8913" s="1"/>
      <c r="AD8913" s="1"/>
      <c r="AG8913" s="1"/>
      <c r="AI8913" s="1"/>
    </row>
    <row r="8914" spans="4:35" hidden="1">
      <c r="D8914" s="1"/>
      <c r="K8914" s="1"/>
      <c r="Q8914" s="1"/>
      <c r="AD8914" s="1"/>
      <c r="AG8914" s="1"/>
      <c r="AI8914" s="1"/>
    </row>
    <row r="8915" spans="4:35" hidden="1">
      <c r="D8915" s="1"/>
      <c r="K8915" s="1"/>
      <c r="Q8915" s="1"/>
      <c r="AD8915" s="1"/>
      <c r="AG8915" s="1"/>
      <c r="AI8915" s="1"/>
    </row>
    <row r="8916" spans="4:35" hidden="1">
      <c r="D8916" s="1"/>
      <c r="K8916" s="1"/>
      <c r="Q8916" s="1"/>
      <c r="AD8916" s="1"/>
      <c r="AG8916" s="1"/>
      <c r="AI8916" s="1"/>
    </row>
    <row r="8917" spans="4:35" hidden="1">
      <c r="D8917" s="1"/>
      <c r="K8917" s="1"/>
      <c r="Q8917" s="1"/>
      <c r="AD8917" s="1"/>
      <c r="AG8917" s="1"/>
      <c r="AI8917" s="1"/>
    </row>
    <row r="8918" spans="4:35" hidden="1">
      <c r="D8918" s="1"/>
      <c r="K8918" s="1"/>
      <c r="Q8918" s="1"/>
      <c r="AD8918" s="1"/>
      <c r="AG8918" s="1"/>
      <c r="AI8918" s="1"/>
    </row>
    <row r="8919" spans="4:35" hidden="1">
      <c r="D8919" s="1"/>
      <c r="K8919" s="1"/>
      <c r="Q8919" s="1"/>
      <c r="AD8919" s="1"/>
      <c r="AG8919" s="1"/>
      <c r="AI8919" s="1"/>
    </row>
    <row r="8920" spans="4:35" hidden="1">
      <c r="D8920" s="1"/>
      <c r="K8920" s="1"/>
      <c r="Q8920" s="1"/>
      <c r="AD8920" s="1"/>
      <c r="AG8920" s="1"/>
      <c r="AI8920" s="1"/>
    </row>
    <row r="8921" spans="4:35" hidden="1">
      <c r="D8921" s="1"/>
      <c r="K8921" s="1"/>
      <c r="Q8921" s="1"/>
      <c r="AD8921" s="1"/>
      <c r="AG8921" s="1"/>
      <c r="AI8921" s="1"/>
    </row>
    <row r="8922" spans="4:35" hidden="1">
      <c r="D8922" s="1"/>
      <c r="K8922" s="1"/>
      <c r="Q8922" s="1"/>
      <c r="AD8922" s="1"/>
      <c r="AG8922" s="1"/>
      <c r="AI8922" s="1"/>
    </row>
    <row r="8923" spans="4:35" hidden="1">
      <c r="D8923" s="1"/>
      <c r="K8923" s="1"/>
      <c r="Q8923" s="1"/>
      <c r="AD8923" s="1"/>
      <c r="AG8923" s="1"/>
      <c r="AI8923" s="1"/>
    </row>
    <row r="8924" spans="4:35" hidden="1">
      <c r="D8924" s="1"/>
      <c r="K8924" s="1"/>
      <c r="Q8924" s="1"/>
      <c r="AD8924" s="1"/>
      <c r="AG8924" s="1"/>
      <c r="AI8924" s="1"/>
    </row>
    <row r="8925" spans="4:35" hidden="1">
      <c r="D8925" s="1"/>
      <c r="K8925" s="1"/>
      <c r="Q8925" s="1"/>
      <c r="AD8925" s="1"/>
      <c r="AG8925" s="1"/>
      <c r="AI8925" s="1"/>
    </row>
    <row r="8926" spans="4:35" hidden="1">
      <c r="D8926" s="1"/>
      <c r="K8926" s="1"/>
      <c r="Q8926" s="1"/>
      <c r="AD8926" s="1"/>
      <c r="AG8926" s="1"/>
      <c r="AI8926" s="1"/>
    </row>
    <row r="8927" spans="4:35" hidden="1">
      <c r="D8927" s="1"/>
      <c r="K8927" s="1"/>
      <c r="Q8927" s="1"/>
      <c r="AD8927" s="1"/>
      <c r="AG8927" s="1"/>
      <c r="AI8927" s="1"/>
    </row>
    <row r="8928" spans="4:35" hidden="1">
      <c r="D8928" s="1"/>
      <c r="K8928" s="1"/>
      <c r="Q8928" s="1"/>
      <c r="AD8928" s="1"/>
      <c r="AG8928" s="1"/>
      <c r="AI8928" s="1"/>
    </row>
    <row r="8929" spans="4:35" hidden="1">
      <c r="D8929" s="1"/>
      <c r="K8929" s="1"/>
      <c r="Q8929" s="1"/>
      <c r="AD8929" s="1"/>
      <c r="AG8929" s="1"/>
      <c r="AI8929" s="1"/>
    </row>
    <row r="8930" spans="4:35" hidden="1">
      <c r="D8930" s="1"/>
      <c r="K8930" s="1"/>
      <c r="Q8930" s="1"/>
      <c r="AD8930" s="1"/>
      <c r="AG8930" s="1"/>
      <c r="AI8930" s="1"/>
    </row>
    <row r="8931" spans="4:35" hidden="1">
      <c r="D8931" s="1"/>
      <c r="K8931" s="1"/>
      <c r="Q8931" s="1"/>
      <c r="AD8931" s="1"/>
      <c r="AG8931" s="1"/>
      <c r="AI8931" s="1"/>
    </row>
    <row r="8932" spans="4:35" hidden="1">
      <c r="D8932" s="1"/>
      <c r="K8932" s="1"/>
      <c r="Q8932" s="1"/>
      <c r="AD8932" s="1"/>
      <c r="AG8932" s="1"/>
      <c r="AI8932" s="1"/>
    </row>
    <row r="8933" spans="4:35" hidden="1">
      <c r="D8933" s="1"/>
      <c r="K8933" s="1"/>
      <c r="Q8933" s="1"/>
      <c r="AD8933" s="1"/>
      <c r="AG8933" s="1"/>
      <c r="AI8933" s="1"/>
    </row>
    <row r="8934" spans="4:35" hidden="1">
      <c r="D8934" s="1"/>
      <c r="K8934" s="1"/>
      <c r="Q8934" s="1"/>
      <c r="AD8934" s="1"/>
      <c r="AG8934" s="1"/>
      <c r="AI8934" s="1"/>
    </row>
    <row r="8935" spans="4:35" hidden="1">
      <c r="D8935" s="1"/>
      <c r="K8935" s="1"/>
      <c r="Q8935" s="1"/>
      <c r="AD8935" s="1"/>
      <c r="AG8935" s="1"/>
      <c r="AI8935" s="1"/>
    </row>
    <row r="8936" spans="4:35" hidden="1">
      <c r="D8936" s="1"/>
      <c r="K8936" s="1"/>
      <c r="Q8936" s="1"/>
      <c r="AD8936" s="1"/>
      <c r="AG8936" s="1"/>
      <c r="AI8936" s="1"/>
    </row>
    <row r="8937" spans="4:35" hidden="1">
      <c r="D8937" s="1"/>
      <c r="K8937" s="1"/>
      <c r="Q8937" s="1"/>
      <c r="AD8937" s="1"/>
      <c r="AG8937" s="1"/>
      <c r="AI8937" s="1"/>
    </row>
    <row r="8938" spans="4:35" hidden="1">
      <c r="D8938" s="1"/>
      <c r="K8938" s="1"/>
      <c r="Q8938" s="1"/>
      <c r="AD8938" s="1"/>
      <c r="AG8938" s="1"/>
      <c r="AI8938" s="1"/>
    </row>
    <row r="8939" spans="4:35" hidden="1">
      <c r="D8939" s="1"/>
      <c r="K8939" s="1"/>
      <c r="Q8939" s="1"/>
      <c r="AD8939" s="1"/>
      <c r="AG8939" s="1"/>
      <c r="AI8939" s="1"/>
    </row>
    <row r="8940" spans="4:35" hidden="1">
      <c r="D8940" s="1"/>
      <c r="K8940" s="1"/>
      <c r="Q8940" s="1"/>
      <c r="AD8940" s="1"/>
      <c r="AG8940" s="1"/>
      <c r="AI8940" s="1"/>
    </row>
    <row r="8941" spans="4:35" hidden="1">
      <c r="D8941" s="1"/>
      <c r="K8941" s="1"/>
      <c r="Q8941" s="1"/>
      <c r="AD8941" s="1"/>
      <c r="AG8941" s="1"/>
      <c r="AI8941" s="1"/>
    </row>
    <row r="8942" spans="4:35" hidden="1">
      <c r="D8942" s="1"/>
      <c r="K8942" s="1"/>
      <c r="Q8942" s="1"/>
      <c r="AD8942" s="1"/>
      <c r="AG8942" s="1"/>
      <c r="AI8942" s="1"/>
    </row>
    <row r="8943" spans="4:35" hidden="1">
      <c r="D8943" s="1"/>
      <c r="K8943" s="1"/>
      <c r="Q8943" s="1"/>
      <c r="AD8943" s="1"/>
      <c r="AG8943" s="1"/>
      <c r="AI8943" s="1"/>
    </row>
    <row r="8944" spans="4:35" hidden="1">
      <c r="D8944" s="1"/>
      <c r="K8944" s="1"/>
      <c r="Q8944" s="1"/>
      <c r="AD8944" s="1"/>
      <c r="AG8944" s="1"/>
      <c r="AI8944" s="1"/>
    </row>
    <row r="8945" spans="4:35" hidden="1">
      <c r="D8945" s="1"/>
      <c r="K8945" s="1"/>
      <c r="Q8945" s="1"/>
      <c r="AD8945" s="1"/>
      <c r="AG8945" s="1"/>
      <c r="AI8945" s="1"/>
    </row>
    <row r="8946" spans="4:35" hidden="1">
      <c r="D8946" s="1"/>
      <c r="K8946" s="1"/>
      <c r="Q8946" s="1"/>
      <c r="AD8946" s="1"/>
      <c r="AG8946" s="1"/>
      <c r="AI8946" s="1"/>
    </row>
    <row r="8947" spans="4:35" hidden="1">
      <c r="D8947" s="1"/>
      <c r="K8947" s="1"/>
      <c r="Q8947" s="1"/>
      <c r="AD8947" s="1"/>
      <c r="AG8947" s="1"/>
      <c r="AI8947" s="1"/>
    </row>
    <row r="8948" spans="4:35" hidden="1">
      <c r="D8948" s="1"/>
      <c r="K8948" s="1"/>
      <c r="Q8948" s="1"/>
      <c r="AD8948" s="1"/>
      <c r="AG8948" s="1"/>
      <c r="AI8948" s="1"/>
    </row>
    <row r="8949" spans="4:35" hidden="1">
      <c r="D8949" s="1"/>
      <c r="K8949" s="1"/>
      <c r="Q8949" s="1"/>
      <c r="AD8949" s="1"/>
      <c r="AG8949" s="1"/>
      <c r="AI8949" s="1"/>
    </row>
    <row r="8950" spans="4:35" hidden="1">
      <c r="D8950" s="1"/>
      <c r="K8950" s="1"/>
      <c r="Q8950" s="1"/>
      <c r="AD8950" s="1"/>
      <c r="AG8950" s="1"/>
      <c r="AI8950" s="1"/>
    </row>
    <row r="8951" spans="4:35" hidden="1">
      <c r="D8951" s="1"/>
      <c r="K8951" s="1"/>
      <c r="Q8951" s="1"/>
      <c r="AD8951" s="1"/>
      <c r="AG8951" s="1"/>
      <c r="AI8951" s="1"/>
    </row>
    <row r="8952" spans="4:35" hidden="1">
      <c r="D8952" s="1"/>
      <c r="K8952" s="1"/>
      <c r="Q8952" s="1"/>
      <c r="AD8952" s="1"/>
      <c r="AG8952" s="1"/>
      <c r="AI8952" s="1"/>
    </row>
    <row r="8953" spans="4:35" hidden="1">
      <c r="D8953" s="1"/>
      <c r="K8953" s="1"/>
      <c r="Q8953" s="1"/>
      <c r="AD8953" s="1"/>
      <c r="AG8953" s="1"/>
      <c r="AI8953" s="1"/>
    </row>
    <row r="8954" spans="4:35" hidden="1">
      <c r="D8954" s="1"/>
      <c r="K8954" s="1"/>
      <c r="Q8954" s="1"/>
      <c r="AD8954" s="1"/>
      <c r="AG8954" s="1"/>
      <c r="AI8954" s="1"/>
    </row>
    <row r="8955" spans="4:35" hidden="1">
      <c r="D8955" s="1"/>
      <c r="K8955" s="1"/>
      <c r="Q8955" s="1"/>
      <c r="AD8955" s="1"/>
      <c r="AG8955" s="1"/>
      <c r="AI8955" s="1"/>
    </row>
    <row r="8956" spans="4:35" hidden="1">
      <c r="D8956" s="1"/>
      <c r="K8956" s="1"/>
      <c r="Q8956" s="1"/>
      <c r="AD8956" s="1"/>
      <c r="AG8956" s="1"/>
      <c r="AI8956" s="1"/>
    </row>
    <row r="8957" spans="4:35" hidden="1">
      <c r="D8957" s="1"/>
      <c r="K8957" s="1"/>
      <c r="Q8957" s="1"/>
      <c r="AD8957" s="1"/>
      <c r="AG8957" s="1"/>
      <c r="AI8957" s="1"/>
    </row>
    <row r="8958" spans="4:35" hidden="1">
      <c r="D8958" s="1"/>
      <c r="K8958" s="1"/>
      <c r="Q8958" s="1"/>
      <c r="AD8958" s="1"/>
      <c r="AG8958" s="1"/>
      <c r="AI8958" s="1"/>
    </row>
    <row r="8959" spans="4:35" hidden="1">
      <c r="D8959" s="1"/>
      <c r="K8959" s="1"/>
      <c r="Q8959" s="1"/>
      <c r="AD8959" s="1"/>
      <c r="AG8959" s="1"/>
      <c r="AI8959" s="1"/>
    </row>
    <row r="8960" spans="4:35" hidden="1">
      <c r="D8960" s="1"/>
      <c r="K8960" s="1"/>
      <c r="Q8960" s="1"/>
      <c r="AD8960" s="1"/>
      <c r="AG8960" s="1"/>
      <c r="AI8960" s="1"/>
    </row>
    <row r="8961" spans="4:35" hidden="1">
      <c r="D8961" s="1"/>
      <c r="K8961" s="1"/>
      <c r="Q8961" s="1"/>
      <c r="AD8961" s="1"/>
      <c r="AG8961" s="1"/>
      <c r="AI8961" s="1"/>
    </row>
    <row r="8962" spans="4:35" hidden="1">
      <c r="D8962" s="1"/>
      <c r="K8962" s="1"/>
      <c r="Q8962" s="1"/>
      <c r="AD8962" s="1"/>
      <c r="AG8962" s="1"/>
      <c r="AI8962" s="1"/>
    </row>
    <row r="8963" spans="4:35" hidden="1">
      <c r="D8963" s="1"/>
      <c r="K8963" s="1"/>
      <c r="Q8963" s="1"/>
      <c r="AD8963" s="1"/>
      <c r="AG8963" s="1"/>
      <c r="AI8963" s="1"/>
    </row>
    <row r="8964" spans="4:35" hidden="1">
      <c r="D8964" s="1"/>
      <c r="K8964" s="1"/>
      <c r="Q8964" s="1"/>
      <c r="AD8964" s="1"/>
      <c r="AG8964" s="1"/>
      <c r="AI8964" s="1"/>
    </row>
    <row r="8965" spans="4:35" hidden="1">
      <c r="D8965" s="1"/>
      <c r="K8965" s="1"/>
      <c r="Q8965" s="1"/>
      <c r="AD8965" s="1"/>
      <c r="AG8965" s="1"/>
      <c r="AI8965" s="1"/>
    </row>
    <row r="8966" spans="4:35" hidden="1">
      <c r="D8966" s="1"/>
      <c r="K8966" s="1"/>
      <c r="Q8966" s="1"/>
      <c r="AD8966" s="1"/>
      <c r="AG8966" s="1"/>
      <c r="AI8966" s="1"/>
    </row>
    <row r="8967" spans="4:35" hidden="1">
      <c r="D8967" s="1"/>
      <c r="K8967" s="1"/>
      <c r="Q8967" s="1"/>
      <c r="AD8967" s="1"/>
      <c r="AG8967" s="1"/>
      <c r="AI8967" s="1"/>
    </row>
    <row r="8968" spans="4:35" hidden="1">
      <c r="D8968" s="1"/>
      <c r="K8968" s="1"/>
      <c r="Q8968" s="1"/>
      <c r="AD8968" s="1"/>
      <c r="AG8968" s="1"/>
      <c r="AI8968" s="1"/>
    </row>
    <row r="8969" spans="4:35" hidden="1">
      <c r="D8969" s="1"/>
      <c r="K8969" s="1"/>
      <c r="Q8969" s="1"/>
      <c r="AD8969" s="1"/>
      <c r="AG8969" s="1"/>
      <c r="AI8969" s="1"/>
    </row>
    <row r="8970" spans="4:35" hidden="1">
      <c r="D8970" s="1"/>
      <c r="K8970" s="1"/>
      <c r="Q8970" s="1"/>
      <c r="AD8970" s="1"/>
      <c r="AG8970" s="1"/>
      <c r="AI8970" s="1"/>
    </row>
    <row r="8971" spans="4:35" hidden="1">
      <c r="D8971" s="1"/>
      <c r="K8971" s="1"/>
      <c r="Q8971" s="1"/>
      <c r="AD8971" s="1"/>
      <c r="AG8971" s="1"/>
      <c r="AI8971" s="1"/>
    </row>
    <row r="8972" spans="4:35" hidden="1">
      <c r="D8972" s="1"/>
      <c r="K8972" s="1"/>
      <c r="Q8972" s="1"/>
      <c r="AD8972" s="1"/>
      <c r="AG8972" s="1"/>
      <c r="AI8972" s="1"/>
    </row>
    <row r="8973" spans="4:35" hidden="1">
      <c r="D8973" s="1"/>
      <c r="K8973" s="1"/>
      <c r="Q8973" s="1"/>
      <c r="AD8973" s="1"/>
      <c r="AG8973" s="1"/>
      <c r="AI8973" s="1"/>
    </row>
    <row r="8974" spans="4:35" hidden="1">
      <c r="D8974" s="1"/>
      <c r="K8974" s="1"/>
      <c r="Q8974" s="1"/>
      <c r="AD8974" s="1"/>
      <c r="AG8974" s="1"/>
      <c r="AI8974" s="1"/>
    </row>
    <row r="8975" spans="4:35" hidden="1">
      <c r="D8975" s="1"/>
      <c r="K8975" s="1"/>
      <c r="Q8975" s="1"/>
      <c r="AD8975" s="1"/>
      <c r="AG8975" s="1"/>
      <c r="AI8975" s="1"/>
    </row>
    <row r="8976" spans="4:35" hidden="1">
      <c r="D8976" s="1"/>
      <c r="K8976" s="1"/>
      <c r="Q8976" s="1"/>
      <c r="AD8976" s="1"/>
      <c r="AG8976" s="1"/>
      <c r="AI8976" s="1"/>
    </row>
    <row r="8977" spans="4:35" hidden="1">
      <c r="D8977" s="1"/>
      <c r="K8977" s="1"/>
      <c r="Q8977" s="1"/>
      <c r="AD8977" s="1"/>
      <c r="AG8977" s="1"/>
      <c r="AI8977" s="1"/>
    </row>
    <row r="8978" spans="4:35" hidden="1">
      <c r="D8978" s="1"/>
      <c r="K8978" s="1"/>
      <c r="Q8978" s="1"/>
      <c r="AD8978" s="1"/>
      <c r="AG8978" s="1"/>
      <c r="AI8978" s="1"/>
    </row>
    <row r="8979" spans="4:35" hidden="1">
      <c r="D8979" s="1"/>
      <c r="K8979" s="1"/>
      <c r="Q8979" s="1"/>
      <c r="AD8979" s="1"/>
      <c r="AG8979" s="1"/>
      <c r="AI8979" s="1"/>
    </row>
    <row r="8980" spans="4:35" hidden="1">
      <c r="D8980" s="1"/>
      <c r="K8980" s="1"/>
      <c r="Q8980" s="1"/>
      <c r="AD8980" s="1"/>
      <c r="AG8980" s="1"/>
      <c r="AI8980" s="1"/>
    </row>
    <row r="8981" spans="4:35" hidden="1">
      <c r="D8981" s="1"/>
      <c r="K8981" s="1"/>
      <c r="Q8981" s="1"/>
      <c r="AD8981" s="1"/>
      <c r="AG8981" s="1"/>
      <c r="AI8981" s="1"/>
    </row>
    <row r="8982" spans="4:35" hidden="1">
      <c r="D8982" s="1"/>
      <c r="K8982" s="1"/>
      <c r="Q8982" s="1"/>
      <c r="AD8982" s="1"/>
      <c r="AG8982" s="1"/>
      <c r="AI8982" s="1"/>
    </row>
    <row r="8983" spans="4:35" hidden="1">
      <c r="D8983" s="1"/>
      <c r="K8983" s="1"/>
      <c r="Q8983" s="1"/>
      <c r="AD8983" s="1"/>
      <c r="AG8983" s="1"/>
      <c r="AI8983" s="1"/>
    </row>
    <row r="8984" spans="4:35" hidden="1">
      <c r="D8984" s="1"/>
      <c r="K8984" s="1"/>
      <c r="Q8984" s="1"/>
      <c r="AD8984" s="1"/>
      <c r="AG8984" s="1"/>
      <c r="AI8984" s="1"/>
    </row>
    <row r="8985" spans="4:35" hidden="1">
      <c r="D8985" s="1"/>
      <c r="K8985" s="1"/>
      <c r="Q8985" s="1"/>
      <c r="AD8985" s="1"/>
      <c r="AG8985" s="1"/>
      <c r="AI8985" s="1"/>
    </row>
    <row r="8986" spans="4:35" hidden="1">
      <c r="D8986" s="1"/>
      <c r="K8986" s="1"/>
      <c r="Q8986" s="1"/>
      <c r="AD8986" s="1"/>
      <c r="AG8986" s="1"/>
      <c r="AI8986" s="1"/>
    </row>
    <row r="8987" spans="4:35" hidden="1">
      <c r="D8987" s="1"/>
      <c r="K8987" s="1"/>
      <c r="Q8987" s="1"/>
      <c r="AD8987" s="1"/>
      <c r="AG8987" s="1"/>
      <c r="AI8987" s="1"/>
    </row>
    <row r="8988" spans="4:35" hidden="1">
      <c r="D8988" s="1"/>
      <c r="K8988" s="1"/>
      <c r="Q8988" s="1"/>
      <c r="AD8988" s="1"/>
      <c r="AG8988" s="1"/>
      <c r="AI8988" s="1"/>
    </row>
    <row r="8989" spans="4:35" hidden="1">
      <c r="D8989" s="1"/>
      <c r="K8989" s="1"/>
      <c r="Q8989" s="1"/>
      <c r="AD8989" s="1"/>
      <c r="AG8989" s="1"/>
      <c r="AI8989" s="1"/>
    </row>
    <row r="8990" spans="4:35" hidden="1">
      <c r="D8990" s="1"/>
      <c r="K8990" s="1"/>
      <c r="Q8990" s="1"/>
      <c r="AD8990" s="1"/>
      <c r="AG8990" s="1"/>
      <c r="AI8990" s="1"/>
    </row>
    <row r="8991" spans="4:35" hidden="1">
      <c r="D8991" s="1"/>
      <c r="K8991" s="1"/>
      <c r="Q8991" s="1"/>
      <c r="AD8991" s="1"/>
      <c r="AG8991" s="1"/>
      <c r="AI8991" s="1"/>
    </row>
    <row r="8992" spans="4:35" hidden="1">
      <c r="D8992" s="1"/>
      <c r="K8992" s="1"/>
      <c r="Q8992" s="1"/>
      <c r="AD8992" s="1"/>
      <c r="AG8992" s="1"/>
      <c r="AI8992" s="1"/>
    </row>
    <row r="8993" spans="4:35" hidden="1">
      <c r="D8993" s="1"/>
      <c r="K8993" s="1"/>
      <c r="Q8993" s="1"/>
      <c r="AD8993" s="1"/>
      <c r="AG8993" s="1"/>
      <c r="AI8993" s="1"/>
    </row>
    <row r="8994" spans="4:35" hidden="1">
      <c r="D8994" s="1"/>
      <c r="K8994" s="1"/>
      <c r="Q8994" s="1"/>
      <c r="AD8994" s="1"/>
      <c r="AG8994" s="1"/>
      <c r="AI8994" s="1"/>
    </row>
    <row r="8995" spans="4:35" hidden="1">
      <c r="D8995" s="1"/>
      <c r="K8995" s="1"/>
      <c r="Q8995" s="1"/>
      <c r="AD8995" s="1"/>
      <c r="AG8995" s="1"/>
      <c r="AI8995" s="1"/>
    </row>
    <row r="8996" spans="4:35" hidden="1">
      <c r="D8996" s="1"/>
      <c r="K8996" s="1"/>
      <c r="Q8996" s="1"/>
      <c r="AD8996" s="1"/>
      <c r="AG8996" s="1"/>
      <c r="AI8996" s="1"/>
    </row>
    <row r="8997" spans="4:35" hidden="1">
      <c r="D8997" s="1"/>
      <c r="K8997" s="1"/>
      <c r="Q8997" s="1"/>
      <c r="AD8997" s="1"/>
      <c r="AG8997" s="1"/>
      <c r="AI8997" s="1"/>
    </row>
    <row r="8998" spans="4:35" hidden="1">
      <c r="D8998" s="1"/>
      <c r="K8998" s="1"/>
      <c r="Q8998" s="1"/>
      <c r="AD8998" s="1"/>
      <c r="AG8998" s="1"/>
      <c r="AI8998" s="1"/>
    </row>
    <row r="8999" spans="4:35" hidden="1">
      <c r="D8999" s="1"/>
      <c r="K8999" s="1"/>
      <c r="Q8999" s="1"/>
      <c r="AD8999" s="1"/>
      <c r="AG8999" s="1"/>
      <c r="AI8999" s="1"/>
    </row>
    <row r="9000" spans="4:35" hidden="1">
      <c r="D9000" s="1"/>
      <c r="K9000" s="1"/>
      <c r="Q9000" s="1"/>
      <c r="AD9000" s="1"/>
      <c r="AG9000" s="1"/>
      <c r="AI9000" s="1"/>
    </row>
    <row r="9001" spans="4:35" hidden="1">
      <c r="D9001" s="1"/>
      <c r="K9001" s="1"/>
      <c r="Q9001" s="1"/>
      <c r="AD9001" s="1"/>
      <c r="AG9001" s="1"/>
      <c r="AI9001" s="1"/>
    </row>
    <row r="9002" spans="4:35" hidden="1">
      <c r="D9002" s="1"/>
      <c r="K9002" s="1"/>
      <c r="Q9002" s="1"/>
      <c r="AD9002" s="1"/>
      <c r="AG9002" s="1"/>
      <c r="AI9002" s="1"/>
    </row>
    <row r="9003" spans="4:35" hidden="1">
      <c r="D9003" s="1"/>
      <c r="K9003" s="1"/>
      <c r="Q9003" s="1"/>
      <c r="AD9003" s="1"/>
      <c r="AG9003" s="1"/>
      <c r="AI9003" s="1"/>
    </row>
    <row r="9004" spans="4:35" hidden="1">
      <c r="D9004" s="1"/>
      <c r="K9004" s="1"/>
      <c r="Q9004" s="1"/>
      <c r="AD9004" s="1"/>
      <c r="AG9004" s="1"/>
      <c r="AI9004" s="1"/>
    </row>
    <row r="9005" spans="4:35" hidden="1">
      <c r="D9005" s="1"/>
      <c r="K9005" s="1"/>
      <c r="Q9005" s="1"/>
      <c r="AD9005" s="1"/>
      <c r="AG9005" s="1"/>
      <c r="AI9005" s="1"/>
    </row>
    <row r="9006" spans="4:35" hidden="1">
      <c r="D9006" s="1"/>
      <c r="K9006" s="1"/>
      <c r="Q9006" s="1"/>
      <c r="AD9006" s="1"/>
      <c r="AG9006" s="1"/>
      <c r="AI9006" s="1"/>
    </row>
    <row r="9007" spans="4:35" hidden="1">
      <c r="D9007" s="1"/>
      <c r="K9007" s="1"/>
      <c r="Q9007" s="1"/>
      <c r="AD9007" s="1"/>
      <c r="AG9007" s="1"/>
      <c r="AI9007" s="1"/>
    </row>
    <row r="9008" spans="4:35" hidden="1">
      <c r="D9008" s="1"/>
      <c r="K9008" s="1"/>
      <c r="Q9008" s="1"/>
      <c r="AD9008" s="1"/>
      <c r="AG9008" s="1"/>
      <c r="AI9008" s="1"/>
    </row>
    <row r="9009" spans="4:35" hidden="1">
      <c r="D9009" s="1"/>
      <c r="K9009" s="1"/>
      <c r="Q9009" s="1"/>
      <c r="AD9009" s="1"/>
      <c r="AG9009" s="1"/>
      <c r="AI9009" s="1"/>
    </row>
    <row r="9010" spans="4:35" hidden="1">
      <c r="D9010" s="1"/>
      <c r="K9010" s="1"/>
      <c r="Q9010" s="1"/>
      <c r="AD9010" s="1"/>
      <c r="AG9010" s="1"/>
      <c r="AI9010" s="1"/>
    </row>
    <row r="9011" spans="4:35" hidden="1">
      <c r="D9011" s="1"/>
      <c r="K9011" s="1"/>
      <c r="Q9011" s="1"/>
      <c r="AD9011" s="1"/>
      <c r="AG9011" s="1"/>
      <c r="AI9011" s="1"/>
    </row>
    <row r="9012" spans="4:35" hidden="1">
      <c r="D9012" s="1"/>
      <c r="K9012" s="1"/>
      <c r="Q9012" s="1"/>
      <c r="AD9012" s="1"/>
      <c r="AG9012" s="1"/>
      <c r="AI9012" s="1"/>
    </row>
    <row r="9013" spans="4:35" hidden="1">
      <c r="D9013" s="1"/>
      <c r="K9013" s="1"/>
      <c r="Q9013" s="1"/>
      <c r="AD9013" s="1"/>
      <c r="AG9013" s="1"/>
      <c r="AI9013" s="1"/>
    </row>
    <row r="9014" spans="4:35" hidden="1">
      <c r="D9014" s="1"/>
      <c r="K9014" s="1"/>
      <c r="Q9014" s="1"/>
      <c r="AD9014" s="1"/>
      <c r="AG9014" s="1"/>
      <c r="AI9014" s="1"/>
    </row>
    <row r="9015" spans="4:35" hidden="1">
      <c r="D9015" s="1"/>
      <c r="K9015" s="1"/>
      <c r="Q9015" s="1"/>
      <c r="AD9015" s="1"/>
      <c r="AG9015" s="1"/>
      <c r="AI9015" s="1"/>
    </row>
    <row r="9016" spans="4:35" hidden="1">
      <c r="D9016" s="1"/>
      <c r="K9016" s="1"/>
      <c r="Q9016" s="1"/>
      <c r="AD9016" s="1"/>
      <c r="AG9016" s="1"/>
      <c r="AI9016" s="1"/>
    </row>
    <row r="9017" spans="4:35" hidden="1">
      <c r="D9017" s="1"/>
      <c r="K9017" s="1"/>
      <c r="Q9017" s="1"/>
      <c r="AD9017" s="1"/>
      <c r="AG9017" s="1"/>
      <c r="AI9017" s="1"/>
    </row>
    <row r="9018" spans="4:35" hidden="1">
      <c r="D9018" s="1"/>
      <c r="K9018" s="1"/>
      <c r="Q9018" s="1"/>
      <c r="AD9018" s="1"/>
      <c r="AG9018" s="1"/>
      <c r="AI9018" s="1"/>
    </row>
    <row r="9019" spans="4:35" hidden="1">
      <c r="D9019" s="1"/>
      <c r="K9019" s="1"/>
      <c r="Q9019" s="1"/>
      <c r="AD9019" s="1"/>
      <c r="AG9019" s="1"/>
      <c r="AI9019" s="1"/>
    </row>
    <row r="9020" spans="4:35" hidden="1">
      <c r="D9020" s="1"/>
      <c r="K9020" s="1"/>
      <c r="Q9020" s="1"/>
      <c r="AD9020" s="1"/>
      <c r="AG9020" s="1"/>
      <c r="AI9020" s="1"/>
    </row>
    <row r="9021" spans="4:35" hidden="1">
      <c r="D9021" s="1"/>
      <c r="K9021" s="1"/>
      <c r="Q9021" s="1"/>
      <c r="AD9021" s="1"/>
      <c r="AG9021" s="1"/>
      <c r="AI9021" s="1"/>
    </row>
    <row r="9022" spans="4:35" hidden="1">
      <c r="D9022" s="1"/>
      <c r="K9022" s="1"/>
      <c r="Q9022" s="1"/>
      <c r="AD9022" s="1"/>
      <c r="AG9022" s="1"/>
      <c r="AI9022" s="1"/>
    </row>
    <row r="9023" spans="4:35" hidden="1">
      <c r="D9023" s="1"/>
      <c r="K9023" s="1"/>
      <c r="Q9023" s="1"/>
      <c r="AD9023" s="1"/>
      <c r="AG9023" s="1"/>
      <c r="AI9023" s="1"/>
    </row>
    <row r="9024" spans="4:35" hidden="1">
      <c r="D9024" s="1"/>
      <c r="K9024" s="1"/>
      <c r="Q9024" s="1"/>
      <c r="AD9024" s="1"/>
      <c r="AG9024" s="1"/>
      <c r="AI9024" s="1"/>
    </row>
    <row r="9025" spans="4:35" hidden="1">
      <c r="D9025" s="1"/>
      <c r="K9025" s="1"/>
      <c r="Q9025" s="1"/>
      <c r="AD9025" s="1"/>
      <c r="AG9025" s="1"/>
      <c r="AI9025" s="1"/>
    </row>
    <row r="9026" spans="4:35" hidden="1">
      <c r="D9026" s="1"/>
      <c r="K9026" s="1"/>
      <c r="Q9026" s="1"/>
      <c r="AD9026" s="1"/>
      <c r="AG9026" s="1"/>
      <c r="AI9026" s="1"/>
    </row>
    <row r="9027" spans="4:35" hidden="1">
      <c r="D9027" s="1"/>
      <c r="K9027" s="1"/>
      <c r="Q9027" s="1"/>
      <c r="AD9027" s="1"/>
      <c r="AG9027" s="1"/>
      <c r="AI9027" s="1"/>
    </row>
    <row r="9028" spans="4:35" hidden="1">
      <c r="D9028" s="1"/>
      <c r="K9028" s="1"/>
      <c r="Q9028" s="1"/>
      <c r="AD9028" s="1"/>
      <c r="AG9028" s="1"/>
      <c r="AI9028" s="1"/>
    </row>
    <row r="9029" spans="4:35" hidden="1">
      <c r="D9029" s="1"/>
      <c r="K9029" s="1"/>
      <c r="Q9029" s="1"/>
      <c r="AD9029" s="1"/>
      <c r="AG9029" s="1"/>
      <c r="AI9029" s="1"/>
    </row>
    <row r="9030" spans="4:35" hidden="1">
      <c r="D9030" s="1"/>
      <c r="K9030" s="1"/>
      <c r="Q9030" s="1"/>
      <c r="AD9030" s="1"/>
      <c r="AG9030" s="1"/>
      <c r="AI9030" s="1"/>
    </row>
    <row r="9031" spans="4:35" hidden="1">
      <c r="D9031" s="1"/>
      <c r="K9031" s="1"/>
      <c r="Q9031" s="1"/>
      <c r="AD9031" s="1"/>
      <c r="AG9031" s="1"/>
      <c r="AI9031" s="1"/>
    </row>
    <row r="9032" spans="4:35" hidden="1">
      <c r="D9032" s="1"/>
      <c r="K9032" s="1"/>
      <c r="Q9032" s="1"/>
      <c r="AD9032" s="1"/>
      <c r="AG9032" s="1"/>
      <c r="AI9032" s="1"/>
    </row>
    <row r="9033" spans="4:35" hidden="1">
      <c r="D9033" s="1"/>
      <c r="K9033" s="1"/>
      <c r="Q9033" s="1"/>
      <c r="AD9033" s="1"/>
      <c r="AG9033" s="1"/>
      <c r="AI9033" s="1"/>
    </row>
    <row r="9034" spans="4:35" hidden="1">
      <c r="D9034" s="1"/>
      <c r="K9034" s="1"/>
      <c r="Q9034" s="1"/>
      <c r="AD9034" s="1"/>
      <c r="AG9034" s="1"/>
      <c r="AI9034" s="1"/>
    </row>
    <row r="9035" spans="4:35" hidden="1">
      <c r="D9035" s="1"/>
      <c r="K9035" s="1"/>
      <c r="Q9035" s="1"/>
      <c r="AD9035" s="1"/>
      <c r="AG9035" s="1"/>
      <c r="AI9035" s="1"/>
    </row>
    <row r="9036" spans="4:35" hidden="1">
      <c r="D9036" s="1"/>
      <c r="K9036" s="1"/>
      <c r="Q9036" s="1"/>
      <c r="AD9036" s="1"/>
      <c r="AG9036" s="1"/>
      <c r="AI9036" s="1"/>
    </row>
    <row r="9037" spans="4:35" hidden="1">
      <c r="D9037" s="1"/>
      <c r="K9037" s="1"/>
      <c r="Q9037" s="1"/>
      <c r="AD9037" s="1"/>
      <c r="AG9037" s="1"/>
      <c r="AI9037" s="1"/>
    </row>
    <row r="9038" spans="4:35" hidden="1">
      <c r="D9038" s="1"/>
      <c r="K9038" s="1"/>
      <c r="Q9038" s="1"/>
      <c r="AD9038" s="1"/>
      <c r="AG9038" s="1"/>
      <c r="AI9038" s="1"/>
    </row>
    <row r="9039" spans="4:35" hidden="1">
      <c r="D9039" s="1"/>
      <c r="K9039" s="1"/>
      <c r="Q9039" s="1"/>
      <c r="AD9039" s="1"/>
      <c r="AG9039" s="1"/>
      <c r="AI9039" s="1"/>
    </row>
    <row r="9040" spans="4:35" hidden="1">
      <c r="D9040" s="1"/>
      <c r="K9040" s="1"/>
      <c r="Q9040" s="1"/>
      <c r="AD9040" s="1"/>
      <c r="AG9040" s="1"/>
      <c r="AI9040" s="1"/>
    </row>
    <row r="9041" spans="4:35" hidden="1">
      <c r="D9041" s="1"/>
      <c r="K9041" s="1"/>
      <c r="Q9041" s="1"/>
      <c r="AD9041" s="1"/>
      <c r="AG9041" s="1"/>
      <c r="AI9041" s="1"/>
    </row>
    <row r="9042" spans="4:35" hidden="1">
      <c r="D9042" s="1"/>
      <c r="K9042" s="1"/>
      <c r="Q9042" s="1"/>
      <c r="AD9042" s="1"/>
      <c r="AG9042" s="1"/>
      <c r="AI9042" s="1"/>
    </row>
    <row r="9043" spans="4:35" hidden="1">
      <c r="D9043" s="1"/>
      <c r="K9043" s="1"/>
      <c r="Q9043" s="1"/>
      <c r="AD9043" s="1"/>
      <c r="AG9043" s="1"/>
      <c r="AI9043" s="1"/>
    </row>
    <row r="9044" spans="4:35" hidden="1">
      <c r="D9044" s="1"/>
      <c r="K9044" s="1"/>
      <c r="Q9044" s="1"/>
      <c r="AD9044" s="1"/>
      <c r="AG9044" s="1"/>
      <c r="AI9044" s="1"/>
    </row>
    <row r="9045" spans="4:35" hidden="1">
      <c r="D9045" s="1"/>
      <c r="K9045" s="1"/>
      <c r="Q9045" s="1"/>
      <c r="AD9045" s="1"/>
      <c r="AG9045" s="1"/>
      <c r="AI9045" s="1"/>
    </row>
    <row r="9046" spans="4:35" hidden="1">
      <c r="D9046" s="1"/>
      <c r="K9046" s="1"/>
      <c r="Q9046" s="1"/>
      <c r="AD9046" s="1"/>
      <c r="AG9046" s="1"/>
      <c r="AI9046" s="1"/>
    </row>
    <row r="9047" spans="4:35" hidden="1">
      <c r="D9047" s="1"/>
      <c r="K9047" s="1"/>
      <c r="Q9047" s="1"/>
      <c r="AD9047" s="1"/>
      <c r="AG9047" s="1"/>
      <c r="AI9047" s="1"/>
    </row>
    <row r="9048" spans="4:35" hidden="1">
      <c r="D9048" s="1"/>
      <c r="K9048" s="1"/>
      <c r="Q9048" s="1"/>
      <c r="AD9048" s="1"/>
      <c r="AG9048" s="1"/>
      <c r="AI9048" s="1"/>
    </row>
    <row r="9049" spans="4:35" hidden="1">
      <c r="D9049" s="1"/>
      <c r="K9049" s="1"/>
      <c r="Q9049" s="1"/>
      <c r="AD9049" s="1"/>
      <c r="AG9049" s="1"/>
      <c r="AI9049" s="1"/>
    </row>
    <row r="9050" spans="4:35" hidden="1">
      <c r="D9050" s="1"/>
      <c r="K9050" s="1"/>
      <c r="Q9050" s="1"/>
      <c r="AD9050" s="1"/>
      <c r="AG9050" s="1"/>
      <c r="AI9050" s="1"/>
    </row>
    <row r="9051" spans="4:35" hidden="1">
      <c r="D9051" s="1"/>
      <c r="K9051" s="1"/>
      <c r="Q9051" s="1"/>
      <c r="AD9051" s="1"/>
      <c r="AG9051" s="1"/>
      <c r="AI9051" s="1"/>
    </row>
    <row r="9052" spans="4:35" hidden="1">
      <c r="D9052" s="1"/>
      <c r="K9052" s="1"/>
      <c r="Q9052" s="1"/>
      <c r="AD9052" s="1"/>
      <c r="AG9052" s="1"/>
      <c r="AI9052" s="1"/>
    </row>
    <row r="9053" spans="4:35" hidden="1">
      <c r="D9053" s="1"/>
      <c r="K9053" s="1"/>
      <c r="Q9053" s="1"/>
      <c r="AD9053" s="1"/>
      <c r="AG9053" s="1"/>
      <c r="AI9053" s="1"/>
    </row>
    <row r="9054" spans="4:35" hidden="1">
      <c r="D9054" s="1"/>
      <c r="K9054" s="1"/>
      <c r="Q9054" s="1"/>
      <c r="AD9054" s="1"/>
      <c r="AG9054" s="1"/>
      <c r="AI9054" s="1"/>
    </row>
    <row r="9055" spans="4:35" hidden="1">
      <c r="D9055" s="1"/>
      <c r="K9055" s="1"/>
      <c r="Q9055" s="1"/>
      <c r="AD9055" s="1"/>
      <c r="AG9055" s="1"/>
      <c r="AI9055" s="1"/>
    </row>
    <row r="9056" spans="4:35" hidden="1">
      <c r="D9056" s="1"/>
      <c r="K9056" s="1"/>
      <c r="Q9056" s="1"/>
      <c r="AD9056" s="1"/>
      <c r="AG9056" s="1"/>
      <c r="AI9056" s="1"/>
    </row>
    <row r="9057" spans="4:35" hidden="1">
      <c r="D9057" s="1"/>
      <c r="K9057" s="1"/>
      <c r="Q9057" s="1"/>
      <c r="AD9057" s="1"/>
      <c r="AG9057" s="1"/>
      <c r="AI9057" s="1"/>
    </row>
    <row r="9058" spans="4:35" hidden="1">
      <c r="D9058" s="1"/>
      <c r="K9058" s="1"/>
      <c r="Q9058" s="1"/>
      <c r="AD9058" s="1"/>
      <c r="AG9058" s="1"/>
      <c r="AI9058" s="1"/>
    </row>
    <row r="9059" spans="4:35" hidden="1">
      <c r="D9059" s="1"/>
      <c r="K9059" s="1"/>
      <c r="Q9059" s="1"/>
      <c r="AD9059" s="1"/>
      <c r="AG9059" s="1"/>
      <c r="AI9059" s="1"/>
    </row>
    <row r="9060" spans="4:35" hidden="1">
      <c r="D9060" s="1"/>
      <c r="K9060" s="1"/>
      <c r="Q9060" s="1"/>
      <c r="AD9060" s="1"/>
      <c r="AG9060" s="1"/>
      <c r="AI9060" s="1"/>
    </row>
    <row r="9061" spans="4:35" hidden="1">
      <c r="D9061" s="1"/>
      <c r="K9061" s="1"/>
      <c r="Q9061" s="1"/>
      <c r="AD9061" s="1"/>
      <c r="AG9061" s="1"/>
      <c r="AI9061" s="1"/>
    </row>
    <row r="9062" spans="4:35" hidden="1">
      <c r="D9062" s="1"/>
      <c r="K9062" s="1"/>
      <c r="Q9062" s="1"/>
      <c r="AD9062" s="1"/>
      <c r="AG9062" s="1"/>
      <c r="AI9062" s="1"/>
    </row>
    <row r="9063" spans="4:35" hidden="1">
      <c r="D9063" s="1"/>
      <c r="K9063" s="1"/>
      <c r="Q9063" s="1"/>
      <c r="AD9063" s="1"/>
      <c r="AG9063" s="1"/>
      <c r="AI9063" s="1"/>
    </row>
    <row r="9064" spans="4:35" hidden="1">
      <c r="D9064" s="1"/>
      <c r="K9064" s="1"/>
      <c r="Q9064" s="1"/>
      <c r="AD9064" s="1"/>
      <c r="AG9064" s="1"/>
      <c r="AI9064" s="1"/>
    </row>
    <row r="9065" spans="4:35" hidden="1">
      <c r="D9065" s="1"/>
      <c r="K9065" s="1"/>
      <c r="Q9065" s="1"/>
      <c r="AD9065" s="1"/>
      <c r="AG9065" s="1"/>
      <c r="AI9065" s="1"/>
    </row>
    <row r="9066" spans="4:35" hidden="1">
      <c r="D9066" s="1"/>
      <c r="K9066" s="1"/>
      <c r="Q9066" s="1"/>
      <c r="AD9066" s="1"/>
      <c r="AG9066" s="1"/>
      <c r="AI9066" s="1"/>
    </row>
    <row r="9067" spans="4:35" hidden="1">
      <c r="D9067" s="1"/>
      <c r="K9067" s="1"/>
      <c r="Q9067" s="1"/>
      <c r="AD9067" s="1"/>
      <c r="AG9067" s="1"/>
      <c r="AI9067" s="1"/>
    </row>
    <row r="9068" spans="4:35" hidden="1">
      <c r="D9068" s="1"/>
      <c r="K9068" s="1"/>
      <c r="Q9068" s="1"/>
      <c r="AD9068" s="1"/>
      <c r="AG9068" s="1"/>
      <c r="AI9068" s="1"/>
    </row>
    <row r="9069" spans="4:35" hidden="1">
      <c r="D9069" s="1"/>
      <c r="K9069" s="1"/>
      <c r="Q9069" s="1"/>
      <c r="AD9069" s="1"/>
      <c r="AG9069" s="1"/>
      <c r="AI9069" s="1"/>
    </row>
    <row r="9070" spans="4:35" hidden="1">
      <c r="D9070" s="1"/>
      <c r="K9070" s="1"/>
      <c r="Q9070" s="1"/>
      <c r="AD9070" s="1"/>
      <c r="AG9070" s="1"/>
      <c r="AI9070" s="1"/>
    </row>
    <row r="9071" spans="4:35" hidden="1">
      <c r="D9071" s="1"/>
      <c r="K9071" s="1"/>
      <c r="Q9071" s="1"/>
      <c r="AD9071" s="1"/>
      <c r="AG9071" s="1"/>
      <c r="AI9071" s="1"/>
    </row>
    <row r="9072" spans="4:35" hidden="1">
      <c r="D9072" s="1"/>
      <c r="K9072" s="1"/>
      <c r="Q9072" s="1"/>
      <c r="AD9072" s="1"/>
      <c r="AG9072" s="1"/>
      <c r="AI9072" s="1"/>
    </row>
    <row r="9073" spans="4:35" hidden="1">
      <c r="D9073" s="1"/>
      <c r="K9073" s="1"/>
      <c r="Q9073" s="1"/>
      <c r="AD9073" s="1"/>
      <c r="AG9073" s="1"/>
      <c r="AI9073" s="1"/>
    </row>
    <row r="9074" spans="4:35" hidden="1">
      <c r="D9074" s="1"/>
      <c r="K9074" s="1"/>
      <c r="Q9074" s="1"/>
      <c r="AD9074" s="1"/>
      <c r="AG9074" s="1"/>
      <c r="AI9074" s="1"/>
    </row>
    <row r="9075" spans="4:35" hidden="1">
      <c r="D9075" s="1"/>
      <c r="K9075" s="1"/>
      <c r="Q9075" s="1"/>
      <c r="AD9075" s="1"/>
      <c r="AG9075" s="1"/>
      <c r="AI9075" s="1"/>
    </row>
    <row r="9076" spans="4:35" hidden="1">
      <c r="D9076" s="1"/>
      <c r="K9076" s="1"/>
      <c r="Q9076" s="1"/>
      <c r="AD9076" s="1"/>
      <c r="AG9076" s="1"/>
      <c r="AI9076" s="1"/>
    </row>
    <row r="9077" spans="4:35" hidden="1">
      <c r="D9077" s="1"/>
      <c r="K9077" s="1"/>
      <c r="Q9077" s="1"/>
      <c r="AD9077" s="1"/>
      <c r="AG9077" s="1"/>
      <c r="AI9077" s="1"/>
    </row>
    <row r="9078" spans="4:35" hidden="1">
      <c r="D9078" s="1"/>
      <c r="K9078" s="1"/>
      <c r="Q9078" s="1"/>
      <c r="AD9078" s="1"/>
      <c r="AG9078" s="1"/>
      <c r="AI9078" s="1"/>
    </row>
    <row r="9079" spans="4:35" hidden="1">
      <c r="D9079" s="1"/>
      <c r="K9079" s="1"/>
      <c r="Q9079" s="1"/>
      <c r="AD9079" s="1"/>
      <c r="AG9079" s="1"/>
      <c r="AI9079" s="1"/>
    </row>
    <row r="9080" spans="4:35" hidden="1">
      <c r="D9080" s="1"/>
      <c r="K9080" s="1"/>
      <c r="Q9080" s="1"/>
      <c r="AD9080" s="1"/>
      <c r="AG9080" s="1"/>
      <c r="AI9080" s="1"/>
    </row>
    <row r="9081" spans="4:35" hidden="1">
      <c r="D9081" s="1"/>
      <c r="K9081" s="1"/>
      <c r="Q9081" s="1"/>
      <c r="AD9081" s="1"/>
      <c r="AG9081" s="1"/>
      <c r="AI9081" s="1"/>
    </row>
    <row r="9082" spans="4:35" hidden="1">
      <c r="D9082" s="1"/>
      <c r="K9082" s="1"/>
      <c r="Q9082" s="1"/>
      <c r="AD9082" s="1"/>
      <c r="AG9082" s="1"/>
      <c r="AI9082" s="1"/>
    </row>
    <row r="9083" spans="4:35" hidden="1">
      <c r="D9083" s="1"/>
      <c r="K9083" s="1"/>
      <c r="Q9083" s="1"/>
      <c r="AD9083" s="1"/>
      <c r="AG9083" s="1"/>
      <c r="AI9083" s="1"/>
    </row>
    <row r="9084" spans="4:35" hidden="1">
      <c r="D9084" s="1"/>
      <c r="K9084" s="1"/>
      <c r="Q9084" s="1"/>
      <c r="AD9084" s="1"/>
      <c r="AG9084" s="1"/>
      <c r="AI9084" s="1"/>
    </row>
    <row r="9085" spans="4:35" hidden="1">
      <c r="D9085" s="1"/>
      <c r="K9085" s="1"/>
      <c r="Q9085" s="1"/>
      <c r="AD9085" s="1"/>
      <c r="AG9085" s="1"/>
      <c r="AI9085" s="1"/>
    </row>
    <row r="9086" spans="4:35" hidden="1">
      <c r="D9086" s="1"/>
      <c r="K9086" s="1"/>
      <c r="Q9086" s="1"/>
      <c r="AD9086" s="1"/>
      <c r="AG9086" s="1"/>
      <c r="AI9086" s="1"/>
    </row>
    <row r="9087" spans="4:35" hidden="1">
      <c r="D9087" s="1"/>
      <c r="K9087" s="1"/>
      <c r="Q9087" s="1"/>
      <c r="AD9087" s="1"/>
      <c r="AG9087" s="1"/>
      <c r="AI9087" s="1"/>
    </row>
    <row r="9088" spans="4:35" hidden="1">
      <c r="D9088" s="1"/>
      <c r="K9088" s="1"/>
      <c r="Q9088" s="1"/>
      <c r="AD9088" s="1"/>
      <c r="AG9088" s="1"/>
      <c r="AI9088" s="1"/>
    </row>
    <row r="9089" spans="4:35" hidden="1">
      <c r="D9089" s="1"/>
      <c r="K9089" s="1"/>
      <c r="Q9089" s="1"/>
      <c r="AD9089" s="1"/>
      <c r="AG9089" s="1"/>
      <c r="AI9089" s="1"/>
    </row>
    <row r="9090" spans="4:35" hidden="1">
      <c r="D9090" s="1"/>
      <c r="K9090" s="1"/>
      <c r="Q9090" s="1"/>
      <c r="AD9090" s="1"/>
      <c r="AG9090" s="1"/>
      <c r="AI9090" s="1"/>
    </row>
    <row r="9091" spans="4:35" hidden="1">
      <c r="D9091" s="1"/>
      <c r="K9091" s="1"/>
      <c r="Q9091" s="1"/>
      <c r="AD9091" s="1"/>
      <c r="AG9091" s="1"/>
      <c r="AI9091" s="1"/>
    </row>
    <row r="9092" spans="4:35" hidden="1">
      <c r="D9092" s="1"/>
      <c r="K9092" s="1"/>
      <c r="Q9092" s="1"/>
      <c r="AD9092" s="1"/>
      <c r="AG9092" s="1"/>
      <c r="AI9092" s="1"/>
    </row>
    <row r="9093" spans="4:35" hidden="1">
      <c r="D9093" s="1"/>
      <c r="K9093" s="1"/>
      <c r="Q9093" s="1"/>
      <c r="AD9093" s="1"/>
      <c r="AG9093" s="1"/>
      <c r="AI9093" s="1"/>
    </row>
    <row r="9094" spans="4:35" hidden="1">
      <c r="D9094" s="1"/>
      <c r="K9094" s="1"/>
      <c r="Q9094" s="1"/>
      <c r="AD9094" s="1"/>
      <c r="AG9094" s="1"/>
      <c r="AI9094" s="1"/>
    </row>
    <row r="9095" spans="4:35" hidden="1">
      <c r="D9095" s="1"/>
      <c r="K9095" s="1"/>
      <c r="Q9095" s="1"/>
      <c r="AD9095" s="1"/>
      <c r="AG9095" s="1"/>
      <c r="AI9095" s="1"/>
    </row>
    <row r="9096" spans="4:35" hidden="1">
      <c r="D9096" s="1"/>
      <c r="K9096" s="1"/>
      <c r="Q9096" s="1"/>
      <c r="AD9096" s="1"/>
      <c r="AG9096" s="1"/>
      <c r="AI9096" s="1"/>
    </row>
    <row r="9097" spans="4:35" hidden="1">
      <c r="D9097" s="1"/>
      <c r="K9097" s="1"/>
      <c r="Q9097" s="1"/>
      <c r="AD9097" s="1"/>
      <c r="AG9097" s="1"/>
      <c r="AI9097" s="1"/>
    </row>
    <row r="9098" spans="4:35" hidden="1">
      <c r="D9098" s="1"/>
      <c r="K9098" s="1"/>
      <c r="Q9098" s="1"/>
      <c r="AD9098" s="1"/>
      <c r="AG9098" s="1"/>
      <c r="AI9098" s="1"/>
    </row>
    <row r="9099" spans="4:35" hidden="1">
      <c r="D9099" s="1"/>
      <c r="K9099" s="1"/>
      <c r="Q9099" s="1"/>
      <c r="AD9099" s="1"/>
      <c r="AG9099" s="1"/>
      <c r="AI9099" s="1"/>
    </row>
    <row r="9100" spans="4:35" hidden="1">
      <c r="D9100" s="1"/>
      <c r="K9100" s="1"/>
      <c r="Q9100" s="1"/>
      <c r="AD9100" s="1"/>
      <c r="AG9100" s="1"/>
      <c r="AI9100" s="1"/>
    </row>
    <row r="9101" spans="4:35" hidden="1">
      <c r="D9101" s="1"/>
      <c r="K9101" s="1"/>
      <c r="Q9101" s="1"/>
      <c r="AD9101" s="1"/>
      <c r="AG9101" s="1"/>
      <c r="AI9101" s="1"/>
    </row>
    <row r="9102" spans="4:35" hidden="1">
      <c r="D9102" s="1"/>
      <c r="K9102" s="1"/>
      <c r="Q9102" s="1"/>
      <c r="AD9102" s="1"/>
      <c r="AG9102" s="1"/>
      <c r="AI9102" s="1"/>
    </row>
    <row r="9103" spans="4:35" hidden="1">
      <c r="D9103" s="1"/>
      <c r="K9103" s="1"/>
      <c r="Q9103" s="1"/>
      <c r="AD9103" s="1"/>
      <c r="AG9103" s="1"/>
      <c r="AI9103" s="1"/>
    </row>
    <row r="9104" spans="4:35" hidden="1">
      <c r="D9104" s="1"/>
      <c r="K9104" s="1"/>
      <c r="Q9104" s="1"/>
      <c r="AD9104" s="1"/>
      <c r="AG9104" s="1"/>
      <c r="AI9104" s="1"/>
    </row>
    <row r="9105" spans="4:35" hidden="1">
      <c r="D9105" s="1"/>
      <c r="K9105" s="1"/>
      <c r="Q9105" s="1"/>
      <c r="AD9105" s="1"/>
      <c r="AG9105" s="1"/>
      <c r="AI9105" s="1"/>
    </row>
    <row r="9106" spans="4:35" hidden="1">
      <c r="D9106" s="1"/>
      <c r="K9106" s="1"/>
      <c r="Q9106" s="1"/>
      <c r="AD9106" s="1"/>
      <c r="AG9106" s="1"/>
      <c r="AI9106" s="1"/>
    </row>
    <row r="9107" spans="4:35" hidden="1">
      <c r="D9107" s="1"/>
      <c r="K9107" s="1"/>
      <c r="Q9107" s="1"/>
      <c r="AD9107" s="1"/>
      <c r="AG9107" s="1"/>
      <c r="AI9107" s="1"/>
    </row>
    <row r="9108" spans="4:35" hidden="1">
      <c r="D9108" s="1"/>
      <c r="K9108" s="1"/>
      <c r="Q9108" s="1"/>
      <c r="AD9108" s="1"/>
      <c r="AG9108" s="1"/>
      <c r="AI9108" s="1"/>
    </row>
    <row r="9109" spans="4:35" hidden="1">
      <c r="D9109" s="1"/>
      <c r="K9109" s="1"/>
      <c r="Q9109" s="1"/>
      <c r="AD9109" s="1"/>
      <c r="AG9109" s="1"/>
      <c r="AI9109" s="1"/>
    </row>
    <row r="9110" spans="4:35" hidden="1">
      <c r="D9110" s="1"/>
      <c r="K9110" s="1"/>
      <c r="Q9110" s="1"/>
      <c r="AD9110" s="1"/>
      <c r="AG9110" s="1"/>
      <c r="AI9110" s="1"/>
    </row>
    <row r="9111" spans="4:35" hidden="1">
      <c r="D9111" s="1"/>
      <c r="K9111" s="1"/>
      <c r="Q9111" s="1"/>
      <c r="AD9111" s="1"/>
      <c r="AG9111" s="1"/>
      <c r="AI9111" s="1"/>
    </row>
    <row r="9112" spans="4:35" hidden="1">
      <c r="D9112" s="1"/>
      <c r="K9112" s="1"/>
      <c r="Q9112" s="1"/>
      <c r="AD9112" s="1"/>
      <c r="AG9112" s="1"/>
      <c r="AI9112" s="1"/>
    </row>
    <row r="9113" spans="4:35" hidden="1">
      <c r="D9113" s="1"/>
      <c r="K9113" s="1"/>
      <c r="Q9113" s="1"/>
      <c r="AD9113" s="1"/>
      <c r="AG9113" s="1"/>
      <c r="AI9113" s="1"/>
    </row>
    <row r="9114" spans="4:35" hidden="1">
      <c r="D9114" s="1"/>
      <c r="K9114" s="1"/>
      <c r="Q9114" s="1"/>
      <c r="AD9114" s="1"/>
      <c r="AG9114" s="1"/>
      <c r="AI9114" s="1"/>
    </row>
    <row r="9115" spans="4:35" hidden="1">
      <c r="D9115" s="1"/>
      <c r="K9115" s="1"/>
      <c r="Q9115" s="1"/>
      <c r="AD9115" s="1"/>
      <c r="AG9115" s="1"/>
      <c r="AI9115" s="1"/>
    </row>
    <row r="9116" spans="4:35" hidden="1">
      <c r="D9116" s="1"/>
      <c r="K9116" s="1"/>
      <c r="Q9116" s="1"/>
      <c r="AD9116" s="1"/>
      <c r="AG9116" s="1"/>
      <c r="AI9116" s="1"/>
    </row>
    <row r="9117" spans="4:35" hidden="1">
      <c r="D9117" s="1"/>
      <c r="K9117" s="1"/>
      <c r="Q9117" s="1"/>
      <c r="AD9117" s="1"/>
      <c r="AG9117" s="1"/>
      <c r="AI9117" s="1"/>
    </row>
    <row r="9118" spans="4:35" hidden="1">
      <c r="D9118" s="1"/>
      <c r="K9118" s="1"/>
      <c r="Q9118" s="1"/>
      <c r="AD9118" s="1"/>
      <c r="AG9118" s="1"/>
      <c r="AI9118" s="1"/>
    </row>
    <row r="9119" spans="4:35" hidden="1">
      <c r="D9119" s="1"/>
      <c r="K9119" s="1"/>
      <c r="Q9119" s="1"/>
      <c r="AD9119" s="1"/>
      <c r="AG9119" s="1"/>
      <c r="AI9119" s="1"/>
    </row>
    <row r="9120" spans="4:35" hidden="1">
      <c r="D9120" s="1"/>
      <c r="K9120" s="1"/>
      <c r="Q9120" s="1"/>
      <c r="AD9120" s="1"/>
      <c r="AG9120" s="1"/>
      <c r="AI9120" s="1"/>
    </row>
    <row r="9121" spans="4:35" hidden="1">
      <c r="D9121" s="1"/>
      <c r="K9121" s="1"/>
      <c r="Q9121" s="1"/>
      <c r="AD9121" s="1"/>
      <c r="AG9121" s="1"/>
      <c r="AI9121" s="1"/>
    </row>
    <row r="9122" spans="4:35" hidden="1">
      <c r="D9122" s="1"/>
      <c r="K9122" s="1"/>
      <c r="Q9122" s="1"/>
      <c r="AD9122" s="1"/>
      <c r="AG9122" s="1"/>
      <c r="AI9122" s="1"/>
    </row>
    <row r="9123" spans="4:35" hidden="1">
      <c r="D9123" s="1"/>
      <c r="K9123" s="1"/>
      <c r="Q9123" s="1"/>
      <c r="AD9123" s="1"/>
      <c r="AG9123" s="1"/>
      <c r="AI9123" s="1"/>
    </row>
    <row r="9124" spans="4:35" hidden="1">
      <c r="D9124" s="1"/>
      <c r="K9124" s="1"/>
      <c r="Q9124" s="1"/>
      <c r="AD9124" s="1"/>
      <c r="AG9124" s="1"/>
      <c r="AI9124" s="1"/>
    </row>
    <row r="9125" spans="4:35" hidden="1">
      <c r="D9125" s="1"/>
      <c r="K9125" s="1"/>
      <c r="Q9125" s="1"/>
      <c r="AD9125" s="1"/>
      <c r="AG9125" s="1"/>
      <c r="AI9125" s="1"/>
    </row>
    <row r="9126" spans="4:35" hidden="1">
      <c r="D9126" s="1"/>
      <c r="K9126" s="1"/>
      <c r="Q9126" s="1"/>
      <c r="AD9126" s="1"/>
      <c r="AG9126" s="1"/>
      <c r="AI9126" s="1"/>
    </row>
    <row r="9127" spans="4:35" hidden="1">
      <c r="D9127" s="1"/>
      <c r="K9127" s="1"/>
      <c r="Q9127" s="1"/>
      <c r="AD9127" s="1"/>
      <c r="AG9127" s="1"/>
      <c r="AI9127" s="1"/>
    </row>
    <row r="9128" spans="4:35" hidden="1">
      <c r="D9128" s="1"/>
      <c r="K9128" s="1"/>
      <c r="Q9128" s="1"/>
      <c r="AD9128" s="1"/>
      <c r="AG9128" s="1"/>
      <c r="AI9128" s="1"/>
    </row>
    <row r="9129" spans="4:35" hidden="1">
      <c r="D9129" s="1"/>
      <c r="K9129" s="1"/>
      <c r="Q9129" s="1"/>
      <c r="AD9129" s="1"/>
      <c r="AG9129" s="1"/>
      <c r="AI9129" s="1"/>
    </row>
    <row r="9130" spans="4:35" hidden="1">
      <c r="D9130" s="1"/>
      <c r="K9130" s="1"/>
      <c r="Q9130" s="1"/>
      <c r="AD9130" s="1"/>
      <c r="AG9130" s="1"/>
      <c r="AI9130" s="1"/>
    </row>
    <row r="9131" spans="4:35" hidden="1">
      <c r="D9131" s="1"/>
      <c r="K9131" s="1"/>
      <c r="Q9131" s="1"/>
      <c r="AD9131" s="1"/>
      <c r="AG9131" s="1"/>
      <c r="AI9131" s="1"/>
    </row>
    <row r="9132" spans="4:35" hidden="1">
      <c r="D9132" s="1"/>
      <c r="K9132" s="1"/>
      <c r="Q9132" s="1"/>
      <c r="AD9132" s="1"/>
      <c r="AG9132" s="1"/>
      <c r="AI9132" s="1"/>
    </row>
    <row r="9133" spans="4:35" hidden="1">
      <c r="D9133" s="1"/>
      <c r="K9133" s="1"/>
      <c r="Q9133" s="1"/>
      <c r="AD9133" s="1"/>
      <c r="AG9133" s="1"/>
      <c r="AI9133" s="1"/>
    </row>
    <row r="9134" spans="4:35" hidden="1">
      <c r="D9134" s="1"/>
      <c r="K9134" s="1"/>
      <c r="Q9134" s="1"/>
      <c r="AD9134" s="1"/>
      <c r="AG9134" s="1"/>
      <c r="AI9134" s="1"/>
    </row>
    <row r="9135" spans="4:35" hidden="1">
      <c r="D9135" s="1"/>
      <c r="K9135" s="1"/>
      <c r="Q9135" s="1"/>
      <c r="AD9135" s="1"/>
      <c r="AG9135" s="1"/>
      <c r="AI9135" s="1"/>
    </row>
    <row r="9136" spans="4:35" hidden="1">
      <c r="D9136" s="1"/>
      <c r="K9136" s="1"/>
      <c r="Q9136" s="1"/>
      <c r="AD9136" s="1"/>
      <c r="AG9136" s="1"/>
      <c r="AI9136" s="1"/>
    </row>
    <row r="9137" spans="4:35" hidden="1">
      <c r="D9137" s="1"/>
      <c r="K9137" s="1"/>
      <c r="Q9137" s="1"/>
      <c r="AD9137" s="1"/>
      <c r="AG9137" s="1"/>
      <c r="AI9137" s="1"/>
    </row>
    <row r="9138" spans="4:35" hidden="1">
      <c r="D9138" s="1"/>
      <c r="K9138" s="1"/>
      <c r="Q9138" s="1"/>
      <c r="AD9138" s="1"/>
      <c r="AG9138" s="1"/>
      <c r="AI9138" s="1"/>
    </row>
    <row r="9139" spans="4:35" hidden="1">
      <c r="D9139" s="1"/>
      <c r="K9139" s="1"/>
      <c r="Q9139" s="1"/>
      <c r="AD9139" s="1"/>
      <c r="AG9139" s="1"/>
      <c r="AI9139" s="1"/>
    </row>
    <row r="9140" spans="4:35" hidden="1">
      <c r="D9140" s="1"/>
      <c r="K9140" s="1"/>
      <c r="Q9140" s="1"/>
      <c r="AD9140" s="1"/>
      <c r="AG9140" s="1"/>
      <c r="AI9140" s="1"/>
    </row>
    <row r="9141" spans="4:35" hidden="1">
      <c r="D9141" s="1"/>
      <c r="K9141" s="1"/>
      <c r="Q9141" s="1"/>
      <c r="AD9141" s="1"/>
      <c r="AG9141" s="1"/>
      <c r="AI9141" s="1"/>
    </row>
    <row r="9142" spans="4:35" hidden="1">
      <c r="D9142" s="1"/>
      <c r="K9142" s="1"/>
      <c r="Q9142" s="1"/>
      <c r="AD9142" s="1"/>
      <c r="AG9142" s="1"/>
      <c r="AI9142" s="1"/>
    </row>
    <row r="9143" spans="4:35" hidden="1">
      <c r="D9143" s="1"/>
      <c r="K9143" s="1"/>
      <c r="Q9143" s="1"/>
      <c r="AD9143" s="1"/>
      <c r="AG9143" s="1"/>
      <c r="AI9143" s="1"/>
    </row>
    <row r="9144" spans="4:35" hidden="1">
      <c r="D9144" s="1"/>
      <c r="K9144" s="1"/>
      <c r="Q9144" s="1"/>
      <c r="AD9144" s="1"/>
      <c r="AG9144" s="1"/>
      <c r="AI9144" s="1"/>
    </row>
    <row r="9145" spans="4:35" hidden="1">
      <c r="D9145" s="1"/>
      <c r="K9145" s="1"/>
      <c r="Q9145" s="1"/>
      <c r="AD9145" s="1"/>
      <c r="AG9145" s="1"/>
      <c r="AI9145" s="1"/>
    </row>
    <row r="9146" spans="4:35" hidden="1">
      <c r="D9146" s="1"/>
      <c r="K9146" s="1"/>
      <c r="Q9146" s="1"/>
      <c r="AD9146" s="1"/>
      <c r="AG9146" s="1"/>
      <c r="AI9146" s="1"/>
    </row>
    <row r="9147" spans="4:35" hidden="1">
      <c r="D9147" s="1"/>
      <c r="K9147" s="1"/>
      <c r="Q9147" s="1"/>
      <c r="AD9147" s="1"/>
      <c r="AG9147" s="1"/>
      <c r="AI9147" s="1"/>
    </row>
    <row r="9148" spans="4:35" hidden="1">
      <c r="D9148" s="1"/>
      <c r="K9148" s="1"/>
      <c r="Q9148" s="1"/>
      <c r="AD9148" s="1"/>
      <c r="AG9148" s="1"/>
      <c r="AI9148" s="1"/>
    </row>
    <row r="9149" spans="4:35" hidden="1">
      <c r="D9149" s="1"/>
      <c r="K9149" s="1"/>
      <c r="Q9149" s="1"/>
      <c r="AD9149" s="1"/>
      <c r="AG9149" s="1"/>
      <c r="AI9149" s="1"/>
    </row>
    <row r="9150" spans="4:35" hidden="1">
      <c r="D9150" s="1"/>
      <c r="K9150" s="1"/>
      <c r="Q9150" s="1"/>
      <c r="AD9150" s="1"/>
      <c r="AG9150" s="1"/>
      <c r="AI9150" s="1"/>
    </row>
    <row r="9151" spans="4:35" hidden="1">
      <c r="D9151" s="1"/>
      <c r="K9151" s="1"/>
      <c r="Q9151" s="1"/>
      <c r="AD9151" s="1"/>
      <c r="AG9151" s="1"/>
      <c r="AI9151" s="1"/>
    </row>
    <row r="9152" spans="4:35" hidden="1">
      <c r="D9152" s="1"/>
      <c r="K9152" s="1"/>
      <c r="Q9152" s="1"/>
      <c r="AD9152" s="1"/>
      <c r="AG9152" s="1"/>
      <c r="AI9152" s="1"/>
    </row>
    <row r="9153" spans="4:35" hidden="1">
      <c r="D9153" s="1"/>
      <c r="K9153" s="1"/>
      <c r="Q9153" s="1"/>
      <c r="AD9153" s="1"/>
      <c r="AG9153" s="1"/>
      <c r="AI9153" s="1"/>
    </row>
    <row r="9154" spans="4:35" hidden="1">
      <c r="D9154" s="1"/>
      <c r="K9154" s="1"/>
      <c r="Q9154" s="1"/>
      <c r="AD9154" s="1"/>
      <c r="AG9154" s="1"/>
      <c r="AI9154" s="1"/>
    </row>
    <row r="9155" spans="4:35" hidden="1">
      <c r="D9155" s="1"/>
      <c r="K9155" s="1"/>
      <c r="Q9155" s="1"/>
      <c r="AD9155" s="1"/>
      <c r="AG9155" s="1"/>
      <c r="AI9155" s="1"/>
    </row>
    <row r="9156" spans="4:35" hidden="1">
      <c r="D9156" s="1"/>
      <c r="K9156" s="1"/>
      <c r="Q9156" s="1"/>
      <c r="AD9156" s="1"/>
      <c r="AG9156" s="1"/>
      <c r="AI9156" s="1"/>
    </row>
    <row r="9157" spans="4:35" hidden="1">
      <c r="D9157" s="1"/>
      <c r="K9157" s="1"/>
      <c r="Q9157" s="1"/>
      <c r="AD9157" s="1"/>
      <c r="AG9157" s="1"/>
      <c r="AI9157" s="1"/>
    </row>
    <row r="9158" spans="4:35" hidden="1">
      <c r="D9158" s="1"/>
      <c r="K9158" s="1"/>
      <c r="Q9158" s="1"/>
      <c r="AD9158" s="1"/>
      <c r="AG9158" s="1"/>
      <c r="AI9158" s="1"/>
    </row>
    <row r="9159" spans="4:35" hidden="1">
      <c r="D9159" s="1"/>
      <c r="K9159" s="1"/>
      <c r="Q9159" s="1"/>
      <c r="AD9159" s="1"/>
      <c r="AG9159" s="1"/>
      <c r="AI9159" s="1"/>
    </row>
    <row r="9160" spans="4:35" hidden="1">
      <c r="D9160" s="1"/>
      <c r="K9160" s="1"/>
      <c r="Q9160" s="1"/>
      <c r="AD9160" s="1"/>
      <c r="AG9160" s="1"/>
      <c r="AI9160" s="1"/>
    </row>
    <row r="9161" spans="4:35" hidden="1">
      <c r="D9161" s="1"/>
      <c r="K9161" s="1"/>
      <c r="Q9161" s="1"/>
      <c r="AD9161" s="1"/>
      <c r="AG9161" s="1"/>
      <c r="AI9161" s="1"/>
    </row>
    <row r="9162" spans="4:35" hidden="1">
      <c r="D9162" s="1"/>
      <c r="K9162" s="1"/>
      <c r="Q9162" s="1"/>
      <c r="AD9162" s="1"/>
      <c r="AG9162" s="1"/>
      <c r="AI9162" s="1"/>
    </row>
    <row r="9163" spans="4:35" hidden="1">
      <c r="D9163" s="1"/>
      <c r="K9163" s="1"/>
      <c r="Q9163" s="1"/>
      <c r="AD9163" s="1"/>
      <c r="AG9163" s="1"/>
      <c r="AI9163" s="1"/>
    </row>
    <row r="9164" spans="4:35" hidden="1">
      <c r="D9164" s="1"/>
      <c r="K9164" s="1"/>
      <c r="Q9164" s="1"/>
      <c r="AD9164" s="1"/>
      <c r="AG9164" s="1"/>
      <c r="AI9164" s="1"/>
    </row>
    <row r="9165" spans="4:35" hidden="1">
      <c r="D9165" s="1"/>
      <c r="K9165" s="1"/>
      <c r="Q9165" s="1"/>
      <c r="AD9165" s="1"/>
      <c r="AG9165" s="1"/>
      <c r="AI9165" s="1"/>
    </row>
    <row r="9166" spans="4:35" hidden="1">
      <c r="D9166" s="1"/>
      <c r="K9166" s="1"/>
      <c r="Q9166" s="1"/>
      <c r="AD9166" s="1"/>
      <c r="AG9166" s="1"/>
      <c r="AI9166" s="1"/>
    </row>
    <row r="9167" spans="4:35" hidden="1">
      <c r="D9167" s="1"/>
      <c r="K9167" s="1"/>
      <c r="Q9167" s="1"/>
      <c r="AD9167" s="1"/>
      <c r="AG9167" s="1"/>
      <c r="AI9167" s="1"/>
    </row>
    <row r="9168" spans="4:35" hidden="1">
      <c r="D9168" s="1"/>
      <c r="K9168" s="1"/>
      <c r="Q9168" s="1"/>
      <c r="AD9168" s="1"/>
      <c r="AG9168" s="1"/>
      <c r="AI9168" s="1"/>
    </row>
    <row r="9169" spans="4:35" hidden="1">
      <c r="D9169" s="1"/>
      <c r="K9169" s="1"/>
      <c r="Q9169" s="1"/>
      <c r="AD9169" s="1"/>
      <c r="AG9169" s="1"/>
      <c r="AI9169" s="1"/>
    </row>
    <row r="9170" spans="4:35" hidden="1">
      <c r="D9170" s="1"/>
      <c r="K9170" s="1"/>
      <c r="Q9170" s="1"/>
      <c r="AD9170" s="1"/>
      <c r="AG9170" s="1"/>
      <c r="AI9170" s="1"/>
    </row>
    <row r="9171" spans="4:35" hidden="1">
      <c r="D9171" s="1"/>
      <c r="K9171" s="1"/>
      <c r="Q9171" s="1"/>
      <c r="AD9171" s="1"/>
      <c r="AG9171" s="1"/>
      <c r="AI9171" s="1"/>
    </row>
    <row r="9172" spans="4:35" hidden="1">
      <c r="D9172" s="1"/>
      <c r="K9172" s="1"/>
      <c r="Q9172" s="1"/>
      <c r="AD9172" s="1"/>
      <c r="AG9172" s="1"/>
      <c r="AI9172" s="1"/>
    </row>
    <row r="9173" spans="4:35" hidden="1">
      <c r="D9173" s="1"/>
      <c r="K9173" s="1"/>
      <c r="Q9173" s="1"/>
      <c r="AD9173" s="1"/>
      <c r="AG9173" s="1"/>
      <c r="AI9173" s="1"/>
    </row>
    <row r="9174" spans="4:35" hidden="1">
      <c r="D9174" s="1"/>
      <c r="K9174" s="1"/>
      <c r="Q9174" s="1"/>
      <c r="AD9174" s="1"/>
      <c r="AG9174" s="1"/>
      <c r="AI9174" s="1"/>
    </row>
    <row r="9175" spans="4:35" hidden="1">
      <c r="D9175" s="1"/>
      <c r="K9175" s="1"/>
      <c r="Q9175" s="1"/>
      <c r="AD9175" s="1"/>
      <c r="AG9175" s="1"/>
      <c r="AI9175" s="1"/>
    </row>
    <row r="9176" spans="4:35" hidden="1">
      <c r="D9176" s="1"/>
      <c r="K9176" s="1"/>
      <c r="Q9176" s="1"/>
      <c r="AD9176" s="1"/>
      <c r="AG9176" s="1"/>
      <c r="AI9176" s="1"/>
    </row>
    <row r="9177" spans="4:35" hidden="1">
      <c r="D9177" s="1"/>
      <c r="K9177" s="1"/>
      <c r="Q9177" s="1"/>
      <c r="AD9177" s="1"/>
      <c r="AG9177" s="1"/>
      <c r="AI9177" s="1"/>
    </row>
    <row r="9178" spans="4:35" hidden="1">
      <c r="D9178" s="1"/>
      <c r="K9178" s="1"/>
      <c r="Q9178" s="1"/>
      <c r="AD9178" s="1"/>
      <c r="AG9178" s="1"/>
      <c r="AI9178" s="1"/>
    </row>
    <row r="9179" spans="4:35" hidden="1">
      <c r="D9179" s="1"/>
      <c r="K9179" s="1"/>
      <c r="Q9179" s="1"/>
      <c r="AD9179" s="1"/>
      <c r="AG9179" s="1"/>
      <c r="AI9179" s="1"/>
    </row>
    <row r="9180" spans="4:35" hidden="1">
      <c r="D9180" s="1"/>
      <c r="K9180" s="1"/>
      <c r="Q9180" s="1"/>
      <c r="AD9180" s="1"/>
      <c r="AG9180" s="1"/>
      <c r="AI9180" s="1"/>
    </row>
    <row r="9181" spans="4:35" hidden="1">
      <c r="D9181" s="1"/>
      <c r="K9181" s="1"/>
      <c r="Q9181" s="1"/>
      <c r="AD9181" s="1"/>
      <c r="AG9181" s="1"/>
      <c r="AI9181" s="1"/>
    </row>
    <row r="9182" spans="4:35" hidden="1">
      <c r="D9182" s="1"/>
      <c r="K9182" s="1"/>
      <c r="Q9182" s="1"/>
      <c r="AD9182" s="1"/>
      <c r="AG9182" s="1"/>
      <c r="AI9182" s="1"/>
    </row>
    <row r="9183" spans="4:35" hidden="1">
      <c r="D9183" s="1"/>
      <c r="K9183" s="1"/>
      <c r="Q9183" s="1"/>
      <c r="AD9183" s="1"/>
      <c r="AG9183" s="1"/>
      <c r="AI9183" s="1"/>
    </row>
    <row r="9184" spans="4:35" hidden="1">
      <c r="D9184" s="1"/>
      <c r="K9184" s="1"/>
      <c r="Q9184" s="1"/>
      <c r="AD9184" s="1"/>
      <c r="AG9184" s="1"/>
      <c r="AI9184" s="1"/>
    </row>
    <row r="9185" spans="4:35" hidden="1">
      <c r="D9185" s="1"/>
      <c r="K9185" s="1"/>
      <c r="Q9185" s="1"/>
      <c r="AD9185" s="1"/>
      <c r="AG9185" s="1"/>
      <c r="AI9185" s="1"/>
    </row>
    <row r="9186" spans="4:35" hidden="1">
      <c r="D9186" s="1"/>
      <c r="K9186" s="1"/>
      <c r="Q9186" s="1"/>
      <c r="AD9186" s="1"/>
      <c r="AG9186" s="1"/>
      <c r="AI9186" s="1"/>
    </row>
    <row r="9187" spans="4:35" hidden="1">
      <c r="D9187" s="1"/>
      <c r="K9187" s="1"/>
      <c r="Q9187" s="1"/>
      <c r="AD9187" s="1"/>
      <c r="AG9187" s="1"/>
      <c r="AI9187" s="1"/>
    </row>
    <row r="9188" spans="4:35" hidden="1">
      <c r="D9188" s="1"/>
      <c r="K9188" s="1"/>
      <c r="Q9188" s="1"/>
      <c r="AD9188" s="1"/>
      <c r="AG9188" s="1"/>
      <c r="AI9188" s="1"/>
    </row>
    <row r="9189" spans="4:35" hidden="1">
      <c r="D9189" s="1"/>
      <c r="K9189" s="1"/>
      <c r="Q9189" s="1"/>
      <c r="AD9189" s="1"/>
      <c r="AG9189" s="1"/>
      <c r="AI9189" s="1"/>
    </row>
    <row r="9190" spans="4:35" hidden="1">
      <c r="D9190" s="1"/>
      <c r="K9190" s="1"/>
      <c r="Q9190" s="1"/>
      <c r="AD9190" s="1"/>
      <c r="AG9190" s="1"/>
      <c r="AI9190" s="1"/>
    </row>
    <row r="9191" spans="4:35" hidden="1">
      <c r="D9191" s="1"/>
      <c r="K9191" s="1"/>
      <c r="Q9191" s="1"/>
      <c r="AD9191" s="1"/>
      <c r="AG9191" s="1"/>
      <c r="AI9191" s="1"/>
    </row>
    <row r="9192" spans="4:35" hidden="1">
      <c r="D9192" s="1"/>
      <c r="K9192" s="1"/>
      <c r="Q9192" s="1"/>
      <c r="AD9192" s="1"/>
      <c r="AG9192" s="1"/>
      <c r="AI9192" s="1"/>
    </row>
    <row r="9193" spans="4:35" hidden="1">
      <c r="D9193" s="1"/>
      <c r="K9193" s="1"/>
      <c r="Q9193" s="1"/>
      <c r="AD9193" s="1"/>
      <c r="AG9193" s="1"/>
      <c r="AI9193" s="1"/>
    </row>
    <row r="9194" spans="4:35" hidden="1">
      <c r="D9194" s="1"/>
      <c r="K9194" s="1"/>
      <c r="Q9194" s="1"/>
      <c r="AD9194" s="1"/>
      <c r="AG9194" s="1"/>
      <c r="AI9194" s="1"/>
    </row>
    <row r="9195" spans="4:35" hidden="1">
      <c r="D9195" s="1"/>
      <c r="K9195" s="1"/>
      <c r="Q9195" s="1"/>
      <c r="AD9195" s="1"/>
      <c r="AG9195" s="1"/>
      <c r="AI9195" s="1"/>
    </row>
    <row r="9196" spans="4:35" hidden="1">
      <c r="D9196" s="1"/>
      <c r="K9196" s="1"/>
      <c r="Q9196" s="1"/>
      <c r="AD9196" s="1"/>
      <c r="AG9196" s="1"/>
      <c r="AI9196" s="1"/>
    </row>
    <row r="9197" spans="4:35" hidden="1">
      <c r="D9197" s="1"/>
      <c r="K9197" s="1"/>
      <c r="Q9197" s="1"/>
      <c r="AD9197" s="1"/>
      <c r="AG9197" s="1"/>
      <c r="AI9197" s="1"/>
    </row>
    <row r="9198" spans="4:35" hidden="1">
      <c r="D9198" s="1"/>
      <c r="K9198" s="1"/>
      <c r="Q9198" s="1"/>
      <c r="AD9198" s="1"/>
      <c r="AG9198" s="1"/>
      <c r="AI9198" s="1"/>
    </row>
    <row r="9199" spans="4:35" hidden="1">
      <c r="D9199" s="1"/>
      <c r="K9199" s="1"/>
      <c r="Q9199" s="1"/>
      <c r="AD9199" s="1"/>
      <c r="AG9199" s="1"/>
      <c r="AI9199" s="1"/>
    </row>
    <row r="9200" spans="4:35" hidden="1">
      <c r="D9200" s="1"/>
      <c r="K9200" s="1"/>
      <c r="Q9200" s="1"/>
      <c r="AD9200" s="1"/>
      <c r="AG9200" s="1"/>
      <c r="AI9200" s="1"/>
    </row>
    <row r="9201" spans="4:35" hidden="1">
      <c r="D9201" s="1"/>
      <c r="K9201" s="1"/>
      <c r="Q9201" s="1"/>
      <c r="AD9201" s="1"/>
      <c r="AG9201" s="1"/>
      <c r="AI9201" s="1"/>
    </row>
    <row r="9202" spans="4:35" hidden="1">
      <c r="D9202" s="1"/>
      <c r="K9202" s="1"/>
      <c r="Q9202" s="1"/>
      <c r="AD9202" s="1"/>
      <c r="AG9202" s="1"/>
      <c r="AI9202" s="1"/>
    </row>
    <row r="9203" spans="4:35" hidden="1">
      <c r="D9203" s="1"/>
      <c r="K9203" s="1"/>
      <c r="Q9203" s="1"/>
      <c r="AD9203" s="1"/>
      <c r="AG9203" s="1"/>
      <c r="AI9203" s="1"/>
    </row>
    <row r="9204" spans="4:35" hidden="1">
      <c r="D9204" s="1"/>
      <c r="K9204" s="1"/>
      <c r="Q9204" s="1"/>
      <c r="AD9204" s="1"/>
      <c r="AG9204" s="1"/>
      <c r="AI9204" s="1"/>
    </row>
    <row r="9205" spans="4:35" hidden="1">
      <c r="D9205" s="1"/>
      <c r="K9205" s="1"/>
      <c r="Q9205" s="1"/>
      <c r="AD9205" s="1"/>
      <c r="AG9205" s="1"/>
      <c r="AI9205" s="1"/>
    </row>
    <row r="9206" spans="4:35" hidden="1">
      <c r="D9206" s="1"/>
      <c r="K9206" s="1"/>
      <c r="Q9206" s="1"/>
      <c r="AD9206" s="1"/>
      <c r="AG9206" s="1"/>
      <c r="AI9206" s="1"/>
    </row>
    <row r="9207" spans="4:35" hidden="1">
      <c r="D9207" s="1"/>
      <c r="K9207" s="1"/>
      <c r="Q9207" s="1"/>
      <c r="AD9207" s="1"/>
      <c r="AG9207" s="1"/>
      <c r="AI9207" s="1"/>
    </row>
    <row r="9208" spans="4:35" hidden="1">
      <c r="D9208" s="1"/>
      <c r="K9208" s="1"/>
      <c r="Q9208" s="1"/>
      <c r="AD9208" s="1"/>
      <c r="AG9208" s="1"/>
      <c r="AI9208" s="1"/>
    </row>
    <row r="9209" spans="4:35" hidden="1">
      <c r="D9209" s="1"/>
      <c r="K9209" s="1"/>
      <c r="Q9209" s="1"/>
      <c r="AD9209" s="1"/>
      <c r="AG9209" s="1"/>
      <c r="AI9209" s="1"/>
    </row>
    <row r="9210" spans="4:35" hidden="1">
      <c r="D9210" s="1"/>
      <c r="K9210" s="1"/>
      <c r="Q9210" s="1"/>
      <c r="AD9210" s="1"/>
      <c r="AG9210" s="1"/>
      <c r="AI9210" s="1"/>
    </row>
    <row r="9211" spans="4:35" hidden="1">
      <c r="D9211" s="1"/>
      <c r="K9211" s="1"/>
      <c r="Q9211" s="1"/>
      <c r="AD9211" s="1"/>
      <c r="AG9211" s="1"/>
      <c r="AI9211" s="1"/>
    </row>
    <row r="9212" spans="4:35" hidden="1">
      <c r="D9212" s="1"/>
      <c r="K9212" s="1"/>
      <c r="Q9212" s="1"/>
      <c r="AD9212" s="1"/>
      <c r="AG9212" s="1"/>
      <c r="AI9212" s="1"/>
    </row>
    <row r="9213" spans="4:35" hidden="1">
      <c r="D9213" s="1"/>
      <c r="K9213" s="1"/>
      <c r="Q9213" s="1"/>
      <c r="AD9213" s="1"/>
      <c r="AG9213" s="1"/>
      <c r="AI9213" s="1"/>
    </row>
    <row r="9214" spans="4:35" hidden="1">
      <c r="D9214" s="1"/>
      <c r="K9214" s="1"/>
      <c r="Q9214" s="1"/>
      <c r="AD9214" s="1"/>
      <c r="AG9214" s="1"/>
      <c r="AI9214" s="1"/>
    </row>
    <row r="9215" spans="4:35" hidden="1">
      <c r="D9215" s="1"/>
      <c r="K9215" s="1"/>
      <c r="Q9215" s="1"/>
      <c r="AD9215" s="1"/>
      <c r="AG9215" s="1"/>
      <c r="AI9215" s="1"/>
    </row>
    <row r="9216" spans="4:35" hidden="1">
      <c r="D9216" s="1"/>
      <c r="K9216" s="1"/>
      <c r="Q9216" s="1"/>
      <c r="AD9216" s="1"/>
      <c r="AG9216" s="1"/>
      <c r="AI9216" s="1"/>
    </row>
    <row r="9217" spans="4:35" hidden="1">
      <c r="D9217" s="1"/>
      <c r="K9217" s="1"/>
      <c r="Q9217" s="1"/>
      <c r="AD9217" s="1"/>
      <c r="AG9217" s="1"/>
      <c r="AI9217" s="1"/>
    </row>
    <row r="9218" spans="4:35" hidden="1">
      <c r="D9218" s="1"/>
      <c r="K9218" s="1"/>
      <c r="Q9218" s="1"/>
      <c r="AD9218" s="1"/>
      <c r="AG9218" s="1"/>
      <c r="AI9218" s="1"/>
    </row>
    <row r="9219" spans="4:35" hidden="1">
      <c r="D9219" s="1"/>
      <c r="K9219" s="1"/>
      <c r="Q9219" s="1"/>
      <c r="AD9219" s="1"/>
      <c r="AG9219" s="1"/>
      <c r="AI9219" s="1"/>
    </row>
    <row r="9220" spans="4:35" hidden="1">
      <c r="D9220" s="1"/>
      <c r="K9220" s="1"/>
      <c r="Q9220" s="1"/>
      <c r="AD9220" s="1"/>
      <c r="AG9220" s="1"/>
      <c r="AI9220" s="1"/>
    </row>
    <row r="9221" spans="4:35" hidden="1">
      <c r="D9221" s="1"/>
      <c r="K9221" s="1"/>
      <c r="Q9221" s="1"/>
      <c r="AD9221" s="1"/>
      <c r="AG9221" s="1"/>
      <c r="AI9221" s="1"/>
    </row>
    <row r="9222" spans="4:35" hidden="1">
      <c r="D9222" s="1"/>
      <c r="K9222" s="1"/>
      <c r="Q9222" s="1"/>
      <c r="AD9222" s="1"/>
      <c r="AG9222" s="1"/>
      <c r="AI9222" s="1"/>
    </row>
    <row r="9223" spans="4:35" hidden="1">
      <c r="D9223" s="1"/>
      <c r="K9223" s="1"/>
      <c r="Q9223" s="1"/>
      <c r="AD9223" s="1"/>
      <c r="AG9223" s="1"/>
      <c r="AI9223" s="1"/>
    </row>
    <row r="9224" spans="4:35" hidden="1">
      <c r="D9224" s="1"/>
      <c r="K9224" s="1"/>
      <c r="Q9224" s="1"/>
      <c r="AD9224" s="1"/>
      <c r="AG9224" s="1"/>
      <c r="AI9224" s="1"/>
    </row>
    <row r="9225" spans="4:35" hidden="1">
      <c r="D9225" s="1"/>
      <c r="K9225" s="1"/>
      <c r="Q9225" s="1"/>
      <c r="AD9225" s="1"/>
      <c r="AG9225" s="1"/>
      <c r="AI9225" s="1"/>
    </row>
    <row r="9226" spans="4:35" hidden="1">
      <c r="D9226" s="1"/>
      <c r="K9226" s="1"/>
      <c r="Q9226" s="1"/>
      <c r="AD9226" s="1"/>
      <c r="AG9226" s="1"/>
      <c r="AI9226" s="1"/>
    </row>
    <row r="9227" spans="4:35" hidden="1">
      <c r="D9227" s="1"/>
      <c r="K9227" s="1"/>
      <c r="Q9227" s="1"/>
      <c r="AD9227" s="1"/>
      <c r="AG9227" s="1"/>
      <c r="AI9227" s="1"/>
    </row>
    <row r="9228" spans="4:35" hidden="1">
      <c r="D9228" s="1"/>
      <c r="K9228" s="1"/>
      <c r="Q9228" s="1"/>
      <c r="AD9228" s="1"/>
      <c r="AG9228" s="1"/>
      <c r="AI9228" s="1"/>
    </row>
    <row r="9229" spans="4:35" hidden="1">
      <c r="D9229" s="1"/>
      <c r="K9229" s="1"/>
      <c r="Q9229" s="1"/>
      <c r="AD9229" s="1"/>
      <c r="AG9229" s="1"/>
      <c r="AI9229" s="1"/>
    </row>
    <row r="9230" spans="4:35" hidden="1">
      <c r="D9230" s="1"/>
      <c r="K9230" s="1"/>
      <c r="Q9230" s="1"/>
      <c r="AD9230" s="1"/>
      <c r="AG9230" s="1"/>
      <c r="AI9230" s="1"/>
    </row>
    <row r="9231" spans="4:35" hidden="1">
      <c r="D9231" s="1"/>
      <c r="K9231" s="1"/>
      <c r="Q9231" s="1"/>
      <c r="AD9231" s="1"/>
      <c r="AG9231" s="1"/>
      <c r="AI9231" s="1"/>
    </row>
    <row r="9232" spans="4:35" hidden="1">
      <c r="D9232" s="1"/>
      <c r="K9232" s="1"/>
      <c r="Q9232" s="1"/>
      <c r="AD9232" s="1"/>
      <c r="AG9232" s="1"/>
      <c r="AI9232" s="1"/>
    </row>
    <row r="9233" spans="4:35" hidden="1">
      <c r="D9233" s="1"/>
      <c r="K9233" s="1"/>
      <c r="Q9233" s="1"/>
      <c r="AD9233" s="1"/>
      <c r="AG9233" s="1"/>
      <c r="AI9233" s="1"/>
    </row>
    <row r="9234" spans="4:35" hidden="1">
      <c r="D9234" s="1"/>
      <c r="K9234" s="1"/>
      <c r="Q9234" s="1"/>
      <c r="AD9234" s="1"/>
      <c r="AG9234" s="1"/>
      <c r="AI9234" s="1"/>
    </row>
    <row r="9235" spans="4:35" hidden="1">
      <c r="D9235" s="1"/>
      <c r="K9235" s="1"/>
      <c r="Q9235" s="1"/>
      <c r="AD9235" s="1"/>
      <c r="AG9235" s="1"/>
      <c r="AI9235" s="1"/>
    </row>
    <row r="9236" spans="4:35" hidden="1">
      <c r="D9236" s="1"/>
      <c r="K9236" s="1"/>
      <c r="Q9236" s="1"/>
      <c r="AD9236" s="1"/>
      <c r="AG9236" s="1"/>
      <c r="AI9236" s="1"/>
    </row>
    <row r="9237" spans="4:35" hidden="1">
      <c r="D9237" s="1"/>
      <c r="K9237" s="1"/>
      <c r="Q9237" s="1"/>
      <c r="AD9237" s="1"/>
      <c r="AG9237" s="1"/>
      <c r="AI9237" s="1"/>
    </row>
    <row r="9238" spans="4:35" hidden="1">
      <c r="D9238" s="1"/>
      <c r="K9238" s="1"/>
      <c r="Q9238" s="1"/>
      <c r="AD9238" s="1"/>
      <c r="AG9238" s="1"/>
      <c r="AI9238" s="1"/>
    </row>
    <row r="9239" spans="4:35" hidden="1">
      <c r="D9239" s="1"/>
      <c r="K9239" s="1"/>
      <c r="Q9239" s="1"/>
      <c r="AD9239" s="1"/>
      <c r="AG9239" s="1"/>
      <c r="AI9239" s="1"/>
    </row>
    <row r="9240" spans="4:35" hidden="1">
      <c r="D9240" s="1"/>
      <c r="K9240" s="1"/>
      <c r="Q9240" s="1"/>
      <c r="AD9240" s="1"/>
      <c r="AG9240" s="1"/>
      <c r="AI9240" s="1"/>
    </row>
    <row r="9241" spans="4:35" hidden="1">
      <c r="D9241" s="1"/>
      <c r="K9241" s="1"/>
      <c r="Q9241" s="1"/>
      <c r="AD9241" s="1"/>
      <c r="AG9241" s="1"/>
      <c r="AI9241" s="1"/>
    </row>
    <row r="9242" spans="4:35" hidden="1">
      <c r="D9242" s="1"/>
      <c r="K9242" s="1"/>
      <c r="Q9242" s="1"/>
      <c r="AD9242" s="1"/>
      <c r="AG9242" s="1"/>
      <c r="AI9242" s="1"/>
    </row>
    <row r="9243" spans="4:35" hidden="1">
      <c r="D9243" s="1"/>
      <c r="K9243" s="1"/>
      <c r="Q9243" s="1"/>
      <c r="AD9243" s="1"/>
      <c r="AG9243" s="1"/>
      <c r="AI9243" s="1"/>
    </row>
    <row r="9244" spans="4:35" hidden="1">
      <c r="D9244" s="1"/>
      <c r="K9244" s="1"/>
      <c r="Q9244" s="1"/>
      <c r="AD9244" s="1"/>
      <c r="AG9244" s="1"/>
      <c r="AI9244" s="1"/>
    </row>
    <row r="9245" spans="4:35" hidden="1">
      <c r="D9245" s="1"/>
      <c r="K9245" s="1"/>
      <c r="Q9245" s="1"/>
      <c r="AD9245" s="1"/>
      <c r="AG9245" s="1"/>
      <c r="AI9245" s="1"/>
    </row>
    <row r="9246" spans="4:35" hidden="1">
      <c r="D9246" s="1"/>
      <c r="K9246" s="1"/>
      <c r="Q9246" s="1"/>
      <c r="AD9246" s="1"/>
      <c r="AG9246" s="1"/>
      <c r="AI9246" s="1"/>
    </row>
    <row r="9247" spans="4:35" hidden="1">
      <c r="D9247" s="1"/>
      <c r="K9247" s="1"/>
      <c r="Q9247" s="1"/>
      <c r="AD9247" s="1"/>
      <c r="AG9247" s="1"/>
      <c r="AI9247" s="1"/>
    </row>
    <row r="9248" spans="4:35" hidden="1">
      <c r="D9248" s="1"/>
      <c r="K9248" s="1"/>
      <c r="Q9248" s="1"/>
      <c r="AD9248" s="1"/>
      <c r="AG9248" s="1"/>
      <c r="AI9248" s="1"/>
    </row>
    <row r="9249" spans="4:35" hidden="1">
      <c r="D9249" s="1"/>
      <c r="K9249" s="1"/>
      <c r="Q9249" s="1"/>
      <c r="AD9249" s="1"/>
      <c r="AG9249" s="1"/>
      <c r="AI9249" s="1"/>
    </row>
    <row r="9250" spans="4:35" hidden="1">
      <c r="D9250" s="1"/>
      <c r="K9250" s="1"/>
      <c r="Q9250" s="1"/>
      <c r="AD9250" s="1"/>
      <c r="AG9250" s="1"/>
      <c r="AI9250" s="1"/>
    </row>
    <row r="9251" spans="4:35" hidden="1">
      <c r="D9251" s="1"/>
      <c r="K9251" s="1"/>
      <c r="Q9251" s="1"/>
      <c r="AD9251" s="1"/>
      <c r="AG9251" s="1"/>
      <c r="AI9251" s="1"/>
    </row>
    <row r="9252" spans="4:35" hidden="1">
      <c r="D9252" s="1"/>
      <c r="K9252" s="1"/>
      <c r="Q9252" s="1"/>
      <c r="AD9252" s="1"/>
      <c r="AG9252" s="1"/>
      <c r="AI9252" s="1"/>
    </row>
    <row r="9253" spans="4:35" hidden="1">
      <c r="D9253" s="1"/>
      <c r="K9253" s="1"/>
      <c r="Q9253" s="1"/>
      <c r="AD9253" s="1"/>
      <c r="AG9253" s="1"/>
      <c r="AI9253" s="1"/>
    </row>
    <row r="9254" spans="4:35" hidden="1">
      <c r="D9254" s="1"/>
      <c r="K9254" s="1"/>
      <c r="Q9254" s="1"/>
      <c r="AD9254" s="1"/>
      <c r="AG9254" s="1"/>
      <c r="AI9254" s="1"/>
    </row>
    <row r="9255" spans="4:35" hidden="1">
      <c r="D9255" s="1"/>
      <c r="K9255" s="1"/>
      <c r="Q9255" s="1"/>
      <c r="AD9255" s="1"/>
      <c r="AG9255" s="1"/>
      <c r="AI9255" s="1"/>
    </row>
    <row r="9256" spans="4:35" hidden="1">
      <c r="D9256" s="1"/>
      <c r="K9256" s="1"/>
      <c r="Q9256" s="1"/>
      <c r="AD9256" s="1"/>
      <c r="AG9256" s="1"/>
      <c r="AI9256" s="1"/>
    </row>
    <row r="9257" spans="4:35" hidden="1">
      <c r="D9257" s="1"/>
      <c r="K9257" s="1"/>
      <c r="Q9257" s="1"/>
      <c r="AD9257" s="1"/>
      <c r="AG9257" s="1"/>
      <c r="AI9257" s="1"/>
    </row>
    <row r="9258" spans="4:35" hidden="1">
      <c r="D9258" s="1"/>
      <c r="K9258" s="1"/>
      <c r="Q9258" s="1"/>
      <c r="AD9258" s="1"/>
      <c r="AG9258" s="1"/>
      <c r="AI9258" s="1"/>
    </row>
    <row r="9259" spans="4:35" hidden="1">
      <c r="D9259" s="1"/>
      <c r="K9259" s="1"/>
      <c r="Q9259" s="1"/>
      <c r="AD9259" s="1"/>
      <c r="AG9259" s="1"/>
      <c r="AI9259" s="1"/>
    </row>
    <row r="9260" spans="4:35" hidden="1">
      <c r="D9260" s="1"/>
      <c r="K9260" s="1"/>
      <c r="Q9260" s="1"/>
      <c r="AD9260" s="1"/>
      <c r="AG9260" s="1"/>
      <c r="AI9260" s="1"/>
    </row>
    <row r="9261" spans="4:35" hidden="1">
      <c r="D9261" s="1"/>
      <c r="K9261" s="1"/>
      <c r="Q9261" s="1"/>
      <c r="AD9261" s="1"/>
      <c r="AG9261" s="1"/>
      <c r="AI9261" s="1"/>
    </row>
    <row r="9262" spans="4:35" hidden="1">
      <c r="D9262" s="1"/>
      <c r="K9262" s="1"/>
      <c r="Q9262" s="1"/>
      <c r="AD9262" s="1"/>
      <c r="AG9262" s="1"/>
      <c r="AI9262" s="1"/>
    </row>
    <row r="9263" spans="4:35" hidden="1">
      <c r="D9263" s="1"/>
      <c r="K9263" s="1"/>
      <c r="Q9263" s="1"/>
      <c r="AD9263" s="1"/>
      <c r="AG9263" s="1"/>
      <c r="AI9263" s="1"/>
    </row>
    <row r="9264" spans="4:35" hidden="1">
      <c r="D9264" s="1"/>
      <c r="K9264" s="1"/>
      <c r="Q9264" s="1"/>
      <c r="AD9264" s="1"/>
      <c r="AG9264" s="1"/>
      <c r="AI9264" s="1"/>
    </row>
    <row r="9265" spans="4:35" hidden="1">
      <c r="D9265" s="1"/>
      <c r="K9265" s="1"/>
      <c r="Q9265" s="1"/>
      <c r="AD9265" s="1"/>
      <c r="AG9265" s="1"/>
      <c r="AI9265" s="1"/>
    </row>
    <row r="9266" spans="4:35" hidden="1">
      <c r="D9266" s="1"/>
      <c r="K9266" s="1"/>
      <c r="Q9266" s="1"/>
      <c r="AD9266" s="1"/>
      <c r="AG9266" s="1"/>
      <c r="AI9266" s="1"/>
    </row>
    <row r="9267" spans="4:35" hidden="1">
      <c r="D9267" s="1"/>
      <c r="K9267" s="1"/>
      <c r="Q9267" s="1"/>
      <c r="AD9267" s="1"/>
      <c r="AG9267" s="1"/>
      <c r="AI9267" s="1"/>
    </row>
    <row r="9268" spans="4:35" hidden="1">
      <c r="D9268" s="1"/>
      <c r="K9268" s="1"/>
      <c r="Q9268" s="1"/>
      <c r="AD9268" s="1"/>
      <c r="AG9268" s="1"/>
      <c r="AI9268" s="1"/>
    </row>
    <row r="9269" spans="4:35" hidden="1">
      <c r="D9269" s="1"/>
      <c r="K9269" s="1"/>
      <c r="Q9269" s="1"/>
      <c r="AD9269" s="1"/>
      <c r="AG9269" s="1"/>
      <c r="AI9269" s="1"/>
    </row>
    <row r="9270" spans="4:35" hidden="1">
      <c r="D9270" s="1"/>
      <c r="K9270" s="1"/>
      <c r="Q9270" s="1"/>
      <c r="AD9270" s="1"/>
      <c r="AG9270" s="1"/>
      <c r="AI9270" s="1"/>
    </row>
    <row r="9271" spans="4:35" hidden="1">
      <c r="D9271" s="1"/>
      <c r="K9271" s="1"/>
      <c r="Q9271" s="1"/>
      <c r="AD9271" s="1"/>
      <c r="AG9271" s="1"/>
      <c r="AI9271" s="1"/>
    </row>
    <row r="9272" spans="4:35" hidden="1">
      <c r="D9272" s="1"/>
      <c r="K9272" s="1"/>
      <c r="Q9272" s="1"/>
      <c r="AD9272" s="1"/>
      <c r="AG9272" s="1"/>
      <c r="AI9272" s="1"/>
    </row>
    <row r="9273" spans="4:35" hidden="1">
      <c r="D9273" s="1"/>
      <c r="K9273" s="1"/>
      <c r="Q9273" s="1"/>
      <c r="AD9273" s="1"/>
      <c r="AG9273" s="1"/>
      <c r="AI9273" s="1"/>
    </row>
    <row r="9274" spans="4:35" hidden="1">
      <c r="D9274" s="1"/>
      <c r="K9274" s="1"/>
      <c r="Q9274" s="1"/>
      <c r="AD9274" s="1"/>
      <c r="AG9274" s="1"/>
      <c r="AI9274" s="1"/>
    </row>
    <row r="9275" spans="4:35" hidden="1">
      <c r="D9275" s="1"/>
      <c r="K9275" s="1"/>
      <c r="Q9275" s="1"/>
      <c r="AD9275" s="1"/>
      <c r="AG9275" s="1"/>
      <c r="AI9275" s="1"/>
    </row>
    <row r="9276" spans="4:35" hidden="1">
      <c r="D9276" s="1"/>
      <c r="K9276" s="1"/>
      <c r="Q9276" s="1"/>
      <c r="AD9276" s="1"/>
      <c r="AG9276" s="1"/>
      <c r="AI9276" s="1"/>
    </row>
    <row r="9277" spans="4:35" hidden="1">
      <c r="D9277" s="1"/>
      <c r="K9277" s="1"/>
      <c r="Q9277" s="1"/>
      <c r="AD9277" s="1"/>
      <c r="AG9277" s="1"/>
      <c r="AI9277" s="1"/>
    </row>
    <row r="9278" spans="4:35" hidden="1">
      <c r="D9278" s="1"/>
      <c r="K9278" s="1"/>
      <c r="Q9278" s="1"/>
      <c r="AD9278" s="1"/>
      <c r="AG9278" s="1"/>
      <c r="AI9278" s="1"/>
    </row>
    <row r="9279" spans="4:35" hidden="1">
      <c r="D9279" s="1"/>
      <c r="K9279" s="1"/>
      <c r="Q9279" s="1"/>
      <c r="AD9279" s="1"/>
      <c r="AG9279" s="1"/>
      <c r="AI9279" s="1"/>
    </row>
    <row r="9280" spans="4:35" hidden="1">
      <c r="D9280" s="1"/>
      <c r="K9280" s="1"/>
      <c r="Q9280" s="1"/>
      <c r="AD9280" s="1"/>
      <c r="AG9280" s="1"/>
      <c r="AI9280" s="1"/>
    </row>
    <row r="9281" spans="4:35" hidden="1">
      <c r="D9281" s="1"/>
      <c r="K9281" s="1"/>
      <c r="Q9281" s="1"/>
      <c r="AD9281" s="1"/>
      <c r="AG9281" s="1"/>
      <c r="AI9281" s="1"/>
    </row>
    <row r="9282" spans="4:35" hidden="1">
      <c r="D9282" s="1"/>
      <c r="K9282" s="1"/>
      <c r="Q9282" s="1"/>
      <c r="AD9282" s="1"/>
      <c r="AG9282" s="1"/>
      <c r="AI9282" s="1"/>
    </row>
    <row r="9283" spans="4:35" hidden="1">
      <c r="D9283" s="1"/>
      <c r="K9283" s="1"/>
      <c r="Q9283" s="1"/>
      <c r="AD9283" s="1"/>
      <c r="AG9283" s="1"/>
      <c r="AI9283" s="1"/>
    </row>
    <row r="9284" spans="4:35" hidden="1">
      <c r="D9284" s="1"/>
      <c r="K9284" s="1"/>
      <c r="Q9284" s="1"/>
      <c r="AD9284" s="1"/>
      <c r="AG9284" s="1"/>
      <c r="AI9284" s="1"/>
    </row>
    <row r="9285" spans="4:35" hidden="1">
      <c r="D9285" s="1"/>
      <c r="K9285" s="1"/>
      <c r="Q9285" s="1"/>
      <c r="AD9285" s="1"/>
      <c r="AG9285" s="1"/>
      <c r="AI9285" s="1"/>
    </row>
    <row r="9286" spans="4:35" hidden="1">
      <c r="D9286" s="1"/>
      <c r="K9286" s="1"/>
      <c r="Q9286" s="1"/>
      <c r="AD9286" s="1"/>
      <c r="AG9286" s="1"/>
      <c r="AI9286" s="1"/>
    </row>
    <row r="9287" spans="4:35" hidden="1">
      <c r="D9287" s="1"/>
      <c r="K9287" s="1"/>
      <c r="Q9287" s="1"/>
      <c r="AD9287" s="1"/>
      <c r="AG9287" s="1"/>
      <c r="AI9287" s="1"/>
    </row>
    <row r="9288" spans="4:35" hidden="1">
      <c r="D9288" s="1"/>
      <c r="K9288" s="1"/>
      <c r="Q9288" s="1"/>
      <c r="AD9288" s="1"/>
      <c r="AG9288" s="1"/>
      <c r="AI9288" s="1"/>
    </row>
    <row r="9289" spans="4:35" hidden="1">
      <c r="D9289" s="1"/>
      <c r="K9289" s="1"/>
      <c r="Q9289" s="1"/>
      <c r="AD9289" s="1"/>
      <c r="AG9289" s="1"/>
      <c r="AI9289" s="1"/>
    </row>
    <row r="9290" spans="4:35" hidden="1">
      <c r="D9290" s="1"/>
      <c r="K9290" s="1"/>
      <c r="Q9290" s="1"/>
      <c r="AD9290" s="1"/>
      <c r="AG9290" s="1"/>
      <c r="AI9290" s="1"/>
    </row>
    <row r="9291" spans="4:35" hidden="1">
      <c r="D9291" s="1"/>
      <c r="K9291" s="1"/>
      <c r="Q9291" s="1"/>
      <c r="AD9291" s="1"/>
      <c r="AG9291" s="1"/>
      <c r="AI9291" s="1"/>
    </row>
    <row r="9292" spans="4:35" hidden="1">
      <c r="D9292" s="1"/>
      <c r="K9292" s="1"/>
      <c r="Q9292" s="1"/>
      <c r="AD9292" s="1"/>
      <c r="AG9292" s="1"/>
      <c r="AI9292" s="1"/>
    </row>
    <row r="9293" spans="4:35" hidden="1">
      <c r="D9293" s="1"/>
      <c r="K9293" s="1"/>
      <c r="Q9293" s="1"/>
      <c r="AD9293" s="1"/>
      <c r="AG9293" s="1"/>
      <c r="AI9293" s="1"/>
    </row>
    <row r="9294" spans="4:35" hidden="1">
      <c r="D9294" s="1"/>
      <c r="K9294" s="1"/>
      <c r="Q9294" s="1"/>
      <c r="AD9294" s="1"/>
      <c r="AG9294" s="1"/>
      <c r="AI9294" s="1"/>
    </row>
    <row r="9295" spans="4:35" hidden="1">
      <c r="D9295" s="1"/>
      <c r="K9295" s="1"/>
      <c r="Q9295" s="1"/>
      <c r="AD9295" s="1"/>
      <c r="AG9295" s="1"/>
      <c r="AI9295" s="1"/>
    </row>
    <row r="9296" spans="4:35" hidden="1">
      <c r="D9296" s="1"/>
      <c r="K9296" s="1"/>
      <c r="Q9296" s="1"/>
      <c r="AD9296" s="1"/>
      <c r="AG9296" s="1"/>
      <c r="AI9296" s="1"/>
    </row>
    <row r="9297" spans="4:35" hidden="1">
      <c r="D9297" s="1"/>
      <c r="K9297" s="1"/>
      <c r="Q9297" s="1"/>
      <c r="AD9297" s="1"/>
      <c r="AG9297" s="1"/>
      <c r="AI9297" s="1"/>
    </row>
    <row r="9298" spans="4:35" hidden="1">
      <c r="D9298" s="1"/>
      <c r="K9298" s="1"/>
      <c r="Q9298" s="1"/>
      <c r="AD9298" s="1"/>
      <c r="AG9298" s="1"/>
      <c r="AI9298" s="1"/>
    </row>
    <row r="9299" spans="4:35" hidden="1">
      <c r="D9299" s="1"/>
      <c r="K9299" s="1"/>
      <c r="Q9299" s="1"/>
      <c r="AD9299" s="1"/>
      <c r="AG9299" s="1"/>
      <c r="AI9299" s="1"/>
    </row>
    <row r="9300" spans="4:35" hidden="1">
      <c r="D9300" s="1"/>
      <c r="K9300" s="1"/>
      <c r="Q9300" s="1"/>
      <c r="AD9300" s="1"/>
      <c r="AG9300" s="1"/>
      <c r="AI9300" s="1"/>
    </row>
    <row r="9301" spans="4:35" hidden="1">
      <c r="D9301" s="1"/>
      <c r="K9301" s="1"/>
      <c r="Q9301" s="1"/>
      <c r="AD9301" s="1"/>
      <c r="AG9301" s="1"/>
      <c r="AI9301" s="1"/>
    </row>
    <row r="9302" spans="4:35" hidden="1">
      <c r="D9302" s="1"/>
      <c r="K9302" s="1"/>
      <c r="Q9302" s="1"/>
      <c r="AD9302" s="1"/>
      <c r="AG9302" s="1"/>
      <c r="AI9302" s="1"/>
    </row>
    <row r="9303" spans="4:35" hidden="1">
      <c r="D9303" s="1"/>
      <c r="K9303" s="1"/>
      <c r="Q9303" s="1"/>
      <c r="AD9303" s="1"/>
      <c r="AG9303" s="1"/>
      <c r="AI9303" s="1"/>
    </row>
    <row r="9304" spans="4:35" hidden="1">
      <c r="D9304" s="1"/>
      <c r="K9304" s="1"/>
      <c r="Q9304" s="1"/>
      <c r="AD9304" s="1"/>
      <c r="AG9304" s="1"/>
      <c r="AI9304" s="1"/>
    </row>
    <row r="9305" spans="4:35" hidden="1">
      <c r="D9305" s="1"/>
      <c r="K9305" s="1"/>
      <c r="Q9305" s="1"/>
      <c r="AD9305" s="1"/>
      <c r="AG9305" s="1"/>
      <c r="AI9305" s="1"/>
    </row>
    <row r="9306" spans="4:35" hidden="1">
      <c r="D9306" s="1"/>
      <c r="K9306" s="1"/>
      <c r="Q9306" s="1"/>
      <c r="AD9306" s="1"/>
      <c r="AG9306" s="1"/>
      <c r="AI9306" s="1"/>
    </row>
    <row r="9307" spans="4:35" hidden="1">
      <c r="D9307" s="1"/>
      <c r="K9307" s="1"/>
      <c r="Q9307" s="1"/>
      <c r="AD9307" s="1"/>
      <c r="AG9307" s="1"/>
      <c r="AI9307" s="1"/>
    </row>
    <row r="9308" spans="4:35" hidden="1">
      <c r="D9308" s="1"/>
      <c r="K9308" s="1"/>
      <c r="Q9308" s="1"/>
      <c r="AD9308" s="1"/>
      <c r="AG9308" s="1"/>
      <c r="AI9308" s="1"/>
    </row>
    <row r="9309" spans="4:35" hidden="1">
      <c r="D9309" s="1"/>
      <c r="K9309" s="1"/>
      <c r="Q9309" s="1"/>
      <c r="AD9309" s="1"/>
      <c r="AG9309" s="1"/>
      <c r="AI9309" s="1"/>
    </row>
    <row r="9310" spans="4:35" hidden="1">
      <c r="D9310" s="1"/>
      <c r="K9310" s="1"/>
      <c r="Q9310" s="1"/>
      <c r="AD9310" s="1"/>
      <c r="AG9310" s="1"/>
      <c r="AI9310" s="1"/>
    </row>
    <row r="9311" spans="4:35" hidden="1">
      <c r="D9311" s="1"/>
      <c r="K9311" s="1"/>
      <c r="Q9311" s="1"/>
      <c r="AD9311" s="1"/>
      <c r="AG9311" s="1"/>
      <c r="AI9311" s="1"/>
    </row>
    <row r="9312" spans="4:35" hidden="1">
      <c r="D9312" s="1"/>
      <c r="K9312" s="1"/>
      <c r="Q9312" s="1"/>
      <c r="AD9312" s="1"/>
      <c r="AG9312" s="1"/>
      <c r="AI9312" s="1"/>
    </row>
    <row r="9313" spans="4:35" hidden="1">
      <c r="D9313" s="1"/>
      <c r="K9313" s="1"/>
      <c r="Q9313" s="1"/>
      <c r="AD9313" s="1"/>
      <c r="AG9313" s="1"/>
      <c r="AI9313" s="1"/>
    </row>
    <row r="9314" spans="4:35" hidden="1">
      <c r="D9314" s="1"/>
      <c r="K9314" s="1"/>
      <c r="Q9314" s="1"/>
      <c r="AD9314" s="1"/>
      <c r="AG9314" s="1"/>
      <c r="AI9314" s="1"/>
    </row>
    <row r="9315" spans="4:35" hidden="1">
      <c r="D9315" s="1"/>
      <c r="K9315" s="1"/>
      <c r="Q9315" s="1"/>
      <c r="AD9315" s="1"/>
      <c r="AG9315" s="1"/>
      <c r="AI9315" s="1"/>
    </row>
    <row r="9316" spans="4:35" hidden="1">
      <c r="D9316" s="1"/>
      <c r="K9316" s="1"/>
      <c r="Q9316" s="1"/>
      <c r="AD9316" s="1"/>
      <c r="AG9316" s="1"/>
      <c r="AI9316" s="1"/>
    </row>
    <row r="9317" spans="4:35" hidden="1">
      <c r="D9317" s="1"/>
      <c r="K9317" s="1"/>
      <c r="Q9317" s="1"/>
      <c r="AD9317" s="1"/>
      <c r="AG9317" s="1"/>
      <c r="AI9317" s="1"/>
    </row>
    <row r="9318" spans="4:35" hidden="1">
      <c r="D9318" s="1"/>
      <c r="K9318" s="1"/>
      <c r="Q9318" s="1"/>
      <c r="AD9318" s="1"/>
      <c r="AG9318" s="1"/>
      <c r="AI9318" s="1"/>
    </row>
    <row r="9319" spans="4:35" hidden="1">
      <c r="D9319" s="1"/>
      <c r="K9319" s="1"/>
      <c r="Q9319" s="1"/>
      <c r="AD9319" s="1"/>
      <c r="AG9319" s="1"/>
      <c r="AI9319" s="1"/>
    </row>
    <row r="9320" spans="4:35" hidden="1">
      <c r="D9320" s="1"/>
      <c r="K9320" s="1"/>
      <c r="Q9320" s="1"/>
      <c r="AD9320" s="1"/>
      <c r="AG9320" s="1"/>
      <c r="AI9320" s="1"/>
    </row>
    <row r="9321" spans="4:35" hidden="1">
      <c r="D9321" s="1"/>
      <c r="K9321" s="1"/>
      <c r="Q9321" s="1"/>
      <c r="AD9321" s="1"/>
      <c r="AG9321" s="1"/>
      <c r="AI9321" s="1"/>
    </row>
    <row r="9322" spans="4:35" hidden="1">
      <c r="D9322" s="1"/>
      <c r="K9322" s="1"/>
      <c r="Q9322" s="1"/>
      <c r="AD9322" s="1"/>
      <c r="AG9322" s="1"/>
      <c r="AI9322" s="1"/>
    </row>
    <row r="9323" spans="4:35" hidden="1">
      <c r="D9323" s="1"/>
      <c r="K9323" s="1"/>
      <c r="Q9323" s="1"/>
      <c r="AD9323" s="1"/>
      <c r="AG9323" s="1"/>
      <c r="AI9323" s="1"/>
    </row>
    <row r="9324" spans="4:35" hidden="1">
      <c r="D9324" s="1"/>
      <c r="K9324" s="1"/>
      <c r="Q9324" s="1"/>
      <c r="AD9324" s="1"/>
      <c r="AG9324" s="1"/>
      <c r="AI9324" s="1"/>
    </row>
    <row r="9325" spans="4:35" hidden="1">
      <c r="D9325" s="1"/>
      <c r="K9325" s="1"/>
      <c r="Q9325" s="1"/>
      <c r="AD9325" s="1"/>
      <c r="AG9325" s="1"/>
      <c r="AI9325" s="1"/>
    </row>
    <row r="9326" spans="4:35" hidden="1">
      <c r="D9326" s="1"/>
      <c r="K9326" s="1"/>
      <c r="Q9326" s="1"/>
      <c r="AD9326" s="1"/>
      <c r="AG9326" s="1"/>
      <c r="AI9326" s="1"/>
    </row>
    <row r="9327" spans="4:35" hidden="1">
      <c r="D9327" s="1"/>
      <c r="K9327" s="1"/>
      <c r="Q9327" s="1"/>
      <c r="AD9327" s="1"/>
      <c r="AG9327" s="1"/>
      <c r="AI9327" s="1"/>
    </row>
    <row r="9328" spans="4:35" hidden="1">
      <c r="D9328" s="1"/>
      <c r="K9328" s="1"/>
      <c r="Q9328" s="1"/>
      <c r="AD9328" s="1"/>
      <c r="AG9328" s="1"/>
      <c r="AI9328" s="1"/>
    </row>
    <row r="9329" spans="4:35" hidden="1">
      <c r="D9329" s="1"/>
      <c r="K9329" s="1"/>
      <c r="Q9329" s="1"/>
      <c r="AD9329" s="1"/>
      <c r="AG9329" s="1"/>
      <c r="AI9329" s="1"/>
    </row>
    <row r="9330" spans="4:35" hidden="1">
      <c r="D9330" s="1"/>
      <c r="K9330" s="1"/>
      <c r="Q9330" s="1"/>
      <c r="AD9330" s="1"/>
      <c r="AG9330" s="1"/>
      <c r="AI9330" s="1"/>
    </row>
    <row r="9331" spans="4:35" hidden="1">
      <c r="D9331" s="1"/>
      <c r="K9331" s="1"/>
      <c r="Q9331" s="1"/>
      <c r="AD9331" s="1"/>
      <c r="AG9331" s="1"/>
      <c r="AI9331" s="1"/>
    </row>
    <row r="9332" spans="4:35" hidden="1">
      <c r="D9332" s="1"/>
      <c r="K9332" s="1"/>
      <c r="Q9332" s="1"/>
      <c r="AD9332" s="1"/>
      <c r="AG9332" s="1"/>
      <c r="AI9332" s="1"/>
    </row>
    <row r="9333" spans="4:35" hidden="1">
      <c r="D9333" s="1"/>
      <c r="K9333" s="1"/>
      <c r="Q9333" s="1"/>
      <c r="AD9333" s="1"/>
      <c r="AG9333" s="1"/>
      <c r="AI9333" s="1"/>
    </row>
    <row r="9334" spans="4:35" hidden="1">
      <c r="D9334" s="1"/>
      <c r="K9334" s="1"/>
      <c r="Q9334" s="1"/>
      <c r="AD9334" s="1"/>
      <c r="AG9334" s="1"/>
      <c r="AI9334" s="1"/>
    </row>
    <row r="9335" spans="4:35" hidden="1">
      <c r="D9335" s="1"/>
      <c r="K9335" s="1"/>
      <c r="Q9335" s="1"/>
      <c r="AD9335" s="1"/>
      <c r="AG9335" s="1"/>
      <c r="AI9335" s="1"/>
    </row>
    <row r="9336" spans="4:35" hidden="1">
      <c r="D9336" s="1"/>
      <c r="K9336" s="1"/>
      <c r="Q9336" s="1"/>
      <c r="AD9336" s="1"/>
      <c r="AG9336" s="1"/>
      <c r="AI9336" s="1"/>
    </row>
    <row r="9337" spans="4:35" hidden="1">
      <c r="D9337" s="1"/>
      <c r="K9337" s="1"/>
      <c r="Q9337" s="1"/>
      <c r="AD9337" s="1"/>
      <c r="AG9337" s="1"/>
      <c r="AI9337" s="1"/>
    </row>
    <row r="9338" spans="4:35" hidden="1">
      <c r="D9338" s="1"/>
      <c r="K9338" s="1"/>
      <c r="Q9338" s="1"/>
      <c r="AD9338" s="1"/>
      <c r="AG9338" s="1"/>
      <c r="AI9338" s="1"/>
    </row>
    <row r="9339" spans="4:35" hidden="1">
      <c r="D9339" s="1"/>
      <c r="K9339" s="1"/>
      <c r="Q9339" s="1"/>
      <c r="AD9339" s="1"/>
      <c r="AG9339" s="1"/>
      <c r="AI9339" s="1"/>
    </row>
    <row r="9340" spans="4:35" hidden="1">
      <c r="D9340" s="1"/>
      <c r="K9340" s="1"/>
      <c r="Q9340" s="1"/>
      <c r="AD9340" s="1"/>
      <c r="AG9340" s="1"/>
      <c r="AI9340" s="1"/>
    </row>
    <row r="9341" spans="4:35" hidden="1">
      <c r="D9341" s="1"/>
      <c r="K9341" s="1"/>
      <c r="Q9341" s="1"/>
      <c r="AD9341" s="1"/>
      <c r="AG9341" s="1"/>
      <c r="AI9341" s="1"/>
    </row>
    <row r="9342" spans="4:35" hidden="1">
      <c r="D9342" s="1"/>
      <c r="K9342" s="1"/>
      <c r="Q9342" s="1"/>
      <c r="AD9342" s="1"/>
      <c r="AG9342" s="1"/>
      <c r="AI9342" s="1"/>
    </row>
    <row r="9343" spans="4:35" hidden="1">
      <c r="D9343" s="1"/>
      <c r="K9343" s="1"/>
      <c r="Q9343" s="1"/>
      <c r="AD9343" s="1"/>
      <c r="AG9343" s="1"/>
      <c r="AI9343" s="1"/>
    </row>
    <row r="9344" spans="4:35" hidden="1">
      <c r="D9344" s="1"/>
      <c r="K9344" s="1"/>
      <c r="Q9344" s="1"/>
      <c r="AD9344" s="1"/>
      <c r="AG9344" s="1"/>
      <c r="AI9344" s="1"/>
    </row>
    <row r="9345" spans="4:35" hidden="1">
      <c r="D9345" s="1"/>
      <c r="K9345" s="1"/>
      <c r="Q9345" s="1"/>
      <c r="AD9345" s="1"/>
      <c r="AG9345" s="1"/>
      <c r="AI9345" s="1"/>
    </row>
    <row r="9346" spans="4:35" hidden="1">
      <c r="D9346" s="1"/>
      <c r="K9346" s="1"/>
      <c r="Q9346" s="1"/>
      <c r="AD9346" s="1"/>
      <c r="AG9346" s="1"/>
      <c r="AI9346" s="1"/>
    </row>
    <row r="9347" spans="4:35" hidden="1">
      <c r="D9347" s="1"/>
      <c r="K9347" s="1"/>
      <c r="Q9347" s="1"/>
      <c r="AD9347" s="1"/>
      <c r="AG9347" s="1"/>
      <c r="AI9347" s="1"/>
    </row>
    <row r="9348" spans="4:35" hidden="1">
      <c r="D9348" s="1"/>
      <c r="K9348" s="1"/>
      <c r="Q9348" s="1"/>
      <c r="AD9348" s="1"/>
      <c r="AG9348" s="1"/>
      <c r="AI9348" s="1"/>
    </row>
    <row r="9349" spans="4:35" hidden="1">
      <c r="D9349" s="1"/>
      <c r="K9349" s="1"/>
      <c r="Q9349" s="1"/>
      <c r="AD9349" s="1"/>
      <c r="AG9349" s="1"/>
      <c r="AI9349" s="1"/>
    </row>
    <row r="9350" spans="4:35" hidden="1">
      <c r="D9350" s="1"/>
      <c r="K9350" s="1"/>
      <c r="Q9350" s="1"/>
      <c r="AD9350" s="1"/>
      <c r="AG9350" s="1"/>
      <c r="AI9350" s="1"/>
    </row>
    <row r="9351" spans="4:35" hidden="1">
      <c r="D9351" s="1"/>
      <c r="K9351" s="1"/>
      <c r="Q9351" s="1"/>
      <c r="AD9351" s="1"/>
      <c r="AG9351" s="1"/>
      <c r="AI9351" s="1"/>
    </row>
    <row r="9352" spans="4:35" hidden="1">
      <c r="D9352" s="1"/>
      <c r="K9352" s="1"/>
      <c r="Q9352" s="1"/>
      <c r="AD9352" s="1"/>
      <c r="AG9352" s="1"/>
      <c r="AI9352" s="1"/>
    </row>
    <row r="9353" spans="4:35" hidden="1">
      <c r="D9353" s="1"/>
      <c r="K9353" s="1"/>
      <c r="Q9353" s="1"/>
      <c r="AD9353" s="1"/>
      <c r="AG9353" s="1"/>
      <c r="AI9353" s="1"/>
    </row>
    <row r="9354" spans="4:35" hidden="1">
      <c r="D9354" s="1"/>
      <c r="K9354" s="1"/>
      <c r="Q9354" s="1"/>
      <c r="AD9354" s="1"/>
      <c r="AG9354" s="1"/>
      <c r="AI9354" s="1"/>
    </row>
    <row r="9355" spans="4:35" hidden="1">
      <c r="D9355" s="1"/>
      <c r="K9355" s="1"/>
      <c r="Q9355" s="1"/>
      <c r="AD9355" s="1"/>
      <c r="AG9355" s="1"/>
      <c r="AI9355" s="1"/>
    </row>
    <row r="9356" spans="4:35" hidden="1">
      <c r="D9356" s="1"/>
      <c r="K9356" s="1"/>
      <c r="Q9356" s="1"/>
      <c r="AD9356" s="1"/>
      <c r="AG9356" s="1"/>
      <c r="AI9356" s="1"/>
    </row>
    <row r="9357" spans="4:35" hidden="1">
      <c r="D9357" s="1"/>
      <c r="K9357" s="1"/>
      <c r="Q9357" s="1"/>
      <c r="AD9357" s="1"/>
      <c r="AG9357" s="1"/>
      <c r="AI9357" s="1"/>
    </row>
    <row r="9358" spans="4:35" hidden="1">
      <c r="D9358" s="1"/>
      <c r="K9358" s="1"/>
      <c r="Q9358" s="1"/>
      <c r="AD9358" s="1"/>
      <c r="AG9358" s="1"/>
      <c r="AI9358" s="1"/>
    </row>
    <row r="9359" spans="4:35" hidden="1">
      <c r="D9359" s="1"/>
      <c r="K9359" s="1"/>
      <c r="Q9359" s="1"/>
      <c r="AD9359" s="1"/>
      <c r="AG9359" s="1"/>
      <c r="AI9359" s="1"/>
    </row>
    <row r="9360" spans="4:35" hidden="1">
      <c r="D9360" s="1"/>
      <c r="K9360" s="1"/>
      <c r="Q9360" s="1"/>
      <c r="AD9360" s="1"/>
      <c r="AG9360" s="1"/>
      <c r="AI9360" s="1"/>
    </row>
    <row r="9361" spans="4:35" hidden="1">
      <c r="D9361" s="1"/>
      <c r="K9361" s="1"/>
      <c r="Q9361" s="1"/>
      <c r="AD9361" s="1"/>
      <c r="AG9361" s="1"/>
      <c r="AI9361" s="1"/>
    </row>
    <row r="9362" spans="4:35" hidden="1">
      <c r="D9362" s="1"/>
      <c r="K9362" s="1"/>
      <c r="Q9362" s="1"/>
      <c r="AD9362" s="1"/>
      <c r="AG9362" s="1"/>
      <c r="AI9362" s="1"/>
    </row>
    <row r="9363" spans="4:35" hidden="1">
      <c r="D9363" s="1"/>
      <c r="K9363" s="1"/>
      <c r="Q9363" s="1"/>
      <c r="AD9363" s="1"/>
      <c r="AG9363" s="1"/>
      <c r="AI9363" s="1"/>
    </row>
    <row r="9364" spans="4:35" hidden="1">
      <c r="D9364" s="1"/>
      <c r="K9364" s="1"/>
      <c r="Q9364" s="1"/>
      <c r="AD9364" s="1"/>
      <c r="AG9364" s="1"/>
      <c r="AI9364" s="1"/>
    </row>
    <row r="9365" spans="4:35" hidden="1">
      <c r="D9365" s="1"/>
      <c r="K9365" s="1"/>
      <c r="Q9365" s="1"/>
      <c r="AD9365" s="1"/>
      <c r="AG9365" s="1"/>
      <c r="AI9365" s="1"/>
    </row>
    <row r="9366" spans="4:35" hidden="1">
      <c r="D9366" s="1"/>
      <c r="K9366" s="1"/>
      <c r="Q9366" s="1"/>
      <c r="AD9366" s="1"/>
      <c r="AG9366" s="1"/>
      <c r="AI9366" s="1"/>
    </row>
    <row r="9367" spans="4:35" hidden="1">
      <c r="D9367" s="1"/>
      <c r="K9367" s="1"/>
      <c r="Q9367" s="1"/>
      <c r="AD9367" s="1"/>
      <c r="AG9367" s="1"/>
      <c r="AI9367" s="1"/>
    </row>
    <row r="9368" spans="4:35" hidden="1">
      <c r="D9368" s="1"/>
      <c r="K9368" s="1"/>
      <c r="Q9368" s="1"/>
      <c r="AD9368" s="1"/>
      <c r="AG9368" s="1"/>
      <c r="AI9368" s="1"/>
    </row>
    <row r="9369" spans="4:35" hidden="1">
      <c r="D9369" s="1"/>
      <c r="K9369" s="1"/>
      <c r="Q9369" s="1"/>
      <c r="AD9369" s="1"/>
      <c r="AG9369" s="1"/>
      <c r="AI9369" s="1"/>
    </row>
    <row r="9370" spans="4:35" hidden="1">
      <c r="D9370" s="1"/>
      <c r="K9370" s="1"/>
      <c r="Q9370" s="1"/>
      <c r="AD9370" s="1"/>
      <c r="AG9370" s="1"/>
      <c r="AI9370" s="1"/>
    </row>
    <row r="9371" spans="4:35" hidden="1">
      <c r="D9371" s="1"/>
      <c r="K9371" s="1"/>
      <c r="Q9371" s="1"/>
      <c r="AD9371" s="1"/>
      <c r="AG9371" s="1"/>
      <c r="AI9371" s="1"/>
    </row>
    <row r="9372" spans="4:35" hidden="1">
      <c r="D9372" s="1"/>
      <c r="K9372" s="1"/>
      <c r="Q9372" s="1"/>
      <c r="AD9372" s="1"/>
      <c r="AG9372" s="1"/>
      <c r="AI9372" s="1"/>
    </row>
    <row r="9373" spans="4:35" hidden="1">
      <c r="D9373" s="1"/>
      <c r="K9373" s="1"/>
      <c r="Q9373" s="1"/>
      <c r="AD9373" s="1"/>
      <c r="AG9373" s="1"/>
      <c r="AI9373" s="1"/>
    </row>
    <row r="9374" spans="4:35" hidden="1">
      <c r="D9374" s="1"/>
      <c r="K9374" s="1"/>
      <c r="Q9374" s="1"/>
      <c r="AD9374" s="1"/>
      <c r="AG9374" s="1"/>
      <c r="AI9374" s="1"/>
    </row>
    <row r="9375" spans="4:35" hidden="1">
      <c r="D9375" s="1"/>
      <c r="K9375" s="1"/>
      <c r="Q9375" s="1"/>
      <c r="AD9375" s="1"/>
      <c r="AG9375" s="1"/>
      <c r="AI9375" s="1"/>
    </row>
    <row r="9376" spans="4:35" hidden="1">
      <c r="D9376" s="1"/>
      <c r="K9376" s="1"/>
      <c r="Q9376" s="1"/>
      <c r="AD9376" s="1"/>
      <c r="AG9376" s="1"/>
      <c r="AI9376" s="1"/>
    </row>
    <row r="9377" spans="4:35" hidden="1">
      <c r="D9377" s="1"/>
      <c r="K9377" s="1"/>
      <c r="Q9377" s="1"/>
      <c r="AD9377" s="1"/>
      <c r="AG9377" s="1"/>
      <c r="AI9377" s="1"/>
    </row>
    <row r="9378" spans="4:35" hidden="1">
      <c r="D9378" s="1"/>
      <c r="K9378" s="1"/>
      <c r="Q9378" s="1"/>
      <c r="AD9378" s="1"/>
      <c r="AG9378" s="1"/>
      <c r="AI9378" s="1"/>
    </row>
    <row r="9379" spans="4:35" hidden="1">
      <c r="D9379" s="1"/>
      <c r="K9379" s="1"/>
      <c r="Q9379" s="1"/>
      <c r="AD9379" s="1"/>
      <c r="AG9379" s="1"/>
      <c r="AI9379" s="1"/>
    </row>
    <row r="9380" spans="4:35" hidden="1">
      <c r="D9380" s="1"/>
      <c r="K9380" s="1"/>
      <c r="Q9380" s="1"/>
      <c r="AD9380" s="1"/>
      <c r="AG9380" s="1"/>
      <c r="AI9380" s="1"/>
    </row>
    <row r="9381" spans="4:35" hidden="1">
      <c r="D9381" s="1"/>
      <c r="K9381" s="1"/>
      <c r="Q9381" s="1"/>
      <c r="AD9381" s="1"/>
      <c r="AG9381" s="1"/>
      <c r="AI9381" s="1"/>
    </row>
    <row r="9382" spans="4:35" hidden="1">
      <c r="D9382" s="1"/>
      <c r="K9382" s="1"/>
      <c r="Q9382" s="1"/>
      <c r="AD9382" s="1"/>
      <c r="AG9382" s="1"/>
      <c r="AI9382" s="1"/>
    </row>
    <row r="9383" spans="4:35" hidden="1">
      <c r="D9383" s="1"/>
      <c r="K9383" s="1"/>
      <c r="Q9383" s="1"/>
      <c r="AD9383" s="1"/>
      <c r="AG9383" s="1"/>
      <c r="AI9383" s="1"/>
    </row>
    <row r="9384" spans="4:35" hidden="1">
      <c r="D9384" s="1"/>
      <c r="K9384" s="1"/>
      <c r="Q9384" s="1"/>
      <c r="AD9384" s="1"/>
      <c r="AG9384" s="1"/>
      <c r="AI9384" s="1"/>
    </row>
    <row r="9385" spans="4:35" hidden="1">
      <c r="D9385" s="1"/>
      <c r="K9385" s="1"/>
      <c r="Q9385" s="1"/>
      <c r="AD9385" s="1"/>
      <c r="AG9385" s="1"/>
      <c r="AI9385" s="1"/>
    </row>
    <row r="9386" spans="4:35" hidden="1">
      <c r="D9386" s="1"/>
      <c r="K9386" s="1"/>
      <c r="Q9386" s="1"/>
      <c r="AD9386" s="1"/>
      <c r="AG9386" s="1"/>
      <c r="AI9386" s="1"/>
    </row>
    <row r="9387" spans="4:35" hidden="1">
      <c r="D9387" s="1"/>
      <c r="K9387" s="1"/>
      <c r="Q9387" s="1"/>
      <c r="AD9387" s="1"/>
      <c r="AG9387" s="1"/>
      <c r="AI9387" s="1"/>
    </row>
    <row r="9388" spans="4:35" hidden="1">
      <c r="D9388" s="1"/>
      <c r="K9388" s="1"/>
      <c r="Q9388" s="1"/>
      <c r="AD9388" s="1"/>
      <c r="AG9388" s="1"/>
      <c r="AI9388" s="1"/>
    </row>
    <row r="9389" spans="4:35" hidden="1">
      <c r="D9389" s="1"/>
      <c r="K9389" s="1"/>
      <c r="Q9389" s="1"/>
      <c r="AD9389" s="1"/>
      <c r="AG9389" s="1"/>
      <c r="AI9389" s="1"/>
    </row>
    <row r="9390" spans="4:35" hidden="1">
      <c r="D9390" s="1"/>
      <c r="K9390" s="1"/>
      <c r="Q9390" s="1"/>
      <c r="AD9390" s="1"/>
      <c r="AG9390" s="1"/>
      <c r="AI9390" s="1"/>
    </row>
    <row r="9391" spans="4:35" hidden="1">
      <c r="D9391" s="1"/>
      <c r="K9391" s="1"/>
      <c r="Q9391" s="1"/>
      <c r="AD9391" s="1"/>
      <c r="AG9391" s="1"/>
      <c r="AI9391" s="1"/>
    </row>
    <row r="9392" spans="4:35" hidden="1">
      <c r="D9392" s="1"/>
      <c r="K9392" s="1"/>
      <c r="Q9392" s="1"/>
      <c r="AD9392" s="1"/>
      <c r="AG9392" s="1"/>
      <c r="AI9392" s="1"/>
    </row>
    <row r="9393" spans="4:35" hidden="1">
      <c r="D9393" s="1"/>
      <c r="K9393" s="1"/>
      <c r="Q9393" s="1"/>
      <c r="AD9393" s="1"/>
      <c r="AG9393" s="1"/>
      <c r="AI9393" s="1"/>
    </row>
    <row r="9394" spans="4:35" hidden="1">
      <c r="D9394" s="1"/>
      <c r="K9394" s="1"/>
      <c r="Q9394" s="1"/>
      <c r="AD9394" s="1"/>
      <c r="AG9394" s="1"/>
      <c r="AI9394" s="1"/>
    </row>
    <row r="9395" spans="4:35" hidden="1">
      <c r="D9395" s="1"/>
      <c r="K9395" s="1"/>
      <c r="Q9395" s="1"/>
      <c r="AD9395" s="1"/>
      <c r="AG9395" s="1"/>
      <c r="AI9395" s="1"/>
    </row>
    <row r="9396" spans="4:35" hidden="1">
      <c r="D9396" s="1"/>
      <c r="K9396" s="1"/>
      <c r="Q9396" s="1"/>
      <c r="AD9396" s="1"/>
      <c r="AG9396" s="1"/>
      <c r="AI9396" s="1"/>
    </row>
    <row r="9397" spans="4:35" hidden="1">
      <c r="D9397" s="1"/>
      <c r="K9397" s="1"/>
      <c r="Q9397" s="1"/>
      <c r="AD9397" s="1"/>
      <c r="AG9397" s="1"/>
      <c r="AI9397" s="1"/>
    </row>
    <row r="9398" spans="4:35" hidden="1">
      <c r="D9398" s="1"/>
      <c r="K9398" s="1"/>
      <c r="Q9398" s="1"/>
      <c r="AD9398" s="1"/>
      <c r="AG9398" s="1"/>
      <c r="AI9398" s="1"/>
    </row>
    <row r="9399" spans="4:35" hidden="1">
      <c r="D9399" s="1"/>
      <c r="K9399" s="1"/>
      <c r="Q9399" s="1"/>
      <c r="AD9399" s="1"/>
      <c r="AG9399" s="1"/>
      <c r="AI9399" s="1"/>
    </row>
    <row r="9400" spans="4:35" hidden="1">
      <c r="D9400" s="1"/>
      <c r="K9400" s="1"/>
      <c r="Q9400" s="1"/>
      <c r="AD9400" s="1"/>
      <c r="AG9400" s="1"/>
      <c r="AI9400" s="1"/>
    </row>
    <row r="9401" spans="4:35" hidden="1">
      <c r="D9401" s="1"/>
      <c r="K9401" s="1"/>
      <c r="Q9401" s="1"/>
      <c r="AD9401" s="1"/>
      <c r="AG9401" s="1"/>
      <c r="AI9401" s="1"/>
    </row>
    <row r="9402" spans="4:35" hidden="1">
      <c r="D9402" s="1"/>
      <c r="K9402" s="1"/>
      <c r="Q9402" s="1"/>
      <c r="AD9402" s="1"/>
      <c r="AG9402" s="1"/>
      <c r="AI9402" s="1"/>
    </row>
    <row r="9403" spans="4:35" hidden="1">
      <c r="D9403" s="1"/>
      <c r="K9403" s="1"/>
      <c r="Q9403" s="1"/>
      <c r="AD9403" s="1"/>
      <c r="AG9403" s="1"/>
      <c r="AI9403" s="1"/>
    </row>
    <row r="9404" spans="4:35" hidden="1">
      <c r="D9404" s="1"/>
      <c r="K9404" s="1"/>
      <c r="Q9404" s="1"/>
      <c r="AD9404" s="1"/>
      <c r="AG9404" s="1"/>
      <c r="AI9404" s="1"/>
    </row>
    <row r="9405" spans="4:35" hidden="1">
      <c r="D9405" s="1"/>
      <c r="K9405" s="1"/>
      <c r="Q9405" s="1"/>
      <c r="AD9405" s="1"/>
      <c r="AG9405" s="1"/>
      <c r="AI9405" s="1"/>
    </row>
    <row r="9406" spans="4:35" hidden="1">
      <c r="D9406" s="1"/>
      <c r="K9406" s="1"/>
      <c r="Q9406" s="1"/>
      <c r="AD9406" s="1"/>
      <c r="AG9406" s="1"/>
      <c r="AI9406" s="1"/>
    </row>
    <row r="9407" spans="4:35" hidden="1">
      <c r="D9407" s="1"/>
      <c r="K9407" s="1"/>
      <c r="Q9407" s="1"/>
      <c r="AD9407" s="1"/>
      <c r="AG9407" s="1"/>
      <c r="AI9407" s="1"/>
    </row>
    <row r="9408" spans="4:35" hidden="1">
      <c r="D9408" s="1"/>
      <c r="K9408" s="1"/>
      <c r="Q9408" s="1"/>
      <c r="AD9408" s="1"/>
      <c r="AG9408" s="1"/>
      <c r="AI9408" s="1"/>
    </row>
    <row r="9409" spans="4:35" hidden="1">
      <c r="D9409" s="1"/>
      <c r="K9409" s="1"/>
      <c r="Q9409" s="1"/>
      <c r="AD9409" s="1"/>
      <c r="AG9409" s="1"/>
      <c r="AI9409" s="1"/>
    </row>
    <row r="9410" spans="4:35" hidden="1">
      <c r="D9410" s="1"/>
      <c r="K9410" s="1"/>
      <c r="Q9410" s="1"/>
      <c r="AD9410" s="1"/>
      <c r="AG9410" s="1"/>
      <c r="AI9410" s="1"/>
    </row>
    <row r="9411" spans="4:35" hidden="1">
      <c r="D9411" s="1"/>
      <c r="K9411" s="1"/>
      <c r="Q9411" s="1"/>
      <c r="AD9411" s="1"/>
      <c r="AG9411" s="1"/>
      <c r="AI9411" s="1"/>
    </row>
    <row r="9412" spans="4:35" hidden="1">
      <c r="D9412" s="1"/>
      <c r="K9412" s="1"/>
      <c r="Q9412" s="1"/>
      <c r="AD9412" s="1"/>
      <c r="AG9412" s="1"/>
      <c r="AI9412" s="1"/>
    </row>
    <row r="9413" spans="4:35" hidden="1">
      <c r="D9413" s="1"/>
      <c r="K9413" s="1"/>
      <c r="Q9413" s="1"/>
      <c r="AD9413" s="1"/>
      <c r="AG9413" s="1"/>
      <c r="AI9413" s="1"/>
    </row>
    <row r="9414" spans="4:35" hidden="1">
      <c r="D9414" s="1"/>
      <c r="K9414" s="1"/>
      <c r="Q9414" s="1"/>
      <c r="AD9414" s="1"/>
      <c r="AG9414" s="1"/>
      <c r="AI9414" s="1"/>
    </row>
    <row r="9415" spans="4:35" hidden="1">
      <c r="D9415" s="1"/>
      <c r="K9415" s="1"/>
      <c r="Q9415" s="1"/>
      <c r="AD9415" s="1"/>
      <c r="AG9415" s="1"/>
      <c r="AI9415" s="1"/>
    </row>
    <row r="9416" spans="4:35" hidden="1">
      <c r="D9416" s="1"/>
      <c r="K9416" s="1"/>
      <c r="Q9416" s="1"/>
      <c r="AD9416" s="1"/>
      <c r="AG9416" s="1"/>
      <c r="AI9416" s="1"/>
    </row>
    <row r="9417" spans="4:35" hidden="1">
      <c r="D9417" s="1"/>
      <c r="K9417" s="1"/>
      <c r="Q9417" s="1"/>
      <c r="AD9417" s="1"/>
      <c r="AG9417" s="1"/>
      <c r="AI9417" s="1"/>
    </row>
    <row r="9418" spans="4:35" hidden="1">
      <c r="D9418" s="1"/>
      <c r="K9418" s="1"/>
      <c r="Q9418" s="1"/>
      <c r="AD9418" s="1"/>
      <c r="AG9418" s="1"/>
      <c r="AI9418" s="1"/>
    </row>
    <row r="9419" spans="4:35" hidden="1">
      <c r="D9419" s="1"/>
      <c r="K9419" s="1"/>
      <c r="Q9419" s="1"/>
      <c r="AD9419" s="1"/>
      <c r="AG9419" s="1"/>
      <c r="AI9419" s="1"/>
    </row>
    <row r="9420" spans="4:35" hidden="1">
      <c r="D9420" s="1"/>
      <c r="K9420" s="1"/>
      <c r="Q9420" s="1"/>
      <c r="AD9420" s="1"/>
      <c r="AG9420" s="1"/>
      <c r="AI9420" s="1"/>
    </row>
    <row r="9421" spans="4:35" hidden="1">
      <c r="D9421" s="1"/>
      <c r="K9421" s="1"/>
      <c r="Q9421" s="1"/>
      <c r="AD9421" s="1"/>
      <c r="AG9421" s="1"/>
      <c r="AI9421" s="1"/>
    </row>
    <row r="9422" spans="4:35" hidden="1">
      <c r="D9422" s="1"/>
      <c r="K9422" s="1"/>
      <c r="Q9422" s="1"/>
      <c r="AD9422" s="1"/>
      <c r="AG9422" s="1"/>
      <c r="AI9422" s="1"/>
    </row>
    <row r="9423" spans="4:35" hidden="1">
      <c r="D9423" s="1"/>
      <c r="K9423" s="1"/>
      <c r="Q9423" s="1"/>
      <c r="AD9423" s="1"/>
      <c r="AG9423" s="1"/>
      <c r="AI9423" s="1"/>
    </row>
    <row r="9424" spans="4:35" hidden="1">
      <c r="D9424" s="1"/>
      <c r="K9424" s="1"/>
      <c r="Q9424" s="1"/>
      <c r="AD9424" s="1"/>
      <c r="AG9424" s="1"/>
      <c r="AI9424" s="1"/>
    </row>
    <row r="9425" spans="4:35" hidden="1">
      <c r="D9425" s="1"/>
      <c r="K9425" s="1"/>
      <c r="Q9425" s="1"/>
      <c r="AD9425" s="1"/>
      <c r="AG9425" s="1"/>
      <c r="AI9425" s="1"/>
    </row>
    <row r="9426" spans="4:35" hidden="1">
      <c r="D9426" s="1"/>
      <c r="K9426" s="1"/>
      <c r="Q9426" s="1"/>
      <c r="AD9426" s="1"/>
      <c r="AG9426" s="1"/>
      <c r="AI9426" s="1"/>
    </row>
    <row r="9427" spans="4:35" hidden="1">
      <c r="D9427" s="1"/>
      <c r="K9427" s="1"/>
      <c r="Q9427" s="1"/>
      <c r="AD9427" s="1"/>
      <c r="AG9427" s="1"/>
      <c r="AI9427" s="1"/>
    </row>
    <row r="9428" spans="4:35" hidden="1">
      <c r="D9428" s="1"/>
      <c r="K9428" s="1"/>
      <c r="Q9428" s="1"/>
      <c r="AD9428" s="1"/>
      <c r="AG9428" s="1"/>
      <c r="AI9428" s="1"/>
    </row>
    <row r="9429" spans="4:35" hidden="1">
      <c r="D9429" s="1"/>
      <c r="K9429" s="1"/>
      <c r="Q9429" s="1"/>
      <c r="AD9429" s="1"/>
      <c r="AG9429" s="1"/>
      <c r="AI9429" s="1"/>
    </row>
    <row r="9430" spans="4:35" hidden="1">
      <c r="D9430" s="1"/>
      <c r="K9430" s="1"/>
      <c r="Q9430" s="1"/>
      <c r="AD9430" s="1"/>
      <c r="AG9430" s="1"/>
      <c r="AI9430" s="1"/>
    </row>
    <row r="9431" spans="4:35" hidden="1">
      <c r="D9431" s="1"/>
      <c r="K9431" s="1"/>
      <c r="Q9431" s="1"/>
      <c r="AD9431" s="1"/>
      <c r="AG9431" s="1"/>
      <c r="AI9431" s="1"/>
    </row>
    <row r="9432" spans="4:35" hidden="1">
      <c r="D9432" s="1"/>
      <c r="K9432" s="1"/>
      <c r="Q9432" s="1"/>
      <c r="AD9432" s="1"/>
      <c r="AG9432" s="1"/>
      <c r="AI9432" s="1"/>
    </row>
    <row r="9433" spans="4:35" hidden="1">
      <c r="D9433" s="1"/>
      <c r="K9433" s="1"/>
      <c r="Q9433" s="1"/>
      <c r="AD9433" s="1"/>
      <c r="AG9433" s="1"/>
      <c r="AI9433" s="1"/>
    </row>
    <row r="9434" spans="4:35" hidden="1">
      <c r="D9434" s="1"/>
      <c r="K9434" s="1"/>
      <c r="Q9434" s="1"/>
      <c r="AD9434" s="1"/>
      <c r="AG9434" s="1"/>
      <c r="AI9434" s="1"/>
    </row>
    <row r="9435" spans="4:35" hidden="1">
      <c r="D9435" s="1"/>
      <c r="K9435" s="1"/>
      <c r="Q9435" s="1"/>
      <c r="AD9435" s="1"/>
      <c r="AG9435" s="1"/>
      <c r="AI9435" s="1"/>
    </row>
    <row r="9436" spans="4:35" hidden="1">
      <c r="D9436" s="1"/>
      <c r="K9436" s="1"/>
      <c r="Q9436" s="1"/>
      <c r="AD9436" s="1"/>
      <c r="AG9436" s="1"/>
      <c r="AI9436" s="1"/>
    </row>
    <row r="9437" spans="4:35" hidden="1">
      <c r="D9437" s="1"/>
      <c r="K9437" s="1"/>
      <c r="Q9437" s="1"/>
      <c r="AD9437" s="1"/>
      <c r="AG9437" s="1"/>
      <c r="AI9437" s="1"/>
    </row>
    <row r="9438" spans="4:35" hidden="1">
      <c r="D9438" s="1"/>
      <c r="K9438" s="1"/>
      <c r="Q9438" s="1"/>
      <c r="AD9438" s="1"/>
      <c r="AG9438" s="1"/>
      <c r="AI9438" s="1"/>
    </row>
    <row r="9439" spans="4:35" hidden="1">
      <c r="D9439" s="1"/>
      <c r="K9439" s="1"/>
      <c r="Q9439" s="1"/>
      <c r="AD9439" s="1"/>
      <c r="AG9439" s="1"/>
      <c r="AI9439" s="1"/>
    </row>
    <row r="9440" spans="4:35" hidden="1">
      <c r="D9440" s="1"/>
      <c r="K9440" s="1"/>
      <c r="Q9440" s="1"/>
      <c r="AD9440" s="1"/>
      <c r="AG9440" s="1"/>
      <c r="AI9440" s="1"/>
    </row>
    <row r="9441" spans="4:35" hidden="1">
      <c r="D9441" s="1"/>
      <c r="K9441" s="1"/>
      <c r="Q9441" s="1"/>
      <c r="AD9441" s="1"/>
      <c r="AG9441" s="1"/>
      <c r="AI9441" s="1"/>
    </row>
    <row r="9442" spans="4:35" hidden="1">
      <c r="D9442" s="1"/>
      <c r="K9442" s="1"/>
      <c r="Q9442" s="1"/>
      <c r="AD9442" s="1"/>
      <c r="AG9442" s="1"/>
      <c r="AI9442" s="1"/>
    </row>
    <row r="9443" spans="4:35" hidden="1">
      <c r="D9443" s="1"/>
      <c r="K9443" s="1"/>
      <c r="Q9443" s="1"/>
      <c r="AD9443" s="1"/>
      <c r="AG9443" s="1"/>
      <c r="AI9443" s="1"/>
    </row>
    <row r="9444" spans="4:35" hidden="1">
      <c r="D9444" s="1"/>
      <c r="K9444" s="1"/>
      <c r="Q9444" s="1"/>
      <c r="AD9444" s="1"/>
      <c r="AG9444" s="1"/>
      <c r="AI9444" s="1"/>
    </row>
    <row r="9445" spans="4:35" hidden="1">
      <c r="D9445" s="1"/>
      <c r="K9445" s="1"/>
      <c r="Q9445" s="1"/>
      <c r="AD9445" s="1"/>
      <c r="AG9445" s="1"/>
      <c r="AI9445" s="1"/>
    </row>
    <row r="9446" spans="4:35" hidden="1">
      <c r="D9446" s="1"/>
      <c r="K9446" s="1"/>
      <c r="Q9446" s="1"/>
      <c r="AD9446" s="1"/>
      <c r="AG9446" s="1"/>
      <c r="AI9446" s="1"/>
    </row>
    <row r="9447" spans="4:35" hidden="1">
      <c r="D9447" s="1"/>
      <c r="K9447" s="1"/>
      <c r="Q9447" s="1"/>
      <c r="AD9447" s="1"/>
      <c r="AG9447" s="1"/>
      <c r="AI9447" s="1"/>
    </row>
    <row r="9448" spans="4:35" hidden="1">
      <c r="D9448" s="1"/>
      <c r="K9448" s="1"/>
      <c r="Q9448" s="1"/>
      <c r="AD9448" s="1"/>
      <c r="AG9448" s="1"/>
      <c r="AI9448" s="1"/>
    </row>
    <row r="9449" spans="4:35" hidden="1">
      <c r="D9449" s="1"/>
      <c r="K9449" s="1"/>
      <c r="Q9449" s="1"/>
      <c r="AD9449" s="1"/>
      <c r="AG9449" s="1"/>
      <c r="AI9449" s="1"/>
    </row>
    <row r="9450" spans="4:35" hidden="1">
      <c r="D9450" s="1"/>
      <c r="K9450" s="1"/>
      <c r="Q9450" s="1"/>
      <c r="AD9450" s="1"/>
      <c r="AG9450" s="1"/>
      <c r="AI9450" s="1"/>
    </row>
    <row r="9451" spans="4:35" hidden="1">
      <c r="D9451" s="1"/>
      <c r="K9451" s="1"/>
      <c r="Q9451" s="1"/>
      <c r="AD9451" s="1"/>
      <c r="AG9451" s="1"/>
      <c r="AI9451" s="1"/>
    </row>
    <row r="9452" spans="4:35" hidden="1">
      <c r="D9452" s="1"/>
      <c r="K9452" s="1"/>
      <c r="Q9452" s="1"/>
      <c r="AD9452" s="1"/>
      <c r="AG9452" s="1"/>
      <c r="AI9452" s="1"/>
    </row>
    <row r="9453" spans="4:35" hidden="1">
      <c r="D9453" s="1"/>
      <c r="K9453" s="1"/>
      <c r="Q9453" s="1"/>
      <c r="AD9453" s="1"/>
      <c r="AG9453" s="1"/>
      <c r="AI9453" s="1"/>
    </row>
    <row r="9454" spans="4:35" hidden="1">
      <c r="D9454" s="1"/>
      <c r="K9454" s="1"/>
      <c r="Q9454" s="1"/>
      <c r="AD9454" s="1"/>
      <c r="AG9454" s="1"/>
      <c r="AI9454" s="1"/>
    </row>
    <row r="9455" spans="4:35" hidden="1">
      <c r="D9455" s="1"/>
      <c r="K9455" s="1"/>
      <c r="Q9455" s="1"/>
      <c r="AD9455" s="1"/>
      <c r="AG9455" s="1"/>
      <c r="AI9455" s="1"/>
    </row>
    <row r="9456" spans="4:35" hidden="1">
      <c r="D9456" s="1"/>
      <c r="K9456" s="1"/>
      <c r="Q9456" s="1"/>
      <c r="AD9456" s="1"/>
      <c r="AG9456" s="1"/>
      <c r="AI9456" s="1"/>
    </row>
    <row r="9457" spans="4:35" hidden="1">
      <c r="D9457" s="1"/>
      <c r="K9457" s="1"/>
      <c r="Q9457" s="1"/>
      <c r="AD9457" s="1"/>
      <c r="AG9457" s="1"/>
      <c r="AI9457" s="1"/>
    </row>
    <row r="9458" spans="4:35" hidden="1">
      <c r="D9458" s="1"/>
      <c r="K9458" s="1"/>
      <c r="Q9458" s="1"/>
      <c r="AD9458" s="1"/>
      <c r="AG9458" s="1"/>
      <c r="AI9458" s="1"/>
    </row>
    <row r="9459" spans="4:35" hidden="1">
      <c r="D9459" s="1"/>
      <c r="K9459" s="1"/>
      <c r="Q9459" s="1"/>
      <c r="AD9459" s="1"/>
      <c r="AG9459" s="1"/>
      <c r="AI9459" s="1"/>
    </row>
    <row r="9460" spans="4:35" hidden="1">
      <c r="D9460" s="1"/>
      <c r="K9460" s="1"/>
      <c r="Q9460" s="1"/>
      <c r="AD9460" s="1"/>
      <c r="AG9460" s="1"/>
      <c r="AI9460" s="1"/>
    </row>
    <row r="9461" spans="4:35" hidden="1">
      <c r="D9461" s="1"/>
      <c r="K9461" s="1"/>
      <c r="Q9461" s="1"/>
      <c r="AD9461" s="1"/>
      <c r="AG9461" s="1"/>
      <c r="AI9461" s="1"/>
    </row>
    <row r="9462" spans="4:35" hidden="1">
      <c r="D9462" s="1"/>
      <c r="K9462" s="1"/>
      <c r="Q9462" s="1"/>
      <c r="AD9462" s="1"/>
      <c r="AG9462" s="1"/>
      <c r="AI9462" s="1"/>
    </row>
    <row r="9463" spans="4:35" hidden="1">
      <c r="D9463" s="1"/>
      <c r="K9463" s="1"/>
      <c r="Q9463" s="1"/>
      <c r="AD9463" s="1"/>
      <c r="AG9463" s="1"/>
      <c r="AI9463" s="1"/>
    </row>
    <row r="9464" spans="4:35" hidden="1">
      <c r="D9464" s="1"/>
      <c r="K9464" s="1"/>
      <c r="Q9464" s="1"/>
      <c r="AD9464" s="1"/>
      <c r="AG9464" s="1"/>
      <c r="AI9464" s="1"/>
    </row>
    <row r="9465" spans="4:35" hidden="1">
      <c r="D9465" s="1"/>
      <c r="K9465" s="1"/>
      <c r="Q9465" s="1"/>
      <c r="AD9465" s="1"/>
      <c r="AG9465" s="1"/>
      <c r="AI9465" s="1"/>
    </row>
    <row r="9466" spans="4:35" hidden="1">
      <c r="D9466" s="1"/>
      <c r="K9466" s="1"/>
      <c r="Q9466" s="1"/>
      <c r="AD9466" s="1"/>
      <c r="AG9466" s="1"/>
      <c r="AI9466" s="1"/>
    </row>
    <row r="9467" spans="4:35" hidden="1">
      <c r="D9467" s="1"/>
      <c r="K9467" s="1"/>
      <c r="Q9467" s="1"/>
      <c r="AD9467" s="1"/>
      <c r="AG9467" s="1"/>
      <c r="AI9467" s="1"/>
    </row>
    <row r="9468" spans="4:35" hidden="1">
      <c r="D9468" s="1"/>
      <c r="K9468" s="1"/>
      <c r="Q9468" s="1"/>
      <c r="AD9468" s="1"/>
      <c r="AG9468" s="1"/>
      <c r="AI9468" s="1"/>
    </row>
    <row r="9469" spans="4:35" hidden="1">
      <c r="D9469" s="1"/>
      <c r="K9469" s="1"/>
      <c r="Q9469" s="1"/>
      <c r="AD9469" s="1"/>
      <c r="AG9469" s="1"/>
      <c r="AI9469" s="1"/>
    </row>
    <row r="9470" spans="4:35" hidden="1">
      <c r="D9470" s="1"/>
      <c r="K9470" s="1"/>
      <c r="Q9470" s="1"/>
      <c r="AD9470" s="1"/>
      <c r="AG9470" s="1"/>
      <c r="AI9470" s="1"/>
    </row>
    <row r="9471" spans="4:35" hidden="1">
      <c r="D9471" s="1"/>
      <c r="K9471" s="1"/>
      <c r="Q9471" s="1"/>
      <c r="AD9471" s="1"/>
      <c r="AG9471" s="1"/>
      <c r="AI9471" s="1"/>
    </row>
    <row r="9472" spans="4:35" hidden="1">
      <c r="D9472" s="1"/>
      <c r="K9472" s="1"/>
      <c r="Q9472" s="1"/>
      <c r="AD9472" s="1"/>
      <c r="AG9472" s="1"/>
      <c r="AI9472" s="1"/>
    </row>
    <row r="9473" spans="4:35" hidden="1">
      <c r="D9473" s="1"/>
      <c r="K9473" s="1"/>
      <c r="Q9473" s="1"/>
      <c r="AD9473" s="1"/>
      <c r="AG9473" s="1"/>
      <c r="AI9473" s="1"/>
    </row>
    <row r="9474" spans="4:35" hidden="1">
      <c r="D9474" s="1"/>
      <c r="K9474" s="1"/>
      <c r="Q9474" s="1"/>
      <c r="AD9474" s="1"/>
      <c r="AG9474" s="1"/>
      <c r="AI9474" s="1"/>
    </row>
    <row r="9475" spans="4:35" hidden="1">
      <c r="D9475" s="1"/>
      <c r="K9475" s="1"/>
      <c r="Q9475" s="1"/>
      <c r="AD9475" s="1"/>
      <c r="AG9475" s="1"/>
      <c r="AI9475" s="1"/>
    </row>
    <row r="9476" spans="4:35" hidden="1">
      <c r="D9476" s="1"/>
      <c r="K9476" s="1"/>
      <c r="Q9476" s="1"/>
      <c r="AD9476" s="1"/>
      <c r="AG9476" s="1"/>
      <c r="AI9476" s="1"/>
    </row>
    <row r="9477" spans="4:35" hidden="1">
      <c r="D9477" s="1"/>
      <c r="K9477" s="1"/>
      <c r="Q9477" s="1"/>
      <c r="AD9477" s="1"/>
      <c r="AG9477" s="1"/>
      <c r="AI9477" s="1"/>
    </row>
    <row r="9478" spans="4:35" hidden="1">
      <c r="D9478" s="1"/>
      <c r="K9478" s="1"/>
      <c r="Q9478" s="1"/>
      <c r="AD9478" s="1"/>
      <c r="AG9478" s="1"/>
      <c r="AI9478" s="1"/>
    </row>
    <row r="9479" spans="4:35" hidden="1">
      <c r="D9479" s="1"/>
      <c r="K9479" s="1"/>
      <c r="Q9479" s="1"/>
      <c r="AD9479" s="1"/>
      <c r="AG9479" s="1"/>
      <c r="AI9479" s="1"/>
    </row>
    <row r="9480" spans="4:35" hidden="1">
      <c r="D9480" s="1"/>
      <c r="K9480" s="1"/>
      <c r="Q9480" s="1"/>
      <c r="AD9480" s="1"/>
      <c r="AG9480" s="1"/>
      <c r="AI9480" s="1"/>
    </row>
    <row r="9481" spans="4:35" hidden="1">
      <c r="D9481" s="1"/>
      <c r="K9481" s="1"/>
      <c r="Q9481" s="1"/>
      <c r="AD9481" s="1"/>
      <c r="AG9481" s="1"/>
      <c r="AI9481" s="1"/>
    </row>
    <row r="9482" spans="4:35" hidden="1">
      <c r="D9482" s="1"/>
      <c r="K9482" s="1"/>
      <c r="Q9482" s="1"/>
      <c r="AD9482" s="1"/>
      <c r="AG9482" s="1"/>
      <c r="AI9482" s="1"/>
    </row>
    <row r="9483" spans="4:35" hidden="1">
      <c r="D9483" s="1"/>
      <c r="K9483" s="1"/>
      <c r="Q9483" s="1"/>
      <c r="AD9483" s="1"/>
      <c r="AG9483" s="1"/>
      <c r="AI9483" s="1"/>
    </row>
    <row r="9484" spans="4:35" hidden="1">
      <c r="D9484" s="1"/>
      <c r="K9484" s="1"/>
      <c r="Q9484" s="1"/>
      <c r="AD9484" s="1"/>
      <c r="AG9484" s="1"/>
      <c r="AI9484" s="1"/>
    </row>
    <row r="9485" spans="4:35" hidden="1">
      <c r="D9485" s="1"/>
      <c r="K9485" s="1"/>
      <c r="Q9485" s="1"/>
      <c r="AD9485" s="1"/>
      <c r="AG9485" s="1"/>
      <c r="AI9485" s="1"/>
    </row>
    <row r="9486" spans="4:35" hidden="1">
      <c r="D9486" s="1"/>
      <c r="K9486" s="1"/>
      <c r="Q9486" s="1"/>
      <c r="AD9486" s="1"/>
      <c r="AG9486" s="1"/>
      <c r="AI9486" s="1"/>
    </row>
    <row r="9487" spans="4:35" hidden="1">
      <c r="D9487" s="1"/>
      <c r="K9487" s="1"/>
      <c r="Q9487" s="1"/>
      <c r="AD9487" s="1"/>
      <c r="AG9487" s="1"/>
      <c r="AI9487" s="1"/>
    </row>
    <row r="9488" spans="4:35" hidden="1">
      <c r="D9488" s="1"/>
      <c r="K9488" s="1"/>
      <c r="Q9488" s="1"/>
      <c r="AD9488" s="1"/>
      <c r="AG9488" s="1"/>
      <c r="AI9488" s="1"/>
    </row>
    <row r="9489" spans="4:35" hidden="1">
      <c r="D9489" s="1"/>
      <c r="K9489" s="1"/>
      <c r="Q9489" s="1"/>
      <c r="AD9489" s="1"/>
      <c r="AG9489" s="1"/>
      <c r="AI9489" s="1"/>
    </row>
    <row r="9490" spans="4:35" hidden="1">
      <c r="D9490" s="1"/>
      <c r="K9490" s="1"/>
      <c r="Q9490" s="1"/>
      <c r="AD9490" s="1"/>
      <c r="AG9490" s="1"/>
      <c r="AI9490" s="1"/>
    </row>
    <row r="9491" spans="4:35" hidden="1">
      <c r="D9491" s="1"/>
      <c r="K9491" s="1"/>
      <c r="Q9491" s="1"/>
      <c r="AD9491" s="1"/>
      <c r="AG9491" s="1"/>
      <c r="AI9491" s="1"/>
    </row>
    <row r="9492" spans="4:35" hidden="1">
      <c r="D9492" s="1"/>
      <c r="K9492" s="1"/>
      <c r="Q9492" s="1"/>
      <c r="AD9492" s="1"/>
      <c r="AG9492" s="1"/>
      <c r="AI9492" s="1"/>
    </row>
    <row r="9493" spans="4:35" hidden="1">
      <c r="D9493" s="1"/>
      <c r="K9493" s="1"/>
      <c r="Q9493" s="1"/>
      <c r="AD9493" s="1"/>
      <c r="AG9493" s="1"/>
      <c r="AI9493" s="1"/>
    </row>
    <row r="9494" spans="4:35" hidden="1">
      <c r="D9494" s="1"/>
      <c r="K9494" s="1"/>
      <c r="Q9494" s="1"/>
      <c r="AD9494" s="1"/>
      <c r="AG9494" s="1"/>
      <c r="AI9494" s="1"/>
    </row>
    <row r="9495" spans="4:35" hidden="1">
      <c r="D9495" s="1"/>
      <c r="K9495" s="1"/>
      <c r="Q9495" s="1"/>
      <c r="AD9495" s="1"/>
      <c r="AG9495" s="1"/>
      <c r="AI9495" s="1"/>
    </row>
    <row r="9496" spans="4:35" hidden="1">
      <c r="D9496" s="1"/>
      <c r="K9496" s="1"/>
      <c r="Q9496" s="1"/>
      <c r="AD9496" s="1"/>
      <c r="AG9496" s="1"/>
      <c r="AI9496" s="1"/>
    </row>
    <row r="9497" spans="4:35" hidden="1">
      <c r="D9497" s="1"/>
      <c r="K9497" s="1"/>
      <c r="Q9497" s="1"/>
      <c r="AD9497" s="1"/>
      <c r="AG9497" s="1"/>
      <c r="AI9497" s="1"/>
    </row>
    <row r="9498" spans="4:35" hidden="1">
      <c r="D9498" s="1"/>
      <c r="K9498" s="1"/>
      <c r="Q9498" s="1"/>
      <c r="AD9498" s="1"/>
      <c r="AG9498" s="1"/>
      <c r="AI9498" s="1"/>
    </row>
    <row r="9499" spans="4:35" hidden="1">
      <c r="D9499" s="1"/>
      <c r="K9499" s="1"/>
      <c r="Q9499" s="1"/>
      <c r="AD9499" s="1"/>
      <c r="AG9499" s="1"/>
      <c r="AI9499" s="1"/>
    </row>
    <row r="9500" spans="4:35" hidden="1">
      <c r="D9500" s="1"/>
      <c r="K9500" s="1"/>
      <c r="Q9500" s="1"/>
      <c r="AD9500" s="1"/>
      <c r="AG9500" s="1"/>
      <c r="AI9500" s="1"/>
    </row>
    <row r="9501" spans="4:35" hidden="1">
      <c r="D9501" s="1"/>
      <c r="K9501" s="1"/>
      <c r="Q9501" s="1"/>
      <c r="AD9501" s="1"/>
      <c r="AG9501" s="1"/>
      <c r="AI9501" s="1"/>
    </row>
    <row r="9502" spans="4:35" hidden="1">
      <c r="D9502" s="1"/>
      <c r="K9502" s="1"/>
      <c r="Q9502" s="1"/>
      <c r="AD9502" s="1"/>
      <c r="AG9502" s="1"/>
      <c r="AI9502" s="1"/>
    </row>
    <row r="9503" spans="4:35" hidden="1">
      <c r="D9503" s="1"/>
      <c r="K9503" s="1"/>
      <c r="Q9503" s="1"/>
      <c r="AD9503" s="1"/>
      <c r="AG9503" s="1"/>
      <c r="AI9503" s="1"/>
    </row>
    <row r="9504" spans="4:35" hidden="1">
      <c r="D9504" s="1"/>
      <c r="K9504" s="1"/>
      <c r="Q9504" s="1"/>
      <c r="AD9504" s="1"/>
      <c r="AG9504" s="1"/>
      <c r="AI9504" s="1"/>
    </row>
    <row r="9505" spans="4:35" hidden="1">
      <c r="D9505" s="1"/>
      <c r="K9505" s="1"/>
      <c r="Q9505" s="1"/>
      <c r="AD9505" s="1"/>
      <c r="AG9505" s="1"/>
      <c r="AI9505" s="1"/>
    </row>
    <row r="9506" spans="4:35" hidden="1">
      <c r="D9506" s="1"/>
      <c r="K9506" s="1"/>
      <c r="Q9506" s="1"/>
      <c r="AD9506" s="1"/>
      <c r="AG9506" s="1"/>
      <c r="AI9506" s="1"/>
    </row>
    <row r="9507" spans="4:35" hidden="1">
      <c r="D9507" s="1"/>
      <c r="K9507" s="1"/>
      <c r="Q9507" s="1"/>
      <c r="AD9507" s="1"/>
      <c r="AG9507" s="1"/>
      <c r="AI9507" s="1"/>
    </row>
    <row r="9508" spans="4:35" hidden="1">
      <c r="D9508" s="1"/>
      <c r="K9508" s="1"/>
      <c r="Q9508" s="1"/>
      <c r="AD9508" s="1"/>
      <c r="AG9508" s="1"/>
      <c r="AI9508" s="1"/>
    </row>
    <row r="9509" spans="4:35" hidden="1">
      <c r="D9509" s="1"/>
      <c r="K9509" s="1"/>
      <c r="Q9509" s="1"/>
      <c r="AD9509" s="1"/>
      <c r="AG9509" s="1"/>
      <c r="AI9509" s="1"/>
    </row>
    <row r="9510" spans="4:35" hidden="1">
      <c r="D9510" s="1"/>
      <c r="K9510" s="1"/>
      <c r="Q9510" s="1"/>
      <c r="AD9510" s="1"/>
      <c r="AG9510" s="1"/>
      <c r="AI9510" s="1"/>
    </row>
    <row r="9511" spans="4:35" hidden="1">
      <c r="D9511" s="1"/>
      <c r="K9511" s="1"/>
      <c r="Q9511" s="1"/>
      <c r="AD9511" s="1"/>
      <c r="AG9511" s="1"/>
      <c r="AI9511" s="1"/>
    </row>
    <row r="9512" spans="4:35" hidden="1">
      <c r="D9512" s="1"/>
      <c r="K9512" s="1"/>
      <c r="Q9512" s="1"/>
      <c r="AD9512" s="1"/>
      <c r="AG9512" s="1"/>
      <c r="AI9512" s="1"/>
    </row>
    <row r="9513" spans="4:35" hidden="1">
      <c r="D9513" s="1"/>
      <c r="K9513" s="1"/>
      <c r="Q9513" s="1"/>
      <c r="AD9513" s="1"/>
      <c r="AG9513" s="1"/>
      <c r="AI9513" s="1"/>
    </row>
    <row r="9514" spans="4:35" hidden="1">
      <c r="D9514" s="1"/>
      <c r="K9514" s="1"/>
      <c r="Q9514" s="1"/>
      <c r="AD9514" s="1"/>
      <c r="AG9514" s="1"/>
      <c r="AI9514" s="1"/>
    </row>
    <row r="9515" spans="4:35" hidden="1">
      <c r="D9515" s="1"/>
      <c r="K9515" s="1"/>
      <c r="Q9515" s="1"/>
      <c r="AD9515" s="1"/>
      <c r="AG9515" s="1"/>
      <c r="AI9515" s="1"/>
    </row>
    <row r="9516" spans="4:35" hidden="1">
      <c r="D9516" s="1"/>
      <c r="K9516" s="1"/>
      <c r="Q9516" s="1"/>
      <c r="AD9516" s="1"/>
      <c r="AG9516" s="1"/>
      <c r="AI9516" s="1"/>
    </row>
    <row r="9517" spans="4:35" hidden="1">
      <c r="D9517" s="1"/>
      <c r="K9517" s="1"/>
      <c r="Q9517" s="1"/>
      <c r="AD9517" s="1"/>
      <c r="AG9517" s="1"/>
      <c r="AI9517" s="1"/>
    </row>
    <row r="9518" spans="4:35" hidden="1">
      <c r="D9518" s="1"/>
      <c r="K9518" s="1"/>
      <c r="Q9518" s="1"/>
      <c r="AD9518" s="1"/>
      <c r="AG9518" s="1"/>
      <c r="AI9518" s="1"/>
    </row>
    <row r="9519" spans="4:35" hidden="1">
      <c r="D9519" s="1"/>
      <c r="K9519" s="1"/>
      <c r="Q9519" s="1"/>
      <c r="AD9519" s="1"/>
      <c r="AG9519" s="1"/>
      <c r="AI9519" s="1"/>
    </row>
    <row r="9520" spans="4:35" hidden="1">
      <c r="D9520" s="1"/>
      <c r="K9520" s="1"/>
      <c r="Q9520" s="1"/>
      <c r="AD9520" s="1"/>
      <c r="AG9520" s="1"/>
      <c r="AI9520" s="1"/>
    </row>
    <row r="9521" spans="4:35" hidden="1">
      <c r="D9521" s="1"/>
      <c r="K9521" s="1"/>
      <c r="Q9521" s="1"/>
      <c r="AD9521" s="1"/>
      <c r="AG9521" s="1"/>
      <c r="AI9521" s="1"/>
    </row>
    <row r="9522" spans="4:35" hidden="1">
      <c r="D9522" s="1"/>
      <c r="K9522" s="1"/>
      <c r="Q9522" s="1"/>
      <c r="AD9522" s="1"/>
      <c r="AG9522" s="1"/>
      <c r="AI9522" s="1"/>
    </row>
    <row r="9523" spans="4:35" hidden="1">
      <c r="D9523" s="1"/>
      <c r="K9523" s="1"/>
      <c r="Q9523" s="1"/>
      <c r="AD9523" s="1"/>
      <c r="AG9523" s="1"/>
      <c r="AI9523" s="1"/>
    </row>
    <row r="9524" spans="4:35" hidden="1">
      <c r="D9524" s="1"/>
      <c r="K9524" s="1"/>
      <c r="Q9524" s="1"/>
      <c r="AD9524" s="1"/>
      <c r="AG9524" s="1"/>
      <c r="AI9524" s="1"/>
    </row>
    <row r="9525" spans="4:35" hidden="1">
      <c r="D9525" s="1"/>
      <c r="K9525" s="1"/>
      <c r="Q9525" s="1"/>
      <c r="AD9525" s="1"/>
      <c r="AG9525" s="1"/>
      <c r="AI9525" s="1"/>
    </row>
    <row r="9526" spans="4:35" hidden="1">
      <c r="D9526" s="1"/>
      <c r="K9526" s="1"/>
      <c r="Q9526" s="1"/>
      <c r="AD9526" s="1"/>
      <c r="AG9526" s="1"/>
      <c r="AI9526" s="1"/>
    </row>
    <row r="9527" spans="4:35" hidden="1">
      <c r="D9527" s="1"/>
      <c r="K9527" s="1"/>
      <c r="Q9527" s="1"/>
      <c r="AD9527" s="1"/>
      <c r="AG9527" s="1"/>
      <c r="AI9527" s="1"/>
    </row>
    <row r="9528" spans="4:35" hidden="1">
      <c r="D9528" s="1"/>
      <c r="K9528" s="1"/>
      <c r="Q9528" s="1"/>
      <c r="AD9528" s="1"/>
      <c r="AG9528" s="1"/>
      <c r="AI9528" s="1"/>
    </row>
    <row r="9529" spans="4:35" hidden="1">
      <c r="D9529" s="1"/>
      <c r="K9529" s="1"/>
      <c r="Q9529" s="1"/>
      <c r="AD9529" s="1"/>
      <c r="AG9529" s="1"/>
      <c r="AI9529" s="1"/>
    </row>
    <row r="9530" spans="4:35" hidden="1">
      <c r="D9530" s="1"/>
      <c r="K9530" s="1"/>
      <c r="Q9530" s="1"/>
      <c r="AD9530" s="1"/>
      <c r="AG9530" s="1"/>
      <c r="AI9530" s="1"/>
    </row>
    <row r="9531" spans="4:35" hidden="1">
      <c r="D9531" s="1"/>
      <c r="K9531" s="1"/>
      <c r="Q9531" s="1"/>
      <c r="AD9531" s="1"/>
      <c r="AG9531" s="1"/>
      <c r="AI9531" s="1"/>
    </row>
    <row r="9532" spans="4:35" hidden="1">
      <c r="D9532" s="1"/>
      <c r="K9532" s="1"/>
      <c r="Q9532" s="1"/>
      <c r="AD9532" s="1"/>
      <c r="AG9532" s="1"/>
      <c r="AI9532" s="1"/>
    </row>
    <row r="9533" spans="4:35" hidden="1">
      <c r="D9533" s="1"/>
      <c r="K9533" s="1"/>
      <c r="Q9533" s="1"/>
      <c r="AD9533" s="1"/>
      <c r="AG9533" s="1"/>
      <c r="AI9533" s="1"/>
    </row>
    <row r="9534" spans="4:35" hidden="1">
      <c r="D9534" s="1"/>
      <c r="K9534" s="1"/>
      <c r="Q9534" s="1"/>
      <c r="AD9534" s="1"/>
      <c r="AG9534" s="1"/>
      <c r="AI9534" s="1"/>
    </row>
    <row r="9535" spans="4:35" hidden="1">
      <c r="D9535" s="1"/>
      <c r="K9535" s="1"/>
      <c r="Q9535" s="1"/>
      <c r="AD9535" s="1"/>
      <c r="AG9535" s="1"/>
      <c r="AI9535" s="1"/>
    </row>
    <row r="9536" spans="4:35" hidden="1">
      <c r="D9536" s="1"/>
      <c r="K9536" s="1"/>
      <c r="Q9536" s="1"/>
      <c r="AD9536" s="1"/>
      <c r="AG9536" s="1"/>
      <c r="AI9536" s="1"/>
    </row>
    <row r="9537" spans="4:35" hidden="1">
      <c r="D9537" s="1"/>
      <c r="K9537" s="1"/>
      <c r="Q9537" s="1"/>
      <c r="AD9537" s="1"/>
      <c r="AG9537" s="1"/>
      <c r="AI9537" s="1"/>
    </row>
    <row r="9538" spans="4:35" hidden="1">
      <c r="D9538" s="1"/>
      <c r="K9538" s="1"/>
      <c r="Q9538" s="1"/>
      <c r="AD9538" s="1"/>
      <c r="AG9538" s="1"/>
      <c r="AI9538" s="1"/>
    </row>
    <row r="9539" spans="4:35" hidden="1">
      <c r="D9539" s="1"/>
      <c r="K9539" s="1"/>
      <c r="Q9539" s="1"/>
      <c r="AD9539" s="1"/>
      <c r="AG9539" s="1"/>
      <c r="AI9539" s="1"/>
    </row>
    <row r="9540" spans="4:35" hidden="1">
      <c r="D9540" s="1"/>
      <c r="K9540" s="1"/>
      <c r="Q9540" s="1"/>
      <c r="AD9540" s="1"/>
      <c r="AG9540" s="1"/>
      <c r="AI9540" s="1"/>
    </row>
    <row r="9541" spans="4:35" hidden="1">
      <c r="D9541" s="1"/>
      <c r="K9541" s="1"/>
      <c r="Q9541" s="1"/>
      <c r="AD9541" s="1"/>
      <c r="AG9541" s="1"/>
      <c r="AI9541" s="1"/>
    </row>
    <row r="9542" spans="4:35" hidden="1">
      <c r="D9542" s="1"/>
      <c r="K9542" s="1"/>
      <c r="Q9542" s="1"/>
      <c r="AD9542" s="1"/>
      <c r="AG9542" s="1"/>
      <c r="AI9542" s="1"/>
    </row>
    <row r="9543" spans="4:35" hidden="1">
      <c r="D9543" s="1"/>
      <c r="K9543" s="1"/>
      <c r="Q9543" s="1"/>
      <c r="AD9543" s="1"/>
      <c r="AG9543" s="1"/>
      <c r="AI9543" s="1"/>
    </row>
    <row r="9544" spans="4:35" hidden="1">
      <c r="D9544" s="1"/>
      <c r="K9544" s="1"/>
      <c r="Q9544" s="1"/>
      <c r="AD9544" s="1"/>
      <c r="AG9544" s="1"/>
      <c r="AI9544" s="1"/>
    </row>
    <row r="9545" spans="4:35" hidden="1">
      <c r="D9545" s="1"/>
      <c r="K9545" s="1"/>
      <c r="Q9545" s="1"/>
      <c r="AD9545" s="1"/>
      <c r="AG9545" s="1"/>
      <c r="AI9545" s="1"/>
    </row>
    <row r="9546" spans="4:35" hidden="1">
      <c r="D9546" s="1"/>
      <c r="K9546" s="1"/>
      <c r="Q9546" s="1"/>
      <c r="AD9546" s="1"/>
      <c r="AG9546" s="1"/>
      <c r="AI9546" s="1"/>
    </row>
    <row r="9547" spans="4:35" hidden="1">
      <c r="D9547" s="1"/>
      <c r="K9547" s="1"/>
      <c r="Q9547" s="1"/>
      <c r="AD9547" s="1"/>
      <c r="AG9547" s="1"/>
      <c r="AI9547" s="1"/>
    </row>
    <row r="9548" spans="4:35" hidden="1">
      <c r="D9548" s="1"/>
      <c r="K9548" s="1"/>
      <c r="Q9548" s="1"/>
      <c r="AD9548" s="1"/>
      <c r="AG9548" s="1"/>
      <c r="AI9548" s="1"/>
    </row>
    <row r="9549" spans="4:35" hidden="1">
      <c r="D9549" s="1"/>
      <c r="K9549" s="1"/>
      <c r="Q9549" s="1"/>
      <c r="AD9549" s="1"/>
      <c r="AG9549" s="1"/>
      <c r="AI9549" s="1"/>
    </row>
    <row r="9550" spans="4:35" hidden="1">
      <c r="D9550" s="1"/>
      <c r="K9550" s="1"/>
      <c r="Q9550" s="1"/>
      <c r="AD9550" s="1"/>
      <c r="AG9550" s="1"/>
      <c r="AI9550" s="1"/>
    </row>
    <row r="9551" spans="4:35" hidden="1">
      <c r="D9551" s="1"/>
      <c r="K9551" s="1"/>
      <c r="Q9551" s="1"/>
      <c r="AD9551" s="1"/>
      <c r="AG9551" s="1"/>
      <c r="AI9551" s="1"/>
    </row>
    <row r="9552" spans="4:35" hidden="1">
      <c r="D9552" s="1"/>
      <c r="K9552" s="1"/>
      <c r="Q9552" s="1"/>
      <c r="AD9552" s="1"/>
      <c r="AG9552" s="1"/>
      <c r="AI9552" s="1"/>
    </row>
    <row r="9553" spans="4:35" hidden="1">
      <c r="D9553" s="1"/>
      <c r="K9553" s="1"/>
      <c r="Q9553" s="1"/>
      <c r="AD9553" s="1"/>
      <c r="AG9553" s="1"/>
      <c r="AI9553" s="1"/>
    </row>
    <row r="9554" spans="4:35" hidden="1">
      <c r="D9554" s="1"/>
      <c r="K9554" s="1"/>
      <c r="Q9554" s="1"/>
      <c r="AD9554" s="1"/>
      <c r="AG9554" s="1"/>
      <c r="AI9554" s="1"/>
    </row>
    <row r="9555" spans="4:35" hidden="1">
      <c r="D9555" s="1"/>
      <c r="K9555" s="1"/>
      <c r="Q9555" s="1"/>
      <c r="AD9555" s="1"/>
      <c r="AG9555" s="1"/>
      <c r="AI9555" s="1"/>
    </row>
    <row r="9556" spans="4:35" hidden="1">
      <c r="D9556" s="1"/>
      <c r="K9556" s="1"/>
      <c r="Q9556" s="1"/>
      <c r="AD9556" s="1"/>
      <c r="AG9556" s="1"/>
      <c r="AI9556" s="1"/>
    </row>
    <row r="9557" spans="4:35" hidden="1">
      <c r="D9557" s="1"/>
      <c r="K9557" s="1"/>
      <c r="Q9557" s="1"/>
      <c r="AD9557" s="1"/>
      <c r="AG9557" s="1"/>
      <c r="AI9557" s="1"/>
    </row>
    <row r="9558" spans="4:35" hidden="1">
      <c r="D9558" s="1"/>
      <c r="K9558" s="1"/>
      <c r="Q9558" s="1"/>
      <c r="AD9558" s="1"/>
      <c r="AG9558" s="1"/>
      <c r="AI9558" s="1"/>
    </row>
    <row r="9559" spans="4:35" hidden="1">
      <c r="D9559" s="1"/>
      <c r="K9559" s="1"/>
      <c r="Q9559" s="1"/>
      <c r="AD9559" s="1"/>
      <c r="AG9559" s="1"/>
      <c r="AI9559" s="1"/>
    </row>
    <row r="9560" spans="4:35" hidden="1">
      <c r="D9560" s="1"/>
      <c r="K9560" s="1"/>
      <c r="Q9560" s="1"/>
      <c r="AD9560" s="1"/>
      <c r="AG9560" s="1"/>
      <c r="AI9560" s="1"/>
    </row>
    <row r="9561" spans="4:35" hidden="1">
      <c r="D9561" s="1"/>
      <c r="K9561" s="1"/>
      <c r="Q9561" s="1"/>
      <c r="AD9561" s="1"/>
      <c r="AG9561" s="1"/>
      <c r="AI9561" s="1"/>
    </row>
    <row r="9562" spans="4:35" hidden="1">
      <c r="D9562" s="1"/>
      <c r="K9562" s="1"/>
      <c r="Q9562" s="1"/>
      <c r="AD9562" s="1"/>
      <c r="AG9562" s="1"/>
      <c r="AI9562" s="1"/>
    </row>
    <row r="9563" spans="4:35" hidden="1">
      <c r="D9563" s="1"/>
      <c r="K9563" s="1"/>
      <c r="Q9563" s="1"/>
      <c r="AD9563" s="1"/>
      <c r="AG9563" s="1"/>
      <c r="AI9563" s="1"/>
    </row>
    <row r="9564" spans="4:35" hidden="1">
      <c r="D9564" s="1"/>
      <c r="K9564" s="1"/>
      <c r="Q9564" s="1"/>
      <c r="AD9564" s="1"/>
      <c r="AG9564" s="1"/>
      <c r="AI9564" s="1"/>
    </row>
    <row r="9565" spans="4:35" hidden="1">
      <c r="D9565" s="1"/>
      <c r="K9565" s="1"/>
      <c r="Q9565" s="1"/>
      <c r="AD9565" s="1"/>
      <c r="AG9565" s="1"/>
      <c r="AI9565" s="1"/>
    </row>
    <row r="9566" spans="4:35" hidden="1">
      <c r="D9566" s="1"/>
      <c r="K9566" s="1"/>
      <c r="Q9566" s="1"/>
      <c r="AD9566" s="1"/>
      <c r="AG9566" s="1"/>
      <c r="AI9566" s="1"/>
    </row>
    <row r="9567" spans="4:35" hidden="1">
      <c r="D9567" s="1"/>
      <c r="K9567" s="1"/>
      <c r="Q9567" s="1"/>
      <c r="AD9567" s="1"/>
      <c r="AG9567" s="1"/>
      <c r="AI9567" s="1"/>
    </row>
    <row r="9568" spans="4:35" hidden="1">
      <c r="D9568" s="1"/>
      <c r="K9568" s="1"/>
      <c r="Q9568" s="1"/>
      <c r="AD9568" s="1"/>
      <c r="AG9568" s="1"/>
      <c r="AI9568" s="1"/>
    </row>
    <row r="9569" spans="4:35" hidden="1">
      <c r="D9569" s="1"/>
      <c r="K9569" s="1"/>
      <c r="Q9569" s="1"/>
      <c r="AD9569" s="1"/>
      <c r="AG9569" s="1"/>
      <c r="AI9569" s="1"/>
    </row>
    <row r="9570" spans="4:35" hidden="1">
      <c r="D9570" s="1"/>
      <c r="K9570" s="1"/>
      <c r="Q9570" s="1"/>
      <c r="AD9570" s="1"/>
      <c r="AG9570" s="1"/>
      <c r="AI9570" s="1"/>
    </row>
    <row r="9571" spans="4:35" hidden="1">
      <c r="D9571" s="1"/>
      <c r="K9571" s="1"/>
      <c r="Q9571" s="1"/>
      <c r="AD9571" s="1"/>
      <c r="AG9571" s="1"/>
      <c r="AI9571" s="1"/>
    </row>
    <row r="9572" spans="4:35" hidden="1">
      <c r="D9572" s="1"/>
      <c r="K9572" s="1"/>
      <c r="Q9572" s="1"/>
      <c r="AD9572" s="1"/>
      <c r="AG9572" s="1"/>
      <c r="AI9572" s="1"/>
    </row>
    <row r="9573" spans="4:35" hidden="1">
      <c r="D9573" s="1"/>
      <c r="K9573" s="1"/>
      <c r="Q9573" s="1"/>
      <c r="AD9573" s="1"/>
      <c r="AG9573" s="1"/>
      <c r="AI9573" s="1"/>
    </row>
    <row r="9574" spans="4:35" hidden="1">
      <c r="D9574" s="1"/>
      <c r="K9574" s="1"/>
      <c r="Q9574" s="1"/>
      <c r="AD9574" s="1"/>
      <c r="AG9574" s="1"/>
      <c r="AI9574" s="1"/>
    </row>
    <row r="9575" spans="4:35" hidden="1">
      <c r="D9575" s="1"/>
      <c r="K9575" s="1"/>
      <c r="Q9575" s="1"/>
      <c r="AD9575" s="1"/>
      <c r="AG9575" s="1"/>
      <c r="AI9575" s="1"/>
    </row>
    <row r="9576" spans="4:35" hidden="1">
      <c r="D9576" s="1"/>
      <c r="K9576" s="1"/>
      <c r="Q9576" s="1"/>
      <c r="AD9576" s="1"/>
      <c r="AG9576" s="1"/>
      <c r="AI9576" s="1"/>
    </row>
    <row r="9577" spans="4:35" hidden="1">
      <c r="D9577" s="1"/>
      <c r="K9577" s="1"/>
      <c r="Q9577" s="1"/>
      <c r="AD9577" s="1"/>
      <c r="AG9577" s="1"/>
      <c r="AI9577" s="1"/>
    </row>
    <row r="9578" spans="4:35" hidden="1">
      <c r="D9578" s="1"/>
      <c r="K9578" s="1"/>
      <c r="Q9578" s="1"/>
      <c r="AD9578" s="1"/>
      <c r="AG9578" s="1"/>
      <c r="AI9578" s="1"/>
    </row>
    <row r="9579" spans="4:35" hidden="1">
      <c r="D9579" s="1"/>
      <c r="K9579" s="1"/>
      <c r="Q9579" s="1"/>
      <c r="AD9579" s="1"/>
      <c r="AG9579" s="1"/>
      <c r="AI9579" s="1"/>
    </row>
    <row r="9580" spans="4:35" hidden="1">
      <c r="D9580" s="1"/>
      <c r="K9580" s="1"/>
      <c r="Q9580" s="1"/>
      <c r="AD9580" s="1"/>
      <c r="AG9580" s="1"/>
      <c r="AI9580" s="1"/>
    </row>
    <row r="9581" spans="4:35" hidden="1">
      <c r="D9581" s="1"/>
      <c r="K9581" s="1"/>
      <c r="Q9581" s="1"/>
      <c r="AD9581" s="1"/>
      <c r="AG9581" s="1"/>
      <c r="AI9581" s="1"/>
    </row>
    <row r="9582" spans="4:35" hidden="1">
      <c r="D9582" s="1"/>
      <c r="K9582" s="1"/>
      <c r="Q9582" s="1"/>
      <c r="AD9582" s="1"/>
      <c r="AG9582" s="1"/>
      <c r="AI9582" s="1"/>
    </row>
    <row r="9583" spans="4:35" hidden="1">
      <c r="D9583" s="1"/>
      <c r="K9583" s="1"/>
      <c r="Q9583" s="1"/>
      <c r="AD9583" s="1"/>
      <c r="AG9583" s="1"/>
      <c r="AI9583" s="1"/>
    </row>
    <row r="9584" spans="4:35" hidden="1">
      <c r="D9584" s="1"/>
      <c r="K9584" s="1"/>
      <c r="Q9584" s="1"/>
      <c r="AD9584" s="1"/>
      <c r="AG9584" s="1"/>
      <c r="AI9584" s="1"/>
    </row>
    <row r="9585" spans="4:35" hidden="1">
      <c r="D9585" s="1"/>
      <c r="K9585" s="1"/>
      <c r="Q9585" s="1"/>
      <c r="AD9585" s="1"/>
      <c r="AG9585" s="1"/>
      <c r="AI9585" s="1"/>
    </row>
    <row r="9586" spans="4:35" hidden="1">
      <c r="D9586" s="1"/>
      <c r="K9586" s="1"/>
      <c r="Q9586" s="1"/>
      <c r="AD9586" s="1"/>
      <c r="AG9586" s="1"/>
      <c r="AI9586" s="1"/>
    </row>
    <row r="9587" spans="4:35" hidden="1">
      <c r="D9587" s="1"/>
      <c r="K9587" s="1"/>
      <c r="Q9587" s="1"/>
      <c r="AD9587" s="1"/>
      <c r="AG9587" s="1"/>
      <c r="AI9587" s="1"/>
    </row>
    <row r="9588" spans="4:35" hidden="1">
      <c r="D9588" s="1"/>
      <c r="K9588" s="1"/>
      <c r="Q9588" s="1"/>
      <c r="AD9588" s="1"/>
      <c r="AG9588" s="1"/>
      <c r="AI9588" s="1"/>
    </row>
    <row r="9589" spans="4:35" hidden="1">
      <c r="D9589" s="1"/>
      <c r="K9589" s="1"/>
      <c r="Q9589" s="1"/>
      <c r="AD9589" s="1"/>
      <c r="AG9589" s="1"/>
      <c r="AI9589" s="1"/>
    </row>
    <row r="9590" spans="4:35" hidden="1">
      <c r="D9590" s="1"/>
      <c r="K9590" s="1"/>
      <c r="Q9590" s="1"/>
      <c r="AD9590" s="1"/>
      <c r="AG9590" s="1"/>
      <c r="AI9590" s="1"/>
    </row>
    <row r="9591" spans="4:35" hidden="1">
      <c r="D9591" s="1"/>
      <c r="K9591" s="1"/>
      <c r="Q9591" s="1"/>
      <c r="AD9591" s="1"/>
      <c r="AG9591" s="1"/>
      <c r="AI9591" s="1"/>
    </row>
    <row r="9592" spans="4:35" hidden="1">
      <c r="D9592" s="1"/>
      <c r="K9592" s="1"/>
      <c r="Q9592" s="1"/>
      <c r="AD9592" s="1"/>
      <c r="AG9592" s="1"/>
      <c r="AI9592" s="1"/>
    </row>
    <row r="9593" spans="4:35" hidden="1">
      <c r="D9593" s="1"/>
      <c r="K9593" s="1"/>
      <c r="Q9593" s="1"/>
      <c r="AD9593" s="1"/>
      <c r="AG9593" s="1"/>
      <c r="AI9593" s="1"/>
    </row>
    <row r="9594" spans="4:35" hidden="1">
      <c r="D9594" s="1"/>
      <c r="K9594" s="1"/>
      <c r="Q9594" s="1"/>
      <c r="AD9594" s="1"/>
      <c r="AG9594" s="1"/>
      <c r="AI9594" s="1"/>
    </row>
    <row r="9595" spans="4:35" hidden="1">
      <c r="D9595" s="1"/>
      <c r="K9595" s="1"/>
      <c r="Q9595" s="1"/>
      <c r="AD9595" s="1"/>
      <c r="AG9595" s="1"/>
      <c r="AI9595" s="1"/>
    </row>
    <row r="9596" spans="4:35" hidden="1">
      <c r="D9596" s="1"/>
      <c r="K9596" s="1"/>
      <c r="Q9596" s="1"/>
      <c r="AD9596" s="1"/>
      <c r="AG9596" s="1"/>
      <c r="AI9596" s="1"/>
    </row>
    <row r="9597" spans="4:35" hidden="1">
      <c r="D9597" s="1"/>
      <c r="K9597" s="1"/>
      <c r="Q9597" s="1"/>
      <c r="AD9597" s="1"/>
      <c r="AG9597" s="1"/>
      <c r="AI9597" s="1"/>
    </row>
    <row r="9598" spans="4:35" hidden="1">
      <c r="D9598" s="1"/>
      <c r="K9598" s="1"/>
      <c r="Q9598" s="1"/>
      <c r="AD9598" s="1"/>
      <c r="AG9598" s="1"/>
      <c r="AI9598" s="1"/>
    </row>
    <row r="9599" spans="4:35" hidden="1">
      <c r="D9599" s="1"/>
      <c r="K9599" s="1"/>
      <c r="Q9599" s="1"/>
      <c r="AD9599" s="1"/>
      <c r="AG9599" s="1"/>
      <c r="AI9599" s="1"/>
    </row>
    <row r="9600" spans="4:35" hidden="1">
      <c r="D9600" s="1"/>
      <c r="K9600" s="1"/>
      <c r="Q9600" s="1"/>
      <c r="AD9600" s="1"/>
      <c r="AG9600" s="1"/>
      <c r="AI9600" s="1"/>
    </row>
    <row r="9601" spans="4:35" hidden="1">
      <c r="D9601" s="1"/>
      <c r="K9601" s="1"/>
      <c r="Q9601" s="1"/>
      <c r="AD9601" s="1"/>
      <c r="AG9601" s="1"/>
      <c r="AI9601" s="1"/>
    </row>
    <row r="9602" spans="4:35" hidden="1">
      <c r="D9602" s="1"/>
      <c r="K9602" s="1"/>
      <c r="Q9602" s="1"/>
      <c r="AD9602" s="1"/>
      <c r="AG9602" s="1"/>
      <c r="AI9602" s="1"/>
    </row>
    <row r="9603" spans="4:35" hidden="1">
      <c r="D9603" s="1"/>
      <c r="K9603" s="1"/>
      <c r="Q9603" s="1"/>
      <c r="AD9603" s="1"/>
      <c r="AG9603" s="1"/>
      <c r="AI9603" s="1"/>
    </row>
    <row r="9604" spans="4:35" hidden="1">
      <c r="D9604" s="1"/>
      <c r="K9604" s="1"/>
      <c r="Q9604" s="1"/>
      <c r="AD9604" s="1"/>
      <c r="AG9604" s="1"/>
      <c r="AI9604" s="1"/>
    </row>
    <row r="9605" spans="4:35" hidden="1">
      <c r="D9605" s="1"/>
      <c r="K9605" s="1"/>
      <c r="Q9605" s="1"/>
      <c r="AD9605" s="1"/>
      <c r="AG9605" s="1"/>
      <c r="AI9605" s="1"/>
    </row>
    <row r="9606" spans="4:35" hidden="1">
      <c r="D9606" s="1"/>
      <c r="K9606" s="1"/>
      <c r="Q9606" s="1"/>
      <c r="AD9606" s="1"/>
      <c r="AG9606" s="1"/>
      <c r="AI9606" s="1"/>
    </row>
    <row r="9607" spans="4:35" hidden="1">
      <c r="D9607" s="1"/>
      <c r="K9607" s="1"/>
      <c r="Q9607" s="1"/>
      <c r="AD9607" s="1"/>
      <c r="AG9607" s="1"/>
      <c r="AI9607" s="1"/>
    </row>
    <row r="9608" spans="4:35" hidden="1">
      <c r="D9608" s="1"/>
      <c r="K9608" s="1"/>
      <c r="Q9608" s="1"/>
      <c r="AD9608" s="1"/>
      <c r="AG9608" s="1"/>
      <c r="AI9608" s="1"/>
    </row>
    <row r="9609" spans="4:35" hidden="1">
      <c r="D9609" s="1"/>
      <c r="K9609" s="1"/>
      <c r="Q9609" s="1"/>
      <c r="AD9609" s="1"/>
      <c r="AG9609" s="1"/>
      <c r="AI9609" s="1"/>
    </row>
    <row r="9610" spans="4:35" hidden="1">
      <c r="D9610" s="1"/>
      <c r="K9610" s="1"/>
      <c r="Q9610" s="1"/>
      <c r="AD9610" s="1"/>
      <c r="AG9610" s="1"/>
      <c r="AI9610" s="1"/>
    </row>
    <row r="9611" spans="4:35" hidden="1">
      <c r="D9611" s="1"/>
      <c r="K9611" s="1"/>
      <c r="Q9611" s="1"/>
      <c r="AD9611" s="1"/>
      <c r="AG9611" s="1"/>
      <c r="AI9611" s="1"/>
    </row>
    <row r="9612" spans="4:35" hidden="1">
      <c r="D9612" s="1"/>
      <c r="K9612" s="1"/>
      <c r="Q9612" s="1"/>
      <c r="AD9612" s="1"/>
      <c r="AG9612" s="1"/>
      <c r="AI9612" s="1"/>
    </row>
    <row r="9613" spans="4:35" hidden="1">
      <c r="D9613" s="1"/>
      <c r="K9613" s="1"/>
      <c r="Q9613" s="1"/>
      <c r="AD9613" s="1"/>
      <c r="AG9613" s="1"/>
      <c r="AI9613" s="1"/>
    </row>
    <row r="9614" spans="4:35" hidden="1">
      <c r="D9614" s="1"/>
      <c r="K9614" s="1"/>
      <c r="Q9614" s="1"/>
      <c r="AD9614" s="1"/>
      <c r="AG9614" s="1"/>
      <c r="AI9614" s="1"/>
    </row>
    <row r="9615" spans="4:35" hidden="1">
      <c r="D9615" s="1"/>
      <c r="K9615" s="1"/>
      <c r="Q9615" s="1"/>
      <c r="AD9615" s="1"/>
      <c r="AG9615" s="1"/>
      <c r="AI9615" s="1"/>
    </row>
    <row r="9616" spans="4:35" hidden="1">
      <c r="D9616" s="1"/>
      <c r="K9616" s="1"/>
      <c r="Q9616" s="1"/>
      <c r="AD9616" s="1"/>
      <c r="AG9616" s="1"/>
      <c r="AI9616" s="1"/>
    </row>
    <row r="9617" spans="4:35" hidden="1">
      <c r="D9617" s="1"/>
      <c r="K9617" s="1"/>
      <c r="Q9617" s="1"/>
      <c r="AD9617" s="1"/>
      <c r="AG9617" s="1"/>
      <c r="AI9617" s="1"/>
    </row>
    <row r="9618" spans="4:35" hidden="1">
      <c r="D9618" s="1"/>
      <c r="K9618" s="1"/>
      <c r="Q9618" s="1"/>
      <c r="AD9618" s="1"/>
      <c r="AG9618" s="1"/>
      <c r="AI9618" s="1"/>
    </row>
    <row r="9619" spans="4:35" hidden="1">
      <c r="D9619" s="1"/>
      <c r="K9619" s="1"/>
      <c r="Q9619" s="1"/>
      <c r="AD9619" s="1"/>
      <c r="AG9619" s="1"/>
      <c r="AI9619" s="1"/>
    </row>
    <row r="9620" spans="4:35" hidden="1">
      <c r="D9620" s="1"/>
      <c r="K9620" s="1"/>
      <c r="Q9620" s="1"/>
      <c r="AD9620" s="1"/>
      <c r="AG9620" s="1"/>
      <c r="AI9620" s="1"/>
    </row>
    <row r="9621" spans="4:35" hidden="1">
      <c r="D9621" s="1"/>
      <c r="K9621" s="1"/>
      <c r="Q9621" s="1"/>
      <c r="AD9621" s="1"/>
      <c r="AG9621" s="1"/>
      <c r="AI9621" s="1"/>
    </row>
    <row r="9622" spans="4:35" hidden="1">
      <c r="D9622" s="1"/>
      <c r="K9622" s="1"/>
      <c r="Q9622" s="1"/>
      <c r="AD9622" s="1"/>
      <c r="AG9622" s="1"/>
      <c r="AI9622" s="1"/>
    </row>
    <row r="9623" spans="4:35" hidden="1">
      <c r="D9623" s="1"/>
      <c r="K9623" s="1"/>
      <c r="Q9623" s="1"/>
      <c r="AD9623" s="1"/>
      <c r="AG9623" s="1"/>
      <c r="AI9623" s="1"/>
    </row>
    <row r="9624" spans="4:35" hidden="1">
      <c r="D9624" s="1"/>
      <c r="K9624" s="1"/>
      <c r="Q9624" s="1"/>
      <c r="AD9624" s="1"/>
      <c r="AG9624" s="1"/>
      <c r="AI9624" s="1"/>
    </row>
    <row r="9625" spans="4:35" hidden="1">
      <c r="D9625" s="1"/>
      <c r="K9625" s="1"/>
      <c r="Q9625" s="1"/>
      <c r="AD9625" s="1"/>
      <c r="AG9625" s="1"/>
      <c r="AI9625" s="1"/>
    </row>
    <row r="9626" spans="4:35" hidden="1">
      <c r="D9626" s="1"/>
      <c r="K9626" s="1"/>
      <c r="Q9626" s="1"/>
      <c r="AD9626" s="1"/>
      <c r="AG9626" s="1"/>
      <c r="AI9626" s="1"/>
    </row>
    <row r="9627" spans="4:35" hidden="1">
      <c r="D9627" s="1"/>
      <c r="K9627" s="1"/>
      <c r="Q9627" s="1"/>
      <c r="AD9627" s="1"/>
      <c r="AG9627" s="1"/>
      <c r="AI9627" s="1"/>
    </row>
    <row r="9628" spans="4:35" hidden="1">
      <c r="D9628" s="1"/>
      <c r="K9628" s="1"/>
      <c r="Q9628" s="1"/>
      <c r="AD9628" s="1"/>
      <c r="AG9628" s="1"/>
      <c r="AI9628" s="1"/>
    </row>
    <row r="9629" spans="4:35" hidden="1">
      <c r="D9629" s="1"/>
      <c r="K9629" s="1"/>
      <c r="Q9629" s="1"/>
      <c r="AD9629" s="1"/>
      <c r="AG9629" s="1"/>
      <c r="AI9629" s="1"/>
    </row>
    <row r="9630" spans="4:35" hidden="1">
      <c r="D9630" s="1"/>
      <c r="K9630" s="1"/>
      <c r="Q9630" s="1"/>
      <c r="AD9630" s="1"/>
      <c r="AG9630" s="1"/>
      <c r="AI9630" s="1"/>
    </row>
    <row r="9631" spans="4:35" hidden="1">
      <c r="D9631" s="1"/>
      <c r="K9631" s="1"/>
      <c r="Q9631" s="1"/>
      <c r="AD9631" s="1"/>
      <c r="AG9631" s="1"/>
      <c r="AI9631" s="1"/>
    </row>
    <row r="9632" spans="4:35" hidden="1">
      <c r="D9632" s="1"/>
      <c r="K9632" s="1"/>
      <c r="Q9632" s="1"/>
      <c r="AD9632" s="1"/>
      <c r="AG9632" s="1"/>
      <c r="AI9632" s="1"/>
    </row>
    <row r="9633" spans="4:35" hidden="1">
      <c r="D9633" s="1"/>
      <c r="K9633" s="1"/>
      <c r="Q9633" s="1"/>
      <c r="AD9633" s="1"/>
      <c r="AG9633" s="1"/>
      <c r="AI9633" s="1"/>
    </row>
    <row r="9634" spans="4:35" hidden="1">
      <c r="D9634" s="1"/>
      <c r="K9634" s="1"/>
      <c r="Q9634" s="1"/>
      <c r="AD9634" s="1"/>
      <c r="AG9634" s="1"/>
      <c r="AI9634" s="1"/>
    </row>
    <row r="9635" spans="4:35" hidden="1">
      <c r="D9635" s="1"/>
      <c r="K9635" s="1"/>
      <c r="Q9635" s="1"/>
      <c r="AD9635" s="1"/>
      <c r="AG9635" s="1"/>
      <c r="AI9635" s="1"/>
    </row>
    <row r="9636" spans="4:35" hidden="1">
      <c r="D9636" s="1"/>
      <c r="K9636" s="1"/>
      <c r="Q9636" s="1"/>
      <c r="AD9636" s="1"/>
      <c r="AG9636" s="1"/>
      <c r="AI9636" s="1"/>
    </row>
    <row r="9637" spans="4:35" hidden="1">
      <c r="D9637" s="1"/>
      <c r="K9637" s="1"/>
      <c r="Q9637" s="1"/>
      <c r="AD9637" s="1"/>
      <c r="AG9637" s="1"/>
      <c r="AI9637" s="1"/>
    </row>
    <row r="9638" spans="4:35" hidden="1">
      <c r="D9638" s="1"/>
      <c r="K9638" s="1"/>
      <c r="Q9638" s="1"/>
      <c r="AD9638" s="1"/>
      <c r="AG9638" s="1"/>
      <c r="AI9638" s="1"/>
    </row>
    <row r="9639" spans="4:35" hidden="1">
      <c r="D9639" s="1"/>
      <c r="K9639" s="1"/>
      <c r="Q9639" s="1"/>
      <c r="AD9639" s="1"/>
      <c r="AG9639" s="1"/>
      <c r="AI9639" s="1"/>
    </row>
    <row r="9640" spans="4:35" hidden="1">
      <c r="D9640" s="1"/>
      <c r="K9640" s="1"/>
      <c r="Q9640" s="1"/>
      <c r="AD9640" s="1"/>
      <c r="AG9640" s="1"/>
      <c r="AI9640" s="1"/>
    </row>
    <row r="9641" spans="4:35" hidden="1">
      <c r="D9641" s="1"/>
      <c r="K9641" s="1"/>
      <c r="Q9641" s="1"/>
      <c r="AD9641" s="1"/>
      <c r="AG9641" s="1"/>
      <c r="AI9641" s="1"/>
    </row>
    <row r="9642" spans="4:35" hidden="1">
      <c r="D9642" s="1"/>
      <c r="K9642" s="1"/>
      <c r="Q9642" s="1"/>
      <c r="AD9642" s="1"/>
      <c r="AG9642" s="1"/>
      <c r="AI9642" s="1"/>
    </row>
    <row r="9643" spans="4:35" hidden="1">
      <c r="D9643" s="1"/>
      <c r="K9643" s="1"/>
      <c r="Q9643" s="1"/>
      <c r="AD9643" s="1"/>
      <c r="AG9643" s="1"/>
      <c r="AI9643" s="1"/>
    </row>
    <row r="9644" spans="4:35" hidden="1">
      <c r="D9644" s="1"/>
      <c r="K9644" s="1"/>
      <c r="Q9644" s="1"/>
      <c r="AD9644" s="1"/>
      <c r="AG9644" s="1"/>
      <c r="AI9644" s="1"/>
    </row>
    <row r="9645" spans="4:35" hidden="1">
      <c r="D9645" s="1"/>
      <c r="K9645" s="1"/>
      <c r="Q9645" s="1"/>
      <c r="AD9645" s="1"/>
      <c r="AG9645" s="1"/>
      <c r="AI9645" s="1"/>
    </row>
    <row r="9646" spans="4:35" hidden="1">
      <c r="D9646" s="1"/>
      <c r="K9646" s="1"/>
      <c r="Q9646" s="1"/>
      <c r="AD9646" s="1"/>
      <c r="AG9646" s="1"/>
      <c r="AI9646" s="1"/>
    </row>
    <row r="9647" spans="4:35" hidden="1">
      <c r="D9647" s="1"/>
      <c r="K9647" s="1"/>
      <c r="Q9647" s="1"/>
      <c r="AD9647" s="1"/>
      <c r="AG9647" s="1"/>
      <c r="AI9647" s="1"/>
    </row>
    <row r="9648" spans="4:35" hidden="1">
      <c r="D9648" s="1"/>
      <c r="K9648" s="1"/>
      <c r="Q9648" s="1"/>
      <c r="AD9648" s="1"/>
      <c r="AG9648" s="1"/>
      <c r="AI9648" s="1"/>
    </row>
    <row r="9649" spans="4:35" hidden="1">
      <c r="D9649" s="1"/>
      <c r="K9649" s="1"/>
      <c r="Q9649" s="1"/>
      <c r="AD9649" s="1"/>
      <c r="AG9649" s="1"/>
      <c r="AI9649" s="1"/>
    </row>
    <row r="9650" spans="4:35" hidden="1">
      <c r="D9650" s="1"/>
      <c r="K9650" s="1"/>
      <c r="Q9650" s="1"/>
      <c r="AD9650" s="1"/>
      <c r="AG9650" s="1"/>
      <c r="AI9650" s="1"/>
    </row>
    <row r="9651" spans="4:35" hidden="1">
      <c r="D9651" s="1"/>
      <c r="K9651" s="1"/>
      <c r="Q9651" s="1"/>
      <c r="AD9651" s="1"/>
      <c r="AG9651" s="1"/>
      <c r="AI9651" s="1"/>
    </row>
    <row r="9652" spans="4:35" hidden="1">
      <c r="D9652" s="1"/>
      <c r="K9652" s="1"/>
      <c r="Q9652" s="1"/>
      <c r="AD9652" s="1"/>
      <c r="AG9652" s="1"/>
      <c r="AI9652" s="1"/>
    </row>
    <row r="9653" spans="4:35" hidden="1">
      <c r="D9653" s="1"/>
      <c r="K9653" s="1"/>
      <c r="Q9653" s="1"/>
      <c r="AD9653" s="1"/>
      <c r="AG9653" s="1"/>
      <c r="AI9653" s="1"/>
    </row>
    <row r="9654" spans="4:35" hidden="1">
      <c r="D9654" s="1"/>
      <c r="K9654" s="1"/>
      <c r="Q9654" s="1"/>
      <c r="AD9654" s="1"/>
      <c r="AG9654" s="1"/>
      <c r="AI9654" s="1"/>
    </row>
    <row r="9655" spans="4:35" hidden="1">
      <c r="D9655" s="1"/>
      <c r="K9655" s="1"/>
      <c r="Q9655" s="1"/>
      <c r="AD9655" s="1"/>
      <c r="AG9655" s="1"/>
      <c r="AI9655" s="1"/>
    </row>
    <row r="9656" spans="4:35" hidden="1">
      <c r="D9656" s="1"/>
      <c r="K9656" s="1"/>
      <c r="Q9656" s="1"/>
      <c r="AD9656" s="1"/>
      <c r="AG9656" s="1"/>
      <c r="AI9656" s="1"/>
    </row>
    <row r="9657" spans="4:35" hidden="1">
      <c r="D9657" s="1"/>
      <c r="K9657" s="1"/>
      <c r="Q9657" s="1"/>
      <c r="AD9657" s="1"/>
      <c r="AG9657" s="1"/>
      <c r="AI9657" s="1"/>
    </row>
    <row r="9658" spans="4:35" hidden="1">
      <c r="D9658" s="1"/>
      <c r="K9658" s="1"/>
      <c r="Q9658" s="1"/>
      <c r="AD9658" s="1"/>
      <c r="AG9658" s="1"/>
      <c r="AI9658" s="1"/>
    </row>
    <row r="9659" spans="4:35" hidden="1">
      <c r="D9659" s="1"/>
      <c r="K9659" s="1"/>
      <c r="Q9659" s="1"/>
      <c r="AD9659" s="1"/>
      <c r="AG9659" s="1"/>
      <c r="AI9659" s="1"/>
    </row>
    <row r="9660" spans="4:35" hidden="1">
      <c r="D9660" s="1"/>
      <c r="K9660" s="1"/>
      <c r="Q9660" s="1"/>
      <c r="AD9660" s="1"/>
      <c r="AG9660" s="1"/>
      <c r="AI9660" s="1"/>
    </row>
    <row r="9661" spans="4:35" hidden="1">
      <c r="D9661" s="1"/>
      <c r="K9661" s="1"/>
      <c r="Q9661" s="1"/>
      <c r="AD9661" s="1"/>
      <c r="AG9661" s="1"/>
      <c r="AI9661" s="1"/>
    </row>
    <row r="9662" spans="4:35" hidden="1">
      <c r="D9662" s="1"/>
      <c r="K9662" s="1"/>
      <c r="Q9662" s="1"/>
      <c r="AD9662" s="1"/>
      <c r="AG9662" s="1"/>
      <c r="AI9662" s="1"/>
    </row>
    <row r="9663" spans="4:35" hidden="1">
      <c r="D9663" s="1"/>
      <c r="K9663" s="1"/>
      <c r="Q9663" s="1"/>
      <c r="AD9663" s="1"/>
      <c r="AG9663" s="1"/>
      <c r="AI9663" s="1"/>
    </row>
    <row r="9664" spans="4:35" hidden="1">
      <c r="D9664" s="1"/>
      <c r="K9664" s="1"/>
      <c r="Q9664" s="1"/>
      <c r="AD9664" s="1"/>
      <c r="AG9664" s="1"/>
      <c r="AI9664" s="1"/>
    </row>
    <row r="9665" spans="4:35" hidden="1">
      <c r="D9665" s="1"/>
      <c r="K9665" s="1"/>
      <c r="Q9665" s="1"/>
      <c r="AD9665" s="1"/>
      <c r="AG9665" s="1"/>
      <c r="AI9665" s="1"/>
    </row>
    <row r="9666" spans="4:35" hidden="1">
      <c r="D9666" s="1"/>
      <c r="K9666" s="1"/>
      <c r="Q9666" s="1"/>
      <c r="AD9666" s="1"/>
      <c r="AG9666" s="1"/>
      <c r="AI9666" s="1"/>
    </row>
    <row r="9667" spans="4:35" hidden="1">
      <c r="D9667" s="1"/>
      <c r="K9667" s="1"/>
      <c r="Q9667" s="1"/>
      <c r="AD9667" s="1"/>
      <c r="AG9667" s="1"/>
      <c r="AI9667" s="1"/>
    </row>
    <row r="9668" spans="4:35" hidden="1">
      <c r="D9668" s="1"/>
      <c r="K9668" s="1"/>
      <c r="Q9668" s="1"/>
      <c r="AD9668" s="1"/>
      <c r="AG9668" s="1"/>
      <c r="AI9668" s="1"/>
    </row>
    <row r="9669" spans="4:35" hidden="1">
      <c r="D9669" s="1"/>
      <c r="K9669" s="1"/>
      <c r="Q9669" s="1"/>
      <c r="AD9669" s="1"/>
      <c r="AG9669" s="1"/>
      <c r="AI9669" s="1"/>
    </row>
    <row r="9670" spans="4:35" hidden="1">
      <c r="D9670" s="1"/>
      <c r="K9670" s="1"/>
      <c r="Q9670" s="1"/>
      <c r="AD9670" s="1"/>
      <c r="AG9670" s="1"/>
      <c r="AI9670" s="1"/>
    </row>
    <row r="9671" spans="4:35" hidden="1">
      <c r="D9671" s="1"/>
      <c r="K9671" s="1"/>
      <c r="Q9671" s="1"/>
      <c r="AD9671" s="1"/>
      <c r="AG9671" s="1"/>
      <c r="AI9671" s="1"/>
    </row>
    <row r="9672" spans="4:35" hidden="1">
      <c r="D9672" s="1"/>
      <c r="K9672" s="1"/>
      <c r="Q9672" s="1"/>
      <c r="AD9672" s="1"/>
      <c r="AG9672" s="1"/>
      <c r="AI9672" s="1"/>
    </row>
    <row r="9673" spans="4:35" hidden="1">
      <c r="D9673" s="1"/>
      <c r="K9673" s="1"/>
      <c r="Q9673" s="1"/>
      <c r="AD9673" s="1"/>
      <c r="AG9673" s="1"/>
      <c r="AI9673" s="1"/>
    </row>
    <row r="9674" spans="4:35" hidden="1">
      <c r="D9674" s="1"/>
      <c r="K9674" s="1"/>
      <c r="Q9674" s="1"/>
      <c r="AD9674" s="1"/>
      <c r="AG9674" s="1"/>
      <c r="AI9674" s="1"/>
    </row>
    <row r="9675" spans="4:35" hidden="1">
      <c r="D9675" s="1"/>
      <c r="K9675" s="1"/>
      <c r="Q9675" s="1"/>
      <c r="AD9675" s="1"/>
      <c r="AG9675" s="1"/>
      <c r="AI9675" s="1"/>
    </row>
    <row r="9676" spans="4:35" hidden="1">
      <c r="D9676" s="1"/>
      <c r="K9676" s="1"/>
      <c r="Q9676" s="1"/>
      <c r="AD9676" s="1"/>
      <c r="AG9676" s="1"/>
      <c r="AI9676" s="1"/>
    </row>
    <row r="9677" spans="4:35" hidden="1">
      <c r="D9677" s="1"/>
      <c r="K9677" s="1"/>
      <c r="Q9677" s="1"/>
      <c r="AD9677" s="1"/>
      <c r="AG9677" s="1"/>
      <c r="AI9677" s="1"/>
    </row>
    <row r="9678" spans="4:35" hidden="1">
      <c r="D9678" s="1"/>
      <c r="K9678" s="1"/>
      <c r="Q9678" s="1"/>
      <c r="AD9678" s="1"/>
      <c r="AG9678" s="1"/>
      <c r="AI9678" s="1"/>
    </row>
    <row r="9679" spans="4:35" hidden="1">
      <c r="D9679" s="1"/>
      <c r="K9679" s="1"/>
      <c r="Q9679" s="1"/>
      <c r="AD9679" s="1"/>
      <c r="AG9679" s="1"/>
      <c r="AI9679" s="1"/>
    </row>
    <row r="9680" spans="4:35" hidden="1">
      <c r="D9680" s="1"/>
      <c r="K9680" s="1"/>
      <c r="Q9680" s="1"/>
      <c r="AD9680" s="1"/>
      <c r="AG9680" s="1"/>
      <c r="AI9680" s="1"/>
    </row>
    <row r="9681" spans="4:35" hidden="1">
      <c r="D9681" s="1"/>
      <c r="K9681" s="1"/>
      <c r="Q9681" s="1"/>
      <c r="AD9681" s="1"/>
      <c r="AG9681" s="1"/>
      <c r="AI9681" s="1"/>
    </row>
    <row r="9682" spans="4:35" hidden="1">
      <c r="D9682" s="1"/>
      <c r="K9682" s="1"/>
      <c r="Q9682" s="1"/>
      <c r="AD9682" s="1"/>
      <c r="AG9682" s="1"/>
      <c r="AI9682" s="1"/>
    </row>
    <row r="9683" spans="4:35" hidden="1">
      <c r="D9683" s="1"/>
      <c r="K9683" s="1"/>
      <c r="Q9683" s="1"/>
      <c r="AD9683" s="1"/>
      <c r="AG9683" s="1"/>
      <c r="AI9683" s="1"/>
    </row>
    <row r="9684" spans="4:35" hidden="1">
      <c r="D9684" s="1"/>
      <c r="K9684" s="1"/>
      <c r="Q9684" s="1"/>
      <c r="AD9684" s="1"/>
      <c r="AG9684" s="1"/>
      <c r="AI9684" s="1"/>
    </row>
    <row r="9685" spans="4:35" hidden="1">
      <c r="D9685" s="1"/>
      <c r="K9685" s="1"/>
      <c r="Q9685" s="1"/>
      <c r="AD9685" s="1"/>
      <c r="AG9685" s="1"/>
      <c r="AI9685" s="1"/>
    </row>
    <row r="9686" spans="4:35" hidden="1">
      <c r="D9686" s="1"/>
      <c r="K9686" s="1"/>
      <c r="Q9686" s="1"/>
      <c r="AD9686" s="1"/>
      <c r="AG9686" s="1"/>
      <c r="AI9686" s="1"/>
    </row>
    <row r="9687" spans="4:35" hidden="1">
      <c r="D9687" s="1"/>
      <c r="K9687" s="1"/>
      <c r="Q9687" s="1"/>
      <c r="AD9687" s="1"/>
      <c r="AG9687" s="1"/>
      <c r="AI9687" s="1"/>
    </row>
    <row r="9688" spans="4:35" hidden="1">
      <c r="D9688" s="1"/>
      <c r="K9688" s="1"/>
      <c r="Q9688" s="1"/>
      <c r="AD9688" s="1"/>
      <c r="AG9688" s="1"/>
      <c r="AI9688" s="1"/>
    </row>
    <row r="9689" spans="4:35" hidden="1">
      <c r="D9689" s="1"/>
      <c r="K9689" s="1"/>
      <c r="Q9689" s="1"/>
      <c r="AD9689" s="1"/>
      <c r="AG9689" s="1"/>
      <c r="AI9689" s="1"/>
    </row>
    <row r="9690" spans="4:35" hidden="1">
      <c r="D9690" s="1"/>
      <c r="K9690" s="1"/>
      <c r="Q9690" s="1"/>
      <c r="AD9690" s="1"/>
      <c r="AG9690" s="1"/>
      <c r="AI9690" s="1"/>
    </row>
    <row r="9691" spans="4:35" hidden="1">
      <c r="D9691" s="1"/>
      <c r="K9691" s="1"/>
      <c r="Q9691" s="1"/>
      <c r="AD9691" s="1"/>
      <c r="AG9691" s="1"/>
      <c r="AI9691" s="1"/>
    </row>
    <row r="9692" spans="4:35" hidden="1">
      <c r="D9692" s="1"/>
      <c r="K9692" s="1"/>
      <c r="Q9692" s="1"/>
      <c r="AD9692" s="1"/>
      <c r="AG9692" s="1"/>
      <c r="AI9692" s="1"/>
    </row>
    <row r="9693" spans="4:35" hidden="1">
      <c r="D9693" s="1"/>
      <c r="K9693" s="1"/>
      <c r="Q9693" s="1"/>
      <c r="AD9693" s="1"/>
      <c r="AG9693" s="1"/>
      <c r="AI9693" s="1"/>
    </row>
    <row r="9694" spans="4:35" hidden="1">
      <c r="D9694" s="1"/>
      <c r="K9694" s="1"/>
      <c r="Q9694" s="1"/>
      <c r="AD9694" s="1"/>
      <c r="AG9694" s="1"/>
      <c r="AI9694" s="1"/>
    </row>
    <row r="9695" spans="4:35" hidden="1">
      <c r="D9695" s="1"/>
      <c r="K9695" s="1"/>
      <c r="Q9695" s="1"/>
      <c r="AD9695" s="1"/>
      <c r="AG9695" s="1"/>
      <c r="AI9695" s="1"/>
    </row>
    <row r="9696" spans="4:35" hidden="1">
      <c r="D9696" s="1"/>
      <c r="K9696" s="1"/>
      <c r="Q9696" s="1"/>
      <c r="AD9696" s="1"/>
      <c r="AG9696" s="1"/>
      <c r="AI9696" s="1"/>
    </row>
    <row r="9697" spans="4:35" hidden="1">
      <c r="D9697" s="1"/>
      <c r="K9697" s="1"/>
      <c r="Q9697" s="1"/>
      <c r="AD9697" s="1"/>
      <c r="AG9697" s="1"/>
      <c r="AI9697" s="1"/>
    </row>
    <row r="9698" spans="4:35" hidden="1">
      <c r="D9698" s="1"/>
      <c r="K9698" s="1"/>
      <c r="Q9698" s="1"/>
      <c r="AD9698" s="1"/>
      <c r="AG9698" s="1"/>
      <c r="AI9698" s="1"/>
    </row>
    <row r="9699" spans="4:35" hidden="1">
      <c r="D9699" s="1"/>
      <c r="K9699" s="1"/>
      <c r="Q9699" s="1"/>
      <c r="AD9699" s="1"/>
      <c r="AG9699" s="1"/>
      <c r="AI9699" s="1"/>
    </row>
    <row r="9700" spans="4:35" hidden="1">
      <c r="D9700" s="1"/>
      <c r="K9700" s="1"/>
      <c r="Q9700" s="1"/>
      <c r="AD9700" s="1"/>
      <c r="AG9700" s="1"/>
      <c r="AI9700" s="1"/>
    </row>
    <row r="9701" spans="4:35" hidden="1">
      <c r="D9701" s="1"/>
      <c r="K9701" s="1"/>
      <c r="Q9701" s="1"/>
      <c r="AD9701" s="1"/>
      <c r="AG9701" s="1"/>
      <c r="AI9701" s="1"/>
    </row>
    <row r="9702" spans="4:35" hidden="1">
      <c r="D9702" s="1"/>
      <c r="K9702" s="1"/>
      <c r="Q9702" s="1"/>
      <c r="AD9702" s="1"/>
      <c r="AG9702" s="1"/>
      <c r="AI9702" s="1"/>
    </row>
    <row r="9703" spans="4:35" hidden="1">
      <c r="D9703" s="1"/>
      <c r="K9703" s="1"/>
      <c r="Q9703" s="1"/>
      <c r="AD9703" s="1"/>
      <c r="AG9703" s="1"/>
      <c r="AI9703" s="1"/>
    </row>
    <row r="9704" spans="4:35" hidden="1">
      <c r="D9704" s="1"/>
      <c r="K9704" s="1"/>
      <c r="Q9704" s="1"/>
      <c r="AD9704" s="1"/>
      <c r="AG9704" s="1"/>
      <c r="AI9704" s="1"/>
    </row>
    <row r="9705" spans="4:35" hidden="1">
      <c r="D9705" s="1"/>
      <c r="K9705" s="1"/>
      <c r="Q9705" s="1"/>
      <c r="AD9705" s="1"/>
      <c r="AG9705" s="1"/>
      <c r="AI9705" s="1"/>
    </row>
    <row r="9706" spans="4:35" hidden="1">
      <c r="D9706" s="1"/>
      <c r="K9706" s="1"/>
      <c r="Q9706" s="1"/>
      <c r="AD9706" s="1"/>
      <c r="AG9706" s="1"/>
      <c r="AI9706" s="1"/>
    </row>
    <row r="9707" spans="4:35" hidden="1">
      <c r="D9707" s="1"/>
      <c r="K9707" s="1"/>
      <c r="Q9707" s="1"/>
      <c r="AD9707" s="1"/>
      <c r="AG9707" s="1"/>
      <c r="AI9707" s="1"/>
    </row>
    <row r="9708" spans="4:35" hidden="1">
      <c r="D9708" s="1"/>
      <c r="K9708" s="1"/>
      <c r="Q9708" s="1"/>
      <c r="AD9708" s="1"/>
      <c r="AG9708" s="1"/>
      <c r="AI9708" s="1"/>
    </row>
    <row r="9709" spans="4:35" hidden="1">
      <c r="D9709" s="1"/>
      <c r="K9709" s="1"/>
      <c r="Q9709" s="1"/>
      <c r="AD9709" s="1"/>
      <c r="AG9709" s="1"/>
      <c r="AI9709" s="1"/>
    </row>
    <row r="9710" spans="4:35" hidden="1">
      <c r="D9710" s="1"/>
      <c r="K9710" s="1"/>
      <c r="Q9710" s="1"/>
      <c r="AD9710" s="1"/>
      <c r="AG9710" s="1"/>
      <c r="AI9710" s="1"/>
    </row>
    <row r="9711" spans="4:35" hidden="1">
      <c r="D9711" s="1"/>
      <c r="K9711" s="1"/>
      <c r="Q9711" s="1"/>
      <c r="AD9711" s="1"/>
      <c r="AG9711" s="1"/>
      <c r="AI9711" s="1"/>
    </row>
    <row r="9712" spans="4:35" hidden="1">
      <c r="D9712" s="1"/>
      <c r="K9712" s="1"/>
      <c r="Q9712" s="1"/>
      <c r="AD9712" s="1"/>
      <c r="AG9712" s="1"/>
      <c r="AI9712" s="1"/>
    </row>
    <row r="9713" spans="4:35" hidden="1">
      <c r="D9713" s="1"/>
      <c r="K9713" s="1"/>
      <c r="Q9713" s="1"/>
      <c r="AD9713" s="1"/>
      <c r="AG9713" s="1"/>
      <c r="AI9713" s="1"/>
    </row>
    <row r="9714" spans="4:35" hidden="1">
      <c r="D9714" s="1"/>
      <c r="K9714" s="1"/>
      <c r="Q9714" s="1"/>
      <c r="AD9714" s="1"/>
      <c r="AG9714" s="1"/>
      <c r="AI9714" s="1"/>
    </row>
    <row r="9715" spans="4:35" hidden="1">
      <c r="D9715" s="1"/>
      <c r="K9715" s="1"/>
      <c r="Q9715" s="1"/>
      <c r="AD9715" s="1"/>
      <c r="AG9715" s="1"/>
      <c r="AI9715" s="1"/>
    </row>
    <row r="9716" spans="4:35" hidden="1">
      <c r="D9716" s="1"/>
      <c r="K9716" s="1"/>
      <c r="Q9716" s="1"/>
      <c r="AD9716" s="1"/>
      <c r="AG9716" s="1"/>
      <c r="AI9716" s="1"/>
    </row>
    <row r="9717" spans="4:35" hidden="1">
      <c r="D9717" s="1"/>
      <c r="K9717" s="1"/>
      <c r="Q9717" s="1"/>
      <c r="AD9717" s="1"/>
      <c r="AG9717" s="1"/>
      <c r="AI9717" s="1"/>
    </row>
    <row r="9718" spans="4:35" hidden="1">
      <c r="D9718" s="1"/>
      <c r="K9718" s="1"/>
      <c r="Q9718" s="1"/>
      <c r="AD9718" s="1"/>
      <c r="AG9718" s="1"/>
      <c r="AI9718" s="1"/>
    </row>
    <row r="9719" spans="4:35" hidden="1">
      <c r="D9719" s="1"/>
      <c r="K9719" s="1"/>
      <c r="Q9719" s="1"/>
      <c r="AD9719" s="1"/>
      <c r="AG9719" s="1"/>
      <c r="AI9719" s="1"/>
    </row>
    <row r="9720" spans="4:35" hidden="1">
      <c r="D9720" s="1"/>
      <c r="K9720" s="1"/>
      <c r="Q9720" s="1"/>
      <c r="AD9720" s="1"/>
      <c r="AG9720" s="1"/>
      <c r="AI9720" s="1"/>
    </row>
    <row r="9721" spans="4:35" hidden="1">
      <c r="D9721" s="1"/>
      <c r="K9721" s="1"/>
      <c r="Q9721" s="1"/>
      <c r="AD9721" s="1"/>
      <c r="AG9721" s="1"/>
      <c r="AI9721" s="1"/>
    </row>
    <row r="9722" spans="4:35" hidden="1">
      <c r="D9722" s="1"/>
      <c r="K9722" s="1"/>
      <c r="Q9722" s="1"/>
      <c r="AD9722" s="1"/>
      <c r="AG9722" s="1"/>
      <c r="AI9722" s="1"/>
    </row>
    <row r="9723" spans="4:35" hidden="1">
      <c r="D9723" s="1"/>
      <c r="K9723" s="1"/>
      <c r="Q9723" s="1"/>
      <c r="AD9723" s="1"/>
      <c r="AG9723" s="1"/>
      <c r="AI9723" s="1"/>
    </row>
    <row r="9724" spans="4:35" hidden="1">
      <c r="D9724" s="1"/>
      <c r="K9724" s="1"/>
      <c r="Q9724" s="1"/>
      <c r="AD9724" s="1"/>
      <c r="AG9724" s="1"/>
      <c r="AI9724" s="1"/>
    </row>
    <row r="9725" spans="4:35" hidden="1">
      <c r="D9725" s="1"/>
      <c r="K9725" s="1"/>
      <c r="Q9725" s="1"/>
      <c r="AD9725" s="1"/>
      <c r="AG9725" s="1"/>
      <c r="AI9725" s="1"/>
    </row>
    <row r="9726" spans="4:35" hidden="1">
      <c r="D9726" s="1"/>
      <c r="K9726" s="1"/>
      <c r="Q9726" s="1"/>
      <c r="AD9726" s="1"/>
      <c r="AG9726" s="1"/>
      <c r="AI9726" s="1"/>
    </row>
    <row r="9727" spans="4:35" hidden="1">
      <c r="D9727" s="1"/>
      <c r="K9727" s="1"/>
      <c r="Q9727" s="1"/>
      <c r="AD9727" s="1"/>
      <c r="AG9727" s="1"/>
      <c r="AI9727" s="1"/>
    </row>
    <row r="9728" spans="4:35" hidden="1">
      <c r="D9728" s="1"/>
      <c r="K9728" s="1"/>
      <c r="Q9728" s="1"/>
      <c r="AD9728" s="1"/>
      <c r="AG9728" s="1"/>
      <c r="AI9728" s="1"/>
    </row>
    <row r="9729" spans="4:35" hidden="1">
      <c r="D9729" s="1"/>
      <c r="K9729" s="1"/>
      <c r="Q9729" s="1"/>
      <c r="AD9729" s="1"/>
      <c r="AG9729" s="1"/>
      <c r="AI9729" s="1"/>
    </row>
    <row r="9730" spans="4:35" hidden="1">
      <c r="D9730" s="1"/>
      <c r="K9730" s="1"/>
      <c r="Q9730" s="1"/>
      <c r="AD9730" s="1"/>
      <c r="AG9730" s="1"/>
      <c r="AI9730" s="1"/>
    </row>
    <row r="9731" spans="4:35" hidden="1">
      <c r="D9731" s="1"/>
      <c r="K9731" s="1"/>
      <c r="Q9731" s="1"/>
      <c r="AD9731" s="1"/>
      <c r="AG9731" s="1"/>
      <c r="AI9731" s="1"/>
    </row>
    <row r="9732" spans="4:35" hidden="1">
      <c r="D9732" s="1"/>
      <c r="K9732" s="1"/>
      <c r="Q9732" s="1"/>
      <c r="AD9732" s="1"/>
      <c r="AG9732" s="1"/>
      <c r="AI9732" s="1"/>
    </row>
    <row r="9733" spans="4:35" hidden="1">
      <c r="D9733" s="1"/>
      <c r="K9733" s="1"/>
      <c r="Q9733" s="1"/>
      <c r="AD9733" s="1"/>
      <c r="AG9733" s="1"/>
      <c r="AI9733" s="1"/>
    </row>
    <row r="9734" spans="4:35" hidden="1">
      <c r="D9734" s="1"/>
      <c r="K9734" s="1"/>
      <c r="Q9734" s="1"/>
      <c r="AD9734" s="1"/>
      <c r="AG9734" s="1"/>
      <c r="AI9734" s="1"/>
    </row>
    <row r="9735" spans="4:35" hidden="1">
      <c r="D9735" s="1"/>
      <c r="K9735" s="1"/>
      <c r="Q9735" s="1"/>
      <c r="AD9735" s="1"/>
      <c r="AG9735" s="1"/>
      <c r="AI9735" s="1"/>
    </row>
    <row r="9736" spans="4:35" hidden="1">
      <c r="D9736" s="1"/>
      <c r="K9736" s="1"/>
      <c r="Q9736" s="1"/>
      <c r="AD9736" s="1"/>
      <c r="AG9736" s="1"/>
      <c r="AI9736" s="1"/>
    </row>
    <row r="9737" spans="4:35" hidden="1">
      <c r="D9737" s="1"/>
      <c r="K9737" s="1"/>
      <c r="Q9737" s="1"/>
      <c r="AD9737" s="1"/>
      <c r="AG9737" s="1"/>
      <c r="AI9737" s="1"/>
    </row>
    <row r="9738" spans="4:35" hidden="1">
      <c r="D9738" s="1"/>
      <c r="K9738" s="1"/>
      <c r="Q9738" s="1"/>
      <c r="AD9738" s="1"/>
      <c r="AG9738" s="1"/>
      <c r="AI9738" s="1"/>
    </row>
    <row r="9739" spans="4:35" hidden="1">
      <c r="D9739" s="1"/>
      <c r="K9739" s="1"/>
      <c r="Q9739" s="1"/>
      <c r="AD9739" s="1"/>
      <c r="AG9739" s="1"/>
      <c r="AI9739" s="1"/>
    </row>
    <row r="9740" spans="4:35" hidden="1">
      <c r="D9740" s="1"/>
      <c r="K9740" s="1"/>
      <c r="Q9740" s="1"/>
      <c r="AD9740" s="1"/>
      <c r="AG9740" s="1"/>
      <c r="AI9740" s="1"/>
    </row>
    <row r="9741" spans="4:35" hidden="1">
      <c r="D9741" s="1"/>
      <c r="K9741" s="1"/>
      <c r="Q9741" s="1"/>
      <c r="AD9741" s="1"/>
      <c r="AG9741" s="1"/>
      <c r="AI9741" s="1"/>
    </row>
    <row r="9742" spans="4:35" hidden="1">
      <c r="D9742" s="1"/>
      <c r="K9742" s="1"/>
      <c r="Q9742" s="1"/>
      <c r="AD9742" s="1"/>
      <c r="AG9742" s="1"/>
      <c r="AI9742" s="1"/>
    </row>
    <row r="9743" spans="4:35" hidden="1">
      <c r="D9743" s="1"/>
      <c r="K9743" s="1"/>
      <c r="Q9743" s="1"/>
      <c r="AD9743" s="1"/>
      <c r="AG9743" s="1"/>
      <c r="AI9743" s="1"/>
    </row>
    <row r="9744" spans="4:35" hidden="1">
      <c r="D9744" s="1"/>
      <c r="K9744" s="1"/>
      <c r="Q9744" s="1"/>
      <c r="AD9744" s="1"/>
      <c r="AG9744" s="1"/>
      <c r="AI9744" s="1"/>
    </row>
    <row r="9745" spans="4:35" hidden="1">
      <c r="D9745" s="1"/>
      <c r="K9745" s="1"/>
      <c r="Q9745" s="1"/>
      <c r="AD9745" s="1"/>
      <c r="AG9745" s="1"/>
      <c r="AI9745" s="1"/>
    </row>
    <row r="9746" spans="4:35" hidden="1">
      <c r="D9746" s="1"/>
      <c r="K9746" s="1"/>
      <c r="Q9746" s="1"/>
      <c r="AD9746" s="1"/>
      <c r="AG9746" s="1"/>
      <c r="AI9746" s="1"/>
    </row>
    <row r="9747" spans="4:35" hidden="1">
      <c r="D9747" s="1"/>
      <c r="K9747" s="1"/>
      <c r="Q9747" s="1"/>
      <c r="AD9747" s="1"/>
      <c r="AG9747" s="1"/>
      <c r="AI9747" s="1"/>
    </row>
    <row r="9748" spans="4:35" hidden="1">
      <c r="D9748" s="1"/>
      <c r="K9748" s="1"/>
      <c r="Q9748" s="1"/>
      <c r="AD9748" s="1"/>
      <c r="AG9748" s="1"/>
      <c r="AI9748" s="1"/>
    </row>
    <row r="9749" spans="4:35" hidden="1">
      <c r="D9749" s="1"/>
      <c r="K9749" s="1"/>
      <c r="Q9749" s="1"/>
      <c r="AD9749" s="1"/>
      <c r="AG9749" s="1"/>
      <c r="AI9749" s="1"/>
    </row>
    <row r="9750" spans="4:35" hidden="1">
      <c r="D9750" s="1"/>
      <c r="K9750" s="1"/>
      <c r="Q9750" s="1"/>
      <c r="AD9750" s="1"/>
      <c r="AG9750" s="1"/>
      <c r="AI9750" s="1"/>
    </row>
    <row r="9751" spans="4:35" hidden="1">
      <c r="D9751" s="1"/>
      <c r="K9751" s="1"/>
      <c r="Q9751" s="1"/>
      <c r="AD9751" s="1"/>
      <c r="AG9751" s="1"/>
      <c r="AI9751" s="1"/>
    </row>
    <row r="9752" spans="4:35" hidden="1">
      <c r="D9752" s="1"/>
      <c r="K9752" s="1"/>
      <c r="Q9752" s="1"/>
      <c r="AD9752" s="1"/>
      <c r="AG9752" s="1"/>
      <c r="AI9752" s="1"/>
    </row>
    <row r="9753" spans="4:35" hidden="1">
      <c r="D9753" s="1"/>
      <c r="K9753" s="1"/>
      <c r="Q9753" s="1"/>
      <c r="AD9753" s="1"/>
      <c r="AG9753" s="1"/>
      <c r="AI9753" s="1"/>
    </row>
    <row r="9754" spans="4:35" hidden="1">
      <c r="D9754" s="1"/>
      <c r="K9754" s="1"/>
      <c r="Q9754" s="1"/>
      <c r="AD9754" s="1"/>
      <c r="AG9754" s="1"/>
      <c r="AI9754" s="1"/>
    </row>
    <row r="9755" spans="4:35" hidden="1">
      <c r="D9755" s="1"/>
      <c r="K9755" s="1"/>
      <c r="Q9755" s="1"/>
      <c r="AD9755" s="1"/>
      <c r="AG9755" s="1"/>
      <c r="AI9755" s="1"/>
    </row>
    <row r="9756" spans="4:35" hidden="1">
      <c r="D9756" s="1"/>
      <c r="K9756" s="1"/>
      <c r="Q9756" s="1"/>
      <c r="AD9756" s="1"/>
      <c r="AG9756" s="1"/>
      <c r="AI9756" s="1"/>
    </row>
    <row r="9757" spans="4:35" hidden="1">
      <c r="D9757" s="1"/>
      <c r="K9757" s="1"/>
      <c r="Q9757" s="1"/>
      <c r="AD9757" s="1"/>
      <c r="AG9757" s="1"/>
      <c r="AI9757" s="1"/>
    </row>
    <row r="9758" spans="4:35" hidden="1">
      <c r="D9758" s="1"/>
      <c r="K9758" s="1"/>
      <c r="Q9758" s="1"/>
      <c r="AD9758" s="1"/>
      <c r="AG9758" s="1"/>
      <c r="AI9758" s="1"/>
    </row>
    <row r="9759" spans="4:35" hidden="1">
      <c r="D9759" s="1"/>
      <c r="K9759" s="1"/>
      <c r="Q9759" s="1"/>
      <c r="AD9759" s="1"/>
      <c r="AG9759" s="1"/>
      <c r="AI9759" s="1"/>
    </row>
    <row r="9760" spans="4:35" hidden="1">
      <c r="D9760" s="1"/>
      <c r="K9760" s="1"/>
      <c r="Q9760" s="1"/>
      <c r="AD9760" s="1"/>
      <c r="AG9760" s="1"/>
      <c r="AI9760" s="1"/>
    </row>
    <row r="9761" spans="4:35" hidden="1">
      <c r="D9761" s="1"/>
      <c r="K9761" s="1"/>
      <c r="Q9761" s="1"/>
      <c r="AD9761" s="1"/>
      <c r="AG9761" s="1"/>
      <c r="AI9761" s="1"/>
    </row>
    <row r="9762" spans="4:35" hidden="1">
      <c r="D9762" s="1"/>
      <c r="K9762" s="1"/>
      <c r="Q9762" s="1"/>
      <c r="AD9762" s="1"/>
      <c r="AG9762" s="1"/>
      <c r="AI9762" s="1"/>
    </row>
    <row r="9763" spans="4:35" hidden="1">
      <c r="D9763" s="1"/>
      <c r="K9763" s="1"/>
      <c r="Q9763" s="1"/>
      <c r="AD9763" s="1"/>
      <c r="AG9763" s="1"/>
      <c r="AI9763" s="1"/>
    </row>
    <row r="9764" spans="4:35" hidden="1">
      <c r="D9764" s="1"/>
      <c r="K9764" s="1"/>
      <c r="Q9764" s="1"/>
      <c r="AD9764" s="1"/>
      <c r="AG9764" s="1"/>
      <c r="AI9764" s="1"/>
    </row>
    <row r="9765" spans="4:35" hidden="1">
      <c r="D9765" s="1"/>
      <c r="K9765" s="1"/>
      <c r="Q9765" s="1"/>
      <c r="AD9765" s="1"/>
      <c r="AG9765" s="1"/>
      <c r="AI9765" s="1"/>
    </row>
    <row r="9766" spans="4:35" hidden="1">
      <c r="D9766" s="1"/>
      <c r="K9766" s="1"/>
      <c r="Q9766" s="1"/>
      <c r="AD9766" s="1"/>
      <c r="AG9766" s="1"/>
      <c r="AI9766" s="1"/>
    </row>
    <row r="9767" spans="4:35" hidden="1">
      <c r="D9767" s="1"/>
      <c r="K9767" s="1"/>
      <c r="Q9767" s="1"/>
      <c r="AD9767" s="1"/>
      <c r="AG9767" s="1"/>
      <c r="AI9767" s="1"/>
    </row>
    <row r="9768" spans="4:35" hidden="1">
      <c r="D9768" s="1"/>
      <c r="K9768" s="1"/>
      <c r="Q9768" s="1"/>
      <c r="AD9768" s="1"/>
      <c r="AG9768" s="1"/>
      <c r="AI9768" s="1"/>
    </row>
    <row r="9769" spans="4:35" hidden="1">
      <c r="D9769" s="1"/>
      <c r="K9769" s="1"/>
      <c r="Q9769" s="1"/>
      <c r="AD9769" s="1"/>
      <c r="AG9769" s="1"/>
      <c r="AI9769" s="1"/>
    </row>
    <row r="9770" spans="4:35" hidden="1">
      <c r="D9770" s="1"/>
      <c r="K9770" s="1"/>
      <c r="Q9770" s="1"/>
      <c r="AD9770" s="1"/>
      <c r="AG9770" s="1"/>
      <c r="AI9770" s="1"/>
    </row>
    <row r="9771" spans="4:35" hidden="1">
      <c r="D9771" s="1"/>
      <c r="K9771" s="1"/>
      <c r="Q9771" s="1"/>
      <c r="AD9771" s="1"/>
      <c r="AG9771" s="1"/>
      <c r="AI9771" s="1"/>
    </row>
    <row r="9772" spans="4:35" hidden="1">
      <c r="D9772" s="1"/>
      <c r="K9772" s="1"/>
      <c r="Q9772" s="1"/>
      <c r="AD9772" s="1"/>
      <c r="AG9772" s="1"/>
      <c r="AI9772" s="1"/>
    </row>
    <row r="9773" spans="4:35" hidden="1">
      <c r="D9773" s="1"/>
      <c r="K9773" s="1"/>
      <c r="Q9773" s="1"/>
      <c r="AD9773" s="1"/>
      <c r="AG9773" s="1"/>
      <c r="AI9773" s="1"/>
    </row>
    <row r="9774" spans="4:35" hidden="1">
      <c r="D9774" s="1"/>
      <c r="K9774" s="1"/>
      <c r="Q9774" s="1"/>
      <c r="AD9774" s="1"/>
      <c r="AG9774" s="1"/>
      <c r="AI9774" s="1"/>
    </row>
    <row r="9775" spans="4:35" hidden="1">
      <c r="D9775" s="1"/>
      <c r="K9775" s="1"/>
      <c r="Q9775" s="1"/>
      <c r="AD9775" s="1"/>
      <c r="AG9775" s="1"/>
      <c r="AI9775" s="1"/>
    </row>
    <row r="9776" spans="4:35" hidden="1">
      <c r="D9776" s="1"/>
      <c r="K9776" s="1"/>
      <c r="Q9776" s="1"/>
      <c r="AD9776" s="1"/>
      <c r="AG9776" s="1"/>
      <c r="AI9776" s="1"/>
    </row>
    <row r="9777" spans="4:35" hidden="1">
      <c r="D9777" s="1"/>
      <c r="K9777" s="1"/>
      <c r="Q9777" s="1"/>
      <c r="AD9777" s="1"/>
      <c r="AG9777" s="1"/>
      <c r="AI9777" s="1"/>
    </row>
    <row r="9778" spans="4:35" hidden="1">
      <c r="D9778" s="1"/>
      <c r="K9778" s="1"/>
      <c r="Q9778" s="1"/>
      <c r="AD9778" s="1"/>
      <c r="AG9778" s="1"/>
      <c r="AI9778" s="1"/>
    </row>
    <row r="9779" spans="4:35" hidden="1">
      <c r="D9779" s="1"/>
      <c r="K9779" s="1"/>
      <c r="Q9779" s="1"/>
      <c r="AD9779" s="1"/>
      <c r="AG9779" s="1"/>
      <c r="AI9779" s="1"/>
    </row>
    <row r="9780" spans="4:35" hidden="1">
      <c r="D9780" s="1"/>
      <c r="K9780" s="1"/>
      <c r="Q9780" s="1"/>
      <c r="AD9780" s="1"/>
      <c r="AG9780" s="1"/>
      <c r="AI9780" s="1"/>
    </row>
    <row r="9781" spans="4:35" hidden="1">
      <c r="D9781" s="1"/>
      <c r="K9781" s="1"/>
      <c r="Q9781" s="1"/>
      <c r="AD9781" s="1"/>
      <c r="AG9781" s="1"/>
      <c r="AI9781" s="1"/>
    </row>
    <row r="9782" spans="4:35" hidden="1">
      <c r="D9782" s="1"/>
      <c r="K9782" s="1"/>
      <c r="Q9782" s="1"/>
      <c r="AD9782" s="1"/>
      <c r="AG9782" s="1"/>
      <c r="AI9782" s="1"/>
    </row>
    <row r="9783" spans="4:35" hidden="1">
      <c r="D9783" s="1"/>
      <c r="K9783" s="1"/>
      <c r="Q9783" s="1"/>
      <c r="AD9783" s="1"/>
      <c r="AG9783" s="1"/>
      <c r="AI9783" s="1"/>
    </row>
    <row r="9784" spans="4:35" hidden="1">
      <c r="D9784" s="1"/>
      <c r="K9784" s="1"/>
      <c r="Q9784" s="1"/>
      <c r="AD9784" s="1"/>
      <c r="AG9784" s="1"/>
      <c r="AI9784" s="1"/>
    </row>
    <row r="9785" spans="4:35" hidden="1">
      <c r="D9785" s="1"/>
      <c r="K9785" s="1"/>
      <c r="Q9785" s="1"/>
      <c r="AD9785" s="1"/>
      <c r="AG9785" s="1"/>
      <c r="AI9785" s="1"/>
    </row>
    <row r="9786" spans="4:35" hidden="1">
      <c r="D9786" s="1"/>
      <c r="K9786" s="1"/>
      <c r="Q9786" s="1"/>
      <c r="AD9786" s="1"/>
      <c r="AG9786" s="1"/>
      <c r="AI9786" s="1"/>
    </row>
    <row r="9787" spans="4:35" hidden="1">
      <c r="D9787" s="1"/>
      <c r="K9787" s="1"/>
      <c r="Q9787" s="1"/>
      <c r="AD9787" s="1"/>
      <c r="AG9787" s="1"/>
      <c r="AI9787" s="1"/>
    </row>
    <row r="9788" spans="4:35" hidden="1">
      <c r="D9788" s="1"/>
      <c r="K9788" s="1"/>
      <c r="Q9788" s="1"/>
      <c r="AD9788" s="1"/>
      <c r="AG9788" s="1"/>
      <c r="AI9788" s="1"/>
    </row>
    <row r="9789" spans="4:35" hidden="1">
      <c r="D9789" s="1"/>
      <c r="K9789" s="1"/>
      <c r="Q9789" s="1"/>
      <c r="AD9789" s="1"/>
      <c r="AG9789" s="1"/>
      <c r="AI9789" s="1"/>
    </row>
    <row r="9790" spans="4:35" hidden="1">
      <c r="D9790" s="1"/>
      <c r="K9790" s="1"/>
      <c r="Q9790" s="1"/>
      <c r="AD9790" s="1"/>
      <c r="AG9790" s="1"/>
      <c r="AI9790" s="1"/>
    </row>
    <row r="9791" spans="4:35" hidden="1">
      <c r="D9791" s="1"/>
      <c r="K9791" s="1"/>
      <c r="Q9791" s="1"/>
      <c r="AD9791" s="1"/>
      <c r="AG9791" s="1"/>
      <c r="AI9791" s="1"/>
    </row>
    <row r="9792" spans="4:35" hidden="1">
      <c r="D9792" s="1"/>
      <c r="K9792" s="1"/>
      <c r="Q9792" s="1"/>
      <c r="AD9792" s="1"/>
      <c r="AG9792" s="1"/>
      <c r="AI9792" s="1"/>
    </row>
    <row r="9793" spans="4:35" hidden="1">
      <c r="D9793" s="1"/>
      <c r="K9793" s="1"/>
      <c r="Q9793" s="1"/>
      <c r="AD9793" s="1"/>
      <c r="AG9793" s="1"/>
      <c r="AI9793" s="1"/>
    </row>
    <row r="9794" spans="4:35" hidden="1">
      <c r="D9794" s="1"/>
      <c r="K9794" s="1"/>
      <c r="Q9794" s="1"/>
      <c r="AD9794" s="1"/>
      <c r="AG9794" s="1"/>
      <c r="AI9794" s="1"/>
    </row>
    <row r="9795" spans="4:35" hidden="1">
      <c r="D9795" s="1"/>
      <c r="K9795" s="1"/>
      <c r="Q9795" s="1"/>
      <c r="AD9795" s="1"/>
      <c r="AG9795" s="1"/>
      <c r="AI9795" s="1"/>
    </row>
    <row r="9796" spans="4:35" hidden="1">
      <c r="D9796" s="1"/>
      <c r="K9796" s="1"/>
      <c r="Q9796" s="1"/>
      <c r="AD9796" s="1"/>
      <c r="AG9796" s="1"/>
      <c r="AI9796" s="1"/>
    </row>
    <row r="9797" spans="4:35" hidden="1">
      <c r="D9797" s="1"/>
      <c r="K9797" s="1"/>
      <c r="Q9797" s="1"/>
      <c r="AD9797" s="1"/>
      <c r="AG9797" s="1"/>
      <c r="AI9797" s="1"/>
    </row>
    <row r="9798" spans="4:35" hidden="1">
      <c r="D9798" s="1"/>
      <c r="K9798" s="1"/>
      <c r="Q9798" s="1"/>
      <c r="AD9798" s="1"/>
      <c r="AG9798" s="1"/>
      <c r="AI9798" s="1"/>
    </row>
    <row r="9799" spans="4:35" hidden="1">
      <c r="D9799" s="1"/>
      <c r="K9799" s="1"/>
      <c r="Q9799" s="1"/>
      <c r="AD9799" s="1"/>
      <c r="AG9799" s="1"/>
      <c r="AI9799" s="1"/>
    </row>
    <row r="9800" spans="4:35" hidden="1">
      <c r="D9800" s="1"/>
      <c r="K9800" s="1"/>
      <c r="Q9800" s="1"/>
      <c r="AD9800" s="1"/>
      <c r="AG9800" s="1"/>
      <c r="AI9800" s="1"/>
    </row>
    <row r="9801" spans="4:35" hidden="1">
      <c r="D9801" s="1"/>
      <c r="K9801" s="1"/>
      <c r="Q9801" s="1"/>
      <c r="AD9801" s="1"/>
      <c r="AG9801" s="1"/>
      <c r="AI9801" s="1"/>
    </row>
    <row r="9802" spans="4:35" hidden="1">
      <c r="D9802" s="1"/>
      <c r="K9802" s="1"/>
      <c r="Q9802" s="1"/>
      <c r="AD9802" s="1"/>
      <c r="AG9802" s="1"/>
      <c r="AI9802" s="1"/>
    </row>
    <row r="9803" spans="4:35" hidden="1">
      <c r="D9803" s="1"/>
      <c r="K9803" s="1"/>
      <c r="Q9803" s="1"/>
      <c r="AD9803" s="1"/>
      <c r="AG9803" s="1"/>
      <c r="AI9803" s="1"/>
    </row>
    <row r="9804" spans="4:35" hidden="1">
      <c r="D9804" s="1"/>
      <c r="K9804" s="1"/>
      <c r="Q9804" s="1"/>
      <c r="AD9804" s="1"/>
      <c r="AG9804" s="1"/>
      <c r="AI9804" s="1"/>
    </row>
    <row r="9805" spans="4:35" hidden="1">
      <c r="D9805" s="1"/>
      <c r="K9805" s="1"/>
      <c r="Q9805" s="1"/>
      <c r="AD9805" s="1"/>
      <c r="AG9805" s="1"/>
      <c r="AI9805" s="1"/>
    </row>
    <row r="9806" spans="4:35" hidden="1">
      <c r="D9806" s="1"/>
      <c r="K9806" s="1"/>
      <c r="Q9806" s="1"/>
      <c r="AD9806" s="1"/>
      <c r="AG9806" s="1"/>
      <c r="AI9806" s="1"/>
    </row>
    <row r="9807" spans="4:35" hidden="1">
      <c r="D9807" s="1"/>
      <c r="K9807" s="1"/>
      <c r="Q9807" s="1"/>
      <c r="AD9807" s="1"/>
      <c r="AG9807" s="1"/>
      <c r="AI9807" s="1"/>
    </row>
    <row r="9808" spans="4:35" hidden="1">
      <c r="D9808" s="1"/>
      <c r="K9808" s="1"/>
      <c r="Q9808" s="1"/>
      <c r="AD9808" s="1"/>
      <c r="AG9808" s="1"/>
      <c r="AI9808" s="1"/>
    </row>
    <row r="9809" spans="4:35" hidden="1">
      <c r="D9809" s="1"/>
      <c r="K9809" s="1"/>
      <c r="Q9809" s="1"/>
      <c r="AD9809" s="1"/>
      <c r="AG9809" s="1"/>
      <c r="AI9809" s="1"/>
    </row>
    <row r="9810" spans="4:35" hidden="1">
      <c r="D9810" s="1"/>
      <c r="K9810" s="1"/>
      <c r="Q9810" s="1"/>
      <c r="AD9810" s="1"/>
      <c r="AG9810" s="1"/>
      <c r="AI9810" s="1"/>
    </row>
    <row r="9811" spans="4:35" hidden="1">
      <c r="D9811" s="1"/>
      <c r="K9811" s="1"/>
      <c r="Q9811" s="1"/>
      <c r="AD9811" s="1"/>
      <c r="AG9811" s="1"/>
      <c r="AI9811" s="1"/>
    </row>
    <row r="9812" spans="4:35" hidden="1">
      <c r="D9812" s="1"/>
      <c r="K9812" s="1"/>
      <c r="Q9812" s="1"/>
      <c r="AD9812" s="1"/>
      <c r="AG9812" s="1"/>
      <c r="AI9812" s="1"/>
    </row>
    <row r="9813" spans="4:35" hidden="1">
      <c r="D9813" s="1"/>
      <c r="K9813" s="1"/>
      <c r="Q9813" s="1"/>
      <c r="AD9813" s="1"/>
      <c r="AG9813" s="1"/>
      <c r="AI9813" s="1"/>
    </row>
    <row r="9814" spans="4:35" hidden="1">
      <c r="D9814" s="1"/>
      <c r="K9814" s="1"/>
      <c r="Q9814" s="1"/>
      <c r="AD9814" s="1"/>
      <c r="AG9814" s="1"/>
      <c r="AI9814" s="1"/>
    </row>
    <row r="9815" spans="4:35" hidden="1">
      <c r="D9815" s="1"/>
      <c r="K9815" s="1"/>
      <c r="Q9815" s="1"/>
      <c r="AD9815" s="1"/>
      <c r="AG9815" s="1"/>
      <c r="AI9815" s="1"/>
    </row>
    <row r="9816" spans="4:35" hidden="1">
      <c r="D9816" s="1"/>
      <c r="K9816" s="1"/>
      <c r="Q9816" s="1"/>
      <c r="AD9816" s="1"/>
      <c r="AG9816" s="1"/>
      <c r="AI9816" s="1"/>
    </row>
    <row r="9817" spans="4:35" hidden="1">
      <c r="D9817" s="1"/>
      <c r="K9817" s="1"/>
      <c r="Q9817" s="1"/>
      <c r="AD9817" s="1"/>
      <c r="AG9817" s="1"/>
      <c r="AI9817" s="1"/>
    </row>
    <row r="9818" spans="4:35" hidden="1">
      <c r="D9818" s="1"/>
      <c r="K9818" s="1"/>
      <c r="Q9818" s="1"/>
      <c r="AD9818" s="1"/>
      <c r="AG9818" s="1"/>
      <c r="AI9818" s="1"/>
    </row>
    <row r="9819" spans="4:35" hidden="1">
      <c r="D9819" s="1"/>
      <c r="K9819" s="1"/>
      <c r="Q9819" s="1"/>
      <c r="AD9819" s="1"/>
      <c r="AG9819" s="1"/>
      <c r="AI9819" s="1"/>
    </row>
    <row r="9820" spans="4:35" hidden="1">
      <c r="D9820" s="1"/>
      <c r="K9820" s="1"/>
      <c r="Q9820" s="1"/>
      <c r="AD9820" s="1"/>
      <c r="AG9820" s="1"/>
      <c r="AI9820" s="1"/>
    </row>
    <row r="9821" spans="4:35" hidden="1">
      <c r="D9821" s="1"/>
      <c r="K9821" s="1"/>
      <c r="Q9821" s="1"/>
      <c r="AD9821" s="1"/>
      <c r="AG9821" s="1"/>
      <c r="AI9821" s="1"/>
    </row>
    <row r="9822" spans="4:35" hidden="1">
      <c r="D9822" s="1"/>
      <c r="K9822" s="1"/>
      <c r="Q9822" s="1"/>
      <c r="AD9822" s="1"/>
      <c r="AG9822" s="1"/>
      <c r="AI9822" s="1"/>
    </row>
    <row r="9823" spans="4:35" hidden="1">
      <c r="D9823" s="1"/>
      <c r="K9823" s="1"/>
      <c r="Q9823" s="1"/>
      <c r="AD9823" s="1"/>
      <c r="AG9823" s="1"/>
      <c r="AI9823" s="1"/>
    </row>
    <row r="9824" spans="4:35" hidden="1">
      <c r="D9824" s="1"/>
      <c r="K9824" s="1"/>
      <c r="Q9824" s="1"/>
      <c r="AD9824" s="1"/>
      <c r="AG9824" s="1"/>
      <c r="AI9824" s="1"/>
    </row>
    <row r="9825" spans="4:35" hidden="1">
      <c r="D9825" s="1"/>
      <c r="K9825" s="1"/>
      <c r="Q9825" s="1"/>
      <c r="AD9825" s="1"/>
      <c r="AG9825" s="1"/>
      <c r="AI9825" s="1"/>
    </row>
    <row r="9826" spans="4:35" hidden="1">
      <c r="D9826" s="1"/>
      <c r="K9826" s="1"/>
      <c r="Q9826" s="1"/>
      <c r="AD9826" s="1"/>
      <c r="AG9826" s="1"/>
      <c r="AI9826" s="1"/>
    </row>
    <row r="9827" spans="4:35" hidden="1">
      <c r="D9827" s="1"/>
      <c r="K9827" s="1"/>
      <c r="Q9827" s="1"/>
      <c r="AD9827" s="1"/>
      <c r="AG9827" s="1"/>
      <c r="AI9827" s="1"/>
    </row>
    <row r="9828" spans="4:35" hidden="1">
      <c r="D9828" s="1"/>
      <c r="K9828" s="1"/>
      <c r="Q9828" s="1"/>
      <c r="AD9828" s="1"/>
      <c r="AG9828" s="1"/>
      <c r="AI9828" s="1"/>
    </row>
    <row r="9829" spans="4:35" hidden="1">
      <c r="D9829" s="1"/>
      <c r="K9829" s="1"/>
      <c r="Q9829" s="1"/>
      <c r="AD9829" s="1"/>
      <c r="AG9829" s="1"/>
      <c r="AI9829" s="1"/>
    </row>
    <row r="9830" spans="4:35" hidden="1">
      <c r="D9830" s="1"/>
      <c r="K9830" s="1"/>
      <c r="Q9830" s="1"/>
      <c r="AD9830" s="1"/>
      <c r="AG9830" s="1"/>
      <c r="AI9830" s="1"/>
    </row>
    <row r="9831" spans="4:35" hidden="1">
      <c r="D9831" s="1"/>
      <c r="K9831" s="1"/>
      <c r="Q9831" s="1"/>
      <c r="AD9831" s="1"/>
      <c r="AG9831" s="1"/>
      <c r="AI9831" s="1"/>
    </row>
    <row r="9832" spans="4:35" hidden="1">
      <c r="D9832" s="1"/>
      <c r="K9832" s="1"/>
      <c r="Q9832" s="1"/>
      <c r="AD9832" s="1"/>
      <c r="AG9832" s="1"/>
      <c r="AI9832" s="1"/>
    </row>
    <row r="9833" spans="4:35" hidden="1">
      <c r="D9833" s="1"/>
      <c r="K9833" s="1"/>
      <c r="Q9833" s="1"/>
      <c r="AD9833" s="1"/>
      <c r="AG9833" s="1"/>
      <c r="AI9833" s="1"/>
    </row>
    <row r="9834" spans="4:35" hidden="1">
      <c r="D9834" s="1"/>
      <c r="K9834" s="1"/>
      <c r="Q9834" s="1"/>
      <c r="AD9834" s="1"/>
      <c r="AG9834" s="1"/>
      <c r="AI9834" s="1"/>
    </row>
    <row r="9835" spans="4:35" hidden="1">
      <c r="D9835" s="1"/>
      <c r="K9835" s="1"/>
      <c r="Q9835" s="1"/>
      <c r="AD9835" s="1"/>
      <c r="AG9835" s="1"/>
      <c r="AI9835" s="1"/>
    </row>
    <row r="9836" spans="4:35" hidden="1">
      <c r="D9836" s="1"/>
      <c r="K9836" s="1"/>
      <c r="Q9836" s="1"/>
      <c r="AD9836" s="1"/>
      <c r="AG9836" s="1"/>
      <c r="AI9836" s="1"/>
    </row>
    <row r="9837" spans="4:35" hidden="1">
      <c r="D9837" s="1"/>
      <c r="K9837" s="1"/>
      <c r="Q9837" s="1"/>
      <c r="AD9837" s="1"/>
      <c r="AG9837" s="1"/>
      <c r="AI9837" s="1"/>
    </row>
    <row r="9838" spans="4:35" hidden="1">
      <c r="D9838" s="1"/>
      <c r="K9838" s="1"/>
      <c r="Q9838" s="1"/>
      <c r="AD9838" s="1"/>
      <c r="AG9838" s="1"/>
      <c r="AI9838" s="1"/>
    </row>
    <row r="9839" spans="4:35" hidden="1">
      <c r="D9839" s="1"/>
      <c r="K9839" s="1"/>
      <c r="Q9839" s="1"/>
      <c r="AD9839" s="1"/>
      <c r="AG9839" s="1"/>
      <c r="AI9839" s="1"/>
    </row>
    <row r="9840" spans="4:35" hidden="1">
      <c r="D9840" s="1"/>
      <c r="K9840" s="1"/>
      <c r="Q9840" s="1"/>
      <c r="AD9840" s="1"/>
      <c r="AG9840" s="1"/>
      <c r="AI9840" s="1"/>
    </row>
    <row r="9841" spans="4:35" hidden="1">
      <c r="D9841" s="1"/>
      <c r="K9841" s="1"/>
      <c r="Q9841" s="1"/>
      <c r="AD9841" s="1"/>
      <c r="AG9841" s="1"/>
      <c r="AI9841" s="1"/>
    </row>
    <row r="9842" spans="4:35" hidden="1">
      <c r="D9842" s="1"/>
      <c r="K9842" s="1"/>
      <c r="Q9842" s="1"/>
      <c r="AD9842" s="1"/>
      <c r="AG9842" s="1"/>
      <c r="AI9842" s="1"/>
    </row>
    <row r="9843" spans="4:35" hidden="1">
      <c r="D9843" s="1"/>
      <c r="K9843" s="1"/>
      <c r="Q9843" s="1"/>
      <c r="AD9843" s="1"/>
      <c r="AG9843" s="1"/>
      <c r="AI9843" s="1"/>
    </row>
    <row r="9844" spans="4:35" hidden="1">
      <c r="D9844" s="1"/>
      <c r="K9844" s="1"/>
      <c r="Q9844" s="1"/>
      <c r="AD9844" s="1"/>
      <c r="AG9844" s="1"/>
      <c r="AI9844" s="1"/>
    </row>
    <row r="9845" spans="4:35" hidden="1">
      <c r="D9845" s="1"/>
      <c r="K9845" s="1"/>
      <c r="Q9845" s="1"/>
      <c r="AD9845" s="1"/>
      <c r="AG9845" s="1"/>
      <c r="AI9845" s="1"/>
    </row>
    <row r="9846" spans="4:35" hidden="1">
      <c r="D9846" s="1"/>
      <c r="K9846" s="1"/>
      <c r="Q9846" s="1"/>
      <c r="AD9846" s="1"/>
      <c r="AG9846" s="1"/>
      <c r="AI9846" s="1"/>
    </row>
    <row r="9847" spans="4:35" hidden="1">
      <c r="D9847" s="1"/>
      <c r="K9847" s="1"/>
      <c r="Q9847" s="1"/>
      <c r="AD9847" s="1"/>
      <c r="AG9847" s="1"/>
      <c r="AI9847" s="1"/>
    </row>
    <row r="9848" spans="4:35" hidden="1">
      <c r="D9848" s="1"/>
      <c r="K9848" s="1"/>
      <c r="Q9848" s="1"/>
      <c r="AD9848" s="1"/>
      <c r="AG9848" s="1"/>
      <c r="AI9848" s="1"/>
    </row>
    <row r="9849" spans="4:35" hidden="1">
      <c r="D9849" s="1"/>
      <c r="K9849" s="1"/>
      <c r="Q9849" s="1"/>
      <c r="AD9849" s="1"/>
      <c r="AG9849" s="1"/>
      <c r="AI9849" s="1"/>
    </row>
    <row r="9850" spans="4:35" hidden="1">
      <c r="D9850" s="1"/>
      <c r="K9850" s="1"/>
      <c r="Q9850" s="1"/>
      <c r="AD9850" s="1"/>
      <c r="AG9850" s="1"/>
      <c r="AI9850" s="1"/>
    </row>
    <row r="9851" spans="4:35" hidden="1">
      <c r="D9851" s="1"/>
      <c r="K9851" s="1"/>
      <c r="Q9851" s="1"/>
      <c r="AD9851" s="1"/>
      <c r="AG9851" s="1"/>
      <c r="AI9851" s="1"/>
    </row>
    <row r="9852" spans="4:35" hidden="1">
      <c r="D9852" s="1"/>
      <c r="K9852" s="1"/>
      <c r="Q9852" s="1"/>
      <c r="AD9852" s="1"/>
      <c r="AG9852" s="1"/>
      <c r="AI9852" s="1"/>
    </row>
    <row r="9853" spans="4:35" hidden="1">
      <c r="D9853" s="1"/>
      <c r="K9853" s="1"/>
      <c r="Q9853" s="1"/>
      <c r="AD9853" s="1"/>
      <c r="AG9853" s="1"/>
      <c r="AI9853" s="1"/>
    </row>
    <row r="9854" spans="4:35" hidden="1">
      <c r="D9854" s="1"/>
      <c r="K9854" s="1"/>
      <c r="Q9854" s="1"/>
      <c r="AD9854" s="1"/>
      <c r="AG9854" s="1"/>
      <c r="AI9854" s="1"/>
    </row>
    <row r="9855" spans="4:35" hidden="1">
      <c r="D9855" s="1"/>
      <c r="K9855" s="1"/>
      <c r="Q9855" s="1"/>
      <c r="AD9855" s="1"/>
      <c r="AG9855" s="1"/>
      <c r="AI9855" s="1"/>
    </row>
    <row r="9856" spans="4:35" hidden="1">
      <c r="D9856" s="1"/>
      <c r="K9856" s="1"/>
      <c r="Q9856" s="1"/>
      <c r="AD9856" s="1"/>
      <c r="AG9856" s="1"/>
      <c r="AI9856" s="1"/>
    </row>
    <row r="9857" spans="4:35" hidden="1">
      <c r="D9857" s="1"/>
      <c r="K9857" s="1"/>
      <c r="Q9857" s="1"/>
      <c r="AD9857" s="1"/>
      <c r="AG9857" s="1"/>
      <c r="AI9857" s="1"/>
    </row>
    <row r="9858" spans="4:35" hidden="1">
      <c r="D9858" s="1"/>
      <c r="K9858" s="1"/>
      <c r="Q9858" s="1"/>
      <c r="AD9858" s="1"/>
      <c r="AG9858" s="1"/>
      <c r="AI9858" s="1"/>
    </row>
    <row r="9859" spans="4:35" hidden="1">
      <c r="D9859" s="1"/>
      <c r="K9859" s="1"/>
      <c r="Q9859" s="1"/>
      <c r="AD9859" s="1"/>
      <c r="AG9859" s="1"/>
      <c r="AI9859" s="1"/>
    </row>
    <row r="9860" spans="4:35" hidden="1">
      <c r="D9860" s="1"/>
      <c r="K9860" s="1"/>
      <c r="Q9860" s="1"/>
      <c r="AD9860" s="1"/>
      <c r="AG9860" s="1"/>
      <c r="AI9860" s="1"/>
    </row>
    <row r="9861" spans="4:35" hidden="1">
      <c r="D9861" s="1"/>
      <c r="K9861" s="1"/>
      <c r="Q9861" s="1"/>
      <c r="AD9861" s="1"/>
      <c r="AG9861" s="1"/>
      <c r="AI9861" s="1"/>
    </row>
    <row r="9862" spans="4:35" hidden="1">
      <c r="D9862" s="1"/>
      <c r="K9862" s="1"/>
      <c r="Q9862" s="1"/>
      <c r="AD9862" s="1"/>
      <c r="AG9862" s="1"/>
      <c r="AI9862" s="1"/>
    </row>
    <row r="9863" spans="4:35" hidden="1">
      <c r="D9863" s="1"/>
      <c r="K9863" s="1"/>
      <c r="Q9863" s="1"/>
      <c r="AD9863" s="1"/>
      <c r="AG9863" s="1"/>
      <c r="AI9863" s="1"/>
    </row>
    <row r="9864" spans="4:35" hidden="1">
      <c r="D9864" s="1"/>
      <c r="K9864" s="1"/>
      <c r="Q9864" s="1"/>
      <c r="AD9864" s="1"/>
      <c r="AG9864" s="1"/>
      <c r="AI9864" s="1"/>
    </row>
    <row r="9865" spans="4:35" hidden="1">
      <c r="D9865" s="1"/>
      <c r="K9865" s="1"/>
      <c r="Q9865" s="1"/>
      <c r="AD9865" s="1"/>
      <c r="AG9865" s="1"/>
      <c r="AI9865" s="1"/>
    </row>
    <row r="9866" spans="4:35" hidden="1">
      <c r="D9866" s="1"/>
      <c r="K9866" s="1"/>
      <c r="Q9866" s="1"/>
      <c r="AD9866" s="1"/>
      <c r="AG9866" s="1"/>
      <c r="AI9866" s="1"/>
    </row>
    <row r="9867" spans="4:35" hidden="1">
      <c r="D9867" s="1"/>
      <c r="K9867" s="1"/>
      <c r="Q9867" s="1"/>
      <c r="AD9867" s="1"/>
      <c r="AG9867" s="1"/>
      <c r="AI9867" s="1"/>
    </row>
    <row r="9868" spans="4:35" hidden="1">
      <c r="D9868" s="1"/>
      <c r="K9868" s="1"/>
      <c r="Q9868" s="1"/>
      <c r="AD9868" s="1"/>
      <c r="AG9868" s="1"/>
      <c r="AI9868" s="1"/>
    </row>
    <row r="9869" spans="4:35" hidden="1">
      <c r="D9869" s="1"/>
      <c r="K9869" s="1"/>
      <c r="Q9869" s="1"/>
      <c r="AD9869" s="1"/>
      <c r="AG9869" s="1"/>
      <c r="AI9869" s="1"/>
    </row>
    <row r="9870" spans="4:35" hidden="1">
      <c r="D9870" s="1"/>
      <c r="K9870" s="1"/>
      <c r="Q9870" s="1"/>
      <c r="AD9870" s="1"/>
      <c r="AG9870" s="1"/>
      <c r="AI9870" s="1"/>
    </row>
    <row r="9871" spans="4:35" hidden="1">
      <c r="D9871" s="1"/>
      <c r="K9871" s="1"/>
      <c r="Q9871" s="1"/>
      <c r="AD9871" s="1"/>
      <c r="AG9871" s="1"/>
      <c r="AI9871" s="1"/>
    </row>
    <row r="9872" spans="4:35" hidden="1">
      <c r="D9872" s="1"/>
      <c r="K9872" s="1"/>
      <c r="Q9872" s="1"/>
      <c r="AD9872" s="1"/>
      <c r="AG9872" s="1"/>
      <c r="AI9872" s="1"/>
    </row>
    <row r="9873" spans="4:35" hidden="1">
      <c r="D9873" s="1"/>
      <c r="K9873" s="1"/>
      <c r="Q9873" s="1"/>
      <c r="AD9873" s="1"/>
      <c r="AG9873" s="1"/>
      <c r="AI9873" s="1"/>
    </row>
    <row r="9874" spans="4:35" hidden="1">
      <c r="D9874" s="1"/>
      <c r="K9874" s="1"/>
      <c r="Q9874" s="1"/>
      <c r="AD9874" s="1"/>
      <c r="AG9874" s="1"/>
      <c r="AI9874" s="1"/>
    </row>
    <row r="9875" spans="4:35" hidden="1">
      <c r="D9875" s="1"/>
      <c r="K9875" s="1"/>
      <c r="Q9875" s="1"/>
      <c r="AD9875" s="1"/>
      <c r="AG9875" s="1"/>
      <c r="AI9875" s="1"/>
    </row>
    <row r="9876" spans="4:35" hidden="1">
      <c r="D9876" s="1"/>
      <c r="K9876" s="1"/>
      <c r="Q9876" s="1"/>
      <c r="AD9876" s="1"/>
      <c r="AG9876" s="1"/>
      <c r="AI9876" s="1"/>
    </row>
    <row r="9877" spans="4:35" hidden="1">
      <c r="D9877" s="1"/>
      <c r="K9877" s="1"/>
      <c r="Q9877" s="1"/>
      <c r="AD9877" s="1"/>
      <c r="AG9877" s="1"/>
      <c r="AI9877" s="1"/>
    </row>
    <row r="9878" spans="4:35" hidden="1">
      <c r="D9878" s="1"/>
      <c r="K9878" s="1"/>
      <c r="Q9878" s="1"/>
      <c r="AD9878" s="1"/>
      <c r="AG9878" s="1"/>
      <c r="AI9878" s="1"/>
    </row>
    <row r="9879" spans="4:35" hidden="1">
      <c r="D9879" s="1"/>
      <c r="K9879" s="1"/>
      <c r="Q9879" s="1"/>
      <c r="AD9879" s="1"/>
      <c r="AG9879" s="1"/>
      <c r="AI9879" s="1"/>
    </row>
    <row r="9880" spans="4:35" hidden="1">
      <c r="D9880" s="1"/>
      <c r="K9880" s="1"/>
      <c r="Q9880" s="1"/>
      <c r="AD9880" s="1"/>
      <c r="AG9880" s="1"/>
      <c r="AI9880" s="1"/>
    </row>
    <row r="9881" spans="4:35" hidden="1">
      <c r="D9881" s="1"/>
      <c r="K9881" s="1"/>
      <c r="Q9881" s="1"/>
      <c r="AD9881" s="1"/>
      <c r="AG9881" s="1"/>
      <c r="AI9881" s="1"/>
    </row>
    <row r="9882" spans="4:35" hidden="1">
      <c r="D9882" s="1"/>
      <c r="K9882" s="1"/>
      <c r="Q9882" s="1"/>
      <c r="AD9882" s="1"/>
      <c r="AG9882" s="1"/>
      <c r="AI9882" s="1"/>
    </row>
    <row r="9883" spans="4:35" hidden="1">
      <c r="D9883" s="1"/>
      <c r="K9883" s="1"/>
      <c r="Q9883" s="1"/>
      <c r="AD9883" s="1"/>
      <c r="AG9883" s="1"/>
      <c r="AI9883" s="1"/>
    </row>
    <row r="9884" spans="4:35" hidden="1">
      <c r="D9884" s="1"/>
      <c r="K9884" s="1"/>
      <c r="Q9884" s="1"/>
      <c r="AD9884" s="1"/>
      <c r="AG9884" s="1"/>
      <c r="AI9884" s="1"/>
    </row>
    <row r="9885" spans="4:35" hidden="1">
      <c r="D9885" s="1"/>
      <c r="K9885" s="1"/>
      <c r="Q9885" s="1"/>
      <c r="AD9885" s="1"/>
      <c r="AG9885" s="1"/>
      <c r="AI9885" s="1"/>
    </row>
    <row r="9886" spans="4:35" hidden="1">
      <c r="D9886" s="1"/>
      <c r="K9886" s="1"/>
      <c r="Q9886" s="1"/>
      <c r="AD9886" s="1"/>
      <c r="AG9886" s="1"/>
      <c r="AI9886" s="1"/>
    </row>
    <row r="9887" spans="4:35" hidden="1">
      <c r="D9887" s="1"/>
      <c r="K9887" s="1"/>
      <c r="Q9887" s="1"/>
      <c r="AD9887" s="1"/>
      <c r="AG9887" s="1"/>
      <c r="AI9887" s="1"/>
    </row>
    <row r="9888" spans="4:35" hidden="1">
      <c r="D9888" s="1"/>
      <c r="K9888" s="1"/>
      <c r="Q9888" s="1"/>
      <c r="AD9888" s="1"/>
      <c r="AG9888" s="1"/>
      <c r="AI9888" s="1"/>
    </row>
    <row r="9889" spans="4:35" hidden="1">
      <c r="D9889" s="1"/>
      <c r="K9889" s="1"/>
      <c r="Q9889" s="1"/>
      <c r="AD9889" s="1"/>
      <c r="AG9889" s="1"/>
      <c r="AI9889" s="1"/>
    </row>
    <row r="9890" spans="4:35" hidden="1">
      <c r="D9890" s="1"/>
      <c r="K9890" s="1"/>
      <c r="Q9890" s="1"/>
      <c r="AD9890" s="1"/>
      <c r="AG9890" s="1"/>
      <c r="AI9890" s="1"/>
    </row>
    <row r="9891" spans="4:35" hidden="1">
      <c r="D9891" s="1"/>
      <c r="K9891" s="1"/>
      <c r="Q9891" s="1"/>
      <c r="AD9891" s="1"/>
      <c r="AG9891" s="1"/>
      <c r="AI9891" s="1"/>
    </row>
    <row r="9892" spans="4:35" hidden="1">
      <c r="D9892" s="1"/>
      <c r="K9892" s="1"/>
      <c r="Q9892" s="1"/>
      <c r="AD9892" s="1"/>
      <c r="AG9892" s="1"/>
      <c r="AI9892" s="1"/>
    </row>
    <row r="9893" spans="4:35" hidden="1">
      <c r="D9893" s="1"/>
      <c r="K9893" s="1"/>
      <c r="Q9893" s="1"/>
      <c r="AD9893" s="1"/>
      <c r="AG9893" s="1"/>
      <c r="AI9893" s="1"/>
    </row>
    <row r="9894" spans="4:35" hidden="1">
      <c r="D9894" s="1"/>
      <c r="K9894" s="1"/>
      <c r="Q9894" s="1"/>
      <c r="AD9894" s="1"/>
      <c r="AG9894" s="1"/>
      <c r="AI9894" s="1"/>
    </row>
    <row r="9895" spans="4:35" hidden="1">
      <c r="D9895" s="1"/>
      <c r="K9895" s="1"/>
      <c r="Q9895" s="1"/>
      <c r="AD9895" s="1"/>
      <c r="AG9895" s="1"/>
      <c r="AI9895" s="1"/>
    </row>
    <row r="9896" spans="4:35" hidden="1">
      <c r="D9896" s="1"/>
      <c r="K9896" s="1"/>
      <c r="Q9896" s="1"/>
      <c r="AD9896" s="1"/>
      <c r="AG9896" s="1"/>
      <c r="AI9896" s="1"/>
    </row>
    <row r="9897" spans="4:35" hidden="1">
      <c r="D9897" s="1"/>
      <c r="K9897" s="1"/>
      <c r="Q9897" s="1"/>
      <c r="AD9897" s="1"/>
      <c r="AG9897" s="1"/>
      <c r="AI9897" s="1"/>
    </row>
    <row r="9898" spans="4:35" hidden="1">
      <c r="D9898" s="1"/>
      <c r="K9898" s="1"/>
      <c r="Q9898" s="1"/>
      <c r="AD9898" s="1"/>
      <c r="AG9898" s="1"/>
      <c r="AI9898" s="1"/>
    </row>
    <row r="9899" spans="4:35" hidden="1">
      <c r="D9899" s="1"/>
      <c r="K9899" s="1"/>
      <c r="Q9899" s="1"/>
      <c r="AD9899" s="1"/>
      <c r="AG9899" s="1"/>
      <c r="AI9899" s="1"/>
    </row>
    <row r="9900" spans="4:35" hidden="1">
      <c r="D9900" s="1"/>
      <c r="K9900" s="1"/>
      <c r="Q9900" s="1"/>
      <c r="AD9900" s="1"/>
      <c r="AG9900" s="1"/>
      <c r="AI9900" s="1"/>
    </row>
    <row r="9901" spans="4:35" hidden="1">
      <c r="D9901" s="1"/>
      <c r="K9901" s="1"/>
      <c r="Q9901" s="1"/>
      <c r="AD9901" s="1"/>
      <c r="AG9901" s="1"/>
      <c r="AI9901" s="1"/>
    </row>
    <row r="9902" spans="4:35" hidden="1">
      <c r="D9902" s="1"/>
      <c r="K9902" s="1"/>
      <c r="Q9902" s="1"/>
      <c r="AD9902" s="1"/>
      <c r="AG9902" s="1"/>
      <c r="AI9902" s="1"/>
    </row>
    <row r="9903" spans="4:35" hidden="1">
      <c r="D9903" s="1"/>
      <c r="K9903" s="1"/>
      <c r="Q9903" s="1"/>
      <c r="AD9903" s="1"/>
      <c r="AG9903" s="1"/>
      <c r="AI9903" s="1"/>
    </row>
    <row r="9904" spans="4:35" hidden="1">
      <c r="D9904" s="1"/>
      <c r="K9904" s="1"/>
      <c r="Q9904" s="1"/>
      <c r="AD9904" s="1"/>
      <c r="AG9904" s="1"/>
      <c r="AI9904" s="1"/>
    </row>
    <row r="9905" spans="4:35" hidden="1">
      <c r="D9905" s="1"/>
      <c r="K9905" s="1"/>
      <c r="Q9905" s="1"/>
      <c r="AD9905" s="1"/>
      <c r="AG9905" s="1"/>
      <c r="AI9905" s="1"/>
    </row>
    <row r="9906" spans="4:35" hidden="1">
      <c r="D9906" s="1"/>
      <c r="K9906" s="1"/>
      <c r="Q9906" s="1"/>
      <c r="AD9906" s="1"/>
      <c r="AG9906" s="1"/>
      <c r="AI9906" s="1"/>
    </row>
    <row r="9907" spans="4:35" hidden="1">
      <c r="D9907" s="1"/>
      <c r="K9907" s="1"/>
      <c r="Q9907" s="1"/>
      <c r="AD9907" s="1"/>
      <c r="AG9907" s="1"/>
      <c r="AI9907" s="1"/>
    </row>
    <row r="9908" spans="4:35" hidden="1">
      <c r="D9908" s="1"/>
      <c r="K9908" s="1"/>
      <c r="Q9908" s="1"/>
      <c r="AD9908" s="1"/>
      <c r="AG9908" s="1"/>
      <c r="AI9908" s="1"/>
    </row>
    <row r="9909" spans="4:35" hidden="1">
      <c r="D9909" s="1"/>
      <c r="K9909" s="1"/>
      <c r="Q9909" s="1"/>
      <c r="AD9909" s="1"/>
      <c r="AG9909" s="1"/>
      <c r="AI9909" s="1"/>
    </row>
    <row r="9910" spans="4:35" hidden="1">
      <c r="D9910" s="1"/>
      <c r="K9910" s="1"/>
      <c r="Q9910" s="1"/>
      <c r="AD9910" s="1"/>
      <c r="AG9910" s="1"/>
      <c r="AI9910" s="1"/>
    </row>
    <row r="9911" spans="4:35" hidden="1">
      <c r="D9911" s="1"/>
      <c r="K9911" s="1"/>
      <c r="Q9911" s="1"/>
      <c r="AD9911" s="1"/>
      <c r="AG9911" s="1"/>
      <c r="AI9911" s="1"/>
    </row>
    <row r="9912" spans="4:35" hidden="1">
      <c r="D9912" s="1"/>
      <c r="K9912" s="1"/>
      <c r="Q9912" s="1"/>
      <c r="AD9912" s="1"/>
      <c r="AG9912" s="1"/>
      <c r="AI9912" s="1"/>
    </row>
    <row r="9913" spans="4:35" hidden="1">
      <c r="D9913" s="1"/>
      <c r="K9913" s="1"/>
      <c r="Q9913" s="1"/>
      <c r="AD9913" s="1"/>
      <c r="AG9913" s="1"/>
      <c r="AI9913" s="1"/>
    </row>
    <row r="9914" spans="4:35" hidden="1">
      <c r="D9914" s="1"/>
      <c r="K9914" s="1"/>
      <c r="Q9914" s="1"/>
      <c r="AD9914" s="1"/>
      <c r="AG9914" s="1"/>
      <c r="AI9914" s="1"/>
    </row>
    <row r="9915" spans="4:35" hidden="1">
      <c r="D9915" s="1"/>
      <c r="K9915" s="1"/>
      <c r="Q9915" s="1"/>
      <c r="AD9915" s="1"/>
      <c r="AG9915" s="1"/>
      <c r="AI9915" s="1"/>
    </row>
    <row r="9916" spans="4:35" hidden="1">
      <c r="D9916" s="1"/>
      <c r="K9916" s="1"/>
      <c r="Q9916" s="1"/>
      <c r="AD9916" s="1"/>
      <c r="AG9916" s="1"/>
      <c r="AI9916" s="1"/>
    </row>
    <row r="9917" spans="4:35" hidden="1">
      <c r="D9917" s="1"/>
      <c r="K9917" s="1"/>
      <c r="Q9917" s="1"/>
      <c r="AD9917" s="1"/>
      <c r="AG9917" s="1"/>
      <c r="AI9917" s="1"/>
    </row>
    <row r="9918" spans="4:35" hidden="1">
      <c r="D9918" s="1"/>
      <c r="K9918" s="1"/>
      <c r="Q9918" s="1"/>
      <c r="AD9918" s="1"/>
      <c r="AG9918" s="1"/>
      <c r="AI9918" s="1"/>
    </row>
    <row r="9919" spans="4:35" hidden="1">
      <c r="D9919" s="1"/>
      <c r="K9919" s="1"/>
      <c r="Q9919" s="1"/>
      <c r="AD9919" s="1"/>
      <c r="AG9919" s="1"/>
      <c r="AI9919" s="1"/>
    </row>
    <row r="9920" spans="4:35" hidden="1">
      <c r="D9920" s="1"/>
      <c r="K9920" s="1"/>
      <c r="Q9920" s="1"/>
      <c r="AD9920" s="1"/>
      <c r="AG9920" s="1"/>
      <c r="AI9920" s="1"/>
    </row>
    <row r="9921" spans="4:35" hidden="1">
      <c r="D9921" s="1"/>
      <c r="K9921" s="1"/>
      <c r="Q9921" s="1"/>
      <c r="AD9921" s="1"/>
      <c r="AG9921" s="1"/>
      <c r="AI9921" s="1"/>
    </row>
    <row r="9922" spans="4:35" hidden="1">
      <c r="D9922" s="1"/>
      <c r="K9922" s="1"/>
      <c r="Q9922" s="1"/>
      <c r="AD9922" s="1"/>
      <c r="AG9922" s="1"/>
      <c r="AI9922" s="1"/>
    </row>
    <row r="9923" spans="4:35" hidden="1">
      <c r="D9923" s="1"/>
      <c r="K9923" s="1"/>
      <c r="Q9923" s="1"/>
      <c r="AD9923" s="1"/>
      <c r="AG9923" s="1"/>
      <c r="AI9923" s="1"/>
    </row>
    <row r="9924" spans="4:35" hidden="1">
      <c r="D9924" s="1"/>
      <c r="K9924" s="1"/>
      <c r="Q9924" s="1"/>
      <c r="AD9924" s="1"/>
      <c r="AG9924" s="1"/>
      <c r="AI9924" s="1"/>
    </row>
    <row r="9925" spans="4:35" hidden="1">
      <c r="D9925" s="1"/>
      <c r="K9925" s="1"/>
      <c r="Q9925" s="1"/>
      <c r="AD9925" s="1"/>
      <c r="AG9925" s="1"/>
      <c r="AI9925" s="1"/>
    </row>
    <row r="9926" spans="4:35" hidden="1">
      <c r="D9926" s="1"/>
      <c r="K9926" s="1"/>
      <c r="Q9926" s="1"/>
      <c r="AD9926" s="1"/>
      <c r="AG9926" s="1"/>
      <c r="AI9926" s="1"/>
    </row>
    <row r="9927" spans="4:35" hidden="1">
      <c r="D9927" s="1"/>
      <c r="K9927" s="1"/>
      <c r="Q9927" s="1"/>
      <c r="AD9927" s="1"/>
      <c r="AG9927" s="1"/>
      <c r="AI9927" s="1"/>
    </row>
    <row r="9928" spans="4:35" hidden="1">
      <c r="D9928" s="1"/>
      <c r="K9928" s="1"/>
      <c r="Q9928" s="1"/>
      <c r="AD9928" s="1"/>
      <c r="AG9928" s="1"/>
      <c r="AI9928" s="1"/>
    </row>
    <row r="9929" spans="4:35" hidden="1">
      <c r="D9929" s="1"/>
      <c r="K9929" s="1"/>
      <c r="Q9929" s="1"/>
      <c r="AD9929" s="1"/>
      <c r="AG9929" s="1"/>
      <c r="AI9929" s="1"/>
    </row>
    <row r="9930" spans="4:35" hidden="1">
      <c r="D9930" s="1"/>
      <c r="K9930" s="1"/>
      <c r="Q9930" s="1"/>
      <c r="AD9930" s="1"/>
      <c r="AG9930" s="1"/>
      <c r="AI9930" s="1"/>
    </row>
    <row r="9931" spans="4:35" hidden="1">
      <c r="D9931" s="1"/>
      <c r="K9931" s="1"/>
      <c r="Q9931" s="1"/>
      <c r="AD9931" s="1"/>
      <c r="AG9931" s="1"/>
      <c r="AI9931" s="1"/>
    </row>
    <row r="9932" spans="4:35" hidden="1">
      <c r="D9932" s="1"/>
      <c r="K9932" s="1"/>
      <c r="Q9932" s="1"/>
      <c r="AD9932" s="1"/>
      <c r="AG9932" s="1"/>
      <c r="AI9932" s="1"/>
    </row>
    <row r="9933" spans="4:35" hidden="1">
      <c r="D9933" s="1"/>
      <c r="K9933" s="1"/>
      <c r="Q9933" s="1"/>
      <c r="AD9933" s="1"/>
      <c r="AG9933" s="1"/>
      <c r="AI9933" s="1"/>
    </row>
    <row r="9934" spans="4:35" hidden="1">
      <c r="D9934" s="1"/>
      <c r="K9934" s="1"/>
      <c r="Q9934" s="1"/>
      <c r="AD9934" s="1"/>
      <c r="AG9934" s="1"/>
      <c r="AI9934" s="1"/>
    </row>
    <row r="9935" spans="4:35" hidden="1">
      <c r="D9935" s="1"/>
      <c r="K9935" s="1"/>
      <c r="Q9935" s="1"/>
      <c r="AD9935" s="1"/>
      <c r="AG9935" s="1"/>
      <c r="AI9935" s="1"/>
    </row>
    <row r="9936" spans="4:35" hidden="1">
      <c r="D9936" s="1"/>
      <c r="K9936" s="1"/>
      <c r="Q9936" s="1"/>
      <c r="AD9936" s="1"/>
      <c r="AG9936" s="1"/>
      <c r="AI9936" s="1"/>
    </row>
    <row r="9937" spans="4:35" hidden="1">
      <c r="D9937" s="1"/>
      <c r="K9937" s="1"/>
      <c r="Q9937" s="1"/>
      <c r="AD9937" s="1"/>
      <c r="AG9937" s="1"/>
      <c r="AI9937" s="1"/>
    </row>
    <row r="9938" spans="4:35" hidden="1">
      <c r="D9938" s="1"/>
      <c r="K9938" s="1"/>
      <c r="Q9938" s="1"/>
      <c r="AD9938" s="1"/>
      <c r="AG9938" s="1"/>
      <c r="AI9938" s="1"/>
    </row>
    <row r="9939" spans="4:35" hidden="1">
      <c r="D9939" s="1"/>
      <c r="K9939" s="1"/>
      <c r="Q9939" s="1"/>
      <c r="AD9939" s="1"/>
      <c r="AG9939" s="1"/>
      <c r="AI9939" s="1"/>
    </row>
    <row r="9940" spans="4:35" hidden="1">
      <c r="D9940" s="1"/>
      <c r="K9940" s="1"/>
      <c r="Q9940" s="1"/>
      <c r="AD9940" s="1"/>
      <c r="AG9940" s="1"/>
      <c r="AI9940" s="1"/>
    </row>
    <row r="9941" spans="4:35" hidden="1">
      <c r="D9941" s="1"/>
      <c r="K9941" s="1"/>
      <c r="Q9941" s="1"/>
      <c r="AD9941" s="1"/>
      <c r="AG9941" s="1"/>
      <c r="AI9941" s="1"/>
    </row>
    <row r="9942" spans="4:35" hidden="1">
      <c r="D9942" s="1"/>
      <c r="K9942" s="1"/>
      <c r="Q9942" s="1"/>
      <c r="AD9942" s="1"/>
      <c r="AG9942" s="1"/>
      <c r="AI9942" s="1"/>
    </row>
    <row r="9943" spans="4:35" hidden="1">
      <c r="D9943" s="1"/>
      <c r="K9943" s="1"/>
      <c r="Q9943" s="1"/>
      <c r="AD9943" s="1"/>
      <c r="AG9943" s="1"/>
      <c r="AI9943" s="1"/>
    </row>
    <row r="9944" spans="4:35" hidden="1">
      <c r="D9944" s="1"/>
      <c r="K9944" s="1"/>
      <c r="Q9944" s="1"/>
      <c r="AD9944" s="1"/>
      <c r="AG9944" s="1"/>
      <c r="AI9944" s="1"/>
    </row>
    <row r="9945" spans="4:35" hidden="1">
      <c r="D9945" s="1"/>
      <c r="K9945" s="1"/>
      <c r="Q9945" s="1"/>
      <c r="AD9945" s="1"/>
      <c r="AG9945" s="1"/>
      <c r="AI9945" s="1"/>
    </row>
    <row r="9946" spans="4:35" hidden="1">
      <c r="D9946" s="1"/>
      <c r="K9946" s="1"/>
      <c r="Q9946" s="1"/>
      <c r="AD9946" s="1"/>
      <c r="AG9946" s="1"/>
      <c r="AI9946" s="1"/>
    </row>
    <row r="9947" spans="4:35" hidden="1">
      <c r="D9947" s="1"/>
      <c r="K9947" s="1"/>
      <c r="Q9947" s="1"/>
      <c r="AD9947" s="1"/>
      <c r="AG9947" s="1"/>
      <c r="AI9947" s="1"/>
    </row>
    <row r="9948" spans="4:35" hidden="1">
      <c r="D9948" s="1"/>
      <c r="K9948" s="1"/>
      <c r="Q9948" s="1"/>
      <c r="AD9948" s="1"/>
      <c r="AG9948" s="1"/>
      <c r="AI9948" s="1"/>
    </row>
    <row r="9949" spans="4:35" hidden="1">
      <c r="D9949" s="1"/>
      <c r="K9949" s="1"/>
      <c r="Q9949" s="1"/>
      <c r="AD9949" s="1"/>
      <c r="AG9949" s="1"/>
      <c r="AI9949" s="1"/>
    </row>
    <row r="9950" spans="4:35" hidden="1">
      <c r="D9950" s="1"/>
      <c r="K9950" s="1"/>
      <c r="Q9950" s="1"/>
      <c r="AD9950" s="1"/>
      <c r="AG9950" s="1"/>
      <c r="AI9950" s="1"/>
    </row>
    <row r="9951" spans="4:35" hidden="1">
      <c r="D9951" s="1"/>
      <c r="K9951" s="1"/>
      <c r="Q9951" s="1"/>
      <c r="AD9951" s="1"/>
      <c r="AG9951" s="1"/>
      <c r="AI9951" s="1"/>
    </row>
    <row r="9952" spans="4:35" hidden="1">
      <c r="D9952" s="1"/>
      <c r="K9952" s="1"/>
      <c r="Q9952" s="1"/>
      <c r="AD9952" s="1"/>
      <c r="AG9952" s="1"/>
      <c r="AI9952" s="1"/>
    </row>
    <row r="9953" spans="4:35" hidden="1">
      <c r="D9953" s="1"/>
      <c r="K9953" s="1"/>
      <c r="Q9953" s="1"/>
      <c r="AD9953" s="1"/>
      <c r="AG9953" s="1"/>
      <c r="AI9953" s="1"/>
    </row>
    <row r="9954" spans="4:35" hidden="1">
      <c r="D9954" s="1"/>
      <c r="K9954" s="1"/>
      <c r="Q9954" s="1"/>
      <c r="AD9954" s="1"/>
      <c r="AG9954" s="1"/>
      <c r="AI9954" s="1"/>
    </row>
    <row r="9955" spans="4:35" hidden="1">
      <c r="D9955" s="1"/>
      <c r="K9955" s="1"/>
      <c r="Q9955" s="1"/>
      <c r="AD9955" s="1"/>
      <c r="AG9955" s="1"/>
      <c r="AI9955" s="1"/>
    </row>
    <row r="9956" spans="4:35" hidden="1">
      <c r="D9956" s="1"/>
      <c r="K9956" s="1"/>
      <c r="Q9956" s="1"/>
      <c r="AD9956" s="1"/>
      <c r="AG9956" s="1"/>
      <c r="AI9956" s="1"/>
    </row>
    <row r="9957" spans="4:35" hidden="1">
      <c r="D9957" s="1"/>
      <c r="K9957" s="1"/>
      <c r="Q9957" s="1"/>
      <c r="AD9957" s="1"/>
      <c r="AG9957" s="1"/>
      <c r="AI9957" s="1"/>
    </row>
    <row r="9958" spans="4:35" hidden="1">
      <c r="D9958" s="1"/>
      <c r="K9958" s="1"/>
      <c r="Q9958" s="1"/>
      <c r="AD9958" s="1"/>
      <c r="AG9958" s="1"/>
      <c r="AI9958" s="1"/>
    </row>
    <row r="9959" spans="4:35" hidden="1">
      <c r="D9959" s="1"/>
      <c r="K9959" s="1"/>
      <c r="Q9959" s="1"/>
      <c r="AD9959" s="1"/>
      <c r="AG9959" s="1"/>
      <c r="AI9959" s="1"/>
    </row>
    <row r="9960" spans="4:35" hidden="1">
      <c r="D9960" s="1"/>
      <c r="K9960" s="1"/>
      <c r="Q9960" s="1"/>
      <c r="AD9960" s="1"/>
      <c r="AG9960" s="1"/>
      <c r="AI9960" s="1"/>
    </row>
    <row r="9961" spans="4:35" hidden="1">
      <c r="D9961" s="1"/>
      <c r="K9961" s="1"/>
      <c r="Q9961" s="1"/>
      <c r="AD9961" s="1"/>
      <c r="AG9961" s="1"/>
      <c r="AI9961" s="1"/>
    </row>
    <row r="9962" spans="4:35" hidden="1">
      <c r="D9962" s="1"/>
      <c r="K9962" s="1"/>
      <c r="Q9962" s="1"/>
      <c r="AD9962" s="1"/>
      <c r="AG9962" s="1"/>
      <c r="AI9962" s="1"/>
    </row>
    <row r="9963" spans="4:35" hidden="1">
      <c r="D9963" s="1"/>
      <c r="K9963" s="1"/>
      <c r="Q9963" s="1"/>
      <c r="AD9963" s="1"/>
      <c r="AG9963" s="1"/>
      <c r="AI9963" s="1"/>
    </row>
    <row r="9964" spans="4:35" hidden="1">
      <c r="D9964" s="1"/>
      <c r="K9964" s="1"/>
      <c r="Q9964" s="1"/>
      <c r="AD9964" s="1"/>
      <c r="AG9964" s="1"/>
      <c r="AI9964" s="1"/>
    </row>
    <row r="9965" spans="4:35" hidden="1">
      <c r="D9965" s="1"/>
      <c r="K9965" s="1"/>
      <c r="Q9965" s="1"/>
      <c r="AD9965" s="1"/>
      <c r="AG9965" s="1"/>
      <c r="AI9965" s="1"/>
    </row>
    <row r="9966" spans="4:35" hidden="1">
      <c r="D9966" s="1"/>
      <c r="K9966" s="1"/>
      <c r="Q9966" s="1"/>
      <c r="AD9966" s="1"/>
      <c r="AG9966" s="1"/>
      <c r="AI9966" s="1"/>
    </row>
    <row r="9967" spans="4:35" hidden="1">
      <c r="D9967" s="1"/>
      <c r="K9967" s="1"/>
      <c r="Q9967" s="1"/>
      <c r="AD9967" s="1"/>
      <c r="AG9967" s="1"/>
      <c r="AI9967" s="1"/>
    </row>
    <row r="9968" spans="4:35" hidden="1">
      <c r="D9968" s="1"/>
      <c r="K9968" s="1"/>
      <c r="Q9968" s="1"/>
      <c r="AD9968" s="1"/>
      <c r="AG9968" s="1"/>
      <c r="AI9968" s="1"/>
    </row>
    <row r="9969" spans="4:35" hidden="1">
      <c r="D9969" s="1"/>
      <c r="K9969" s="1"/>
      <c r="Q9969" s="1"/>
      <c r="AD9969" s="1"/>
      <c r="AG9969" s="1"/>
      <c r="AI9969" s="1"/>
    </row>
    <row r="9970" spans="4:35" hidden="1">
      <c r="D9970" s="1"/>
      <c r="K9970" s="1"/>
      <c r="Q9970" s="1"/>
      <c r="AD9970" s="1"/>
      <c r="AG9970" s="1"/>
      <c r="AI9970" s="1"/>
    </row>
    <row r="9971" spans="4:35" hidden="1">
      <c r="D9971" s="1"/>
      <c r="K9971" s="1"/>
      <c r="Q9971" s="1"/>
      <c r="AD9971" s="1"/>
      <c r="AG9971" s="1"/>
      <c r="AI9971" s="1"/>
    </row>
    <row r="9972" spans="4:35" hidden="1">
      <c r="D9972" s="1"/>
      <c r="K9972" s="1"/>
      <c r="Q9972" s="1"/>
      <c r="AD9972" s="1"/>
      <c r="AG9972" s="1"/>
      <c r="AI9972" s="1"/>
    </row>
    <row r="9973" spans="4:35" hidden="1">
      <c r="D9973" s="1"/>
      <c r="K9973" s="1"/>
      <c r="Q9973" s="1"/>
      <c r="AD9973" s="1"/>
      <c r="AG9973" s="1"/>
      <c r="AI9973" s="1"/>
    </row>
    <row r="9974" spans="4:35" hidden="1">
      <c r="D9974" s="1"/>
      <c r="K9974" s="1"/>
      <c r="Q9974" s="1"/>
      <c r="AD9974" s="1"/>
      <c r="AG9974" s="1"/>
      <c r="AI9974" s="1"/>
    </row>
    <row r="9975" spans="4:35" hidden="1">
      <c r="D9975" s="1"/>
      <c r="K9975" s="1"/>
      <c r="Q9975" s="1"/>
      <c r="AD9975" s="1"/>
      <c r="AG9975" s="1"/>
      <c r="AI9975" s="1"/>
    </row>
    <row r="9976" spans="4:35" hidden="1">
      <c r="D9976" s="1"/>
      <c r="K9976" s="1"/>
      <c r="Q9976" s="1"/>
      <c r="AD9976" s="1"/>
      <c r="AG9976" s="1"/>
      <c r="AI9976" s="1"/>
    </row>
    <row r="9977" spans="4:35" hidden="1">
      <c r="D9977" s="1"/>
      <c r="K9977" s="1"/>
      <c r="Q9977" s="1"/>
      <c r="AD9977" s="1"/>
      <c r="AG9977" s="1"/>
      <c r="AI9977" s="1"/>
    </row>
    <row r="9978" spans="4:35" hidden="1">
      <c r="D9978" s="1"/>
      <c r="K9978" s="1"/>
      <c r="Q9978" s="1"/>
      <c r="AD9978" s="1"/>
      <c r="AG9978" s="1"/>
      <c r="AI9978" s="1"/>
    </row>
    <row r="9979" spans="4:35" hidden="1">
      <c r="D9979" s="1"/>
      <c r="K9979" s="1"/>
      <c r="Q9979" s="1"/>
      <c r="AD9979" s="1"/>
      <c r="AG9979" s="1"/>
      <c r="AI9979" s="1"/>
    </row>
    <row r="9980" spans="4:35" hidden="1">
      <c r="D9980" s="1"/>
      <c r="K9980" s="1"/>
      <c r="Q9980" s="1"/>
      <c r="AD9980" s="1"/>
      <c r="AG9980" s="1"/>
      <c r="AI9980" s="1"/>
    </row>
    <row r="9981" spans="4:35" hidden="1">
      <c r="D9981" s="1"/>
      <c r="K9981" s="1"/>
      <c r="Q9981" s="1"/>
      <c r="AD9981" s="1"/>
      <c r="AG9981" s="1"/>
      <c r="AI9981" s="1"/>
    </row>
    <row r="9982" spans="4:35" hidden="1">
      <c r="D9982" s="1"/>
      <c r="K9982" s="1"/>
      <c r="Q9982" s="1"/>
      <c r="AD9982" s="1"/>
      <c r="AG9982" s="1"/>
      <c r="AI9982" s="1"/>
    </row>
    <row r="9983" spans="4:35" hidden="1">
      <c r="D9983" s="1"/>
      <c r="K9983" s="1"/>
      <c r="Q9983" s="1"/>
      <c r="AD9983" s="1"/>
      <c r="AG9983" s="1"/>
      <c r="AI9983" s="1"/>
    </row>
    <row r="9984" spans="4:35" hidden="1">
      <c r="D9984" s="1"/>
      <c r="K9984" s="1"/>
      <c r="Q9984" s="1"/>
      <c r="AD9984" s="1"/>
      <c r="AG9984" s="1"/>
      <c r="AI9984" s="1"/>
    </row>
    <row r="9985" spans="4:35" hidden="1">
      <c r="D9985" s="1"/>
      <c r="K9985" s="1"/>
      <c r="Q9985" s="1"/>
      <c r="AD9985" s="1"/>
      <c r="AG9985" s="1"/>
      <c r="AI9985" s="1"/>
    </row>
    <row r="9986" spans="4:35" hidden="1">
      <c r="D9986" s="1"/>
      <c r="K9986" s="1"/>
      <c r="Q9986" s="1"/>
      <c r="AD9986" s="1"/>
      <c r="AG9986" s="1"/>
      <c r="AI9986" s="1"/>
    </row>
    <row r="9987" spans="4:35" hidden="1">
      <c r="D9987" s="1"/>
      <c r="K9987" s="1"/>
      <c r="Q9987" s="1"/>
      <c r="AD9987" s="1"/>
      <c r="AG9987" s="1"/>
      <c r="AI9987" s="1"/>
    </row>
    <row r="9988" spans="4:35" hidden="1">
      <c r="D9988" s="1"/>
      <c r="K9988" s="1"/>
      <c r="Q9988" s="1"/>
      <c r="AD9988" s="1"/>
      <c r="AG9988" s="1"/>
      <c r="AI9988" s="1"/>
    </row>
    <row r="9989" spans="4:35" hidden="1">
      <c r="D9989" s="1"/>
      <c r="K9989" s="1"/>
      <c r="Q9989" s="1"/>
      <c r="AD9989" s="1"/>
      <c r="AG9989" s="1"/>
      <c r="AI9989" s="1"/>
    </row>
    <row r="9990" spans="4:35" hidden="1">
      <c r="D9990" s="1"/>
      <c r="K9990" s="1"/>
      <c r="Q9990" s="1"/>
      <c r="AD9990" s="1"/>
      <c r="AG9990" s="1"/>
      <c r="AI9990" s="1"/>
    </row>
    <row r="9991" spans="4:35" hidden="1">
      <c r="D9991" s="1"/>
      <c r="K9991" s="1"/>
      <c r="Q9991" s="1"/>
      <c r="AD9991" s="1"/>
      <c r="AG9991" s="1"/>
      <c r="AI9991" s="1"/>
    </row>
    <row r="9992" spans="4:35" hidden="1">
      <c r="D9992" s="1"/>
      <c r="K9992" s="1"/>
      <c r="Q9992" s="1"/>
      <c r="AD9992" s="1"/>
      <c r="AG9992" s="1"/>
      <c r="AI9992" s="1"/>
    </row>
    <row r="9993" spans="4:35" hidden="1">
      <c r="D9993" s="1"/>
      <c r="K9993" s="1"/>
      <c r="Q9993" s="1"/>
      <c r="AD9993" s="1"/>
      <c r="AG9993" s="1"/>
      <c r="AI9993" s="1"/>
    </row>
    <row r="9994" spans="4:35" hidden="1">
      <c r="D9994" s="1"/>
      <c r="K9994" s="1"/>
      <c r="Q9994" s="1"/>
      <c r="AD9994" s="1"/>
      <c r="AG9994" s="1"/>
      <c r="AI9994" s="1"/>
    </row>
    <row r="9995" spans="4:35" hidden="1">
      <c r="D9995" s="1"/>
      <c r="K9995" s="1"/>
      <c r="Q9995" s="1"/>
      <c r="AD9995" s="1"/>
      <c r="AG9995" s="1"/>
      <c r="AI9995" s="1"/>
    </row>
    <row r="9996" spans="4:35" hidden="1">
      <c r="D9996" s="1"/>
      <c r="K9996" s="1"/>
      <c r="Q9996" s="1"/>
      <c r="AD9996" s="1"/>
      <c r="AG9996" s="1"/>
      <c r="AI9996" s="1"/>
    </row>
    <row r="9997" spans="4:35" hidden="1">
      <c r="D9997" s="1"/>
      <c r="K9997" s="1"/>
      <c r="Q9997" s="1"/>
      <c r="AD9997" s="1"/>
      <c r="AG9997" s="1"/>
      <c r="AI9997" s="1"/>
    </row>
    <row r="9998" spans="4:35" hidden="1">
      <c r="D9998" s="1"/>
      <c r="K9998" s="1"/>
      <c r="Q9998" s="1"/>
      <c r="AD9998" s="1"/>
      <c r="AG9998" s="1"/>
      <c r="AI9998" s="1"/>
    </row>
    <row r="9999" spans="4:35" hidden="1">
      <c r="D9999" s="1"/>
      <c r="K9999" s="1"/>
      <c r="Q9999" s="1"/>
      <c r="AD9999" s="1"/>
      <c r="AG9999" s="1"/>
      <c r="AI9999" s="1"/>
    </row>
    <row r="10000" spans="4:35" hidden="1">
      <c r="D10000" s="1"/>
      <c r="K10000" s="1"/>
      <c r="Q10000" s="1"/>
      <c r="AD10000" s="1"/>
      <c r="AG10000" s="1"/>
      <c r="AI10000" s="1"/>
    </row>
    <row r="10001" spans="4:35" hidden="1">
      <c r="D10001" s="1"/>
      <c r="K10001" s="1"/>
      <c r="Q10001" s="1"/>
      <c r="AD10001" s="1"/>
      <c r="AG10001" s="1"/>
      <c r="AI10001" s="1"/>
    </row>
    <row r="10002" spans="4:35" hidden="1">
      <c r="D10002" s="1"/>
      <c r="K10002" s="1"/>
      <c r="Q10002" s="1"/>
      <c r="AD10002" s="1"/>
      <c r="AG10002" s="1"/>
      <c r="AI10002" s="1"/>
    </row>
    <row r="10003" spans="4:35" hidden="1">
      <c r="D10003" s="1"/>
      <c r="K10003" s="1"/>
      <c r="Q10003" s="1"/>
      <c r="AD10003" s="1"/>
      <c r="AG10003" s="1"/>
      <c r="AI10003" s="1"/>
    </row>
    <row r="10004" spans="4:35" hidden="1">
      <c r="D10004" s="1"/>
      <c r="K10004" s="1"/>
      <c r="Q10004" s="1"/>
      <c r="AD10004" s="1"/>
      <c r="AG10004" s="1"/>
      <c r="AI10004" s="1"/>
    </row>
    <row r="10005" spans="4:35" hidden="1">
      <c r="D10005" s="1"/>
      <c r="K10005" s="1"/>
      <c r="Q10005" s="1"/>
      <c r="AD10005" s="1"/>
      <c r="AG10005" s="1"/>
      <c r="AI10005" s="1"/>
    </row>
    <row r="10006" spans="4:35" hidden="1">
      <c r="D10006" s="1"/>
      <c r="K10006" s="1"/>
      <c r="Q10006" s="1"/>
      <c r="AD10006" s="1"/>
      <c r="AG10006" s="1"/>
      <c r="AI10006" s="1"/>
    </row>
    <row r="10007" spans="4:35" hidden="1">
      <c r="D10007" s="1"/>
      <c r="K10007" s="1"/>
      <c r="Q10007" s="1"/>
      <c r="AD10007" s="1"/>
      <c r="AG10007" s="1"/>
      <c r="AI10007" s="1"/>
    </row>
    <row r="10008" spans="4:35" hidden="1">
      <c r="D10008" s="1"/>
      <c r="K10008" s="1"/>
      <c r="Q10008" s="1"/>
      <c r="AD10008" s="1"/>
      <c r="AG10008" s="1"/>
      <c r="AI10008" s="1"/>
    </row>
    <row r="10009" spans="4:35" hidden="1">
      <c r="D10009" s="1"/>
      <c r="K10009" s="1"/>
      <c r="Q10009" s="1"/>
      <c r="AD10009" s="1"/>
      <c r="AG10009" s="1"/>
      <c r="AI10009" s="1"/>
    </row>
    <row r="10010" spans="4:35" hidden="1">
      <c r="D10010" s="1"/>
      <c r="K10010" s="1"/>
      <c r="Q10010" s="1"/>
      <c r="AD10010" s="1"/>
      <c r="AG10010" s="1"/>
      <c r="AI10010" s="1"/>
    </row>
    <row r="10011" spans="4:35" hidden="1">
      <c r="D10011" s="1"/>
      <c r="K10011" s="1"/>
      <c r="Q10011" s="1"/>
      <c r="AD10011" s="1"/>
      <c r="AG10011" s="1"/>
      <c r="AI10011" s="1"/>
    </row>
    <row r="10012" spans="4:35" hidden="1">
      <c r="D10012" s="1"/>
      <c r="K10012" s="1"/>
      <c r="Q10012" s="1"/>
      <c r="AD10012" s="1"/>
      <c r="AG10012" s="1"/>
      <c r="AI10012" s="1"/>
    </row>
    <row r="10013" spans="4:35" hidden="1">
      <c r="D10013" s="1"/>
      <c r="K10013" s="1"/>
      <c r="Q10013" s="1"/>
      <c r="AD10013" s="1"/>
      <c r="AG10013" s="1"/>
      <c r="AI10013" s="1"/>
    </row>
    <row r="10014" spans="4:35" hidden="1">
      <c r="D10014" s="1"/>
      <c r="K10014" s="1"/>
      <c r="Q10014" s="1"/>
      <c r="AD10014" s="1"/>
      <c r="AG10014" s="1"/>
      <c r="AI10014" s="1"/>
    </row>
    <row r="10015" spans="4:35" hidden="1">
      <c r="D10015" s="1"/>
      <c r="K10015" s="1"/>
      <c r="Q10015" s="1"/>
      <c r="AD10015" s="1"/>
      <c r="AG10015" s="1"/>
      <c r="AI10015" s="1"/>
    </row>
    <row r="10016" spans="4:35" hidden="1">
      <c r="D10016" s="1"/>
      <c r="K10016" s="1"/>
      <c r="Q10016" s="1"/>
      <c r="AD10016" s="1"/>
      <c r="AG10016" s="1"/>
      <c r="AI10016" s="1"/>
    </row>
    <row r="10017" spans="4:35" hidden="1">
      <c r="D10017" s="1"/>
      <c r="K10017" s="1"/>
      <c r="Q10017" s="1"/>
      <c r="AD10017" s="1"/>
      <c r="AG10017" s="1"/>
      <c r="AI10017" s="1"/>
    </row>
    <row r="10018" spans="4:35" hidden="1">
      <c r="D10018" s="1"/>
      <c r="K10018" s="1"/>
      <c r="Q10018" s="1"/>
      <c r="AD10018" s="1"/>
      <c r="AG10018" s="1"/>
      <c r="AI10018" s="1"/>
    </row>
    <row r="10019" spans="4:35" hidden="1">
      <c r="D10019" s="1"/>
      <c r="K10019" s="1"/>
      <c r="Q10019" s="1"/>
      <c r="AD10019" s="1"/>
      <c r="AG10019" s="1"/>
      <c r="AI10019" s="1"/>
    </row>
    <row r="10020" spans="4:35" hidden="1">
      <c r="D10020" s="1"/>
      <c r="K10020" s="1"/>
      <c r="Q10020" s="1"/>
      <c r="AD10020" s="1"/>
      <c r="AG10020" s="1"/>
      <c r="AI10020" s="1"/>
    </row>
    <row r="10021" spans="4:35" hidden="1">
      <c r="D10021" s="1"/>
      <c r="K10021" s="1"/>
      <c r="Q10021" s="1"/>
      <c r="AD10021" s="1"/>
      <c r="AG10021" s="1"/>
      <c r="AI10021" s="1"/>
    </row>
    <row r="10022" spans="4:35" hidden="1">
      <c r="D10022" s="1"/>
      <c r="K10022" s="1"/>
      <c r="Q10022" s="1"/>
      <c r="AD10022" s="1"/>
      <c r="AG10022" s="1"/>
      <c r="AI10022" s="1"/>
    </row>
    <row r="10023" spans="4:35" hidden="1">
      <c r="D10023" s="1"/>
      <c r="K10023" s="1"/>
      <c r="Q10023" s="1"/>
      <c r="AD10023" s="1"/>
      <c r="AG10023" s="1"/>
      <c r="AI10023" s="1"/>
    </row>
    <row r="10024" spans="4:35" hidden="1">
      <c r="D10024" s="1"/>
      <c r="K10024" s="1"/>
      <c r="Q10024" s="1"/>
      <c r="AD10024" s="1"/>
      <c r="AG10024" s="1"/>
      <c r="AI10024" s="1"/>
    </row>
    <row r="10025" spans="4:35" hidden="1">
      <c r="D10025" s="1"/>
      <c r="K10025" s="1"/>
      <c r="Q10025" s="1"/>
      <c r="AD10025" s="1"/>
      <c r="AG10025" s="1"/>
      <c r="AI10025" s="1"/>
    </row>
    <row r="10026" spans="4:35" hidden="1">
      <c r="D10026" s="1"/>
      <c r="K10026" s="1"/>
      <c r="Q10026" s="1"/>
      <c r="AD10026" s="1"/>
      <c r="AG10026" s="1"/>
      <c r="AI10026" s="1"/>
    </row>
    <row r="10027" spans="4:35" hidden="1">
      <c r="D10027" s="1"/>
      <c r="K10027" s="1"/>
      <c r="Q10027" s="1"/>
      <c r="AD10027" s="1"/>
      <c r="AG10027" s="1"/>
      <c r="AI10027" s="1"/>
    </row>
    <row r="10028" spans="4:35" hidden="1">
      <c r="D10028" s="1"/>
      <c r="K10028" s="1"/>
      <c r="Q10028" s="1"/>
      <c r="AD10028" s="1"/>
      <c r="AG10028" s="1"/>
      <c r="AI10028" s="1"/>
    </row>
    <row r="10029" spans="4:35" hidden="1">
      <c r="D10029" s="1"/>
      <c r="K10029" s="1"/>
      <c r="Q10029" s="1"/>
      <c r="AD10029" s="1"/>
      <c r="AG10029" s="1"/>
      <c r="AI10029" s="1"/>
    </row>
    <row r="10030" spans="4:35" hidden="1">
      <c r="D10030" s="1"/>
      <c r="K10030" s="1"/>
      <c r="Q10030" s="1"/>
      <c r="AD10030" s="1"/>
      <c r="AG10030" s="1"/>
      <c r="AI10030" s="1"/>
    </row>
    <row r="10031" spans="4:35" hidden="1">
      <c r="D10031" s="1"/>
      <c r="K10031" s="1"/>
      <c r="Q10031" s="1"/>
      <c r="AD10031" s="1"/>
      <c r="AG10031" s="1"/>
      <c r="AI10031" s="1"/>
    </row>
    <row r="10032" spans="4:35" hidden="1">
      <c r="D10032" s="1"/>
      <c r="K10032" s="1"/>
      <c r="Q10032" s="1"/>
      <c r="AD10032" s="1"/>
      <c r="AG10032" s="1"/>
      <c r="AI10032" s="1"/>
    </row>
    <row r="10033" spans="4:35" hidden="1">
      <c r="D10033" s="1"/>
      <c r="K10033" s="1"/>
      <c r="Q10033" s="1"/>
      <c r="AD10033" s="1"/>
      <c r="AG10033" s="1"/>
      <c r="AI10033" s="1"/>
    </row>
    <row r="10034" spans="4:35" hidden="1">
      <c r="D10034" s="1"/>
      <c r="K10034" s="1"/>
      <c r="Q10034" s="1"/>
      <c r="AD10034" s="1"/>
      <c r="AG10034" s="1"/>
      <c r="AI10034" s="1"/>
    </row>
    <row r="10035" spans="4:35" hidden="1">
      <c r="D10035" s="1"/>
      <c r="K10035" s="1"/>
      <c r="Q10035" s="1"/>
      <c r="AD10035" s="1"/>
      <c r="AG10035" s="1"/>
      <c r="AI10035" s="1"/>
    </row>
    <row r="10036" spans="4:35" hidden="1">
      <c r="D10036" s="1"/>
      <c r="K10036" s="1"/>
      <c r="Q10036" s="1"/>
      <c r="AD10036" s="1"/>
      <c r="AG10036" s="1"/>
      <c r="AI10036" s="1"/>
    </row>
    <row r="10037" spans="4:35" hidden="1">
      <c r="D10037" s="1"/>
      <c r="K10037" s="1"/>
      <c r="Q10037" s="1"/>
      <c r="AD10037" s="1"/>
      <c r="AG10037" s="1"/>
      <c r="AI10037" s="1"/>
    </row>
    <row r="10038" spans="4:35" hidden="1">
      <c r="D10038" s="1"/>
      <c r="K10038" s="1"/>
      <c r="Q10038" s="1"/>
      <c r="AD10038" s="1"/>
      <c r="AG10038" s="1"/>
      <c r="AI10038" s="1"/>
    </row>
    <row r="10039" spans="4:35" hidden="1">
      <c r="D10039" s="1"/>
      <c r="K10039" s="1"/>
      <c r="Q10039" s="1"/>
      <c r="AD10039" s="1"/>
      <c r="AG10039" s="1"/>
      <c r="AI10039" s="1"/>
    </row>
    <row r="10040" spans="4:35" hidden="1">
      <c r="D10040" s="1"/>
      <c r="K10040" s="1"/>
      <c r="Q10040" s="1"/>
      <c r="AD10040" s="1"/>
      <c r="AG10040" s="1"/>
      <c r="AI10040" s="1"/>
    </row>
    <row r="10041" spans="4:35" hidden="1">
      <c r="D10041" s="1"/>
      <c r="K10041" s="1"/>
      <c r="Q10041" s="1"/>
      <c r="AD10041" s="1"/>
      <c r="AG10041" s="1"/>
      <c r="AI10041" s="1"/>
    </row>
    <row r="10042" spans="4:35" hidden="1">
      <c r="D10042" s="1"/>
      <c r="K10042" s="1"/>
      <c r="Q10042" s="1"/>
      <c r="AD10042" s="1"/>
      <c r="AG10042" s="1"/>
      <c r="AI10042" s="1"/>
    </row>
    <row r="10043" spans="4:35" hidden="1">
      <c r="D10043" s="1"/>
      <c r="K10043" s="1"/>
      <c r="Q10043" s="1"/>
      <c r="AD10043" s="1"/>
      <c r="AG10043" s="1"/>
      <c r="AI10043" s="1"/>
    </row>
    <row r="10044" spans="4:35" hidden="1">
      <c r="D10044" s="1"/>
      <c r="K10044" s="1"/>
      <c r="Q10044" s="1"/>
      <c r="AD10044" s="1"/>
      <c r="AG10044" s="1"/>
      <c r="AI10044" s="1"/>
    </row>
    <row r="10045" spans="4:35" hidden="1">
      <c r="D10045" s="1"/>
      <c r="K10045" s="1"/>
      <c r="Q10045" s="1"/>
      <c r="AD10045" s="1"/>
      <c r="AG10045" s="1"/>
      <c r="AI10045" s="1"/>
    </row>
    <row r="10046" spans="4:35" hidden="1">
      <c r="D10046" s="1"/>
      <c r="K10046" s="1"/>
      <c r="Q10046" s="1"/>
      <c r="AD10046" s="1"/>
      <c r="AG10046" s="1"/>
      <c r="AI10046" s="1"/>
    </row>
    <row r="10047" spans="4:35" hidden="1">
      <c r="D10047" s="1"/>
      <c r="K10047" s="1"/>
      <c r="Q10047" s="1"/>
      <c r="AD10047" s="1"/>
      <c r="AG10047" s="1"/>
      <c r="AI10047" s="1"/>
    </row>
    <row r="10048" spans="4:35" hidden="1">
      <c r="D10048" s="1"/>
      <c r="K10048" s="1"/>
      <c r="Q10048" s="1"/>
      <c r="AD10048" s="1"/>
      <c r="AG10048" s="1"/>
      <c r="AI10048" s="1"/>
    </row>
    <row r="10049" spans="4:35" hidden="1">
      <c r="D10049" s="1"/>
      <c r="K10049" s="1"/>
      <c r="Q10049" s="1"/>
      <c r="AD10049" s="1"/>
      <c r="AG10049" s="1"/>
      <c r="AI10049" s="1"/>
    </row>
    <row r="10050" spans="4:35" hidden="1">
      <c r="D10050" s="1"/>
      <c r="K10050" s="1"/>
      <c r="Q10050" s="1"/>
      <c r="AD10050" s="1"/>
      <c r="AG10050" s="1"/>
      <c r="AI10050" s="1"/>
    </row>
    <row r="10051" spans="4:35" hidden="1">
      <c r="D10051" s="1"/>
      <c r="K10051" s="1"/>
      <c r="Q10051" s="1"/>
      <c r="AD10051" s="1"/>
      <c r="AG10051" s="1"/>
      <c r="AI10051" s="1"/>
    </row>
    <row r="10052" spans="4:35" hidden="1">
      <c r="D10052" s="1"/>
      <c r="K10052" s="1"/>
      <c r="Q10052" s="1"/>
      <c r="AD10052" s="1"/>
      <c r="AG10052" s="1"/>
      <c r="AI10052" s="1"/>
    </row>
    <row r="10053" spans="4:35" hidden="1">
      <c r="D10053" s="1"/>
      <c r="K10053" s="1"/>
      <c r="Q10053" s="1"/>
      <c r="AD10053" s="1"/>
      <c r="AG10053" s="1"/>
      <c r="AI10053" s="1"/>
    </row>
    <row r="10054" spans="4:35" hidden="1">
      <c r="D10054" s="1"/>
      <c r="K10054" s="1"/>
      <c r="Q10054" s="1"/>
      <c r="AD10054" s="1"/>
      <c r="AG10054" s="1"/>
      <c r="AI10054" s="1"/>
    </row>
    <row r="10055" spans="4:35" hidden="1">
      <c r="D10055" s="1"/>
      <c r="K10055" s="1"/>
      <c r="Q10055" s="1"/>
      <c r="AD10055" s="1"/>
      <c r="AG10055" s="1"/>
      <c r="AI10055" s="1"/>
    </row>
    <row r="10056" spans="4:35" hidden="1">
      <c r="D10056" s="1"/>
      <c r="K10056" s="1"/>
      <c r="Q10056" s="1"/>
      <c r="AD10056" s="1"/>
      <c r="AG10056" s="1"/>
      <c r="AI10056" s="1"/>
    </row>
    <row r="10057" spans="4:35" hidden="1">
      <c r="D10057" s="1"/>
      <c r="K10057" s="1"/>
      <c r="Q10057" s="1"/>
      <c r="AD10057" s="1"/>
      <c r="AG10057" s="1"/>
      <c r="AI10057" s="1"/>
    </row>
    <row r="10058" spans="4:35" hidden="1">
      <c r="D10058" s="1"/>
      <c r="K10058" s="1"/>
      <c r="Q10058" s="1"/>
      <c r="AD10058" s="1"/>
      <c r="AG10058" s="1"/>
      <c r="AI10058" s="1"/>
    </row>
    <row r="10059" spans="4:35" hidden="1">
      <c r="D10059" s="1"/>
      <c r="K10059" s="1"/>
      <c r="Q10059" s="1"/>
      <c r="AD10059" s="1"/>
      <c r="AG10059" s="1"/>
      <c r="AI10059" s="1"/>
    </row>
    <row r="10060" spans="4:35" hidden="1">
      <c r="D10060" s="1"/>
      <c r="K10060" s="1"/>
      <c r="Q10060" s="1"/>
      <c r="AD10060" s="1"/>
      <c r="AG10060" s="1"/>
      <c r="AI10060" s="1"/>
    </row>
    <row r="10061" spans="4:35" hidden="1">
      <c r="D10061" s="1"/>
      <c r="K10061" s="1"/>
      <c r="Q10061" s="1"/>
      <c r="AD10061" s="1"/>
      <c r="AG10061" s="1"/>
      <c r="AI10061" s="1"/>
    </row>
    <row r="10062" spans="4:35" hidden="1">
      <c r="D10062" s="1"/>
      <c r="K10062" s="1"/>
      <c r="Q10062" s="1"/>
      <c r="AD10062" s="1"/>
      <c r="AG10062" s="1"/>
      <c r="AI10062" s="1"/>
    </row>
    <row r="10063" spans="4:35" hidden="1">
      <c r="D10063" s="1"/>
      <c r="K10063" s="1"/>
      <c r="Q10063" s="1"/>
      <c r="AD10063" s="1"/>
      <c r="AG10063" s="1"/>
      <c r="AI10063" s="1"/>
    </row>
    <row r="10064" spans="4:35" hidden="1">
      <c r="D10064" s="1"/>
      <c r="K10064" s="1"/>
      <c r="Q10064" s="1"/>
      <c r="AD10064" s="1"/>
      <c r="AG10064" s="1"/>
      <c r="AI10064" s="1"/>
    </row>
    <row r="10065" spans="4:35" hidden="1">
      <c r="D10065" s="1"/>
      <c r="K10065" s="1"/>
      <c r="Q10065" s="1"/>
      <c r="AD10065" s="1"/>
      <c r="AG10065" s="1"/>
      <c r="AI10065" s="1"/>
    </row>
    <row r="10066" spans="4:35" hidden="1">
      <c r="D10066" s="1"/>
      <c r="K10066" s="1"/>
      <c r="Q10066" s="1"/>
      <c r="AD10066" s="1"/>
      <c r="AG10066" s="1"/>
      <c r="AI10066" s="1"/>
    </row>
    <row r="10067" spans="4:35" hidden="1">
      <c r="D10067" s="1"/>
      <c r="K10067" s="1"/>
      <c r="Q10067" s="1"/>
      <c r="AD10067" s="1"/>
      <c r="AG10067" s="1"/>
      <c r="AI10067" s="1"/>
    </row>
    <row r="10068" spans="4:35" hidden="1">
      <c r="D10068" s="1"/>
      <c r="K10068" s="1"/>
      <c r="Q10068" s="1"/>
      <c r="AD10068" s="1"/>
      <c r="AG10068" s="1"/>
      <c r="AI10068" s="1"/>
    </row>
    <row r="10069" spans="4:35" hidden="1">
      <c r="D10069" s="1"/>
      <c r="K10069" s="1"/>
      <c r="Q10069" s="1"/>
      <c r="AD10069" s="1"/>
      <c r="AG10069" s="1"/>
      <c r="AI10069" s="1"/>
    </row>
    <row r="10070" spans="4:35" hidden="1">
      <c r="D10070" s="1"/>
      <c r="K10070" s="1"/>
      <c r="Q10070" s="1"/>
      <c r="AD10070" s="1"/>
      <c r="AG10070" s="1"/>
      <c r="AI10070" s="1"/>
    </row>
    <row r="10071" spans="4:35" hidden="1">
      <c r="D10071" s="1"/>
      <c r="K10071" s="1"/>
      <c r="Q10071" s="1"/>
      <c r="AD10071" s="1"/>
      <c r="AG10071" s="1"/>
      <c r="AI10071" s="1"/>
    </row>
    <row r="10072" spans="4:35" hidden="1">
      <c r="D10072" s="1"/>
      <c r="K10072" s="1"/>
      <c r="Q10072" s="1"/>
      <c r="AD10072" s="1"/>
      <c r="AG10072" s="1"/>
      <c r="AI10072" s="1"/>
    </row>
    <row r="10073" spans="4:35" hidden="1">
      <c r="D10073" s="1"/>
      <c r="K10073" s="1"/>
      <c r="Q10073" s="1"/>
      <c r="AD10073" s="1"/>
      <c r="AG10073" s="1"/>
      <c r="AI10073" s="1"/>
    </row>
    <row r="10074" spans="4:35" hidden="1">
      <c r="D10074" s="1"/>
      <c r="K10074" s="1"/>
      <c r="Q10074" s="1"/>
      <c r="AD10074" s="1"/>
      <c r="AG10074" s="1"/>
      <c r="AI10074" s="1"/>
    </row>
    <row r="10075" spans="4:35" hidden="1">
      <c r="D10075" s="1"/>
      <c r="K10075" s="1"/>
      <c r="Q10075" s="1"/>
      <c r="AD10075" s="1"/>
      <c r="AG10075" s="1"/>
      <c r="AI10075" s="1"/>
    </row>
    <row r="10076" spans="4:35" hidden="1">
      <c r="D10076" s="1"/>
      <c r="K10076" s="1"/>
      <c r="Q10076" s="1"/>
      <c r="AD10076" s="1"/>
      <c r="AG10076" s="1"/>
      <c r="AI10076" s="1"/>
    </row>
    <row r="10077" spans="4:35" hidden="1">
      <c r="D10077" s="1"/>
      <c r="K10077" s="1"/>
      <c r="Q10077" s="1"/>
      <c r="AD10077" s="1"/>
      <c r="AG10077" s="1"/>
      <c r="AI10077" s="1"/>
    </row>
    <row r="10078" spans="4:35" hidden="1">
      <c r="D10078" s="1"/>
      <c r="K10078" s="1"/>
      <c r="Q10078" s="1"/>
      <c r="AD10078" s="1"/>
      <c r="AG10078" s="1"/>
      <c r="AI10078" s="1"/>
    </row>
    <row r="10079" spans="4:35" hidden="1">
      <c r="D10079" s="1"/>
      <c r="K10079" s="1"/>
      <c r="Q10079" s="1"/>
      <c r="AD10079" s="1"/>
      <c r="AG10079" s="1"/>
      <c r="AI10079" s="1"/>
    </row>
    <row r="10080" spans="4:35" hidden="1">
      <c r="D10080" s="1"/>
      <c r="K10080" s="1"/>
      <c r="Q10080" s="1"/>
      <c r="AD10080" s="1"/>
      <c r="AG10080" s="1"/>
      <c r="AI10080" s="1"/>
    </row>
    <row r="10081" spans="4:35" hidden="1">
      <c r="D10081" s="1"/>
      <c r="K10081" s="1"/>
      <c r="Q10081" s="1"/>
      <c r="AD10081" s="1"/>
      <c r="AG10081" s="1"/>
      <c r="AI10081" s="1"/>
    </row>
    <row r="10082" spans="4:35" hidden="1">
      <c r="D10082" s="1"/>
      <c r="K10082" s="1"/>
      <c r="Q10082" s="1"/>
      <c r="AD10082" s="1"/>
      <c r="AG10082" s="1"/>
      <c r="AI10082" s="1"/>
    </row>
    <row r="10083" spans="4:35" hidden="1">
      <c r="D10083" s="1"/>
      <c r="K10083" s="1"/>
      <c r="Q10083" s="1"/>
      <c r="AD10083" s="1"/>
      <c r="AG10083" s="1"/>
      <c r="AI10083" s="1"/>
    </row>
    <row r="10084" spans="4:35" hidden="1">
      <c r="D10084" s="1"/>
      <c r="K10084" s="1"/>
      <c r="Q10084" s="1"/>
      <c r="AD10084" s="1"/>
      <c r="AG10084" s="1"/>
      <c r="AI10084" s="1"/>
    </row>
    <row r="10085" spans="4:35" hidden="1">
      <c r="D10085" s="1"/>
      <c r="K10085" s="1"/>
      <c r="Q10085" s="1"/>
      <c r="AD10085" s="1"/>
      <c r="AG10085" s="1"/>
      <c r="AI10085" s="1"/>
    </row>
    <row r="10086" spans="4:35" hidden="1">
      <c r="D10086" s="1"/>
      <c r="K10086" s="1"/>
      <c r="Q10086" s="1"/>
      <c r="AD10086" s="1"/>
      <c r="AG10086" s="1"/>
      <c r="AI10086" s="1"/>
    </row>
    <row r="10087" spans="4:35" hidden="1">
      <c r="D10087" s="1"/>
      <c r="K10087" s="1"/>
      <c r="Q10087" s="1"/>
      <c r="AD10087" s="1"/>
      <c r="AG10087" s="1"/>
      <c r="AI10087" s="1"/>
    </row>
    <row r="10088" spans="4:35" hidden="1">
      <c r="D10088" s="1"/>
      <c r="K10088" s="1"/>
      <c r="Q10088" s="1"/>
      <c r="AD10088" s="1"/>
      <c r="AG10088" s="1"/>
      <c r="AI10088" s="1"/>
    </row>
    <row r="10089" spans="4:35" hidden="1">
      <c r="D10089" s="1"/>
      <c r="K10089" s="1"/>
      <c r="Q10089" s="1"/>
      <c r="AD10089" s="1"/>
      <c r="AG10089" s="1"/>
      <c r="AI10089" s="1"/>
    </row>
    <row r="10090" spans="4:35" hidden="1">
      <c r="D10090" s="1"/>
      <c r="K10090" s="1"/>
      <c r="Q10090" s="1"/>
      <c r="AD10090" s="1"/>
      <c r="AG10090" s="1"/>
      <c r="AI10090" s="1"/>
    </row>
    <row r="10091" spans="4:35" hidden="1">
      <c r="D10091" s="1"/>
      <c r="K10091" s="1"/>
      <c r="Q10091" s="1"/>
      <c r="AD10091" s="1"/>
      <c r="AG10091" s="1"/>
      <c r="AI10091" s="1"/>
    </row>
    <row r="10092" spans="4:35" hidden="1">
      <c r="D10092" s="1"/>
      <c r="K10092" s="1"/>
      <c r="Q10092" s="1"/>
      <c r="AD10092" s="1"/>
      <c r="AG10092" s="1"/>
      <c r="AI10092" s="1"/>
    </row>
    <row r="10093" spans="4:35" hidden="1">
      <c r="D10093" s="1"/>
      <c r="K10093" s="1"/>
      <c r="Q10093" s="1"/>
      <c r="AD10093" s="1"/>
      <c r="AG10093" s="1"/>
      <c r="AI10093" s="1"/>
    </row>
    <row r="10094" spans="4:35" hidden="1">
      <c r="D10094" s="1"/>
      <c r="K10094" s="1"/>
      <c r="Q10094" s="1"/>
      <c r="AD10094" s="1"/>
      <c r="AG10094" s="1"/>
      <c r="AI10094" s="1"/>
    </row>
    <row r="10095" spans="4:35" hidden="1">
      <c r="D10095" s="1"/>
      <c r="K10095" s="1"/>
      <c r="Q10095" s="1"/>
      <c r="AD10095" s="1"/>
      <c r="AG10095" s="1"/>
      <c r="AI10095" s="1"/>
    </row>
    <row r="10096" spans="4:35" hidden="1">
      <c r="D10096" s="1"/>
      <c r="K10096" s="1"/>
      <c r="Q10096" s="1"/>
      <c r="AD10096" s="1"/>
      <c r="AG10096" s="1"/>
      <c r="AI10096" s="1"/>
    </row>
    <row r="10097" spans="4:35" hidden="1">
      <c r="D10097" s="1"/>
      <c r="K10097" s="1"/>
      <c r="Q10097" s="1"/>
      <c r="AD10097" s="1"/>
      <c r="AG10097" s="1"/>
      <c r="AI10097" s="1"/>
    </row>
    <row r="10098" spans="4:35" hidden="1">
      <c r="D10098" s="1"/>
      <c r="K10098" s="1"/>
      <c r="Q10098" s="1"/>
      <c r="AD10098" s="1"/>
      <c r="AG10098" s="1"/>
      <c r="AI10098" s="1"/>
    </row>
    <row r="10099" spans="4:35" hidden="1">
      <c r="D10099" s="1"/>
      <c r="K10099" s="1"/>
      <c r="Q10099" s="1"/>
      <c r="AD10099" s="1"/>
      <c r="AG10099" s="1"/>
      <c r="AI10099" s="1"/>
    </row>
  </sheetData>
  <mergeCells count="4">
    <mergeCell ref="D2:I2"/>
    <mergeCell ref="D35:G35"/>
    <mergeCell ref="D44:G44"/>
    <mergeCell ref="D4:G4"/>
  </mergeCells>
  <phoneticPr fontId="2" type="noConversion"/>
  <pageMargins left="0.70866141732283472" right="0.70866141732283472" top="0.55118110236220474" bottom="0.55118110236220474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daily monitor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cp:lastPrinted>2016-12-13T04:43:40Z</cp:lastPrinted>
  <dcterms:created xsi:type="dcterms:W3CDTF">2016-03-31T07:40:23Z</dcterms:created>
  <dcterms:modified xsi:type="dcterms:W3CDTF">2025-02-03T07:14:18Z</dcterms:modified>
</cp:coreProperties>
</file>